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OneDrive\synced-documents\bitbucket\gitlab_setbench\macrobench\experiments\istree_exp1\"/>
    </mc:Choice>
  </mc:AlternateContent>
  <xr:revisionPtr revIDLastSave="0" documentId="13_ncr:1_{D5EC45F6-BBA5-43FA-BD9B-76A5043B328A}" xr6:coauthVersionLast="43" xr6:coauthVersionMax="43" xr10:uidLastSave="{00000000-0000-0000-0000-000000000000}"/>
  <bookViews>
    <workbookView xWindow="4063" yWindow="1706" windowWidth="27068" windowHeight="15240" activeTab="4" xr2:uid="{00000000-000D-0000-FFFF-FFFF00000000}"/>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9"/>
  <definedNames>
    <definedName name="_xlnm._FilterDatabase" localSheetId="1" hidden="1">data!$A$1:$BB$641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10" r:id="rId9"/>
    <pivotCache cacheId="16"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2" i="2"/>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<sst xmlns="http://schemas.openxmlformats.org/spreadsheetml/2006/main" count="176" uniqueCount="51">
  <si>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</si>
  <si>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</si>
  <si>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</si>
  <si>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</si>
  <si>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</si>
  <si>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</si>
  <si>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</si>
  <si>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</si>
  <si>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</si>
  <si>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</si>
  <si>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</si>
  <si>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</si>
  <si>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</si>
  <si>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</si>
  <si>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</si>
  <si>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</si>
  <si>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</si>
  <si>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</si>
  <si>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</si>
  <si>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</si>
  <si>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TOTAL_THREADS</t>
  </si>
  <si>
    <t>brown_ext_ist_lf</t>
  </si>
  <si>
    <t>brown_ext_abtree_lf</t>
  </si>
  <si>
    <t>bronson_pext_bst_occ</t>
  </si>
  <si>
    <t>natarajan_ext_bst_lf</t>
  </si>
  <si>
    <t>exp</t>
  </si>
  <si>
    <t>B2</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</si>
  <si>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</si>
  <si>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</si>
  <si>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</si>
  <si>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</si>
  <si>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</si>
  <si>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</si>
  <si>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</si>
  <si>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</si>
  <si>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</si>
  <si>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</si>
  <si>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</si>
  <si>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</si>
  <si>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</si>
  <si>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</si>
  <si>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</si>
  <si>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alg</t>
  </si>
  <si>
    <t>nthreads</t>
  </si>
  <si>
    <t>theta</t>
  </si>
  <si>
    <t>runtime</t>
  </si>
  <si>
    <t>throughput</t>
  </si>
  <si>
    <t>Average of throughput</t>
  </si>
  <si>
    <t>Min of throughput</t>
  </si>
  <si>
    <t>Max of throughput</t>
  </si>
  <si>
    <t>theta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</si>
</sst>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1" applyNumberFormat="1" applyFont="1"/>
  </cellXfs>
  <cellStyles count="2">
    <cellStyle name="Normal" xfId="0" builtinId="0"/>
    <cellStyle name="Percent" xfId="1" builtinId="5"/>
  </cellStyles>
  <dxfs count="18">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theta 0.9</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5825229143564132"/>
          <c:y val="0.11905985021469084"/>
          <c:w val="0.73744811927670073"/>
          <c:h val="0.64270887944817312"/>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0</c:v>
                  </c:pt>
                  <c:pt idx="4">
                    <c:v>0</c:v>
                  </c:pt>
                </c:numCache>
              </c:numRef>
            </c:plus>
            <c:minus>
              <c:numRef>
                <c:f>throughput!$B$51:$B$55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throughput!$B$21:$B$23</c:f>
              <c:numCache>
                <c:formatCode>0</c:formatCode>
                <c:ptCount val="3"/>
                <c:pt idx="0">
                  <c:v>533925.05220000003</c:v>
                </c:pt>
                <c:pt idx="1">
                  <c:v>123893.1176</c:v>
                </c:pt>
                <c:pt idx="2">
                  <c:v>6765.083869</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ABTree</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0</c:v>
                  </c:pt>
                  <c:pt idx="4">
                    <c:v>0</c:v>
                  </c:pt>
                </c:numCache>
              </c:numRef>
            </c:plus>
            <c:minus>
              <c:numRef>
                <c:f>throughput!$C$51:$C$55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throughput!$C$21:$C$23</c:f>
              <c:numCache>
                <c:formatCode>0</c:formatCode>
                <c:ptCount val="3"/>
                <c:pt idx="0">
                  <c:v>808002.07070000004</c:v>
                </c:pt>
                <c:pt idx="1">
                  <c:v>109604.55220000001</c:v>
                </c:pt>
                <c:pt idx="2">
                  <c:v>4988.2194879999997</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ISTree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0</c:v>
                  </c:pt>
                  <c:pt idx="4">
                    <c:v>0</c:v>
                  </c:pt>
                </c:numCache>
              </c:numRef>
            </c:plus>
            <c:minus>
              <c:numRef>
                <c:f>throughput!$D$51:$D$55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throughput!$D$21:$D$23</c:f>
              <c:numCache>
                <c:formatCode>0</c:formatCode>
                <c:ptCount val="3"/>
                <c:pt idx="0">
                  <c:v>912984.00679999997</c:v>
                </c:pt>
                <c:pt idx="1">
                  <c:v>124869.1234</c:v>
                </c:pt>
                <c:pt idx="2">
                  <c:v>4550.3479120000002</c:v>
                </c:pt>
              </c:numCache>
            </c:numRef>
          </c:val>
          <c:extLst>
            <c:ext xmlns:c16="http://schemas.microsoft.com/office/drawing/2014/chart" uri="{C3380CC4-5D6E-409C-BE32-E72D297353CC}">
              <c16:uniqueId val="{00000002-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logBase val="10"/>
          <c:orientation val="minMax"/>
          <c:min val="1"/>
        </c:scaling>
        <c:delete val="0"/>
        <c:axPos val="l"/>
        <c:majorGridlines>
          <c:spPr>
            <a:ln w="38100" cap="flat" cmpd="sng" algn="ctr">
              <a:solidFill>
                <a:schemeClr val="tx1">
                  <a:lumMod val="60000"/>
                  <a:lumOff val="40000"/>
                </a:schemeClr>
              </a:solidFill>
              <a:round/>
            </a:ln>
            <a:effectLst/>
          </c:spPr>
        </c:majorGridlines>
        <c:minorGridlines>
          <c:spPr>
            <a:ln w="9525" cap="flat" cmpd="sng" algn="ctr">
              <a:solidFill>
                <a:schemeClr val="bg1"/>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throughput!$B$21:$B$25</c:f>
              <c:numCache>
                <c:formatCode>0</c:formatCode>
                <c:ptCount val="5"/>
                <c:pt idx="0">
                  <c:v>533925.05220000003</c:v>
                </c:pt>
                <c:pt idx="1">
                  <c:v>123893.1176</c:v>
                </c:pt>
                <c:pt idx="2">
                  <c:v>6765.083869</c:v>
                </c:pt>
                <c:pt idx="3">
                  <c:v>0</c:v>
                </c:pt>
                <c:pt idx="4">
                  <c:v>0</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ABTree</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throughput!$C$21:$C$25</c:f>
              <c:numCache>
                <c:formatCode>0</c:formatCode>
                <c:ptCount val="5"/>
                <c:pt idx="0">
                  <c:v>808002.07070000004</c:v>
                </c:pt>
                <c:pt idx="1">
                  <c:v>109604.55220000001</c:v>
                </c:pt>
                <c:pt idx="2">
                  <c:v>4988.2194879999997</c:v>
                </c:pt>
                <c:pt idx="3">
                  <c:v>0</c:v>
                </c:pt>
                <c:pt idx="4">
                  <c:v>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ISTree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0</c:v>
                </c:pt>
                <c:pt idx="4">
                  <c:v>0</c:v>
                </c:pt>
              </c:numCache>
            </c:numRef>
          </c:cat>
          <c:val>
            <c:numRef>
              <c:f>throughput!$D$21:$D$25</c:f>
              <c:numCache>
                <c:formatCode>0</c:formatCode>
                <c:ptCount val="5"/>
                <c:pt idx="0">
                  <c:v>912984.00679999997</c:v>
                </c:pt>
                <c:pt idx="1">
                  <c:v>124869.1234</c:v>
                </c:pt>
                <c:pt idx="2">
                  <c:v>4550.3479120000002</c:v>
                </c:pt>
                <c:pt idx="3">
                  <c:v>0</c:v>
                </c:pt>
                <c:pt idx="4">
                  <c:v>0</c:v>
                </c:pt>
              </c:numCache>
            </c:numRef>
          </c:val>
          <c:extLst>
            <c:ext xmlns:c16="http://schemas.microsoft.com/office/drawing/2014/chart" uri="{C3380CC4-5D6E-409C-BE32-E72D297353CC}">
              <c16:uniqueId val="{00000002-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13606</xdr:colOff>
      <xdr:row>1</xdr:row>
      <xdr:rowOff>171450</xdr:rowOff>
    </xdr:from>
    <xdr:to>
      <xdr:col>46</xdr:col>
      <xdr:colOff>72117</xdr:colOff>
      <xdr:row>42</xdr:row>
      <xdr:rowOff>25400</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217717</xdr:colOff>
      <xdr:row>43</xdr:row>
      <xdr:rowOff>27217</xdr:rowOff>
    </xdr:from>
    <xdr:to>
      <xdr:col>37</xdr:col>
      <xdr:colOff>122464</xdr:colOff>
      <xdr:row>46</xdr:row>
      <xdr:rowOff>27215</xdr:rowOff>
    </xdr:to>
    <xdr:graphicFrame macro="">
      <xdr:nvGraphicFramePr>
        <xdr:cNvPr id="6" name="ChartLegend">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5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5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5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35brown" refreshedDate="43630.793740046298" missingItemsLimit="0" createdVersion="6" refreshedVersion="6" minRefreshableVersion="3" recordCount="961" xr:uid="{00000000-000A-0000-FFFF-FFFFED010000}">
  <cacheSource type="worksheet">
    <worksheetSource ref="A1:BB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3683.913431712965" missingItemsLimit="0" createdVersion="6" refreshedVersion="6" minRefreshableVersion="3" recordCount="46" xr:uid="{00000000-000A-0000-FFFF-FFFFF3010000}">
  <cacheSource type="worksheet">
    <worksheetSource ref="A1:F1048576" sheet="data"/>
  </cacheSource>
  <cacheFields count="6">
    <cacheField name="alg" numFmtId="0">
      <sharedItems containsBlank="1" count="4">
        <s v="bronson_pext_bst_occ"/>
        <s v="brown_ext_abtree_lf"/>
        <s v="brown_ext_ist_lf"/>
        <m/>
      </sharedItems>
    </cacheField>
    <cacheField name="nthreads" numFmtId="0">
      <sharedItems containsString="0" containsBlank="1" containsNumber="1" containsInteger="1" minValue="24" maxValue="192" count="5">
        <n v="24"/>
        <n v="48"/>
        <n v="96"/>
        <n v="192"/>
        <m/>
      </sharedItems>
    </cacheField>
    <cacheField name="theta" numFmtId="0">
      <sharedItems containsString="0" containsBlank="1" containsNumber="1" minValue="0.01" maxValue="0.9"/>
    </cacheField>
    <cacheField name="runtime" numFmtId="0">
      <sharedItems containsString="0" containsBlank="1" containsNumber="1" minValue="52.985441999999999" maxValue="149950.45060000001"/>
    </cacheField>
    <cacheField name="throughput" numFmtId="0">
      <sharedItems containsString="0" containsBlank="1" containsNumber="1" minValue="4550.3479120000002" maxValue="4400750.4029999999"/>
    </cacheField>
    <cacheField name="exp" numFmtId="0">
      <sharedItems containsBlank="1" count="5">
        <s v="theta 0.01"/>
        <s v="theta 0.1"/>
        <s v="theta 0.5"/>
        <s v="theta 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x v="0"/>
    <n v="0.01"/>
    <n v="105.586444"/>
    <n v="538531.17819999997"/>
    <x v="0"/>
  </r>
  <r>
    <x v="1"/>
    <x v="0"/>
    <n v="0.01"/>
    <n v="63.002347999999998"/>
    <n v="902998.34900000005"/>
    <x v="0"/>
  </r>
  <r>
    <x v="2"/>
    <x v="0"/>
    <n v="0.01"/>
    <n v="53.997970000000002"/>
    <n v="1054257.409"/>
    <x v="0"/>
  </r>
  <r>
    <x v="0"/>
    <x v="1"/>
    <n v="0.01"/>
    <n v="328.18321900000001"/>
    <n v="692486.15639999998"/>
    <x v="0"/>
  </r>
  <r>
    <x v="1"/>
    <x v="1"/>
    <n v="0.01"/>
    <n v="219.90354600000001"/>
    <n v="1031114.177"/>
    <x v="0"/>
  </r>
  <r>
    <x v="2"/>
    <x v="1"/>
    <n v="0.01"/>
    <n v="185.027511"/>
    <n v="1219835.898"/>
    <x v="0"/>
  </r>
  <r>
    <x v="0"/>
    <x v="2"/>
    <n v="0.01"/>
    <n v="745.86927800000001"/>
    <n v="1203590.08"/>
    <x v="0"/>
  </r>
  <r>
    <x v="1"/>
    <x v="2"/>
    <n v="0.01"/>
    <n v="498.04440499999998"/>
    <n v="1805935.933"/>
    <x v="0"/>
  </r>
  <r>
    <x v="2"/>
    <x v="2"/>
    <n v="0.01"/>
    <n v="445.682728"/>
    <n v="2025876.2350000001"/>
    <x v="0"/>
  </r>
  <r>
    <x v="0"/>
    <x v="3"/>
    <n v="0.01"/>
    <n v="1424.544887"/>
    <n v="2516987.0430000001"/>
    <x v="0"/>
  </r>
  <r>
    <x v="1"/>
    <x v="3"/>
    <n v="0.01"/>
    <n v="935.52964999999995"/>
    <n v="3804154.912"/>
    <x v="0"/>
  </r>
  <r>
    <x v="2"/>
    <x v="3"/>
    <n v="0.01"/>
    <n v="868.35570600000005"/>
    <n v="4089757.75"/>
    <x v="0"/>
  </r>
  <r>
    <x v="0"/>
    <x v="0"/>
    <n v="0.1"/>
    <n v="105.35055"/>
    <n v="539566.62060000002"/>
    <x v="1"/>
  </r>
  <r>
    <x v="1"/>
    <x v="0"/>
    <n v="0.1"/>
    <n v="62.852763000000003"/>
    <n v="905062.26459999999"/>
    <x v="1"/>
  </r>
  <r>
    <x v="2"/>
    <x v="0"/>
    <n v="0.1"/>
    <n v="52.985441999999999"/>
    <n v="1074238.01"/>
    <x v="1"/>
  </r>
  <r>
    <x v="0"/>
    <x v="1"/>
    <n v="0.1"/>
    <n v="328.31210800000002"/>
    <n v="691190.44460000005"/>
    <x v="1"/>
  </r>
  <r>
    <x v="1"/>
    <x v="1"/>
    <n v="0.1"/>
    <n v="217.55339699999999"/>
    <n v="1041535.197"/>
    <x v="1"/>
  </r>
  <r>
    <x v="2"/>
    <x v="1"/>
    <n v="0.1"/>
    <n v="184.740758"/>
    <n v="1215420.8019999999"/>
    <x v="1"/>
  </r>
  <r>
    <x v="0"/>
    <x v="2"/>
    <n v="0.1"/>
    <n v="730.90932499999997"/>
    <n v="1232052.405"/>
    <x v="1"/>
  </r>
  <r>
    <x v="1"/>
    <x v="2"/>
    <n v="0.1"/>
    <n v="512.551964"/>
    <n v="1757118.23"/>
    <x v="1"/>
  </r>
  <r>
    <x v="2"/>
    <x v="2"/>
    <n v="0.1"/>
    <n v="455.95726500000001"/>
    <n v="1982818.0349999999"/>
    <x v="1"/>
  </r>
  <r>
    <x v="0"/>
    <x v="3"/>
    <n v="0.1"/>
    <n v="1426.1760409999999"/>
    <n v="2516486.7349999999"/>
    <x v="1"/>
  </r>
  <r>
    <x v="1"/>
    <x v="3"/>
    <n v="0.1"/>
    <n v="906.56870600000002"/>
    <n v="3905219.327"/>
    <x v="1"/>
  </r>
  <r>
    <x v="2"/>
    <x v="3"/>
    <n v="0.1"/>
    <n v="835.95179099999996"/>
    <n v="3965679.787"/>
    <x v="1"/>
  </r>
  <r>
    <x v="0"/>
    <x v="0"/>
    <n v="0.5"/>
    <n v="103.324549"/>
    <n v="550102.61100000003"/>
    <x v="2"/>
  </r>
  <r>
    <x v="1"/>
    <x v="0"/>
    <n v="0.5"/>
    <n v="61.997689999999999"/>
    <n v="917445.4044"/>
    <x v="2"/>
  </r>
  <r>
    <x v="2"/>
    <x v="0"/>
    <n v="0.5"/>
    <n v="53.239514999999997"/>
    <n v="1069174.125"/>
    <x v="2"/>
  </r>
  <r>
    <x v="0"/>
    <x v="1"/>
    <n v="0.5"/>
    <n v="324.53629000000001"/>
    <n v="700137.41740000003"/>
    <x v="2"/>
  </r>
  <r>
    <x v="1"/>
    <x v="1"/>
    <n v="0.5"/>
    <n v="215.30381199999999"/>
    <n v="1056092.1040000001"/>
    <x v="2"/>
  </r>
  <r>
    <x v="2"/>
    <x v="1"/>
    <n v="0.5"/>
    <n v="187.88094899999999"/>
    <n v="1206461.692"/>
    <x v="2"/>
  </r>
  <r>
    <x v="0"/>
    <x v="2"/>
    <n v="0.5"/>
    <n v="727.94417299999998"/>
    <n v="1242154.4650000001"/>
    <x v="2"/>
  </r>
  <r>
    <x v="1"/>
    <x v="2"/>
    <n v="0.5"/>
    <n v="500.14156700000001"/>
    <n v="1803514.6440000001"/>
    <x v="2"/>
  </r>
  <r>
    <x v="2"/>
    <x v="2"/>
    <n v="0.5"/>
    <n v="442.56104599999998"/>
    <n v="2020576.1370000001"/>
    <x v="2"/>
  </r>
  <r>
    <x v="0"/>
    <x v="3"/>
    <n v="0.5"/>
    <n v="1399.3889280000001"/>
    <n v="2564722.9240000001"/>
    <x v="2"/>
  </r>
  <r>
    <x v="1"/>
    <x v="3"/>
    <n v="0.5"/>
    <n v="851.60370899999998"/>
    <n v="4159187.7459999998"/>
    <x v="2"/>
  </r>
  <r>
    <x v="2"/>
    <x v="3"/>
    <n v="0.5"/>
    <n v="819.28503000000001"/>
    <n v="4400750.4029999999"/>
    <x v="2"/>
  </r>
  <r>
    <x v="0"/>
    <x v="0"/>
    <n v="0.9"/>
    <n v="106.03766899999999"/>
    <n v="533925.05220000003"/>
    <x v="3"/>
  </r>
  <r>
    <x v="1"/>
    <x v="0"/>
    <n v="0.9"/>
    <n v="69.79589"/>
    <n v="808002.07070000004"/>
    <x v="3"/>
  </r>
  <r>
    <x v="2"/>
    <x v="0"/>
    <n v="0.9"/>
    <n v="62.134723000000001"/>
    <n v="912984.00679999997"/>
    <x v="3"/>
  </r>
  <r>
    <x v="0"/>
    <x v="1"/>
    <n v="0.9"/>
    <n v="1660.634231"/>
    <n v="123893.1176"/>
    <x v="3"/>
  </r>
  <r>
    <x v="1"/>
    <x v="1"/>
    <n v="0.9"/>
    <n v="1887.703346"/>
    <n v="109604.55220000001"/>
    <x v="3"/>
  </r>
  <r>
    <x v="2"/>
    <x v="1"/>
    <n v="0.9"/>
    <n v="1674.42066"/>
    <n v="124869.1234"/>
    <x v="3"/>
  </r>
  <r>
    <x v="0"/>
    <x v="2"/>
    <n v="0.9"/>
    <n v="99168.260590000005"/>
    <n v="6765.083869"/>
    <x v="3"/>
  </r>
  <r>
    <x v="1"/>
    <x v="2"/>
    <n v="0.9"/>
    <n v="121719.1219"/>
    <n v="4988.2194879999997"/>
    <x v="3"/>
  </r>
  <r>
    <x v="2"/>
    <x v="2"/>
    <n v="0.9"/>
    <n v="149950.45060000001"/>
    <n v="4550.3479120000002"/>
    <x v="3"/>
  </r>
  <r>
    <x v="3"/>
    <x v="4"/>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Main" cacheId="1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D8"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h="1" x="3"/>
        <item h="1"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4" hier="-1"/>
  </pageFields>
  <dataFields count="1">
    <dataField name="Average of throughput" fld="4" subtotal="average" baseField="1" baseItem="0"/>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Max" cacheId="1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D69"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4" hier="-1"/>
  </pageFields>
  <dataFields count="1">
    <dataField name="Max of throughput" fld="4" subtotal="max" baseField="0" baseItem="0"/>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Min" cacheId="1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D42"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3">
    <i>
      <x/>
    </i>
    <i>
      <x v="1"/>
    </i>
    <i>
      <x v="2"/>
    </i>
  </rowItems>
  <colFields count="1">
    <field x="0"/>
  </colFields>
  <colItems count="3">
    <i>
      <x/>
    </i>
    <i>
      <x v="1"/>
    </i>
    <i>
      <x v="2"/>
    </i>
  </colItems>
  <pageFields count="1">
    <pageField fld="5" item="4" hier="-1"/>
  </pageFields>
  <dataFields count="1">
    <dataField name="Min of throughput" fld="4" subtotal="min" baseField="1" baseItem="0"/>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Other" cacheId="1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3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2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1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0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B5A886"/>
      </a:dk1>
      <a:lt1>
        <a:sysClr val="window" lastClr="3F3A2D"/>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6"/>
  <sheetViews>
    <sheetView workbookViewId="0">
      <pane ySplit="1" topLeftCell="A2" activePane="bottomLeft" state="frozen"/>
      <selection pane="bottomLeft" activeCell="A2" sqref="A2"/>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6">
      <c r="A1" t="s">
        <v>42</v>
      </c>
      <c r="B1" t="s">
        <v>43</v>
      </c>
      <c r="C1" t="s">
        <v>44</v>
      </c>
      <c r="D1" t="s">
        <v>45</v>
      </c>
      <c r="E1" t="s">
        <v>46</v>
      </c>
      <c r="F1" t="s">
        <v>25</v>
      </c>
    </row>
    <row r="2" spans="1:6">
      <c r="A2" t="s">
        <v>23</v>
      </c>
      <c r="B2">
        <v>24</v>
      </c>
      <c r="C2">
        <v>0.01</v>
      </c>
      <c r="D2">
        <v>105.586444</v>
      </c>
      <c r="E2">
        <v>538531.17819999997</v>
      </c>
      <c r="F2" t="str">
        <f>"theta "&amp;C2</f>
        <v>theta 0.01</v>
      </c>
    </row>
    <row r="3" spans="1:6">
      <c r="A3" t="s">
        <v>22</v>
      </c>
      <c r="B3">
        <v>24</v>
      </c>
      <c r="C3">
        <v>0.01</v>
      </c>
      <c r="D3">
        <v>63.002347999999998</v>
      </c>
      <c r="E3">
        <v>902998.34900000005</v>
      </c>
      <c r="F3" t="str">
        <f t="shared" ref="F3:F46" si="0">"theta "&amp;C3</f>
        <v>theta 0.01</v>
      </c>
    </row>
    <row r="4" spans="1:6">
      <c r="A4" t="s">
        <v>21</v>
      </c>
      <c r="B4">
        <v>24</v>
      </c>
      <c r="C4">
        <v>0.01</v>
      </c>
      <c r="D4">
        <v>53.997970000000002</v>
      </c>
      <c r="E4">
        <v>1054257.409</v>
      </c>
      <c r="F4" t="str">
        <f t="shared" si="0"/>
        <v>theta 0.01</v>
      </c>
    </row>
    <row r="5" spans="1:6">
      <c r="A5" t="s">
        <v>23</v>
      </c>
      <c r="B5">
        <v>48</v>
      </c>
      <c r="C5">
        <v>0.01</v>
      </c>
      <c r="D5">
        <v>328.18321900000001</v>
      </c>
      <c r="E5">
        <v>692486.15639999998</v>
      </c>
      <c r="F5" t="str">
        <f t="shared" si="0"/>
        <v>theta 0.01</v>
      </c>
    </row>
    <row r="6" spans="1:6">
      <c r="A6" t="s">
        <v>22</v>
      </c>
      <c r="B6">
        <v>48</v>
      </c>
      <c r="C6">
        <v>0.01</v>
      </c>
      <c r="D6">
        <v>219.90354600000001</v>
      </c>
      <c r="E6">
        <v>1031114.177</v>
      </c>
      <c r="F6" t="str">
        <f t="shared" si="0"/>
        <v>theta 0.01</v>
      </c>
    </row>
    <row r="7" spans="1:6">
      <c r="A7" t="s">
        <v>21</v>
      </c>
      <c r="B7">
        <v>48</v>
      </c>
      <c r="C7">
        <v>0.01</v>
      </c>
      <c r="D7">
        <v>185.027511</v>
      </c>
      <c r="E7">
        <v>1219835.898</v>
      </c>
      <c r="F7" t="str">
        <f t="shared" si="0"/>
        <v>theta 0.01</v>
      </c>
    </row>
    <row r="8" spans="1:6">
      <c r="A8" t="s">
        <v>23</v>
      </c>
      <c r="B8">
        <v>96</v>
      </c>
      <c r="C8">
        <v>0.01</v>
      </c>
      <c r="D8">
        <v>745.86927800000001</v>
      </c>
      <c r="E8">
        <v>1203590.08</v>
      </c>
      <c r="F8" t="str">
        <f t="shared" si="0"/>
        <v>theta 0.01</v>
      </c>
    </row>
    <row r="9" spans="1:6">
      <c r="A9" t="s">
        <v>22</v>
      </c>
      <c r="B9">
        <v>96</v>
      </c>
      <c r="C9">
        <v>0.01</v>
      </c>
      <c r="D9">
        <v>498.04440499999998</v>
      </c>
      <c r="E9">
        <v>1805935.933</v>
      </c>
      <c r="F9" t="str">
        <f t="shared" si="0"/>
        <v>theta 0.01</v>
      </c>
    </row>
    <row r="10" spans="1:6">
      <c r="A10" t="s">
        <v>21</v>
      </c>
      <c r="B10">
        <v>96</v>
      </c>
      <c r="C10">
        <v>0.01</v>
      </c>
      <c r="D10">
        <v>445.682728</v>
      </c>
      <c r="E10">
        <v>2025876.2350000001</v>
      </c>
      <c r="F10" t="str">
        <f t="shared" si="0"/>
        <v>theta 0.01</v>
      </c>
    </row>
    <row r="11" spans="1:6">
      <c r="A11" t="s">
        <v>23</v>
      </c>
      <c r="B11">
        <v>192</v>
      </c>
      <c r="C11">
        <v>0.01</v>
      </c>
      <c r="D11">
        <v>1424.544887</v>
      </c>
      <c r="E11">
        <v>2516987.0430000001</v>
      </c>
      <c r="F11" t="str">
        <f t="shared" si="0"/>
        <v>theta 0.01</v>
      </c>
    </row>
    <row r="12" spans="1:6">
      <c r="A12" t="s">
        <v>22</v>
      </c>
      <c r="B12">
        <v>192</v>
      </c>
      <c r="C12">
        <v>0.01</v>
      </c>
      <c r="D12">
        <v>935.52964999999995</v>
      </c>
      <c r="E12">
        <v>3804154.912</v>
      </c>
      <c r="F12" t="str">
        <f t="shared" si="0"/>
        <v>theta 0.01</v>
      </c>
    </row>
    <row r="13" spans="1:6">
      <c r="A13" t="s">
        <v>21</v>
      </c>
      <c r="B13">
        <v>192</v>
      </c>
      <c r="C13">
        <v>0.01</v>
      </c>
      <c r="D13">
        <v>868.35570600000005</v>
      </c>
      <c r="E13">
        <v>4089757.75</v>
      </c>
      <c r="F13" t="str">
        <f t="shared" si="0"/>
        <v>theta 0.01</v>
      </c>
    </row>
    <row r="14" spans="1:6">
      <c r="A14" t="s">
        <v>23</v>
      </c>
      <c r="B14">
        <v>24</v>
      </c>
      <c r="C14">
        <v>0.1</v>
      </c>
      <c r="D14">
        <v>105.35055</v>
      </c>
      <c r="E14">
        <v>539566.62060000002</v>
      </c>
      <c r="F14" t="str">
        <f t="shared" si="0"/>
        <v>theta 0.1</v>
      </c>
    </row>
    <row r="15" spans="1:6">
      <c r="A15" t="s">
        <v>22</v>
      </c>
      <c r="B15">
        <v>24</v>
      </c>
      <c r="C15">
        <v>0.1</v>
      </c>
      <c r="D15">
        <v>62.852763000000003</v>
      </c>
      <c r="E15">
        <v>905062.26459999999</v>
      </c>
      <c r="F15" t="str">
        <f t="shared" si="0"/>
        <v>theta 0.1</v>
      </c>
    </row>
    <row r="16" spans="1:6">
      <c r="A16" t="s">
        <v>21</v>
      </c>
      <c r="B16">
        <v>24</v>
      </c>
      <c r="C16">
        <v>0.1</v>
      </c>
      <c r="D16">
        <v>52.985441999999999</v>
      </c>
      <c r="E16">
        <v>1074238.01</v>
      </c>
      <c r="F16" t="str">
        <f t="shared" si="0"/>
        <v>theta 0.1</v>
      </c>
    </row>
    <row r="17" spans="1:6">
      <c r="A17" t="s">
        <v>23</v>
      </c>
      <c r="B17">
        <v>48</v>
      </c>
      <c r="C17">
        <v>0.1</v>
      </c>
      <c r="D17">
        <v>328.31210800000002</v>
      </c>
      <c r="E17">
        <v>691190.44460000005</v>
      </c>
      <c r="F17" t="str">
        <f t="shared" si="0"/>
        <v>theta 0.1</v>
      </c>
    </row>
    <row r="18" spans="1:6">
      <c r="A18" t="s">
        <v>22</v>
      </c>
      <c r="B18">
        <v>48</v>
      </c>
      <c r="C18">
        <v>0.1</v>
      </c>
      <c r="D18">
        <v>217.55339699999999</v>
      </c>
      <c r="E18">
        <v>1041535.197</v>
      </c>
      <c r="F18" t="str">
        <f t="shared" si="0"/>
        <v>theta 0.1</v>
      </c>
    </row>
    <row r="19" spans="1:6">
      <c r="A19" t="s">
        <v>21</v>
      </c>
      <c r="B19">
        <v>48</v>
      </c>
      <c r="C19">
        <v>0.1</v>
      </c>
      <c r="D19">
        <v>184.740758</v>
      </c>
      <c r="E19">
        <v>1215420.8019999999</v>
      </c>
      <c r="F19" t="str">
        <f t="shared" si="0"/>
        <v>theta 0.1</v>
      </c>
    </row>
    <row r="20" spans="1:6">
      <c r="A20" t="s">
        <v>23</v>
      </c>
      <c r="B20">
        <v>96</v>
      </c>
      <c r="C20">
        <v>0.1</v>
      </c>
      <c r="D20">
        <v>730.90932499999997</v>
      </c>
      <c r="E20">
        <v>1232052.405</v>
      </c>
      <c r="F20" t="str">
        <f t="shared" si="0"/>
        <v>theta 0.1</v>
      </c>
    </row>
    <row r="21" spans="1:6">
      <c r="A21" t="s">
        <v>22</v>
      </c>
      <c r="B21">
        <v>96</v>
      </c>
      <c r="C21">
        <v>0.1</v>
      </c>
      <c r="D21">
        <v>512.551964</v>
      </c>
      <c r="E21">
        <v>1757118.23</v>
      </c>
      <c r="F21" t="str">
        <f t="shared" si="0"/>
        <v>theta 0.1</v>
      </c>
    </row>
    <row r="22" spans="1:6">
      <c r="A22" t="s">
        <v>21</v>
      </c>
      <c r="B22">
        <v>96</v>
      </c>
      <c r="C22">
        <v>0.1</v>
      </c>
      <c r="D22">
        <v>455.95726500000001</v>
      </c>
      <c r="E22">
        <v>1982818.0349999999</v>
      </c>
      <c r="F22" t="str">
        <f t="shared" si="0"/>
        <v>theta 0.1</v>
      </c>
    </row>
    <row r="23" spans="1:6">
      <c r="A23" t="s">
        <v>23</v>
      </c>
      <c r="B23">
        <v>192</v>
      </c>
      <c r="C23">
        <v>0.1</v>
      </c>
      <c r="D23">
        <v>1426.1760409999999</v>
      </c>
      <c r="E23">
        <v>2516486.7349999999</v>
      </c>
      <c r="F23" t="str">
        <f t="shared" si="0"/>
        <v>theta 0.1</v>
      </c>
    </row>
    <row r="24" spans="1:6">
      <c r="A24" t="s">
        <v>22</v>
      </c>
      <c r="B24">
        <v>192</v>
      </c>
      <c r="C24">
        <v>0.1</v>
      </c>
      <c r="D24">
        <v>906.56870600000002</v>
      </c>
      <c r="E24">
        <v>3905219.327</v>
      </c>
      <c r="F24" t="str">
        <f t="shared" si="0"/>
        <v>theta 0.1</v>
      </c>
    </row>
    <row r="25" spans="1:6">
      <c r="A25" t="s">
        <v>21</v>
      </c>
      <c r="B25">
        <v>192</v>
      </c>
      <c r="C25">
        <v>0.1</v>
      </c>
      <c r="D25">
        <v>835.95179099999996</v>
      </c>
      <c r="E25">
        <v>3965679.787</v>
      </c>
      <c r="F25" t="str">
        <f t="shared" si="0"/>
        <v>theta 0.1</v>
      </c>
    </row>
    <row r="26" spans="1:6">
      <c r="A26" t="s">
        <v>23</v>
      </c>
      <c r="B26">
        <v>24</v>
      </c>
      <c r="C26">
        <v>0.5</v>
      </c>
      <c r="D26">
        <v>103.324549</v>
      </c>
      <c r="E26">
        <v>550102.61100000003</v>
      </c>
      <c r="F26" t="str">
        <f t="shared" si="0"/>
        <v>theta 0.5</v>
      </c>
    </row>
    <row r="27" spans="1:6">
      <c r="A27" t="s">
        <v>22</v>
      </c>
      <c r="B27">
        <v>24</v>
      </c>
      <c r="C27">
        <v>0.5</v>
      </c>
      <c r="D27">
        <v>61.997689999999999</v>
      </c>
      <c r="E27">
        <v>917445.4044</v>
      </c>
      <c r="F27" t="str">
        <f t="shared" si="0"/>
        <v>theta 0.5</v>
      </c>
    </row>
    <row r="28" spans="1:6">
      <c r="A28" t="s">
        <v>21</v>
      </c>
      <c r="B28">
        <v>24</v>
      </c>
      <c r="C28">
        <v>0.5</v>
      </c>
      <c r="D28">
        <v>53.239514999999997</v>
      </c>
      <c r="E28">
        <v>1069174.125</v>
      </c>
      <c r="F28" t="str">
        <f t="shared" si="0"/>
        <v>theta 0.5</v>
      </c>
    </row>
    <row r="29" spans="1:6">
      <c r="A29" t="s">
        <v>23</v>
      </c>
      <c r="B29">
        <v>48</v>
      </c>
      <c r="C29">
        <v>0.5</v>
      </c>
      <c r="D29">
        <v>324.53629000000001</v>
      </c>
      <c r="E29">
        <v>700137.41740000003</v>
      </c>
      <c r="F29" t="str">
        <f t="shared" si="0"/>
        <v>theta 0.5</v>
      </c>
    </row>
    <row r="30" spans="1:6">
      <c r="A30" t="s">
        <v>22</v>
      </c>
      <c r="B30">
        <v>48</v>
      </c>
      <c r="C30">
        <v>0.5</v>
      </c>
      <c r="D30">
        <v>215.30381199999999</v>
      </c>
      <c r="E30">
        <v>1056092.1040000001</v>
      </c>
      <c r="F30" t="str">
        <f t="shared" si="0"/>
        <v>theta 0.5</v>
      </c>
    </row>
    <row r="31" spans="1:6">
      <c r="A31" t="s">
        <v>21</v>
      </c>
      <c r="B31">
        <v>48</v>
      </c>
      <c r="C31">
        <v>0.5</v>
      </c>
      <c r="D31">
        <v>187.88094899999999</v>
      </c>
      <c r="E31">
        <v>1206461.692</v>
      </c>
      <c r="F31" t="str">
        <f t="shared" si="0"/>
        <v>theta 0.5</v>
      </c>
    </row>
    <row r="32" spans="1:6">
      <c r="A32" t="s">
        <v>23</v>
      </c>
      <c r="B32">
        <v>96</v>
      </c>
      <c r="C32">
        <v>0.5</v>
      </c>
      <c r="D32">
        <v>727.94417299999998</v>
      </c>
      <c r="E32">
        <v>1242154.4650000001</v>
      </c>
      <c r="F32" t="str">
        <f t="shared" si="0"/>
        <v>theta 0.5</v>
      </c>
    </row>
    <row r="33" spans="1:6">
      <c r="A33" t="s">
        <v>22</v>
      </c>
      <c r="B33">
        <v>96</v>
      </c>
      <c r="C33">
        <v>0.5</v>
      </c>
      <c r="D33">
        <v>500.14156700000001</v>
      </c>
      <c r="E33">
        <v>1803514.6440000001</v>
      </c>
      <c r="F33" t="str">
        <f t="shared" si="0"/>
        <v>theta 0.5</v>
      </c>
    </row>
    <row r="34" spans="1:6">
      <c r="A34" t="s">
        <v>21</v>
      </c>
      <c r="B34">
        <v>96</v>
      </c>
      <c r="C34">
        <v>0.5</v>
      </c>
      <c r="D34">
        <v>442.56104599999998</v>
      </c>
      <c r="E34">
        <v>2020576.1370000001</v>
      </c>
      <c r="F34" t="str">
        <f t="shared" si="0"/>
        <v>theta 0.5</v>
      </c>
    </row>
    <row r="35" spans="1:6">
      <c r="A35" t="s">
        <v>23</v>
      </c>
      <c r="B35">
        <v>192</v>
      </c>
      <c r="C35">
        <v>0.5</v>
      </c>
      <c r="D35">
        <v>1399.3889280000001</v>
      </c>
      <c r="E35">
        <v>2564722.9240000001</v>
      </c>
      <c r="F35" t="str">
        <f t="shared" si="0"/>
        <v>theta 0.5</v>
      </c>
    </row>
    <row r="36" spans="1:6">
      <c r="A36" t="s">
        <v>22</v>
      </c>
      <c r="B36">
        <v>192</v>
      </c>
      <c r="C36">
        <v>0.5</v>
      </c>
      <c r="D36">
        <v>851.60370899999998</v>
      </c>
      <c r="E36">
        <v>4159187.7459999998</v>
      </c>
      <c r="F36" t="str">
        <f t="shared" si="0"/>
        <v>theta 0.5</v>
      </c>
    </row>
    <row r="37" spans="1:6">
      <c r="A37" t="s">
        <v>21</v>
      </c>
      <c r="B37">
        <v>192</v>
      </c>
      <c r="C37">
        <v>0.5</v>
      </c>
      <c r="D37">
        <v>819.28503000000001</v>
      </c>
      <c r="E37">
        <v>4400750.4029999999</v>
      </c>
      <c r="F37" t="str">
        <f t="shared" si="0"/>
        <v>theta 0.5</v>
      </c>
    </row>
    <row r="38" spans="1:6">
      <c r="A38" t="s">
        <v>23</v>
      </c>
      <c r="B38">
        <v>24</v>
      </c>
      <c r="C38">
        <v>0.9</v>
      </c>
      <c r="D38">
        <v>106.03766899999999</v>
      </c>
      <c r="E38">
        <v>533925.05220000003</v>
      </c>
      <c r="F38" t="str">
        <f t="shared" si="0"/>
        <v>theta 0.9</v>
      </c>
    </row>
    <row r="39" spans="1:6">
      <c r="A39" t="s">
        <v>22</v>
      </c>
      <c r="B39">
        <v>24</v>
      </c>
      <c r="C39">
        <v>0.9</v>
      </c>
      <c r="D39">
        <v>69.79589</v>
      </c>
      <c r="E39">
        <v>808002.07070000004</v>
      </c>
      <c r="F39" t="str">
        <f t="shared" si="0"/>
        <v>theta 0.9</v>
      </c>
    </row>
    <row r="40" spans="1:6">
      <c r="A40" t="s">
        <v>21</v>
      </c>
      <c r="B40">
        <v>24</v>
      </c>
      <c r="C40">
        <v>0.9</v>
      </c>
      <c r="D40">
        <v>62.134723000000001</v>
      </c>
      <c r="E40">
        <v>912984.00679999997</v>
      </c>
      <c r="F40" t="str">
        <f t="shared" si="0"/>
        <v>theta 0.9</v>
      </c>
    </row>
    <row r="41" spans="1:6">
      <c r="A41" t="s">
        <v>23</v>
      </c>
      <c r="B41">
        <v>48</v>
      </c>
      <c r="C41">
        <v>0.9</v>
      </c>
      <c r="D41">
        <v>1660.634231</v>
      </c>
      <c r="E41">
        <v>123893.1176</v>
      </c>
      <c r="F41" t="str">
        <f t="shared" si="0"/>
        <v>theta 0.9</v>
      </c>
    </row>
    <row r="42" spans="1:6">
      <c r="A42" t="s">
        <v>22</v>
      </c>
      <c r="B42">
        <v>48</v>
      </c>
      <c r="C42">
        <v>0.9</v>
      </c>
      <c r="D42">
        <v>1887.703346</v>
      </c>
      <c r="E42">
        <v>109604.55220000001</v>
      </c>
      <c r="F42" t="str">
        <f t="shared" si="0"/>
        <v>theta 0.9</v>
      </c>
    </row>
    <row r="43" spans="1:6">
      <c r="A43" t="s">
        <v>21</v>
      </c>
      <c r="B43">
        <v>48</v>
      </c>
      <c r="C43">
        <v>0.9</v>
      </c>
      <c r="D43">
        <v>1674.42066</v>
      </c>
      <c r="E43">
        <v>124869.1234</v>
      </c>
      <c r="F43" t="str">
        <f t="shared" si="0"/>
        <v>theta 0.9</v>
      </c>
    </row>
    <row r="44" spans="1:6">
      <c r="A44" t="s">
        <v>23</v>
      </c>
      <c r="B44">
        <v>96</v>
      </c>
      <c r="C44">
        <v>0.9</v>
      </c>
      <c r="D44">
        <v>99168.260590000005</v>
      </c>
      <c r="E44">
        <v>6765.083869</v>
      </c>
      <c r="F44" t="str">
        <f t="shared" si="0"/>
        <v>theta 0.9</v>
      </c>
    </row>
    <row r="45" spans="1:6">
      <c r="A45" t="s">
        <v>22</v>
      </c>
      <c r="B45">
        <v>96</v>
      </c>
      <c r="C45">
        <v>0.9</v>
      </c>
      <c r="D45">
        <v>121719.1219</v>
      </c>
      <c r="E45">
        <v>4988.2194879999997</v>
      </c>
      <c r="F45" t="str">
        <f t="shared" si="0"/>
        <v>theta 0.9</v>
      </c>
    </row>
    <row r="46" spans="1:6">
      <c r="A46" t="s">
        <v>21</v>
      </c>
      <c r="B46">
        <v>96</v>
      </c>
      <c r="C46">
        <v>0.9</v>
      </c>
      <c r="D46">
        <v>149950.45060000001</v>
      </c>
      <c r="E46">
        <v>4550.3479120000002</v>
      </c>
      <c r="F46" t="str">
        <f t="shared" si="0"/>
        <v>theta 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27</v>
      </c>
      <c r="B4" s="6" t="s">
        <v>18</v>
      </c>
      <c r="Z4" s="2"/>
    </row>
    <row r="5" spans="1:27">
      <c r="A5" s="6" t="s">
        <v>19</v>
      </c>
      <c r="B5" t="s">
        <v>24</v>
      </c>
      <c r="C5" t="s">
        <v>23</v>
      </c>
      <c r="D5" t="s">
        <v>22</v>
      </c>
      <c r="E5" t="s">
        <v>21</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28</v>
      </c>
      <c r="B4" s="6" t="s">
        <v>18</v>
      </c>
      <c r="Z4" s="2"/>
    </row>
    <row r="5" spans="1:27">
      <c r="A5" s="6" t="s">
        <v>19</v>
      </c>
      <c r="B5" t="s">
        <v>24</v>
      </c>
      <c r="C5" t="s">
        <v>23</v>
      </c>
      <c r="D5" t="s">
        <v>22</v>
      </c>
      <c r="E5" t="s">
        <v>21</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A83"/>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50</v>
      </c>
      <c r="Z2" s="2" t="s">
        <v>0</v>
      </c>
      <c r="AA2" t="s">
        <v>26</v>
      </c>
    </row>
    <row r="3" spans="1:27">
      <c r="Z3" s="2"/>
    </row>
    <row r="4" spans="1:27">
      <c r="A4" s="6" t="s">
        <v>47</v>
      </c>
      <c r="B4" s="6" t="s">
        <v>18</v>
      </c>
      <c r="Z4" s="2"/>
    </row>
    <row r="5" spans="1:27">
      <c r="A5" s="6" t="s">
        <v>19</v>
      </c>
      <c r="B5" t="s">
        <v>23</v>
      </c>
      <c r="C5" t="s">
        <v>22</v>
      </c>
      <c r="D5" t="s">
        <v>21</v>
      </c>
      <c r="Z5" s="2"/>
    </row>
    <row r="6" spans="1:27">
      <c r="A6" s="7">
        <v>24</v>
      </c>
      <c r="B6" s="8">
        <v>533925.05220000003</v>
      </c>
      <c r="C6" s="8">
        <v>808002.07070000004</v>
      </c>
      <c r="D6" s="8">
        <v>912984.00679999997</v>
      </c>
      <c r="N6" s="2"/>
    </row>
    <row r="7" spans="1:27">
      <c r="A7" s="7">
        <v>48</v>
      </c>
      <c r="B7" s="8">
        <v>123893.1176</v>
      </c>
      <c r="C7" s="8">
        <v>109604.55220000001</v>
      </c>
      <c r="D7" s="8">
        <v>124869.1234</v>
      </c>
    </row>
    <row r="8" spans="1:27">
      <c r="A8" s="7">
        <v>96</v>
      </c>
      <c r="B8" s="8">
        <v>6765.083869</v>
      </c>
      <c r="C8" s="8">
        <v>4988.2194879999997</v>
      </c>
      <c r="D8" s="8">
        <v>4550.3479120000002</v>
      </c>
      <c r="N8" s="2"/>
    </row>
    <row r="13" spans="1:27">
      <c r="O13" s="3"/>
    </row>
    <row r="14" spans="1:27">
      <c r="Z14" s="2"/>
    </row>
    <row r="20" spans="1:6">
      <c r="B20" t="s">
        <v>37</v>
      </c>
      <c r="C20" t="s">
        <v>39</v>
      </c>
      <c r="D20" t="s">
        <v>40</v>
      </c>
      <c r="E20" t="s">
        <v>40</v>
      </c>
      <c r="F20">
        <f t="shared" ref="F20" si="0">F5</f>
        <v>0</v>
      </c>
    </row>
    <row r="21" spans="1:6">
      <c r="A21">
        <f>A6</f>
        <v>24</v>
      </c>
      <c r="B21" s="8">
        <f t="shared" ref="B21:F21" si="1">B6</f>
        <v>533925.05220000003</v>
      </c>
      <c r="C21" s="8">
        <f t="shared" si="1"/>
        <v>808002.07070000004</v>
      </c>
      <c r="D21" s="8">
        <f t="shared" si="1"/>
        <v>912984.00679999997</v>
      </c>
      <c r="E21" s="8">
        <f t="shared" si="1"/>
        <v>0</v>
      </c>
      <c r="F21" s="8">
        <f t="shared" si="1"/>
        <v>0</v>
      </c>
    </row>
    <row r="22" spans="1:6">
      <c r="A22">
        <f t="shared" ref="A22:F25" si="2">A7</f>
        <v>48</v>
      </c>
      <c r="B22" s="8">
        <f t="shared" ref="B22:F22" si="3">B7</f>
        <v>123893.1176</v>
      </c>
      <c r="C22" s="8">
        <f t="shared" si="3"/>
        <v>109604.55220000001</v>
      </c>
      <c r="D22" s="8">
        <f t="shared" si="3"/>
        <v>124869.1234</v>
      </c>
      <c r="E22" s="8">
        <f t="shared" si="3"/>
        <v>0</v>
      </c>
      <c r="F22" s="8">
        <f t="shared" si="3"/>
        <v>0</v>
      </c>
    </row>
    <row r="23" spans="1:6">
      <c r="A23">
        <f t="shared" si="2"/>
        <v>96</v>
      </c>
      <c r="B23" s="8">
        <f t="shared" ref="B23:F23" si="4">B8</f>
        <v>6765.083869</v>
      </c>
      <c r="C23" s="8">
        <f t="shared" si="4"/>
        <v>4988.2194879999997</v>
      </c>
      <c r="D23" s="8">
        <f t="shared" si="4"/>
        <v>4550.3479120000002</v>
      </c>
      <c r="E23" s="8">
        <f t="shared" si="4"/>
        <v>0</v>
      </c>
      <c r="F23" s="8">
        <f t="shared" si="4"/>
        <v>0</v>
      </c>
    </row>
    <row r="24" spans="1:6">
      <c r="A24">
        <f t="shared" si="2"/>
        <v>0</v>
      </c>
      <c r="B24" s="8">
        <f t="shared" si="2"/>
        <v>0</v>
      </c>
      <c r="C24" s="8">
        <f t="shared" si="2"/>
        <v>0</v>
      </c>
      <c r="D24" s="8">
        <f t="shared" si="2"/>
        <v>0</v>
      </c>
      <c r="E24" s="8">
        <f t="shared" si="2"/>
        <v>0</v>
      </c>
      <c r="F24" s="8">
        <f t="shared" si="2"/>
        <v>0</v>
      </c>
    </row>
    <row r="25" spans="1:6">
      <c r="A25">
        <f t="shared" si="2"/>
        <v>0</v>
      </c>
      <c r="B25" s="8">
        <f t="shared" si="2"/>
        <v>0</v>
      </c>
      <c r="C25" s="8">
        <f t="shared" si="2"/>
        <v>0</v>
      </c>
      <c r="D25" s="8">
        <f t="shared" si="2"/>
        <v>0</v>
      </c>
      <c r="E25" s="8">
        <f t="shared" si="2"/>
        <v>0</v>
      </c>
      <c r="F25" s="8">
        <f t="shared" si="2"/>
        <v>0</v>
      </c>
    </row>
    <row r="36" spans="1:4">
      <c r="A36" s="6" t="s">
        <v>25</v>
      </c>
      <c r="B36" t="s">
        <v>50</v>
      </c>
    </row>
    <row r="38" spans="1:4">
      <c r="A38" s="6" t="s">
        <v>48</v>
      </c>
      <c r="B38" s="6" t="s">
        <v>18</v>
      </c>
    </row>
    <row r="39" spans="1:4">
      <c r="A39" s="6" t="s">
        <v>19</v>
      </c>
      <c r="B39" t="s">
        <v>23</v>
      </c>
      <c r="C39" t="s">
        <v>22</v>
      </c>
      <c r="D39" t="s">
        <v>21</v>
      </c>
    </row>
    <row r="40" spans="1:4">
      <c r="A40" s="7">
        <v>24</v>
      </c>
      <c r="B40" s="8">
        <v>533925.05220000003</v>
      </c>
      <c r="C40" s="8">
        <v>808002.07070000004</v>
      </c>
      <c r="D40" s="8">
        <v>912984.00679999997</v>
      </c>
    </row>
    <row r="41" spans="1:4">
      <c r="A41" s="7">
        <v>48</v>
      </c>
      <c r="B41" s="8">
        <v>123893.1176</v>
      </c>
      <c r="C41" s="8">
        <v>109604.55220000001</v>
      </c>
      <c r="D41" s="8">
        <v>124869.1234</v>
      </c>
    </row>
    <row r="42" spans="1:4">
      <c r="A42" s="7">
        <v>96</v>
      </c>
      <c r="B42" s="8">
        <v>6765.083869</v>
      </c>
      <c r="C42" s="8">
        <v>4988.2194879999997</v>
      </c>
      <c r="D42" s="8">
        <v>4550.3479120000002</v>
      </c>
    </row>
    <row r="50" spans="1:6">
      <c r="A50" t="str">
        <f>A39</f>
        <v>Row Labels</v>
      </c>
      <c r="B50" t="str">
        <f t="shared" ref="B50:E50" si="5">B39</f>
        <v>bronson_pext_bst_occ</v>
      </c>
      <c r="C50" t="str">
        <f t="shared" si="5"/>
        <v>brown_ext_abtree_lf</v>
      </c>
      <c r="D50" t="str">
        <f t="shared" si="5"/>
        <v>brown_ext_ist_lf</v>
      </c>
      <c r="E50">
        <f t="shared" si="5"/>
        <v>0</v>
      </c>
    </row>
    <row r="51" spans="1:6">
      <c r="A51">
        <f t="shared" ref="A51:A56" si="6">A40</f>
        <v>24</v>
      </c>
      <c r="B51" s="8">
        <f>B21-B40</f>
        <v>0</v>
      </c>
      <c r="C51" s="8">
        <f t="shared" ref="C51:E51" si="7">C21-C40</f>
        <v>0</v>
      </c>
      <c r="D51" s="8">
        <f t="shared" si="7"/>
        <v>0</v>
      </c>
      <c r="E51" s="8">
        <f t="shared" si="7"/>
        <v>0</v>
      </c>
    </row>
    <row r="52" spans="1:6">
      <c r="A52">
        <f t="shared" si="6"/>
        <v>48</v>
      </c>
      <c r="B52" s="8">
        <f t="shared" ref="B52:E56" si="8">B22-B41</f>
        <v>0</v>
      </c>
      <c r="C52" s="8">
        <f t="shared" si="8"/>
        <v>0</v>
      </c>
      <c r="D52" s="8">
        <f t="shared" si="8"/>
        <v>0</v>
      </c>
      <c r="E52" s="8">
        <f t="shared" si="8"/>
        <v>0</v>
      </c>
    </row>
    <row r="53" spans="1:6">
      <c r="A53">
        <f t="shared" si="6"/>
        <v>96</v>
      </c>
      <c r="B53" s="8">
        <f t="shared" si="8"/>
        <v>0</v>
      </c>
      <c r="C53" s="8">
        <f t="shared" si="8"/>
        <v>0</v>
      </c>
      <c r="D53" s="8">
        <f t="shared" si="8"/>
        <v>0</v>
      </c>
      <c r="E53" s="8">
        <f t="shared" si="8"/>
        <v>0</v>
      </c>
    </row>
    <row r="54" spans="1:6">
      <c r="A54">
        <f t="shared" si="6"/>
        <v>0</v>
      </c>
      <c r="B54" s="8">
        <f t="shared" si="8"/>
        <v>0</v>
      </c>
      <c r="C54" s="8">
        <f t="shared" si="8"/>
        <v>0</v>
      </c>
      <c r="D54" s="8">
        <f t="shared" si="8"/>
        <v>0</v>
      </c>
      <c r="E54" s="8">
        <f t="shared" si="8"/>
        <v>0</v>
      </c>
    </row>
    <row r="55" spans="1:6">
      <c r="A55">
        <f t="shared" si="6"/>
        <v>0</v>
      </c>
      <c r="B55" s="8">
        <f t="shared" si="8"/>
        <v>0</v>
      </c>
      <c r="C55" s="8">
        <f t="shared" si="8"/>
        <v>0</v>
      </c>
      <c r="D55" s="8">
        <f t="shared" si="8"/>
        <v>0</v>
      </c>
      <c r="E55" s="8">
        <f t="shared" si="8"/>
        <v>0</v>
      </c>
      <c r="F55" s="9"/>
    </row>
    <row r="56" spans="1:6">
      <c r="A56">
        <f t="shared" si="6"/>
        <v>0</v>
      </c>
      <c r="B56" s="8">
        <f t="shared" si="8"/>
        <v>0</v>
      </c>
      <c r="C56" s="8">
        <f t="shared" si="8"/>
        <v>0</v>
      </c>
      <c r="D56" s="8">
        <f t="shared" si="8"/>
        <v>0</v>
      </c>
      <c r="E56" s="8">
        <f t="shared" si="8"/>
        <v>0</v>
      </c>
    </row>
    <row r="63" spans="1:6">
      <c r="A63" s="6" t="s">
        <v>25</v>
      </c>
      <c r="B63" t="s">
        <v>50</v>
      </c>
    </row>
    <row r="65" spans="1:5">
      <c r="A65" s="6" t="s">
        <v>49</v>
      </c>
      <c r="B65" s="6" t="s">
        <v>18</v>
      </c>
    </row>
    <row r="66" spans="1:5">
      <c r="A66" s="6" t="s">
        <v>19</v>
      </c>
      <c r="B66" t="s">
        <v>23</v>
      </c>
      <c r="C66" t="s">
        <v>22</v>
      </c>
      <c r="D66" t="s">
        <v>21</v>
      </c>
    </row>
    <row r="67" spans="1:5">
      <c r="A67" s="7">
        <v>24</v>
      </c>
      <c r="B67" s="8">
        <v>533925.05220000003</v>
      </c>
      <c r="C67" s="8">
        <v>808002.07070000004</v>
      </c>
      <c r="D67" s="8">
        <v>912984.00679999997</v>
      </c>
    </row>
    <row r="68" spans="1:5">
      <c r="A68" s="7">
        <v>48</v>
      </c>
      <c r="B68" s="8">
        <v>123893.1176</v>
      </c>
      <c r="C68" s="8">
        <v>109604.55220000001</v>
      </c>
      <c r="D68" s="8">
        <v>124869.1234</v>
      </c>
    </row>
    <row r="69" spans="1:5">
      <c r="A69" s="7">
        <v>96</v>
      </c>
      <c r="B69" s="8">
        <v>6765.083869</v>
      </c>
      <c r="C69" s="8">
        <v>4988.2194879999997</v>
      </c>
      <c r="D69" s="8">
        <v>4550.3479120000002</v>
      </c>
    </row>
    <row r="77" spans="1:5">
      <c r="A77" t="str">
        <f>A66</f>
        <v>Row Labels</v>
      </c>
      <c r="B77" t="str">
        <f t="shared" ref="B77:E77" si="9">B66</f>
        <v>bronson_pext_bst_occ</v>
      </c>
      <c r="C77" t="str">
        <f t="shared" si="9"/>
        <v>brown_ext_abtree_lf</v>
      </c>
      <c r="D77" t="str">
        <f t="shared" si="9"/>
        <v>brown_ext_ist_lf</v>
      </c>
      <c r="E77">
        <f t="shared" si="9"/>
        <v>0</v>
      </c>
    </row>
    <row r="78" spans="1:5">
      <c r="A78">
        <f t="shared" ref="A78:A83" si="10">A67</f>
        <v>24</v>
      </c>
      <c r="B78" s="8">
        <f t="shared" ref="B78:D81" si="11">B67-B21</f>
        <v>0</v>
      </c>
      <c r="C78" s="8">
        <f t="shared" si="11"/>
        <v>0</v>
      </c>
      <c r="D78" s="8">
        <f t="shared" si="11"/>
        <v>0</v>
      </c>
      <c r="E78" s="8">
        <f t="shared" ref="E78:E81" si="12">E67-E21</f>
        <v>0</v>
      </c>
    </row>
    <row r="79" spans="1:5">
      <c r="A79">
        <f t="shared" si="10"/>
        <v>48</v>
      </c>
      <c r="B79" s="8">
        <f t="shared" si="11"/>
        <v>0</v>
      </c>
      <c r="C79" s="8">
        <f t="shared" si="11"/>
        <v>0</v>
      </c>
      <c r="D79" s="8">
        <f t="shared" si="11"/>
        <v>0</v>
      </c>
      <c r="E79" s="8">
        <f t="shared" si="12"/>
        <v>0</v>
      </c>
    </row>
    <row r="80" spans="1:5">
      <c r="A80">
        <f t="shared" si="10"/>
        <v>96</v>
      </c>
      <c r="B80" s="8">
        <f t="shared" si="11"/>
        <v>0</v>
      </c>
      <c r="C80" s="8">
        <f t="shared" si="11"/>
        <v>0</v>
      </c>
      <c r="D80" s="8">
        <f t="shared" si="11"/>
        <v>0</v>
      </c>
      <c r="E80" s="8">
        <f t="shared" si="12"/>
        <v>0</v>
      </c>
    </row>
    <row r="81" spans="1:5">
      <c r="A81">
        <f t="shared" si="10"/>
        <v>0</v>
      </c>
      <c r="B81" s="8">
        <f t="shared" si="11"/>
        <v>0</v>
      </c>
      <c r="C81" s="8">
        <f t="shared" si="11"/>
        <v>0</v>
      </c>
      <c r="D81" s="8">
        <f t="shared" si="11"/>
        <v>0</v>
      </c>
      <c r="E81" s="8">
        <f t="shared" si="12"/>
        <v>0</v>
      </c>
    </row>
    <row r="82" spans="1:5">
      <c r="A82">
        <f>A71</f>
        <v>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30</v>
      </c>
      <c r="B4" s="6" t="s">
        <v>18</v>
      </c>
      <c r="Z4" s="2"/>
    </row>
    <row r="5" spans="1:27">
      <c r="A5" s="6" t="s">
        <v>19</v>
      </c>
      <c r="B5" t="s">
        <v>24</v>
      </c>
      <c r="C5" t="s">
        <v>23</v>
      </c>
      <c r="D5" t="s">
        <v>22</v>
      </c>
      <c r="E5" t="s">
        <v>21</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31</v>
      </c>
      <c r="B4" s="6" t="s">
        <v>18</v>
      </c>
      <c r="Z4" s="2"/>
    </row>
    <row r="5" spans="1:27">
      <c r="A5" s="6" t="s">
        <v>19</v>
      </c>
      <c r="B5" t="s">
        <v>24</v>
      </c>
      <c r="C5" t="s">
        <v>23</v>
      </c>
      <c r="D5" t="s">
        <v>22</v>
      </c>
      <c r="E5" t="s">
        <v>21</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32</v>
      </c>
      <c r="O13" s="3"/>
    </row>
    <row r="14" spans="1:27">
      <c r="B14" t="s">
        <v>33</v>
      </c>
      <c r="Z14" s="2"/>
    </row>
    <row r="15" spans="1:27">
      <c r="B15" s="1" t="s">
        <v>34</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20</v>
      </c>
      <c r="B1" s="7">
        <v>190</v>
      </c>
      <c r="Z1" s="1" t="s">
        <v>8</v>
      </c>
    </row>
    <row r="2" spans="1:27">
      <c r="A2" s="6" t="s">
        <v>25</v>
      </c>
      <c r="B2" t="s">
        <v>41</v>
      </c>
      <c r="Z2" s="2" t="s">
        <v>0</v>
      </c>
      <c r="AA2" t="s">
        <v>26</v>
      </c>
    </row>
    <row r="3" spans="1:27">
      <c r="Z3" s="2"/>
    </row>
    <row r="4" spans="1:27">
      <c r="A4" s="6" t="s">
        <v>19</v>
      </c>
      <c r="B4" t="s">
        <v>28</v>
      </c>
      <c r="Z4" s="2"/>
    </row>
    <row r="5" spans="1:27">
      <c r="A5" s="7" t="s">
        <v>24</v>
      </c>
      <c r="B5" s="8">
        <v>8145.0468749999991</v>
      </c>
      <c r="Z5" s="2"/>
    </row>
    <row r="6" spans="1:27">
      <c r="A6" s="7" t="s">
        <v>23</v>
      </c>
      <c r="B6" s="8">
        <v>6879.2400000000016</v>
      </c>
      <c r="N6" s="2"/>
    </row>
    <row r="7" spans="1:27">
      <c r="A7" s="7" t="s">
        <v>22</v>
      </c>
      <c r="B7" s="8">
        <v>3704.1704166666673</v>
      </c>
    </row>
    <row r="8" spans="1:27">
      <c r="A8" s="7" t="s">
        <v>21</v>
      </c>
      <c r="B8" s="8">
        <v>3369.2206249999999</v>
      </c>
      <c r="N8" s="2"/>
    </row>
    <row r="13" spans="1:27">
      <c r="O13" s="3"/>
    </row>
    <row r="14" spans="1:27">
      <c r="Z14" s="2"/>
    </row>
    <row r="20" spans="1:6">
      <c r="A20" t="str">
        <f>A4</f>
        <v>Row Labels</v>
      </c>
      <c r="B20" t="s">
        <v>35</v>
      </c>
      <c r="C20" t="s">
        <v>36</v>
      </c>
      <c r="D20">
        <f t="shared" ref="D20:F20" si="0">D5</f>
        <v>0</v>
      </c>
      <c r="E20">
        <f t="shared" si="0"/>
        <v>0</v>
      </c>
      <c r="F20">
        <f t="shared" si="0"/>
        <v>0</v>
      </c>
    </row>
    <row r="21" spans="1:6">
      <c r="A21" t="s">
        <v>38</v>
      </c>
      <c r="B21" s="8">
        <f>B5-B45</f>
        <v>1326.6489583333305</v>
      </c>
      <c r="C21">
        <f t="shared" ref="C21:C24" si="1">B45</f>
        <v>6818.3979166666686</v>
      </c>
      <c r="D21" s="8">
        <f t="shared" ref="D21:F23" si="2">D6</f>
        <v>0</v>
      </c>
      <c r="E21" s="8">
        <f t="shared" si="2"/>
        <v>0</v>
      </c>
      <c r="F21" s="8">
        <f t="shared" si="2"/>
        <v>0</v>
      </c>
    </row>
    <row r="22" spans="1:6">
      <c r="A22" t="s">
        <v>37</v>
      </c>
      <c r="B22" s="8">
        <f t="shared" ref="B22:B25" si="3">B6-B46</f>
        <v>1465.978958333335</v>
      </c>
      <c r="C22">
        <f t="shared" si="1"/>
        <v>5413.2610416666666</v>
      </c>
      <c r="D22" s="8">
        <f t="shared" si="2"/>
        <v>0</v>
      </c>
      <c r="E22" s="8">
        <f t="shared" si="2"/>
        <v>0</v>
      </c>
      <c r="F22" s="8">
        <f t="shared" si="2"/>
        <v>0</v>
      </c>
    </row>
    <row r="23" spans="1:6">
      <c r="A23" t="s">
        <v>39</v>
      </c>
      <c r="B23" s="8">
        <f t="shared" si="3"/>
        <v>1192.0347291666667</v>
      </c>
      <c r="C23">
        <f t="shared" si="1"/>
        <v>2512.1356875000006</v>
      </c>
      <c r="D23" s="8">
        <f t="shared" si="2"/>
        <v>0</v>
      </c>
      <c r="E23" s="8">
        <f t="shared" si="2"/>
        <v>0</v>
      </c>
      <c r="F23" s="8">
        <f t="shared" si="2"/>
        <v>0</v>
      </c>
    </row>
    <row r="24" spans="1:6">
      <c r="A24" t="s">
        <v>40</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20</v>
      </c>
      <c r="B41" s="7">
        <v>190</v>
      </c>
    </row>
    <row r="42" spans="1:2">
      <c r="A42" s="6" t="s">
        <v>25</v>
      </c>
      <c r="B42" t="s">
        <v>41</v>
      </c>
    </row>
    <row r="44" spans="1:2">
      <c r="A44" s="6" t="s">
        <v>19</v>
      </c>
      <c r="B44" t="s">
        <v>29</v>
      </c>
    </row>
    <row r="45" spans="1:2">
      <c r="A45" s="7" t="s">
        <v>24</v>
      </c>
      <c r="B45" s="8">
        <v>6818.3979166666686</v>
      </c>
    </row>
    <row r="46" spans="1:2">
      <c r="A46" s="7" t="s">
        <v>23</v>
      </c>
      <c r="B46" s="8">
        <v>5413.2610416666666</v>
      </c>
    </row>
    <row r="47" spans="1:2">
      <c r="A47" s="7" t="s">
        <v>22</v>
      </c>
      <c r="B47" s="8">
        <v>2512.1356875000006</v>
      </c>
    </row>
    <row r="48" spans="1:2">
      <c r="A48" s="7" t="s">
        <v>21</v>
      </c>
      <c r="B48" s="8">
        <v>2433.5372083333332</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2019-08-07T01:55:23Z</dcterms:modified>
</cp:coreProperties>
</file>