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53222"/>
  <mc:AlternateContent xmlns:mc="http://schemas.openxmlformats.org/markup-compatibility/2006">
    <mc:Choice Requires="x15">
      <x15ac:absPath xmlns:x15ac="http://schemas.microsoft.com/office/spreadsheetml/2010/11/ac" url="C:\Users\t35brown\Documents\bitbucket\setbench\microbench\experiments\istree_exp5_numerical_stability_vs_time\"/>
    </mc:Choice>
  </mc:AlternateContent>
  <bookViews>
    <workbookView xWindow="0" yWindow="0" windowWidth="28054" windowHeight="11811" activeTab="2"/>
  </bookViews>
  <sheets>
    <sheet name="instructions" sheetId="3" r:id="rId1"/>
    <sheet name="data" sheetId="2" r:id="rId2"/>
    <sheet name="pivot" sheetId="1" r:id="rId3"/>
  </sheets>
  <functionGroups builtInGroupCount="18"/>
  <definedNames>
    <definedName name="_xlnm._FilterDatabase" localSheetId="1" hidden="1">data!$A$1:$BC$46</definedName>
    <definedName name="ExternalData_11" localSheetId="1">data!$A$1:$AP$1327</definedName>
    <definedName name="ExternalData_12" localSheetId="1">data!$A$1:$BB$28</definedName>
    <definedName name="ExternalData_13" localSheetId="1">data!$A$1:$BB$85</definedName>
  </definedNames>
  <calcPr calcId="162913"/>
  <pivotCaches>
    <pivotCache cacheId="510" r:id="rId4"/>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D61" i="1" l="1"/>
  <c r="AE61" i="1"/>
  <c r="AF61" i="1"/>
  <c r="AG61" i="1"/>
  <c r="AH61" i="1"/>
  <c r="AI61" i="1"/>
  <c r="AJ61" i="1"/>
  <c r="AD62" i="1"/>
  <c r="AE62" i="1"/>
  <c r="AF62" i="1"/>
  <c r="AG62" i="1"/>
  <c r="AH62" i="1"/>
  <c r="AI62" i="1"/>
  <c r="AJ62" i="1"/>
  <c r="AD63" i="1"/>
  <c r="AE63" i="1"/>
  <c r="AF63" i="1"/>
  <c r="AG63" i="1"/>
  <c r="AH63" i="1"/>
  <c r="AI63" i="1"/>
  <c r="AJ63" i="1"/>
  <c r="AE60" i="1"/>
  <c r="AF60" i="1"/>
  <c r="AG60" i="1"/>
  <c r="AH60" i="1"/>
  <c r="AI60" i="1"/>
  <c r="AJ60" i="1"/>
  <c r="AD60" i="1"/>
  <c r="B61" i="1"/>
  <c r="C61" i="1"/>
  <c r="D61" i="1"/>
  <c r="E61" i="1"/>
  <c r="F61" i="1"/>
  <c r="G61" i="1"/>
  <c r="H61" i="1"/>
  <c r="B62" i="1"/>
  <c r="C62" i="1"/>
  <c r="D62" i="1"/>
  <c r="E62" i="1"/>
  <c r="F62" i="1"/>
  <c r="G62" i="1"/>
  <c r="H62" i="1"/>
  <c r="B63" i="1"/>
  <c r="C63" i="1"/>
  <c r="D63" i="1"/>
  <c r="E63" i="1"/>
  <c r="F63" i="1"/>
  <c r="G63" i="1"/>
  <c r="H63" i="1"/>
  <c r="C60" i="1"/>
  <c r="D60" i="1"/>
  <c r="E60" i="1"/>
  <c r="F60" i="1"/>
  <c r="G60" i="1"/>
  <c r="H60" i="1"/>
  <c r="B60" i="1"/>
  <c r="AE50" i="1"/>
  <c r="C50" i="1"/>
  <c r="BC86" i="2"/>
  <c r="BD86" i="2"/>
  <c r="BC87" i="2"/>
  <c r="BD87" i="2"/>
  <c r="BC88" i="2"/>
  <c r="BD88" i="2"/>
  <c r="BC89" i="2"/>
  <c r="BD89" i="2"/>
  <c r="BC90" i="2"/>
  <c r="BD90" i="2"/>
  <c r="BC91" i="2"/>
  <c r="BD91" i="2"/>
  <c r="BC92" i="2"/>
  <c r="BD92" i="2"/>
  <c r="BC93" i="2"/>
  <c r="BD93" i="2"/>
  <c r="BC94" i="2"/>
  <c r="BD94" i="2"/>
  <c r="BC95" i="2"/>
  <c r="BD95" i="2"/>
  <c r="BC96" i="2"/>
  <c r="BD96" i="2"/>
  <c r="BC97" i="2"/>
  <c r="BD97" i="2"/>
  <c r="BC98" i="2"/>
  <c r="BD98" i="2"/>
  <c r="BC99" i="2"/>
  <c r="BD99" i="2"/>
  <c r="BC100" i="2"/>
  <c r="BD100" i="2"/>
  <c r="BC101" i="2"/>
  <c r="BD101" i="2"/>
  <c r="BC102" i="2"/>
  <c r="BD102" i="2"/>
  <c r="BC103" i="2"/>
  <c r="BD103" i="2"/>
  <c r="BC104" i="2"/>
  <c r="BD104" i="2"/>
  <c r="BC105" i="2"/>
  <c r="BD105" i="2"/>
  <c r="BC106" i="2"/>
  <c r="BD106" i="2"/>
  <c r="BC107" i="2"/>
  <c r="BD107" i="2"/>
  <c r="BC108" i="2"/>
  <c r="BD108" i="2"/>
  <c r="BC109" i="2"/>
  <c r="BD109" i="2"/>
  <c r="BC110" i="2"/>
  <c r="BD110" i="2"/>
  <c r="BC111" i="2"/>
  <c r="BD111" i="2"/>
  <c r="BC112" i="2"/>
  <c r="BD112" i="2"/>
  <c r="BC113" i="2"/>
  <c r="BD113" i="2"/>
  <c r="BC114" i="2"/>
  <c r="BD114" i="2"/>
  <c r="BC115" i="2"/>
  <c r="BD115" i="2"/>
  <c r="BC116" i="2"/>
  <c r="BD116" i="2"/>
  <c r="BC117" i="2"/>
  <c r="BD117" i="2"/>
  <c r="BC118" i="2"/>
  <c r="BD118" i="2"/>
  <c r="BC119" i="2"/>
  <c r="BD119" i="2"/>
  <c r="BC120" i="2"/>
  <c r="BD120" i="2"/>
  <c r="BC121" i="2"/>
  <c r="BD121" i="2"/>
  <c r="BC122" i="2"/>
  <c r="BD122" i="2"/>
  <c r="BC123" i="2"/>
  <c r="BD123" i="2"/>
  <c r="BC124" i="2"/>
  <c r="BD124" i="2"/>
  <c r="BC125" i="2"/>
  <c r="BD125" i="2"/>
  <c r="BC126" i="2"/>
  <c r="BD126" i="2"/>
  <c r="BC127" i="2"/>
  <c r="BD127" i="2"/>
  <c r="BC128" i="2"/>
  <c r="BD128" i="2"/>
  <c r="BC129" i="2"/>
  <c r="BD129" i="2"/>
  <c r="BC130" i="2"/>
  <c r="BD130" i="2"/>
  <c r="BC131" i="2"/>
  <c r="BD131" i="2"/>
  <c r="BC132" i="2"/>
  <c r="BD132" i="2"/>
  <c r="BC133" i="2"/>
  <c r="BD133" i="2"/>
  <c r="BC134" i="2"/>
  <c r="BD134" i="2"/>
  <c r="BC135" i="2"/>
  <c r="BD135" i="2"/>
  <c r="BC136" i="2"/>
  <c r="BD136" i="2"/>
  <c r="BC137" i="2"/>
  <c r="BD137" i="2"/>
  <c r="BC138" i="2"/>
  <c r="BD138" i="2"/>
  <c r="BC139" i="2"/>
  <c r="BD139" i="2"/>
  <c r="BC140" i="2"/>
  <c r="BD140" i="2"/>
  <c r="BC141" i="2"/>
  <c r="BD141" i="2"/>
  <c r="BC142" i="2"/>
  <c r="BD142" i="2"/>
  <c r="BC143" i="2"/>
  <c r="BD143" i="2"/>
  <c r="BC144" i="2"/>
  <c r="BD144" i="2"/>
  <c r="BC145" i="2"/>
  <c r="BD145" i="2"/>
  <c r="BC146" i="2"/>
  <c r="BD146" i="2"/>
  <c r="BC147" i="2"/>
  <c r="BD147" i="2"/>
  <c r="BC148" i="2"/>
  <c r="BD148" i="2"/>
  <c r="BC149" i="2"/>
  <c r="BD149" i="2"/>
  <c r="BC150" i="2"/>
  <c r="BD150" i="2"/>
  <c r="BC151" i="2"/>
  <c r="BD151" i="2"/>
  <c r="BC152" i="2"/>
  <c r="BD152" i="2"/>
  <c r="BC153" i="2"/>
  <c r="BD153" i="2"/>
  <c r="BC154" i="2"/>
  <c r="BD154" i="2"/>
  <c r="BC155" i="2"/>
  <c r="BD155" i="2"/>
  <c r="BC156" i="2"/>
  <c r="BD156" i="2"/>
  <c r="BC157" i="2"/>
  <c r="BD157" i="2"/>
  <c r="BC158" i="2"/>
  <c r="BD158" i="2"/>
  <c r="BC159" i="2"/>
  <c r="BD159" i="2"/>
  <c r="BC160" i="2"/>
  <c r="BD160" i="2"/>
  <c r="BC161" i="2"/>
  <c r="BD161" i="2"/>
  <c r="BC162" i="2"/>
  <c r="BD162" i="2"/>
  <c r="BC163" i="2"/>
  <c r="BD163" i="2"/>
  <c r="BC164" i="2"/>
  <c r="BD164" i="2"/>
  <c r="BC165" i="2"/>
  <c r="BD165" i="2"/>
  <c r="BC166" i="2"/>
  <c r="BD166" i="2"/>
  <c r="BC167" i="2"/>
  <c r="BD167" i="2"/>
  <c r="BC168" i="2"/>
  <c r="BD168" i="2"/>
  <c r="BC169" i="2"/>
  <c r="BD169" i="2"/>
  <c r="BC170" i="2"/>
  <c r="BD170" i="2"/>
  <c r="BC171" i="2"/>
  <c r="BD171" i="2"/>
  <c r="BC172" i="2"/>
  <c r="BD172" i="2"/>
  <c r="BC173" i="2"/>
  <c r="BD173" i="2"/>
  <c r="BC174" i="2"/>
  <c r="BD174" i="2"/>
  <c r="BC175" i="2"/>
  <c r="BD175" i="2"/>
  <c r="BC176" i="2"/>
  <c r="BD176" i="2"/>
  <c r="BC177" i="2"/>
  <c r="BD177" i="2"/>
  <c r="BC178" i="2"/>
  <c r="BD178" i="2"/>
  <c r="BC179" i="2"/>
  <c r="BD179" i="2"/>
  <c r="BC180" i="2"/>
  <c r="BD180" i="2"/>
  <c r="BC181" i="2"/>
  <c r="BD181" i="2"/>
  <c r="BC182" i="2"/>
  <c r="BD182" i="2"/>
  <c r="BC183" i="2"/>
  <c r="BD183" i="2"/>
  <c r="BC184" i="2"/>
  <c r="BD184" i="2"/>
  <c r="BC185" i="2"/>
  <c r="BD185" i="2"/>
  <c r="BC186" i="2"/>
  <c r="BD186" i="2"/>
  <c r="BC187" i="2"/>
  <c r="BD187" i="2"/>
  <c r="BC188" i="2"/>
  <c r="BD188" i="2"/>
  <c r="BC189" i="2"/>
  <c r="BD189" i="2"/>
  <c r="BC190" i="2"/>
  <c r="BD190" i="2"/>
  <c r="BC191" i="2"/>
  <c r="BD191" i="2"/>
  <c r="BC192" i="2"/>
  <c r="BD192" i="2"/>
  <c r="BC193" i="2"/>
  <c r="BD193" i="2"/>
  <c r="BC194" i="2"/>
  <c r="BD194" i="2"/>
  <c r="BC195" i="2"/>
  <c r="BD195" i="2"/>
  <c r="BC196" i="2"/>
  <c r="BD196" i="2"/>
  <c r="BC197" i="2"/>
  <c r="BD197" i="2"/>
  <c r="BC198" i="2"/>
  <c r="BD198" i="2"/>
  <c r="BC199" i="2"/>
  <c r="BD199" i="2"/>
  <c r="BC200" i="2"/>
  <c r="BD200" i="2"/>
  <c r="BC201" i="2"/>
  <c r="BD201" i="2"/>
  <c r="BC202" i="2"/>
  <c r="BD202" i="2"/>
  <c r="BC203" i="2"/>
  <c r="BD203" i="2"/>
  <c r="BC204" i="2"/>
  <c r="BD204" i="2"/>
  <c r="BC205" i="2"/>
  <c r="BD205" i="2"/>
  <c r="BC206" i="2"/>
  <c r="BD206" i="2"/>
  <c r="BC207" i="2"/>
  <c r="BD207" i="2"/>
  <c r="BC208" i="2"/>
  <c r="BD208" i="2"/>
  <c r="BC209" i="2"/>
  <c r="BD209" i="2"/>
  <c r="BC210" i="2"/>
  <c r="BD210" i="2"/>
  <c r="BC211" i="2"/>
  <c r="BD211" i="2"/>
  <c r="BC212" i="2"/>
  <c r="BD212" i="2"/>
  <c r="BC213" i="2"/>
  <c r="BD213" i="2"/>
  <c r="BC214" i="2"/>
  <c r="BD214" i="2"/>
  <c r="BC215" i="2"/>
  <c r="BD215" i="2"/>
  <c r="BC216" i="2"/>
  <c r="BD216" i="2"/>
  <c r="BC217" i="2"/>
  <c r="BD217" i="2"/>
  <c r="BC218" i="2"/>
  <c r="BD218" i="2"/>
  <c r="BC219" i="2"/>
  <c r="BD219" i="2"/>
  <c r="BC220" i="2"/>
  <c r="BD220" i="2"/>
  <c r="BC221" i="2"/>
  <c r="BD221" i="2"/>
  <c r="BC222" i="2"/>
  <c r="BD222" i="2"/>
  <c r="BC223" i="2"/>
  <c r="BD223" i="2"/>
  <c r="BC224" i="2"/>
  <c r="BD224" i="2"/>
  <c r="BC225" i="2"/>
  <c r="BD225" i="2"/>
  <c r="BC226" i="2"/>
  <c r="BD226" i="2"/>
  <c r="BC227" i="2"/>
  <c r="BD227" i="2"/>
  <c r="BC228" i="2"/>
  <c r="BD228" i="2"/>
  <c r="BC229" i="2"/>
  <c r="BD229" i="2"/>
  <c r="BC230" i="2"/>
  <c r="BD230" i="2"/>
  <c r="BC231" i="2"/>
  <c r="BD231" i="2"/>
  <c r="BC232" i="2"/>
  <c r="BD232" i="2"/>
  <c r="BC233" i="2"/>
  <c r="BD233" i="2"/>
  <c r="BC234" i="2"/>
  <c r="BD234" i="2"/>
  <c r="BC235" i="2"/>
  <c r="BD235" i="2"/>
  <c r="BC236" i="2"/>
  <c r="BD236" i="2"/>
  <c r="BC237" i="2"/>
  <c r="BD237" i="2"/>
  <c r="BC238" i="2"/>
  <c r="BD238" i="2"/>
  <c r="BC239" i="2"/>
  <c r="BD239" i="2"/>
  <c r="BC240" i="2"/>
  <c r="BD240" i="2"/>
  <c r="BC241" i="2"/>
  <c r="BD241" i="2"/>
  <c r="BC242" i="2"/>
  <c r="BD242" i="2"/>
  <c r="BC243" i="2"/>
  <c r="BD243" i="2"/>
  <c r="BC244" i="2"/>
  <c r="BD244" i="2"/>
  <c r="BC245" i="2"/>
  <c r="BD245" i="2"/>
  <c r="BC246" i="2"/>
  <c r="BD246" i="2"/>
  <c r="BC247" i="2"/>
  <c r="BD247" i="2"/>
  <c r="BC248" i="2"/>
  <c r="BD248" i="2"/>
  <c r="BC249" i="2"/>
  <c r="BD249" i="2"/>
  <c r="BC250" i="2"/>
  <c r="BD250" i="2"/>
  <c r="BC251" i="2"/>
  <c r="BD251" i="2"/>
  <c r="BC252" i="2"/>
  <c r="BD252" i="2"/>
  <c r="BC253" i="2"/>
  <c r="BD253" i="2"/>
  <c r="BC254" i="2"/>
  <c r="BD254" i="2"/>
  <c r="BC255" i="2"/>
  <c r="BD255" i="2"/>
  <c r="BC256" i="2"/>
  <c r="BD256" i="2"/>
  <c r="BC257" i="2"/>
  <c r="BD257" i="2"/>
  <c r="BC258" i="2"/>
  <c r="BD258" i="2"/>
  <c r="BC259" i="2"/>
  <c r="BD259" i="2"/>
  <c r="BC260" i="2"/>
  <c r="BD260" i="2"/>
  <c r="BC261" i="2"/>
  <c r="BD261" i="2"/>
  <c r="BC262" i="2"/>
  <c r="BD262" i="2"/>
  <c r="BC263" i="2"/>
  <c r="BD263" i="2"/>
  <c r="BC264" i="2"/>
  <c r="BD264" i="2"/>
  <c r="BC265" i="2"/>
  <c r="BD265" i="2"/>
  <c r="BC266" i="2"/>
  <c r="BD266" i="2"/>
  <c r="BC267" i="2"/>
  <c r="BD267" i="2"/>
  <c r="BC268" i="2"/>
  <c r="BD268" i="2"/>
  <c r="BC269" i="2"/>
  <c r="BD269" i="2"/>
  <c r="BC270" i="2"/>
  <c r="BD270" i="2"/>
  <c r="BC271" i="2"/>
  <c r="BD271" i="2"/>
  <c r="BC272" i="2"/>
  <c r="BD272" i="2"/>
  <c r="BC273" i="2"/>
  <c r="BD273" i="2"/>
  <c r="BC274" i="2"/>
  <c r="BD274" i="2"/>
  <c r="BC275" i="2"/>
  <c r="BD275" i="2"/>
  <c r="BC276" i="2"/>
  <c r="BD276" i="2"/>
  <c r="BC277" i="2"/>
  <c r="BD277" i="2"/>
  <c r="BC278" i="2"/>
  <c r="BD278" i="2"/>
  <c r="BC279" i="2"/>
  <c r="BD279" i="2"/>
  <c r="BC280" i="2"/>
  <c r="BD280" i="2"/>
  <c r="BC281" i="2"/>
  <c r="BD281" i="2"/>
  <c r="BC282" i="2"/>
  <c r="BD282" i="2"/>
  <c r="BC283" i="2"/>
  <c r="BD283" i="2"/>
  <c r="BC284" i="2"/>
  <c r="BD284" i="2"/>
  <c r="BC285" i="2"/>
  <c r="BD285" i="2"/>
  <c r="BC286" i="2"/>
  <c r="BD286" i="2"/>
  <c r="BC287" i="2"/>
  <c r="BD287" i="2"/>
  <c r="BC288" i="2"/>
  <c r="BD288" i="2"/>
  <c r="BC289" i="2"/>
  <c r="BD289" i="2"/>
  <c r="BC290" i="2"/>
  <c r="BD290" i="2"/>
  <c r="BC291" i="2"/>
  <c r="BD291" i="2"/>
  <c r="BC292" i="2"/>
  <c r="BD292" i="2"/>
  <c r="BC293" i="2"/>
  <c r="BD293" i="2"/>
  <c r="BC294" i="2"/>
  <c r="BD294" i="2"/>
  <c r="BC295" i="2"/>
  <c r="BD295" i="2"/>
  <c r="BC296" i="2"/>
  <c r="BD296" i="2"/>
  <c r="BC297" i="2"/>
  <c r="BD297" i="2"/>
  <c r="BC298" i="2"/>
  <c r="BD298" i="2"/>
  <c r="BC299" i="2"/>
  <c r="BD299" i="2"/>
  <c r="BC300" i="2"/>
  <c r="BD300" i="2"/>
  <c r="BC301" i="2"/>
  <c r="BD301" i="2"/>
  <c r="BC302" i="2"/>
  <c r="BD302" i="2"/>
  <c r="BC303" i="2"/>
  <c r="BD303" i="2"/>
  <c r="BC304" i="2"/>
  <c r="BD304" i="2"/>
  <c r="BC305" i="2"/>
  <c r="BD305" i="2"/>
  <c r="BC306" i="2"/>
  <c r="BD306" i="2"/>
  <c r="BC307" i="2"/>
  <c r="BD307" i="2"/>
  <c r="BC308" i="2"/>
  <c r="BD308" i="2"/>
  <c r="BC309" i="2"/>
  <c r="BD309" i="2"/>
  <c r="BC310" i="2"/>
  <c r="BD310" i="2"/>
  <c r="BC311" i="2"/>
  <c r="BD311" i="2"/>
  <c r="BC312" i="2"/>
  <c r="BD312" i="2"/>
  <c r="BC313" i="2"/>
  <c r="BD313" i="2"/>
  <c r="BC314" i="2"/>
  <c r="BD314" i="2"/>
  <c r="BC315" i="2"/>
  <c r="BD315" i="2"/>
  <c r="BC316" i="2"/>
  <c r="BD316" i="2"/>
  <c r="BC317" i="2"/>
  <c r="BD317" i="2"/>
  <c r="BC318" i="2"/>
  <c r="BD318" i="2"/>
  <c r="BC319" i="2"/>
  <c r="BD319" i="2"/>
  <c r="BC320" i="2"/>
  <c r="BD320" i="2"/>
  <c r="BC321" i="2"/>
  <c r="BD321" i="2"/>
  <c r="BC322" i="2"/>
  <c r="BD322" i="2"/>
  <c r="BC323" i="2"/>
  <c r="BD323" i="2"/>
  <c r="BC324" i="2"/>
  <c r="BD324" i="2"/>
  <c r="BC325" i="2"/>
  <c r="BD325" i="2"/>
  <c r="BC326" i="2"/>
  <c r="BD326" i="2"/>
  <c r="BC327" i="2"/>
  <c r="BD327" i="2"/>
  <c r="BC328" i="2"/>
  <c r="BD328" i="2"/>
  <c r="BC329" i="2"/>
  <c r="BD329" i="2"/>
  <c r="BC330" i="2"/>
  <c r="BD330" i="2"/>
  <c r="BC331" i="2"/>
  <c r="BD331" i="2"/>
  <c r="BC332" i="2"/>
  <c r="BD332" i="2"/>
  <c r="BC333" i="2"/>
  <c r="BD333" i="2"/>
  <c r="BC334" i="2"/>
  <c r="BD334" i="2"/>
  <c r="BC335" i="2"/>
  <c r="BD335" i="2"/>
  <c r="BC336" i="2"/>
  <c r="BD336" i="2"/>
  <c r="BC337" i="2"/>
  <c r="BD337" i="2"/>
  <c r="BC338" i="2"/>
  <c r="BD338" i="2"/>
  <c r="BC339" i="2"/>
  <c r="BD339" i="2"/>
  <c r="BC340" i="2"/>
  <c r="BD340" i="2"/>
  <c r="BC341" i="2"/>
  <c r="BD341" i="2"/>
  <c r="BC342" i="2"/>
  <c r="BD342" i="2"/>
  <c r="BC343" i="2"/>
  <c r="BD343" i="2"/>
  <c r="BC344" i="2"/>
  <c r="BD344" i="2"/>
  <c r="BC345" i="2"/>
  <c r="BD345" i="2"/>
  <c r="BC346" i="2"/>
  <c r="BD346" i="2"/>
  <c r="BC347" i="2"/>
  <c r="BD347" i="2"/>
  <c r="BC348" i="2"/>
  <c r="BD348" i="2"/>
  <c r="BC349" i="2"/>
  <c r="BD349" i="2"/>
  <c r="BC350" i="2"/>
  <c r="BD350" i="2"/>
  <c r="BC351" i="2"/>
  <c r="BD351" i="2"/>
  <c r="BC352" i="2"/>
  <c r="BD352" i="2"/>
  <c r="BC353" i="2"/>
  <c r="BD353" i="2"/>
  <c r="BC354" i="2"/>
  <c r="BD354" i="2"/>
  <c r="BC355" i="2"/>
  <c r="BD355" i="2"/>
  <c r="BC356" i="2"/>
  <c r="BD356" i="2"/>
  <c r="BC357" i="2"/>
  <c r="BD357" i="2"/>
  <c r="BC358" i="2"/>
  <c r="BD358" i="2"/>
  <c r="BC359" i="2"/>
  <c r="BD359" i="2"/>
  <c r="BC360" i="2"/>
  <c r="BD360" i="2"/>
  <c r="BC361" i="2"/>
  <c r="BD361" i="2"/>
  <c r="BC362" i="2"/>
  <c r="BD362" i="2"/>
  <c r="BC363" i="2"/>
  <c r="BD363" i="2"/>
  <c r="BC364" i="2"/>
  <c r="BD364" i="2"/>
  <c r="BC365" i="2"/>
  <c r="BD365" i="2"/>
  <c r="BC366" i="2"/>
  <c r="BD366" i="2"/>
  <c r="BC367" i="2"/>
  <c r="BD367" i="2"/>
  <c r="BC368" i="2"/>
  <c r="BD368" i="2"/>
  <c r="BC369" i="2"/>
  <c r="BD369" i="2"/>
  <c r="BC370" i="2"/>
  <c r="BD370" i="2"/>
  <c r="BC371" i="2"/>
  <c r="BD371" i="2"/>
  <c r="BC372" i="2"/>
  <c r="BD372" i="2"/>
  <c r="BC373" i="2"/>
  <c r="BD373" i="2"/>
  <c r="BC374" i="2"/>
  <c r="BD374" i="2"/>
  <c r="BC375" i="2"/>
  <c r="BD375" i="2"/>
  <c r="BC376" i="2"/>
  <c r="BD376" i="2"/>
  <c r="BC377" i="2"/>
  <c r="BD377" i="2"/>
  <c r="BC378" i="2"/>
  <c r="BD378" i="2"/>
  <c r="BC379" i="2"/>
  <c r="BD379" i="2"/>
  <c r="BC380" i="2"/>
  <c r="BD380" i="2"/>
  <c r="BC381" i="2"/>
  <c r="BD381" i="2"/>
  <c r="BC382" i="2"/>
  <c r="BD382" i="2"/>
  <c r="BC383" i="2"/>
  <c r="BD383" i="2"/>
  <c r="BC384" i="2"/>
  <c r="BD384" i="2"/>
  <c r="BC385" i="2"/>
  <c r="BD385" i="2"/>
  <c r="BC386" i="2"/>
  <c r="BD386" i="2"/>
  <c r="BC387" i="2"/>
  <c r="BD387" i="2"/>
  <c r="BC388" i="2"/>
  <c r="BD388" i="2"/>
  <c r="BC389" i="2"/>
  <c r="BD389" i="2"/>
  <c r="BC390" i="2"/>
  <c r="BD390" i="2"/>
  <c r="BC391" i="2"/>
  <c r="BD391" i="2"/>
  <c r="BC392" i="2"/>
  <c r="BD392" i="2"/>
  <c r="BC393" i="2"/>
  <c r="BD393" i="2"/>
  <c r="BC394" i="2"/>
  <c r="BD394" i="2"/>
  <c r="BC395" i="2"/>
  <c r="BD395" i="2"/>
  <c r="BC396" i="2"/>
  <c r="BD396" i="2"/>
  <c r="BC397" i="2"/>
  <c r="BD397" i="2"/>
  <c r="BC398" i="2"/>
  <c r="BD398" i="2"/>
  <c r="BC399" i="2"/>
  <c r="BD399" i="2"/>
  <c r="BC400" i="2"/>
  <c r="BD400" i="2"/>
  <c r="BC401" i="2"/>
  <c r="BD401" i="2"/>
  <c r="BC402" i="2"/>
  <c r="BD402" i="2"/>
  <c r="BC403" i="2"/>
  <c r="BD403" i="2"/>
  <c r="BC404" i="2"/>
  <c r="BD404" i="2"/>
  <c r="BC405" i="2"/>
  <c r="BD405" i="2"/>
  <c r="BC406" i="2"/>
  <c r="BD406" i="2"/>
  <c r="BC407" i="2"/>
  <c r="BD407" i="2"/>
  <c r="BC408" i="2"/>
  <c r="BD408" i="2"/>
  <c r="BC409" i="2"/>
  <c r="BD409" i="2"/>
  <c r="BC410" i="2"/>
  <c r="BD410" i="2"/>
  <c r="BC411" i="2"/>
  <c r="BD411" i="2"/>
  <c r="BC412" i="2"/>
  <c r="BD412" i="2"/>
  <c r="BC413" i="2"/>
  <c r="BD413" i="2"/>
  <c r="BC414" i="2"/>
  <c r="BD414" i="2"/>
  <c r="BC415" i="2"/>
  <c r="BD415" i="2"/>
  <c r="BC416" i="2"/>
  <c r="BD416" i="2"/>
  <c r="BC417" i="2"/>
  <c r="BD417" i="2"/>
  <c r="BC418" i="2"/>
  <c r="BD418" i="2"/>
  <c r="BC419" i="2"/>
  <c r="BD419" i="2"/>
  <c r="BC420" i="2"/>
  <c r="BD420" i="2"/>
  <c r="BC421" i="2"/>
  <c r="BD421" i="2"/>
  <c r="BC422" i="2"/>
  <c r="BD422" i="2"/>
  <c r="BC423" i="2"/>
  <c r="BD423" i="2"/>
  <c r="BC424" i="2"/>
  <c r="BD424" i="2"/>
  <c r="BC425" i="2"/>
  <c r="BD425" i="2"/>
  <c r="BC426" i="2"/>
  <c r="BD426" i="2"/>
  <c r="BC427" i="2"/>
  <c r="BD427" i="2"/>
  <c r="BC428" i="2"/>
  <c r="BD428" i="2"/>
  <c r="BC429" i="2"/>
  <c r="BD429" i="2"/>
  <c r="BC430" i="2"/>
  <c r="BD430" i="2"/>
  <c r="BC431" i="2"/>
  <c r="BD431" i="2"/>
  <c r="BC432" i="2"/>
  <c r="BD432" i="2"/>
  <c r="BC433" i="2"/>
  <c r="BD433" i="2"/>
  <c r="BC434" i="2"/>
  <c r="BD434" i="2"/>
  <c r="BC435" i="2"/>
  <c r="BD435" i="2"/>
  <c r="BC436" i="2"/>
  <c r="BD436" i="2"/>
  <c r="BC437" i="2"/>
  <c r="BD437" i="2"/>
  <c r="BC438" i="2"/>
  <c r="BD438" i="2"/>
  <c r="BC439" i="2"/>
  <c r="BD439" i="2"/>
  <c r="BC440" i="2"/>
  <c r="BD440" i="2"/>
  <c r="BC441" i="2"/>
  <c r="BD441" i="2"/>
  <c r="BC442" i="2"/>
  <c r="BD442" i="2"/>
  <c r="BC443" i="2"/>
  <c r="BD443" i="2"/>
  <c r="BC444" i="2"/>
  <c r="BD444" i="2"/>
  <c r="BC445" i="2"/>
  <c r="BD445" i="2"/>
  <c r="BC446" i="2"/>
  <c r="BD446" i="2"/>
  <c r="BC447" i="2"/>
  <c r="BD447" i="2"/>
  <c r="BC448" i="2"/>
  <c r="BD448" i="2"/>
  <c r="BC449" i="2"/>
  <c r="BD449" i="2"/>
  <c r="BC450" i="2"/>
  <c r="BD450" i="2"/>
  <c r="BC451" i="2"/>
  <c r="BD451" i="2"/>
  <c r="BC452" i="2"/>
  <c r="BD452" i="2"/>
  <c r="BC453" i="2"/>
  <c r="BD453" i="2"/>
  <c r="BC454" i="2"/>
  <c r="BD454" i="2"/>
  <c r="BC455" i="2"/>
  <c r="BD455" i="2"/>
  <c r="BC456" i="2"/>
  <c r="BD456" i="2"/>
  <c r="BC457" i="2"/>
  <c r="BD457" i="2"/>
  <c r="BC458" i="2"/>
  <c r="BD458" i="2"/>
  <c r="BC459" i="2"/>
  <c r="BD459" i="2"/>
  <c r="BC460" i="2"/>
  <c r="BD460" i="2"/>
  <c r="BC461" i="2"/>
  <c r="BD461" i="2"/>
  <c r="BC462" i="2"/>
  <c r="BD462" i="2"/>
  <c r="BC463" i="2"/>
  <c r="BD463" i="2"/>
  <c r="BC464" i="2"/>
  <c r="BD464" i="2"/>
  <c r="BC465" i="2"/>
  <c r="BD465" i="2"/>
  <c r="BC466" i="2"/>
  <c r="BD466" i="2"/>
  <c r="BC467" i="2"/>
  <c r="BD467" i="2"/>
  <c r="BC468" i="2"/>
  <c r="BD468" i="2"/>
  <c r="BC469" i="2"/>
  <c r="BD469" i="2"/>
  <c r="BC470" i="2"/>
  <c r="BD470" i="2"/>
  <c r="BC471" i="2"/>
  <c r="BD471" i="2"/>
  <c r="BC472" i="2"/>
  <c r="BD472" i="2"/>
  <c r="BC473" i="2"/>
  <c r="BD473" i="2"/>
  <c r="BC474" i="2"/>
  <c r="BD474" i="2"/>
  <c r="BC475" i="2"/>
  <c r="BD475" i="2"/>
  <c r="BC476" i="2"/>
  <c r="BD476" i="2"/>
  <c r="BC477" i="2"/>
  <c r="BD477" i="2"/>
  <c r="BC478" i="2"/>
  <c r="BD478" i="2"/>
  <c r="BC479" i="2"/>
  <c r="BD479" i="2"/>
  <c r="BC480" i="2"/>
  <c r="BD480" i="2"/>
  <c r="BC481" i="2"/>
  <c r="BD481" i="2"/>
  <c r="BC482" i="2"/>
  <c r="BD482" i="2"/>
  <c r="BC483" i="2"/>
  <c r="BD483" i="2"/>
  <c r="BC484" i="2"/>
  <c r="BD484" i="2"/>
  <c r="BC485" i="2"/>
  <c r="BD485" i="2"/>
  <c r="BC486" i="2"/>
  <c r="BD486" i="2"/>
  <c r="BC487" i="2"/>
  <c r="BD487" i="2"/>
  <c r="BC488" i="2"/>
  <c r="BD488" i="2"/>
  <c r="BC489" i="2"/>
  <c r="BD489" i="2"/>
  <c r="BC490" i="2"/>
  <c r="BD490" i="2"/>
  <c r="BC491" i="2"/>
  <c r="BD491" i="2"/>
  <c r="BC492" i="2"/>
  <c r="BD492" i="2"/>
  <c r="BC493" i="2"/>
  <c r="BD493" i="2"/>
  <c r="BC494" i="2"/>
  <c r="BD494" i="2"/>
  <c r="BC495" i="2"/>
  <c r="BD495" i="2"/>
  <c r="BC496" i="2"/>
  <c r="BD496" i="2"/>
  <c r="BC497" i="2"/>
  <c r="BD497" i="2"/>
  <c r="BC498" i="2"/>
  <c r="BD498" i="2"/>
  <c r="BC499" i="2"/>
  <c r="BD499" i="2"/>
  <c r="BC500" i="2"/>
  <c r="BD500" i="2"/>
  <c r="BC501" i="2"/>
  <c r="BD501" i="2"/>
  <c r="BC502" i="2"/>
  <c r="BD502" i="2"/>
  <c r="BC503" i="2"/>
  <c r="BD503" i="2"/>
  <c r="BC504" i="2"/>
  <c r="BD504" i="2"/>
  <c r="BC505" i="2"/>
  <c r="BD505" i="2"/>
  <c r="BC506" i="2"/>
  <c r="BD506" i="2"/>
  <c r="BC507" i="2"/>
  <c r="BD507" i="2"/>
  <c r="BC508" i="2"/>
  <c r="BD508" i="2"/>
  <c r="BC509" i="2"/>
  <c r="BD509" i="2"/>
  <c r="BC510" i="2"/>
  <c r="BD510" i="2"/>
  <c r="BC511" i="2"/>
  <c r="BD511" i="2"/>
  <c r="BC512" i="2"/>
  <c r="BD512" i="2"/>
  <c r="BC513" i="2"/>
  <c r="BD513" i="2"/>
  <c r="BC514" i="2"/>
  <c r="BD514" i="2"/>
  <c r="BC515" i="2"/>
  <c r="BD515" i="2"/>
  <c r="BC516" i="2"/>
  <c r="BD516" i="2"/>
  <c r="BC517" i="2"/>
  <c r="BD517" i="2"/>
  <c r="BC518" i="2"/>
  <c r="BD518" i="2"/>
  <c r="BC519" i="2"/>
  <c r="BD519" i="2"/>
  <c r="BC520" i="2"/>
  <c r="BD520" i="2"/>
  <c r="BC521" i="2"/>
  <c r="BD521" i="2"/>
  <c r="BC522" i="2"/>
  <c r="BD522" i="2"/>
  <c r="BC523" i="2"/>
  <c r="BD523" i="2"/>
  <c r="BC524" i="2"/>
  <c r="BD524" i="2"/>
  <c r="BC525" i="2"/>
  <c r="BD525" i="2"/>
  <c r="BC526" i="2"/>
  <c r="BD526" i="2"/>
  <c r="BC527" i="2"/>
  <c r="BD527" i="2"/>
  <c r="BC528" i="2"/>
  <c r="BD528" i="2"/>
  <c r="BC529" i="2"/>
  <c r="BD529" i="2"/>
  <c r="BC530" i="2"/>
  <c r="BD530" i="2"/>
  <c r="BC531" i="2"/>
  <c r="BD531" i="2"/>
  <c r="BC532" i="2"/>
  <c r="BD532" i="2"/>
  <c r="BC533" i="2"/>
  <c r="BD533" i="2"/>
  <c r="BC534" i="2"/>
  <c r="BD534" i="2"/>
  <c r="BC535" i="2"/>
  <c r="BD535" i="2"/>
  <c r="BC536" i="2"/>
  <c r="BD536" i="2"/>
  <c r="BC537" i="2"/>
  <c r="BD537" i="2"/>
  <c r="BC538" i="2"/>
  <c r="BD538" i="2"/>
  <c r="BC539" i="2"/>
  <c r="BD539" i="2"/>
  <c r="BC540" i="2"/>
  <c r="BD540" i="2"/>
  <c r="BC541" i="2"/>
  <c r="BD541" i="2"/>
  <c r="BC542" i="2"/>
  <c r="BD542" i="2"/>
  <c r="BC543" i="2"/>
  <c r="BD543" i="2"/>
  <c r="BC544" i="2"/>
  <c r="BD544" i="2"/>
  <c r="BC545" i="2"/>
  <c r="BD545" i="2"/>
  <c r="BC546" i="2"/>
  <c r="BD546" i="2"/>
  <c r="BC547" i="2"/>
  <c r="BD547" i="2"/>
  <c r="BC548" i="2"/>
  <c r="BD548" i="2"/>
  <c r="BC549" i="2"/>
  <c r="BD549" i="2"/>
  <c r="BC550" i="2"/>
  <c r="BD550" i="2"/>
  <c r="BC551" i="2"/>
  <c r="BD551" i="2"/>
  <c r="BC552" i="2"/>
  <c r="BD552" i="2"/>
  <c r="BC553" i="2"/>
  <c r="BD553" i="2"/>
  <c r="BC554" i="2"/>
  <c r="BD554" i="2"/>
  <c r="BC555" i="2"/>
  <c r="BD555" i="2"/>
  <c r="BC556" i="2"/>
  <c r="BD556" i="2"/>
  <c r="BC557" i="2"/>
  <c r="BD557" i="2"/>
  <c r="BC558" i="2"/>
  <c r="BD558" i="2"/>
  <c r="BC559" i="2"/>
  <c r="BD559" i="2"/>
  <c r="BC560" i="2"/>
  <c r="BD560" i="2"/>
  <c r="BC561" i="2"/>
  <c r="BD561" i="2"/>
  <c r="BC562" i="2"/>
  <c r="BD562" i="2"/>
  <c r="BC563" i="2"/>
  <c r="BD563" i="2"/>
  <c r="BC564" i="2"/>
  <c r="BD564" i="2"/>
  <c r="BC565" i="2"/>
  <c r="BD565" i="2"/>
  <c r="BC566" i="2"/>
  <c r="BD566" i="2"/>
  <c r="BC567" i="2"/>
  <c r="BD567" i="2"/>
  <c r="BC568" i="2"/>
  <c r="BD568" i="2"/>
  <c r="BC569" i="2"/>
  <c r="BD569" i="2"/>
  <c r="BC570" i="2"/>
  <c r="BD570" i="2"/>
  <c r="BC571" i="2"/>
  <c r="BD571" i="2"/>
  <c r="BC572" i="2"/>
  <c r="BD572" i="2"/>
  <c r="BC573" i="2"/>
  <c r="BD573" i="2"/>
  <c r="BC574" i="2"/>
  <c r="BD574" i="2"/>
  <c r="BC575" i="2"/>
  <c r="BD575" i="2"/>
  <c r="BC576" i="2"/>
  <c r="BD576" i="2"/>
  <c r="BC577" i="2"/>
  <c r="BD577" i="2"/>
  <c r="BC578" i="2"/>
  <c r="BD578" i="2"/>
  <c r="BC579" i="2"/>
  <c r="BD579" i="2"/>
  <c r="BC580" i="2"/>
  <c r="BD580" i="2"/>
  <c r="BC581" i="2"/>
  <c r="BD581" i="2"/>
  <c r="BC582" i="2"/>
  <c r="BD582" i="2"/>
  <c r="BC583" i="2"/>
  <c r="BD583" i="2"/>
  <c r="BC584" i="2"/>
  <c r="BD584" i="2"/>
  <c r="BC585" i="2"/>
  <c r="BD585" i="2"/>
  <c r="BC586" i="2"/>
  <c r="BD586" i="2"/>
  <c r="BC587" i="2"/>
  <c r="BD587" i="2"/>
  <c r="BC588" i="2"/>
  <c r="BD588" i="2"/>
  <c r="BC589" i="2"/>
  <c r="BD589" i="2"/>
  <c r="BC590" i="2"/>
  <c r="BD590" i="2"/>
  <c r="BC591" i="2"/>
  <c r="BD591" i="2"/>
  <c r="BC592" i="2"/>
  <c r="BD592" i="2"/>
  <c r="BC593" i="2"/>
  <c r="BD593" i="2"/>
  <c r="BC594" i="2"/>
  <c r="BD594" i="2"/>
  <c r="BC595" i="2"/>
  <c r="BD595" i="2"/>
  <c r="BC596" i="2"/>
  <c r="BD596" i="2"/>
  <c r="BC597" i="2"/>
  <c r="BD597" i="2"/>
  <c r="BC598" i="2"/>
  <c r="BD598" i="2"/>
  <c r="BC599" i="2"/>
  <c r="BD599" i="2"/>
  <c r="BC600" i="2"/>
  <c r="BD600" i="2"/>
  <c r="BC601" i="2"/>
  <c r="BD601" i="2"/>
  <c r="BC602" i="2"/>
  <c r="BD602" i="2"/>
  <c r="BC603" i="2"/>
  <c r="BD603" i="2"/>
  <c r="BC604" i="2"/>
  <c r="BD604" i="2"/>
  <c r="BC605" i="2"/>
  <c r="BD605" i="2"/>
  <c r="BC606" i="2"/>
  <c r="BD606" i="2"/>
  <c r="BC607" i="2"/>
  <c r="BD607" i="2"/>
  <c r="BC608" i="2"/>
  <c r="BD608" i="2"/>
  <c r="BC609" i="2"/>
  <c r="BD609" i="2"/>
  <c r="BC610" i="2"/>
  <c r="BD610" i="2"/>
  <c r="BC611" i="2"/>
  <c r="BD611" i="2"/>
  <c r="BC612" i="2"/>
  <c r="BD612" i="2"/>
  <c r="BC613" i="2"/>
  <c r="BD613" i="2"/>
  <c r="BC614" i="2"/>
  <c r="BD614" i="2"/>
  <c r="BC615" i="2"/>
  <c r="BD615" i="2"/>
  <c r="BC616" i="2"/>
  <c r="BD616" i="2"/>
  <c r="BC617" i="2"/>
  <c r="BD617" i="2"/>
  <c r="BC618" i="2"/>
  <c r="BD618" i="2"/>
  <c r="BC619" i="2"/>
  <c r="BD619" i="2"/>
  <c r="BC620" i="2"/>
  <c r="BD620" i="2"/>
  <c r="BC621" i="2"/>
  <c r="BD621" i="2"/>
  <c r="BC622" i="2"/>
  <c r="BD622" i="2"/>
  <c r="BC623" i="2"/>
  <c r="BD623" i="2"/>
  <c r="BC624" i="2"/>
  <c r="BD624" i="2"/>
  <c r="BC625" i="2"/>
  <c r="BD625" i="2"/>
  <c r="BC626" i="2"/>
  <c r="BD626" i="2"/>
  <c r="BC627" i="2"/>
  <c r="BD627" i="2"/>
  <c r="BC628" i="2"/>
  <c r="BD628" i="2"/>
  <c r="BC629" i="2"/>
  <c r="BD629" i="2"/>
  <c r="BC630" i="2"/>
  <c r="BD630" i="2"/>
  <c r="BC631" i="2"/>
  <c r="BD631" i="2"/>
  <c r="BC632" i="2"/>
  <c r="BD632" i="2"/>
  <c r="BC633" i="2"/>
  <c r="BD633" i="2"/>
  <c r="BC634" i="2"/>
  <c r="BD634" i="2"/>
  <c r="BC635" i="2"/>
  <c r="BD635" i="2"/>
  <c r="BC636" i="2"/>
  <c r="BD636" i="2"/>
  <c r="BC637" i="2"/>
  <c r="BD637" i="2"/>
  <c r="BC638" i="2"/>
  <c r="BD638" i="2"/>
  <c r="BC639" i="2"/>
  <c r="BD639" i="2"/>
  <c r="BC640" i="2"/>
  <c r="BD640" i="2"/>
  <c r="BC641" i="2"/>
  <c r="BD641" i="2"/>
  <c r="BC642" i="2"/>
  <c r="BD642" i="2"/>
  <c r="BC643" i="2"/>
  <c r="BD643" i="2"/>
  <c r="BC644" i="2"/>
  <c r="BD644" i="2"/>
  <c r="BC645" i="2"/>
  <c r="BD645" i="2"/>
  <c r="BC646" i="2"/>
  <c r="BD646" i="2"/>
  <c r="BC647" i="2"/>
  <c r="BD647" i="2"/>
  <c r="BC648" i="2"/>
  <c r="BD648" i="2"/>
  <c r="BC649" i="2"/>
  <c r="BD649" i="2"/>
  <c r="BC650" i="2"/>
  <c r="BD650" i="2"/>
  <c r="BC651" i="2"/>
  <c r="BD651" i="2"/>
  <c r="BC652" i="2"/>
  <c r="BD652" i="2"/>
  <c r="BC653" i="2"/>
  <c r="BD653" i="2"/>
  <c r="BC654" i="2"/>
  <c r="BD654" i="2"/>
  <c r="BC655" i="2"/>
  <c r="BD655" i="2"/>
  <c r="BC656" i="2"/>
  <c r="BD656" i="2"/>
  <c r="BC657" i="2"/>
  <c r="BD657" i="2"/>
  <c r="BC658" i="2"/>
  <c r="BD658" i="2"/>
  <c r="BC659" i="2"/>
  <c r="BD659" i="2"/>
  <c r="BC660" i="2"/>
  <c r="BD660" i="2"/>
  <c r="BC661" i="2"/>
  <c r="BD661" i="2"/>
  <c r="BC662" i="2"/>
  <c r="BD662" i="2"/>
  <c r="BC663" i="2"/>
  <c r="BD663" i="2"/>
  <c r="BC664" i="2"/>
  <c r="BD664" i="2"/>
  <c r="BC665" i="2"/>
  <c r="BD665" i="2"/>
  <c r="BC666" i="2"/>
  <c r="BD666" i="2"/>
  <c r="BC667" i="2"/>
  <c r="BD667" i="2"/>
  <c r="BC668" i="2"/>
  <c r="BD668" i="2"/>
  <c r="BC669" i="2"/>
  <c r="BD669" i="2"/>
  <c r="BC670" i="2"/>
  <c r="BD670" i="2"/>
  <c r="BC671" i="2"/>
  <c r="BD671" i="2"/>
  <c r="BC672" i="2"/>
  <c r="BD672" i="2"/>
  <c r="BC673" i="2"/>
  <c r="BD673" i="2"/>
  <c r="BC674" i="2"/>
  <c r="BD674" i="2"/>
  <c r="BC675" i="2"/>
  <c r="BD675" i="2"/>
  <c r="BC676" i="2"/>
  <c r="BD676" i="2"/>
  <c r="BC677" i="2"/>
  <c r="BD677" i="2"/>
  <c r="BC678" i="2"/>
  <c r="BD678" i="2"/>
  <c r="BC679" i="2"/>
  <c r="BD679" i="2"/>
  <c r="BC680" i="2"/>
  <c r="BD680" i="2"/>
  <c r="BC681" i="2"/>
  <c r="BD681" i="2"/>
  <c r="BC682" i="2"/>
  <c r="BD682" i="2"/>
  <c r="BC683" i="2"/>
  <c r="BD683" i="2"/>
  <c r="BC684" i="2"/>
  <c r="BD684" i="2"/>
  <c r="BC685" i="2"/>
  <c r="BD685" i="2"/>
  <c r="BC686" i="2"/>
  <c r="BD686" i="2"/>
  <c r="BC687" i="2"/>
  <c r="BD687" i="2"/>
  <c r="BC688" i="2"/>
  <c r="BD688" i="2"/>
  <c r="BC689" i="2"/>
  <c r="BD689" i="2"/>
  <c r="BC690" i="2"/>
  <c r="BD690" i="2"/>
  <c r="BC691" i="2"/>
  <c r="BD691" i="2"/>
  <c r="BC692" i="2"/>
  <c r="BD692" i="2"/>
  <c r="BC693" i="2"/>
  <c r="BD693" i="2"/>
  <c r="BC694" i="2"/>
  <c r="BD694" i="2"/>
  <c r="BC695" i="2"/>
  <c r="BD695" i="2"/>
  <c r="BC696" i="2"/>
  <c r="BD696" i="2"/>
  <c r="BC697" i="2"/>
  <c r="BD697" i="2"/>
  <c r="BC698" i="2"/>
  <c r="BD698" i="2"/>
  <c r="BC699" i="2"/>
  <c r="BD699" i="2"/>
  <c r="BC700" i="2"/>
  <c r="BD700" i="2"/>
  <c r="BC701" i="2"/>
  <c r="BD701" i="2"/>
  <c r="BC702" i="2"/>
  <c r="BD702" i="2"/>
  <c r="BC703" i="2"/>
  <c r="BD703" i="2"/>
  <c r="BC704" i="2"/>
  <c r="BD704" i="2"/>
  <c r="BC705" i="2"/>
  <c r="BD705" i="2"/>
  <c r="BC706" i="2"/>
  <c r="BD706" i="2"/>
  <c r="BC707" i="2"/>
  <c r="BD707" i="2"/>
  <c r="BC708" i="2"/>
  <c r="BD708" i="2"/>
  <c r="BC709" i="2"/>
  <c r="BD709" i="2"/>
  <c r="BC710" i="2"/>
  <c r="BD710" i="2"/>
  <c r="BC711" i="2"/>
  <c r="BD711" i="2"/>
  <c r="BC712" i="2"/>
  <c r="BD712" i="2"/>
  <c r="BC713" i="2"/>
  <c r="BD713" i="2"/>
  <c r="BC714" i="2"/>
  <c r="BD714" i="2"/>
  <c r="BC715" i="2"/>
  <c r="BD715" i="2"/>
  <c r="BC716" i="2"/>
  <c r="BD716" i="2"/>
  <c r="BC717" i="2"/>
  <c r="BD717" i="2"/>
  <c r="BC718" i="2"/>
  <c r="BD718" i="2"/>
  <c r="BC719" i="2"/>
  <c r="BD719" i="2"/>
  <c r="BC720" i="2"/>
  <c r="BD720" i="2"/>
  <c r="BC721" i="2"/>
  <c r="BD721" i="2"/>
  <c r="BC722" i="2"/>
  <c r="BD722" i="2"/>
  <c r="BC723" i="2"/>
  <c r="BD723" i="2"/>
  <c r="BC724" i="2"/>
  <c r="BD724" i="2"/>
  <c r="BC725" i="2"/>
  <c r="BD725" i="2"/>
  <c r="BC726" i="2"/>
  <c r="BD726" i="2"/>
  <c r="BC727" i="2"/>
  <c r="BD727" i="2"/>
  <c r="BC728" i="2"/>
  <c r="BD728" i="2"/>
  <c r="BC729" i="2"/>
  <c r="BD729" i="2"/>
  <c r="BC730" i="2"/>
  <c r="BD730" i="2"/>
  <c r="BC731" i="2"/>
  <c r="BD731" i="2"/>
  <c r="BC732" i="2"/>
  <c r="BD732" i="2"/>
  <c r="BC733" i="2"/>
  <c r="BD733" i="2"/>
  <c r="BC734" i="2"/>
  <c r="BD734" i="2"/>
  <c r="BC735" i="2"/>
  <c r="BD735" i="2"/>
  <c r="BC736" i="2"/>
  <c r="BD736" i="2"/>
  <c r="BC737" i="2"/>
  <c r="BD737" i="2"/>
  <c r="BC738" i="2"/>
  <c r="BD738" i="2"/>
  <c r="BC739" i="2"/>
  <c r="BD739" i="2"/>
  <c r="BC740" i="2"/>
  <c r="BD740" i="2"/>
  <c r="BC741" i="2"/>
  <c r="BD741" i="2"/>
  <c r="BC742" i="2"/>
  <c r="BD742" i="2"/>
  <c r="BC743" i="2"/>
  <c r="BD743" i="2"/>
  <c r="BC744" i="2"/>
  <c r="BD744" i="2"/>
  <c r="BC745" i="2"/>
  <c r="BD745" i="2"/>
  <c r="BC746" i="2"/>
  <c r="BD746" i="2"/>
  <c r="BC747" i="2"/>
  <c r="BD747" i="2"/>
  <c r="BC748" i="2"/>
  <c r="BD748" i="2"/>
  <c r="BC749" i="2"/>
  <c r="BD749" i="2"/>
  <c r="BC750" i="2"/>
  <c r="BD750" i="2"/>
  <c r="BC751" i="2"/>
  <c r="BD751" i="2"/>
  <c r="BC752" i="2"/>
  <c r="BD752" i="2"/>
  <c r="BC753" i="2"/>
  <c r="BD753" i="2"/>
  <c r="BC754" i="2"/>
  <c r="BD754" i="2"/>
  <c r="BC755" i="2"/>
  <c r="BD755" i="2"/>
  <c r="BC756" i="2"/>
  <c r="BD756" i="2"/>
  <c r="BC757" i="2"/>
  <c r="BD757" i="2"/>
  <c r="BC47" i="2" l="1"/>
  <c r="BD47" i="2"/>
  <c r="BC48" i="2"/>
  <c r="BD48" i="2"/>
  <c r="BC49" i="2"/>
  <c r="BD49" i="2"/>
  <c r="BC50" i="2"/>
  <c r="BD50" i="2"/>
  <c r="BC51" i="2"/>
  <c r="BD51" i="2"/>
  <c r="BC52" i="2"/>
  <c r="BD52" i="2"/>
  <c r="BC53" i="2"/>
  <c r="BD53" i="2"/>
  <c r="BC54" i="2"/>
  <c r="BD54" i="2"/>
  <c r="BC55" i="2"/>
  <c r="BD55" i="2"/>
  <c r="BC56" i="2"/>
  <c r="BD56" i="2"/>
  <c r="BC57" i="2"/>
  <c r="BD57" i="2"/>
  <c r="BC58" i="2"/>
  <c r="BD58" i="2"/>
  <c r="BC59" i="2"/>
  <c r="BD59" i="2"/>
  <c r="BC60" i="2"/>
  <c r="BD60" i="2"/>
  <c r="BC61" i="2"/>
  <c r="BD61" i="2"/>
  <c r="BC62" i="2"/>
  <c r="BD62" i="2"/>
  <c r="BC63" i="2"/>
  <c r="BD63" i="2"/>
  <c r="BC64" i="2"/>
  <c r="BD64" i="2"/>
  <c r="BC65" i="2"/>
  <c r="BD65" i="2"/>
  <c r="BC66" i="2"/>
  <c r="BD66" i="2"/>
  <c r="BC67" i="2"/>
  <c r="BD67" i="2"/>
  <c r="BC68" i="2"/>
  <c r="BD68" i="2"/>
  <c r="BC69" i="2"/>
  <c r="BD69" i="2"/>
  <c r="BC70" i="2"/>
  <c r="BD70" i="2"/>
  <c r="BC71" i="2"/>
  <c r="BD71" i="2"/>
  <c r="BC72" i="2"/>
  <c r="BD72" i="2"/>
  <c r="BC73" i="2"/>
  <c r="BD73" i="2"/>
  <c r="BC74" i="2"/>
  <c r="BD74" i="2"/>
  <c r="BC75" i="2"/>
  <c r="BD75" i="2"/>
  <c r="BC76" i="2"/>
  <c r="BD76" i="2"/>
  <c r="BC77" i="2"/>
  <c r="BD77" i="2"/>
  <c r="BC78" i="2"/>
  <c r="BD78" i="2"/>
  <c r="BC79" i="2"/>
  <c r="BD79" i="2"/>
  <c r="BC80" i="2"/>
  <c r="BD80" i="2"/>
  <c r="BC81" i="2"/>
  <c r="BD81" i="2"/>
  <c r="BC82" i="2"/>
  <c r="BD82" i="2"/>
  <c r="BC83" i="2"/>
  <c r="BD83" i="2"/>
  <c r="BC84" i="2"/>
  <c r="BD84" i="2"/>
  <c r="BC85" i="2"/>
  <c r="BD85" i="2"/>
  <c r="BD3" i="2" l="1"/>
  <c r="BD4" i="2"/>
  <c r="BD5" i="2"/>
  <c r="BD6" i="2"/>
  <c r="BD7" i="2"/>
  <c r="BD8" i="2"/>
  <c r="BD9" i="2"/>
  <c r="BD10" i="2"/>
  <c r="BD11" i="2"/>
  <c r="BD12" i="2"/>
  <c r="BD13" i="2"/>
  <c r="BD14" i="2"/>
  <c r="BD15" i="2"/>
  <c r="BD16" i="2"/>
  <c r="BD17" i="2"/>
  <c r="BD18" i="2"/>
  <c r="BD19" i="2"/>
  <c r="BD20" i="2"/>
  <c r="BD21" i="2"/>
  <c r="BD22" i="2"/>
  <c r="BD23" i="2"/>
  <c r="BD24" i="2"/>
  <c r="BD25" i="2"/>
  <c r="BD26" i="2"/>
  <c r="BD27" i="2"/>
  <c r="BD28" i="2"/>
  <c r="BD29" i="2"/>
  <c r="BD30" i="2"/>
  <c r="BD31" i="2"/>
  <c r="BD32" i="2"/>
  <c r="BD33" i="2"/>
  <c r="BD34" i="2"/>
  <c r="BD35" i="2"/>
  <c r="BD36" i="2"/>
  <c r="BD37" i="2"/>
  <c r="BD38" i="2"/>
  <c r="BD39" i="2"/>
  <c r="BD40" i="2"/>
  <c r="BD41" i="2"/>
  <c r="BD42" i="2"/>
  <c r="BD43" i="2"/>
  <c r="BD44" i="2"/>
  <c r="BD45" i="2"/>
  <c r="BD46" i="2"/>
  <c r="BD2" i="2"/>
  <c r="C2" i="1"/>
  <c r="BC46" i="2" l="1"/>
  <c r="BC45" i="2"/>
  <c r="BC44" i="2"/>
  <c r="BC43" i="2"/>
  <c r="BC42" i="2"/>
  <c r="BC41" i="2"/>
  <c r="BC40" i="2"/>
  <c r="BC39" i="2"/>
  <c r="BC38" i="2"/>
  <c r="BC37" i="2"/>
  <c r="BC36" i="2"/>
  <c r="BC35" i="2"/>
  <c r="BC34" i="2"/>
  <c r="BC33" i="2"/>
  <c r="BC32" i="2"/>
  <c r="BC31" i="2"/>
  <c r="BC30" i="2"/>
  <c r="BC29" i="2"/>
  <c r="BC28" i="2"/>
  <c r="BC27" i="2"/>
  <c r="BC26" i="2"/>
  <c r="BC25" i="2"/>
  <c r="BC24" i="2"/>
  <c r="BC23" i="2"/>
  <c r="BC22" i="2"/>
  <c r="BC21" i="2"/>
  <c r="BC20" i="2"/>
  <c r="BC19" i="2"/>
  <c r="BC18" i="2"/>
  <c r="BC17" i="2"/>
  <c r="BC16" i="2"/>
  <c r="BC15" i="2"/>
  <c r="BC14" i="2"/>
  <c r="BC13" i="2"/>
  <c r="BC12" i="2"/>
  <c r="BC11" i="2"/>
  <c r="BC10" i="2"/>
  <c r="BC9" i="2"/>
  <c r="BC8" i="2"/>
  <c r="BC7" i="2"/>
  <c r="BC6" i="2"/>
  <c r="BC5" i="2"/>
  <c r="BC4" i="2"/>
  <c r="BC3" i="2"/>
  <c r="BC2" i="2"/>
</calcChain>
</file>

<file path=xl/connections.xml><?xml version="1.0" encoding="utf-8"?>
<connections xmlns="http://schemas.openxmlformats.org/spreadsheetml/2006/main">
  <connection id="1" name="Connection" type="6" refreshedVersion="6" background="1" saveData="1">
    <textPr sourceFile="C:\Users\t35brown\Documents\bitbucket\setbench\microbench\experiments\istree_exp3_disable_multicounter\disable_multicounter.csv" comma="1">
      <textFields>
        <textField/>
      </textFields>
    </textPr>
  </connection>
  <connection id="2" name="Connection1" type="6" refreshedVersion="6" background="1" saveData="1">
    <textPr sourceFile="C:\Users\t35brown\Documents\bitbucket\setbench\microbench\experiments\istree_exp5_numerical_stability_vs_time\istree_exp5_numerical_stability_vs_time.csv" comma="1">
      <textFields>
        <textField/>
      </textFields>
    </textPr>
  </connection>
  <connection id="3" name="Connection7" type="6" refreshedVersion="5" background="1" saveData="1">
    <textPr sourceFile="C:\Users\tbrown\Documents\bitbucket\setbench\microbench\experiments\tuwien\data.csv" comma="1">
      <textFields>
        <textField/>
      </textFields>
    </textPr>
  </connection>
</connections>
</file>

<file path=xl/sharedStrings.xml><?xml version="1.0" encoding="utf-8"?>
<sst xmlns="http://schemas.openxmlformats.org/spreadsheetml/2006/main" count="6080" uniqueCount="1436">
  <si>
    <t>Pivot filter cell</t>
  </si>
  <si>
    <t>Steps</t>
  </si>
  <si>
    <t>Click "Next graph" to change the pivot filter field to its next value and update the graph</t>
  </si>
  <si>
    <t>Click "Export graph" to export a PNG image of the graph</t>
  </si>
  <si>
    <t>Click "Export all" to cycle through all values of the pivot filter and export a PNG image of each resulting graph</t>
  </si>
  <si>
    <t>Your pivot table should have a filter-by field for which each value represents a graph you'd like to generate.</t>
  </si>
  <si>
    <t>Go to sheet "pivot" and design a pivot table for your data.</t>
  </si>
  <si>
    <t>Then, repeat steps 2-4. (Step 1 will automatically process the data for all sheets whose names begin with "pivot".)</t>
  </si>
  <si>
    <t>Note: this must be column Z</t>
  </si>
  <si>
    <t>Some cell near the top of the pivot table should contain a pull-down menu to select the value for this filter.</t>
  </si>
  <si>
    <t>Write the name of the cell (e.g., "B1") containing this filter pull-down menu in cell AA2.</t>
  </si>
  <si>
    <t>Customize the graph to your liking. It is linked to the data in the pivot table.</t>
  </si>
  <si>
    <t>The graph is carefully placed so that its top left corner is aligned with some cell Xn, and its bottom right corner is aligned with another cell Ym.</t>
  </si>
  <si>
    <t>These two cell names are written in cells AA3 and AA4 respectively.</t>
  </si>
  <si>
    <t>The graph export functionality takes a screenshot of the graph specifically in the rectangle defined by Range(AA3:AA4).</t>
  </si>
  <si>
    <t>If you want to change the size of the graph, one way is to resize the Excel cells the graph is contained in. Another way is to resize the graph, and update AA3 and AA4.</t>
  </si>
  <si>
    <t>If you need more types of graphs, duplicate the "pivot" sheet, and start the name of the new sheet with "pivot" (e.g., "pivot_throughput" or "pivot_cache_misses").</t>
  </si>
  <si>
    <t>Click this button and select a CSV file to import:</t>
  </si>
  <si>
    <t>Row Labels</t>
  </si>
  <si>
    <t>filename</t>
  </si>
  <si>
    <t>DS_TYPENAME</t>
  </si>
  <si>
    <t>size_node</t>
  </si>
  <si>
    <t>RECLAIM</t>
  </si>
  <si>
    <t>ALLOC</t>
  </si>
  <si>
    <t>POOL</t>
  </si>
  <si>
    <t>MILLIS_TO_RUN</t>
  </si>
  <si>
    <t>INS</t>
  </si>
  <si>
    <t>DEL</t>
  </si>
  <si>
    <t>RQ</t>
  </si>
  <si>
    <t>RQSIZE</t>
  </si>
  <si>
    <t>MAXKEY</t>
  </si>
  <si>
    <t>PREFILL_THREADS</t>
  </si>
  <si>
    <t>TOTAL_THREADS</t>
  </si>
  <si>
    <t>WORK_THREADS</t>
  </si>
  <si>
    <t>RQ_THREADS</t>
  </si>
  <si>
    <t>INSERT_FUNC</t>
  </si>
  <si>
    <t>tree_stats_height</t>
  </si>
  <si>
    <t>tree_stats_numInternals</t>
  </si>
  <si>
    <t>tree_stats_numLeaves</t>
  </si>
  <si>
    <t>tree_stats_numNodes</t>
  </si>
  <si>
    <t>tree_stats_numKeys</t>
  </si>
  <si>
    <t>tree_stats_avgDegreeInternal</t>
  </si>
  <si>
    <t>tree_stats_avgDegreeLeaves</t>
  </si>
  <si>
    <t>tree_stats_avgDegree</t>
  </si>
  <si>
    <t>tree_stats_avgKeyDepth</t>
  </si>
  <si>
    <t>final_keysum</t>
  </si>
  <si>
    <t>total_find</t>
  </si>
  <si>
    <t>total_rq</t>
  </si>
  <si>
    <t>total_updates</t>
  </si>
  <si>
    <t>total_queries</t>
  </si>
  <si>
    <t>total_ops</t>
  </si>
  <si>
    <t>find_throughput</t>
  </si>
  <si>
    <t>rq_throughput</t>
  </si>
  <si>
    <t>update_throughput</t>
  </si>
  <si>
    <t>query_throughput</t>
  </si>
  <si>
    <t>total_throughput</t>
  </si>
  <si>
    <t>PAPI_L2_TCM</t>
  </si>
  <si>
    <t>PAPI_L3_TCM</t>
  </si>
  <si>
    <t>PAPI_TOT_CYC</t>
  </si>
  <si>
    <t>allocator_new</t>
  </si>
  <si>
    <t>pool_none</t>
  </si>
  <si>
    <t>insertIfAbsent</t>
  </si>
  <si>
    <t>Average of total_throughput</t>
  </si>
  <si>
    <t>brown_ext_ist_lf</t>
  </si>
  <si>
    <t>reclaimer_debra</t>
  </si>
  <si>
    <t>exp</t>
  </si>
  <si>
    <t>B2</t>
  </si>
  <si>
    <t>threads_final_keysum</t>
  </si>
  <si>
    <t>threads_final_size</t>
  </si>
  <si>
    <t>final_size</t>
  </si>
  <si>
    <t>validate_result</t>
  </si>
  <si>
    <t>success</t>
  </si>
  <si>
    <t>maxresident_mb</t>
  </si>
  <si>
    <t>prefill_elapsed_ms</t>
  </si>
  <si>
    <t>tree_stats_sizeInBytes</t>
  </si>
  <si>
    <t>sum_num_try_rebuild_at_depth_by_index</t>
  </si>
  <si>
    <t>sum_num_complete_rebuild_at_depth_by_index</t>
  </si>
  <si>
    <t>sum_num_help_subtree_total</t>
  </si>
  <si>
    <t>first_thread_announced_epoch_by_index</t>
  </si>
  <si>
    <t>sum_elapsed_rebuild_depth_total</t>
  </si>
  <si>
    <t>sum_elapsed_all_ops_total</t>
  </si>
  <si>
    <t>PAPI_RES_STL</t>
  </si>
  <si>
    <t>seconds</t>
  </si>
  <si>
    <t>istree_exp5_numerical_stability_vs_time/step10001.txt</t>
  </si>
  <si>
    <t>18 22148 186980 4696904 11733</t>
  </si>
  <si>
    <t>7 22141 186796 4696696 11733</t>
  </si>
  <si>
    <t>istree_exp5_numerical_stability_vs_time/step10002.txt</t>
  </si>
  <si>
    <t>67 47461 400410 10046765 25170</t>
  </si>
  <si>
    <t>15 47443 400068 10046262 25170</t>
  </si>
  <si>
    <t>istree_exp5_numerical_stability_vs_time/step10003.txt</t>
  </si>
  <si>
    <t>116 95208 815024 20530085 51515</t>
  </si>
  <si>
    <t>30 95184 814304 20529059 51514</t>
  </si>
  <si>
    <t>istree_exp5_numerical_stability_vs_time/step10004.txt</t>
  </si>
  <si>
    <t>222 193790 1643878 41310676 103780</t>
  </si>
  <si>
    <t>61 193713 1642507 41308705 103778</t>
  </si>
  <si>
    <t>istree_exp5_numerical_stability_vs_time/step10005.txt</t>
  </si>
  <si>
    <t>406 390717 3307690 82839547 207768</t>
  </si>
  <si>
    <t>123 390608 3304887 82835467 207766</t>
  </si>
  <si>
    <t>istree_exp5_numerical_stability_vs_time/step10006.txt</t>
  </si>
  <si>
    <t>849 781740 6599280 165741318 416828</t>
  </si>
  <si>
    <t>247 781473 6593627 165733380 416819</t>
  </si>
  <si>
    <t>istree_exp5_numerical_stability_vs_time/step10007.txt</t>
  </si>
  <si>
    <t>1904 1559925 13165820 330332754 828602</t>
  </si>
  <si>
    <t>493 1559381 13154525 330316727 828588</t>
  </si>
  <si>
    <t>istree_exp5_numerical_stability_vs_time/step10008.txt</t>
  </si>
  <si>
    <t>bronson_pext_bst_occ</t>
  </si>
  <si>
    <t>164 740</t>
  </si>
  <si>
    <t>istree_exp5_numerical_stability_vs_time/step10009.txt</t>
  </si>
  <si>
    <t>istree_exp5_numerical_stability_vs_time/step10010.txt</t>
  </si>
  <si>
    <t>164 2412</t>
  </si>
  <si>
    <t>istree_exp5_numerical_stability_vs_time/step10011.txt</t>
  </si>
  <si>
    <t>istree_exp5_numerical_stability_vs_time/step10012.txt</t>
  </si>
  <si>
    <t>istree_exp5_numerical_stability_vs_time/step10013.txt</t>
  </si>
  <si>
    <t>166 17446</t>
  </si>
  <si>
    <t>istree_exp5_numerical_stability_vs_time/step10014.txt</t>
  </si>
  <si>
    <t>154 34382</t>
  </si>
  <si>
    <t>istree_exp5_numerical_stability_vs_time/step10015.txt</t>
  </si>
  <si>
    <t>0 22 4233 361129 733</t>
  </si>
  <si>
    <t>istree_exp5_numerical_stability_vs_time/step10016.txt</t>
  </si>
  <si>
    <t>1 3164 26485 669454 1713</t>
  </si>
  <si>
    <t>1 3164 26483 669453 1713</t>
  </si>
  <si>
    <t>istree_exp5_numerical_stability_vs_time/step10017.txt</t>
  </si>
  <si>
    <t>2 6326 53043 1338337 3312</t>
  </si>
  <si>
    <t>2 6326 53041 1338333 3312</t>
  </si>
  <si>
    <t>istree_exp5_numerical_stability_vs_time/step10018.txt</t>
  </si>
  <si>
    <t>5 12651 106604 2675751 6647</t>
  </si>
  <si>
    <t>4 12651 106590 2675742 6647</t>
  </si>
  <si>
    <t>istree_exp5_numerical_stability_vs_time/step10019.txt</t>
  </si>
  <si>
    <t>8 25302 212046 5352003 13390</t>
  </si>
  <si>
    <t>8 25301 212035 5351986 13390</t>
  </si>
  <si>
    <t>istree_exp5_numerical_stability_vs_time/step10020.txt</t>
  </si>
  <si>
    <t>16 50609 426481 10708860 26813</t>
  </si>
  <si>
    <t>16 50609 426452 10708831 26813</t>
  </si>
  <si>
    <t>istree_exp5_numerical_stability_vs_time/step10021.txt</t>
  </si>
  <si>
    <t>38 101220 851692 21411930 53744</t>
  </si>
  <si>
    <t>32 101214 851626 21411870 53744</t>
  </si>
  <si>
    <t>istree_exp5_numerical_stability_vs_time/step10022.txt</t>
  </si>
  <si>
    <t>154 842</t>
  </si>
  <si>
    <t>istree_exp5_numerical_stability_vs_time/step10023.txt</t>
  </si>
  <si>
    <t>166 1520</t>
  </si>
  <si>
    <t>istree_exp5_numerical_stability_vs_time/step10024.txt</t>
  </si>
  <si>
    <t>istree_exp5_numerical_stability_vs_time/step10025.txt</t>
  </si>
  <si>
    <t>164 5562</t>
  </si>
  <si>
    <t>istree_exp5_numerical_stability_vs_time/step10026.txt</t>
  </si>
  <si>
    <t>164 11008</t>
  </si>
  <si>
    <t>istree_exp5_numerical_stability_vs_time/step10027.txt</t>
  </si>
  <si>
    <t>148 21682</t>
  </si>
  <si>
    <t>istree_exp5_numerical_stability_vs_time/step10028.txt</t>
  </si>
  <si>
    <t>164 42830</t>
  </si>
  <si>
    <t>istree_exp5_numerical_stability_vs_time/step10029.txt</t>
  </si>
  <si>
    <t>31 22152 188246 4975764 12184</t>
  </si>
  <si>
    <t>7 22140 188099 4975547 12184</t>
  </si>
  <si>
    <t>istree_exp5_numerical_stability_vs_time/step10030.txt</t>
  </si>
  <si>
    <t>46 47463 399940 10044587 24799</t>
  </si>
  <si>
    <t>15 47448 399602 10044050 24798</t>
  </si>
  <si>
    <t>istree_exp5_numerical_stability_vs_time/step10031.txt</t>
  </si>
  <si>
    <t>101 97798 825335 20632199 51570</t>
  </si>
  <si>
    <t>30 97764 824601 20631214 51568</t>
  </si>
  <si>
    <t>istree_exp5_numerical_stability_vs_time/step10032.txt</t>
  </si>
  <si>
    <t>212 193879 1647846 41311909 103724</t>
  </si>
  <si>
    <t>61 193812 1646419 41309872 103724</t>
  </si>
  <si>
    <t>istree_exp5_numerical_stability_vs_time/step10033.txt</t>
  </si>
  <si>
    <t>479 391923 3304690 82861060 209164</t>
  </si>
  <si>
    <t>123 391783 3301849 82857154 209162</t>
  </si>
  <si>
    <t>istree_exp5_numerical_stability_vs_time/step10034.txt</t>
  </si>
  <si>
    <t>887 781518 6591328 165295512 412623</t>
  </si>
  <si>
    <t>247 781227 6585818 165287729 412616</t>
  </si>
  <si>
    <t>istree_exp5_numerical_stability_vs_time/step10035.txt</t>
  </si>
  <si>
    <t>1803 1560090 13167081 330350256 828306</t>
  </si>
  <si>
    <t>493 1559551 13155877 330334435 828291</t>
  </si>
  <si>
    <t>istree_exp5_numerical_stability_vs_time/step10036.txt</t>
  </si>
  <si>
    <t>166 742</t>
  </si>
  <si>
    <t>istree_exp5_numerical_stability_vs_time/step10037.txt</t>
  </si>
  <si>
    <t>168 1298</t>
  </si>
  <si>
    <t>istree_exp5_numerical_stability_vs_time/step10038.txt</t>
  </si>
  <si>
    <t>166 2410</t>
  </si>
  <si>
    <t>istree_exp5_numerical_stability_vs_time/step10039.txt</t>
  </si>
  <si>
    <t>150 4592</t>
  </si>
  <si>
    <t>istree_exp5_numerical_stability_vs_time/step10040.txt</t>
  </si>
  <si>
    <t>150 8884</t>
  </si>
  <si>
    <t>istree_exp5_numerical_stability_vs_time/step10041.txt</t>
  </si>
  <si>
    <t>istree_exp5_numerical_stability_vs_time/step10042.txt</t>
  </si>
  <si>
    <t>168 34448</t>
  </si>
  <si>
    <t>istree_exp5_numerical_stability_vs_time/step10043.txt</t>
  </si>
  <si>
    <t>0 17 4229 360724 738</t>
  </si>
  <si>
    <t>istree_exp5_numerical_stability_vs_time/step10044.txt</t>
  </si>
  <si>
    <t>2 3163 26486 671165 1724</t>
  </si>
  <si>
    <t>1 3163 26482 671162 1724</t>
  </si>
  <si>
    <t>istree_exp5_numerical_stability_vs_time/step10045.txt</t>
  </si>
  <si>
    <t>3 6326 53177 1339953 3399</t>
  </si>
  <si>
    <t>2 6326 53173 1339952 3399</t>
  </si>
  <si>
    <t>istree_exp5_numerical_stability_vs_time/step10046.txt</t>
  </si>
  <si>
    <t>4 12652 106580 2677918 6518</t>
  </si>
  <si>
    <t>4 12652 106572 2677910 6518</t>
  </si>
  <si>
    <t>istree_exp5_numerical_stability_vs_time/step10047.txt</t>
  </si>
  <si>
    <t>8 25301 212973 5349635 13349</t>
  </si>
  <si>
    <t>7 25301 212960 5349627 13349</t>
  </si>
  <si>
    <t>istree_exp5_numerical_stability_vs_time/step10048.txt</t>
  </si>
  <si>
    <t>18 50615 426027 10720622 26509</t>
  </si>
  <si>
    <t>16 50613 425996 10720598 26509</t>
  </si>
  <si>
    <t>istree_exp5_numerical_stability_vs_time/step10049.txt</t>
  </si>
  <si>
    <t>32 101221 853495 21420032 53610</t>
  </si>
  <si>
    <t>32 101215 853454 21419983 53610</t>
  </si>
  <si>
    <t>istree_exp5_numerical_stability_vs_time/step10050.txt</t>
  </si>
  <si>
    <t>istree_exp5_numerical_stability_vs_time/step10051.txt</t>
  </si>
  <si>
    <t>170 1524</t>
  </si>
  <si>
    <t>istree_exp5_numerical_stability_vs_time/step10052.txt</t>
  </si>
  <si>
    <t>166 2884</t>
  </si>
  <si>
    <t>istree_exp5_numerical_stability_vs_time/step10053.txt</t>
  </si>
  <si>
    <t>166 5580</t>
  </si>
  <si>
    <t>istree_exp5_numerical_stability_vs_time/step10054.txt</t>
  </si>
  <si>
    <t>164 10966</t>
  </si>
  <si>
    <t>istree_exp5_numerical_stability_vs_time/step10055.txt</t>
  </si>
  <si>
    <t>168 21652</t>
  </si>
  <si>
    <t>istree_exp5_numerical_stability_vs_time/step10056.txt</t>
  </si>
  <si>
    <t>168 42794</t>
  </si>
  <si>
    <t>istree_exp5_numerical_stability_vs_time/step10057.txt</t>
  </si>
  <si>
    <t>23 22146 185820 4826155 11818</t>
  </si>
  <si>
    <t>7 22141 185673 4825891 11818</t>
  </si>
  <si>
    <t>istree_exp5_numerical_stability_vs_time/step10058.txt</t>
  </si>
  <si>
    <t>45 47431 399682 9961590 25002</t>
  </si>
  <si>
    <t>14 47418 399316 9961135 25000</t>
  </si>
  <si>
    <t>istree_exp5_numerical_stability_vs_time/step10059.txt</t>
  </si>
  <si>
    <t>97 95551 814885 20559976 51917</t>
  </si>
  <si>
    <t>30 95516 814196 20558943 51916</t>
  </si>
  <si>
    <t>istree_exp5_numerical_stability_vs_time/step10060.txt</t>
  </si>
  <si>
    <t>227 192990 1625931 40833941 102817</t>
  </si>
  <si>
    <t>61 192928 1624541 40831964 102812</t>
  </si>
  <si>
    <t>istree_exp5_numerical_stability_vs_time/step10061.txt</t>
  </si>
  <si>
    <t>453 391094 3305982 82844468 208445</t>
  </si>
  <si>
    <t>123 390955 3303133 82840597 208441</t>
  </si>
  <si>
    <t>istree_exp5_numerical_stability_vs_time/step10062.txt</t>
  </si>
  <si>
    <t>924 783345 6611186 165822883 417208</t>
  </si>
  <si>
    <t>247 783099 6605466 165814978 417200</t>
  </si>
  <si>
    <t>istree_exp5_numerical_stability_vs_time/step10063.txt</t>
  </si>
  <si>
    <t>1890 1569284 13225475 331986005 834355</t>
  </si>
  <si>
    <t>496 1568777 13214009 331969978 834344</t>
  </si>
  <si>
    <t>istree_exp5_numerical_stability_vs_time/step10064.txt</t>
  </si>
  <si>
    <t>168 740</t>
  </si>
  <si>
    <t>istree_exp5_numerical_stability_vs_time/step10065.txt</t>
  </si>
  <si>
    <t>164 1300</t>
  </si>
  <si>
    <t>istree_exp5_numerical_stability_vs_time/step10066.txt</t>
  </si>
  <si>
    <t>166 2414</t>
  </si>
  <si>
    <t>istree_exp5_numerical_stability_vs_time/step10067.txt</t>
  </si>
  <si>
    <t>166 4570</t>
  </si>
  <si>
    <t>istree_exp5_numerical_stability_vs_time/step10068.txt</t>
  </si>
  <si>
    <t>168 8908</t>
  </si>
  <si>
    <t>istree_exp5_numerical_stability_vs_time/step10069.txt</t>
  </si>
  <si>
    <t>istree_exp5_numerical_stability_vs_time/step10070.txt</t>
  </si>
  <si>
    <t>168 34396</t>
  </si>
  <si>
    <t>istree_exp5_numerical_stability_vs_time/step10071.txt</t>
  </si>
  <si>
    <t>0 11 3929 355895 723</t>
  </si>
  <si>
    <t>istree_exp5_numerical_stability_vs_time/step10072.txt</t>
  </si>
  <si>
    <t>1 3163 26721 670041 1704</t>
  </si>
  <si>
    <t>1 3163 26719 670038 1704</t>
  </si>
  <si>
    <t>istree_exp5_numerical_stability_vs_time/step10073.txt</t>
  </si>
  <si>
    <t>2 6326 53246 1340241 3298</t>
  </si>
  <si>
    <t>2 6326 53243 1340239 3298</t>
  </si>
  <si>
    <t>istree_exp5_numerical_stability_vs_time/step10074.txt</t>
  </si>
  <si>
    <t>5 12652 106482 2677793 6638</t>
  </si>
  <si>
    <t>4 12652 106474 2677785 6638</t>
  </si>
  <si>
    <t>istree_exp5_numerical_stability_vs_time/step10075.txt</t>
  </si>
  <si>
    <t>9 25302 214483 5353850 13328</t>
  </si>
  <si>
    <t>8 25301 214458 5353841 13328</t>
  </si>
  <si>
    <t>istree_exp5_numerical_stability_vs_time/step10076.txt</t>
  </si>
  <si>
    <t>17 49952 425994 10580224 26823</t>
  </si>
  <si>
    <t>15 49952 425973 10580193 26823</t>
  </si>
  <si>
    <t>istree_exp5_numerical_stability_vs_time/step10077.txt</t>
  </si>
  <si>
    <t>32 101211 852309 21383937 53425</t>
  </si>
  <si>
    <t>31 101207 852250 21383888 53425</t>
  </si>
  <si>
    <t>istree_exp5_numerical_stability_vs_time/step10078.txt</t>
  </si>
  <si>
    <t>164 836</t>
  </si>
  <si>
    <t>istree_exp5_numerical_stability_vs_time/step10079.txt</t>
  </si>
  <si>
    <t>166 1518</t>
  </si>
  <si>
    <t>istree_exp5_numerical_stability_vs_time/step10080.txt</t>
  </si>
  <si>
    <t>istree_exp5_numerical_stability_vs_time/step10081.txt</t>
  </si>
  <si>
    <t>166 5604</t>
  </si>
  <si>
    <t>istree_exp5_numerical_stability_vs_time/step10082.txt</t>
  </si>
  <si>
    <t>164 10910</t>
  </si>
  <si>
    <t>istree_exp5_numerical_stability_vs_time/step10083.txt</t>
  </si>
  <si>
    <t>170 21636</t>
  </si>
  <si>
    <t>istree_exp5_numerical_stability_vs_time/step10084.txt</t>
  </si>
  <si>
    <t>164 42800</t>
  </si>
  <si>
    <t>ISTree</t>
  </si>
  <si>
    <t>BCCO</t>
  </si>
  <si>
    <t>Column Labels</t>
  </si>
  <si>
    <t>204 177548 86118 707607</t>
  </si>
  <si>
    <t>75 175622 85517 707485</t>
  </si>
  <si>
    <t>489 355490 173392 1419515</t>
  </si>
  <si>
    <t>151 351726 172200 1419245</t>
  </si>
  <si>
    <t>1007 713941 346532 2842200</t>
  </si>
  <si>
    <t>303 706479 344152 2841693</t>
  </si>
  <si>
    <t>1873 1425418 692924 5687092</t>
  </si>
  <si>
    <t>606 1410203 688039 5686021</t>
  </si>
  <si>
    <t>3842 2850186 1386632 11371659</t>
  </si>
  <si>
    <t>1212 2819947 1376903 11369590</t>
  </si>
  <si>
    <t>7392 5706867 2773701 22758343</t>
  </si>
  <si>
    <t>2427 5646570 2754198 22754195</t>
  </si>
  <si>
    <t>15048 11403349 5538395 45461209</t>
  </si>
  <si>
    <t>4849 11282505 5499290 45452897</t>
  </si>
  <si>
    <t>brown_ext_abtree_lf</t>
  </si>
  <si>
    <t>228 43396</t>
  </si>
  <si>
    <t>266 1190</t>
  </si>
  <si>
    <t>266 3910</t>
  </si>
  <si>
    <t>234 7468</t>
  </si>
  <si>
    <t>natarajan_ext_bst_lf</t>
  </si>
  <si>
    <t>26 22152 186785 4813923 11879</t>
  </si>
  <si>
    <t>7 22141 186622 4813684 11879</t>
  </si>
  <si>
    <t>75 47454 399987 10037095 25207</t>
  </si>
  <si>
    <t>15 47443 399653 10036605 25207</t>
  </si>
  <si>
    <t>110 96693 822209 20600330 51302</t>
  </si>
  <si>
    <t>30 96646 821485 20599363 51301</t>
  </si>
  <si>
    <t>216 193906 1642589 41314047 103679</t>
  </si>
  <si>
    <t>61 193842 1641155 41312067 103676</t>
  </si>
  <si>
    <t>431 389836 3297211 82803006 208108</t>
  </si>
  <si>
    <t>123 389712 3294446 82799194 208102</t>
  </si>
  <si>
    <t>895 782175 6606973 165778383 414831</t>
  </si>
  <si>
    <t>247 781894 6601249 165770524 414823</t>
  </si>
  <si>
    <t>1801 1559796 13149237 330225587 830044</t>
  </si>
  <si>
    <t>493 1559268 13137919 330210126 830032</t>
  </si>
  <si>
    <t>572 1564</t>
  </si>
  <si>
    <t>540 2556</t>
  </si>
  <si>
    <t>624 4562</t>
  </si>
  <si>
    <t>552 8332</t>
  </si>
  <si>
    <t>608 16054</t>
  </si>
  <si>
    <t>628 61940</t>
  </si>
  <si>
    <t>168 742</t>
  </si>
  <si>
    <t>172 1306</t>
  </si>
  <si>
    <t>162 2404</t>
  </si>
  <si>
    <t>164 4598</t>
  </si>
  <si>
    <t>166 17376</t>
  </si>
  <si>
    <t>166 34384</t>
  </si>
  <si>
    <t>154 668</t>
  </si>
  <si>
    <t>146 2096</t>
  </si>
  <si>
    <t>142 7678</t>
  </si>
  <si>
    <t>156 15194</t>
  </si>
  <si>
    <t>152 30370</t>
  </si>
  <si>
    <t>0 4203 319857 3798668 634780</t>
  </si>
  <si>
    <t>0 4201 319829 3798650 634779</t>
  </si>
  <si>
    <t>1 9998 345003 4273486 818220</t>
  </si>
  <si>
    <t>1 9998 344962 4273460 818215</t>
  </si>
  <si>
    <t>6 21232 971756 11465173 1953543</t>
  </si>
  <si>
    <t>2 21230 971673 11465093 1953541</t>
  </si>
  <si>
    <t>18 49989 1764292 21927977 3808381</t>
  </si>
  <si>
    <t>5 49987 1764121 21927858 3808373</t>
  </si>
  <si>
    <t>41 105523 3770105 42677854 7295239</t>
  </si>
  <si>
    <t>10 105514 3769742 42677572 7295224</t>
  </si>
  <si>
    <t>101 209961 7231976 83277374 14356458</t>
  </si>
  <si>
    <t>21 209932 7231265 83276841 14356428</t>
  </si>
  <si>
    <t>137 419942 14645608 166638453 28563317</t>
  </si>
  <si>
    <t>42 419908 14644259 166637416 28563243</t>
  </si>
  <si>
    <t>3092 3884</t>
  </si>
  <si>
    <t>2916 4442</t>
  </si>
  <si>
    <t>3260 5942</t>
  </si>
  <si>
    <t>3102 8520</t>
  </si>
  <si>
    <t>3164 13988</t>
  </si>
  <si>
    <t>3024 24880</t>
  </si>
  <si>
    <t>2866 46594</t>
  </si>
  <si>
    <t>772 1330</t>
  </si>
  <si>
    <t>774 1698</t>
  </si>
  <si>
    <t>774 2432</t>
  </si>
  <si>
    <t>772 3888</t>
  </si>
  <si>
    <t>770 6764</t>
  </si>
  <si>
    <t>774 12424</t>
  </si>
  <si>
    <t>774 23484</t>
  </si>
  <si>
    <t>738 1244</t>
  </si>
  <si>
    <t>734 1558</t>
  </si>
  <si>
    <t>740 2168</t>
  </si>
  <si>
    <t>732 3388</t>
  </si>
  <si>
    <t>736 5794</t>
  </si>
  <si>
    <t>728 10510</t>
  </si>
  <si>
    <t>736 19744</t>
  </si>
  <si>
    <t>istree_exp5_numerical_stability_vs_time/step10085.txt</t>
  </si>
  <si>
    <t>72 93508 45046 373214</t>
  </si>
  <si>
    <t>39 93023 44893 373182</t>
  </si>
  <si>
    <t>istree_exp5_numerical_stability_vs_time/step10086.txt</t>
  </si>
  <si>
    <t>150 187766 91553 748855</t>
  </si>
  <si>
    <t>79 186840 91257 748809</t>
  </si>
  <si>
    <t>istree_exp5_numerical_stability_vs_time/step10087.txt</t>
  </si>
  <si>
    <t>280 373285 181509 1492142</t>
  </si>
  <si>
    <t>159 371439 180891 1492067</t>
  </si>
  <si>
    <t>istree_exp5_numerical_stability_vs_time/step10088.txt</t>
  </si>
  <si>
    <t>584 753682 366345 3007355</t>
  </si>
  <si>
    <t>320 749920 365143 3007134</t>
  </si>
  <si>
    <t>istree_exp5_numerical_stability_vs_time/step10089.txt</t>
  </si>
  <si>
    <t>1167 1498539 728298 5981720</t>
  </si>
  <si>
    <t>638 1491299 725873 5981284</t>
  </si>
  <si>
    <t>istree_exp5_numerical_stability_vs_time/step10090.txt</t>
  </si>
  <si>
    <t>2271 2988200 1454887 11940999</t>
  </si>
  <si>
    <t>1272 2973584 1450137 11940065</t>
  </si>
  <si>
    <t>istree_exp5_numerical_stability_vs_time/step10091.txt</t>
  </si>
  <si>
    <t>4538 6009858 2917308 23985596</t>
  </si>
  <si>
    <t>2559 5980243 2907634 23983715</t>
  </si>
  <si>
    <t>istree_exp5_numerical_stability_vs_time/step10092.txt</t>
  </si>
  <si>
    <t>istree_exp5_numerical_stability_vs_time/step10093.txt</t>
  </si>
  <si>
    <t>istree_exp5_numerical_stability_vs_time/step10094.txt</t>
  </si>
  <si>
    <t>istree_exp5_numerical_stability_vs_time/step10095.txt</t>
  </si>
  <si>
    <t>istree_exp5_numerical_stability_vs_time/step10096.txt</t>
  </si>
  <si>
    <t>istree_exp5_numerical_stability_vs_time/step10097.txt</t>
  </si>
  <si>
    <t>234 61100</t>
  </si>
  <si>
    <t>istree_exp5_numerical_stability_vs_time/step10098.txt</t>
  </si>
  <si>
    <t>istree_exp5_numerical_stability_vs_time/step10099.txt</t>
  </si>
  <si>
    <t>istree_exp5_numerical_stability_vs_time/step10100.txt</t>
  </si>
  <si>
    <t>istree_exp5_numerical_stability_vs_time/step10101.txt</t>
  </si>
  <si>
    <t>istree_exp5_numerical_stability_vs_time/step10102.txt</t>
  </si>
  <si>
    <t>istree_exp5_numerical_stability_vs_time/step10103.txt</t>
  </si>
  <si>
    <t>istree_exp5_numerical_stability_vs_time/step10104.txt</t>
  </si>
  <si>
    <t>istree_exp5_numerical_stability_vs_time/step10105.txt</t>
  </si>
  <si>
    <t>istree_exp5_numerical_stability_vs_time/step10106.txt</t>
  </si>
  <si>
    <t>istree_exp5_numerical_stability_vs_time/step10107.txt</t>
  </si>
  <si>
    <t>252 2602</t>
  </si>
  <si>
    <t>istree_exp5_numerical_stability_vs_time/step10108.txt</t>
  </si>
  <si>
    <t>istree_exp5_numerical_stability_vs_time/step10109.txt</t>
  </si>
  <si>
    <t>istree_exp5_numerical_stability_vs_time/step10110.txt</t>
  </si>
  <si>
    <t>220 18446</t>
  </si>
  <si>
    <t>istree_exp5_numerical_stability_vs_time/step10111.txt</t>
  </si>
  <si>
    <t>istree_exp5_numerical_stability_vs_time/step10112.txt</t>
  </si>
  <si>
    <t>istree_exp5_numerical_stability_vs_time/step10113.txt</t>
  </si>
  <si>
    <t>5 9491 80850 2271439 5406</t>
  </si>
  <si>
    <t>3 9488 80806 2271399 5406</t>
  </si>
  <si>
    <t>istree_exp5_numerical_stability_vs_time/step10114.txt</t>
  </si>
  <si>
    <t>10 22126 186857 4600846 11709</t>
  </si>
  <si>
    <t>6 22124 186783 4600747 11709</t>
  </si>
  <si>
    <t>istree_exp5_numerical_stability_vs_time/step10115.txt</t>
  </si>
  <si>
    <t>26 44286 372882 9373680 23453</t>
  </si>
  <si>
    <t>14 44278 372736 9373484 23453</t>
  </si>
  <si>
    <t>istree_exp5_numerical_stability_vs_time/step10116.txt</t>
  </si>
  <si>
    <t>50 85406 720105 18196719 45175</t>
  </si>
  <si>
    <t>27 85399 719825 18196403 45175</t>
  </si>
  <si>
    <t>istree_exp5_numerical_stability_vs_time/step10117.txt</t>
  </si>
  <si>
    <t>88 182626 1544884 38686043 97072</t>
  </si>
  <si>
    <t>57 182598 1544201 38685317 97071</t>
  </si>
  <si>
    <t>istree_exp5_numerical_stability_vs_time/step10118.txt</t>
  </si>
  <si>
    <t>189 357463 3013473 75868725 190823</t>
  </si>
  <si>
    <t>113 357406 3012279 75867345 190823</t>
  </si>
  <si>
    <t>istree_exp5_numerical_stability_vs_time/step10119.txt</t>
  </si>
  <si>
    <t>393 730746 6163375 154563418 387470</t>
  </si>
  <si>
    <t>230 730623 6160835 154560616 387468</t>
  </si>
  <si>
    <t>istree_exp5_numerical_stability_vs_time/step10120.txt</t>
  </si>
  <si>
    <t>600 1884</t>
  </si>
  <si>
    <t>istree_exp5_numerical_stability_vs_time/step10121.txt</t>
  </si>
  <si>
    <t>562 3164</t>
  </si>
  <si>
    <t>istree_exp5_numerical_stability_vs_time/step10122.txt</t>
  </si>
  <si>
    <t>558 5614</t>
  </si>
  <si>
    <t>istree_exp5_numerical_stability_vs_time/step10123.txt</t>
  </si>
  <si>
    <t>istree_exp5_numerical_stability_vs_time/step10124.txt</t>
  </si>
  <si>
    <t>610 20070</t>
  </si>
  <si>
    <t>istree_exp5_numerical_stability_vs_time/step10125.txt</t>
  </si>
  <si>
    <t>608 38774</t>
  </si>
  <si>
    <t>istree_exp5_numerical_stability_vs_time/step10126.txt</t>
  </si>
  <si>
    <t>istree_exp5_numerical_stability_vs_time/step10127.txt</t>
  </si>
  <si>
    <t>170 810</t>
  </si>
  <si>
    <t>istree_exp5_numerical_stability_vs_time/step10128.txt</t>
  </si>
  <si>
    <t>150 1448</t>
  </si>
  <si>
    <t>istree_exp5_numerical_stability_vs_time/step10129.txt</t>
  </si>
  <si>
    <t>168 2698</t>
  </si>
  <si>
    <t>istree_exp5_numerical_stability_vs_time/step10130.txt</t>
  </si>
  <si>
    <t>istree_exp5_numerical_stability_vs_time/step10131.txt</t>
  </si>
  <si>
    <t>168 10174</t>
  </si>
  <si>
    <t>istree_exp5_numerical_stability_vs_time/step10132.txt</t>
  </si>
  <si>
    <t>168 20066</t>
  </si>
  <si>
    <t>istree_exp5_numerical_stability_vs_time/step10133.txt</t>
  </si>
  <si>
    <t>istree_exp5_numerical_stability_vs_time/step10134.txt</t>
  </si>
  <si>
    <t>144 728</t>
  </si>
  <si>
    <t>istree_exp5_numerical_stability_vs_time/step10135.txt</t>
  </si>
  <si>
    <t>154 1274</t>
  </si>
  <si>
    <t>istree_exp5_numerical_stability_vs_time/step10136.txt</t>
  </si>
  <si>
    <t>istree_exp5_numerical_stability_vs_time/step10137.txt</t>
  </si>
  <si>
    <t>138 4526</t>
  </si>
  <si>
    <t>istree_exp5_numerical_stability_vs_time/step10138.txt</t>
  </si>
  <si>
    <t>148 8884</t>
  </si>
  <si>
    <t>istree_exp5_numerical_stability_vs_time/step10139.txt</t>
  </si>
  <si>
    <t>154 17496</t>
  </si>
  <si>
    <t>istree_exp5_numerical_stability_vs_time/step10140.txt</t>
  </si>
  <si>
    <t>138 34838</t>
  </si>
  <si>
    <t>istree_exp5_numerical_stability_vs_time/step10141.txt</t>
  </si>
  <si>
    <t>0 0 16 647503 209114</t>
  </si>
  <si>
    <t>istree_exp5_numerical_stability_vs_time/step10142.txt</t>
  </si>
  <si>
    <t>0 0 48816 2552706 485902</t>
  </si>
  <si>
    <t>0 0 48814 2552699 485902</t>
  </si>
  <si>
    <t>istree_exp5_numerical_stability_vs_time/step10143.txt</t>
  </si>
  <si>
    <t>2 9998 344767 3911059 691086</t>
  </si>
  <si>
    <t>1 9997 344749 3911055 691086</t>
  </si>
  <si>
    <t>istree_exp5_numerical_stability_vs_time/step10144.txt</t>
  </si>
  <si>
    <t>2 19995 689631 8467802 1549833</t>
  </si>
  <si>
    <t>2 19995 689602 8467791 1549831</t>
  </si>
  <si>
    <t>istree_exp5_numerical_stability_vs_time/step10145.txt</t>
  </si>
  <si>
    <t>9 39996 1407492 17904143 3125246</t>
  </si>
  <si>
    <t>4 39995 1407435 17904094 3125241</t>
  </si>
  <si>
    <t>istree_exp5_numerical_stability_vs_time/step10146.txt</t>
  </si>
  <si>
    <t>17 89974 3096891 34979985 5994555</t>
  </si>
  <si>
    <t>9 89970 3096752 34979901 5994552</t>
  </si>
  <si>
    <t>istree_exp5_numerical_stability_vs_time/step10147.txt</t>
  </si>
  <si>
    <t>29 169975 5962472 69264151 11883077</t>
  </si>
  <si>
    <t>17 169970 5962196 69263979 11883052</t>
  </si>
  <si>
    <t>istree_exp5_numerical_stability_vs_time/step10148.txt</t>
  </si>
  <si>
    <t>3004 4092</t>
  </si>
  <si>
    <t>istree_exp5_numerical_stability_vs_time/step10149.txt</t>
  </si>
  <si>
    <t>2986 4910</t>
  </si>
  <si>
    <t>istree_exp5_numerical_stability_vs_time/step10150.txt</t>
  </si>
  <si>
    <t>3062 6544</t>
  </si>
  <si>
    <t>istree_exp5_numerical_stability_vs_time/step10151.txt</t>
  </si>
  <si>
    <t>3022 10086</t>
  </si>
  <si>
    <t>istree_exp5_numerical_stability_vs_time/step10152.txt</t>
  </si>
  <si>
    <t>3040 16682</t>
  </si>
  <si>
    <t>istree_exp5_numerical_stability_vs_time/step10153.txt</t>
  </si>
  <si>
    <t>3148 29924</t>
  </si>
  <si>
    <t>istree_exp5_numerical_stability_vs_time/step10154.txt</t>
  </si>
  <si>
    <t>3000 56068</t>
  </si>
  <si>
    <t>istree_exp5_numerical_stability_vs_time/step10155.txt</t>
  </si>
  <si>
    <t>772 1348</t>
  </si>
  <si>
    <t>istree_exp5_numerical_stability_vs_time/step10156.txt</t>
  </si>
  <si>
    <t>774 1738</t>
  </si>
  <si>
    <t>istree_exp5_numerical_stability_vs_time/step10157.txt</t>
  </si>
  <si>
    <t>774 2516</t>
  </si>
  <si>
    <t>istree_exp5_numerical_stability_vs_time/step10158.txt</t>
  </si>
  <si>
    <t>776 4080</t>
  </si>
  <si>
    <t>istree_exp5_numerical_stability_vs_time/step10159.txt</t>
  </si>
  <si>
    <t>774 7192</t>
  </si>
  <si>
    <t>istree_exp5_numerical_stability_vs_time/step10160.txt</t>
  </si>
  <si>
    <t>778 13464</t>
  </si>
  <si>
    <t>istree_exp5_numerical_stability_vs_time/step10161.txt</t>
  </si>
  <si>
    <t>778 25782</t>
  </si>
  <si>
    <t>istree_exp5_numerical_stability_vs_time/step10162.txt</t>
  </si>
  <si>
    <t>748 1266</t>
  </si>
  <si>
    <t>istree_exp5_numerical_stability_vs_time/step10163.txt</t>
  </si>
  <si>
    <t>740 1602</t>
  </si>
  <si>
    <t>istree_exp5_numerical_stability_vs_time/step10164.txt</t>
  </si>
  <si>
    <t>734 2256</t>
  </si>
  <si>
    <t>istree_exp5_numerical_stability_vs_time/step10165.txt</t>
  </si>
  <si>
    <t>730 3576</t>
  </si>
  <si>
    <t>istree_exp5_numerical_stability_vs_time/step10166.txt</t>
  </si>
  <si>
    <t>740 6204</t>
  </si>
  <si>
    <t>istree_exp5_numerical_stability_vs_time/step10167.txt</t>
  </si>
  <si>
    <t>732 11472</t>
  </si>
  <si>
    <t>istree_exp5_numerical_stability_vs_time/step10168.txt</t>
  </si>
  <si>
    <t>738 21974</t>
  </si>
  <si>
    <t>istree_exp5_numerical_stability_vs_time/step10169.txt</t>
  </si>
  <si>
    <t>7 18612 9043 74964</t>
  </si>
  <si>
    <t>7 18604 9037 74963</t>
  </si>
  <si>
    <t>istree_exp5_numerical_stability_vs_time/step10170.txt</t>
  </si>
  <si>
    <t>17 37606 18141 151466</t>
  </si>
  <si>
    <t>16 37575 18128 151465</t>
  </si>
  <si>
    <t>istree_exp5_numerical_stability_vs_time/step10171.txt</t>
  </si>
  <si>
    <t>36 74216 36096 296761</t>
  </si>
  <si>
    <t>31 74164 36074 296758</t>
  </si>
  <si>
    <t>istree_exp5_numerical_stability_vs_time/step10172.txt</t>
  </si>
  <si>
    <t>73 147546 71565 589419</t>
  </si>
  <si>
    <t>62 147407 71532 589415</t>
  </si>
  <si>
    <t>istree_exp5_numerical_stability_vs_time/step10173.txt</t>
  </si>
  <si>
    <t>141 292549 141657 1168445</t>
  </si>
  <si>
    <t>124 292340 141572 1168423</t>
  </si>
  <si>
    <t>istree_exp5_numerical_stability_vs_time/step10174.txt</t>
  </si>
  <si>
    <t>272 583933 283443 2332707</t>
  </si>
  <si>
    <t>249 583468 283271 2332681</t>
  </si>
  <si>
    <t>istree_exp5_numerical_stability_vs_time/step10175.txt</t>
  </si>
  <si>
    <t>549 1173767 568496 4687165</t>
  </si>
  <si>
    <t>500 1172785 568184 4687100</t>
  </si>
  <si>
    <t>istree_exp5_numerical_stability_vs_time/step10176.txt</t>
  </si>
  <si>
    <t>istree_exp5_numerical_stability_vs_time/step10177.txt</t>
  </si>
  <si>
    <t>istree_exp5_numerical_stability_vs_time/step10178.txt</t>
  </si>
  <si>
    <t>istree_exp5_numerical_stability_vs_time/step10179.txt</t>
  </si>
  <si>
    <t>260 19582</t>
  </si>
  <si>
    <t>istree_exp5_numerical_stability_vs_time/step10180.txt</t>
  </si>
  <si>
    <t>istree_exp5_numerical_stability_vs_time/step10181.txt</t>
  </si>
  <si>
    <t>istree_exp5_numerical_stability_vs_time/step10182.txt</t>
  </si>
  <si>
    <t>istree_exp5_numerical_stability_vs_time/step10183.txt</t>
  </si>
  <si>
    <t>istree_exp5_numerical_stability_vs_time/step10184.txt</t>
  </si>
  <si>
    <t>istree_exp5_numerical_stability_vs_time/step10185.txt</t>
  </si>
  <si>
    <t>istree_exp5_numerical_stability_vs_time/step10186.txt</t>
  </si>
  <si>
    <t>istree_exp5_numerical_stability_vs_time/step10187.txt</t>
  </si>
  <si>
    <t>268 21120</t>
  </si>
  <si>
    <t>istree_exp5_numerical_stability_vs_time/step10188.txt</t>
  </si>
  <si>
    <t>266 41584</t>
  </si>
  <si>
    <t>istree_exp5_numerical_stability_vs_time/step10189.txt</t>
  </si>
  <si>
    <t>istree_exp5_numerical_stability_vs_time/step10190.txt</t>
  </si>
  <si>
    <t>istree_exp5_numerical_stability_vs_time/step10191.txt</t>
  </si>
  <si>
    <t>istree_exp5_numerical_stability_vs_time/step10192.txt</t>
  </si>
  <si>
    <t>istree_exp5_numerical_stability_vs_time/step10193.txt</t>
  </si>
  <si>
    <t>istree_exp5_numerical_stability_vs_time/step10194.txt</t>
  </si>
  <si>
    <t>istree_exp5_numerical_stability_vs_time/step10195.txt</t>
  </si>
  <si>
    <t>istree_exp5_numerical_stability_vs_time/step10196.txt</t>
  </si>
  <si>
    <t>istree_exp5_numerical_stability_vs_time/step10197.txt</t>
  </si>
  <si>
    <t>0 24 4646 367638 763</t>
  </si>
  <si>
    <t>istree_exp5_numerical_stability_vs_time/step10198.txt</t>
  </si>
  <si>
    <t>1 3163 26461 669331 1724</t>
  </si>
  <si>
    <t>1 3163 26460 669331 1724</t>
  </si>
  <si>
    <t>istree_exp5_numerical_stability_vs_time/step10199.txt</t>
  </si>
  <si>
    <t>3 6325 53093 1338978 3392</t>
  </si>
  <si>
    <t>2 6325 53087 1338973 3392</t>
  </si>
  <si>
    <t>istree_exp5_numerical_stability_vs_time/step10200.txt</t>
  </si>
  <si>
    <t>5 12652 107039 2680013 6724</t>
  </si>
  <si>
    <t>4 12651 107036 2680006 6724</t>
  </si>
  <si>
    <t>istree_exp5_numerical_stability_vs_time/step10201.txt</t>
  </si>
  <si>
    <t>9 25304 212425 5355038 13575</t>
  </si>
  <si>
    <t>8 25303 212409 5355024 13575</t>
  </si>
  <si>
    <t>istree_exp5_numerical_stability_vs_time/step10202.txt</t>
  </si>
  <si>
    <t>17 50598 424674 10633280 26818</t>
  </si>
  <si>
    <t>15 50598 424651 10633255 26818</t>
  </si>
  <si>
    <t>istree_exp5_numerical_stability_vs_time/step10203.txt</t>
  </si>
  <si>
    <t>33 101221 854664 21418322 53885</t>
  </si>
  <si>
    <t>32 101216 854600 21418258 53885</t>
  </si>
  <si>
    <t>istree_exp5_numerical_stability_vs_time/step10204.txt</t>
  </si>
  <si>
    <t>istree_exp5_numerical_stability_vs_time/step10205.txt</t>
  </si>
  <si>
    <t>602 3584</t>
  </si>
  <si>
    <t>istree_exp5_numerical_stability_vs_time/step10206.txt</t>
  </si>
  <si>
    <t>558 6372</t>
  </si>
  <si>
    <t>istree_exp5_numerical_stability_vs_time/step10207.txt</t>
  </si>
  <si>
    <t>484 12000</t>
  </si>
  <si>
    <t>istree_exp5_numerical_stability_vs_time/step10208.txt</t>
  </si>
  <si>
    <t>532 23022</t>
  </si>
  <si>
    <t>istree_exp5_numerical_stability_vs_time/step10209.txt</t>
  </si>
  <si>
    <t>istree_exp5_numerical_stability_vs_time/step10210.txt</t>
  </si>
  <si>
    <t>istree_exp5_numerical_stability_vs_time/step10211.txt</t>
  </si>
  <si>
    <t>148 838</t>
  </si>
  <si>
    <t>istree_exp5_numerical_stability_vs_time/step10212.txt</t>
  </si>
  <si>
    <t>168 1522</t>
  </si>
  <si>
    <t>istree_exp5_numerical_stability_vs_time/step10213.txt</t>
  </si>
  <si>
    <t>166 2888</t>
  </si>
  <si>
    <t>istree_exp5_numerical_stability_vs_time/step10214.txt</t>
  </si>
  <si>
    <t>164 5594</t>
  </si>
  <si>
    <t>istree_exp5_numerical_stability_vs_time/step10215.txt</t>
  </si>
  <si>
    <t>150 10950</t>
  </si>
  <si>
    <t>istree_exp5_numerical_stability_vs_time/step10216.txt</t>
  </si>
  <si>
    <t>168 21626</t>
  </si>
  <si>
    <t>istree_exp5_numerical_stability_vs_time/step10217.txt</t>
  </si>
  <si>
    <t>istree_exp5_numerical_stability_vs_time/step10218.txt</t>
  </si>
  <si>
    <t>140 748</t>
  </si>
  <si>
    <t>istree_exp5_numerical_stability_vs_time/step10219.txt</t>
  </si>
  <si>
    <t>162 1326</t>
  </si>
  <si>
    <t>istree_exp5_numerical_stability_vs_time/step10220.txt</t>
  </si>
  <si>
    <t>istree_exp5_numerical_stability_vs_time/step10221.txt</t>
  </si>
  <si>
    <t>istree_exp5_numerical_stability_vs_time/step10222.txt</t>
  </si>
  <si>
    <t>istree_exp5_numerical_stability_vs_time/step10223.txt</t>
  </si>
  <si>
    <t>istree_exp5_numerical_stability_vs_time/step10224.txt</t>
  </si>
  <si>
    <t>136 36774</t>
  </si>
  <si>
    <t>istree_exp5_numerical_stability_vs_time/step10225.txt</t>
  </si>
  <si>
    <t>0 0 0 1788 4635</t>
  </si>
  <si>
    <t>istree_exp5_numerical_stability_vs_time/step10226.txt</t>
  </si>
  <si>
    <t>0 0 0 13429 17684</t>
  </si>
  <si>
    <t>istree_exp5_numerical_stability_vs_time/step10227.txt</t>
  </si>
  <si>
    <t>0 0 0 89951 59814</t>
  </si>
  <si>
    <t>istree_exp5_numerical_stability_vs_time/step10228.txt</t>
  </si>
  <si>
    <t>0 0 2 496755 177910</t>
  </si>
  <si>
    <t>istree_exp5_numerical_stability_vs_time/step10229.txt</t>
  </si>
  <si>
    <t>0 0 22951 2204274 443305</t>
  </si>
  <si>
    <t>0 0 22951 2204274 443304</t>
  </si>
  <si>
    <t>istree_exp5_numerical_stability_vs_time/step10230.txt</t>
  </si>
  <si>
    <t>1 9999 344761 4074492 763507</t>
  </si>
  <si>
    <t>1 9999 344757 4074491 763507</t>
  </si>
  <si>
    <t>istree_exp5_numerical_stability_vs_time/step10231.txt</t>
  </si>
  <si>
    <t>2 19990 688176 8739426 1599214</t>
  </si>
  <si>
    <t>2 19990 688172 8739425 1599214</t>
  </si>
  <si>
    <t>istree_exp5_numerical_stability_vs_time/step10232.txt</t>
  </si>
  <si>
    <t>3192 4162</t>
  </si>
  <si>
    <t>istree_exp5_numerical_stability_vs_time/step10233.txt</t>
  </si>
  <si>
    <t>3172 5116</t>
  </si>
  <si>
    <t>istree_exp5_numerical_stability_vs_time/step10234.txt</t>
  </si>
  <si>
    <t>2916 6806</t>
  </si>
  <si>
    <t>istree_exp5_numerical_stability_vs_time/step10235.txt</t>
  </si>
  <si>
    <t>3030 10550</t>
  </si>
  <si>
    <t>istree_exp5_numerical_stability_vs_time/step10236.txt</t>
  </si>
  <si>
    <t>3008 17816</t>
  </si>
  <si>
    <t>istree_exp5_numerical_stability_vs_time/step10237.txt</t>
  </si>
  <si>
    <t>3046 32304</t>
  </si>
  <si>
    <t>istree_exp5_numerical_stability_vs_time/step10238.txt</t>
  </si>
  <si>
    <t>2942 61104</t>
  </si>
  <si>
    <t>istree_exp5_numerical_stability_vs_time/step10239.txt</t>
  </si>
  <si>
    <t>772 1354</t>
  </si>
  <si>
    <t>istree_exp5_numerical_stability_vs_time/step10240.txt</t>
  </si>
  <si>
    <t>778 1750</t>
  </si>
  <si>
    <t>istree_exp5_numerical_stability_vs_time/step10241.txt</t>
  </si>
  <si>
    <t>776 2548</t>
  </si>
  <si>
    <t>istree_exp5_numerical_stability_vs_time/step10242.txt</t>
  </si>
  <si>
    <t>778 4152</t>
  </si>
  <si>
    <t>istree_exp5_numerical_stability_vs_time/step10243.txt</t>
  </si>
  <si>
    <t>780 7374</t>
  </si>
  <si>
    <t>istree_exp5_numerical_stability_vs_time/step10244.txt</t>
  </si>
  <si>
    <t>776 13890</t>
  </si>
  <si>
    <t>istree_exp5_numerical_stability_vs_time/step10245.txt</t>
  </si>
  <si>
    <t>776 26830</t>
  </si>
  <si>
    <t>istree_exp5_numerical_stability_vs_time/step10246.txt</t>
  </si>
  <si>
    <t>744 1268</t>
  </si>
  <si>
    <t>istree_exp5_numerical_stability_vs_time/step10247.txt</t>
  </si>
  <si>
    <t>736 1596</t>
  </si>
  <si>
    <t>istree_exp5_numerical_stability_vs_time/step10248.txt</t>
  </si>
  <si>
    <t>730 2270</t>
  </si>
  <si>
    <t>istree_exp5_numerical_stability_vs_time/step10249.txt</t>
  </si>
  <si>
    <t>734 3612</t>
  </si>
  <si>
    <t>istree_exp5_numerical_stability_vs_time/step10250.txt</t>
  </si>
  <si>
    <t>726 6310</t>
  </si>
  <si>
    <t>istree_exp5_numerical_stability_vs_time/step10251.txt</t>
  </si>
  <si>
    <t>734 11732</t>
  </si>
  <si>
    <t>istree_exp5_numerical_stability_vs_time/step10252.txt</t>
  </si>
  <si>
    <t>738 22688</t>
  </si>
  <si>
    <t>istree_exp5_numerical_stability_vs_time/step10253.txt</t>
  </si>
  <si>
    <t>istree_exp5_numerical_stability_vs_time/step10254.txt</t>
  </si>
  <si>
    <t>istree_exp5_numerical_stability_vs_time/step10255.txt</t>
  </si>
  <si>
    <t>istree_exp5_numerical_stability_vs_time/step10256.txt</t>
  </si>
  <si>
    <t>istree_exp5_numerical_stability_vs_time/step10257.txt</t>
  </si>
  <si>
    <t>istree_exp5_numerical_stability_vs_time/step10258.txt</t>
  </si>
  <si>
    <t>istree_exp5_numerical_stability_vs_time/step10259.txt</t>
  </si>
  <si>
    <t>istree_exp5_numerical_stability_vs_time/step10260.txt</t>
  </si>
  <si>
    <t>istree_exp5_numerical_stability_vs_time/step10261.txt</t>
  </si>
  <si>
    <t>istree_exp5_numerical_stability_vs_time/step10262.txt</t>
  </si>
  <si>
    <t>istree_exp5_numerical_stability_vs_time/step10263.txt</t>
  </si>
  <si>
    <t>istree_exp5_numerical_stability_vs_time/step10264.txt</t>
  </si>
  <si>
    <t>214 46370</t>
  </si>
  <si>
    <t>istree_exp5_numerical_stability_vs_time/step10265.txt</t>
  </si>
  <si>
    <t>istree_exp5_numerical_stability_vs_time/step10266.txt</t>
  </si>
  <si>
    <t>istree_exp5_numerical_stability_vs_time/step10267.txt</t>
  </si>
  <si>
    <t>istree_exp5_numerical_stability_vs_time/step10268.txt</t>
  </si>
  <si>
    <t>istree_exp5_numerical_stability_vs_time/step10269.txt</t>
  </si>
  <si>
    <t>210 5962</t>
  </si>
  <si>
    <t>istree_exp5_numerical_stability_vs_time/step10270.txt</t>
  </si>
  <si>
    <t>istree_exp5_numerical_stability_vs_time/step10271.txt</t>
  </si>
  <si>
    <t>istree_exp5_numerical_stability_vs_time/step10272.txt</t>
  </si>
  <si>
    <t>istree_exp5_numerical_stability_vs_time/step10273.txt</t>
  </si>
  <si>
    <t>istree_exp5_numerical_stability_vs_time/step10274.txt</t>
  </si>
  <si>
    <t>244 1578</t>
  </si>
  <si>
    <t>istree_exp5_numerical_stability_vs_time/step10275.txt</t>
  </si>
  <si>
    <t>istree_exp5_numerical_stability_vs_time/step10276.txt</t>
  </si>
  <si>
    <t>istree_exp5_numerical_stability_vs_time/step10277.txt</t>
  </si>
  <si>
    <t>istree_exp5_numerical_stability_vs_time/step10278.txt</t>
  </si>
  <si>
    <t>244 21654</t>
  </si>
  <si>
    <t>istree_exp5_numerical_stability_vs_time/step10279.txt</t>
  </si>
  <si>
    <t>istree_exp5_numerical_stability_vs_time/step10280.txt</t>
  </si>
  <si>
    <t>istree_exp5_numerical_stability_vs_time/step10281.txt</t>
  </si>
  <si>
    <t>istree_exp5_numerical_stability_vs_time/step10282.txt</t>
  </si>
  <si>
    <t>istree_exp5_numerical_stability_vs_time/step10283.txt</t>
  </si>
  <si>
    <t>istree_exp5_numerical_stability_vs_time/step10284.txt</t>
  </si>
  <si>
    <t>istree_exp5_numerical_stability_vs_time/step10285.txt</t>
  </si>
  <si>
    <t>istree_exp5_numerical_stability_vs_time/step10286.txt</t>
  </si>
  <si>
    <t>istree_exp5_numerical_stability_vs_time/step10287.txt</t>
  </si>
  <si>
    <t>istree_exp5_numerical_stability_vs_time/step10288.txt</t>
  </si>
  <si>
    <t>606 2104</t>
  </si>
  <si>
    <t>istree_exp5_numerical_stability_vs_time/step10289.txt</t>
  </si>
  <si>
    <t>590 3648</t>
  </si>
  <si>
    <t>istree_exp5_numerical_stability_vs_time/step10290.txt</t>
  </si>
  <si>
    <t>534 6530</t>
  </si>
  <si>
    <t>istree_exp5_numerical_stability_vs_time/step10291.txt</t>
  </si>
  <si>
    <t>istree_exp5_numerical_stability_vs_time/step10292.txt</t>
  </si>
  <si>
    <t>518 24268</t>
  </si>
  <si>
    <t>istree_exp5_numerical_stability_vs_time/step10293.txt</t>
  </si>
  <si>
    <t>572 47886</t>
  </si>
  <si>
    <t>istree_exp5_numerical_stability_vs_time/step10294.txt</t>
  </si>
  <si>
    <t>istree_exp5_numerical_stability_vs_time/step10295.txt</t>
  </si>
  <si>
    <t>150 844</t>
  </si>
  <si>
    <t>istree_exp5_numerical_stability_vs_time/step10296.txt</t>
  </si>
  <si>
    <t>168 1534</t>
  </si>
  <si>
    <t>istree_exp5_numerical_stability_vs_time/step10297.txt</t>
  </si>
  <si>
    <t>168 2916</t>
  </si>
  <si>
    <t>istree_exp5_numerical_stability_vs_time/step10298.txt</t>
  </si>
  <si>
    <t>166 5658</t>
  </si>
  <si>
    <t>istree_exp5_numerical_stability_vs_time/step10299.txt</t>
  </si>
  <si>
    <t>148 11218</t>
  </si>
  <si>
    <t>istree_exp5_numerical_stability_vs_time/step10300.txt</t>
  </si>
  <si>
    <t>164 22242</t>
  </si>
  <si>
    <t>istree_exp5_numerical_stability_vs_time/step10301.txt</t>
  </si>
  <si>
    <t>istree_exp5_numerical_stability_vs_time/step10302.txt</t>
  </si>
  <si>
    <t>istree_exp5_numerical_stability_vs_time/step10303.txt</t>
  </si>
  <si>
    <t>152 1338</t>
  </si>
  <si>
    <t>istree_exp5_numerical_stability_vs_time/step10304.txt</t>
  </si>
  <si>
    <t>154 2508</t>
  </si>
  <si>
    <t>istree_exp5_numerical_stability_vs_time/step10305.txt</t>
  </si>
  <si>
    <t>150 4900</t>
  </si>
  <si>
    <t>istree_exp5_numerical_stability_vs_time/step10306.txt</t>
  </si>
  <si>
    <t>138 9652</t>
  </si>
  <si>
    <t>istree_exp5_numerical_stability_vs_time/step10307.txt</t>
  </si>
  <si>
    <t>152 19200</t>
  </si>
  <si>
    <t>istree_exp5_numerical_stability_vs_time/step10308.txt</t>
  </si>
  <si>
    <t>152 38340</t>
  </si>
  <si>
    <t>istree_exp5_numerical_stability_vs_time/step10309.txt</t>
  </si>
  <si>
    <t>istree_exp5_numerical_stability_vs_time/step10310.txt</t>
  </si>
  <si>
    <t>istree_exp5_numerical_stability_vs_time/step10311.txt</t>
  </si>
  <si>
    <t>istree_exp5_numerical_stability_vs_time/step10312.txt</t>
  </si>
  <si>
    <t>istree_exp5_numerical_stability_vs_time/step10313.txt</t>
  </si>
  <si>
    <t>istree_exp5_numerical_stability_vs_time/step10314.txt</t>
  </si>
  <si>
    <t>istree_exp5_numerical_stability_vs_time/step10315.txt</t>
  </si>
  <si>
    <t>istree_exp5_numerical_stability_vs_time/step10316.txt</t>
  </si>
  <si>
    <t>3024 4098</t>
  </si>
  <si>
    <t>istree_exp5_numerical_stability_vs_time/step10317.txt</t>
  </si>
  <si>
    <t>3174 5022</t>
  </si>
  <si>
    <t>istree_exp5_numerical_stability_vs_time/step10318.txt</t>
  </si>
  <si>
    <t>2938 6872</t>
  </si>
  <si>
    <t>istree_exp5_numerical_stability_vs_time/step10319.txt</t>
  </si>
  <si>
    <t>3210 10594</t>
  </si>
  <si>
    <t>istree_exp5_numerical_stability_vs_time/step10320.txt</t>
  </si>
  <si>
    <t>2988 18012</t>
  </si>
  <si>
    <t>istree_exp5_numerical_stability_vs_time/step10321.txt</t>
  </si>
  <si>
    <t>3118 32946</t>
  </si>
  <si>
    <t>istree_exp5_numerical_stability_vs_time/step10322.txt</t>
  </si>
  <si>
    <t>3084 63388</t>
  </si>
  <si>
    <t>istree_exp5_numerical_stability_vs_time/step10323.txt</t>
  </si>
  <si>
    <t>774 1358</t>
  </si>
  <si>
    <t>istree_exp5_numerical_stability_vs_time/step10324.txt</t>
  </si>
  <si>
    <t>776 1754</t>
  </si>
  <si>
    <t>istree_exp5_numerical_stability_vs_time/step10325.txt</t>
  </si>
  <si>
    <t>778 2554</t>
  </si>
  <si>
    <t>istree_exp5_numerical_stability_vs_time/step10326.txt</t>
  </si>
  <si>
    <t>776 4152</t>
  </si>
  <si>
    <t>istree_exp5_numerical_stability_vs_time/step10327.txt</t>
  </si>
  <si>
    <t>780 7384</t>
  </si>
  <si>
    <t>istree_exp5_numerical_stability_vs_time/step10328.txt</t>
  </si>
  <si>
    <t>776 13974</t>
  </si>
  <si>
    <t>istree_exp5_numerical_stability_vs_time/step10329.txt</t>
  </si>
  <si>
    <t>772 27128</t>
  </si>
  <si>
    <t>istree_exp5_numerical_stability_vs_time/step10330.txt</t>
  </si>
  <si>
    <t>740 1270</t>
  </si>
  <si>
    <t>istree_exp5_numerical_stability_vs_time/step10331.txt</t>
  </si>
  <si>
    <t>738 1600</t>
  </si>
  <si>
    <t>istree_exp5_numerical_stability_vs_time/step10332.txt</t>
  </si>
  <si>
    <t>742 2278</t>
  </si>
  <si>
    <t>istree_exp5_numerical_stability_vs_time/step10333.txt</t>
  </si>
  <si>
    <t>740 3612</t>
  </si>
  <si>
    <t>istree_exp5_numerical_stability_vs_time/step10334.txt</t>
  </si>
  <si>
    <t>734 6328</t>
  </si>
  <si>
    <t>istree_exp5_numerical_stability_vs_time/step10335.txt</t>
  </si>
  <si>
    <t>740 11772</t>
  </si>
  <si>
    <t>istree_exp5_numerical_stability_vs_time/step10336.txt</t>
  </si>
  <si>
    <t>738 22804</t>
  </si>
  <si>
    <t>istree_exp5_numerical_stability_vs_time/step10337.txt</t>
  </si>
  <si>
    <t>215 176290 85229 702481</t>
  </si>
  <si>
    <t>75 174398 84606 702347</t>
  </si>
  <si>
    <t>istree_exp5_numerical_stability_vs_time/step10338.txt</t>
  </si>
  <si>
    <t>474 354903 172370 1414295</t>
  </si>
  <si>
    <t>151 351131 171124 1414021</t>
  </si>
  <si>
    <t>istree_exp5_numerical_stability_vs_time/step10339.txt</t>
  </si>
  <si>
    <t>937 712759 346668 2842418</t>
  </si>
  <si>
    <t>303 705194 344175 2841854</t>
  </si>
  <si>
    <t>istree_exp5_numerical_stability_vs_time/step10340.txt</t>
  </si>
  <si>
    <t>1910 1425756 695398 5686550</t>
  </si>
  <si>
    <t>606 1410821 690543 5685506</t>
  </si>
  <si>
    <t>istree_exp5_numerical_stability_vs_time/step10341.txt</t>
  </si>
  <si>
    <t>3783 2849747 1384123 11363679</t>
  </si>
  <si>
    <t>1212 2819653 1374492 11361620</t>
  </si>
  <si>
    <t>istree_exp5_numerical_stability_vs_time/step10342.txt</t>
  </si>
  <si>
    <t>7351 5682545 2761143 22664393</t>
  </si>
  <si>
    <t>2416 5622266 2741568 22660196</t>
  </si>
  <si>
    <t>istree_exp5_numerical_stability_vs_time/step10343.txt</t>
  </si>
  <si>
    <t>14896 11382733 5533709 45383291</t>
  </si>
  <si>
    <t>4841 11261883 5494629 45375035</t>
  </si>
  <si>
    <t>istree_exp5_numerical_stability_vs_time/step10344.txt</t>
  </si>
  <si>
    <t>istree_exp5_numerical_stability_vs_time/step10345.txt</t>
  </si>
  <si>
    <t>240 2966</t>
  </si>
  <si>
    <t>istree_exp5_numerical_stability_vs_time/step10346.txt</t>
  </si>
  <si>
    <t>242 5688</t>
  </si>
  <si>
    <t>istree_exp5_numerical_stability_vs_time/step10347.txt</t>
  </si>
  <si>
    <t>istree_exp5_numerical_stability_vs_time/step10348.txt</t>
  </si>
  <si>
    <t>istree_exp5_numerical_stability_vs_time/step10349.txt</t>
  </si>
  <si>
    <t>istree_exp5_numerical_stability_vs_time/step10350.txt</t>
  </si>
  <si>
    <t>istree_exp5_numerical_stability_vs_time/step10351.txt</t>
  </si>
  <si>
    <t>istree_exp5_numerical_stability_vs_time/step10352.txt</t>
  </si>
  <si>
    <t>istree_exp5_numerical_stability_vs_time/step10353.txt</t>
  </si>
  <si>
    <t>istree_exp5_numerical_stability_vs_time/step10354.txt</t>
  </si>
  <si>
    <t>istree_exp5_numerical_stability_vs_time/step10355.txt</t>
  </si>
  <si>
    <t>istree_exp5_numerical_stability_vs_time/step10356.txt</t>
  </si>
  <si>
    <t>istree_exp5_numerical_stability_vs_time/step10357.txt</t>
  </si>
  <si>
    <t>istree_exp5_numerical_stability_vs_time/step10358.txt</t>
  </si>
  <si>
    <t>istree_exp5_numerical_stability_vs_time/step10359.txt</t>
  </si>
  <si>
    <t>istree_exp5_numerical_stability_vs_time/step10360.txt</t>
  </si>
  <si>
    <t>istree_exp5_numerical_stability_vs_time/step10361.txt</t>
  </si>
  <si>
    <t>istree_exp5_numerical_stability_vs_time/step10362.txt</t>
  </si>
  <si>
    <t>istree_exp5_numerical_stability_vs_time/step10363.txt</t>
  </si>
  <si>
    <t>istree_exp5_numerical_stability_vs_time/step10364.txt</t>
  </si>
  <si>
    <t>istree_exp5_numerical_stability_vs_time/step10365.txt</t>
  </si>
  <si>
    <t>30 22151 187191 4892030 12011</t>
  </si>
  <si>
    <t>7 22142 187025 4891790 12010</t>
  </si>
  <si>
    <t>istree_exp5_numerical_stability_vs_time/step10366.txt</t>
  </si>
  <si>
    <t>62 47460 398300 10079032 25142</t>
  </si>
  <si>
    <t>15 47444 397951 10078588 25142</t>
  </si>
  <si>
    <t>istree_exp5_numerical_stability_vs_time/step10367.txt</t>
  </si>
  <si>
    <t>93 95719 818273 20565172 51697</t>
  </si>
  <si>
    <t>30 95694 817641 20564211 51695</t>
  </si>
  <si>
    <t>istree_exp5_numerical_stability_vs_time/step10368.txt</t>
  </si>
  <si>
    <t>250 196103 1653015 41397836 103728</t>
  </si>
  <si>
    <t>61 196033 1651613 41395773 103725</t>
  </si>
  <si>
    <t>istree_exp5_numerical_stability_vs_time/step10369.txt</t>
  </si>
  <si>
    <t>481 391326 3303553 82852975 208406</t>
  </si>
  <si>
    <t>123 391175 3300732 82848961 208402</t>
  </si>
  <si>
    <t>istree_exp5_numerical_stability_vs_time/step10370.txt</t>
  </si>
  <si>
    <t>929 781491 6589338 165286320 414897</t>
  </si>
  <si>
    <t>247 781220 6583719 165278299 414889</t>
  </si>
  <si>
    <t>istree_exp5_numerical_stability_vs_time/step10371.txt</t>
  </si>
  <si>
    <t>1811 1565028 13192306 331130442 830105</t>
  </si>
  <si>
    <t>494 1564494 13180950 331114763 830088</t>
  </si>
  <si>
    <t>istree_exp5_numerical_stability_vs_time/step10372.txt</t>
  </si>
  <si>
    <t>552 1548</t>
  </si>
  <si>
    <t>istree_exp5_numerical_stability_vs_time/step10373.txt</t>
  </si>
  <si>
    <t>istree_exp5_numerical_stability_vs_time/step10374.txt</t>
  </si>
  <si>
    <t>istree_exp5_numerical_stability_vs_time/step10375.txt</t>
  </si>
  <si>
    <t>492 8376</t>
  </si>
  <si>
    <t>istree_exp5_numerical_stability_vs_time/step10376.txt</t>
  </si>
  <si>
    <t>602 15982</t>
  </si>
  <si>
    <t>istree_exp5_numerical_stability_vs_time/step10377.txt</t>
  </si>
  <si>
    <t>628 31014</t>
  </si>
  <si>
    <t>istree_exp5_numerical_stability_vs_time/step10378.txt</t>
  </si>
  <si>
    <t>istree_exp5_numerical_stability_vs_time/step10379.txt</t>
  </si>
  <si>
    <t>148 744</t>
  </si>
  <si>
    <t>istree_exp5_numerical_stability_vs_time/step10380.txt</t>
  </si>
  <si>
    <t>168 1300</t>
  </si>
  <si>
    <t>istree_exp5_numerical_stability_vs_time/step10381.txt</t>
  </si>
  <si>
    <t>166 2406</t>
  </si>
  <si>
    <t>istree_exp5_numerical_stability_vs_time/step10382.txt</t>
  </si>
  <si>
    <t>168 4598</t>
  </si>
  <si>
    <t>istree_exp5_numerical_stability_vs_time/step10383.txt</t>
  </si>
  <si>
    <t>170 8892</t>
  </si>
  <si>
    <t>istree_exp5_numerical_stability_vs_time/step10384.txt</t>
  </si>
  <si>
    <t>166 17390</t>
  </si>
  <si>
    <t>istree_exp5_numerical_stability_vs_time/step10385.txt</t>
  </si>
  <si>
    <t>istree_exp5_numerical_stability_vs_time/step10386.txt</t>
  </si>
  <si>
    <t>136 664</t>
  </si>
  <si>
    <t>istree_exp5_numerical_stability_vs_time/step10387.txt</t>
  </si>
  <si>
    <t>150 1148</t>
  </si>
  <si>
    <t>istree_exp5_numerical_stability_vs_time/step10388.txt</t>
  </si>
  <si>
    <t>138 2086</t>
  </si>
  <si>
    <t>istree_exp5_numerical_stability_vs_time/step10389.txt</t>
  </si>
  <si>
    <t>144 3946</t>
  </si>
  <si>
    <t>istree_exp5_numerical_stability_vs_time/step10390.txt</t>
  </si>
  <si>
    <t>istree_exp5_numerical_stability_vs_time/step10391.txt</t>
  </si>
  <si>
    <t>158 15246</t>
  </si>
  <si>
    <t>istree_exp5_numerical_stability_vs_time/step10392.txt</t>
  </si>
  <si>
    <t>140 30408</t>
  </si>
  <si>
    <t>istree_exp5_numerical_stability_vs_time/step10393.txt</t>
  </si>
  <si>
    <t>0 3592 313380 3781283 632820</t>
  </si>
  <si>
    <t>0 3592 313361 3781253 632820</t>
  </si>
  <si>
    <t>istree_exp5_numerical_stability_vs_time/step10394.txt</t>
  </si>
  <si>
    <t>2 10001 343880 4432386 854731</t>
  </si>
  <si>
    <t>1 10000 343843 4432361 854728</t>
  </si>
  <si>
    <t>istree_exp5_numerical_stability_vs_time/step10395.txt</t>
  </si>
  <si>
    <t>6 22581 991403 11528059 1961272</t>
  </si>
  <si>
    <t>2 22580 991313 11527975 1961268</t>
  </si>
  <si>
    <t>istree_exp5_numerical_stability_vs_time/step10396.txt</t>
  </si>
  <si>
    <t>20 49995 1745051 21664161 3773000</t>
  </si>
  <si>
    <t>5 49992 1744881 21664010 3772991</t>
  </si>
  <si>
    <t>istree_exp5_numerical_stability_vs_time/step10397.txt</t>
  </si>
  <si>
    <t>48 105496 3768641 42682236 7297340</t>
  </si>
  <si>
    <t>10 105487 3768288 42681973 7297328</t>
  </si>
  <si>
    <t>istree_exp5_numerical_stability_vs_time/step10398.txt</t>
  </si>
  <si>
    <t>70 209980 7227372 82632881 14275523</t>
  </si>
  <si>
    <t>21 209953 7226655 82632359 14275490</t>
  </si>
  <si>
    <t>istree_exp5_numerical_stability_vs_time/step10399.txt</t>
  </si>
  <si>
    <t>151 419939 14462906 164999771 28368597</t>
  </si>
  <si>
    <t>42 419886 14461589 164998741 28368532</t>
  </si>
  <si>
    <t>istree_exp5_numerical_stability_vs_time/step10400.txt</t>
  </si>
  <si>
    <t>3090 3812</t>
  </si>
  <si>
    <t>istree_exp5_numerical_stability_vs_time/step10401.txt</t>
  </si>
  <si>
    <t>3140 4474</t>
  </si>
  <si>
    <t>istree_exp5_numerical_stability_vs_time/step10402.txt</t>
  </si>
  <si>
    <t>3046 5906</t>
  </si>
  <si>
    <t>istree_exp5_numerical_stability_vs_time/step10403.txt</t>
  </si>
  <si>
    <t>3050 8632</t>
  </si>
  <si>
    <t>istree_exp5_numerical_stability_vs_time/step10404.txt</t>
  </si>
  <si>
    <t>2970 14032</t>
  </si>
  <si>
    <t>istree_exp5_numerical_stability_vs_time/step10405.txt</t>
  </si>
  <si>
    <t>2916 24844</t>
  </si>
  <si>
    <t>istree_exp5_numerical_stability_vs_time/step10406.txt</t>
  </si>
  <si>
    <t>2954 46346</t>
  </si>
  <si>
    <t>istree_exp5_numerical_stability_vs_time/step10407.txt</t>
  </si>
  <si>
    <t>778 1330</t>
  </si>
  <si>
    <t>istree_exp5_numerical_stability_vs_time/step10408.txt</t>
  </si>
  <si>
    <t>778 1704</t>
  </si>
  <si>
    <t>istree_exp5_numerical_stability_vs_time/step10409.txt</t>
  </si>
  <si>
    <t>778 2438</t>
  </si>
  <si>
    <t>istree_exp5_numerical_stability_vs_time/step10410.txt</t>
  </si>
  <si>
    <t>776 3886</t>
  </si>
  <si>
    <t>istree_exp5_numerical_stability_vs_time/step10411.txt</t>
  </si>
  <si>
    <t>774 6772</t>
  </si>
  <si>
    <t>istree_exp5_numerical_stability_vs_time/step10412.txt</t>
  </si>
  <si>
    <t>770 12442</t>
  </si>
  <si>
    <t>istree_exp5_numerical_stability_vs_time/step10413.txt</t>
  </si>
  <si>
    <t>774 23576</t>
  </si>
  <si>
    <t>istree_exp5_numerical_stability_vs_time/step10414.txt</t>
  </si>
  <si>
    <t>742 1248</t>
  </si>
  <si>
    <t>istree_exp5_numerical_stability_vs_time/step10415.txt</t>
  </si>
  <si>
    <t>730 1556</t>
  </si>
  <si>
    <t>istree_exp5_numerical_stability_vs_time/step10416.txt</t>
  </si>
  <si>
    <t>732 2164</t>
  </si>
  <si>
    <t>istree_exp5_numerical_stability_vs_time/step10417.txt</t>
  </si>
  <si>
    <t>724 3388</t>
  </si>
  <si>
    <t>istree_exp5_numerical_stability_vs_time/step10418.txt</t>
  </si>
  <si>
    <t>734 5784</t>
  </si>
  <si>
    <t>istree_exp5_numerical_stability_vs_time/step10419.txt</t>
  </si>
  <si>
    <t>738 10502</t>
  </si>
  <si>
    <t>istree_exp5_numerical_stability_vs_time/step10420.txt</t>
  </si>
  <si>
    <t>728 19760</t>
  </si>
  <si>
    <t>istree_exp5_numerical_stability_vs_time/step10421.txt</t>
  </si>
  <si>
    <t>75 93845 45689 374921</t>
  </si>
  <si>
    <t>40 93374 45537 374889</t>
  </si>
  <si>
    <t>istree_exp5_numerical_stability_vs_time/step10422.txt</t>
  </si>
  <si>
    <t>126 185030 90483 739083</t>
  </si>
  <si>
    <t>78 184116 90190 739036</t>
  </si>
  <si>
    <t>istree_exp5_numerical_stability_vs_time/step10423.txt</t>
  </si>
  <si>
    <t>248 372936 182262 1490568</t>
  </si>
  <si>
    <t>158 371127 181618 1490463</t>
  </si>
  <si>
    <t>istree_exp5_numerical_stability_vs_time/step10424.txt</t>
  </si>
  <si>
    <t>554 747817 363778 2986382</t>
  </si>
  <si>
    <t>318 744185 362584 2986145</t>
  </si>
  <si>
    <t>istree_exp5_numerical_stability_vs_time/step10425.txt</t>
  </si>
  <si>
    <t>1143 1507876 733540 6022429</t>
  </si>
  <si>
    <t>642 1500425 731125 6021983</t>
  </si>
  <si>
    <t>istree_exp5_numerical_stability_vs_time/step10426.txt</t>
  </si>
  <si>
    <t>2328 3002422 1457958 11985267</t>
  </si>
  <si>
    <t>1278 2987829 1453095 11984365</t>
  </si>
  <si>
    <t>istree_exp5_numerical_stability_vs_time/step10427.txt</t>
  </si>
  <si>
    <t>4693 5998164 2918338 23958942</t>
  </si>
  <si>
    <t>2554 5968771 2908927 23957111</t>
  </si>
  <si>
    <t>istree_exp5_numerical_stability_vs_time/step10428.txt</t>
  </si>
  <si>
    <t>148 2294</t>
  </si>
  <si>
    <t>istree_exp5_numerical_stability_vs_time/step10429.txt</t>
  </si>
  <si>
    <t>istree_exp5_numerical_stability_vs_time/step10430.txt</t>
  </si>
  <si>
    <t>istree_exp5_numerical_stability_vs_time/step10431.txt</t>
  </si>
  <si>
    <t>istree_exp5_numerical_stability_vs_time/step10432.txt</t>
  </si>
  <si>
    <t>istree_exp5_numerical_stability_vs_time/step10433.txt</t>
  </si>
  <si>
    <t>istree_exp5_numerical_stability_vs_time/step10434.txt</t>
  </si>
  <si>
    <t>istree_exp5_numerical_stability_vs_time/step10435.txt</t>
  </si>
  <si>
    <t>istree_exp5_numerical_stability_vs_time/step10436.txt</t>
  </si>
  <si>
    <t>236 2692</t>
  </si>
  <si>
    <t>istree_exp5_numerical_stability_vs_time/step10437.txt</t>
  </si>
  <si>
    <t>istree_exp5_numerical_stability_vs_time/step10438.txt</t>
  </si>
  <si>
    <t>istree_exp5_numerical_stability_vs_time/step10439.txt</t>
  </si>
  <si>
    <t>234 18472</t>
  </si>
  <si>
    <t>istree_exp5_numerical_stability_vs_time/step10440.txt</t>
  </si>
  <si>
    <t>istree_exp5_numerical_stability_vs_time/step10441.txt</t>
  </si>
  <si>
    <t>istree_exp5_numerical_stability_vs_time/step10442.txt</t>
  </si>
  <si>
    <t>istree_exp5_numerical_stability_vs_time/step10443.txt</t>
  </si>
  <si>
    <t>istree_exp5_numerical_stability_vs_time/step10444.txt</t>
  </si>
  <si>
    <t>168 4836</t>
  </si>
  <si>
    <t>istree_exp5_numerical_stability_vs_time/step10445.txt</t>
  </si>
  <si>
    <t>istree_exp5_numerical_stability_vs_time/step10446.txt</t>
  </si>
  <si>
    <t>istree_exp5_numerical_stability_vs_time/step10447.txt</t>
  </si>
  <si>
    <t>istree_exp5_numerical_stability_vs_time/step10448.txt</t>
  </si>
  <si>
    <t>istree_exp5_numerical_stability_vs_time/step10449.txt</t>
  </si>
  <si>
    <t>4 9489 79886 2143908 5226</t>
  </si>
  <si>
    <t>3 9489 79854 2143871 5226</t>
  </si>
  <si>
    <t>istree_exp5_numerical_stability_vs_time/step10450.txt</t>
  </si>
  <si>
    <t>11 22144 187075 4685083 11686</t>
  </si>
  <si>
    <t>7 22142 187001 4685001 11686</t>
  </si>
  <si>
    <t>istree_exp5_numerical_stability_vs_time/step10451.txt</t>
  </si>
  <si>
    <t>20 44297 373144 9504684 23583</t>
  </si>
  <si>
    <t>14 44285 373011 9504508 23583</t>
  </si>
  <si>
    <t>istree_exp5_numerical_stability_vs_time/step10452.txt</t>
  </si>
  <si>
    <t>43 85444 722417 18442506 46084</t>
  </si>
  <si>
    <t>27 85428 722114 18442160 46084</t>
  </si>
  <si>
    <t>istree_exp5_numerical_stability_vs_time/step10453.txt</t>
  </si>
  <si>
    <t>105 180344 1523302 38515716 96429</t>
  </si>
  <si>
    <t>57 180314 1522722 38515041 96429</t>
  </si>
  <si>
    <t>istree_exp5_numerical_stability_vs_time/step10454.txt</t>
  </si>
  <si>
    <t>188 359407 3031338 76139502 190651</t>
  </si>
  <si>
    <t>113 359339 3030078 76138163 190651</t>
  </si>
  <si>
    <t>istree_exp5_numerical_stability_vs_time/step10455.txt</t>
  </si>
  <si>
    <t>397 730739 6163772 154932778 388088</t>
  </si>
  <si>
    <t>231 730623 6161236 154929958 388086</t>
  </si>
  <si>
    <t>istree_exp5_numerical_stability_vs_time/step10456.txt</t>
  </si>
  <si>
    <t>istree_exp5_numerical_stability_vs_time/step10457.txt</t>
  </si>
  <si>
    <t>550 3196</t>
  </si>
  <si>
    <t>istree_exp5_numerical_stability_vs_time/step10458.txt</t>
  </si>
  <si>
    <t>638 5672</t>
  </si>
  <si>
    <t>istree_exp5_numerical_stability_vs_time/step10459.txt</t>
  </si>
  <si>
    <t>508 10462</t>
  </si>
  <si>
    <t>istree_exp5_numerical_stability_vs_time/step10460.txt</t>
  </si>
  <si>
    <t>608 20032</t>
  </si>
  <si>
    <t>istree_exp5_numerical_stability_vs_time/step10461.txt</t>
  </si>
  <si>
    <t>626 38752</t>
  </si>
  <si>
    <t>istree_exp5_numerical_stability_vs_time/step10462.txt</t>
  </si>
  <si>
    <t>568 76550</t>
  </si>
  <si>
    <t>istree_exp5_numerical_stability_vs_time/step10463.txt</t>
  </si>
  <si>
    <t>150 808</t>
  </si>
  <si>
    <t>istree_exp5_numerical_stability_vs_time/step10464.txt</t>
  </si>
  <si>
    <t>166 1444</t>
  </si>
  <si>
    <t>istree_exp5_numerical_stability_vs_time/step10465.txt</t>
  </si>
  <si>
    <t>istree_exp5_numerical_stability_vs_time/step10466.txt</t>
  </si>
  <si>
    <t>166 5198</t>
  </si>
  <si>
    <t>istree_exp5_numerical_stability_vs_time/step10467.txt</t>
  </si>
  <si>
    <t>164 10138</t>
  </si>
  <si>
    <t>istree_exp5_numerical_stability_vs_time/step10468.txt</t>
  </si>
  <si>
    <t>168 19982</t>
  </si>
  <si>
    <t>istree_exp5_numerical_stability_vs_time/step10469.txt</t>
  </si>
  <si>
    <t>164 39712</t>
  </si>
  <si>
    <t>istree_exp5_numerical_stability_vs_time/step10470.txt</t>
  </si>
  <si>
    <t>istree_exp5_numerical_stability_vs_time/step10471.txt</t>
  </si>
  <si>
    <t>142 1286</t>
  </si>
  <si>
    <t>istree_exp5_numerical_stability_vs_time/step10472.txt</t>
  </si>
  <si>
    <t>154 2366</t>
  </si>
  <si>
    <t>istree_exp5_numerical_stability_vs_time/step10473.txt</t>
  </si>
  <si>
    <t>148 4530</t>
  </si>
  <si>
    <t>istree_exp5_numerical_stability_vs_time/step10474.txt</t>
  </si>
  <si>
    <t>istree_exp5_numerical_stability_vs_time/step10475.txt</t>
  </si>
  <si>
    <t>istree_exp5_numerical_stability_vs_time/step10476.txt</t>
  </si>
  <si>
    <t>152 34890</t>
  </si>
  <si>
    <t>istree_exp5_numerical_stability_vs_time/step10477.txt</t>
  </si>
  <si>
    <t>0 0 7 607643 201491</t>
  </si>
  <si>
    <t>0 0 7 607642 201491</t>
  </si>
  <si>
    <t>istree_exp5_numerical_stability_vs_time/step10478.txt</t>
  </si>
  <si>
    <t>0 0 53250 2595547 492005</t>
  </si>
  <si>
    <t>0 0 53250 2595541 492005</t>
  </si>
  <si>
    <t>istree_exp5_numerical_stability_vs_time/step10479.txt</t>
  </si>
  <si>
    <t>1 10002 344446 3952283 715032</t>
  </si>
  <si>
    <t>1 10001 344425 3952275 715032</t>
  </si>
  <si>
    <t>istree_exp5_numerical_stability_vs_time/step10480.txt</t>
  </si>
  <si>
    <t>3 19998 688737 8461073 1548666</t>
  </si>
  <si>
    <t>2 19998 688704 8461053 1548665</t>
  </si>
  <si>
    <t>istree_exp5_numerical_stability_vs_time/step10481.txt</t>
  </si>
  <si>
    <t>8 39993 1412196 17908741 3126048</t>
  </si>
  <si>
    <t>4 39993 1412139 17908705 3126048</t>
  </si>
  <si>
    <t>istree_exp5_numerical_stability_vs_time/step10482.txt</t>
  </si>
  <si>
    <t>18 89993 3095710 34980359 5991764</t>
  </si>
  <si>
    <t>9 89989 3095579 34980280 5991755</t>
  </si>
  <si>
    <t>istree_exp5_numerical_stability_vs_time/step10483.txt</t>
  </si>
  <si>
    <t>28 170228 6094558 69645860 11924721</t>
  </si>
  <si>
    <t>17 170222 6094281 69645697 11924705</t>
  </si>
  <si>
    <t>istree_exp5_numerical_stability_vs_time/step10484.txt</t>
  </si>
  <si>
    <t>3192 4060</t>
  </si>
  <si>
    <t>istree_exp5_numerical_stability_vs_time/step10485.txt</t>
  </si>
  <si>
    <t>3086 4940</t>
  </si>
  <si>
    <t>istree_exp5_numerical_stability_vs_time/step10486.txt</t>
  </si>
  <si>
    <t>3198 6650</t>
  </si>
  <si>
    <t>istree_exp5_numerical_stability_vs_time/step10487.txt</t>
  </si>
  <si>
    <t>3082 10072</t>
  </si>
  <si>
    <t>istree_exp5_numerical_stability_vs_time/step10488.txt</t>
  </si>
  <si>
    <t>3006 16800</t>
  </si>
  <si>
    <t>istree_exp5_numerical_stability_vs_time/step10489.txt</t>
  </si>
  <si>
    <t>2976 29918</t>
  </si>
  <si>
    <t>istree_exp5_numerical_stability_vs_time/step10490.txt</t>
  </si>
  <si>
    <t>3242 55814</t>
  </si>
  <si>
    <t>istree_exp5_numerical_stability_vs_time/step10491.txt</t>
  </si>
  <si>
    <t>776 1350</t>
  </si>
  <si>
    <t>istree_exp5_numerical_stability_vs_time/step10492.txt</t>
  </si>
  <si>
    <t>778 1740</t>
  </si>
  <si>
    <t>istree_exp5_numerical_stability_vs_time/step10493.txt</t>
  </si>
  <si>
    <t>778 2522</t>
  </si>
  <si>
    <t>istree_exp5_numerical_stability_vs_time/step10494.txt</t>
  </si>
  <si>
    <t>778 4088</t>
  </si>
  <si>
    <t>istree_exp5_numerical_stability_vs_time/step10495.txt</t>
  </si>
  <si>
    <t>778 7214</t>
  </si>
  <si>
    <t>istree_exp5_numerical_stability_vs_time/step10496.txt</t>
  </si>
  <si>
    <t>778 13436</t>
  </si>
  <si>
    <t>istree_exp5_numerical_stability_vs_time/step10497.txt</t>
  </si>
  <si>
    <t>778 25740</t>
  </si>
  <si>
    <t>istree_exp5_numerical_stability_vs_time/step10498.txt</t>
  </si>
  <si>
    <t>748 1268</t>
  </si>
  <si>
    <t>istree_exp5_numerical_stability_vs_time/step10499.txt</t>
  </si>
  <si>
    <t>734 1598</t>
  </si>
  <si>
    <t>istree_exp5_numerical_stability_vs_time/step10500.txt</t>
  </si>
  <si>
    <t>734 2252</t>
  </si>
  <si>
    <t>istree_exp5_numerical_stability_vs_time/step10501.txt</t>
  </si>
  <si>
    <t>738 3578</t>
  </si>
  <si>
    <t>istree_exp5_numerical_stability_vs_time/step10502.txt</t>
  </si>
  <si>
    <t>734 6218</t>
  </si>
  <si>
    <t>istree_exp5_numerical_stability_vs_time/step10503.txt</t>
  </si>
  <si>
    <t>736 11466</t>
  </si>
  <si>
    <t>istree_exp5_numerical_stability_vs_time/step10504.txt</t>
  </si>
  <si>
    <t>728 21952</t>
  </si>
  <si>
    <t>istree_exp5_numerical_stability_vs_time/step10505.txt</t>
  </si>
  <si>
    <t>8 18778 9177 75411</t>
  </si>
  <si>
    <t>8 18759 9169 75410</t>
  </si>
  <si>
    <t>istree_exp5_numerical_stability_vs_time/step10506.txt</t>
  </si>
  <si>
    <t>17 37594 18131 151067</t>
  </si>
  <si>
    <t>16 37554 18120 151065</t>
  </si>
  <si>
    <t>istree_exp5_numerical_stability_vs_time/step10507.txt</t>
  </si>
  <si>
    <t>34 75014 36587 300158</t>
  </si>
  <si>
    <t>31 74952 36563 300156</t>
  </si>
  <si>
    <t>istree_exp5_numerical_stability_vs_time/step10508.txt</t>
  </si>
  <si>
    <t>71 147806 71725 590471</t>
  </si>
  <si>
    <t>62 147704 71682 590467</t>
  </si>
  <si>
    <t>istree_exp5_numerical_stability_vs_time/step10509.txt</t>
  </si>
  <si>
    <t>147 293259 142733 1172246</t>
  </si>
  <si>
    <t>125 293022 142648 1172230</t>
  </si>
  <si>
    <t>istree_exp5_numerical_stability_vs_time/step10510.txt</t>
  </si>
  <si>
    <t>272 584332 283439 2333167</t>
  </si>
  <si>
    <t>249 583839 283294 2333131</t>
  </si>
  <si>
    <t>istree_exp5_numerical_stability_vs_time/step10511.txt</t>
  </si>
  <si>
    <t>551 1172696 567379 4685368</t>
  </si>
  <si>
    <t>499 1171728 567061 4685307</t>
  </si>
  <si>
    <t>istree_exp5_numerical_stability_vs_time/step10512.txt</t>
  </si>
  <si>
    <t>istree_exp5_numerical_stability_vs_time/step10513.txt</t>
  </si>
  <si>
    <t>istree_exp5_numerical_stability_vs_time/step10514.txt</t>
  </si>
  <si>
    <t>istree_exp5_numerical_stability_vs_time/step10515.txt</t>
  </si>
  <si>
    <t>istree_exp5_numerical_stability_vs_time/step10516.txt</t>
  </si>
  <si>
    <t>istree_exp5_numerical_stability_vs_time/step10517.txt</t>
  </si>
  <si>
    <t>istree_exp5_numerical_stability_vs_time/step10518.txt</t>
  </si>
  <si>
    <t>istree_exp5_numerical_stability_vs_time/step10519.txt</t>
  </si>
  <si>
    <t>istree_exp5_numerical_stability_vs_time/step10520.txt</t>
  </si>
  <si>
    <t>istree_exp5_numerical_stability_vs_time/step10521.txt</t>
  </si>
  <si>
    <t>248 5612</t>
  </si>
  <si>
    <t>istree_exp5_numerical_stability_vs_time/step10522.txt</t>
  </si>
  <si>
    <t>istree_exp5_numerical_stability_vs_time/step10523.txt</t>
  </si>
  <si>
    <t>istree_exp5_numerical_stability_vs_time/step10524.txt</t>
  </si>
  <si>
    <t>istree_exp5_numerical_stability_vs_time/step10525.txt</t>
  </si>
  <si>
    <t>istree_exp5_numerical_stability_vs_time/step10526.txt</t>
  </si>
  <si>
    <t>istree_exp5_numerical_stability_vs_time/step10527.txt</t>
  </si>
  <si>
    <t>istree_exp5_numerical_stability_vs_time/step10528.txt</t>
  </si>
  <si>
    <t>istree_exp5_numerical_stability_vs_time/step10529.txt</t>
  </si>
  <si>
    <t>istree_exp5_numerical_stability_vs_time/step10530.txt</t>
  </si>
  <si>
    <t>222 20388</t>
  </si>
  <si>
    <t>istree_exp5_numerical_stability_vs_time/step10531.txt</t>
  </si>
  <si>
    <t>istree_exp5_numerical_stability_vs_time/step10532.txt</t>
  </si>
  <si>
    <t>istree_exp5_numerical_stability_vs_time/step10533.txt</t>
  </si>
  <si>
    <t>0 11 3799 353522 697</t>
  </si>
  <si>
    <t>0 11 3799 353521 697</t>
  </si>
  <si>
    <t>istree_exp5_numerical_stability_vs_time/step10534.txt</t>
  </si>
  <si>
    <t>1 3163 26820 669828 1714</t>
  </si>
  <si>
    <t>1 3163 26818 669825 1714</t>
  </si>
  <si>
    <t>istree_exp5_numerical_stability_vs_time/step10535.txt</t>
  </si>
  <si>
    <t>2 6326 53550 1340410 3413</t>
  </si>
  <si>
    <t>2 6326 53550 1340406 3413</t>
  </si>
  <si>
    <t>istree_exp5_numerical_stability_vs_time/step10536.txt</t>
  </si>
  <si>
    <t>6 12652 107277 2679985 6727</t>
  </si>
  <si>
    <t>4 12652 107271 2679975 6727</t>
  </si>
  <si>
    <t>istree_exp5_numerical_stability_vs_time/step10537.txt</t>
  </si>
  <si>
    <t>9 25301 214097 5353148 13324</t>
  </si>
  <si>
    <t>8 25301 214085 5353136 13324</t>
  </si>
  <si>
    <t>istree_exp5_numerical_stability_vs_time/step10538.txt</t>
  </si>
  <si>
    <t>17 50612 426594 10707179 26959</t>
  </si>
  <si>
    <t>16 50611 426571 10707144 26959</t>
  </si>
  <si>
    <t>istree_exp5_numerical_stability_vs_time/step10539.txt</t>
  </si>
  <si>
    <t>34 101219 853564 21419982 53824</t>
  </si>
  <si>
    <t>32 101217 853507 21419920 53824</t>
  </si>
  <si>
    <t>istree_exp5_numerical_stability_vs_time/step10540.txt</t>
  </si>
  <si>
    <t>istree_exp5_numerical_stability_vs_time/step10541.txt</t>
  </si>
  <si>
    <t>istree_exp5_numerical_stability_vs_time/step10542.txt</t>
  </si>
  <si>
    <t>istree_exp5_numerical_stability_vs_time/step10543.txt</t>
  </si>
  <si>
    <t>istree_exp5_numerical_stability_vs_time/step10544.txt</t>
  </si>
  <si>
    <t>istree_exp5_numerical_stability_vs_time/step10545.txt</t>
  </si>
  <si>
    <t>532 44880</t>
  </si>
  <si>
    <t>istree_exp5_numerical_stability_vs_time/step10546.txt</t>
  </si>
  <si>
    <t>istree_exp5_numerical_stability_vs_time/step10547.txt</t>
  </si>
  <si>
    <t>istree_exp5_numerical_stability_vs_time/step10548.txt</t>
  </si>
  <si>
    <t>148 1520</t>
  </si>
  <si>
    <t>istree_exp5_numerical_stability_vs_time/step10549.txt</t>
  </si>
  <si>
    <t>168 2876</t>
  </si>
  <si>
    <t>istree_exp5_numerical_stability_vs_time/step10550.txt</t>
  </si>
  <si>
    <t>164 5580</t>
  </si>
  <si>
    <t>istree_exp5_numerical_stability_vs_time/step10551.txt</t>
  </si>
  <si>
    <t>166 10984</t>
  </si>
  <si>
    <t>istree_exp5_numerical_stability_vs_time/step10552.txt</t>
  </si>
  <si>
    <t>168 21666</t>
  </si>
  <si>
    <t>istree_exp5_numerical_stability_vs_time/step10553.txt</t>
  </si>
  <si>
    <t>istree_exp5_numerical_stability_vs_time/step10554.txt</t>
  </si>
  <si>
    <t>148 748</t>
  </si>
  <si>
    <t>istree_exp5_numerical_stability_vs_time/step10555.txt</t>
  </si>
  <si>
    <t>150 1328</t>
  </si>
  <si>
    <t>istree_exp5_numerical_stability_vs_time/step10556.txt</t>
  </si>
  <si>
    <t>istree_exp5_numerical_stability_vs_time/step10557.txt</t>
  </si>
  <si>
    <t>150 4828</t>
  </si>
  <si>
    <t>istree_exp5_numerical_stability_vs_time/step10558.txt</t>
  </si>
  <si>
    <t>istree_exp5_numerical_stability_vs_time/step10559.txt</t>
  </si>
  <si>
    <t>152 18652</t>
  </si>
  <si>
    <t>istree_exp5_numerical_stability_vs_time/step10560.txt</t>
  </si>
  <si>
    <t>148 36844</t>
  </si>
  <si>
    <t>istree_exp5_numerical_stability_vs_time/step10561.txt</t>
  </si>
  <si>
    <t>0 0 0 1870 4913</t>
  </si>
  <si>
    <t>istree_exp5_numerical_stability_vs_time/step10562.txt</t>
  </si>
  <si>
    <t>0 0 0 13639 17722</t>
  </si>
  <si>
    <t>istree_exp5_numerical_stability_vs_time/step10563.txt</t>
  </si>
  <si>
    <t>0 0 0 90129 60553</t>
  </si>
  <si>
    <t>istree_exp5_numerical_stability_vs_time/step10564.txt</t>
  </si>
  <si>
    <t>0 0 2 511682 181234</t>
  </si>
  <si>
    <t>istree_exp5_numerical_stability_vs_time/step10565.txt</t>
  </si>
  <si>
    <t>0 0 23147 2207009 444701</t>
  </si>
  <si>
    <t>0 0 23146 2207009 444701</t>
  </si>
  <si>
    <t>istree_exp5_numerical_stability_vs_time/step10566.txt</t>
  </si>
  <si>
    <t>2 10001 343649 4092806 768833</t>
  </si>
  <si>
    <t>1 10000 343649 4092805 768833</t>
  </si>
  <si>
    <t>istree_exp5_numerical_stability_vs_time/step10567.txt</t>
  </si>
  <si>
    <t>3 19994 688452 8780915 1606773</t>
  </si>
  <si>
    <t>2 19994 688446 8780913 1606773</t>
  </si>
  <si>
    <t>istree_exp5_numerical_stability_vs_time/step10568.txt</t>
  </si>
  <si>
    <t>3040 4132</t>
  </si>
  <si>
    <t>istree_exp5_numerical_stability_vs_time/step10569.txt</t>
  </si>
  <si>
    <t>2978 5034</t>
  </si>
  <si>
    <t>istree_exp5_numerical_stability_vs_time/step10570.txt</t>
  </si>
  <si>
    <t>3130 6838</t>
  </si>
  <si>
    <t>istree_exp5_numerical_stability_vs_time/step10571.txt</t>
  </si>
  <si>
    <t>3120 10404</t>
  </si>
  <si>
    <t>istree_exp5_numerical_stability_vs_time/step10572.txt</t>
  </si>
  <si>
    <t>2964 17780</t>
  </si>
  <si>
    <t>istree_exp5_numerical_stability_vs_time/step10573.txt</t>
  </si>
  <si>
    <t>2938 32406</t>
  </si>
  <si>
    <t>istree_exp5_numerical_stability_vs_time/step10574.txt</t>
  </si>
  <si>
    <t>2944 61548</t>
  </si>
  <si>
    <t>istree_exp5_numerical_stability_vs_time/step10575.txt</t>
  </si>
  <si>
    <t>770 1354</t>
  </si>
  <si>
    <t>istree_exp5_numerical_stability_vs_time/step10576.txt</t>
  </si>
  <si>
    <t>780 1754</t>
  </si>
  <si>
    <t>istree_exp5_numerical_stability_vs_time/step10577.txt</t>
  </si>
  <si>
    <t>istree_exp5_numerical_stability_vs_time/step10578.txt</t>
  </si>
  <si>
    <t>778 4158</t>
  </si>
  <si>
    <t>istree_exp5_numerical_stability_vs_time/step10579.txt</t>
  </si>
  <si>
    <t>772 7398</t>
  </si>
  <si>
    <t>istree_exp5_numerical_stability_vs_time/step10580.txt</t>
  </si>
  <si>
    <t>776 13848</t>
  </si>
  <si>
    <t>istree_exp5_numerical_stability_vs_time/step10581.txt</t>
  </si>
  <si>
    <t>780 26864</t>
  </si>
  <si>
    <t>istree_exp5_numerical_stability_vs_time/step10582.txt</t>
  </si>
  <si>
    <t>732 1274</t>
  </si>
  <si>
    <t>istree_exp5_numerical_stability_vs_time/step10583.txt</t>
  </si>
  <si>
    <t>730 1602</t>
  </si>
  <si>
    <t>istree_exp5_numerical_stability_vs_time/step10584.txt</t>
  </si>
  <si>
    <t>736 2262</t>
  </si>
  <si>
    <t>istree_exp5_numerical_stability_vs_time/step10585.txt</t>
  </si>
  <si>
    <t>738 3612</t>
  </si>
  <si>
    <t>istree_exp5_numerical_stability_vs_time/step10586.txt</t>
  </si>
  <si>
    <t>742 6320</t>
  </si>
  <si>
    <t>istree_exp5_numerical_stability_vs_time/step10587.txt</t>
  </si>
  <si>
    <t>726 11752</t>
  </si>
  <si>
    <t>istree_exp5_numerical_stability_vs_time/step10588.txt</t>
  </si>
  <si>
    <t>738 22672</t>
  </si>
  <si>
    <t>istree_exp5_numerical_stability_vs_time/step10589.txt</t>
  </si>
  <si>
    <t>istree_exp5_numerical_stability_vs_time/step10590.txt</t>
  </si>
  <si>
    <t>istree_exp5_numerical_stability_vs_time/step10591.txt</t>
  </si>
  <si>
    <t>istree_exp5_numerical_stability_vs_time/step10592.txt</t>
  </si>
  <si>
    <t>istree_exp5_numerical_stability_vs_time/step10593.txt</t>
  </si>
  <si>
    <t>istree_exp5_numerical_stability_vs_time/step10594.txt</t>
  </si>
  <si>
    <t>istree_exp5_numerical_stability_vs_time/step10595.txt</t>
  </si>
  <si>
    <t>istree_exp5_numerical_stability_vs_time/step10596.txt</t>
  </si>
  <si>
    <t>istree_exp5_numerical_stability_vs_time/step10597.txt</t>
  </si>
  <si>
    <t>istree_exp5_numerical_stability_vs_time/step10598.txt</t>
  </si>
  <si>
    <t>istree_exp5_numerical_stability_vs_time/step10599.txt</t>
  </si>
  <si>
    <t>istree_exp5_numerical_stability_vs_time/step10600.txt</t>
  </si>
  <si>
    <t>istree_exp5_numerical_stability_vs_time/step10601.txt</t>
  </si>
  <si>
    <t>182 92022</t>
  </si>
  <si>
    <t>istree_exp5_numerical_stability_vs_time/step10602.txt</t>
  </si>
  <si>
    <t>istree_exp5_numerical_stability_vs_time/step10603.txt</t>
  </si>
  <si>
    <t>istree_exp5_numerical_stability_vs_time/step10604.txt</t>
  </si>
  <si>
    <t>istree_exp5_numerical_stability_vs_time/step10605.txt</t>
  </si>
  <si>
    <t>istree_exp5_numerical_stability_vs_time/step10606.txt</t>
  </si>
  <si>
    <t>istree_exp5_numerical_stability_vs_time/step10607.txt</t>
  </si>
  <si>
    <t>istree_exp5_numerical_stability_vs_time/step10608.txt</t>
  </si>
  <si>
    <t>istree_exp5_numerical_stability_vs_time/step10609.txt</t>
  </si>
  <si>
    <t>istree_exp5_numerical_stability_vs_time/step10610.txt</t>
  </si>
  <si>
    <t>istree_exp5_numerical_stability_vs_time/step10611.txt</t>
  </si>
  <si>
    <t>istree_exp5_numerical_stability_vs_time/step10612.txt</t>
  </si>
  <si>
    <t>istree_exp5_numerical_stability_vs_time/step10613.txt</t>
  </si>
  <si>
    <t>istree_exp5_numerical_stability_vs_time/step10614.txt</t>
  </si>
  <si>
    <t>istree_exp5_numerical_stability_vs_time/step10615.txt</t>
  </si>
  <si>
    <t>istree_exp5_numerical_stability_vs_time/step10616.txt</t>
  </si>
  <si>
    <t>istree_exp5_numerical_stability_vs_time/step10617.txt</t>
  </si>
  <si>
    <t>istree_exp5_numerical_stability_vs_time/step10618.txt</t>
  </si>
  <si>
    <t>istree_exp5_numerical_stability_vs_time/step10619.txt</t>
  </si>
  <si>
    <t>istree_exp5_numerical_stability_vs_time/step10620.txt</t>
  </si>
  <si>
    <t>istree_exp5_numerical_stability_vs_time/step10621.txt</t>
  </si>
  <si>
    <t>istree_exp5_numerical_stability_vs_time/step10622.txt</t>
  </si>
  <si>
    <t>istree_exp5_numerical_stability_vs_time/step10623.txt</t>
  </si>
  <si>
    <t>istree_exp5_numerical_stability_vs_time/step10624.txt</t>
  </si>
  <si>
    <t>632 2134</t>
  </si>
  <si>
    <t>istree_exp5_numerical_stability_vs_time/step10625.txt</t>
  </si>
  <si>
    <t>istree_exp5_numerical_stability_vs_time/step10626.txt</t>
  </si>
  <si>
    <t>istree_exp5_numerical_stability_vs_time/step10627.txt</t>
  </si>
  <si>
    <t>644 12552</t>
  </si>
  <si>
    <t>istree_exp5_numerical_stability_vs_time/step10628.txt</t>
  </si>
  <si>
    <t>istree_exp5_numerical_stability_vs_time/step10629.txt</t>
  </si>
  <si>
    <t>538 47846</t>
  </si>
  <si>
    <t>istree_exp5_numerical_stability_vs_time/step10630.txt</t>
  </si>
  <si>
    <t>istree_exp5_numerical_stability_vs_time/step10631.txt</t>
  </si>
  <si>
    <t>168 844</t>
  </si>
  <si>
    <t>istree_exp5_numerical_stability_vs_time/step10632.txt</t>
  </si>
  <si>
    <t>170 1534</t>
  </si>
  <si>
    <t>istree_exp5_numerical_stability_vs_time/step10633.txt</t>
  </si>
  <si>
    <t>istree_exp5_numerical_stability_vs_time/step10634.txt</t>
  </si>
  <si>
    <t>istree_exp5_numerical_stability_vs_time/step10635.txt</t>
  </si>
  <si>
    <t>166 11218</t>
  </si>
  <si>
    <t>istree_exp5_numerical_stability_vs_time/step10636.txt</t>
  </si>
  <si>
    <t>170 22324</t>
  </si>
  <si>
    <t>istree_exp5_numerical_stability_vs_time/step10637.txt</t>
  </si>
  <si>
    <t>166 44298</t>
  </si>
  <si>
    <t>istree_exp5_numerical_stability_vs_time/step10638.txt</t>
  </si>
  <si>
    <t>146 758</t>
  </si>
  <si>
    <t>istree_exp5_numerical_stability_vs_time/step10639.txt</t>
  </si>
  <si>
    <t>154 1330</t>
  </si>
  <si>
    <t>istree_exp5_numerical_stability_vs_time/step10640.txt</t>
  </si>
  <si>
    <t>142 2520</t>
  </si>
  <si>
    <t>istree_exp5_numerical_stability_vs_time/step10641.txt</t>
  </si>
  <si>
    <t>154 4896</t>
  </si>
  <si>
    <t>istree_exp5_numerical_stability_vs_time/step10642.txt</t>
  </si>
  <si>
    <t>154 9678</t>
  </si>
  <si>
    <t>istree_exp5_numerical_stability_vs_time/step10643.txt</t>
  </si>
  <si>
    <t>152 19180</t>
  </si>
  <si>
    <t>istree_exp5_numerical_stability_vs_time/step10644.txt</t>
  </si>
  <si>
    <t>istree_exp5_numerical_stability_vs_time/step10645.txt</t>
  </si>
  <si>
    <t>istree_exp5_numerical_stability_vs_time/step10646.txt</t>
  </si>
  <si>
    <t>istree_exp5_numerical_stability_vs_time/step10647.txt</t>
  </si>
  <si>
    <t>istree_exp5_numerical_stability_vs_time/step10648.txt</t>
  </si>
  <si>
    <t>istree_exp5_numerical_stability_vs_time/step10649.txt</t>
  </si>
  <si>
    <t>istree_exp5_numerical_stability_vs_time/step10650.txt</t>
  </si>
  <si>
    <t>istree_exp5_numerical_stability_vs_time/step10651.txt</t>
  </si>
  <si>
    <t>istree_exp5_numerical_stability_vs_time/step10652.txt</t>
  </si>
  <si>
    <t>3192 4124</t>
  </si>
  <si>
    <t>istree_exp5_numerical_stability_vs_time/step10653.txt</t>
  </si>
  <si>
    <t>2998 5008</t>
  </si>
  <si>
    <t>istree_exp5_numerical_stability_vs_time/step10654.txt</t>
  </si>
  <si>
    <t>3046 6986</t>
  </si>
  <si>
    <t>istree_exp5_numerical_stability_vs_time/step10655.txt</t>
  </si>
  <si>
    <t>3074 10686</t>
  </si>
  <si>
    <t>istree_exp5_numerical_stability_vs_time/step10656.txt</t>
  </si>
  <si>
    <t>2968 18034</t>
  </si>
  <si>
    <t>istree_exp5_numerical_stability_vs_time/step10657.txt</t>
  </si>
  <si>
    <t>3038 33184</t>
  </si>
  <si>
    <t>istree_exp5_numerical_stability_vs_time/step10658.txt</t>
  </si>
  <si>
    <t>3112 63534</t>
  </si>
  <si>
    <t>istree_exp5_numerical_stability_vs_time/step10659.txt</t>
  </si>
  <si>
    <t>istree_exp5_numerical_stability_vs_time/step10660.txt</t>
  </si>
  <si>
    <t>776 1752</t>
  </si>
  <si>
    <t>istree_exp5_numerical_stability_vs_time/step10661.txt</t>
  </si>
  <si>
    <t>774 2560</t>
  </si>
  <si>
    <t>istree_exp5_numerical_stability_vs_time/step10662.txt</t>
  </si>
  <si>
    <t>778 4160</t>
  </si>
  <si>
    <t>istree_exp5_numerical_stability_vs_time/step10663.txt</t>
  </si>
  <si>
    <t>776 7412</t>
  </si>
  <si>
    <t>istree_exp5_numerical_stability_vs_time/step10664.txt</t>
  </si>
  <si>
    <t>780 13982</t>
  </si>
  <si>
    <t>istree_exp5_numerical_stability_vs_time/step10665.txt</t>
  </si>
  <si>
    <t>778 27174</t>
  </si>
  <si>
    <t>istree_exp5_numerical_stability_vs_time/step10666.txt</t>
  </si>
  <si>
    <t>746 1274</t>
  </si>
  <si>
    <t>istree_exp5_numerical_stability_vs_time/step10667.txt</t>
  </si>
  <si>
    <t>738 1608</t>
  </si>
  <si>
    <t>istree_exp5_numerical_stability_vs_time/step10668.txt</t>
  </si>
  <si>
    <t>740 2272</t>
  </si>
  <si>
    <t>istree_exp5_numerical_stability_vs_time/step10669.txt</t>
  </si>
  <si>
    <t>732 3616</t>
  </si>
  <si>
    <t>istree_exp5_numerical_stability_vs_time/step10670.txt</t>
  </si>
  <si>
    <t>726 6324</t>
  </si>
  <si>
    <t>istree_exp5_numerical_stability_vs_time/step10671.txt</t>
  </si>
  <si>
    <t>938 11780</t>
  </si>
  <si>
    <t>istree_exp5_numerical_stability_vs_time/step10672.txt</t>
  </si>
  <si>
    <t>732 22838</t>
  </si>
  <si>
    <t>ABTree</t>
  </si>
  <si>
    <t>NM</t>
  </si>
  <si>
    <t>u=0%, k=2x10^6</t>
  </si>
  <si>
    <t>Min of total_throughput</t>
  </si>
  <si>
    <t>Max of total_throughput</t>
  </si>
  <si>
    <t>Error bar (+) range</t>
  </si>
  <si>
    <t>Error bar (-) range</t>
  </si>
  <si>
    <t>AD60:AJ63</t>
  </si>
  <si>
    <t>B60:H63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</si>
</sst>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font>
      <sz val="11"/>
      <color theme="1"/>
      <name val="Calibri"/>
      <family val="2"/>
      <scheme val="minor"/>
    </font>
    <font>
      <b/>
      <sz val="11"/>
      <color theme="1"/>
      <name val="Calibri"/>
      <family val="2"/>
      <scheme val="minor"/>
    </font>
    <font>
      <sz val="10"/>
      <color theme="1"/>
      <name val="Arial Unicode MS"/>
      <family val="2"/>
    </font>
    <font>
      <b/>
      <sz val="16"/>
      <color theme="1"/>
      <name val="Calibri"/>
      <family val="2"/>
      <scheme val="minor"/>
    </font>
    <font>
      <sz val="16"/>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0">
    <xf numFmtId="0" fontId="0" fillId="0" borderId="0" xfId="0"/>
    <xf numFmtId="0" fontId="1" fillId="0" borderId="0" xfId="0" applyFont="1"/>
    <xf numFmtId="0" fontId="0" fillId="0" borderId="0" xfId="0" applyAlignment="1">
      <alignment horizontal="right"/>
    </xf>
    <xf numFmtId="0" fontId="2" fillId="0" borderId="0" xfId="0" applyFont="1" applyAlignment="1">
      <alignment vertical="center"/>
    </xf>
    <xf numFmtId="0" fontId="3" fillId="0" borderId="0" xfId="0" applyFont="1" applyAlignment="1">
      <alignment horizontal="right"/>
    </xf>
    <xf numFmtId="0" fontId="4" fillId="0" borderId="0" xfId="0" applyFont="1"/>
    <xf numFmtId="0" fontId="0" fillId="0" borderId="0" xfId="0" pivotButton="1"/>
    <xf numFmtId="0" fontId="0" fillId="0" borderId="0" xfId="0" applyAlignment="1">
      <alignment horizontal="left"/>
    </xf>
    <xf numFmtId="1" fontId="0" fillId="0" borderId="0" xfId="0" applyNumberFormat="1"/>
    <xf numFmtId="0" fontId="0" fillId="0" borderId="0" xfId="0" pivotButton="1" applyFont="1"/>
  </cellXfs>
  <cellStyles count="1">
    <cellStyle name="Normal" xfId="0" builtinId="0"/>
  </cellStyles>
  <dxfs count="10">
    <dxf>
      <font>
        <b val="0"/>
      </font>
    </dxf>
    <dxf>
      <font>
        <b/>
      </font>
    </dxf>
    <dxf>
      <font>
        <b val="0"/>
      </font>
    </dxf>
    <dxf>
      <font>
        <b/>
      </font>
    </dxf>
    <dxf>
      <numFmt numFmtId="164" formatCode="0.0"/>
    </dxf>
    <dxf>
      <numFmt numFmtId="1" formatCode="0"/>
    </dxf>
    <dxf>
      <numFmt numFmtId="164" formatCode="0.0"/>
    </dxf>
    <dxf>
      <numFmt numFmtId="1" formatCode="0"/>
    </dxf>
    <dxf>
      <numFmt numFmtId="1" formatCode="0"/>
    </dxf>
    <dxf>
      <numFmt numFmtId="164" formatCode="0.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00"/>
      <color rgb="FFFFFFFF"/>
      <color rgb="FFFAF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[exp5_numerical_stability_vs_time.xlsm]pivot!PivotTableMain</c:name>
    <c:fmtId val="9"/>
  </c:pivotSource>
  <c:chart>
    <c:title>
      <c:tx>
        <c:strRef>
          <c:f>pivot!$C$2</c:f>
          <c:strCache>
            <c:ptCount val="1"/>
            <c:pt idx="0">
              <c:v>u=0%, k=2x10^6, 190 threads</c:v>
            </c:pt>
          </c:strCache>
        </c:strRef>
      </c:tx>
      <c:layout>
        <c:manualLayout>
          <c:xMode val="edge"/>
          <c:yMode val="edge"/>
          <c:x val="0.32717618653076008"/>
          <c:y val="1.8466614263811579E-2"/>
        </c:manualLayout>
      </c:layout>
      <c:overlay val="0"/>
      <c:spPr>
        <a:noFill/>
        <a:ln>
          <a:noFill/>
        </a:ln>
        <a:effectLst/>
      </c:spPr>
      <c:txPr>
        <a:bodyPr rot="0" spcFirstLastPara="1" vertOverflow="ellipsis" vert="horz" wrap="square" anchor="ctr" anchorCtr="1"/>
        <a:lstStyle/>
        <a:p>
          <a:pPr>
            <a:defRPr sz="40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32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
        <c:idx val="11"/>
        <c:spPr>
          <a:solidFill>
            <a:schemeClr val="accent1"/>
          </a:solidFill>
          <a:ln>
            <a:noFill/>
          </a:ln>
          <a:effectLst/>
        </c:spPr>
        <c:marker>
          <c:symbol val="none"/>
        </c:marker>
      </c:pivotFmt>
      <c:pivotFmt>
        <c:idx val="12"/>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3200" b="0" i="0" u="none" strike="noStrike" kern="1200" baseline="0">
                  <a:solidFill>
                    <a:schemeClr val="bg1"/>
                  </a:solidFill>
                  <a:latin typeface="+mn-lt"/>
                  <a:ea typeface="+mn-ea"/>
                  <a:cs typeface="+mn-cs"/>
                </a:defRPr>
              </a:pPr>
              <a:endParaRPr lang="en-US"/>
            </a:p>
          </c:txPr>
          <c:dLblPos val="inEnd"/>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pivotFmt>
    </c:pivotFmts>
    <c:plotArea>
      <c:layout>
        <c:manualLayout>
          <c:layoutTarget val="inner"/>
          <c:xMode val="edge"/>
          <c:yMode val="edge"/>
          <c:x val="0.15932715969248754"/>
          <c:y val="0.10962637701386366"/>
          <c:w val="0.82987150743695348"/>
          <c:h val="0.70519383219930465"/>
        </c:manualLayout>
      </c:layout>
      <c:barChart>
        <c:barDir val="col"/>
        <c:grouping val="clustered"/>
        <c:varyColors val="0"/>
        <c:ser>
          <c:idx val="0"/>
          <c:order val="0"/>
          <c:tx>
            <c:strRef>
              <c:f>pivot!$C$2</c:f>
              <c:strCache>
                <c:ptCount val="1"/>
                <c:pt idx="0">
                  <c:v>1</c:v>
                </c:pt>
              </c:strCache>
            </c:strRef>
          </c:tx>
          <c:spPr>
            <a:solidFill>
              <a:schemeClr val="accent1"/>
            </a:solidFill>
            <a:ln>
              <a:noFill/>
            </a:ln>
            <a:effectLst/>
          </c:spPr>
          <c:invertIfNegative val="0"/>
          <c:cat>
            <c:strRef>
              <c:f>pivot!$C$2</c:f>
              <c:strCache>
                <c:ptCount val="4"/>
                <c:pt idx="0">
                  <c:v>NM</c:v>
                </c:pt>
                <c:pt idx="1">
                  <c:v>BCCO</c:v>
                </c:pt>
                <c:pt idx="2">
                  <c:v>ABTree</c:v>
                </c:pt>
                <c:pt idx="3">
                  <c:v>ISTree</c:v>
                </c:pt>
              </c:strCache>
            </c:strRef>
          </c:cat>
          <c:val>
            <c:numRef>
              <c:f>pivot!$C$2</c:f>
              <c:numCache>
                <c:formatCode>0</c:formatCode>
                <c:ptCount val="4"/>
                <c:pt idx="0">
                  <c:v>215761566.5</c:v>
                </c:pt>
                <c:pt idx="1">
                  <c:v>232443336</c:v>
                </c:pt>
                <c:pt idx="2">
                  <c:v>429709475.5</c:v>
                </c:pt>
                <c:pt idx="3">
                  <c:v>499779951</c:v>
                </c:pt>
              </c:numCache>
            </c:numRef>
          </c:val>
          <c:extLst>
            <c:ext xmlns:c16="http://schemas.microsoft.com/office/drawing/2014/chart" uri="{C3380CC4-5D6E-409C-BE32-E72D297353CC}">
              <c16:uniqueId val="{00000000-4146-42C1-9805-FC7D8BA1FD5F}"/>
            </c:ext>
          </c:extLst>
        </c:ser>
        <c:ser>
          <c:idx val="1"/>
          <c:order val="1"/>
          <c:tx>
            <c:strRef>
              <c:f>pivot!$C$2</c:f>
              <c:strCache>
                <c:ptCount val="1"/>
                <c:pt idx="0">
                  <c:v>2</c:v>
                </c:pt>
              </c:strCache>
            </c:strRef>
          </c:tx>
          <c:spPr>
            <a:solidFill>
              <a:schemeClr val="accent2"/>
            </a:solidFill>
            <a:ln>
              <a:noFill/>
            </a:ln>
            <a:effectLst/>
          </c:spPr>
          <c:invertIfNegative val="0"/>
          <c:cat>
            <c:strRef>
              <c:f>pivot!$C$2</c:f>
              <c:strCache>
                <c:ptCount val="4"/>
                <c:pt idx="0">
                  <c:v>NM</c:v>
                </c:pt>
                <c:pt idx="1">
                  <c:v>BCCO</c:v>
                </c:pt>
                <c:pt idx="2">
                  <c:v>ABTree</c:v>
                </c:pt>
                <c:pt idx="3">
                  <c:v>ISTree</c:v>
                </c:pt>
              </c:strCache>
            </c:strRef>
          </c:cat>
          <c:val>
            <c:numRef>
              <c:f>pivot!$C$2</c:f>
              <c:numCache>
                <c:formatCode>0</c:formatCode>
                <c:ptCount val="4"/>
                <c:pt idx="0">
                  <c:v>215766800</c:v>
                </c:pt>
                <c:pt idx="1">
                  <c:v>227492689</c:v>
                </c:pt>
                <c:pt idx="2">
                  <c:v>422335010</c:v>
                </c:pt>
                <c:pt idx="3">
                  <c:v>509218355</c:v>
                </c:pt>
              </c:numCache>
            </c:numRef>
          </c:val>
          <c:extLst>
            <c:ext xmlns:c16="http://schemas.microsoft.com/office/drawing/2014/chart" uri="{C3380CC4-5D6E-409C-BE32-E72D297353CC}">
              <c16:uniqueId val="{00000000-AE96-4064-A03B-A7E34F09FDD5}"/>
            </c:ext>
          </c:extLst>
        </c:ser>
        <c:ser>
          <c:idx val="2"/>
          <c:order val="2"/>
          <c:tx>
            <c:strRef>
              <c:f>pivot!$C$2</c:f>
              <c:strCache>
                <c:ptCount val="1"/>
                <c:pt idx="0">
                  <c:v>4</c:v>
                </c:pt>
              </c:strCache>
            </c:strRef>
          </c:tx>
          <c:spPr>
            <a:solidFill>
              <a:schemeClr val="accent3"/>
            </a:solidFill>
            <a:ln>
              <a:noFill/>
            </a:ln>
            <a:effectLst/>
          </c:spPr>
          <c:invertIfNegative val="0"/>
          <c:cat>
            <c:strRef>
              <c:f>pivot!$C$2</c:f>
              <c:strCache>
                <c:ptCount val="4"/>
                <c:pt idx="0">
                  <c:v>NM</c:v>
                </c:pt>
                <c:pt idx="1">
                  <c:v>BCCO</c:v>
                </c:pt>
                <c:pt idx="2">
                  <c:v>ABTree</c:v>
                </c:pt>
                <c:pt idx="3">
                  <c:v>ISTree</c:v>
                </c:pt>
              </c:strCache>
            </c:strRef>
          </c:cat>
          <c:val>
            <c:numRef>
              <c:f>pivot!$C$2</c:f>
              <c:numCache>
                <c:formatCode>0</c:formatCode>
                <c:ptCount val="4"/>
                <c:pt idx="0">
                  <c:v>216229204.5</c:v>
                </c:pt>
                <c:pt idx="1">
                  <c:v>224223477</c:v>
                </c:pt>
                <c:pt idx="2">
                  <c:v>414915103.5</c:v>
                </c:pt>
                <c:pt idx="3">
                  <c:v>494739098.5</c:v>
                </c:pt>
              </c:numCache>
            </c:numRef>
          </c:val>
          <c:extLst>
            <c:ext xmlns:c16="http://schemas.microsoft.com/office/drawing/2014/chart" uri="{C3380CC4-5D6E-409C-BE32-E72D297353CC}">
              <c16:uniqueId val="{00000001-AE96-4064-A03B-A7E34F09FDD5}"/>
            </c:ext>
          </c:extLst>
        </c:ser>
        <c:ser>
          <c:idx val="3"/>
          <c:order val="3"/>
          <c:tx>
            <c:strRef>
              <c:f>pivot!$C$2</c:f>
              <c:strCache>
                <c:ptCount val="1"/>
                <c:pt idx="0">
                  <c:v>8</c:v>
                </c:pt>
              </c:strCache>
            </c:strRef>
          </c:tx>
          <c:spPr>
            <a:solidFill>
              <a:schemeClr val="accent4"/>
            </a:solidFill>
            <a:ln>
              <a:noFill/>
            </a:ln>
            <a:effectLst/>
          </c:spPr>
          <c:invertIfNegative val="0"/>
          <c:cat>
            <c:strRef>
              <c:f>pivot!$C$2</c:f>
              <c:strCache>
                <c:ptCount val="4"/>
                <c:pt idx="0">
                  <c:v>NM</c:v>
                </c:pt>
                <c:pt idx="1">
                  <c:v>BCCO</c:v>
                </c:pt>
                <c:pt idx="2">
                  <c:v>ABTree</c:v>
                </c:pt>
                <c:pt idx="3">
                  <c:v>ISTree</c:v>
                </c:pt>
              </c:strCache>
            </c:strRef>
          </c:cat>
          <c:val>
            <c:numRef>
              <c:f>pivot!$C$2</c:f>
              <c:numCache>
                <c:formatCode>0</c:formatCode>
                <c:ptCount val="4"/>
                <c:pt idx="0">
                  <c:v>216227868</c:v>
                </c:pt>
                <c:pt idx="1">
                  <c:v>221849999</c:v>
                </c:pt>
                <c:pt idx="2">
                  <c:v>411851895</c:v>
                </c:pt>
                <c:pt idx="3">
                  <c:v>492833115</c:v>
                </c:pt>
              </c:numCache>
            </c:numRef>
          </c:val>
          <c:extLst>
            <c:ext xmlns:c16="http://schemas.microsoft.com/office/drawing/2014/chart" uri="{C3380CC4-5D6E-409C-BE32-E72D297353CC}">
              <c16:uniqueId val="{00000002-AE96-4064-A03B-A7E34F09FDD5}"/>
            </c:ext>
          </c:extLst>
        </c:ser>
        <c:ser>
          <c:idx val="4"/>
          <c:order val="4"/>
          <c:tx>
            <c:strRef>
              <c:f>pivot!$C$2</c:f>
              <c:strCache>
                <c:ptCount val="1"/>
                <c:pt idx="0">
                  <c:v>16</c:v>
                </c:pt>
              </c:strCache>
            </c:strRef>
          </c:tx>
          <c:spPr>
            <a:solidFill>
              <a:schemeClr val="accent5"/>
            </a:solidFill>
            <a:ln>
              <a:noFill/>
            </a:ln>
            <a:effectLst/>
          </c:spPr>
          <c:invertIfNegative val="0"/>
          <c:cat>
            <c:strRef>
              <c:f>pivot!$C$2</c:f>
              <c:strCache>
                <c:ptCount val="4"/>
                <c:pt idx="0">
                  <c:v>NM</c:v>
                </c:pt>
                <c:pt idx="1">
                  <c:v>BCCO</c:v>
                </c:pt>
                <c:pt idx="2">
                  <c:v>ABTree</c:v>
                </c:pt>
                <c:pt idx="3">
                  <c:v>ISTree</c:v>
                </c:pt>
              </c:strCache>
            </c:strRef>
          </c:cat>
          <c:val>
            <c:numRef>
              <c:f>pivot!$C$2</c:f>
              <c:numCache>
                <c:formatCode>0</c:formatCode>
                <c:ptCount val="4"/>
                <c:pt idx="0">
                  <c:v>217160404</c:v>
                </c:pt>
                <c:pt idx="1">
                  <c:v>219312386.5</c:v>
                </c:pt>
                <c:pt idx="2">
                  <c:v>410302075</c:v>
                </c:pt>
                <c:pt idx="3">
                  <c:v>487583204</c:v>
                </c:pt>
              </c:numCache>
            </c:numRef>
          </c:val>
          <c:extLst>
            <c:ext xmlns:c16="http://schemas.microsoft.com/office/drawing/2014/chart" uri="{C3380CC4-5D6E-409C-BE32-E72D297353CC}">
              <c16:uniqueId val="{00000003-AE96-4064-A03B-A7E34F09FDD5}"/>
            </c:ext>
          </c:extLst>
        </c:ser>
        <c:ser>
          <c:idx val="5"/>
          <c:order val="5"/>
          <c:tx>
            <c:strRef>
              <c:f>pivot!$C$2</c:f>
              <c:strCache>
                <c:ptCount val="1"/>
                <c:pt idx="0">
                  <c:v>32</c:v>
                </c:pt>
              </c:strCache>
            </c:strRef>
          </c:tx>
          <c:spPr>
            <a:solidFill>
              <a:schemeClr val="accent6"/>
            </a:solidFill>
            <a:ln>
              <a:noFill/>
            </a:ln>
            <a:effectLst/>
          </c:spPr>
          <c:invertIfNegative val="0"/>
          <c:cat>
            <c:strRef>
              <c:f>pivot!$C$2</c:f>
              <c:strCache>
                <c:ptCount val="4"/>
                <c:pt idx="0">
                  <c:v>NM</c:v>
                </c:pt>
                <c:pt idx="1">
                  <c:v>BCCO</c:v>
                </c:pt>
                <c:pt idx="2">
                  <c:v>ABTree</c:v>
                </c:pt>
                <c:pt idx="3">
                  <c:v>ISTree</c:v>
                </c:pt>
              </c:strCache>
            </c:strRef>
          </c:cat>
          <c:val>
            <c:numRef>
              <c:f>pivot!$C$2</c:f>
              <c:numCache>
                <c:formatCode>0</c:formatCode>
                <c:ptCount val="4"/>
                <c:pt idx="0">
                  <c:v>215732022</c:v>
                </c:pt>
                <c:pt idx="1">
                  <c:v>220366255</c:v>
                </c:pt>
                <c:pt idx="2">
                  <c:v>410553291</c:v>
                </c:pt>
                <c:pt idx="3">
                  <c:v>483454275.5</c:v>
                </c:pt>
              </c:numCache>
            </c:numRef>
          </c:val>
          <c:extLst>
            <c:ext xmlns:c16="http://schemas.microsoft.com/office/drawing/2014/chart" uri="{C3380CC4-5D6E-409C-BE32-E72D297353CC}">
              <c16:uniqueId val="{00000004-AE96-4064-A03B-A7E34F09FDD5}"/>
            </c:ext>
          </c:extLst>
        </c:ser>
        <c:ser>
          <c:idx val="6"/>
          <c:order val="6"/>
          <c:tx>
            <c:strRef>
              <c:f>pivot!$C$2</c:f>
              <c:strCache>
                <c:ptCount val="1"/>
                <c:pt idx="0">
                  <c:v>64</c:v>
                </c:pt>
              </c:strCache>
            </c:strRef>
          </c:tx>
          <c:spPr>
            <a:solidFill>
              <a:schemeClr val="accent1">
                <a:lumMod val="60000"/>
              </a:schemeClr>
            </a:solidFill>
            <a:ln>
              <a:noFill/>
            </a:ln>
            <a:effectLst/>
          </c:spPr>
          <c:invertIfNegative val="0"/>
          <c:cat>
            <c:strRef>
              <c:f>pivot!$C$2</c:f>
              <c:strCache>
                <c:ptCount val="4"/>
                <c:pt idx="0">
                  <c:v>NM</c:v>
                </c:pt>
                <c:pt idx="1">
                  <c:v>BCCO</c:v>
                </c:pt>
                <c:pt idx="2">
                  <c:v>ABTree</c:v>
                </c:pt>
                <c:pt idx="3">
                  <c:v>ISTree</c:v>
                </c:pt>
              </c:strCache>
            </c:strRef>
          </c:cat>
          <c:val>
            <c:numRef>
              <c:f>pivot!$C$2</c:f>
              <c:numCache>
                <c:formatCode>0</c:formatCode>
                <c:ptCount val="4"/>
                <c:pt idx="0">
                  <c:v>216431920</c:v>
                </c:pt>
                <c:pt idx="1">
                  <c:v>219897994</c:v>
                </c:pt>
                <c:pt idx="2">
                  <c:v>408618600.5</c:v>
                </c:pt>
                <c:pt idx="3">
                  <c:v>487025320.5</c:v>
                </c:pt>
              </c:numCache>
            </c:numRef>
          </c:val>
          <c:extLst>
            <c:ext xmlns:c16="http://schemas.microsoft.com/office/drawing/2014/chart" uri="{C3380CC4-5D6E-409C-BE32-E72D297353CC}">
              <c16:uniqueId val="{00000005-AE96-4064-A03B-A7E34F09FDD5}"/>
            </c:ext>
          </c:extLst>
        </c:ser>
        <c:dLbls>
          <c:dLblPos val="inEnd"/>
          <c:showLegendKey val="0"/>
          <c:showVal val="0"/>
          <c:showCatName val="0"/>
          <c:showSerName val="0"/>
          <c:showPercent val="0"/>
          <c:showBubbleSize val="0"/>
        </c:dLbls>
        <c:gapWidth val="77"/>
        <c:overlap val="-2"/>
        <c:axId val="603778032"/>
        <c:axId val="603783856"/>
      </c:barChart>
      <c:catAx>
        <c:axId val="603778032"/>
        <c:scaling>
          <c:orientation val="minMax"/>
        </c:scaling>
        <c:delete val="0"/>
        <c:axPos val="b"/>
        <c:majorGridlines>
          <c:spPr>
            <a:ln w="38100" cap="flat" cmpd="sng" algn="ctr">
              <a:solidFill>
                <a:schemeClr val="bg2">
                  <a:lumMod val="75000"/>
                </a:schemeClr>
              </a:solidFill>
              <a:round/>
            </a:ln>
            <a:effectLst/>
          </c:spPr>
        </c:majorGridlines>
        <c:minorGridlines>
          <c:spPr>
            <a:ln w="38100" cap="flat" cmpd="sng" algn="ctr">
              <a:solidFill>
                <a:schemeClr val="bg2">
                  <a:lumMod val="9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CA" sz="4000"/>
                  <a:t>seconds</a:t>
                </a:r>
                <a:r>
                  <a:rPr lang="en-CA" sz="4000" baseline="0"/>
                  <a:t> to run (1, 2, 4, 8, 16, 32, 64)</a:t>
                </a:r>
                <a:endParaRPr lang="en-CA" sz="4000"/>
              </a:p>
            </c:rich>
          </c:tx>
          <c:layout>
            <c:manualLayout>
              <c:xMode val="edge"/>
              <c:yMode val="edge"/>
              <c:x val="0.28095032245109997"/>
              <c:y val="0.90618911485179865"/>
            </c:manualLayout>
          </c:layout>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12700" cap="flat" cmpd="sng" algn="ctr">
            <a:no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603783856"/>
        <c:crosses val="autoZero"/>
        <c:auto val="1"/>
        <c:lblAlgn val="ctr"/>
        <c:lblOffset val="0"/>
        <c:tickMarkSkip val="1"/>
        <c:noMultiLvlLbl val="0"/>
      </c:catAx>
      <c:valAx>
        <c:axId val="6037838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CA" sz="4000"/>
                  <a:t>operations per microsecond</a:t>
                </a:r>
              </a:p>
            </c:rich>
          </c:tx>
          <c:layout>
            <c:manualLayout>
              <c:xMode val="edge"/>
              <c:yMode val="edge"/>
              <c:x val="2.9458182833719459E-3"/>
              <c:y val="7.8848686574177707E-2"/>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603778032"/>
        <c:crosses val="autoZero"/>
        <c:crossBetween val="between"/>
        <c:dispUnits>
          <c:builtInUnit val="millions"/>
        </c:dispUnits>
      </c:valAx>
      <c:spPr>
        <a:noFill/>
        <a:ln w="38100">
          <a:solidFill>
            <a:srgbClr val="000000"/>
          </a:solidFill>
        </a:ln>
        <a:effectLst/>
      </c:spPr>
    </c:plotArea>
    <c:plotVisOnly val="1"/>
    <c:dispBlanksAs val="gap"/>
    <c:showDLblsOverMax val="0"/>
  </c:chart>
  <c:spPr>
    <a:solidFill>
      <a:srgbClr val="FFFFFF"/>
    </a:solidFill>
    <a:ln w="38100" cap="flat" cmpd="sng" algn="ctr">
      <a:noFill/>
      <a:round/>
    </a:ln>
    <a:effectLst/>
  </c:spPr>
  <c:txPr>
    <a:bodyPr/>
    <a:lstStyle/>
    <a:p>
      <a:pPr>
        <a:defRPr sz="3200">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xdr:col>
      <xdr:colOff>361950</xdr:colOff>
      <xdr:row>1</xdr:row>
      <xdr:rowOff>19051</xdr:rowOff>
    </xdr:from>
    <xdr:to>
      <xdr:col>10</xdr:col>
      <xdr:colOff>38100</xdr:colOff>
      <xdr:row>1</xdr:row>
      <xdr:rowOff>247651</xdr:rowOff>
    </xdr:to>
    <xdr:sp macro="[0]!processData" textlink="">
      <xdr:nvSpPr>
        <xdr:cNvPr id="2" name="Rectangle 1"/>
        <xdr:cNvSpPr/>
      </xdr:nvSpPr>
      <xdr:spPr>
        <a:xfrm>
          <a:off x="4597400" y="285751"/>
          <a:ext cx="1504950" cy="228600"/>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nchorCtr="1"/>
        <a:lstStyle/>
        <a:p>
          <a:pPr algn="l"/>
          <a:r>
            <a:rPr lang="en-US" sz="1600"/>
            <a:t>Load CSV</a:t>
          </a:r>
          <a:r>
            <a:rPr lang="en-US" sz="1600" baseline="0"/>
            <a:t> file</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10750550" y="800100"/>
          <a:ext cx="156051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10750550" y="1287430"/>
          <a:ext cx="1560512" cy="39537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10755313" y="1768409"/>
          <a:ext cx="155416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28</xdr:col>
      <xdr:colOff>88447</xdr:colOff>
      <xdr:row>0</xdr:row>
      <xdr:rowOff>129268</xdr:rowOff>
    </xdr:from>
    <xdr:to>
      <xdr:col>47</xdr:col>
      <xdr:colOff>612321</xdr:colOff>
      <xdr:row>45</xdr:row>
      <xdr:rowOff>115660</xdr:rowOff>
    </xdr:to>
    <xdr:graphicFrame macro="">
      <xdr:nvGraphicFramePr>
        <xdr:cNvPr id="7"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35brown" refreshedDate="43622.606998379626" missingItemsLimit="0" createdVersion="6" refreshedVersion="6" minRefreshableVersion="3" recordCount="757">
  <cacheSource type="worksheet">
    <worksheetSource ref="A1:BD1048576" sheet="data"/>
  </cacheSource>
  <cacheFields count="56">
    <cacheField name="filename" numFmtId="0">
      <sharedItems containsBlank="1"/>
    </cacheField>
    <cacheField name="DS_TYPENAME" numFmtId="0">
      <sharedItems containsBlank="1" count="5">
        <s v="brown_ext_ist_lf"/>
        <s v="bronson_pext_bst_occ"/>
        <s v="brown_ext_abtree_lf"/>
        <s v="natarajan_ext_bst_lf"/>
        <m/>
      </sharedItems>
    </cacheField>
    <cacheField name="size_node" numFmtId="0">
      <sharedItems containsString="0" containsBlank="1" containsNumber="1" containsInteger="1" minValue="72" maxValue="208"/>
    </cacheField>
    <cacheField name="RECLAIM" numFmtId="0">
      <sharedItems containsBlank="1"/>
    </cacheField>
    <cacheField name="ALLOC" numFmtId="0">
      <sharedItems containsBlank="1"/>
    </cacheField>
    <cacheField name="POOL" numFmtId="0">
      <sharedItems containsBlank="1"/>
    </cacheField>
    <cacheField name="MILLIS_TO_RUN" numFmtId="0">
      <sharedItems containsString="0" containsBlank="1" containsNumber="1" containsInteger="1" minValue="1000" maxValue="64000"/>
    </cacheField>
    <cacheField name="INS" numFmtId="0">
      <sharedItems containsString="0" containsBlank="1" containsNumber="1" minValue="0" maxValue="20"/>
    </cacheField>
    <cacheField name="DEL" numFmtId="0">
      <sharedItems containsString="0" containsBlank="1" containsNumber="1" minValue="0" maxValue="20"/>
    </cacheField>
    <cacheField name="RQ" numFmtId="0">
      <sharedItems containsString="0" containsBlank="1" containsNumber="1" containsInteger="1" minValue="0" maxValue="0"/>
    </cacheField>
    <cacheField name="RQSIZE" numFmtId="0">
      <sharedItems containsString="0" containsBlank="1" containsNumber="1" containsInteger="1" minValue="1" maxValue="1"/>
    </cacheField>
    <cacheField name="MAXKEY" numFmtId="0">
      <sharedItems containsString="0" containsBlank="1" containsNumber="1" containsInteger="1" minValue="2000000" maxValue="200000000"/>
    </cacheField>
    <cacheField name="PREFILL_THREADS" numFmtId="0">
      <sharedItems containsString="0" containsBlank="1" containsNumber="1" containsInteger="1" minValue="190" maxValue="190"/>
    </cacheField>
    <cacheField name="TOTAL_THREADS" numFmtId="0">
      <sharedItems containsString="0" containsBlank="1" containsNumber="1" containsInteger="1" minValue="190" maxValue="190"/>
    </cacheField>
    <cacheField name="WORK_THREADS" numFmtId="0">
      <sharedItems containsString="0" containsBlank="1" containsNumber="1" containsInteger="1" minValue="190" maxValue="190"/>
    </cacheField>
    <cacheField name="RQ_THREADS" numFmtId="0">
      <sharedItems containsString="0" containsBlank="1" containsNumber="1" containsInteger="1" minValue="0" maxValue="0"/>
    </cacheField>
    <cacheField name="INSERT_FUNC" numFmtId="0">
      <sharedItems containsBlank="1"/>
    </cacheField>
    <cacheField name="threads_final_keysum" numFmtId="0">
      <sharedItems containsString="0" containsBlank="1" containsNumber="1" containsInteger="1" minValue="998133959401" maxValue="1.00019033765606E+16"/>
    </cacheField>
    <cacheField name="threads_final_size" numFmtId="0">
      <sharedItems containsString="0" containsBlank="1" containsNumber="1" containsInteger="1" minValue="998300" maxValue="100014974"/>
    </cacheField>
    <cacheField name="final_keysum" numFmtId="0">
      <sharedItems containsString="0" containsBlank="1" containsNumber="1" containsInteger="1" minValue="998133959401" maxValue="1.00019033765606E+16"/>
    </cacheField>
    <cacheField name="final_size" numFmtId="0">
      <sharedItems containsString="0" containsBlank="1" containsNumber="1" containsInteger="1" minValue="998300" maxValue="100014974"/>
    </cacheField>
    <cacheField name="validate_result" numFmtId="0">
      <sharedItems containsBlank="1"/>
    </cacheField>
    <cacheField name="tree_stats_height" numFmtId="0">
      <sharedItems containsString="0" containsBlank="1" containsNumber="1" containsInteger="1" minValue="5" maxValue="77"/>
    </cacheField>
    <cacheField name="tree_stats_numInternals" numFmtId="0">
      <sharedItems containsString="0" containsBlank="1" containsNumber="1" containsInteger="1" minValue="18446" maxValue="100011853"/>
    </cacheField>
    <cacheField name="tree_stats_numLeaves" numFmtId="0">
      <sharedItems containsString="0" containsBlank="1" containsNumber="1" containsInteger="1" minValue="127445" maxValue="118285441"/>
    </cacheField>
    <cacheField name="tree_stats_numNodes" numFmtId="0">
      <sharedItems containsString="0" containsBlank="1" containsNumber="1" containsInteger="1" minValue="145891" maxValue="200023707"/>
    </cacheField>
    <cacheField name="tree_stats_numKeys" numFmtId="0">
      <sharedItems containsString="0" containsBlank="1" containsNumber="1" containsInteger="1" minValue="998300" maxValue="100014974"/>
    </cacheField>
    <cacheField name="tree_stats_avgDegreeInternal" numFmtId="0">
      <sharedItems containsString="0" containsBlank="1" containsNumber="1" minValue="1.7491399999999999" maxValue="32.240600000000001"/>
    </cacheField>
    <cacheField name="tree_stats_avgDegreeLeaves" numFmtId="0">
      <sharedItems containsString="0" containsBlank="1" containsNumber="1" minValue="0.83152400000000004" maxValue="7.8465199999999999"/>
    </cacheField>
    <cacheField name="tree_stats_avgDegree" numFmtId="0">
      <sharedItems containsString="0" containsBlank="1" containsNumber="1" minValue="1.5" maxValue="7.8544299999999998"/>
    </cacheField>
    <cacheField name="tree_stats_avgKeyDepth" numFmtId="0">
      <sharedItems containsString="0" containsBlank="1" containsNumber="1" minValue="3" maxValue="38.035600000000002"/>
    </cacheField>
    <cacheField name="tree_stats_sizeInBytes" numFmtId="0">
      <sharedItems containsString="0" containsBlank="1" containsNumber="1" containsInteger="1" minValue="19147360" maxValue="6754485472"/>
    </cacheField>
    <cacheField name="sum_num_try_rebuild_at_depth_by_index" numFmtId="0">
      <sharedItems containsBlank="1"/>
    </cacheField>
    <cacheField name="sum_num_complete_rebuild_at_depth_by_index" numFmtId="0">
      <sharedItems containsBlank="1"/>
    </cacheField>
    <cacheField name="sum_num_help_subtree_total" numFmtId="0">
      <sharedItems containsString="0" containsBlank="1" containsNumber="1" containsInteger="1" minValue="1" maxValue="50026131"/>
    </cacheField>
    <cacheField name="first_thread_announced_epoch_by_index" numFmtId="0">
      <sharedItems containsBlank="1" containsMixedTypes="1" containsNumber="1" containsInteger="1" minValue="670" maxValue="217506"/>
    </cacheField>
    <cacheField name="sum_elapsed_rebuild_depth_total" numFmtId="0">
      <sharedItems containsNonDate="0" containsString="0" containsBlank="1"/>
    </cacheField>
    <cacheField name="sum_elapsed_all_ops_total" numFmtId="0">
      <sharedItems containsNonDate="0" containsString="0" containsBlank="1"/>
    </cacheField>
    <cacheField name="total_find" numFmtId="0">
      <sharedItems containsString="0" containsBlank="1" containsNumber="1" containsInteger="1" minValue="29465603" maxValue="31383752311"/>
    </cacheField>
    <cacheField name="total_rq" numFmtId="0">
      <sharedItems containsString="0" containsBlank="1" containsNumber="1" containsInteger="1" minValue="0" maxValue="0"/>
    </cacheField>
    <cacheField name="total_updates" numFmtId="0">
      <sharedItems containsString="0" containsBlank="1" containsNumber="1" containsInteger="1" minValue="0" maxValue="3646641382"/>
    </cacheField>
    <cacheField name="total_queries" numFmtId="0">
      <sharedItems containsString="0" containsBlank="1" containsNumber="1" containsInteger="1" minValue="29465603" maxValue="31383752311"/>
    </cacheField>
    <cacheField name="total_ops" numFmtId="0">
      <sharedItems containsString="0" containsBlank="1" containsNumber="1" containsInteger="1" minValue="49107374" maxValue="31383752311"/>
    </cacheField>
    <cacheField name="find_throughput" numFmtId="0">
      <sharedItems containsString="0" containsBlank="1" containsNumber="1" containsInteger="1" minValue="29383238" maxValue="511850476"/>
    </cacheField>
    <cacheField name="rq_throughput" numFmtId="0">
      <sharedItems containsString="0" containsBlank="1" containsNumber="1" containsInteger="1" minValue="0" maxValue="0"/>
    </cacheField>
    <cacheField name="update_throughput" numFmtId="0">
      <sharedItems containsString="0" containsBlank="1" containsNumber="1" containsInteger="1" minValue="0" maxValue="57364394"/>
    </cacheField>
    <cacheField name="query_throughput" numFmtId="0">
      <sharedItems containsString="0" containsBlank="1" containsNumber="1" containsInteger="1" minValue="29383238" maxValue="511850476"/>
    </cacheField>
    <cacheField name="total_throughput" numFmtId="0">
      <sharedItems containsString="0" containsBlank="1" containsNumber="1" containsInteger="1" minValue="48976516" maxValue="511850476"/>
    </cacheField>
    <cacheField name="PAPI_L2_TCM" numFmtId="0">
      <sharedItems containsString="0" containsBlank="1" containsNumber="1" minValue="8.2718500000000006" maxValue="44.881999999999998"/>
    </cacheField>
    <cacheField name="PAPI_L3_TCM" numFmtId="0">
      <sharedItems containsString="0" containsBlank="1" containsNumber="1" minValue="8.7568000000000007E-2" maxValue="22.1859"/>
    </cacheField>
    <cacheField name="PAPI_TOT_CYC" numFmtId="0">
      <sharedItems containsString="0" containsBlank="1" containsNumber="1" minValue="1028.0999999999999" maxValue="10768.1"/>
    </cacheField>
    <cacheField name="PAPI_RES_STL" numFmtId="0">
      <sharedItems containsString="0" containsBlank="1" containsNumber="1" minValue="307.36399999999998" maxValue="8868.36"/>
    </cacheField>
    <cacheField name="maxresident_mb" numFmtId="0">
      <sharedItems containsString="0" containsBlank="1" containsNumber="1" containsInteger="1" minValue="1143" maxValue="14496"/>
    </cacheField>
    <cacheField name="prefill_elapsed_ms" numFmtId="0">
      <sharedItems containsString="0" containsBlank="1" containsNumber="1" containsInteger="1" minValue="113" maxValue="6149"/>
    </cacheField>
    <cacheField name="exp" numFmtId="0">
      <sharedItems containsBlank="1" count="13">
        <s v="u=40%, k=2x10^7"/>
        <s v="u=1%, k=2x10^7"/>
        <s v="u=40%, k=2x10^6"/>
        <s v="u=40%, k=2x10^8"/>
        <s v="u=10%, k=2x10^6"/>
        <s v="u=10%, k=2x10^7"/>
        <s v="u=10%, k=2x10^8"/>
        <s v="u=1%, k=2x10^6"/>
        <s v="u=1%, k=2x10^8"/>
        <s v="u=0%, k=2x10^6"/>
        <s v="u=0%, k=2x10^7"/>
        <s v="u=0%, k=2x10^8"/>
        <m/>
      </sharedItems>
    </cacheField>
    <cacheField name="seconds" numFmtId="0">
      <sharedItems containsString="0" containsBlank="1" containsNumber="1" containsInteger="1" minValue="1" maxValue="64" count="8">
        <n v="1"/>
        <n v="2"/>
        <n v="4"/>
        <n v="8"/>
        <n v="16"/>
        <n v="32"/>
        <n v="64"/>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57">
  <r>
    <s v="istree_exp5_numerical_stability_vs_time/step10001.txt"/>
    <x v="0"/>
    <n v="72"/>
    <s v="reclaimer_debra"/>
    <s v="allocator_new"/>
    <s v="pool_none"/>
    <n v="1000"/>
    <n v="20"/>
    <n v="20"/>
    <n v="0"/>
    <n v="1"/>
    <n v="20000000"/>
    <n v="190"/>
    <n v="190"/>
    <n v="190"/>
    <n v="0"/>
    <s v="insertIfAbsent"/>
    <n v="99994827517479"/>
    <n v="10000265"/>
    <n v="99994827517479"/>
    <n v="10000265"/>
    <s v="success"/>
    <n v="7"/>
    <n v="1705040"/>
    <n v="11602812"/>
    <n v="13307852"/>
    <n v="10000265"/>
    <n v="7.8050100000000002"/>
    <n v="0.86188299999999995"/>
    <n v="1.75146"/>
    <n v="4.0158500000000004"/>
    <n v="322048304"/>
    <s v="18 22148 186980 4696904 11733"/>
    <s v="7 22141 186796 4696696 11733"/>
    <n v="88902"/>
    <n v="672"/>
    <m/>
    <m/>
    <n v="53033146"/>
    <n v="0"/>
    <n v="35361427"/>
    <n v="53033146"/>
    <n v="88394573"/>
    <n v="53033146"/>
    <n v="0"/>
    <n v="35361427"/>
    <n v="53033146"/>
    <n v="88394573"/>
    <n v="28.523700000000002"/>
    <n v="15.0518"/>
    <n v="5081.71"/>
    <n v="3458.1"/>
    <n v="2852"/>
    <n v="451"/>
    <x v="0"/>
    <x v="0"/>
  </r>
  <r>
    <s v="istree_exp5_numerical_stability_vs_time/step10002.txt"/>
    <x v="0"/>
    <n v="72"/>
    <s v="reclaimer_debra"/>
    <s v="allocator_new"/>
    <s v="pool_none"/>
    <n v="2000"/>
    <n v="20"/>
    <n v="20"/>
    <n v="0"/>
    <n v="1"/>
    <n v="20000000"/>
    <n v="190"/>
    <n v="190"/>
    <n v="190"/>
    <n v="0"/>
    <s v="insertIfAbsent"/>
    <n v="99986882809813"/>
    <n v="10000723"/>
    <n v="99986882809813"/>
    <n v="10000723"/>
    <s v="success"/>
    <n v="7"/>
    <n v="1690519"/>
    <n v="11573533"/>
    <n v="13264052"/>
    <n v="10000723"/>
    <n v="7.8461400000000001"/>
    <n v="0.86410299999999995"/>
    <n v="1.75397"/>
    <n v="4.01295"/>
    <n v="320418096"/>
    <s v="67 47461 400410 10046765 25170"/>
    <s v="15 47443 400068 10046262 25170"/>
    <n v="189736"/>
    <n v="1406"/>
    <m/>
    <m/>
    <n v="112924981"/>
    <n v="0"/>
    <n v="75267979"/>
    <n v="112924981"/>
    <n v="188192960"/>
    <n v="56462490"/>
    <n v="0"/>
    <n v="37633989"/>
    <n v="56462490"/>
    <n v="94096480"/>
    <n v="28.564399999999999"/>
    <n v="15.2094"/>
    <n v="5223.17"/>
    <n v="3588.47"/>
    <n v="2894"/>
    <n v="342"/>
    <x v="0"/>
    <x v="1"/>
  </r>
  <r>
    <s v="istree_exp5_numerical_stability_vs_time/step10003.txt"/>
    <x v="0"/>
    <n v="72"/>
    <s v="reclaimer_debra"/>
    <s v="allocator_new"/>
    <s v="pool_none"/>
    <n v="4000"/>
    <n v="20"/>
    <n v="20"/>
    <n v="0"/>
    <n v="1"/>
    <n v="20000000"/>
    <n v="190"/>
    <n v="190"/>
    <n v="190"/>
    <n v="0"/>
    <s v="insertIfAbsent"/>
    <n v="99976261773222"/>
    <n v="9998293"/>
    <n v="99976261773222"/>
    <n v="9998293"/>
    <s v="success"/>
    <n v="7"/>
    <n v="1884213"/>
    <n v="11987463"/>
    <n v="13871676"/>
    <n v="9998293"/>
    <n v="7.36205"/>
    <n v="0.83406199999999997"/>
    <n v="1.7207699999999999"/>
    <n v="4.0516100000000002"/>
    <n v="342572032"/>
    <s v="116 95208 815024 20530085 51515"/>
    <s v="30 95184 814304 20529059 51514"/>
    <n v="380074"/>
    <n v="2912"/>
    <m/>
    <m/>
    <n v="229667698"/>
    <n v="0"/>
    <n v="153119865"/>
    <n v="229667698"/>
    <n v="382787563"/>
    <n v="57416924"/>
    <n v="0"/>
    <n v="38279966"/>
    <n v="57416924"/>
    <n v="95696890"/>
    <n v="28.471900000000002"/>
    <n v="15.1676"/>
    <n v="5234.6899999999996"/>
    <n v="3591.81"/>
    <n v="2910"/>
    <n v="445"/>
    <x v="0"/>
    <x v="2"/>
  </r>
  <r>
    <s v="istree_exp5_numerical_stability_vs_time/step10004.txt"/>
    <x v="0"/>
    <n v="72"/>
    <s v="reclaimer_debra"/>
    <s v="allocator_new"/>
    <s v="pool_none"/>
    <n v="8000"/>
    <n v="20"/>
    <n v="20"/>
    <n v="0"/>
    <n v="1"/>
    <n v="20000000"/>
    <n v="190"/>
    <n v="190"/>
    <n v="190"/>
    <n v="0"/>
    <s v="insertIfAbsent"/>
    <n v="100031136960372"/>
    <n v="10000894"/>
    <n v="100031136960372"/>
    <n v="10000894"/>
    <s v="success"/>
    <n v="7"/>
    <n v="1845861"/>
    <n v="11912212"/>
    <n v="13758073"/>
    <n v="10000894"/>
    <n v="7.4534700000000003"/>
    <n v="0.83955000000000002"/>
    <n v="1.7269099999999999"/>
    <n v="4.0438400000000003"/>
    <n v="338297472"/>
    <s v="222 193790 1643878 41310676 103780"/>
    <s v="61 193713 1642507 41308705 103778"/>
    <n v="775739"/>
    <n v="5898"/>
    <m/>
    <m/>
    <n v="462502064"/>
    <n v="0"/>
    <n v="308321754"/>
    <n v="462502064"/>
    <n v="770823818"/>
    <n v="57812758"/>
    <n v="0"/>
    <n v="38540219"/>
    <n v="57812758"/>
    <n v="96352977"/>
    <n v="28.5276"/>
    <n v="15.2387"/>
    <n v="5274.36"/>
    <n v="3627.64"/>
    <n v="2927"/>
    <n v="386"/>
    <x v="0"/>
    <x v="3"/>
  </r>
  <r>
    <s v="istree_exp5_numerical_stability_vs_time/step10005.txt"/>
    <x v="0"/>
    <n v="72"/>
    <s v="reclaimer_debra"/>
    <s v="allocator_new"/>
    <s v="pool_none"/>
    <n v="16000"/>
    <n v="20"/>
    <n v="20"/>
    <n v="0"/>
    <n v="1"/>
    <n v="20000000"/>
    <n v="190"/>
    <n v="190"/>
    <n v="190"/>
    <n v="0"/>
    <s v="insertIfAbsent"/>
    <n v="99977363344333"/>
    <n v="9997861"/>
    <n v="99977363344333"/>
    <n v="9997861"/>
    <s v="success"/>
    <n v="7"/>
    <n v="1789929"/>
    <n v="11790761"/>
    <n v="13580690"/>
    <n v="9997861"/>
    <n v="7.5872799999999998"/>
    <n v="0.84794000000000003"/>
    <n v="1.7361800000000001"/>
    <n v="4.0329300000000003"/>
    <n v="331870288"/>
    <s v="406 390717 3307690 82839547 207768"/>
    <s v="123 390608 3304887 82835467 207766"/>
    <n v="1557639"/>
    <n v="11846"/>
    <m/>
    <m/>
    <n v="927918603"/>
    <n v="0"/>
    <n v="618610027"/>
    <n v="927918603"/>
    <n v="1546528630"/>
    <n v="57994912"/>
    <n v="0"/>
    <n v="38663126"/>
    <n v="57994912"/>
    <n v="96658039"/>
    <n v="28.596299999999999"/>
    <n v="15.284000000000001"/>
    <n v="5286.38"/>
    <n v="3635.32"/>
    <n v="2929"/>
    <n v="378"/>
    <x v="0"/>
    <x v="4"/>
  </r>
  <r>
    <s v="istree_exp5_numerical_stability_vs_time/step10006.txt"/>
    <x v="0"/>
    <n v="72"/>
    <s v="reclaimer_debra"/>
    <s v="allocator_new"/>
    <s v="pool_none"/>
    <n v="32000"/>
    <n v="20"/>
    <n v="20"/>
    <n v="0"/>
    <n v="1"/>
    <n v="20000000"/>
    <n v="190"/>
    <n v="190"/>
    <n v="190"/>
    <n v="0"/>
    <s v="insertIfAbsent"/>
    <n v="99972816447581"/>
    <n v="9998815"/>
    <n v="99972816447581"/>
    <n v="9998815"/>
    <s v="success"/>
    <n v="7"/>
    <n v="1887855"/>
    <n v="11995989"/>
    <n v="13883844"/>
    <n v="9998815"/>
    <n v="7.3543000000000003"/>
    <n v="0.83351299999999995"/>
    <n v="1.72018"/>
    <n v="4.0523899999999999"/>
    <n v="343001168"/>
    <s v="849 781740 6599280 165741318 416828"/>
    <s v="247 781473 6593627 165733380 416819"/>
    <n v="3126340"/>
    <n v="23648"/>
    <m/>
    <m/>
    <n v="1856979707"/>
    <n v="0"/>
    <n v="1238006668"/>
    <n v="1856979707"/>
    <n v="3094986375"/>
    <n v="58030615"/>
    <n v="0"/>
    <n v="38687708"/>
    <n v="58030615"/>
    <n v="96718324"/>
    <n v="28.6357"/>
    <n v="15.304600000000001"/>
    <n v="5297.81"/>
    <n v="3651.56"/>
    <n v="2939"/>
    <n v="436"/>
    <x v="0"/>
    <x v="5"/>
  </r>
  <r>
    <s v="istree_exp5_numerical_stability_vs_time/step10007.txt"/>
    <x v="0"/>
    <n v="72"/>
    <s v="reclaimer_debra"/>
    <s v="allocator_new"/>
    <s v="pool_none"/>
    <n v="64000"/>
    <n v="20"/>
    <n v="20"/>
    <n v="0"/>
    <n v="1"/>
    <n v="20000000"/>
    <n v="190"/>
    <n v="190"/>
    <n v="190"/>
    <n v="0"/>
    <s v="insertIfAbsent"/>
    <n v="99993133890336"/>
    <n v="9999668"/>
    <n v="99993133890336"/>
    <n v="9999668"/>
    <s v="success"/>
    <n v="7"/>
    <n v="1897634"/>
    <n v="12017128"/>
    <n v="13914762"/>
    <n v="9999668"/>
    <n v="7.3326900000000004"/>
    <n v="0.83211800000000002"/>
    <n v="1.7186399999999999"/>
    <n v="4.0542499999999997"/>
    <n v="344120176"/>
    <s v="1904 1559925 13165820 330332754 828602"/>
    <s v="493 1559381 13154525 330316727 828588"/>
    <n v="6227875"/>
    <n v="47284"/>
    <m/>
    <m/>
    <n v="3701441456"/>
    <n v="0"/>
    <n v="2467648164"/>
    <n v="3701441456"/>
    <n v="6169089620"/>
    <n v="57835022"/>
    <n v="0"/>
    <n v="38557002"/>
    <n v="57835022"/>
    <n v="96392025"/>
    <n v="28.629799999999999"/>
    <n v="15.308199999999999"/>
    <n v="5321.82"/>
    <n v="3666.44"/>
    <n v="2961"/>
    <n v="367"/>
    <x v="0"/>
    <x v="6"/>
  </r>
  <r>
    <s v="istree_exp5_numerical_stability_vs_time/step10008.txt"/>
    <x v="1"/>
    <m/>
    <s v="reclaimer_debra"/>
    <s v="allocator_new"/>
    <s v="pool_none"/>
    <n v="1000"/>
    <n v="20"/>
    <n v="20"/>
    <n v="0"/>
    <n v="1"/>
    <n v="20000000"/>
    <n v="190"/>
    <n v="190"/>
    <n v="190"/>
    <n v="0"/>
    <s v="insertIfAbsent"/>
    <n v="99976803464800"/>
    <n v="9997576"/>
    <n v="99976803464800"/>
    <n v="9997576"/>
    <s v="success"/>
    <n v="29"/>
    <n v="6695328"/>
    <n v="5072744"/>
    <n v="11768072"/>
    <n v="9997576"/>
    <n v="1.7576499999999999"/>
    <n v="1.9708399999999999"/>
    <n v="1.84955"/>
    <n v="23.1858"/>
    <n v="659012032"/>
    <m/>
    <m/>
    <m/>
    <s v="164 740"/>
    <m/>
    <m/>
    <n v="57830389"/>
    <n v="0"/>
    <n v="38551503"/>
    <n v="57830389"/>
    <n v="96381892"/>
    <n v="57830389"/>
    <n v="0"/>
    <n v="38551503"/>
    <n v="57830389"/>
    <n v="96381892"/>
    <n v="31.627500000000001"/>
    <n v="11.5001"/>
    <n v="5425.5"/>
    <n v="3830.75"/>
    <n v="1953"/>
    <n v="438"/>
    <x v="0"/>
    <x v="0"/>
  </r>
  <r>
    <s v="istree_exp5_numerical_stability_vs_time/step10009.txt"/>
    <x v="1"/>
    <m/>
    <s v="reclaimer_debra"/>
    <s v="allocator_new"/>
    <s v="pool_none"/>
    <n v="2000"/>
    <n v="20"/>
    <n v="20"/>
    <n v="0"/>
    <n v="1"/>
    <n v="20000000"/>
    <n v="190"/>
    <n v="190"/>
    <n v="190"/>
    <n v="0"/>
    <s v="insertIfAbsent"/>
    <n v="100069101498184"/>
    <n v="10006057"/>
    <n v="100069101498184"/>
    <n v="10006057"/>
    <s v="success"/>
    <n v="29"/>
    <n v="6838399"/>
    <n v="5185720"/>
    <n v="12024119"/>
    <n v="10006057"/>
    <n v="1.7583200000000001"/>
    <n v="1.92954"/>
    <n v="1.8321700000000001"/>
    <n v="23.2559"/>
    <n v="673350664"/>
    <m/>
    <m/>
    <m/>
    <n v="1296"/>
    <m/>
    <m/>
    <n v="115096921"/>
    <n v="0"/>
    <n v="76728499"/>
    <n v="115096921"/>
    <n v="191825420"/>
    <n v="57548460"/>
    <n v="0"/>
    <n v="38364249"/>
    <n v="57548460"/>
    <n v="95912710"/>
    <n v="31.488199999999999"/>
    <n v="11.6419"/>
    <n v="5494.43"/>
    <n v="3896.16"/>
    <n v="2059"/>
    <n v="434"/>
    <x v="0"/>
    <x v="1"/>
  </r>
  <r>
    <s v="istree_exp5_numerical_stability_vs_time/step10010.txt"/>
    <x v="1"/>
    <m/>
    <s v="reclaimer_debra"/>
    <s v="allocator_new"/>
    <s v="pool_none"/>
    <n v="4000"/>
    <n v="20"/>
    <n v="20"/>
    <n v="0"/>
    <n v="1"/>
    <n v="20000000"/>
    <n v="190"/>
    <n v="190"/>
    <n v="190"/>
    <n v="0"/>
    <s v="insertIfAbsent"/>
    <n v="100009682063206"/>
    <n v="10000068"/>
    <n v="100009682063206"/>
    <n v="10000068"/>
    <s v="success"/>
    <n v="30"/>
    <n v="6857918"/>
    <n v="5202884"/>
    <n v="12060802"/>
    <n v="10000068"/>
    <n v="1.75867"/>
    <n v="1.9220200000000001"/>
    <n v="1.82914"/>
    <n v="23.2879"/>
    <n v="675404912"/>
    <m/>
    <m/>
    <m/>
    <s v="164 2412"/>
    <m/>
    <m/>
    <n v="228400727"/>
    <n v="0"/>
    <n v="152243782"/>
    <n v="228400727"/>
    <n v="380644509"/>
    <n v="57100181"/>
    <n v="0"/>
    <n v="38060945"/>
    <n v="57100181"/>
    <n v="95161127"/>
    <n v="31.967400000000001"/>
    <n v="11.7797"/>
    <n v="5543.82"/>
    <n v="3953.54"/>
    <n v="2194"/>
    <n v="422"/>
    <x v="0"/>
    <x v="2"/>
  </r>
  <r>
    <s v="istree_exp5_numerical_stability_vs_time/step10011.txt"/>
    <x v="1"/>
    <m/>
    <s v="reclaimer_debra"/>
    <s v="allocator_new"/>
    <s v="pool_none"/>
    <n v="8000"/>
    <n v="20"/>
    <n v="20"/>
    <n v="0"/>
    <n v="1"/>
    <n v="20000000"/>
    <n v="190"/>
    <n v="190"/>
    <n v="190"/>
    <n v="0"/>
    <s v="insertIfAbsent"/>
    <n v="100015141549283"/>
    <n v="10000185"/>
    <n v="100015141549283"/>
    <n v="10000185"/>
    <s v="success"/>
    <n v="29"/>
    <n v="6857058"/>
    <n v="5201397"/>
    <n v="12058455"/>
    <n v="10000185"/>
    <n v="1.7585500000000001"/>
    <n v="1.9226000000000001"/>
    <n v="1.82931"/>
    <n v="23.2834"/>
    <n v="675273480"/>
    <m/>
    <m/>
    <m/>
    <n v="4602"/>
    <m/>
    <m/>
    <n v="448573162"/>
    <n v="0"/>
    <n v="299041313"/>
    <n v="448573162"/>
    <n v="747614475"/>
    <n v="56071645"/>
    <n v="0"/>
    <n v="37380164"/>
    <n v="56071645"/>
    <n v="93451809"/>
    <n v="32.044400000000003"/>
    <n v="11.947900000000001"/>
    <n v="5648.91"/>
    <n v="4029.1"/>
    <n v="2341"/>
    <n v="442"/>
    <x v="0"/>
    <x v="3"/>
  </r>
  <r>
    <s v="istree_exp5_numerical_stability_vs_time/step10012.txt"/>
    <x v="1"/>
    <m/>
    <s v="reclaimer_debra"/>
    <s v="allocator_new"/>
    <s v="pool_none"/>
    <n v="16000"/>
    <n v="20"/>
    <n v="20"/>
    <n v="0"/>
    <n v="1"/>
    <n v="20000000"/>
    <n v="190"/>
    <n v="190"/>
    <n v="190"/>
    <n v="0"/>
    <s v="insertIfAbsent"/>
    <n v="99995929172155"/>
    <n v="10001156"/>
    <n v="99995929172155"/>
    <n v="10001156"/>
    <s v="success"/>
    <n v="29"/>
    <n v="6858235"/>
    <n v="5203496"/>
    <n v="12061731"/>
    <n v="10001156"/>
    <n v="1.7587200000000001"/>
    <n v="1.92201"/>
    <n v="1.8291599999999999"/>
    <n v="23.230899999999998"/>
    <n v="675456936"/>
    <m/>
    <m/>
    <m/>
    <n v="8926"/>
    <m/>
    <m/>
    <n v="885312908"/>
    <n v="0"/>
    <n v="590214101"/>
    <n v="885312908"/>
    <n v="1475527009"/>
    <n v="55332056"/>
    <n v="0"/>
    <n v="36888381"/>
    <n v="55332056"/>
    <n v="92220438"/>
    <n v="32.392800000000001"/>
    <n v="12.124599999999999"/>
    <n v="5722.18"/>
    <n v="4085.58"/>
    <n v="2455"/>
    <n v="435"/>
    <x v="0"/>
    <x v="4"/>
  </r>
  <r>
    <s v="istree_exp5_numerical_stability_vs_time/step10013.txt"/>
    <x v="1"/>
    <m/>
    <s v="reclaimer_debra"/>
    <s v="allocator_new"/>
    <s v="pool_none"/>
    <n v="32000"/>
    <n v="20"/>
    <n v="20"/>
    <n v="0"/>
    <n v="1"/>
    <n v="20000000"/>
    <n v="190"/>
    <n v="190"/>
    <n v="190"/>
    <n v="0"/>
    <s v="insertIfAbsent"/>
    <n v="99980713773591"/>
    <n v="9998252"/>
    <n v="99980713773591"/>
    <n v="9998252"/>
    <s v="success"/>
    <n v="29"/>
    <n v="6856128"/>
    <n v="5201930"/>
    <n v="12058058"/>
    <n v="9998252"/>
    <n v="1.7587299999999999"/>
    <n v="1.9220299999999999"/>
    <n v="1.82918"/>
    <n v="23.297000000000001"/>
    <n v="675251248"/>
    <m/>
    <m/>
    <m/>
    <s v="166 17446"/>
    <m/>
    <m/>
    <n v="1757849489"/>
    <n v="0"/>
    <n v="1171834955"/>
    <n v="1757849489"/>
    <n v="2929684444"/>
    <n v="54932796"/>
    <n v="0"/>
    <n v="36619842"/>
    <n v="54932796"/>
    <n v="91552638"/>
    <n v="32.777200000000001"/>
    <n v="12.305199999999999"/>
    <n v="5768.61"/>
    <n v="4156.05"/>
    <n v="2512"/>
    <n v="429"/>
    <x v="0"/>
    <x v="5"/>
  </r>
  <r>
    <s v="istree_exp5_numerical_stability_vs_time/step10014.txt"/>
    <x v="1"/>
    <m/>
    <s v="reclaimer_debra"/>
    <s v="allocator_new"/>
    <s v="pool_none"/>
    <n v="64000"/>
    <n v="20"/>
    <n v="20"/>
    <n v="0"/>
    <n v="1"/>
    <n v="20000000"/>
    <n v="190"/>
    <n v="190"/>
    <n v="190"/>
    <n v="0"/>
    <s v="insertIfAbsent"/>
    <n v="99988174846441"/>
    <n v="10000268"/>
    <n v="99988174846441"/>
    <n v="10000268"/>
    <s v="success"/>
    <n v="29"/>
    <n v="6857697"/>
    <n v="5202296"/>
    <n v="12059993"/>
    <n v="10000268"/>
    <n v="1.75861"/>
    <n v="1.92228"/>
    <n v="1.82921"/>
    <n v="23.1831"/>
    <n v="675359608"/>
    <m/>
    <m/>
    <m/>
    <s v="154 34382"/>
    <m/>
    <m/>
    <n v="3477077642"/>
    <n v="0"/>
    <n v="2318070958"/>
    <n v="3477077642"/>
    <n v="5795148600"/>
    <n v="54329338"/>
    <n v="0"/>
    <n v="36219858"/>
    <n v="54329338"/>
    <n v="90549196"/>
    <n v="33.140500000000003"/>
    <n v="12.439"/>
    <n v="5831.2"/>
    <n v="4172.25"/>
    <n v="2531"/>
    <n v="440"/>
    <x v="0"/>
    <x v="6"/>
  </r>
  <r>
    <s v="istree_exp5_numerical_stability_vs_time/step10015.txt"/>
    <x v="0"/>
    <n v="72"/>
    <s v="reclaimer_debra"/>
    <s v="allocator_new"/>
    <s v="pool_none"/>
    <n v="1000"/>
    <n v="0.5"/>
    <n v="0.5"/>
    <n v="0"/>
    <n v="1"/>
    <n v="20000000"/>
    <n v="190"/>
    <n v="190"/>
    <n v="190"/>
    <n v="0"/>
    <s v="insertIfAbsent"/>
    <n v="100004450361732"/>
    <n v="9998713"/>
    <n v="100004450361732"/>
    <n v="9998713"/>
    <s v="success"/>
    <n v="7"/>
    <n v="1901877"/>
    <n v="12022433"/>
    <n v="13924310"/>
    <n v="9998713"/>
    <n v="7.3213499999999998"/>
    <n v="0.83167100000000005"/>
    <n v="1.7180800000000001"/>
    <n v="4.0552599999999996"/>
    <n v="344541312"/>
    <s v="0 22 4233 361129 733"/>
    <s v="0 22 4233 361129 733"/>
    <n v="11"/>
    <n v="1670"/>
    <m/>
    <m/>
    <n v="264492865"/>
    <n v="0"/>
    <n v="2670296"/>
    <n v="264492865"/>
    <n v="267163161"/>
    <n v="264492865"/>
    <n v="0"/>
    <n v="2670296"/>
    <n v="264492865"/>
    <n v="267163161"/>
    <n v="15.9283"/>
    <n v="6.4747199999999996"/>
    <n v="1977.15"/>
    <n v="1210.42"/>
    <n v="1915"/>
    <n v="365"/>
    <x v="1"/>
    <x v="0"/>
  </r>
  <r>
    <s v="istree_exp5_numerical_stability_vs_time/step10016.txt"/>
    <x v="0"/>
    <n v="72"/>
    <s v="reclaimer_debra"/>
    <s v="allocator_new"/>
    <s v="pool_none"/>
    <n v="2000"/>
    <n v="0.5"/>
    <n v="0.5"/>
    <n v="0"/>
    <n v="1"/>
    <n v="20000000"/>
    <n v="190"/>
    <n v="190"/>
    <n v="190"/>
    <n v="0"/>
    <s v="insertIfAbsent"/>
    <n v="100008572143870"/>
    <n v="10001237"/>
    <n v="100008572143870"/>
    <n v="10001237"/>
    <s v="success"/>
    <n v="7"/>
    <n v="1646770"/>
    <n v="11485757"/>
    <n v="13132527"/>
    <n v="10001237"/>
    <n v="7.9747199999999996"/>
    <n v="0.87075100000000005"/>
    <n v="1.76156"/>
    <n v="4.0042"/>
    <n v="315513696"/>
    <s v="1 3164 26485 669454 1713"/>
    <s v="1 3164 26483 669453 1713"/>
    <n v="2212"/>
    <n v="3140"/>
    <m/>
    <m/>
    <n v="503772496"/>
    <n v="0"/>
    <n v="5088744"/>
    <n v="503772496"/>
    <n v="508861240"/>
    <n v="251886248"/>
    <n v="0"/>
    <n v="2544372"/>
    <n v="251886248"/>
    <n v="254430620"/>
    <n v="16.213200000000001"/>
    <n v="6.5886699999999996"/>
    <n v="2021.61"/>
    <n v="1261.5"/>
    <n v="2600"/>
    <n v="358"/>
    <x v="1"/>
    <x v="1"/>
  </r>
  <r>
    <s v="istree_exp5_numerical_stability_vs_time/step10017.txt"/>
    <x v="0"/>
    <n v="72"/>
    <s v="reclaimer_debra"/>
    <s v="allocator_new"/>
    <s v="pool_none"/>
    <n v="4000"/>
    <n v="0.5"/>
    <n v="0.5"/>
    <n v="0"/>
    <n v="1"/>
    <n v="20000000"/>
    <n v="190"/>
    <n v="190"/>
    <n v="190"/>
    <n v="0"/>
    <s v="insertIfAbsent"/>
    <n v="99999214876747"/>
    <n v="10000194"/>
    <n v="99999214876747"/>
    <n v="10000194"/>
    <s v="success"/>
    <n v="7"/>
    <n v="1625831"/>
    <n v="11442616"/>
    <n v="13068447"/>
    <n v="10000194"/>
    <n v="8.0380099999999999"/>
    <n v="0.87394300000000003"/>
    <n v="1.76522"/>
    <n v="4.0000099999999996"/>
    <n v="313148320"/>
    <s v="2 6326 53043 1338337 3312"/>
    <s v="2 6326 53041 1338333 3312"/>
    <n v="5168"/>
    <n v="6144"/>
    <m/>
    <m/>
    <n v="989203389"/>
    <n v="0"/>
    <n v="9995530"/>
    <n v="989203389"/>
    <n v="999198919"/>
    <n v="247300847"/>
    <n v="0"/>
    <n v="2498882"/>
    <n v="247300847"/>
    <n v="249799729"/>
    <n v="16.273199999999999"/>
    <n v="6.6117600000000003"/>
    <n v="2068.69"/>
    <n v="1301.05"/>
    <n v="2735"/>
    <n v="412"/>
    <x v="1"/>
    <x v="2"/>
  </r>
  <r>
    <s v="istree_exp5_numerical_stability_vs_time/step10018.txt"/>
    <x v="0"/>
    <n v="72"/>
    <s v="reclaimer_debra"/>
    <s v="allocator_new"/>
    <s v="pool_none"/>
    <n v="8000"/>
    <n v="0.5"/>
    <n v="0.5"/>
    <n v="0"/>
    <n v="1"/>
    <n v="20000000"/>
    <n v="190"/>
    <n v="190"/>
    <n v="190"/>
    <n v="0"/>
    <s v="insertIfAbsent"/>
    <n v="99967026804737"/>
    <n v="9996811"/>
    <n v="99967026804737"/>
    <n v="9996811"/>
    <s v="success"/>
    <n v="7"/>
    <n v="1655378"/>
    <n v="11499042"/>
    <n v="13154420"/>
    <n v="9996811"/>
    <n v="7.9464800000000002"/>
    <n v="0.86936000000000002"/>
    <n v="1.75996"/>
    <n v="4.0060200000000004"/>
    <n v="316414928"/>
    <s v="5 12651 106604 2675751 6647"/>
    <s v="4 12651 106590 2675742 6647"/>
    <n v="9778"/>
    <n v="12522"/>
    <m/>
    <m/>
    <n v="1992378457"/>
    <n v="0"/>
    <n v="20119981"/>
    <n v="1992378457"/>
    <n v="2012498438"/>
    <n v="249047307"/>
    <n v="0"/>
    <n v="2514997"/>
    <n v="249047307"/>
    <n v="251562304"/>
    <n v="16.297699999999999"/>
    <n v="6.6344099999999999"/>
    <n v="2064.88"/>
    <n v="1285.77"/>
    <n v="2783"/>
    <n v="399"/>
    <x v="1"/>
    <x v="3"/>
  </r>
  <r>
    <s v="istree_exp5_numerical_stability_vs_time/step10019.txt"/>
    <x v="0"/>
    <n v="72"/>
    <s v="reclaimer_debra"/>
    <s v="allocator_new"/>
    <s v="pool_none"/>
    <n v="16000"/>
    <n v="0.5"/>
    <n v="0.5"/>
    <n v="0"/>
    <n v="1"/>
    <n v="20000000"/>
    <n v="190"/>
    <n v="190"/>
    <n v="190"/>
    <n v="0"/>
    <s v="insertIfAbsent"/>
    <n v="100022778580258"/>
    <n v="10003354"/>
    <n v="100022778580258"/>
    <n v="10003354"/>
    <s v="success"/>
    <n v="7"/>
    <n v="1642730"/>
    <n v="11479716"/>
    <n v="13122446"/>
    <n v="10003354"/>
    <n v="7.9881900000000003"/>
    <n v="0.871394"/>
    <n v="1.76231"/>
    <n v="4.0033899999999996"/>
    <n v="315093840"/>
    <s v="8 25302 212046 5352003 13390"/>
    <s v="8 25301 212035 5351986 13390"/>
    <n v="19652"/>
    <n v="24646"/>
    <m/>
    <m/>
    <n v="3965613755"/>
    <n v="0"/>
    <n v="40061871"/>
    <n v="3965613755"/>
    <n v="4005675626"/>
    <n v="247850859"/>
    <n v="0"/>
    <n v="2503866"/>
    <n v="247850859"/>
    <n v="250354726"/>
    <n v="16.331099999999999"/>
    <n v="6.64954"/>
    <n v="2082.58"/>
    <n v="1308.67"/>
    <n v="2770"/>
    <n v="413"/>
    <x v="1"/>
    <x v="4"/>
  </r>
  <r>
    <s v="istree_exp5_numerical_stability_vs_time/step10020.txt"/>
    <x v="0"/>
    <n v="72"/>
    <s v="reclaimer_debra"/>
    <s v="allocator_new"/>
    <s v="pool_none"/>
    <n v="32000"/>
    <n v="0.5"/>
    <n v="0.5"/>
    <n v="0"/>
    <n v="1"/>
    <n v="20000000"/>
    <n v="190"/>
    <n v="190"/>
    <n v="190"/>
    <n v="0"/>
    <s v="insertIfAbsent"/>
    <n v="100003122963526"/>
    <n v="9999658"/>
    <n v="100003122963526"/>
    <n v="9999658"/>
    <s v="success"/>
    <n v="7"/>
    <n v="1629368"/>
    <n v="11449239"/>
    <n v="13078607"/>
    <n v="9999658"/>
    <n v="8.0267999999999997"/>
    <n v="0.87339100000000003"/>
    <n v="1.76458"/>
    <n v="4.0007200000000003"/>
    <n v="313537248"/>
    <s v="16 50609 426481 10708860 26813"/>
    <s v="16 50609 426452 10708831 26813"/>
    <n v="38110"/>
    <n v="49220"/>
    <m/>
    <m/>
    <n v="7922095330"/>
    <n v="0"/>
    <n v="80013042"/>
    <n v="7922095330"/>
    <n v="8002108372"/>
    <n v="247565479"/>
    <n v="0"/>
    <n v="2500407"/>
    <n v="247565479"/>
    <n v="250065886"/>
    <n v="16.369499999999999"/>
    <n v="6.6597400000000002"/>
    <n v="2087.9"/>
    <n v="1312.2"/>
    <n v="2774"/>
    <n v="355"/>
    <x v="1"/>
    <x v="5"/>
  </r>
  <r>
    <s v="istree_exp5_numerical_stability_vs_time/step10021.txt"/>
    <x v="0"/>
    <n v="72"/>
    <s v="reclaimer_debra"/>
    <s v="allocator_new"/>
    <s v="pool_none"/>
    <n v="64000"/>
    <n v="0.5"/>
    <n v="0.5"/>
    <n v="0"/>
    <n v="1"/>
    <n v="20000000"/>
    <n v="190"/>
    <n v="190"/>
    <n v="190"/>
    <n v="0"/>
    <s v="insertIfAbsent"/>
    <n v="100005131715058"/>
    <n v="10001160"/>
    <n v="100005131715058"/>
    <n v="10001160"/>
    <s v="success"/>
    <n v="7"/>
    <n v="1629584"/>
    <n v="11450879"/>
    <n v="13080463"/>
    <n v="10001160"/>
    <n v="8.0268700000000006"/>
    <n v="0.87339699999999998"/>
    <n v="1.7645900000000001"/>
    <n v="4.0007599999999996"/>
    <n v="313580768"/>
    <s v="38 101220 851692 21411930 53744"/>
    <s v="32 101214 851626 21411870 53744"/>
    <n v="74581"/>
    <n v="98474"/>
    <m/>
    <m/>
    <n v="15843034042"/>
    <n v="0"/>
    <n v="160014905"/>
    <n v="15843034042"/>
    <n v="16003048947"/>
    <n v="247547406"/>
    <n v="0"/>
    <n v="2500232"/>
    <n v="247547406"/>
    <n v="250047639"/>
    <n v="16.374500000000001"/>
    <n v="6.6691000000000003"/>
    <n v="2088.77"/>
    <n v="1317.47"/>
    <n v="2769"/>
    <n v="400"/>
    <x v="1"/>
    <x v="6"/>
  </r>
  <r>
    <s v="istree_exp5_numerical_stability_vs_time/step10022.txt"/>
    <x v="1"/>
    <m/>
    <s v="reclaimer_debra"/>
    <s v="allocator_new"/>
    <s v="pool_none"/>
    <n v="1000"/>
    <n v="0.5"/>
    <n v="0.5"/>
    <n v="0"/>
    <n v="1"/>
    <n v="20000000"/>
    <n v="190"/>
    <n v="190"/>
    <n v="190"/>
    <n v="0"/>
    <s v="insertIfAbsent"/>
    <n v="99994358562355"/>
    <n v="10000443"/>
    <n v="99994358562355"/>
    <n v="10000443"/>
    <s v="success"/>
    <n v="29"/>
    <n v="5778657"/>
    <n v="4340629"/>
    <n v="10119286"/>
    <n v="10000443"/>
    <n v="1.75115"/>
    <n v="2.3039200000000002"/>
    <n v="1.9882599999999999"/>
    <n v="22.732800000000001"/>
    <n v="566680016"/>
    <m/>
    <m/>
    <m/>
    <s v="154 842"/>
    <m/>
    <m/>
    <n v="112915004"/>
    <n v="0"/>
    <n v="1141343"/>
    <n v="112915004"/>
    <n v="114056347"/>
    <n v="112915004"/>
    <n v="0"/>
    <n v="1141343"/>
    <n v="112915004"/>
    <n v="114056347"/>
    <n v="28.722999999999999"/>
    <n v="10.457800000000001"/>
    <n v="4584.2299999999996"/>
    <n v="3230.88"/>
    <n v="1761"/>
    <n v="431"/>
    <x v="1"/>
    <x v="0"/>
  </r>
  <r>
    <s v="istree_exp5_numerical_stability_vs_time/step10023.txt"/>
    <x v="1"/>
    <m/>
    <s v="reclaimer_debra"/>
    <s v="allocator_new"/>
    <s v="pool_none"/>
    <n v="2000"/>
    <n v="0.5"/>
    <n v="0.5"/>
    <n v="0"/>
    <n v="1"/>
    <n v="20000000"/>
    <n v="190"/>
    <n v="190"/>
    <n v="190"/>
    <n v="0"/>
    <s v="insertIfAbsent"/>
    <n v="100014976805535"/>
    <n v="9999800"/>
    <n v="100014976805535"/>
    <n v="9999800"/>
    <s v="success"/>
    <n v="29"/>
    <n v="5840886"/>
    <n v="4391086"/>
    <n v="10231972"/>
    <n v="9999800"/>
    <n v="1.7517799999999999"/>
    <n v="2.2772999999999999"/>
    <n v="1.9773099999999999"/>
    <n v="22.748999999999999"/>
    <n v="572990432"/>
    <m/>
    <m/>
    <m/>
    <s v="166 1520"/>
    <m/>
    <m/>
    <n v="227859525"/>
    <n v="0"/>
    <n v="2301809"/>
    <n v="227859525"/>
    <n v="230161334"/>
    <n v="113929762"/>
    <n v="0"/>
    <n v="1150904"/>
    <n v="113929762"/>
    <n v="115080667"/>
    <n v="28.970199999999998"/>
    <n v="10.5589"/>
    <n v="4584.72"/>
    <n v="3224.38"/>
    <n v="1768"/>
    <n v="426"/>
    <x v="1"/>
    <x v="1"/>
  </r>
  <r>
    <s v="istree_exp5_numerical_stability_vs_time/step10024.txt"/>
    <x v="1"/>
    <m/>
    <s v="reclaimer_debra"/>
    <s v="allocator_new"/>
    <s v="pool_none"/>
    <n v="4000"/>
    <n v="0.5"/>
    <n v="0.5"/>
    <n v="0"/>
    <n v="1"/>
    <n v="20000000"/>
    <n v="190"/>
    <n v="190"/>
    <n v="190"/>
    <n v="0"/>
    <s v="insertIfAbsent"/>
    <n v="100010800900582"/>
    <n v="10000293"/>
    <n v="100010800900582"/>
    <n v="10000293"/>
    <s v="success"/>
    <n v="29"/>
    <n v="5951716"/>
    <n v="4481156"/>
    <n v="10432872"/>
    <n v="10000293"/>
    <n v="1.75292"/>
    <n v="2.23163"/>
    <n v="1.9585399999999999"/>
    <n v="22.851299999999998"/>
    <n v="584240832"/>
    <m/>
    <m/>
    <m/>
    <n v="2876"/>
    <m/>
    <m/>
    <n v="450592324"/>
    <n v="0"/>
    <n v="4554568"/>
    <n v="450592324"/>
    <n v="455146892"/>
    <n v="112648081"/>
    <n v="0"/>
    <n v="1138642"/>
    <n v="112648081"/>
    <n v="113786723"/>
    <n v="28.949400000000001"/>
    <n v="10.654500000000001"/>
    <n v="4637.93"/>
    <n v="3217.6"/>
    <n v="1782"/>
    <n v="519"/>
    <x v="1"/>
    <x v="2"/>
  </r>
  <r>
    <s v="istree_exp5_numerical_stability_vs_time/step10025.txt"/>
    <x v="1"/>
    <m/>
    <s v="reclaimer_debra"/>
    <s v="allocator_new"/>
    <s v="pool_none"/>
    <n v="8000"/>
    <n v="0.5"/>
    <n v="0.5"/>
    <n v="0"/>
    <n v="1"/>
    <n v="20000000"/>
    <n v="190"/>
    <n v="190"/>
    <n v="190"/>
    <n v="0"/>
    <s v="insertIfAbsent"/>
    <n v="100001799431532"/>
    <n v="10000676"/>
    <n v="100001799431532"/>
    <n v="10000676"/>
    <s v="success"/>
    <n v="29"/>
    <n v="6141072"/>
    <n v="4633741"/>
    <n v="10774813"/>
    <n v="10000676"/>
    <n v="1.7545500000000001"/>
    <n v="2.1582300000000001"/>
    <n v="1.92815"/>
    <n v="22.896699999999999"/>
    <n v="603389528"/>
    <m/>
    <m/>
    <m/>
    <s v="164 5562"/>
    <m/>
    <m/>
    <n v="906920836"/>
    <n v="0"/>
    <n v="9157792"/>
    <n v="906920836"/>
    <n v="916078628"/>
    <n v="113365104"/>
    <n v="0"/>
    <n v="1144724"/>
    <n v="113365104"/>
    <n v="114509828"/>
    <n v="28.756900000000002"/>
    <n v="10.726000000000001"/>
    <n v="4606.67"/>
    <n v="3235.25"/>
    <n v="1804"/>
    <n v="429"/>
    <x v="1"/>
    <x v="3"/>
  </r>
  <r>
    <s v="istree_exp5_numerical_stability_vs_time/step10026.txt"/>
    <x v="1"/>
    <m/>
    <s v="reclaimer_debra"/>
    <s v="allocator_new"/>
    <s v="pool_none"/>
    <n v="16000"/>
    <n v="0.5"/>
    <n v="0.5"/>
    <n v="0"/>
    <n v="1"/>
    <n v="20000000"/>
    <n v="190"/>
    <n v="190"/>
    <n v="190"/>
    <n v="0"/>
    <s v="insertIfAbsent"/>
    <n v="99997895663594"/>
    <n v="10000154"/>
    <n v="99997895663594"/>
    <n v="10000154"/>
    <s v="success"/>
    <n v="29"/>
    <n v="6408503"/>
    <n v="4844569"/>
    <n v="11253072"/>
    <n v="10000154"/>
    <n v="1.75596"/>
    <n v="2.0642"/>
    <n v="1.88866"/>
    <n v="23.022200000000002"/>
    <n v="630172032"/>
    <m/>
    <m/>
    <m/>
    <s v="164 11008"/>
    <m/>
    <m/>
    <n v="1815112611"/>
    <n v="0"/>
    <n v="18341800"/>
    <n v="1815112611"/>
    <n v="1833454411"/>
    <n v="113444538"/>
    <n v="0"/>
    <n v="1146362"/>
    <n v="113444538"/>
    <n v="114590900"/>
    <n v="28.706"/>
    <n v="10.8188"/>
    <n v="4603.83"/>
    <n v="3237.85"/>
    <n v="1836"/>
    <n v="437"/>
    <x v="1"/>
    <x v="4"/>
  </r>
  <r>
    <s v="istree_exp5_numerical_stability_vs_time/step10027.txt"/>
    <x v="1"/>
    <m/>
    <s v="reclaimer_debra"/>
    <s v="allocator_new"/>
    <s v="pool_none"/>
    <n v="32000"/>
    <n v="0.5"/>
    <n v="0.5"/>
    <n v="0"/>
    <n v="1"/>
    <n v="20000000"/>
    <n v="190"/>
    <n v="190"/>
    <n v="190"/>
    <n v="0"/>
    <s v="insertIfAbsent"/>
    <n v="99981731977691"/>
    <n v="9998345"/>
    <n v="99981731977691"/>
    <n v="9998345"/>
    <s v="success"/>
    <n v="29"/>
    <n v="6677103"/>
    <n v="5057290"/>
    <n v="11734393"/>
    <n v="9998345"/>
    <n v="1.7574099999999999"/>
    <n v="1.97702"/>
    <n v="1.85205"/>
    <n v="23.189399999999999"/>
    <n v="657126008"/>
    <m/>
    <m/>
    <m/>
    <s v="148 21682"/>
    <m/>
    <m/>
    <n v="3597360925"/>
    <n v="0"/>
    <n v="36338908"/>
    <n v="3597360925"/>
    <n v="3633699833"/>
    <n v="112417528"/>
    <n v="0"/>
    <n v="1135590"/>
    <n v="112417528"/>
    <n v="113553119"/>
    <n v="29.118600000000001"/>
    <n v="10.902699999999999"/>
    <n v="4643.59"/>
    <n v="3276.45"/>
    <n v="1867"/>
    <n v="437"/>
    <x v="1"/>
    <x v="5"/>
  </r>
  <r>
    <s v="istree_exp5_numerical_stability_vs_time/step10028.txt"/>
    <x v="1"/>
    <m/>
    <s v="reclaimer_debra"/>
    <s v="allocator_new"/>
    <s v="pool_none"/>
    <n v="64000"/>
    <n v="0.5"/>
    <n v="0.5"/>
    <n v="0"/>
    <n v="1"/>
    <n v="20000000"/>
    <n v="190"/>
    <n v="190"/>
    <n v="190"/>
    <n v="0"/>
    <s v="insertIfAbsent"/>
    <n v="100008956020404"/>
    <n v="10000105"/>
    <n v="100008956020404"/>
    <n v="10000105"/>
    <s v="success"/>
    <n v="29"/>
    <n v="6827090"/>
    <n v="5178373"/>
    <n v="12005463"/>
    <n v="10000105"/>
    <n v="1.7585"/>
    <n v="1.93113"/>
    <n v="1.8329599999999999"/>
    <n v="23.2256"/>
    <n v="672305928"/>
    <m/>
    <m/>
    <m/>
    <s v="164 42830"/>
    <m/>
    <m/>
    <n v="7163079646"/>
    <n v="0"/>
    <n v="72342994"/>
    <n v="7163079646"/>
    <n v="7235422640"/>
    <n v="111923119"/>
    <n v="0"/>
    <n v="1130359"/>
    <n v="111923119"/>
    <n v="113053478"/>
    <n v="29.105499999999999"/>
    <n v="10.995699999999999"/>
    <n v="4663.5"/>
    <n v="3285.81"/>
    <n v="1886"/>
    <n v="432"/>
    <x v="1"/>
    <x v="6"/>
  </r>
  <r>
    <s v="istree_exp5_numerical_stability_vs_time/step10029.txt"/>
    <x v="0"/>
    <n v="72"/>
    <s v="reclaimer_debra"/>
    <s v="allocator_new"/>
    <s v="pool_none"/>
    <n v="1000"/>
    <n v="20"/>
    <n v="20"/>
    <n v="0"/>
    <n v="1"/>
    <n v="20000000"/>
    <n v="190"/>
    <n v="190"/>
    <n v="190"/>
    <n v="0"/>
    <s v="insertIfAbsent"/>
    <n v="100014204708887"/>
    <n v="10001250"/>
    <n v="100014204708887"/>
    <n v="10001250"/>
    <s v="success"/>
    <n v="7"/>
    <n v="1894922"/>
    <n v="12005106"/>
    <n v="13900028"/>
    <n v="10001250"/>
    <n v="7.3354100000000004"/>
    <n v="0.83308300000000002"/>
    <n v="1.7195100000000001"/>
    <n v="4.0539399999999999"/>
    <n v="343698784"/>
    <s v="31 22152 188246 4975764 12184"/>
    <s v="7 22140 188099 4975547 12184"/>
    <n v="90839"/>
    <n v="704"/>
    <m/>
    <m/>
    <n v="55977885"/>
    <n v="0"/>
    <n v="37311229"/>
    <n v="55977885"/>
    <n v="93289114"/>
    <n v="55977885"/>
    <n v="0"/>
    <n v="37311229"/>
    <n v="55977885"/>
    <n v="93289114"/>
    <n v="28.089300000000001"/>
    <n v="14.7736"/>
    <n v="5034.84"/>
    <n v="3468.26"/>
    <n v="2849"/>
    <n v="380"/>
    <x v="0"/>
    <x v="0"/>
  </r>
  <r>
    <s v="istree_exp5_numerical_stability_vs_time/step10030.txt"/>
    <x v="0"/>
    <n v="72"/>
    <s v="reclaimer_debra"/>
    <s v="allocator_new"/>
    <s v="pool_none"/>
    <n v="2000"/>
    <n v="20"/>
    <n v="20"/>
    <n v="0"/>
    <n v="1"/>
    <n v="20000000"/>
    <n v="190"/>
    <n v="190"/>
    <n v="190"/>
    <n v="0"/>
    <s v="insertIfAbsent"/>
    <n v="100000415032806"/>
    <n v="10000472"/>
    <n v="100000415032806"/>
    <n v="10000472"/>
    <s v="success"/>
    <n v="7"/>
    <n v="1682965"/>
    <n v="11558276"/>
    <n v="13241241"/>
    <n v="10000472"/>
    <n v="7.8678100000000004"/>
    <n v="0.86522200000000005"/>
    <n v="1.75525"/>
    <n v="4.0114400000000003"/>
    <n v="319569632"/>
    <s v="46 47463 399940 10044587 24799"/>
    <s v="15 47448 399602 10044050 24798"/>
    <n v="190611"/>
    <n v="1438"/>
    <m/>
    <m/>
    <n v="112877316"/>
    <n v="0"/>
    <n v="75260764"/>
    <n v="112877316"/>
    <n v="188138080"/>
    <n v="56438658"/>
    <n v="0"/>
    <n v="37630382"/>
    <n v="56438658"/>
    <n v="94069040"/>
    <n v="28.570699999999999"/>
    <n v="15.203799999999999"/>
    <n v="5221.59"/>
    <n v="3582.69"/>
    <n v="2880"/>
    <n v="348"/>
    <x v="0"/>
    <x v="1"/>
  </r>
  <r>
    <s v="istree_exp5_numerical_stability_vs_time/step10031.txt"/>
    <x v="0"/>
    <n v="72"/>
    <s v="reclaimer_debra"/>
    <s v="allocator_new"/>
    <s v="pool_none"/>
    <n v="4000"/>
    <n v="20"/>
    <n v="20"/>
    <n v="0"/>
    <n v="1"/>
    <n v="20000000"/>
    <n v="190"/>
    <n v="190"/>
    <n v="190"/>
    <n v="0"/>
    <s v="insertIfAbsent"/>
    <n v="99964283666637"/>
    <n v="9999529"/>
    <n v="99964283666637"/>
    <n v="9999529"/>
    <s v="success"/>
    <n v="7"/>
    <n v="1732478"/>
    <n v="11665695"/>
    <n v="13398173"/>
    <n v="9999529"/>
    <n v="7.73353"/>
    <n v="0.85717399999999999"/>
    <n v="1.74634"/>
    <n v="4.02189"/>
    <n v="325254176"/>
    <s v="101 97798 825335 20632199 51570"/>
    <s v="30 97764 824601 20631214 51568"/>
    <n v="392360"/>
    <n v="2944"/>
    <m/>
    <m/>
    <n v="231022380"/>
    <n v="0"/>
    <n v="154034186"/>
    <n v="231022380"/>
    <n v="385056566"/>
    <n v="57755595"/>
    <n v="0"/>
    <n v="38508546"/>
    <n v="57755595"/>
    <n v="96264141"/>
    <n v="28.543199999999999"/>
    <n v="15.2174"/>
    <n v="5229.4799999999996"/>
    <n v="3600.99"/>
    <n v="2909"/>
    <n v="359"/>
    <x v="0"/>
    <x v="2"/>
  </r>
  <r>
    <s v="istree_exp5_numerical_stability_vs_time/step10032.txt"/>
    <x v="0"/>
    <n v="72"/>
    <s v="reclaimer_debra"/>
    <s v="allocator_new"/>
    <s v="pool_none"/>
    <n v="8000"/>
    <n v="20"/>
    <n v="20"/>
    <n v="0"/>
    <n v="1"/>
    <n v="20000000"/>
    <n v="190"/>
    <n v="190"/>
    <n v="190"/>
    <n v="0"/>
    <s v="insertIfAbsent"/>
    <n v="99980318123951"/>
    <n v="9998372"/>
    <n v="99980318123951"/>
    <n v="9998372"/>
    <s v="success"/>
    <n v="7"/>
    <n v="1839459"/>
    <n v="11895301"/>
    <n v="13734760"/>
    <n v="9998372"/>
    <n v="7.4667399999999997"/>
    <n v="0.84053100000000003"/>
    <n v="1.7279599999999999"/>
    <n v="4.0426099999999998"/>
    <n v="337513344"/>
    <s v="212 193879 1647846 41311909 103724"/>
    <s v="61 193812 1646419 41309872 103724"/>
    <n v="771002"/>
    <n v="5902"/>
    <m/>
    <m/>
    <n v="462537027"/>
    <n v="0"/>
    <n v="308374438"/>
    <n v="462537027"/>
    <n v="770911465"/>
    <n v="57817128"/>
    <n v="0"/>
    <n v="38546804"/>
    <n v="57817128"/>
    <n v="96363933"/>
    <n v="28.578199999999999"/>
    <n v="15.243399999999999"/>
    <n v="5272.6"/>
    <n v="3628.62"/>
    <n v="2920"/>
    <n v="392"/>
    <x v="0"/>
    <x v="3"/>
  </r>
  <r>
    <s v="istree_exp5_numerical_stability_vs_time/step10033.txt"/>
    <x v="0"/>
    <n v="72"/>
    <s v="reclaimer_debra"/>
    <s v="allocator_new"/>
    <s v="pool_none"/>
    <n v="16000"/>
    <n v="20"/>
    <n v="20"/>
    <n v="0"/>
    <n v="1"/>
    <n v="20000000"/>
    <n v="190"/>
    <n v="190"/>
    <n v="190"/>
    <n v="0"/>
    <s v="insertIfAbsent"/>
    <n v="100011541905466"/>
    <n v="9997818"/>
    <n v="100011541905466"/>
    <n v="9997818"/>
    <s v="success"/>
    <n v="7"/>
    <n v="1734120"/>
    <n v="11668340"/>
    <n v="13402460"/>
    <n v="9997818"/>
    <n v="7.7286799999999998"/>
    <n v="0.85683299999999996"/>
    <n v="1.74597"/>
    <n v="4.0221299999999998"/>
    <n v="325430032"/>
    <s v="479 391923 3304690 82861060 209164"/>
    <s v="123 391783 3301849 82857154 209162"/>
    <n v="1574960"/>
    <n v="11816"/>
    <m/>
    <m/>
    <n v="928275499"/>
    <n v="0"/>
    <n v="618858076"/>
    <n v="928275499"/>
    <n v="1547133575"/>
    <n v="58017218"/>
    <n v="0"/>
    <n v="38678629"/>
    <n v="58017218"/>
    <n v="96695848"/>
    <n v="28.596"/>
    <n v="15.2967"/>
    <n v="5283.83"/>
    <n v="3645.92"/>
    <n v="2930"/>
    <n v="428"/>
    <x v="0"/>
    <x v="4"/>
  </r>
  <r>
    <s v="istree_exp5_numerical_stability_vs_time/step10034.txt"/>
    <x v="0"/>
    <n v="72"/>
    <s v="reclaimer_debra"/>
    <s v="allocator_new"/>
    <s v="pool_none"/>
    <n v="32000"/>
    <n v="20"/>
    <n v="20"/>
    <n v="0"/>
    <n v="1"/>
    <n v="20000000"/>
    <n v="190"/>
    <n v="190"/>
    <n v="190"/>
    <n v="0"/>
    <s v="insertIfAbsent"/>
    <n v="100010116648679"/>
    <n v="10002016"/>
    <n v="100010116648679"/>
    <n v="10002016"/>
    <s v="success"/>
    <n v="7"/>
    <n v="1625833"/>
    <n v="11444433"/>
    <n v="13070266"/>
    <n v="10002016"/>
    <n v="8.0391200000000005"/>
    <n v="0.87396300000000005"/>
    <n v="1.76525"/>
    <n v="4.0000099999999996"/>
    <n v="313177552"/>
    <s v="887 781518 6591328 165295512 412623"/>
    <s v="247 781227 6585818 165287729 412616"/>
    <n v="3115458"/>
    <n v="23664"/>
    <m/>
    <m/>
    <n v="1852472851"/>
    <n v="0"/>
    <n v="1234898598"/>
    <n v="1852472851"/>
    <n v="3087371449"/>
    <n v="57889776"/>
    <n v="0"/>
    <n v="38590581"/>
    <n v="57889776"/>
    <n v="96480357"/>
    <n v="28.655200000000001"/>
    <n v="15.315"/>
    <n v="5312.27"/>
    <n v="3657.97"/>
    <n v="2945"/>
    <n v="403"/>
    <x v="0"/>
    <x v="5"/>
  </r>
  <r>
    <s v="istree_exp5_numerical_stability_vs_time/step10035.txt"/>
    <x v="0"/>
    <n v="72"/>
    <s v="reclaimer_debra"/>
    <s v="allocator_new"/>
    <s v="pool_none"/>
    <n v="64000"/>
    <n v="20"/>
    <n v="20"/>
    <n v="0"/>
    <n v="1"/>
    <n v="20000000"/>
    <n v="190"/>
    <n v="190"/>
    <n v="190"/>
    <n v="0"/>
    <s v="insertIfAbsent"/>
    <n v="100015990633544"/>
    <n v="10000903"/>
    <n v="100015990633544"/>
    <n v="10000903"/>
    <s v="success"/>
    <n v="7"/>
    <n v="1886371"/>
    <n v="11995753"/>
    <n v="13882124"/>
    <n v="10000903"/>
    <n v="7.3591699999999998"/>
    <n v="0.833704"/>
    <n v="1.7204200000000001"/>
    <n v="4.0519800000000004"/>
    <n v="342878128"/>
    <s v="1803 1560090 13167081 330350256 828306"/>
    <s v="493 1559551 13155877 330334435 828291"/>
    <n v="6187726"/>
    <n v="47264"/>
    <m/>
    <m/>
    <n v="3701924103"/>
    <n v="0"/>
    <n v="2467882664"/>
    <n v="3701924103"/>
    <n v="6169806767"/>
    <n v="57842564"/>
    <n v="0"/>
    <n v="38560666"/>
    <n v="57842564"/>
    <n v="96403230"/>
    <n v="28.677900000000001"/>
    <n v="15.31"/>
    <n v="5323.05"/>
    <n v="3670.98"/>
    <n v="2961"/>
    <n v="393"/>
    <x v="0"/>
    <x v="6"/>
  </r>
  <r>
    <s v="istree_exp5_numerical_stability_vs_time/step10036.txt"/>
    <x v="1"/>
    <m/>
    <s v="reclaimer_debra"/>
    <s v="allocator_new"/>
    <s v="pool_none"/>
    <n v="1000"/>
    <n v="20"/>
    <n v="20"/>
    <n v="0"/>
    <n v="1"/>
    <n v="20000000"/>
    <n v="190"/>
    <n v="190"/>
    <n v="190"/>
    <n v="0"/>
    <s v="insertIfAbsent"/>
    <n v="100014965746868"/>
    <n v="10002047"/>
    <n v="100014965746868"/>
    <n v="10002047"/>
    <s v="success"/>
    <n v="29"/>
    <n v="6697467"/>
    <n v="5073532"/>
    <n v="11770999"/>
    <n v="10002047"/>
    <n v="1.75753"/>
    <n v="1.97142"/>
    <n v="1.84972"/>
    <n v="23.1694"/>
    <n v="659175944"/>
    <m/>
    <m/>
    <m/>
    <s v="166 742"/>
    <m/>
    <m/>
    <n v="57872706"/>
    <n v="0"/>
    <n v="38574663"/>
    <n v="57872706"/>
    <n v="96447369"/>
    <n v="57872706"/>
    <n v="0"/>
    <n v="38574663"/>
    <n v="57872706"/>
    <n v="96447369"/>
    <n v="31.401299999999999"/>
    <n v="11.5093"/>
    <n v="5432.59"/>
    <n v="3815.61"/>
    <n v="1953"/>
    <n v="427"/>
    <x v="0"/>
    <x v="0"/>
  </r>
  <r>
    <s v="istree_exp5_numerical_stability_vs_time/step10037.txt"/>
    <x v="1"/>
    <m/>
    <s v="reclaimer_debra"/>
    <s v="allocator_new"/>
    <s v="pool_none"/>
    <n v="2000"/>
    <n v="20"/>
    <n v="20"/>
    <n v="0"/>
    <n v="1"/>
    <n v="20000000"/>
    <n v="190"/>
    <n v="190"/>
    <n v="190"/>
    <n v="0"/>
    <s v="insertIfAbsent"/>
    <n v="100019666825977"/>
    <n v="10001160"/>
    <n v="100019666825977"/>
    <n v="10001160"/>
    <s v="success"/>
    <n v="29"/>
    <n v="6835444"/>
    <n v="5183312"/>
    <n v="12018756"/>
    <n v="10001160"/>
    <n v="1.7583"/>
    <n v="1.9294899999999999"/>
    <n v="1.83213"/>
    <n v="23.256900000000002"/>
    <n v="673050336"/>
    <m/>
    <m/>
    <m/>
    <s v="168 1298"/>
    <m/>
    <m/>
    <n v="115210770"/>
    <n v="0"/>
    <n v="76803215"/>
    <n v="115210770"/>
    <n v="192013985"/>
    <n v="57605385"/>
    <n v="0"/>
    <n v="38401607"/>
    <n v="57605385"/>
    <n v="96006992"/>
    <n v="31.506399999999999"/>
    <n v="11.653700000000001"/>
    <n v="5492.01"/>
    <n v="3884.63"/>
    <n v="2059"/>
    <n v="429"/>
    <x v="0"/>
    <x v="1"/>
  </r>
  <r>
    <s v="istree_exp5_numerical_stability_vs_time/step10038.txt"/>
    <x v="1"/>
    <m/>
    <s v="reclaimer_debra"/>
    <s v="allocator_new"/>
    <s v="pool_none"/>
    <n v="4000"/>
    <n v="20"/>
    <n v="20"/>
    <n v="0"/>
    <n v="1"/>
    <n v="20000000"/>
    <n v="190"/>
    <n v="190"/>
    <n v="190"/>
    <n v="0"/>
    <s v="insertIfAbsent"/>
    <n v="99972187284734"/>
    <n v="9998732"/>
    <n v="99972187284734"/>
    <n v="9998732"/>
    <s v="success"/>
    <n v="29"/>
    <n v="6857525"/>
    <n v="5203246"/>
    <n v="12060771"/>
    <n v="9998732"/>
    <n v="1.7587600000000001"/>
    <n v="1.9216299999999999"/>
    <n v="1.8290299999999999"/>
    <n v="23.2835"/>
    <n v="675403176"/>
    <m/>
    <m/>
    <m/>
    <s v="166 2410"/>
    <m/>
    <m/>
    <n v="227393245"/>
    <n v="0"/>
    <n v="151598901"/>
    <n v="227393245"/>
    <n v="378992146"/>
    <n v="56848311"/>
    <n v="0"/>
    <n v="37899725"/>
    <n v="56848311"/>
    <n v="94748036"/>
    <n v="32.210500000000003"/>
    <n v="11.7845"/>
    <n v="5572.4"/>
    <n v="3979.69"/>
    <n v="2192"/>
    <n v="433"/>
    <x v="0"/>
    <x v="2"/>
  </r>
  <r>
    <s v="istree_exp5_numerical_stability_vs_time/step10039.txt"/>
    <x v="1"/>
    <m/>
    <s v="reclaimer_debra"/>
    <s v="allocator_new"/>
    <s v="pool_none"/>
    <n v="8000"/>
    <n v="20"/>
    <n v="20"/>
    <n v="0"/>
    <n v="1"/>
    <n v="20000000"/>
    <n v="190"/>
    <n v="190"/>
    <n v="190"/>
    <n v="0"/>
    <s v="insertIfAbsent"/>
    <n v="100034669499869"/>
    <n v="10000806"/>
    <n v="100034669499869"/>
    <n v="10000806"/>
    <s v="success"/>
    <n v="29"/>
    <n v="6857733"/>
    <n v="5202195"/>
    <n v="12059928"/>
    <n v="10000806"/>
    <n v="1.7585900000000001"/>
    <n v="1.92242"/>
    <n v="1.8292600000000001"/>
    <n v="23.2684"/>
    <n v="675355968"/>
    <m/>
    <m/>
    <m/>
    <s v="150 4592"/>
    <m/>
    <m/>
    <n v="451401712"/>
    <n v="0"/>
    <n v="300939234"/>
    <n v="451401712"/>
    <n v="752340946"/>
    <n v="56425214"/>
    <n v="0"/>
    <n v="37617404"/>
    <n v="56425214"/>
    <n v="94042618"/>
    <n v="32.004300000000001"/>
    <n v="11.9541"/>
    <n v="5612.01"/>
    <n v="4023.75"/>
    <n v="2345"/>
    <n v="427"/>
    <x v="0"/>
    <x v="3"/>
  </r>
  <r>
    <s v="istree_exp5_numerical_stability_vs_time/step10040.txt"/>
    <x v="1"/>
    <m/>
    <s v="reclaimer_debra"/>
    <s v="allocator_new"/>
    <s v="pool_none"/>
    <n v="16000"/>
    <n v="20"/>
    <n v="20"/>
    <n v="0"/>
    <n v="1"/>
    <n v="20000000"/>
    <n v="190"/>
    <n v="190"/>
    <n v="190"/>
    <n v="0"/>
    <s v="insertIfAbsent"/>
    <n v="100004166665346"/>
    <n v="10002755"/>
    <n v="100004166665346"/>
    <n v="10002755"/>
    <s v="success"/>
    <n v="29"/>
    <n v="6860175"/>
    <n v="5203432"/>
    <n v="12063607"/>
    <n v="10002755"/>
    <n v="1.7585"/>
    <n v="1.9223399999999999"/>
    <n v="1.82917"/>
    <n v="23.248699999999999"/>
    <n v="675561992"/>
    <m/>
    <m/>
    <m/>
    <s v="150 8884"/>
    <m/>
    <m/>
    <n v="888002778"/>
    <n v="0"/>
    <n v="591964536"/>
    <n v="888002778"/>
    <n v="1479967314"/>
    <n v="55500173"/>
    <n v="0"/>
    <n v="36997783"/>
    <n v="55500173"/>
    <n v="92497957"/>
    <n v="32.450699999999998"/>
    <n v="12.1379"/>
    <n v="5710.04"/>
    <n v="4107.79"/>
    <n v="2459"/>
    <n v="457"/>
    <x v="0"/>
    <x v="4"/>
  </r>
  <r>
    <s v="istree_exp5_numerical_stability_vs_time/step10041.txt"/>
    <x v="1"/>
    <m/>
    <s v="reclaimer_debra"/>
    <s v="allocator_new"/>
    <s v="pool_none"/>
    <n v="32000"/>
    <n v="20"/>
    <n v="20"/>
    <n v="0"/>
    <n v="1"/>
    <n v="20000000"/>
    <n v="190"/>
    <n v="190"/>
    <n v="190"/>
    <n v="0"/>
    <s v="insertIfAbsent"/>
    <n v="100014888483260"/>
    <n v="10000164"/>
    <n v="100014888483260"/>
    <n v="10000164"/>
    <s v="success"/>
    <n v="29"/>
    <n v="6858391"/>
    <n v="5204447"/>
    <n v="12062838"/>
    <n v="10000164"/>
    <n v="1.75884"/>
    <n v="1.92147"/>
    <n v="1.82901"/>
    <n v="23.282"/>
    <n v="675518928"/>
    <m/>
    <m/>
    <m/>
    <n v="17464"/>
    <m/>
    <m/>
    <n v="1757221260"/>
    <n v="0"/>
    <n v="1171560413"/>
    <n v="1757221260"/>
    <n v="2928781673"/>
    <n v="54913164"/>
    <n v="0"/>
    <n v="36611262"/>
    <n v="54913164"/>
    <n v="91524427"/>
    <n v="33.185099999999998"/>
    <n v="12.294499999999999"/>
    <n v="5771.56"/>
    <n v="4154.55"/>
    <n v="2511"/>
    <n v="450"/>
    <x v="0"/>
    <x v="5"/>
  </r>
  <r>
    <s v="istree_exp5_numerical_stability_vs_time/step10042.txt"/>
    <x v="1"/>
    <m/>
    <s v="reclaimer_debra"/>
    <s v="allocator_new"/>
    <s v="pool_none"/>
    <n v="64000"/>
    <n v="20"/>
    <n v="20"/>
    <n v="0"/>
    <n v="1"/>
    <n v="20000000"/>
    <n v="190"/>
    <n v="190"/>
    <n v="190"/>
    <n v="0"/>
    <s v="insertIfAbsent"/>
    <n v="100067774164102"/>
    <n v="10005051"/>
    <n v="100067774164102"/>
    <n v="10005051"/>
    <s v="success"/>
    <n v="29"/>
    <n v="6861369"/>
    <n v="5204217"/>
    <n v="12065586"/>
    <n v="10005051"/>
    <n v="1.75848"/>
    <n v="1.92249"/>
    <n v="1.8292200000000001"/>
    <n v="23.2044"/>
    <n v="675672816"/>
    <m/>
    <m/>
    <m/>
    <s v="168 34448"/>
    <m/>
    <m/>
    <n v="3495817991"/>
    <n v="0"/>
    <n v="2330558513"/>
    <n v="3495817991"/>
    <n v="5826376504"/>
    <n v="54622156"/>
    <n v="0"/>
    <n v="36414976"/>
    <n v="54622156"/>
    <n v="91037132"/>
    <n v="33.1404"/>
    <n v="12.432399999999999"/>
    <n v="5803.4"/>
    <n v="4182"/>
    <n v="2531"/>
    <n v="440"/>
    <x v="0"/>
    <x v="6"/>
  </r>
  <r>
    <s v="istree_exp5_numerical_stability_vs_time/step10043.txt"/>
    <x v="0"/>
    <n v="72"/>
    <s v="reclaimer_debra"/>
    <s v="allocator_new"/>
    <s v="pool_none"/>
    <n v="1000"/>
    <n v="0.5"/>
    <n v="0.5"/>
    <n v="0"/>
    <n v="1"/>
    <n v="20000000"/>
    <n v="190"/>
    <n v="190"/>
    <n v="190"/>
    <n v="0"/>
    <s v="insertIfAbsent"/>
    <n v="99998159463364"/>
    <n v="10000883"/>
    <n v="99998159463364"/>
    <n v="10000883"/>
    <s v="success"/>
    <n v="7"/>
    <n v="1903154"/>
    <n v="12025371"/>
    <n v="13928525"/>
    <n v="10000883"/>
    <n v="7.3186499999999999"/>
    <n v="0.83164899999999997"/>
    <n v="1.71801"/>
    <n v="4.0555000000000003"/>
    <n v="344689376"/>
    <s v="0 17 4229 360724 738"/>
    <s v="0 17 4229 360724 738"/>
    <n v="6"/>
    <n v="1664"/>
    <m/>
    <m/>
    <n v="264045566"/>
    <n v="0"/>
    <n v="2667247"/>
    <n v="264045566"/>
    <n v="266712813"/>
    <n v="264045566"/>
    <n v="0"/>
    <n v="2667247"/>
    <n v="264045566"/>
    <n v="266712813"/>
    <n v="15.9292"/>
    <n v="6.4836999999999998"/>
    <n v="1979.93"/>
    <n v="1222.58"/>
    <n v="1916"/>
    <n v="369"/>
    <x v="1"/>
    <x v="0"/>
  </r>
  <r>
    <s v="istree_exp5_numerical_stability_vs_time/step10044.txt"/>
    <x v="0"/>
    <n v="72"/>
    <s v="reclaimer_debra"/>
    <s v="allocator_new"/>
    <s v="pool_none"/>
    <n v="2000"/>
    <n v="0.5"/>
    <n v="0.5"/>
    <n v="0"/>
    <n v="1"/>
    <n v="20000000"/>
    <n v="190"/>
    <n v="190"/>
    <n v="190"/>
    <n v="0"/>
    <s v="insertIfAbsent"/>
    <n v="100028986580250"/>
    <n v="10002827"/>
    <n v="100028986580250"/>
    <n v="10002827"/>
    <s v="success"/>
    <n v="7"/>
    <n v="1659390"/>
    <n v="11512751"/>
    <n v="13172141"/>
    <n v="10002827"/>
    <n v="7.9379400000000002"/>
    <n v="0.86884799999999995"/>
    <n v="1.75939"/>
    <n v="4.0067199999999996"/>
    <n v="316955216"/>
    <s v="2 3163 26486 671165 1724"/>
    <s v="1 3163 26482 671162 1724"/>
    <n v="2584"/>
    <n v="3132"/>
    <m/>
    <m/>
    <n v="508569913"/>
    <n v="0"/>
    <n v="5141593"/>
    <n v="508569913"/>
    <n v="513711506"/>
    <n v="254284956"/>
    <n v="0"/>
    <n v="2570796"/>
    <n v="254284956"/>
    <n v="256855753"/>
    <n v="16.1431"/>
    <n v="6.5848800000000001"/>
    <n v="2001.99"/>
    <n v="1240.3499999999999"/>
    <n v="2596"/>
    <n v="397"/>
    <x v="1"/>
    <x v="1"/>
  </r>
  <r>
    <s v="istree_exp5_numerical_stability_vs_time/step10045.txt"/>
    <x v="0"/>
    <n v="72"/>
    <s v="reclaimer_debra"/>
    <s v="allocator_new"/>
    <s v="pool_none"/>
    <n v="4000"/>
    <n v="0.5"/>
    <n v="0.5"/>
    <n v="0"/>
    <n v="1"/>
    <n v="20000000"/>
    <n v="190"/>
    <n v="190"/>
    <n v="190"/>
    <n v="0"/>
    <s v="insertIfAbsent"/>
    <n v="99982725658371"/>
    <n v="9998836"/>
    <n v="99982725658371"/>
    <n v="9998836"/>
    <s v="success"/>
    <n v="7"/>
    <n v="1641720"/>
    <n v="11473081"/>
    <n v="13114801"/>
    <n v="9998836"/>
    <n v="7.9884500000000003"/>
    <n v="0.87150399999999995"/>
    <n v="1.76241"/>
    <n v="4.00319"/>
    <n v="314906880"/>
    <s v="3 6326 53177 1339953 3399"/>
    <s v="2 6326 53173 1339952 3399"/>
    <n v="5280"/>
    <n v="6198"/>
    <m/>
    <m/>
    <n v="995640567"/>
    <n v="0"/>
    <n v="10060465"/>
    <n v="995640567"/>
    <n v="1005701032"/>
    <n v="248910141"/>
    <n v="0"/>
    <n v="2515116"/>
    <n v="248910141"/>
    <n v="251425258"/>
    <n v="16.2437"/>
    <n v="6.6146000000000003"/>
    <n v="2049.27"/>
    <n v="1276.73"/>
    <n v="2734"/>
    <n v="406"/>
    <x v="1"/>
    <x v="2"/>
  </r>
  <r>
    <s v="istree_exp5_numerical_stability_vs_time/step10046.txt"/>
    <x v="0"/>
    <n v="72"/>
    <s v="reclaimer_debra"/>
    <s v="allocator_new"/>
    <s v="pool_none"/>
    <n v="8000"/>
    <n v="0.5"/>
    <n v="0.5"/>
    <n v="0"/>
    <n v="1"/>
    <n v="20000000"/>
    <n v="190"/>
    <n v="190"/>
    <n v="190"/>
    <n v="0"/>
    <s v="insertIfAbsent"/>
    <n v="99963073237890"/>
    <n v="9997351"/>
    <n v="99963073237890"/>
    <n v="9997351"/>
    <s v="success"/>
    <n v="7"/>
    <n v="1647170"/>
    <n v="11483310"/>
    <n v="13130480"/>
    <n v="9997351"/>
    <n v="7.9715400000000001"/>
    <n v="0.87059799999999998"/>
    <n v="1.76139"/>
    <n v="4.0043800000000003"/>
    <n v="315506544"/>
    <s v="4 12652 106580 2677918 6518"/>
    <s v="4 12652 106572 2677910 6518"/>
    <n v="9848"/>
    <n v="12364"/>
    <m/>
    <m/>
    <n v="1988369360"/>
    <n v="0"/>
    <n v="20086196"/>
    <n v="1988369360"/>
    <n v="2008455556"/>
    <n v="248546170"/>
    <n v="0"/>
    <n v="2510774"/>
    <n v="248546170"/>
    <n v="251056944"/>
    <n v="16.2212"/>
    <n v="6.6342800000000004"/>
    <n v="2069.0300000000002"/>
    <n v="1291.54"/>
    <n v="2782"/>
    <n v="385"/>
    <x v="1"/>
    <x v="3"/>
  </r>
  <r>
    <s v="istree_exp5_numerical_stability_vs_time/step10047.txt"/>
    <x v="0"/>
    <n v="72"/>
    <s v="reclaimer_debra"/>
    <s v="allocator_new"/>
    <s v="pool_none"/>
    <n v="16000"/>
    <n v="0.5"/>
    <n v="0.5"/>
    <n v="0"/>
    <n v="1"/>
    <n v="20000000"/>
    <n v="190"/>
    <n v="190"/>
    <n v="190"/>
    <n v="0"/>
    <s v="insertIfAbsent"/>
    <n v="99947681666817"/>
    <n v="9994827"/>
    <n v="99947681666817"/>
    <n v="9994827"/>
    <s v="success"/>
    <n v="7"/>
    <n v="1829631"/>
    <n v="11862801"/>
    <n v="13692432"/>
    <n v="9994827"/>
    <n v="7.4837100000000003"/>
    <n v="0.84253500000000003"/>
    <n v="1.7299500000000001"/>
    <n v="4.0417199999999998"/>
    <n v="336182608"/>
    <s v="8 25301 212973 5349635 13349"/>
    <s v="7 25301 212960 5349627 13349"/>
    <n v="18461"/>
    <n v="24528"/>
    <m/>
    <m/>
    <n v="3954547788"/>
    <n v="0"/>
    <n v="39953810"/>
    <n v="3954547788"/>
    <n v="3994501598"/>
    <n v="247159236"/>
    <n v="0"/>
    <n v="2497113"/>
    <n v="247159236"/>
    <n v="249656349"/>
    <n v="16.325399999999998"/>
    <n v="6.6433799999999996"/>
    <n v="2087.69"/>
    <n v="1313.37"/>
    <n v="2731"/>
    <n v="416"/>
    <x v="1"/>
    <x v="4"/>
  </r>
  <r>
    <s v="istree_exp5_numerical_stability_vs_time/step10048.txt"/>
    <x v="0"/>
    <n v="72"/>
    <s v="reclaimer_debra"/>
    <s v="allocator_new"/>
    <s v="pool_none"/>
    <n v="32000"/>
    <n v="0.5"/>
    <n v="0.5"/>
    <n v="0"/>
    <n v="1"/>
    <n v="20000000"/>
    <n v="190"/>
    <n v="190"/>
    <n v="190"/>
    <n v="0"/>
    <s v="insertIfAbsent"/>
    <n v="99999475089589"/>
    <n v="10000383"/>
    <n v="99999475089589"/>
    <n v="10000383"/>
    <s v="success"/>
    <n v="7"/>
    <n v="1697094"/>
    <n v="11586364"/>
    <n v="13283458"/>
    <n v="10000383"/>
    <n v="7.8271800000000002"/>
    <n v="0.86311700000000002"/>
    <n v="1.75284"/>
    <n v="4.0142600000000002"/>
    <n v="321149440"/>
    <s v="18 50615 426027 10720622 26509"/>
    <s v="16 50613 425996 10720598 26509"/>
    <n v="37849"/>
    <n v="49672"/>
    <m/>
    <m/>
    <n v="7954788171"/>
    <n v="0"/>
    <n v="80343432"/>
    <n v="7954788171"/>
    <n v="8035131603"/>
    <n v="248587130"/>
    <n v="0"/>
    <n v="2510732"/>
    <n v="248587130"/>
    <n v="251097862"/>
    <n v="16.327500000000001"/>
    <n v="6.6603300000000001"/>
    <n v="2079.17"/>
    <n v="1305.53"/>
    <n v="2770"/>
    <n v="427"/>
    <x v="1"/>
    <x v="5"/>
  </r>
  <r>
    <s v="istree_exp5_numerical_stability_vs_time/step10049.txt"/>
    <x v="0"/>
    <n v="72"/>
    <s v="reclaimer_debra"/>
    <s v="allocator_new"/>
    <s v="pool_none"/>
    <n v="64000"/>
    <n v="0.5"/>
    <n v="0.5"/>
    <n v="0"/>
    <n v="1"/>
    <n v="20000000"/>
    <n v="190"/>
    <n v="190"/>
    <n v="190"/>
    <n v="0"/>
    <s v="insertIfAbsent"/>
    <n v="100031023042845"/>
    <n v="10000648"/>
    <n v="100031023042845"/>
    <n v="10000648"/>
    <s v="success"/>
    <n v="7"/>
    <n v="1685228"/>
    <n v="11562413"/>
    <n v="13247641"/>
    <n v="10000648"/>
    <n v="7.86104"/>
    <n v="0.864927"/>
    <n v="1.7548999999999999"/>
    <n v="4.0118900000000002"/>
    <n v="319816896"/>
    <s v="32 101221 853495 21420032 53610"/>
    <s v="32 101215 853454 21419983 53610"/>
    <n v="75233"/>
    <n v="99156"/>
    <m/>
    <m/>
    <n v="15862871639"/>
    <n v="0"/>
    <n v="160238071"/>
    <n v="15862871639"/>
    <n v="16023109710"/>
    <n v="247857369"/>
    <n v="0"/>
    <n v="2503719"/>
    <n v="247857369"/>
    <n v="250361089"/>
    <n v="16.3644"/>
    <n v="6.6663500000000004"/>
    <n v="2086.08"/>
    <n v="1313.47"/>
    <n v="2774"/>
    <n v="343"/>
    <x v="1"/>
    <x v="6"/>
  </r>
  <r>
    <s v="istree_exp5_numerical_stability_vs_time/step10050.txt"/>
    <x v="1"/>
    <m/>
    <s v="reclaimer_debra"/>
    <s v="allocator_new"/>
    <s v="pool_none"/>
    <n v="1000"/>
    <n v="0.5"/>
    <n v="0.5"/>
    <n v="0"/>
    <n v="1"/>
    <n v="20000000"/>
    <n v="190"/>
    <n v="190"/>
    <n v="190"/>
    <n v="0"/>
    <s v="insertIfAbsent"/>
    <n v="100012211489050"/>
    <n v="10001194"/>
    <n v="100012211489050"/>
    <n v="10001194"/>
    <s v="success"/>
    <n v="29"/>
    <n v="5779739"/>
    <n v="4339102"/>
    <n v="10118841"/>
    <n v="10001194"/>
    <n v="1.75074"/>
    <n v="2.3048999999999999"/>
    <n v="1.98837"/>
    <n v="22.7013"/>
    <n v="566655096"/>
    <m/>
    <m/>
    <m/>
    <n v="836"/>
    <m/>
    <m/>
    <n v="112769055"/>
    <n v="0"/>
    <n v="1139961"/>
    <n v="112769055"/>
    <n v="113909016"/>
    <n v="112769055"/>
    <n v="0"/>
    <n v="1139961"/>
    <n v="112769055"/>
    <n v="113909016"/>
    <n v="28.665099999999999"/>
    <n v="10.4587"/>
    <n v="4603.08"/>
    <n v="3248.04"/>
    <n v="1762"/>
    <n v="433"/>
    <x v="1"/>
    <x v="0"/>
  </r>
  <r>
    <s v="istree_exp5_numerical_stability_vs_time/step10051.txt"/>
    <x v="1"/>
    <m/>
    <s v="reclaimer_debra"/>
    <s v="allocator_new"/>
    <s v="pool_none"/>
    <n v="2000"/>
    <n v="0.5"/>
    <n v="0.5"/>
    <n v="0"/>
    <n v="1"/>
    <n v="20000000"/>
    <n v="190"/>
    <n v="190"/>
    <n v="190"/>
    <n v="0"/>
    <s v="insertIfAbsent"/>
    <n v="100031613149026"/>
    <n v="10000673"/>
    <n v="100031613149026"/>
    <n v="10000673"/>
    <s v="success"/>
    <n v="29"/>
    <n v="5842552"/>
    <n v="4390440"/>
    <n v="10232992"/>
    <n v="10000673"/>
    <n v="1.75146"/>
    <n v="2.2778299999999998"/>
    <n v="1.9773000000000001"/>
    <n v="22.7621"/>
    <n v="573047552"/>
    <m/>
    <m/>
    <m/>
    <s v="170 1524"/>
    <m/>
    <m/>
    <n v="228539748"/>
    <n v="0"/>
    <n v="2307483"/>
    <n v="228539748"/>
    <n v="230847231"/>
    <n v="114269874"/>
    <n v="0"/>
    <n v="1153741"/>
    <n v="114269874"/>
    <n v="115423615"/>
    <n v="28.585899999999999"/>
    <n v="10.5718"/>
    <n v="4569.5200000000004"/>
    <n v="3215"/>
    <n v="1770"/>
    <n v="453"/>
    <x v="1"/>
    <x v="1"/>
  </r>
  <r>
    <s v="istree_exp5_numerical_stability_vs_time/step10052.txt"/>
    <x v="1"/>
    <m/>
    <s v="reclaimer_debra"/>
    <s v="allocator_new"/>
    <s v="pool_none"/>
    <n v="4000"/>
    <n v="0.5"/>
    <n v="0.5"/>
    <n v="0"/>
    <n v="1"/>
    <n v="20000000"/>
    <n v="190"/>
    <n v="190"/>
    <n v="190"/>
    <n v="0"/>
    <s v="insertIfAbsent"/>
    <n v="99991022118329"/>
    <n v="9998743"/>
    <n v="99991022118329"/>
    <n v="9998743"/>
    <s v="success"/>
    <n v="29"/>
    <n v="5952731"/>
    <n v="4482292"/>
    <n v="10435023"/>
    <n v="9998743"/>
    <n v="1.75298"/>
    <n v="2.2307199999999998"/>
    <n v="1.9581900000000001"/>
    <n v="22.790099999999999"/>
    <n v="584361288"/>
    <m/>
    <m/>
    <m/>
    <s v="166 2884"/>
    <m/>
    <m/>
    <n v="456763699"/>
    <n v="0"/>
    <n v="4611323"/>
    <n v="456763699"/>
    <n v="461375022"/>
    <n v="114190924"/>
    <n v="0"/>
    <n v="1152830"/>
    <n v="114190924"/>
    <n v="115343755"/>
    <n v="28.6814"/>
    <n v="10.649699999999999"/>
    <n v="4581.7299999999996"/>
    <n v="3207.87"/>
    <n v="1782"/>
    <n v="445"/>
    <x v="1"/>
    <x v="2"/>
  </r>
  <r>
    <s v="istree_exp5_numerical_stability_vs_time/step10053.txt"/>
    <x v="1"/>
    <m/>
    <s v="reclaimer_debra"/>
    <s v="allocator_new"/>
    <s v="pool_none"/>
    <n v="8000"/>
    <n v="0.5"/>
    <n v="0.5"/>
    <n v="0"/>
    <n v="1"/>
    <n v="20000000"/>
    <n v="190"/>
    <n v="190"/>
    <n v="190"/>
    <n v="0"/>
    <s v="insertIfAbsent"/>
    <n v="100032659352433"/>
    <n v="10000536"/>
    <n v="100032659352433"/>
    <n v="10000536"/>
    <s v="success"/>
    <n v="29"/>
    <n v="6141346"/>
    <n v="4633779"/>
    <n v="10775125"/>
    <n v="10000536"/>
    <n v="1.7545200000000001"/>
    <n v="2.1581800000000002"/>
    <n v="1.92811"/>
    <n v="22.865200000000002"/>
    <n v="603407000"/>
    <m/>
    <m/>
    <m/>
    <s v="166 5580"/>
    <m/>
    <m/>
    <n v="908481616"/>
    <n v="0"/>
    <n v="9177305"/>
    <n v="908481616"/>
    <n v="917658921"/>
    <n v="113560202"/>
    <n v="0"/>
    <n v="1147163"/>
    <n v="113560202"/>
    <n v="114707365"/>
    <n v="28.727599999999999"/>
    <n v="10.7377"/>
    <n v="4603.1000000000004"/>
    <n v="3236.79"/>
    <n v="1804"/>
    <n v="447"/>
    <x v="1"/>
    <x v="3"/>
  </r>
  <r>
    <s v="istree_exp5_numerical_stability_vs_time/step10054.txt"/>
    <x v="1"/>
    <m/>
    <s v="reclaimer_debra"/>
    <s v="allocator_new"/>
    <s v="pool_none"/>
    <n v="16000"/>
    <n v="0.5"/>
    <n v="0.5"/>
    <n v="0"/>
    <n v="1"/>
    <n v="20000000"/>
    <n v="190"/>
    <n v="190"/>
    <n v="190"/>
    <n v="0"/>
    <s v="insertIfAbsent"/>
    <n v="99992133803743"/>
    <n v="9999536"/>
    <n v="99992133803743"/>
    <n v="9999536"/>
    <s v="success"/>
    <n v="29"/>
    <n v="6406833"/>
    <n v="4844197"/>
    <n v="11251030"/>
    <n v="9999536"/>
    <n v="1.7561"/>
    <n v="2.0642299999999998"/>
    <n v="1.8887700000000001"/>
    <n v="23.1084"/>
    <n v="630057680"/>
    <m/>
    <m/>
    <m/>
    <s v="164 10966"/>
    <m/>
    <m/>
    <n v="1808291232"/>
    <n v="0"/>
    <n v="18264415"/>
    <n v="1808291232"/>
    <n v="1826555647"/>
    <n v="113018202"/>
    <n v="0"/>
    <n v="1141525"/>
    <n v="113018202"/>
    <n v="114159727"/>
    <n v="29.032599999999999"/>
    <n v="10.811400000000001"/>
    <n v="4620.95"/>
    <n v="3255.2"/>
    <n v="1836"/>
    <n v="431"/>
    <x v="1"/>
    <x v="4"/>
  </r>
  <r>
    <s v="istree_exp5_numerical_stability_vs_time/step10055.txt"/>
    <x v="1"/>
    <m/>
    <s v="reclaimer_debra"/>
    <s v="allocator_new"/>
    <s v="pool_none"/>
    <n v="32000"/>
    <n v="0.5"/>
    <n v="0.5"/>
    <n v="0"/>
    <n v="1"/>
    <n v="20000000"/>
    <n v="190"/>
    <n v="190"/>
    <n v="190"/>
    <n v="0"/>
    <s v="insertIfAbsent"/>
    <n v="100031129123917"/>
    <n v="10001850"/>
    <n v="100031129123917"/>
    <n v="10001850"/>
    <s v="success"/>
    <n v="29"/>
    <n v="6678876"/>
    <n v="5059069"/>
    <n v="11737945"/>
    <n v="10001850"/>
    <n v="1.7574700000000001"/>
    <n v="1.9770099999999999"/>
    <n v="1.8521000000000001"/>
    <n v="23.172499999999999"/>
    <n v="657324920"/>
    <m/>
    <m/>
    <m/>
    <s v="168 21652"/>
    <m/>
    <m/>
    <n v="3598133473"/>
    <n v="0"/>
    <n v="36341605"/>
    <n v="3598133473"/>
    <n v="3634475078"/>
    <n v="112441671"/>
    <n v="0"/>
    <n v="1135675"/>
    <n v="112441671"/>
    <n v="113577346"/>
    <n v="29.376799999999999"/>
    <n v="10.910600000000001"/>
    <n v="4643.8500000000004"/>
    <n v="3276.52"/>
    <n v="1867"/>
    <n v="433"/>
    <x v="1"/>
    <x v="5"/>
  </r>
  <r>
    <s v="istree_exp5_numerical_stability_vs_time/step10056.txt"/>
    <x v="1"/>
    <m/>
    <s v="reclaimer_debra"/>
    <s v="allocator_new"/>
    <s v="pool_none"/>
    <n v="64000"/>
    <n v="0.5"/>
    <n v="0.5"/>
    <n v="0"/>
    <n v="1"/>
    <n v="20000000"/>
    <n v="190"/>
    <n v="190"/>
    <n v="190"/>
    <n v="0"/>
    <s v="insertIfAbsent"/>
    <n v="100001437009600"/>
    <n v="9998446"/>
    <n v="100001437009600"/>
    <n v="9998446"/>
    <s v="success"/>
    <n v="29"/>
    <n v="6829855"/>
    <n v="5178099"/>
    <n v="12007954"/>
    <n v="9998446"/>
    <n v="1.7581599999999999"/>
    <n v="1.9309099999999999"/>
    <n v="1.8326499999999999"/>
    <n v="23.234100000000002"/>
    <n v="672445424"/>
    <m/>
    <m/>
    <m/>
    <s v="168 42794"/>
    <m/>
    <m/>
    <n v="7141470289"/>
    <n v="0"/>
    <n v="72135622"/>
    <n v="7141470289"/>
    <n v="7213605911"/>
    <n v="111585473"/>
    <n v="0"/>
    <n v="1127119"/>
    <n v="111585473"/>
    <n v="112712592"/>
    <n v="29.082699999999999"/>
    <n v="10.997999999999999"/>
    <n v="4676.92"/>
    <n v="3304.24"/>
    <n v="1886"/>
    <n v="442"/>
    <x v="1"/>
    <x v="6"/>
  </r>
  <r>
    <s v="istree_exp5_numerical_stability_vs_time/step10057.txt"/>
    <x v="0"/>
    <n v="72"/>
    <s v="reclaimer_debra"/>
    <s v="allocator_new"/>
    <s v="pool_none"/>
    <n v="1000"/>
    <n v="20"/>
    <n v="20"/>
    <n v="0"/>
    <n v="1"/>
    <n v="20000000"/>
    <n v="190"/>
    <n v="190"/>
    <n v="190"/>
    <n v="0"/>
    <s v="insertIfAbsent"/>
    <n v="100016599489269"/>
    <n v="10000607"/>
    <n v="100016599489269"/>
    <n v="10000607"/>
    <s v="success"/>
    <n v="7"/>
    <n v="1844924"/>
    <n v="11894262"/>
    <n v="13739186"/>
    <n v="10000607"/>
    <n v="7.4470200000000002"/>
    <n v="0.84079300000000001"/>
    <n v="1.7278899999999999"/>
    <n v="4.0438799999999997"/>
    <n v="337909872"/>
    <s v="23 22146 185820 4826155 11818"/>
    <s v="7 22141 185673 4825891 11818"/>
    <n v="88579"/>
    <n v="696"/>
    <m/>
    <m/>
    <n v="54708443"/>
    <n v="0"/>
    <n v="36467320"/>
    <n v="54708443"/>
    <n v="91175763"/>
    <n v="54708443"/>
    <n v="0"/>
    <n v="36467320"/>
    <n v="54708443"/>
    <n v="91175763"/>
    <n v="28.2011"/>
    <n v="14.885199999999999"/>
    <n v="5113.84"/>
    <n v="3496.96"/>
    <n v="2848"/>
    <n v="345"/>
    <x v="0"/>
    <x v="0"/>
  </r>
  <r>
    <s v="istree_exp5_numerical_stability_vs_time/step10058.txt"/>
    <x v="0"/>
    <n v="72"/>
    <s v="reclaimer_debra"/>
    <s v="allocator_new"/>
    <s v="pool_none"/>
    <n v="2000"/>
    <n v="20"/>
    <n v="20"/>
    <n v="0"/>
    <n v="1"/>
    <n v="20000000"/>
    <n v="190"/>
    <n v="190"/>
    <n v="190"/>
    <n v="0"/>
    <s v="insertIfAbsent"/>
    <n v="99962456587998"/>
    <n v="9998076"/>
    <n v="99962456587998"/>
    <n v="9998076"/>
    <s v="success"/>
    <n v="7"/>
    <n v="1769233"/>
    <n v="11737906"/>
    <n v="13507139"/>
    <n v="9998076"/>
    <n v="7.6344599999999998"/>
    <n v="0.85177700000000001"/>
    <n v="1.74021"/>
    <n v="4.0294699999999999"/>
    <n v="329347664"/>
    <s v="45 47431 399682 9961590 25002"/>
    <s v="14 47418 399316 9961135 25000"/>
    <n v="186882"/>
    <n v="1410"/>
    <m/>
    <m/>
    <n v="111603747"/>
    <n v="0"/>
    <n v="74408542"/>
    <n v="111603747"/>
    <n v="186012289"/>
    <n v="55801873"/>
    <n v="0"/>
    <n v="37204271"/>
    <n v="55801873"/>
    <n v="93006144"/>
    <n v="28.438400000000001"/>
    <n v="15.086399999999999"/>
    <n v="5185.8599999999997"/>
    <n v="3560.21"/>
    <n v="2879"/>
    <n v="376"/>
    <x v="0"/>
    <x v="1"/>
  </r>
  <r>
    <s v="istree_exp5_numerical_stability_vs_time/step10059.txt"/>
    <x v="0"/>
    <n v="72"/>
    <s v="reclaimer_debra"/>
    <s v="allocator_new"/>
    <s v="pool_none"/>
    <n v="4000"/>
    <n v="20"/>
    <n v="20"/>
    <n v="0"/>
    <n v="1"/>
    <n v="20000000"/>
    <n v="190"/>
    <n v="190"/>
    <n v="190"/>
    <n v="0"/>
    <s v="insertIfAbsent"/>
    <n v="99957611099651"/>
    <n v="9996539"/>
    <n v="99957611099651"/>
    <n v="9996539"/>
    <s v="success"/>
    <n v="7"/>
    <n v="1856212"/>
    <n v="11929507"/>
    <n v="13785719"/>
    <n v="9996539"/>
    <n v="7.4268000000000001"/>
    <n v="0.83796700000000002"/>
    <n v="1.7251399999999999"/>
    <n v="4.0460500000000001"/>
    <n v="339403632"/>
    <s v="97 95551 814885 20559976 51917"/>
    <s v="30 95516 814196 20558943 51916"/>
    <n v="382270"/>
    <n v="2922"/>
    <m/>
    <m/>
    <n v="229889199"/>
    <n v="0"/>
    <n v="153280356"/>
    <n v="229889199"/>
    <n v="383169555"/>
    <n v="57472299"/>
    <n v="0"/>
    <n v="38320089"/>
    <n v="57472299"/>
    <n v="95792388"/>
    <n v="28.482800000000001"/>
    <n v="15.17"/>
    <n v="5249.85"/>
    <n v="3600.74"/>
    <n v="2913"/>
    <n v="373"/>
    <x v="0"/>
    <x v="2"/>
  </r>
  <r>
    <s v="istree_exp5_numerical_stability_vs_time/step10060.txt"/>
    <x v="0"/>
    <n v="72"/>
    <s v="reclaimer_debra"/>
    <s v="allocator_new"/>
    <s v="pool_none"/>
    <n v="8000"/>
    <n v="20"/>
    <n v="20"/>
    <n v="0"/>
    <n v="1"/>
    <n v="20000000"/>
    <n v="190"/>
    <n v="190"/>
    <n v="190"/>
    <n v="0"/>
    <s v="insertIfAbsent"/>
    <n v="99972177904792"/>
    <n v="9997102"/>
    <n v="99972177904792"/>
    <n v="9997102"/>
    <s v="success"/>
    <n v="7"/>
    <n v="1696914"/>
    <n v="11583435"/>
    <n v="13280349"/>
    <n v="9997102"/>
    <n v="7.8261799999999999"/>
    <n v="0.86305200000000004"/>
    <n v="1.7527699999999999"/>
    <n v="4.0143300000000002"/>
    <n v="321088192"/>
    <s v="227 192990 1625931 40833941 102817"/>
    <s v="61 192928 1624541 40831964 102812"/>
    <n v="764345"/>
    <n v="5818"/>
    <m/>
    <m/>
    <n v="457866445"/>
    <n v="0"/>
    <n v="305284482"/>
    <n v="457866445"/>
    <n v="763150927"/>
    <n v="57233305"/>
    <n v="0"/>
    <n v="38160560"/>
    <n v="57233305"/>
    <n v="95393865"/>
    <n v="28.628699999999998"/>
    <n v="15.2944"/>
    <n v="5337.77"/>
    <n v="3681.68"/>
    <n v="2921"/>
    <n v="440"/>
    <x v="0"/>
    <x v="3"/>
  </r>
  <r>
    <s v="istree_exp5_numerical_stability_vs_time/step10061.txt"/>
    <x v="0"/>
    <n v="72"/>
    <s v="reclaimer_debra"/>
    <s v="allocator_new"/>
    <s v="pool_none"/>
    <n v="16000"/>
    <n v="20"/>
    <n v="20"/>
    <n v="0"/>
    <n v="1"/>
    <n v="20000000"/>
    <n v="190"/>
    <n v="190"/>
    <n v="190"/>
    <n v="0"/>
    <s v="insertIfAbsent"/>
    <n v="100025602530740"/>
    <n v="10003624"/>
    <n v="100025602530740"/>
    <n v="10003624"/>
    <s v="success"/>
    <n v="7"/>
    <n v="1770294"/>
    <n v="11752978"/>
    <n v="13523272"/>
    <n v="10003624"/>
    <n v="7.6390000000000002"/>
    <n v="0.85115700000000005"/>
    <n v="1.73973"/>
    <n v="4.0287800000000002"/>
    <n v="329688784"/>
    <s v="453 391094 3305982 82844468 208445"/>
    <s v="123 390955 3303133 82840597 208441"/>
    <n v="1558306"/>
    <n v="11824"/>
    <m/>
    <m/>
    <n v="927990100"/>
    <n v="0"/>
    <n v="618620688"/>
    <n v="927990100"/>
    <n v="1546610788"/>
    <n v="57999381"/>
    <n v="0"/>
    <n v="38663793"/>
    <n v="57999381"/>
    <n v="96663174"/>
    <n v="28.640899999999998"/>
    <n v="15.288600000000001"/>
    <n v="5289.83"/>
    <n v="3638.97"/>
    <n v="2933"/>
    <n v="282"/>
    <x v="0"/>
    <x v="4"/>
  </r>
  <r>
    <s v="istree_exp5_numerical_stability_vs_time/step10062.txt"/>
    <x v="0"/>
    <n v="72"/>
    <s v="reclaimer_debra"/>
    <s v="allocator_new"/>
    <s v="pool_none"/>
    <n v="32000"/>
    <n v="20"/>
    <n v="20"/>
    <n v="0"/>
    <n v="1"/>
    <n v="20000000"/>
    <n v="190"/>
    <n v="190"/>
    <n v="190"/>
    <n v="0"/>
    <s v="insertIfAbsent"/>
    <n v="100005163935481"/>
    <n v="9999131"/>
    <n v="100005163935481"/>
    <n v="9999131"/>
    <s v="success"/>
    <n v="7"/>
    <n v="1773651"/>
    <n v="11755998"/>
    <n v="13529649"/>
    <n v="9999131"/>
    <n v="7.6281299999999996"/>
    <n v="0.85055599999999998"/>
    <n v="1.73905"/>
    <n v="4.02963"/>
    <n v="330007024"/>
    <s v="924 783345 6611186 165822883 417208"/>
    <s v="247 783099 6605466 165814978 417200"/>
    <n v="3124900"/>
    <n v="23664"/>
    <m/>
    <m/>
    <n v="1857841499"/>
    <n v="0"/>
    <n v="1238590424"/>
    <n v="1857841499"/>
    <n v="3096431923"/>
    <n v="58057546"/>
    <n v="0"/>
    <n v="38705950"/>
    <n v="58057546"/>
    <n v="96763497"/>
    <n v="28.6252"/>
    <n v="15.3012"/>
    <n v="5294.06"/>
    <n v="3641.61"/>
    <n v="2942"/>
    <n v="446"/>
    <x v="0"/>
    <x v="5"/>
  </r>
  <r>
    <s v="istree_exp5_numerical_stability_vs_time/step10063.txt"/>
    <x v="0"/>
    <n v="72"/>
    <s v="reclaimer_debra"/>
    <s v="allocator_new"/>
    <s v="pool_none"/>
    <n v="64000"/>
    <n v="20"/>
    <n v="20"/>
    <n v="0"/>
    <n v="1"/>
    <n v="20000000"/>
    <n v="190"/>
    <n v="190"/>
    <n v="190"/>
    <n v="0"/>
    <s v="insertIfAbsent"/>
    <n v="99952239207329"/>
    <n v="9997068"/>
    <n v="99952239207329"/>
    <n v="9997068"/>
    <s v="success"/>
    <n v="7"/>
    <n v="1777793"/>
    <n v="11749622"/>
    <n v="13527415"/>
    <n v="9997068"/>
    <n v="7.6091100000000003"/>
    <n v="0.85084199999999999"/>
    <n v="1.73902"/>
    <n v="4.0305200000000001"/>
    <n v="330218816"/>
    <s v="1890 1569284 13225475 331986005 834355"/>
    <s v="496 1568777 13214009 331969978 834344"/>
    <n v="6276586"/>
    <n v="47334"/>
    <m/>
    <m/>
    <n v="3720943886"/>
    <n v="0"/>
    <n v="2480647580"/>
    <n v="3720943886"/>
    <n v="6201591466"/>
    <n v="58139748"/>
    <n v="0"/>
    <n v="38760118"/>
    <n v="58139748"/>
    <n v="96899866"/>
    <n v="28.6404"/>
    <n v="15.317399999999999"/>
    <n v="5300.28"/>
    <n v="3657.47"/>
    <n v="2962"/>
    <n v="398"/>
    <x v="0"/>
    <x v="6"/>
  </r>
  <r>
    <s v="istree_exp5_numerical_stability_vs_time/step10064.txt"/>
    <x v="1"/>
    <m/>
    <s v="reclaimer_debra"/>
    <s v="allocator_new"/>
    <s v="pool_none"/>
    <n v="1000"/>
    <n v="20"/>
    <n v="20"/>
    <n v="0"/>
    <n v="1"/>
    <n v="20000000"/>
    <n v="190"/>
    <n v="190"/>
    <n v="190"/>
    <n v="0"/>
    <s v="insertIfAbsent"/>
    <n v="99981837849922"/>
    <n v="9996846"/>
    <n v="99981837849922"/>
    <n v="9996846"/>
    <s v="success"/>
    <n v="29"/>
    <n v="6690137"/>
    <n v="5069198"/>
    <n v="11759335"/>
    <n v="9996846"/>
    <n v="1.7577100000000001"/>
    <n v="1.9720800000000001"/>
    <n v="1.85012"/>
    <n v="23.203199999999999"/>
    <n v="658522760"/>
    <m/>
    <m/>
    <m/>
    <s v="168 740"/>
    <m/>
    <m/>
    <n v="57717558"/>
    <n v="0"/>
    <n v="38467976"/>
    <n v="57717558"/>
    <n v="96185534"/>
    <n v="57717558"/>
    <n v="0"/>
    <n v="38467976"/>
    <n v="57717558"/>
    <n v="96185534"/>
    <n v="31.25"/>
    <n v="11.5029"/>
    <n v="5439.67"/>
    <n v="3827.49"/>
    <n v="1951"/>
    <n v="429"/>
    <x v="0"/>
    <x v="0"/>
  </r>
  <r>
    <s v="istree_exp5_numerical_stability_vs_time/step10065.txt"/>
    <x v="1"/>
    <m/>
    <s v="reclaimer_debra"/>
    <s v="allocator_new"/>
    <s v="pool_none"/>
    <n v="2000"/>
    <n v="20"/>
    <n v="20"/>
    <n v="0"/>
    <n v="1"/>
    <n v="20000000"/>
    <n v="190"/>
    <n v="190"/>
    <n v="190"/>
    <n v="0"/>
    <s v="insertIfAbsent"/>
    <n v="99963776613071"/>
    <n v="9997966"/>
    <n v="99963776613071"/>
    <n v="9997966"/>
    <s v="success"/>
    <n v="29"/>
    <n v="6835304"/>
    <n v="5183100"/>
    <n v="12018404"/>
    <n v="9997966"/>
    <n v="1.7582800000000001"/>
    <n v="1.9289499999999999"/>
    <n v="1.83189"/>
    <n v="23.246500000000001"/>
    <n v="673030624"/>
    <m/>
    <m/>
    <m/>
    <s v="164 1300"/>
    <m/>
    <m/>
    <n v="114957104"/>
    <n v="0"/>
    <n v="76647318"/>
    <n v="114957104"/>
    <n v="191604422"/>
    <n v="57478552"/>
    <n v="0"/>
    <n v="38323659"/>
    <n v="57478552"/>
    <n v="95802211"/>
    <n v="31.622"/>
    <n v="11.6569"/>
    <n v="5489.81"/>
    <n v="3885.41"/>
    <n v="2058"/>
    <n v="431"/>
    <x v="0"/>
    <x v="1"/>
  </r>
  <r>
    <s v="istree_exp5_numerical_stability_vs_time/step10066.txt"/>
    <x v="1"/>
    <m/>
    <s v="reclaimer_debra"/>
    <s v="allocator_new"/>
    <s v="pool_none"/>
    <n v="4000"/>
    <n v="20"/>
    <n v="20"/>
    <n v="0"/>
    <n v="1"/>
    <n v="20000000"/>
    <n v="190"/>
    <n v="190"/>
    <n v="190"/>
    <n v="0"/>
    <s v="insertIfAbsent"/>
    <n v="100011308176816"/>
    <n v="9999568"/>
    <n v="100011308176816"/>
    <n v="9999568"/>
    <s v="success"/>
    <n v="29"/>
    <n v="6857374"/>
    <n v="5201793"/>
    <n v="12059167"/>
    <n v="9999568"/>
    <n v="1.75857"/>
    <n v="1.9223300000000001"/>
    <n v="1.82921"/>
    <n v="23.259899999999998"/>
    <n v="675313352"/>
    <m/>
    <m/>
    <m/>
    <s v="166 2414"/>
    <m/>
    <m/>
    <n v="228384520"/>
    <n v="0"/>
    <n v="152259809"/>
    <n v="228384520"/>
    <n v="380644329"/>
    <n v="57096130"/>
    <n v="0"/>
    <n v="38064952"/>
    <n v="57096130"/>
    <n v="95161082"/>
    <n v="31.7315"/>
    <n v="11.789099999999999"/>
    <n v="5548.22"/>
    <n v="3957.71"/>
    <n v="2194"/>
    <n v="461"/>
    <x v="0"/>
    <x v="2"/>
  </r>
  <r>
    <s v="istree_exp5_numerical_stability_vs_time/step10067.txt"/>
    <x v="1"/>
    <m/>
    <s v="reclaimer_debra"/>
    <s v="allocator_new"/>
    <s v="pool_none"/>
    <n v="8000"/>
    <n v="20"/>
    <n v="20"/>
    <n v="0"/>
    <n v="1"/>
    <n v="20000000"/>
    <n v="190"/>
    <n v="190"/>
    <n v="190"/>
    <n v="0"/>
    <s v="insertIfAbsent"/>
    <n v="99976366375823"/>
    <n v="9997842"/>
    <n v="99976366375823"/>
    <n v="9997842"/>
    <s v="success"/>
    <n v="29"/>
    <n v="6856377"/>
    <n v="5205485"/>
    <n v="12061862"/>
    <n v="9997842"/>
    <n v="1.75922"/>
    <n v="1.9206399999999999"/>
    <n v="1.8288800000000001"/>
    <n v="23.259499999999999"/>
    <n v="675464272"/>
    <m/>
    <m/>
    <m/>
    <s v="166 4570"/>
    <m/>
    <m/>
    <n v="450155171"/>
    <n v="0"/>
    <n v="300064990"/>
    <n v="450155171"/>
    <n v="750220161"/>
    <n v="56269396"/>
    <n v="0"/>
    <n v="37508123"/>
    <n v="56269396"/>
    <n v="93777520"/>
    <n v="32.131599999999999"/>
    <n v="11.9438"/>
    <n v="5629.98"/>
    <n v="4032.89"/>
    <n v="2343"/>
    <n v="444"/>
    <x v="0"/>
    <x v="3"/>
  </r>
  <r>
    <s v="istree_exp5_numerical_stability_vs_time/step10068.txt"/>
    <x v="1"/>
    <m/>
    <s v="reclaimer_debra"/>
    <s v="allocator_new"/>
    <s v="pool_none"/>
    <n v="16000"/>
    <n v="20"/>
    <n v="20"/>
    <n v="0"/>
    <n v="1"/>
    <n v="20000000"/>
    <n v="190"/>
    <n v="190"/>
    <n v="190"/>
    <n v="0"/>
    <s v="insertIfAbsent"/>
    <n v="100014516116184"/>
    <n v="10000475"/>
    <n v="100014516116184"/>
    <n v="10000475"/>
    <s v="success"/>
    <n v="29"/>
    <n v="6858712"/>
    <n v="5202446"/>
    <n v="12061158"/>
    <n v="10000475"/>
    <n v="1.7585200000000001"/>
    <n v="1.9222600000000001"/>
    <n v="1.8291500000000001"/>
    <n v="23.223500000000001"/>
    <n v="675424848"/>
    <m/>
    <m/>
    <m/>
    <s v="168 8908"/>
    <m/>
    <m/>
    <n v="891408273"/>
    <n v="0"/>
    <n v="594266413"/>
    <n v="891408273"/>
    <n v="1485674686"/>
    <n v="55713017"/>
    <n v="0"/>
    <n v="37141650"/>
    <n v="55713017"/>
    <n v="92854667"/>
    <n v="32.494300000000003"/>
    <n v="12.1349"/>
    <n v="5686.43"/>
    <n v="4085.36"/>
    <n v="2458"/>
    <n v="429"/>
    <x v="0"/>
    <x v="4"/>
  </r>
  <r>
    <s v="istree_exp5_numerical_stability_vs_time/step10069.txt"/>
    <x v="1"/>
    <m/>
    <s v="reclaimer_debra"/>
    <s v="allocator_new"/>
    <s v="pool_none"/>
    <n v="32000"/>
    <n v="20"/>
    <n v="20"/>
    <n v="0"/>
    <n v="1"/>
    <n v="20000000"/>
    <n v="190"/>
    <n v="190"/>
    <n v="190"/>
    <n v="0"/>
    <s v="insertIfAbsent"/>
    <n v="99993643123182"/>
    <n v="10001465"/>
    <n v="99993643123182"/>
    <n v="10001465"/>
    <s v="success"/>
    <n v="29"/>
    <n v="6860421"/>
    <n v="5203244"/>
    <n v="12063665"/>
    <n v="10001465"/>
    <n v="1.75844"/>
    <n v="1.9221600000000001"/>
    <n v="1.8290599999999999"/>
    <n v="23.2254"/>
    <n v="675565240"/>
    <m/>
    <m/>
    <m/>
    <n v="17490"/>
    <m/>
    <m/>
    <n v="1752577459"/>
    <n v="0"/>
    <n v="1168358186"/>
    <n v="1752577459"/>
    <n v="2920935645"/>
    <n v="54768045"/>
    <n v="0"/>
    <n v="36511193"/>
    <n v="54768045"/>
    <n v="91279238"/>
    <n v="32.929900000000004"/>
    <n v="12.2941"/>
    <n v="5786.55"/>
    <n v="4141.4399999999996"/>
    <n v="2510"/>
    <n v="443"/>
    <x v="0"/>
    <x v="5"/>
  </r>
  <r>
    <s v="istree_exp5_numerical_stability_vs_time/step10070.txt"/>
    <x v="1"/>
    <m/>
    <s v="reclaimer_debra"/>
    <s v="allocator_new"/>
    <s v="pool_none"/>
    <n v="64000"/>
    <n v="20"/>
    <n v="20"/>
    <n v="0"/>
    <n v="1"/>
    <n v="20000000"/>
    <n v="190"/>
    <n v="190"/>
    <n v="190"/>
    <n v="0"/>
    <s v="insertIfAbsent"/>
    <n v="100035579292592"/>
    <n v="10003312"/>
    <n v="100035579292592"/>
    <n v="10003312"/>
    <s v="success"/>
    <n v="29"/>
    <n v="6859173"/>
    <n v="5203308"/>
    <n v="12062481"/>
    <n v="10003312"/>
    <n v="1.7585900000000001"/>
    <n v="1.92249"/>
    <n v="1.8292900000000001"/>
    <n v="23.268999999999998"/>
    <n v="675498936"/>
    <m/>
    <m/>
    <m/>
    <s v="168 34396"/>
    <m/>
    <m/>
    <n v="3486576581"/>
    <n v="0"/>
    <n v="2324388985"/>
    <n v="3486576581"/>
    <n v="5810965566"/>
    <n v="54477759"/>
    <n v="0"/>
    <n v="36318577"/>
    <n v="54477759"/>
    <n v="90796336"/>
    <n v="33.216000000000001"/>
    <n v="12.4275"/>
    <n v="5819.62"/>
    <n v="4196.62"/>
    <n v="2534"/>
    <n v="420"/>
    <x v="0"/>
    <x v="6"/>
  </r>
  <r>
    <s v="istree_exp5_numerical_stability_vs_time/step10071.txt"/>
    <x v="0"/>
    <n v="72"/>
    <s v="reclaimer_debra"/>
    <s v="allocator_new"/>
    <s v="pool_none"/>
    <n v="1000"/>
    <n v="0.5"/>
    <n v="0.5"/>
    <n v="0"/>
    <n v="1"/>
    <n v="20000000"/>
    <n v="190"/>
    <n v="190"/>
    <n v="190"/>
    <n v="0"/>
    <s v="insertIfAbsent"/>
    <n v="99995854525913"/>
    <n v="10001564"/>
    <n v="99995854525913"/>
    <n v="10001564"/>
    <s v="success"/>
    <n v="7"/>
    <n v="1903250"/>
    <n v="12026251"/>
    <n v="13929501"/>
    <n v="10001564"/>
    <n v="7.3188000000000004"/>
    <n v="0.83164400000000005"/>
    <n v="1.71801"/>
    <n v="4.0555399999999997"/>
    <n v="344709952"/>
    <s v="0 11 3929 355895 723"/>
    <s v="0 11 3929 355895 723"/>
    <n v="6"/>
    <n v="1636"/>
    <m/>
    <m/>
    <n v="261400174"/>
    <n v="0"/>
    <n v="2641109"/>
    <n v="261400174"/>
    <n v="264041283"/>
    <n v="261400174"/>
    <n v="0"/>
    <n v="2641109"/>
    <n v="261400174"/>
    <n v="264041283"/>
    <n v="15.982100000000001"/>
    <n v="6.4802200000000001"/>
    <n v="1988.89"/>
    <n v="1232.33"/>
    <n v="1915"/>
    <n v="456"/>
    <x v="1"/>
    <x v="0"/>
  </r>
  <r>
    <s v="istree_exp5_numerical_stability_vs_time/step10072.txt"/>
    <x v="0"/>
    <n v="72"/>
    <s v="reclaimer_debra"/>
    <s v="allocator_new"/>
    <s v="pool_none"/>
    <n v="2000"/>
    <n v="0.5"/>
    <n v="0.5"/>
    <n v="0"/>
    <n v="1"/>
    <n v="20000000"/>
    <n v="190"/>
    <n v="190"/>
    <n v="190"/>
    <n v="0"/>
    <s v="insertIfAbsent"/>
    <n v="99999646836806"/>
    <n v="10000726"/>
    <n v="99999646836806"/>
    <n v="10000726"/>
    <s v="success"/>
    <n v="7"/>
    <n v="1645723"/>
    <n v="11483118"/>
    <n v="13128841"/>
    <n v="10000726"/>
    <n v="7.9775499999999999"/>
    <n v="0.87090699999999999"/>
    <n v="1.7617400000000001"/>
    <n v="4.0039899999999999"/>
    <n v="315387728"/>
    <s v="1 3163 26721 670041 1704"/>
    <s v="1 3163 26719 670038 1704"/>
    <n v="2711"/>
    <n v="3080"/>
    <m/>
    <m/>
    <n v="503786141"/>
    <n v="0"/>
    <n v="5088141"/>
    <n v="503786141"/>
    <n v="508874282"/>
    <n v="251893070"/>
    <n v="0"/>
    <n v="2544070"/>
    <n v="251893070"/>
    <n v="254437141"/>
    <n v="16.1584"/>
    <n v="6.5845799999999999"/>
    <n v="2021.72"/>
    <n v="1260.93"/>
    <n v="2602"/>
    <n v="367"/>
    <x v="1"/>
    <x v="1"/>
  </r>
  <r>
    <s v="istree_exp5_numerical_stability_vs_time/step10073.txt"/>
    <x v="0"/>
    <n v="72"/>
    <s v="reclaimer_debra"/>
    <s v="allocator_new"/>
    <s v="pool_none"/>
    <n v="4000"/>
    <n v="0.5"/>
    <n v="0.5"/>
    <n v="0"/>
    <n v="1"/>
    <n v="20000000"/>
    <n v="190"/>
    <n v="190"/>
    <n v="190"/>
    <n v="0"/>
    <s v="insertIfAbsent"/>
    <n v="99975182398884"/>
    <n v="9998637"/>
    <n v="99975182398884"/>
    <n v="9998637"/>
    <s v="success"/>
    <n v="7"/>
    <n v="1657608"/>
    <n v="11504830"/>
    <n v="13162438"/>
    <n v="9998637"/>
    <n v="7.94062"/>
    <n v="0.86908200000000002"/>
    <n v="1.75963"/>
    <n v="4.0063700000000004"/>
    <n v="316685904"/>
    <s v="2 6326 53246 1340241 3298"/>
    <s v="2 6326 53243 1340239 3298"/>
    <n v="5917"/>
    <n v="6268"/>
    <m/>
    <m/>
    <n v="1002369409"/>
    <n v="0"/>
    <n v="10129984"/>
    <n v="1002369409"/>
    <n v="1012499393"/>
    <n v="250592352"/>
    <n v="0"/>
    <n v="2532496"/>
    <n v="250592352"/>
    <n v="253124848"/>
    <n v="16.225000000000001"/>
    <n v="6.60588"/>
    <n v="2037.4"/>
    <n v="1264.3499999999999"/>
    <n v="2733"/>
    <n v="442"/>
    <x v="1"/>
    <x v="2"/>
  </r>
  <r>
    <s v="istree_exp5_numerical_stability_vs_time/step10074.txt"/>
    <x v="0"/>
    <n v="72"/>
    <s v="reclaimer_debra"/>
    <s v="allocator_new"/>
    <s v="pool_none"/>
    <n v="8000"/>
    <n v="0.5"/>
    <n v="0.5"/>
    <n v="0"/>
    <n v="1"/>
    <n v="20000000"/>
    <n v="190"/>
    <n v="190"/>
    <n v="190"/>
    <n v="0"/>
    <s v="insertIfAbsent"/>
    <n v="99999860076018"/>
    <n v="10000450"/>
    <n v="99999860076018"/>
    <n v="10000450"/>
    <s v="success"/>
    <n v="7"/>
    <n v="1630185"/>
    <n v="11451661"/>
    <n v="13081846"/>
    <n v="10000450"/>
    <n v="8.0247600000000006"/>
    <n v="0.87327500000000002"/>
    <n v="1.7644500000000001"/>
    <n v="4.0008800000000004"/>
    <n v="313641360"/>
    <s v="5 12652 106482 2677793 6638"/>
    <s v="4 12652 106474 2677785 6638"/>
    <n v="9931"/>
    <n v="12412"/>
    <m/>
    <m/>
    <n v="1981544227"/>
    <n v="0"/>
    <n v="20016587"/>
    <n v="1981544227"/>
    <n v="2001560814"/>
    <n v="247693028"/>
    <n v="0"/>
    <n v="2502073"/>
    <n v="247693028"/>
    <n v="250195101"/>
    <n v="16.244900000000001"/>
    <n v="6.6363500000000002"/>
    <n v="2078.42"/>
    <n v="1296.5999999999999"/>
    <n v="2776"/>
    <n v="393"/>
    <x v="1"/>
    <x v="3"/>
  </r>
  <r>
    <s v="istree_exp5_numerical_stability_vs_time/step10075.txt"/>
    <x v="0"/>
    <n v="72"/>
    <s v="reclaimer_debra"/>
    <s v="allocator_new"/>
    <s v="pool_none"/>
    <n v="16000"/>
    <n v="0.5"/>
    <n v="0.5"/>
    <n v="0"/>
    <n v="1"/>
    <n v="20000000"/>
    <n v="190"/>
    <n v="190"/>
    <n v="190"/>
    <n v="0"/>
    <s v="insertIfAbsent"/>
    <n v="100008478433037"/>
    <n v="10000004"/>
    <n v="100008478433037"/>
    <n v="10000004"/>
    <s v="success"/>
    <n v="7"/>
    <n v="1634035"/>
    <n v="11458590"/>
    <n v="13092625"/>
    <n v="10000004"/>
    <n v="8.0124499999999994"/>
    <n v="0.87270800000000004"/>
    <n v="1.76379"/>
    <n v="4.0016499999999997"/>
    <n v="314060224"/>
    <s v="9 25302 214483 5353850 13328"/>
    <s v="8 25301 214458 5353841 13328"/>
    <n v="19586"/>
    <n v="24564"/>
    <m/>
    <m/>
    <n v="3962073820"/>
    <n v="0"/>
    <n v="40019021"/>
    <n v="3962073820"/>
    <n v="4002092841"/>
    <n v="247629613"/>
    <n v="0"/>
    <n v="2501188"/>
    <n v="247629613"/>
    <n v="250130802"/>
    <n v="16.286200000000001"/>
    <n v="6.65435"/>
    <n v="2083.56"/>
    <n v="1305.8499999999999"/>
    <n v="2772"/>
    <n v="412"/>
    <x v="1"/>
    <x v="4"/>
  </r>
  <r>
    <s v="istree_exp5_numerical_stability_vs_time/step10076.txt"/>
    <x v="0"/>
    <n v="72"/>
    <s v="reclaimer_debra"/>
    <s v="allocator_new"/>
    <s v="pool_none"/>
    <n v="32000"/>
    <n v="0.5"/>
    <n v="0.5"/>
    <n v="0"/>
    <n v="1"/>
    <n v="20000000"/>
    <n v="190"/>
    <n v="190"/>
    <n v="190"/>
    <n v="0"/>
    <s v="insertIfAbsent"/>
    <n v="100005268698771"/>
    <n v="9999155"/>
    <n v="100005268698771"/>
    <n v="9999155"/>
    <s v="success"/>
    <n v="7"/>
    <n v="1741521"/>
    <n v="11685844"/>
    <n v="13427365"/>
    <n v="9999155"/>
    <n v="7.71014"/>
    <n v="0.85566399999999998"/>
    <n v="1.74468"/>
    <n v="4.02346"/>
    <n v="326305264"/>
    <s v="17 49952 425994 10580224 26823"/>
    <s v="15 49952 425973 10580193 26823"/>
    <n v="38174"/>
    <n v="48154"/>
    <m/>
    <m/>
    <n v="7808557895"/>
    <n v="0"/>
    <n v="78879176"/>
    <n v="7808557895"/>
    <n v="7887437071"/>
    <n v="244017434"/>
    <n v="0"/>
    <n v="2464974"/>
    <n v="244017434"/>
    <n v="246482408"/>
    <n v="16.375"/>
    <n v="6.6587899999999998"/>
    <n v="2118.88"/>
    <n v="1344.94"/>
    <n v="2737"/>
    <n v="435"/>
    <x v="1"/>
    <x v="5"/>
  </r>
  <r>
    <s v="istree_exp5_numerical_stability_vs_time/step10077.txt"/>
    <x v="0"/>
    <n v="72"/>
    <s v="reclaimer_debra"/>
    <s v="allocator_new"/>
    <s v="pool_none"/>
    <n v="64000"/>
    <n v="0.5"/>
    <n v="0.5"/>
    <n v="0"/>
    <n v="1"/>
    <n v="20000000"/>
    <n v="190"/>
    <n v="190"/>
    <n v="190"/>
    <n v="0"/>
    <s v="insertIfAbsent"/>
    <n v="100012678809309"/>
    <n v="9999409"/>
    <n v="100012678809309"/>
    <n v="9999409"/>
    <s v="success"/>
    <n v="7"/>
    <n v="1814729"/>
    <n v="11835202"/>
    <n v="13649931"/>
    <n v="9999409"/>
    <n v="7.5217499999999999"/>
    <n v="0.84488700000000005"/>
    <n v="1.7325600000000001"/>
    <n v="4.0386600000000001"/>
    <n v="334546688"/>
    <s v="32 101211 852309 21383937 53425"/>
    <s v="31 101207 852250 21383888 53425"/>
    <n v="73415"/>
    <n v="98932"/>
    <m/>
    <m/>
    <n v="15819750846"/>
    <n v="0"/>
    <n v="159797973"/>
    <n v="15819750846"/>
    <n v="15979548819"/>
    <n v="247183606"/>
    <n v="0"/>
    <n v="2496843"/>
    <n v="247183606"/>
    <n v="249680450"/>
    <n v="16.343599999999999"/>
    <n v="6.6655100000000003"/>
    <n v="2092.2199999999998"/>
    <n v="1315.57"/>
    <n v="2730"/>
    <n v="393"/>
    <x v="1"/>
    <x v="6"/>
  </r>
  <r>
    <s v="istree_exp5_numerical_stability_vs_time/step10078.txt"/>
    <x v="1"/>
    <m/>
    <s v="reclaimer_debra"/>
    <s v="allocator_new"/>
    <s v="pool_none"/>
    <n v="1000"/>
    <n v="0.5"/>
    <n v="0.5"/>
    <n v="0"/>
    <n v="1"/>
    <n v="20000000"/>
    <n v="190"/>
    <n v="190"/>
    <n v="190"/>
    <n v="0"/>
    <s v="insertIfAbsent"/>
    <n v="100013508537799"/>
    <n v="10000307"/>
    <n v="100013508537799"/>
    <n v="10000307"/>
    <s v="success"/>
    <n v="29"/>
    <n v="5778167"/>
    <n v="4339949"/>
    <n v="10118116"/>
    <n v="10000307"/>
    <n v="1.75109"/>
    <n v="2.3042500000000001"/>
    <n v="1.9883599999999999"/>
    <n v="22.717099999999999"/>
    <n v="566614496"/>
    <m/>
    <m/>
    <m/>
    <s v="164 836"/>
    <m/>
    <m/>
    <n v="112572250"/>
    <n v="0"/>
    <n v="1136454"/>
    <n v="112572250"/>
    <n v="113708704"/>
    <n v="112572250"/>
    <n v="0"/>
    <n v="1136454"/>
    <n v="112572250"/>
    <n v="113708704"/>
    <n v="28.741299999999999"/>
    <n v="10.460100000000001"/>
    <n v="4592.4799999999996"/>
    <n v="3239.27"/>
    <n v="1762"/>
    <n v="438"/>
    <x v="1"/>
    <x v="0"/>
  </r>
  <r>
    <s v="istree_exp5_numerical_stability_vs_time/step10079.txt"/>
    <x v="1"/>
    <m/>
    <s v="reclaimer_debra"/>
    <s v="allocator_new"/>
    <s v="pool_none"/>
    <n v="2000"/>
    <n v="0.5"/>
    <n v="0.5"/>
    <n v="0"/>
    <n v="1"/>
    <n v="20000000"/>
    <n v="190"/>
    <n v="190"/>
    <n v="190"/>
    <n v="0"/>
    <s v="insertIfAbsent"/>
    <n v="99989833520703"/>
    <n v="9999653"/>
    <n v="99989833520703"/>
    <n v="9999653"/>
    <s v="success"/>
    <n v="29"/>
    <n v="5841151"/>
    <n v="4390407"/>
    <n v="10231558"/>
    <n v="9999653"/>
    <n v="1.75163"/>
    <n v="2.2776100000000001"/>
    <n v="1.97733"/>
    <n v="22.732600000000001"/>
    <n v="572967248"/>
    <m/>
    <m/>
    <m/>
    <s v="166 1518"/>
    <m/>
    <m/>
    <n v="228488277"/>
    <n v="0"/>
    <n v="2310186"/>
    <n v="228488277"/>
    <n v="230798463"/>
    <n v="114244138"/>
    <n v="0"/>
    <n v="1155093"/>
    <n v="114244138"/>
    <n v="115399231"/>
    <n v="28.533200000000001"/>
    <n v="10.5588"/>
    <n v="4565.59"/>
    <n v="3207.44"/>
    <n v="1769"/>
    <n v="428"/>
    <x v="1"/>
    <x v="1"/>
  </r>
  <r>
    <s v="istree_exp5_numerical_stability_vs_time/step10080.txt"/>
    <x v="1"/>
    <m/>
    <s v="reclaimer_debra"/>
    <s v="allocator_new"/>
    <s v="pool_none"/>
    <n v="4000"/>
    <n v="0.5"/>
    <n v="0.5"/>
    <n v="0"/>
    <n v="1"/>
    <n v="20000000"/>
    <n v="190"/>
    <n v="190"/>
    <n v="190"/>
    <n v="0"/>
    <s v="insertIfAbsent"/>
    <n v="100019246618708"/>
    <n v="10000375"/>
    <n v="100019246618708"/>
    <n v="10000375"/>
    <s v="success"/>
    <n v="29"/>
    <n v="5954250"/>
    <n v="4482801"/>
    <n v="10437051"/>
    <n v="10000375"/>
    <n v="1.7528699999999999"/>
    <n v="2.2308300000000001"/>
    <n v="1.9581599999999999"/>
    <n v="22.821400000000001"/>
    <n v="584474856"/>
    <m/>
    <m/>
    <m/>
    <n v="2886"/>
    <m/>
    <m/>
    <n v="456230628"/>
    <n v="0"/>
    <n v="4608343"/>
    <n v="456230628"/>
    <n v="460838971"/>
    <n v="114057657"/>
    <n v="0"/>
    <n v="1152085"/>
    <n v="114057657"/>
    <n v="115209742"/>
    <n v="28.785399999999999"/>
    <n v="10.655099999999999"/>
    <n v="4581.03"/>
    <n v="3219.91"/>
    <n v="1783"/>
    <n v="430"/>
    <x v="1"/>
    <x v="2"/>
  </r>
  <r>
    <s v="istree_exp5_numerical_stability_vs_time/step10081.txt"/>
    <x v="1"/>
    <m/>
    <s v="reclaimer_debra"/>
    <s v="allocator_new"/>
    <s v="pool_none"/>
    <n v="8000"/>
    <n v="0.5"/>
    <n v="0.5"/>
    <n v="0"/>
    <n v="1"/>
    <n v="20000000"/>
    <n v="190"/>
    <n v="190"/>
    <n v="190"/>
    <n v="0"/>
    <s v="insertIfAbsent"/>
    <n v="100003185683658"/>
    <n v="10000060"/>
    <n v="100003185683658"/>
    <n v="10000060"/>
    <s v="success"/>
    <n v="29"/>
    <n v="6142546"/>
    <n v="4635262"/>
    <n v="10777808"/>
    <n v="10000060"/>
    <n v="1.7546200000000001"/>
    <n v="2.1573899999999999"/>
    <n v="1.92784"/>
    <n v="22.9682"/>
    <n v="603557248"/>
    <m/>
    <m/>
    <m/>
    <s v="166 5604"/>
    <m/>
    <m/>
    <n v="912225235"/>
    <n v="0"/>
    <n v="9213137"/>
    <n v="912225235"/>
    <n v="921438372"/>
    <n v="114028154"/>
    <n v="0"/>
    <n v="1151642"/>
    <n v="114028154"/>
    <n v="115179796"/>
    <n v="28.715399999999999"/>
    <n v="10.7296"/>
    <n v="4581.74"/>
    <n v="3222.42"/>
    <n v="1805"/>
    <n v="424"/>
    <x v="1"/>
    <x v="3"/>
  </r>
  <r>
    <s v="istree_exp5_numerical_stability_vs_time/step10082.txt"/>
    <x v="1"/>
    <m/>
    <s v="reclaimer_debra"/>
    <s v="allocator_new"/>
    <s v="pool_none"/>
    <n v="16000"/>
    <n v="0.5"/>
    <n v="0.5"/>
    <n v="0"/>
    <n v="1"/>
    <n v="20000000"/>
    <n v="190"/>
    <n v="190"/>
    <n v="190"/>
    <n v="0"/>
    <s v="insertIfAbsent"/>
    <n v="100037555543846"/>
    <n v="10003584"/>
    <n v="100037555543846"/>
    <n v="10003584"/>
    <s v="success"/>
    <n v="29"/>
    <n v="6407530"/>
    <n v="4842908"/>
    <n v="11250438"/>
    <n v="10003584"/>
    <n v="1.7558199999999999"/>
    <n v="2.06562"/>
    <n v="1.88917"/>
    <n v="23.059100000000001"/>
    <n v="630024528"/>
    <m/>
    <m/>
    <m/>
    <s v="164 10910"/>
    <m/>
    <m/>
    <n v="1801314298"/>
    <n v="0"/>
    <n v="18203575"/>
    <n v="1801314298"/>
    <n v="1819517873"/>
    <n v="112582143"/>
    <n v="0"/>
    <n v="1137723"/>
    <n v="112582143"/>
    <n v="113719867"/>
    <n v="29.043800000000001"/>
    <n v="10.804500000000001"/>
    <n v="4638.49"/>
    <n v="3260.03"/>
    <n v="1835"/>
    <n v="436"/>
    <x v="1"/>
    <x v="4"/>
  </r>
  <r>
    <s v="istree_exp5_numerical_stability_vs_time/step10083.txt"/>
    <x v="1"/>
    <m/>
    <s v="reclaimer_debra"/>
    <s v="allocator_new"/>
    <s v="pool_none"/>
    <n v="32000"/>
    <n v="0.5"/>
    <n v="0.5"/>
    <n v="0"/>
    <n v="1"/>
    <n v="20000000"/>
    <n v="190"/>
    <n v="190"/>
    <n v="190"/>
    <n v="0"/>
    <s v="insertIfAbsent"/>
    <n v="99981162415626"/>
    <n v="9997968"/>
    <n v="99981162415626"/>
    <n v="9997968"/>
    <s v="success"/>
    <n v="29"/>
    <n v="6672081"/>
    <n v="5053963"/>
    <n v="11726044"/>
    <n v="9997968"/>
    <n v="1.7574799999999999"/>
    <n v="1.97824"/>
    <n v="1.85263"/>
    <n v="23.194099999999999"/>
    <n v="656658464"/>
    <m/>
    <m/>
    <m/>
    <s v="170 21636"/>
    <m/>
    <m/>
    <n v="3556693722"/>
    <n v="0"/>
    <n v="35927024"/>
    <n v="3556693722"/>
    <n v="3592620746"/>
    <n v="111146678"/>
    <n v="0"/>
    <n v="1122719"/>
    <n v="111146678"/>
    <n v="112269398"/>
    <n v="28.905799999999999"/>
    <n v="10.895300000000001"/>
    <n v="4694.78"/>
    <n v="3259.48"/>
    <n v="1866"/>
    <n v="445"/>
    <x v="1"/>
    <x v="5"/>
  </r>
  <r>
    <s v="istree_exp5_numerical_stability_vs_time/step10084.txt"/>
    <x v="1"/>
    <m/>
    <s v="reclaimer_debra"/>
    <s v="allocator_new"/>
    <s v="pool_none"/>
    <n v="64000"/>
    <n v="0.5"/>
    <n v="0.5"/>
    <n v="0"/>
    <n v="1"/>
    <n v="20000000"/>
    <n v="190"/>
    <n v="190"/>
    <n v="190"/>
    <n v="0"/>
    <s v="insertIfAbsent"/>
    <n v="99944026226360"/>
    <n v="9995950"/>
    <n v="99944026226360"/>
    <n v="9995950"/>
    <s v="success"/>
    <n v="29"/>
    <n v="6824929"/>
    <n v="5176475"/>
    <n v="12001404"/>
    <n v="9995950"/>
    <n v="1.75847"/>
    <n v="1.93103"/>
    <n v="1.8329"/>
    <n v="23.254000000000001"/>
    <n v="672078624"/>
    <m/>
    <m/>
    <m/>
    <s v="164 42800"/>
    <m/>
    <m/>
    <n v="7163550547"/>
    <n v="0"/>
    <n v="72347318"/>
    <n v="7163550547"/>
    <n v="7235897865"/>
    <n v="111930477"/>
    <n v="0"/>
    <n v="1130426"/>
    <n v="111930477"/>
    <n v="113060904"/>
    <n v="29.0001"/>
    <n v="10.9948"/>
    <n v="4663.42"/>
    <n v="3291.06"/>
    <n v="1885"/>
    <n v="440"/>
    <x v="1"/>
    <x v="6"/>
  </r>
  <r>
    <s v="istree_exp5_numerical_stability_vs_time/step10001.txt"/>
    <x v="0"/>
    <n v="72"/>
    <s v="reclaimer_debra"/>
    <s v="allocator_new"/>
    <s v="pool_none"/>
    <n v="1000"/>
    <n v="20"/>
    <n v="20"/>
    <n v="0"/>
    <n v="1"/>
    <n v="2000000"/>
    <n v="190"/>
    <n v="190"/>
    <n v="190"/>
    <n v="0"/>
    <s v="insertIfAbsent"/>
    <n v="1000507762173"/>
    <n v="1000119"/>
    <n v="1000507762173"/>
    <n v="1000119"/>
    <s v="success"/>
    <n v="6"/>
    <n v="54558"/>
    <n v="1075143"/>
    <n v="1129701"/>
    <n v="1000119"/>
    <n v="20.706399999999999"/>
    <n v="0.93022000000000005"/>
    <n v="1.8853"/>
    <n v="3.0448900000000001"/>
    <n v="21586672"/>
    <s v="204 177548 86118 707607"/>
    <s v="75 175622 85517 707485"/>
    <n v="777433"/>
    <n v="680"/>
    <m/>
    <m/>
    <n v="56627326"/>
    <n v="0"/>
    <n v="37754537"/>
    <n v="56627326"/>
    <n v="94381863"/>
    <n v="56627326"/>
    <n v="0"/>
    <n v="37754537"/>
    <n v="56627326"/>
    <n v="94381863"/>
    <n v="25.0579"/>
    <n v="11.851599999999999"/>
    <n v="5542.17"/>
    <n v="4264.05"/>
    <n v="1560"/>
    <n v="345"/>
    <x v="2"/>
    <x v="0"/>
  </r>
  <r>
    <s v="istree_exp5_numerical_stability_vs_time/step10002.txt"/>
    <x v="0"/>
    <n v="72"/>
    <s v="reclaimer_debra"/>
    <s v="allocator_new"/>
    <s v="pool_none"/>
    <n v="2000"/>
    <n v="20"/>
    <n v="20"/>
    <n v="0"/>
    <n v="1"/>
    <n v="2000000"/>
    <n v="190"/>
    <n v="190"/>
    <n v="190"/>
    <n v="0"/>
    <s v="insertIfAbsent"/>
    <n v="1000383846321"/>
    <n v="1000493"/>
    <n v="1000383846321"/>
    <n v="1000493"/>
    <s v="success"/>
    <n v="6"/>
    <n v="52960"/>
    <n v="1073164"/>
    <n v="1126124"/>
    <n v="1000493"/>
    <n v="21.2637"/>
    <n v="0.93228299999999997"/>
    <n v="1.8884399999999999"/>
    <n v="3.0417200000000002"/>
    <n v="21427840"/>
    <s v="489 355490 173392 1419515"/>
    <s v="151 351726 172200 1419245"/>
    <n v="1563034"/>
    <n v="1360"/>
    <m/>
    <m/>
    <n v="113467095"/>
    <n v="0"/>
    <n v="75657148"/>
    <n v="113467095"/>
    <n v="189124243"/>
    <n v="56733547"/>
    <n v="0"/>
    <n v="37828574"/>
    <n v="56733547"/>
    <n v="94562121"/>
    <n v="25.075500000000002"/>
    <n v="11.873200000000001"/>
    <n v="5568.44"/>
    <n v="4294.8599999999997"/>
    <n v="1597"/>
    <n v="276"/>
    <x v="2"/>
    <x v="1"/>
  </r>
  <r>
    <s v="istree_exp5_numerical_stability_vs_time/step10003.txt"/>
    <x v="0"/>
    <n v="72"/>
    <s v="reclaimer_debra"/>
    <s v="allocator_new"/>
    <s v="pool_none"/>
    <n v="4000"/>
    <n v="20"/>
    <n v="20"/>
    <n v="0"/>
    <n v="1"/>
    <n v="2000000"/>
    <n v="190"/>
    <n v="190"/>
    <n v="190"/>
    <n v="0"/>
    <s v="insertIfAbsent"/>
    <n v="1000122821853"/>
    <n v="1000429"/>
    <n v="1000122821853"/>
    <n v="1000429"/>
    <s v="success"/>
    <n v="6"/>
    <n v="52617"/>
    <n v="1072221"/>
    <n v="1124838"/>
    <n v="1000429"/>
    <n v="21.377800000000001"/>
    <n v="0.93304399999999998"/>
    <n v="1.8894"/>
    <n v="3.0409000000000002"/>
    <n v="21383584"/>
    <s v="1007 713941 346532 2842200"/>
    <s v="303 706479 344152 2841693"/>
    <n v="3113546"/>
    <n v="2714"/>
    <m/>
    <m/>
    <n v="227410779"/>
    <n v="0"/>
    <n v="151596310"/>
    <n v="227410779"/>
    <n v="379007089"/>
    <n v="56852694"/>
    <n v="0"/>
    <n v="37899077"/>
    <n v="56852694"/>
    <n v="94751772"/>
    <n v="25.030999999999999"/>
    <n v="11.9077"/>
    <n v="5567.73"/>
    <n v="4290.67"/>
    <n v="1662"/>
    <n v="270"/>
    <x v="2"/>
    <x v="2"/>
  </r>
  <r>
    <s v="istree_exp5_numerical_stability_vs_time/step10004.txt"/>
    <x v="0"/>
    <n v="72"/>
    <s v="reclaimer_debra"/>
    <s v="allocator_new"/>
    <s v="pool_none"/>
    <n v="8000"/>
    <n v="20"/>
    <n v="20"/>
    <n v="0"/>
    <n v="1"/>
    <n v="2000000"/>
    <n v="190"/>
    <n v="190"/>
    <n v="190"/>
    <n v="0"/>
    <s v="insertIfAbsent"/>
    <n v="1001151784075"/>
    <n v="1000580"/>
    <n v="1001151784075"/>
    <n v="1000580"/>
    <s v="success"/>
    <n v="6"/>
    <n v="33075"/>
    <n v="1032704"/>
    <n v="1065779"/>
    <n v="1000580"/>
    <n v="32.223100000000002"/>
    <n v="0.968893"/>
    <n v="1.9388300000000001"/>
    <n v="3.0000800000000001"/>
    <n v="19169248"/>
    <s v="1873 1425418 692924 5687092"/>
    <s v="606 1410203 688039 5686021"/>
    <n v="6214859"/>
    <n v="5432"/>
    <m/>
    <m/>
    <n v="454023419"/>
    <n v="0"/>
    <n v="302679183"/>
    <n v="454023419"/>
    <n v="756702602"/>
    <n v="56752927"/>
    <n v="0"/>
    <n v="37834897"/>
    <n v="56752927"/>
    <n v="94587825"/>
    <n v="25.0564"/>
    <n v="11.894600000000001"/>
    <n v="5588.13"/>
    <n v="4304.55"/>
    <n v="1663"/>
    <n v="320"/>
    <x v="2"/>
    <x v="3"/>
  </r>
  <r>
    <s v="istree_exp5_numerical_stability_vs_time/step10005.txt"/>
    <x v="0"/>
    <n v="72"/>
    <s v="reclaimer_debra"/>
    <s v="allocator_new"/>
    <s v="pool_none"/>
    <n v="16000"/>
    <n v="20"/>
    <n v="20"/>
    <n v="0"/>
    <n v="1"/>
    <n v="2000000"/>
    <n v="190"/>
    <n v="190"/>
    <n v="190"/>
    <n v="0"/>
    <s v="insertIfAbsent"/>
    <n v="999847593667"/>
    <n v="999651"/>
    <n v="999847593667"/>
    <n v="999651"/>
    <s v="success"/>
    <n v="6"/>
    <n v="55211"/>
    <n v="1077187"/>
    <n v="1132398"/>
    <n v="999651"/>
    <n v="20.510400000000001"/>
    <n v="0.92801999999999996"/>
    <n v="1.8827700000000001"/>
    <n v="3.0464500000000001"/>
    <n v="21674112"/>
    <s v="3842 2850186 1386632 11371659"/>
    <s v="1212 2819947 1376903 11369590"/>
    <n v="12451636"/>
    <n v="10884"/>
    <m/>
    <m/>
    <n v="908499560"/>
    <n v="0"/>
    <n v="605607319"/>
    <n v="908499560"/>
    <n v="1514106879"/>
    <n v="56781222"/>
    <n v="0"/>
    <n v="37850457"/>
    <n v="56781222"/>
    <n v="94631679"/>
    <n v="25.1023"/>
    <n v="11.907500000000001"/>
    <n v="5586.9"/>
    <n v="4305.7"/>
    <n v="1702"/>
    <n v="321"/>
    <x v="2"/>
    <x v="4"/>
  </r>
  <r>
    <s v="istree_exp5_numerical_stability_vs_time/step10006.txt"/>
    <x v="0"/>
    <n v="72"/>
    <s v="reclaimer_debra"/>
    <s v="allocator_new"/>
    <s v="pool_none"/>
    <n v="32000"/>
    <n v="20"/>
    <n v="20"/>
    <n v="0"/>
    <n v="1"/>
    <n v="2000000"/>
    <n v="190"/>
    <n v="190"/>
    <n v="190"/>
    <n v="0"/>
    <s v="insertIfAbsent"/>
    <n v="999329865879"/>
    <n v="999162"/>
    <n v="999329865879"/>
    <n v="999162"/>
    <s v="success"/>
    <n v="6"/>
    <n v="57650"/>
    <n v="1081924"/>
    <n v="1139574"/>
    <n v="999162"/>
    <n v="19.767099999999999"/>
    <n v="0.92350500000000002"/>
    <n v="1.87679"/>
    <n v="3.0518999999999998"/>
    <n v="21950480"/>
    <s v="7392 5706867 2773701 22758343"/>
    <s v="2427 5646570 2754198 22754195"/>
    <n v="24974787"/>
    <n v="21784"/>
    <m/>
    <m/>
    <n v="1818483801"/>
    <n v="0"/>
    <n v="1212334713"/>
    <n v="1818483801"/>
    <n v="3030818514"/>
    <n v="56827618"/>
    <n v="0"/>
    <n v="37885459"/>
    <n v="56827618"/>
    <n v="94713078"/>
    <n v="25.052600000000002"/>
    <n v="11.902799999999999"/>
    <n v="5582.73"/>
    <n v="4299.53"/>
    <n v="1760"/>
    <n v="310"/>
    <x v="2"/>
    <x v="5"/>
  </r>
  <r>
    <s v="istree_exp5_numerical_stability_vs_time/step10007.txt"/>
    <x v="0"/>
    <n v="72"/>
    <s v="reclaimer_debra"/>
    <s v="allocator_new"/>
    <s v="pool_none"/>
    <n v="64000"/>
    <n v="20"/>
    <n v="20"/>
    <n v="0"/>
    <n v="1"/>
    <n v="2000000"/>
    <n v="190"/>
    <n v="190"/>
    <n v="190"/>
    <n v="0"/>
    <s v="insertIfAbsent"/>
    <n v="1000822359163"/>
    <n v="1000808"/>
    <n v="1000822359163"/>
    <n v="1000808"/>
    <s v="success"/>
    <n v="6"/>
    <n v="33087"/>
    <n v="1032941"/>
    <n v="1066028"/>
    <n v="1000808"/>
    <n v="32.218899999999998"/>
    <n v="0.96889199999999998"/>
    <n v="1.93882"/>
    <n v="3.0001000000000002"/>
    <n v="19174000"/>
    <s v="15048 11403349 5538395 45461209"/>
    <s v="4849 11282505 5499290 45452897"/>
    <n v="50026131"/>
    <n v="43484"/>
    <m/>
    <m/>
    <n v="3632985006"/>
    <n v="0"/>
    <n v="2421997493"/>
    <n v="3632985006"/>
    <n v="6054982499"/>
    <n v="56765390"/>
    <n v="0"/>
    <n v="37843710"/>
    <n v="56765390"/>
    <n v="94609101"/>
    <n v="25.051300000000001"/>
    <n v="11.901199999999999"/>
    <n v="5589.1"/>
    <n v="4310.4399999999996"/>
    <n v="1870"/>
    <n v="328"/>
    <x v="2"/>
    <x v="6"/>
  </r>
  <r>
    <s v="istree_exp5_numerical_stability_vs_time/step10008.txt"/>
    <x v="2"/>
    <n v="208"/>
    <s v="reclaimer_debra"/>
    <s v="allocator_new"/>
    <s v="pool_none"/>
    <n v="1000"/>
    <n v="20"/>
    <n v="20"/>
    <n v="0"/>
    <n v="1"/>
    <n v="2000000"/>
    <n v="190"/>
    <n v="190"/>
    <n v="190"/>
    <n v="0"/>
    <s v="insertIfAbsent"/>
    <n v="1001404501421"/>
    <n v="1000923"/>
    <n v="1001404501421"/>
    <n v="1000923"/>
    <s v="success"/>
    <n v="8"/>
    <n v="30686"/>
    <n v="196491"/>
    <n v="227177"/>
    <n v="1000923"/>
    <n v="7.4032799999999996"/>
    <n v="5.0939899999999998"/>
    <n v="5.4059200000000001"/>
    <n v="7"/>
    <n v="47252816"/>
    <m/>
    <m/>
    <m/>
    <n v="1554"/>
    <m/>
    <m/>
    <n v="73987258"/>
    <n v="0"/>
    <n v="49330321"/>
    <n v="73987258"/>
    <n v="123317579"/>
    <n v="73987258"/>
    <n v="0"/>
    <n v="49330321"/>
    <n v="73987258"/>
    <n v="123317579"/>
    <n v="15.5715"/>
    <n v="5.7613700000000003"/>
    <n v="3835.7"/>
    <n v="1649.04"/>
    <n v="1258"/>
    <n v="235"/>
    <x v="2"/>
    <x v="0"/>
  </r>
  <r>
    <s v="istree_exp5_numerical_stability_vs_time/step10009.txt"/>
    <x v="2"/>
    <n v="208"/>
    <s v="reclaimer_debra"/>
    <s v="allocator_new"/>
    <s v="pool_none"/>
    <n v="2000"/>
    <n v="20"/>
    <n v="20"/>
    <n v="0"/>
    <n v="1"/>
    <n v="2000000"/>
    <n v="190"/>
    <n v="190"/>
    <n v="190"/>
    <n v="0"/>
    <s v="insertIfAbsent"/>
    <n v="1001152464196"/>
    <n v="1001192"/>
    <n v="1001152464196"/>
    <n v="1001192"/>
    <s v="success"/>
    <n v="8"/>
    <n v="31991"/>
    <n v="196116"/>
    <n v="228107"/>
    <n v="1001192"/>
    <n v="7.13035"/>
    <n v="5.1051000000000002"/>
    <n v="5.3891299999999998"/>
    <n v="7"/>
    <n v="47446256"/>
    <m/>
    <m/>
    <m/>
    <n v="2970"/>
    <m/>
    <m/>
    <n v="145244485"/>
    <n v="0"/>
    <n v="96829458"/>
    <n v="145244485"/>
    <n v="242073943"/>
    <n v="72622242"/>
    <n v="0"/>
    <n v="48414729"/>
    <n v="72622242"/>
    <n v="121036971"/>
    <n v="15.757099999999999"/>
    <n v="5.8031199999999998"/>
    <n v="3867.64"/>
    <n v="1670.95"/>
    <n v="1275"/>
    <n v="296"/>
    <x v="2"/>
    <x v="1"/>
  </r>
  <r>
    <s v="istree_exp5_numerical_stability_vs_time/step10010.txt"/>
    <x v="2"/>
    <n v="208"/>
    <s v="reclaimer_debra"/>
    <s v="allocator_new"/>
    <s v="pool_none"/>
    <n v="4000"/>
    <n v="20"/>
    <n v="20"/>
    <n v="0"/>
    <n v="1"/>
    <n v="2000000"/>
    <n v="190"/>
    <n v="190"/>
    <n v="190"/>
    <n v="0"/>
    <s v="insertIfAbsent"/>
    <n v="1000455224502"/>
    <n v="1000643"/>
    <n v="1000455224502"/>
    <n v="1000643"/>
    <s v="success"/>
    <n v="8"/>
    <n v="33258"/>
    <n v="195247"/>
    <n v="228505"/>
    <n v="1000643"/>
    <n v="6.8706800000000001"/>
    <n v="5.1250099999999996"/>
    <n v="5.3790899999999997"/>
    <n v="7"/>
    <n v="47529040"/>
    <m/>
    <m/>
    <m/>
    <n v="5612"/>
    <m/>
    <m/>
    <n v="296669907"/>
    <n v="0"/>
    <n v="197762468"/>
    <n v="296669907"/>
    <n v="494432375"/>
    <n v="74167476"/>
    <n v="0"/>
    <n v="49440617"/>
    <n v="74167476"/>
    <n v="123608093"/>
    <n v="15.922000000000001"/>
    <n v="5.8355800000000002"/>
    <n v="3870.04"/>
    <n v="1679.11"/>
    <n v="1300"/>
    <n v="218"/>
    <x v="2"/>
    <x v="2"/>
  </r>
  <r>
    <s v="istree_exp5_numerical_stability_vs_time/step10011.txt"/>
    <x v="2"/>
    <n v="208"/>
    <s v="reclaimer_debra"/>
    <s v="allocator_new"/>
    <s v="pool_none"/>
    <n v="8000"/>
    <n v="20"/>
    <n v="20"/>
    <n v="0"/>
    <n v="1"/>
    <n v="2000000"/>
    <n v="190"/>
    <n v="190"/>
    <n v="190"/>
    <n v="0"/>
    <s v="insertIfAbsent"/>
    <n v="1000588577209"/>
    <n v="1000669"/>
    <n v="1000588577209"/>
    <n v="1000669"/>
    <s v="success"/>
    <n v="8"/>
    <n v="34312"/>
    <n v="195019"/>
    <n v="229331"/>
    <n v="1000669"/>
    <n v="6.6837"/>
    <n v="5.1311400000000003"/>
    <n v="5.3634300000000001"/>
    <n v="7"/>
    <n v="47700848"/>
    <m/>
    <m/>
    <m/>
    <n v="11002"/>
    <m/>
    <m/>
    <n v="586959677"/>
    <n v="0"/>
    <n v="391287052"/>
    <n v="586959677"/>
    <n v="978246729"/>
    <n v="73369959"/>
    <n v="0"/>
    <n v="48910881"/>
    <n v="73369959"/>
    <n v="122280841"/>
    <n v="15.8977"/>
    <n v="5.8503299999999996"/>
    <n v="3891.74"/>
    <n v="1686.11"/>
    <n v="1394"/>
    <n v="291"/>
    <x v="2"/>
    <x v="3"/>
  </r>
  <r>
    <s v="istree_exp5_numerical_stability_vs_time/step10012.txt"/>
    <x v="2"/>
    <n v="208"/>
    <s v="reclaimer_debra"/>
    <s v="allocator_new"/>
    <s v="pool_none"/>
    <n v="16000"/>
    <n v="20"/>
    <n v="20"/>
    <n v="0"/>
    <n v="1"/>
    <n v="2000000"/>
    <n v="190"/>
    <n v="190"/>
    <n v="190"/>
    <n v="0"/>
    <s v="insertIfAbsent"/>
    <n v="1000572125705"/>
    <n v="1000026"/>
    <n v="1000572125705"/>
    <n v="1000026"/>
    <s v="success"/>
    <n v="8"/>
    <n v="35124"/>
    <n v="194894"/>
    <n v="230018"/>
    <n v="1000026"/>
    <n v="6.5487399999999996"/>
    <n v="5.1311299999999997"/>
    <n v="5.3475999999999999"/>
    <n v="7"/>
    <n v="47843744"/>
    <m/>
    <m/>
    <m/>
    <n v="21772"/>
    <m/>
    <m/>
    <n v="1191949832"/>
    <n v="0"/>
    <n v="794662262"/>
    <n v="1191949832"/>
    <n v="1986612094"/>
    <n v="74496864"/>
    <n v="0"/>
    <n v="49666391"/>
    <n v="74496864"/>
    <n v="124163255"/>
    <n v="15.968400000000001"/>
    <n v="5.8764500000000002"/>
    <n v="3871.23"/>
    <n v="1686.2"/>
    <n v="1287"/>
    <n v="218"/>
    <x v="2"/>
    <x v="4"/>
  </r>
  <r>
    <s v="istree_exp5_numerical_stability_vs_time/step10013.txt"/>
    <x v="2"/>
    <n v="208"/>
    <s v="reclaimer_debra"/>
    <s v="allocator_new"/>
    <s v="pool_none"/>
    <n v="32000"/>
    <n v="20"/>
    <n v="20"/>
    <n v="0"/>
    <n v="1"/>
    <n v="2000000"/>
    <n v="190"/>
    <n v="190"/>
    <n v="190"/>
    <n v="0"/>
    <s v="insertIfAbsent"/>
    <n v="999627995307"/>
    <n v="999933"/>
    <n v="999627995307"/>
    <n v="999933"/>
    <s v="success"/>
    <n v="8"/>
    <n v="35805"/>
    <n v="194790"/>
    <n v="230595"/>
    <n v="999933"/>
    <n v="6.4402999999999997"/>
    <n v="5.1333900000000003"/>
    <n v="5.3363199999999997"/>
    <n v="7"/>
    <n v="47963760"/>
    <m/>
    <m/>
    <m/>
    <s v="228 43396"/>
    <m/>
    <m/>
    <n v="2379081750"/>
    <n v="0"/>
    <n v="1585998708"/>
    <n v="2379081750"/>
    <n v="3965080458"/>
    <n v="74346304"/>
    <n v="0"/>
    <n v="49562459"/>
    <n v="74346304"/>
    <n v="123908764"/>
    <n v="15.885199999999999"/>
    <n v="5.8758800000000004"/>
    <n v="3876.1"/>
    <n v="1684.33"/>
    <n v="1288"/>
    <n v="320"/>
    <x v="2"/>
    <x v="5"/>
  </r>
  <r>
    <s v="istree_exp5_numerical_stability_vs_time/step10014.txt"/>
    <x v="2"/>
    <n v="208"/>
    <s v="reclaimer_debra"/>
    <s v="allocator_new"/>
    <s v="pool_none"/>
    <n v="64000"/>
    <n v="20"/>
    <n v="20"/>
    <n v="0"/>
    <n v="1"/>
    <n v="2000000"/>
    <n v="190"/>
    <n v="190"/>
    <n v="190"/>
    <n v="0"/>
    <s v="insertIfAbsent"/>
    <n v="1000131847746"/>
    <n v="1000895"/>
    <n v="1000131847746"/>
    <n v="1000895"/>
    <s v="success"/>
    <n v="8"/>
    <n v="36800"/>
    <n v="194698"/>
    <n v="231498"/>
    <n v="1000895"/>
    <n v="6.2907099999999998"/>
    <n v="5.1407600000000002"/>
    <n v="5.3235599999999996"/>
    <n v="7"/>
    <n v="48151584"/>
    <m/>
    <m/>
    <m/>
    <n v="86252"/>
    <m/>
    <m/>
    <n v="4711085321"/>
    <n v="0"/>
    <n v="3140723920"/>
    <n v="4711085321"/>
    <n v="7851809241"/>
    <n v="73610708"/>
    <n v="0"/>
    <n v="49073811"/>
    <n v="73610708"/>
    <n v="122684519"/>
    <n v="16.100899999999999"/>
    <n v="5.8975299999999997"/>
    <n v="3904.85"/>
    <n v="1702.17"/>
    <n v="1359"/>
    <n v="238"/>
    <x v="2"/>
    <x v="6"/>
  </r>
  <r>
    <s v="istree_exp5_numerical_stability_vs_time/step10015.txt"/>
    <x v="1"/>
    <m/>
    <s v="reclaimer_debra"/>
    <s v="allocator_new"/>
    <s v="pool_none"/>
    <n v="1000"/>
    <n v="20"/>
    <n v="20"/>
    <n v="0"/>
    <n v="1"/>
    <n v="2000000"/>
    <n v="190"/>
    <n v="190"/>
    <n v="190"/>
    <n v="0"/>
    <s v="insertIfAbsent"/>
    <n v="1000566799552"/>
    <n v="1000536"/>
    <n v="1000566799552"/>
    <n v="1000536"/>
    <s v="success"/>
    <n v="25"/>
    <n v="686186"/>
    <n v="520848"/>
    <n v="1207034"/>
    <n v="1000536"/>
    <n v="1.75905"/>
    <n v="1.9209799999999999"/>
    <n v="1.8289200000000001"/>
    <n v="19.836500000000001"/>
    <n v="67593904"/>
    <m/>
    <m/>
    <m/>
    <s v="266 1190"/>
    <m/>
    <m/>
    <n v="80025364"/>
    <n v="0"/>
    <n v="53351530"/>
    <n v="80025364"/>
    <n v="133376894"/>
    <n v="80025364"/>
    <n v="0"/>
    <n v="53351530"/>
    <n v="80025364"/>
    <n v="133376894"/>
    <n v="20.546299999999999"/>
    <n v="4.9634999999999998"/>
    <n v="3904.53"/>
    <n v="1970"/>
    <n v="1239"/>
    <n v="371"/>
    <x v="2"/>
    <x v="0"/>
  </r>
  <r>
    <s v="istree_exp5_numerical_stability_vs_time/step10016.txt"/>
    <x v="1"/>
    <m/>
    <s v="reclaimer_debra"/>
    <s v="allocator_new"/>
    <s v="pool_none"/>
    <n v="2000"/>
    <n v="20"/>
    <n v="20"/>
    <n v="0"/>
    <n v="1"/>
    <n v="2000000"/>
    <n v="190"/>
    <n v="190"/>
    <n v="190"/>
    <n v="0"/>
    <s v="insertIfAbsent"/>
    <n v="1000143585011"/>
    <n v="1000481"/>
    <n v="1000143585011"/>
    <n v="1000481"/>
    <s v="success"/>
    <n v="25"/>
    <n v="686419"/>
    <n v="520640"/>
    <n v="1207059"/>
    <n v="1000481"/>
    <n v="1.7584900000000001"/>
    <n v="1.92164"/>
    <n v="1.8288599999999999"/>
    <n v="19.847300000000001"/>
    <n v="67595304"/>
    <m/>
    <m/>
    <m/>
    <n v="2044"/>
    <m/>
    <m/>
    <n v="170815227"/>
    <n v="0"/>
    <n v="113878279"/>
    <n v="170815227"/>
    <n v="284693506"/>
    <n v="85407613"/>
    <n v="0"/>
    <n v="56939139"/>
    <n v="85407613"/>
    <n v="142346753"/>
    <n v="20.904399999999999"/>
    <n v="4.9797900000000004"/>
    <n v="3693.85"/>
    <n v="1977.65"/>
    <n v="1249"/>
    <n v="367"/>
    <x v="2"/>
    <x v="1"/>
  </r>
  <r>
    <s v="istree_exp5_numerical_stability_vs_time/step10017.txt"/>
    <x v="1"/>
    <m/>
    <s v="reclaimer_debra"/>
    <s v="allocator_new"/>
    <s v="pool_none"/>
    <n v="4000"/>
    <n v="20"/>
    <n v="20"/>
    <n v="0"/>
    <n v="1"/>
    <n v="2000000"/>
    <n v="190"/>
    <n v="190"/>
    <n v="190"/>
    <n v="0"/>
    <s v="insertIfAbsent"/>
    <n v="999812231478"/>
    <n v="1000058"/>
    <n v="999812231478"/>
    <n v="1000058"/>
    <s v="success"/>
    <n v="25"/>
    <n v="685430"/>
    <n v="520402"/>
    <n v="1205832"/>
    <n v="1000058"/>
    <n v="1.7592300000000001"/>
    <n v="1.9217"/>
    <n v="1.82935"/>
    <n v="19.855899999999998"/>
    <n v="67526592"/>
    <m/>
    <m/>
    <m/>
    <s v="266 3910"/>
    <m/>
    <m/>
    <n v="343162357"/>
    <n v="0"/>
    <n v="228766881"/>
    <n v="343162357"/>
    <n v="571929238"/>
    <n v="85790589"/>
    <n v="0"/>
    <n v="57191720"/>
    <n v="85790589"/>
    <n v="142982309"/>
    <n v="21.1996"/>
    <n v="4.9405400000000004"/>
    <n v="3665.68"/>
    <n v="2046.79"/>
    <n v="1254"/>
    <n v="370"/>
    <x v="2"/>
    <x v="2"/>
  </r>
  <r>
    <s v="istree_exp5_numerical_stability_vs_time/step10018.txt"/>
    <x v="1"/>
    <m/>
    <s v="reclaimer_debra"/>
    <s v="allocator_new"/>
    <s v="pool_none"/>
    <n v="8000"/>
    <n v="20"/>
    <n v="20"/>
    <n v="0"/>
    <n v="1"/>
    <n v="2000000"/>
    <n v="190"/>
    <n v="190"/>
    <n v="190"/>
    <n v="0"/>
    <s v="insertIfAbsent"/>
    <n v="999744048630"/>
    <n v="999339"/>
    <n v="999744048630"/>
    <n v="999339"/>
    <s v="success"/>
    <n v="25"/>
    <n v="685604"/>
    <n v="520379"/>
    <n v="1205983"/>
    <n v="999339"/>
    <n v="1.75901"/>
    <n v="1.92041"/>
    <n v="1.8286500000000001"/>
    <n v="19.8325"/>
    <n v="67535048"/>
    <m/>
    <m/>
    <m/>
    <s v="234 7468"/>
    <m/>
    <m/>
    <n v="688333097"/>
    <n v="0"/>
    <n v="458915152"/>
    <n v="688333097"/>
    <n v="1147248249"/>
    <n v="86041637"/>
    <n v="0"/>
    <n v="57364394"/>
    <n v="86041637"/>
    <n v="143406031"/>
    <n v="21.433700000000002"/>
    <n v="4.9180400000000004"/>
    <n v="3651.92"/>
    <n v="2074.31"/>
    <n v="1255"/>
    <n v="367"/>
    <x v="2"/>
    <x v="3"/>
  </r>
  <r>
    <s v="istree_exp5_numerical_stability_vs_time/step10019.txt"/>
    <x v="1"/>
    <m/>
    <s v="reclaimer_debra"/>
    <s v="allocator_new"/>
    <s v="pool_none"/>
    <n v="16000"/>
    <n v="20"/>
    <n v="20"/>
    <n v="0"/>
    <n v="1"/>
    <n v="2000000"/>
    <n v="190"/>
    <n v="190"/>
    <n v="190"/>
    <n v="0"/>
    <s v="insertIfAbsent"/>
    <n v="999868529096"/>
    <n v="999261"/>
    <n v="999868529096"/>
    <n v="999261"/>
    <s v="success"/>
    <n v="25"/>
    <n v="685164"/>
    <n v="519973"/>
    <n v="1205137"/>
    <n v="999261"/>
    <n v="1.7588999999999999"/>
    <n v="1.9217599999999999"/>
    <n v="1.82917"/>
    <n v="19.88"/>
    <n v="67487672"/>
    <m/>
    <m/>
    <m/>
    <n v="14304"/>
    <m/>
    <m/>
    <n v="1363585010"/>
    <n v="0"/>
    <n v="909159417"/>
    <n v="1363585010"/>
    <n v="2272744427"/>
    <n v="85224063"/>
    <n v="0"/>
    <n v="56822463"/>
    <n v="85224063"/>
    <n v="142046526"/>
    <n v="21.6707"/>
    <n v="4.9200299999999997"/>
    <n v="3685.13"/>
    <n v="2112.71"/>
    <n v="1256"/>
    <n v="335"/>
    <x v="2"/>
    <x v="4"/>
  </r>
  <r>
    <s v="istree_exp5_numerical_stability_vs_time/step10020.txt"/>
    <x v="1"/>
    <m/>
    <s v="reclaimer_debra"/>
    <s v="allocator_new"/>
    <s v="pool_none"/>
    <n v="32000"/>
    <n v="20"/>
    <n v="20"/>
    <n v="0"/>
    <n v="1"/>
    <n v="2000000"/>
    <n v="190"/>
    <n v="190"/>
    <n v="190"/>
    <n v="0"/>
    <s v="insertIfAbsent"/>
    <n v="1000795438345"/>
    <n v="1000971"/>
    <n v="1000795438345"/>
    <n v="1000971"/>
    <s v="success"/>
    <n v="25"/>
    <n v="686201"/>
    <n v="520628"/>
    <n v="1206829"/>
    <n v="1000971"/>
    <n v="1.75871"/>
    <n v="1.92262"/>
    <n v="1.82942"/>
    <n v="19.8263"/>
    <n v="67582424"/>
    <m/>
    <m/>
    <m/>
    <n v="28608"/>
    <m/>
    <m/>
    <n v="2727757922"/>
    <n v="0"/>
    <n v="1818509945"/>
    <n v="2727757922"/>
    <n v="4546267867"/>
    <n v="85242435"/>
    <n v="0"/>
    <n v="56828435"/>
    <n v="85242435"/>
    <n v="142070870"/>
    <n v="21.687000000000001"/>
    <n v="4.8878199999999996"/>
    <n v="3686.32"/>
    <n v="2113.9899999999998"/>
    <n v="1257"/>
    <n v="257"/>
    <x v="2"/>
    <x v="5"/>
  </r>
  <r>
    <s v="istree_exp5_numerical_stability_vs_time/step10021.txt"/>
    <x v="1"/>
    <m/>
    <s v="reclaimer_debra"/>
    <s v="allocator_new"/>
    <s v="pool_none"/>
    <n v="64000"/>
    <n v="20"/>
    <n v="20"/>
    <n v="0"/>
    <n v="1"/>
    <n v="2000000"/>
    <n v="190"/>
    <n v="190"/>
    <n v="190"/>
    <n v="0"/>
    <s v="insertIfAbsent"/>
    <n v="1000184066912"/>
    <n v="999743"/>
    <n v="1000184066912"/>
    <n v="999743"/>
    <s v="success"/>
    <n v="25"/>
    <n v="685883"/>
    <n v="520465"/>
    <n v="1206348"/>
    <n v="999743"/>
    <n v="1.7588200000000001"/>
    <n v="1.92086"/>
    <n v="1.82874"/>
    <n v="19.886500000000002"/>
    <n v="67555488"/>
    <m/>
    <m/>
    <m/>
    <n v="56552"/>
    <m/>
    <m/>
    <n v="5469966236"/>
    <n v="0"/>
    <n v="3646641382"/>
    <n v="5469966236"/>
    <n v="9116607618"/>
    <n v="85468222"/>
    <n v="0"/>
    <n v="56978771"/>
    <n v="85468222"/>
    <n v="142446994"/>
    <n v="21.668099999999999"/>
    <n v="4.8778600000000001"/>
    <n v="3675.87"/>
    <n v="2121.5"/>
    <n v="1258"/>
    <n v="267"/>
    <x v="2"/>
    <x v="6"/>
  </r>
  <r>
    <s v="istree_exp5_numerical_stability_vs_time/step10022.txt"/>
    <x v="3"/>
    <m/>
    <s v="reclaimer_debra"/>
    <s v="allocator_new"/>
    <s v="pool_none"/>
    <n v="1000"/>
    <n v="20"/>
    <n v="20"/>
    <n v="0"/>
    <n v="1"/>
    <n v="2000000"/>
    <n v="190"/>
    <n v="190"/>
    <n v="190"/>
    <n v="0"/>
    <s v="insertIfAbsent"/>
    <n v="998641866790"/>
    <n v="998952"/>
    <n v="998641866790"/>
    <n v="998952"/>
    <s v="success"/>
    <n v="49"/>
    <n v="998951"/>
    <n v="998952"/>
    <n v="1997903"/>
    <n v="998952"/>
    <n v="2"/>
    <n v="1"/>
    <n v="1.5"/>
    <n v="26.4133"/>
    <n v="63932896"/>
    <m/>
    <m/>
    <m/>
    <n v="1122"/>
    <m/>
    <m/>
    <n v="50753082"/>
    <n v="0"/>
    <n v="33818950"/>
    <n v="50753082"/>
    <n v="84572032"/>
    <n v="50753082"/>
    <n v="0"/>
    <n v="33818950"/>
    <n v="50753082"/>
    <n v="84572032"/>
    <n v="17.1615"/>
    <n v="4.6143700000000001"/>
    <n v="5255.87"/>
    <n v="2559.23"/>
    <n v="1232"/>
    <n v="279"/>
    <x v="2"/>
    <x v="0"/>
  </r>
  <r>
    <s v="istree_exp5_numerical_stability_vs_time/step10023.txt"/>
    <x v="3"/>
    <m/>
    <s v="reclaimer_debra"/>
    <s v="allocator_new"/>
    <s v="pool_none"/>
    <n v="2000"/>
    <n v="20"/>
    <n v="20"/>
    <n v="0"/>
    <n v="1"/>
    <n v="2000000"/>
    <n v="190"/>
    <n v="190"/>
    <n v="190"/>
    <n v="0"/>
    <s v="insertIfAbsent"/>
    <n v="998787093742"/>
    <n v="999237"/>
    <n v="998787093742"/>
    <n v="999237"/>
    <s v="success"/>
    <n v="48"/>
    <n v="999236"/>
    <n v="999237"/>
    <n v="1998473"/>
    <n v="999237"/>
    <n v="2"/>
    <n v="1"/>
    <n v="1.5"/>
    <n v="25.994800000000001"/>
    <n v="63951136"/>
    <m/>
    <m/>
    <m/>
    <n v="2018"/>
    <m/>
    <m/>
    <n v="124154390"/>
    <n v="0"/>
    <n v="82768944"/>
    <n v="124154390"/>
    <n v="206923334"/>
    <n v="62077195"/>
    <n v="0"/>
    <n v="41384472"/>
    <n v="62077195"/>
    <n v="103461667"/>
    <n v="17.188099999999999"/>
    <n v="4.5526299999999997"/>
    <n v="4717.8999999999996"/>
    <n v="2562.73"/>
    <n v="1235"/>
    <n v="292"/>
    <x v="2"/>
    <x v="1"/>
  </r>
  <r>
    <s v="istree_exp5_numerical_stability_vs_time/step10024.txt"/>
    <x v="3"/>
    <m/>
    <s v="reclaimer_debra"/>
    <s v="allocator_new"/>
    <s v="pool_none"/>
    <n v="4000"/>
    <n v="20"/>
    <n v="20"/>
    <n v="0"/>
    <n v="1"/>
    <n v="2000000"/>
    <n v="190"/>
    <n v="190"/>
    <n v="190"/>
    <n v="0"/>
    <s v="insertIfAbsent"/>
    <n v="1000370262732"/>
    <n v="1000027"/>
    <n v="1000370262732"/>
    <n v="1000027"/>
    <s v="success"/>
    <n v="46"/>
    <n v="1000026"/>
    <n v="1000027"/>
    <n v="2000053"/>
    <n v="1000027"/>
    <n v="2"/>
    <n v="1"/>
    <n v="1.5"/>
    <n v="25.464700000000001"/>
    <n v="64001696"/>
    <m/>
    <m/>
    <m/>
    <n v="3796"/>
    <m/>
    <m/>
    <n v="270801489"/>
    <n v="0"/>
    <n v="180546651"/>
    <n v="270801489"/>
    <n v="451348140"/>
    <n v="67700372"/>
    <n v="0"/>
    <n v="45136662"/>
    <n v="67700372"/>
    <n v="112837035"/>
    <n v="17.059000000000001"/>
    <n v="4.5008800000000004"/>
    <n v="4482.75"/>
    <n v="2520.38"/>
    <n v="1249"/>
    <n v="279"/>
    <x v="2"/>
    <x v="2"/>
  </r>
  <r>
    <s v="istree_exp5_numerical_stability_vs_time/step10025.txt"/>
    <x v="3"/>
    <m/>
    <s v="reclaimer_debra"/>
    <s v="allocator_new"/>
    <s v="pool_none"/>
    <n v="8000"/>
    <n v="20"/>
    <n v="20"/>
    <n v="0"/>
    <n v="1"/>
    <n v="2000000"/>
    <n v="190"/>
    <n v="190"/>
    <n v="190"/>
    <n v="0"/>
    <s v="insertIfAbsent"/>
    <n v="999807999772"/>
    <n v="999601"/>
    <n v="999807999772"/>
    <n v="999601"/>
    <s v="success"/>
    <n v="48"/>
    <n v="999600"/>
    <n v="999601"/>
    <n v="1999201"/>
    <n v="999601"/>
    <n v="2"/>
    <n v="1"/>
    <n v="1.5"/>
    <n v="26.215299999999999"/>
    <n v="63974432"/>
    <m/>
    <m/>
    <m/>
    <n v="7424"/>
    <m/>
    <m/>
    <n v="574042310"/>
    <n v="0"/>
    <n v="382649716"/>
    <n v="574042310"/>
    <n v="956692026"/>
    <n v="71755288"/>
    <n v="0"/>
    <n v="47831214"/>
    <n v="71755288"/>
    <n v="119586503"/>
    <n v="16.9283"/>
    <n v="4.4226599999999996"/>
    <n v="4335.24"/>
    <n v="2460.39"/>
    <n v="1225"/>
    <n v="241"/>
    <x v="2"/>
    <x v="3"/>
  </r>
  <r>
    <s v="istree_exp5_numerical_stability_vs_time/step10026.txt"/>
    <x v="3"/>
    <m/>
    <s v="reclaimer_debra"/>
    <s v="allocator_new"/>
    <s v="pool_none"/>
    <n v="16000"/>
    <n v="20"/>
    <n v="20"/>
    <n v="0"/>
    <n v="1"/>
    <n v="2000000"/>
    <n v="190"/>
    <n v="190"/>
    <n v="190"/>
    <n v="0"/>
    <s v="insertIfAbsent"/>
    <n v="1000287112282"/>
    <n v="1000346"/>
    <n v="1000287112282"/>
    <n v="1000346"/>
    <s v="success"/>
    <n v="52"/>
    <n v="1000345"/>
    <n v="1000346"/>
    <n v="2000691"/>
    <n v="1000346"/>
    <n v="2"/>
    <n v="1"/>
    <n v="1.5"/>
    <n v="27.178100000000001"/>
    <n v="64022112"/>
    <m/>
    <m/>
    <m/>
    <n v="14770"/>
    <m/>
    <m/>
    <n v="1176421097"/>
    <n v="0"/>
    <n v="784269250"/>
    <n v="1176421097"/>
    <n v="1960690347"/>
    <n v="73526318"/>
    <n v="0"/>
    <n v="49016828"/>
    <n v="73526318"/>
    <n v="122543146"/>
    <n v="16.6051"/>
    <n v="4.3795700000000002"/>
    <n v="4269.83"/>
    <n v="2449.66"/>
    <n v="1222"/>
    <n v="304"/>
    <x v="2"/>
    <x v="4"/>
  </r>
  <r>
    <s v="istree_exp5_numerical_stability_vs_time/step10027.txt"/>
    <x v="3"/>
    <m/>
    <s v="reclaimer_debra"/>
    <s v="allocator_new"/>
    <s v="pool_none"/>
    <n v="32000"/>
    <n v="20"/>
    <n v="20"/>
    <n v="0"/>
    <n v="1"/>
    <n v="2000000"/>
    <n v="190"/>
    <n v="190"/>
    <n v="190"/>
    <n v="0"/>
    <s v="insertIfAbsent"/>
    <n v="1000157620029"/>
    <n v="1000214"/>
    <n v="1000157620029"/>
    <n v="1000214"/>
    <s v="success"/>
    <n v="46"/>
    <n v="1000213"/>
    <n v="1000214"/>
    <n v="2000427"/>
    <n v="1000214"/>
    <n v="2"/>
    <n v="1"/>
    <n v="1.5"/>
    <n v="26.583500000000001"/>
    <n v="64013664"/>
    <m/>
    <m/>
    <m/>
    <n v="29324"/>
    <m/>
    <m/>
    <n v="2366995195"/>
    <n v="0"/>
    <n v="1578037494"/>
    <n v="2366995195"/>
    <n v="3945032689"/>
    <n v="73968599"/>
    <n v="0"/>
    <n v="49313671"/>
    <n v="73968599"/>
    <n v="123282271"/>
    <n v="16.770600000000002"/>
    <n v="4.3413700000000004"/>
    <n v="4266.46"/>
    <n v="2444.4699999999998"/>
    <n v="1223"/>
    <n v="254"/>
    <x v="2"/>
    <x v="5"/>
  </r>
  <r>
    <s v="istree_exp5_numerical_stability_vs_time/step10028.txt"/>
    <x v="3"/>
    <m/>
    <s v="reclaimer_debra"/>
    <s v="allocator_new"/>
    <s v="pool_none"/>
    <n v="64000"/>
    <n v="20"/>
    <n v="20"/>
    <n v="0"/>
    <n v="1"/>
    <n v="2000000"/>
    <n v="190"/>
    <n v="190"/>
    <n v="190"/>
    <n v="0"/>
    <s v="insertIfAbsent"/>
    <n v="1000333650880"/>
    <n v="1000628"/>
    <n v="1000333650880"/>
    <n v="1000628"/>
    <s v="success"/>
    <n v="49"/>
    <n v="1000627"/>
    <n v="1000628"/>
    <n v="2001255"/>
    <n v="1000628"/>
    <n v="2"/>
    <n v="1"/>
    <n v="1.5"/>
    <n v="25.703199999999999"/>
    <n v="64040160"/>
    <m/>
    <m/>
    <m/>
    <n v="57918"/>
    <m/>
    <m/>
    <n v="4712762493"/>
    <n v="0"/>
    <n v="3141769491"/>
    <n v="4712762493"/>
    <n v="7854531984"/>
    <n v="73636913"/>
    <n v="0"/>
    <n v="49090148"/>
    <n v="73636913"/>
    <n v="122727062"/>
    <n v="16.810199999999998"/>
    <n v="4.32925"/>
    <n v="4296.84"/>
    <n v="2477.4"/>
    <n v="1236"/>
    <n v="313"/>
    <x v="2"/>
    <x v="6"/>
  </r>
  <r>
    <s v="istree_exp5_numerical_stability_vs_time/step10029.txt"/>
    <x v="0"/>
    <n v="72"/>
    <s v="reclaimer_debra"/>
    <s v="allocator_new"/>
    <s v="pool_none"/>
    <n v="1000"/>
    <n v="20"/>
    <n v="20"/>
    <n v="0"/>
    <n v="1"/>
    <n v="20000000"/>
    <n v="190"/>
    <n v="190"/>
    <n v="190"/>
    <n v="0"/>
    <s v="insertIfAbsent"/>
    <n v="99991105080495"/>
    <n v="9999069"/>
    <n v="99991105080495"/>
    <n v="9999069"/>
    <s v="success"/>
    <n v="7"/>
    <n v="1840270"/>
    <n v="11883211"/>
    <n v="13723481"/>
    <n v="9999069"/>
    <n v="7.4573200000000002"/>
    <n v="0.841445"/>
    <n v="1.72861"/>
    <n v="4.0429500000000003"/>
    <n v="337359408"/>
    <s v="26 22152 186785 4813923 11879"/>
    <s v="7 22141 186622 4813684 11879"/>
    <n v="89965"/>
    <n v="684"/>
    <m/>
    <m/>
    <n v="54612617"/>
    <n v="0"/>
    <n v="36402308"/>
    <n v="54612617"/>
    <n v="91014925"/>
    <n v="54612617"/>
    <n v="0"/>
    <n v="36402308"/>
    <n v="54612617"/>
    <n v="91014925"/>
    <n v="28.284700000000001"/>
    <n v="14.891299999999999"/>
    <n v="5100.63"/>
    <n v="3490.61"/>
    <n v="2847"/>
    <n v="369"/>
    <x v="0"/>
    <x v="0"/>
  </r>
  <r>
    <s v="istree_exp5_numerical_stability_vs_time/step10030.txt"/>
    <x v="0"/>
    <n v="72"/>
    <s v="reclaimer_debra"/>
    <s v="allocator_new"/>
    <s v="pool_none"/>
    <n v="2000"/>
    <n v="20"/>
    <n v="20"/>
    <n v="0"/>
    <n v="1"/>
    <n v="20000000"/>
    <n v="190"/>
    <n v="190"/>
    <n v="190"/>
    <n v="0"/>
    <s v="insertIfAbsent"/>
    <n v="99979685000077"/>
    <n v="9998706"/>
    <n v="99979685000077"/>
    <n v="9998706"/>
    <s v="success"/>
    <n v="7"/>
    <n v="1625824"/>
    <n v="11441132"/>
    <n v="13066956"/>
    <n v="9998706"/>
    <n v="8.0371299999999994"/>
    <n v="0.87392599999999998"/>
    <n v="1.76519"/>
    <n v="4.0000099999999996"/>
    <n v="313124016"/>
    <s v="75 47454 399987 10037095 25207"/>
    <s v="15 47443 399653 10036605 25207"/>
    <n v="191457"/>
    <n v="1418"/>
    <m/>
    <m/>
    <n v="112489421"/>
    <n v="0"/>
    <n v="75000987"/>
    <n v="112489421"/>
    <n v="187490408"/>
    <n v="56244710"/>
    <n v="0"/>
    <n v="37500493"/>
    <n v="56244710"/>
    <n v="93745204"/>
    <n v="28.630099999999999"/>
    <n v="15.203200000000001"/>
    <n v="5217.87"/>
    <n v="3584.02"/>
    <n v="2889"/>
    <n v="403"/>
    <x v="0"/>
    <x v="1"/>
  </r>
  <r>
    <s v="istree_exp5_numerical_stability_vs_time/step10031.txt"/>
    <x v="0"/>
    <n v="72"/>
    <s v="reclaimer_debra"/>
    <s v="allocator_new"/>
    <s v="pool_none"/>
    <n v="4000"/>
    <n v="20"/>
    <n v="20"/>
    <n v="0"/>
    <n v="1"/>
    <n v="20000000"/>
    <n v="190"/>
    <n v="190"/>
    <n v="190"/>
    <n v="0"/>
    <s v="insertIfAbsent"/>
    <n v="99973301774279"/>
    <n v="9995631"/>
    <n v="99973301774279"/>
    <n v="9995631"/>
    <s v="success"/>
    <n v="7"/>
    <n v="1778977"/>
    <n v="11764077"/>
    <n v="13543054"/>
    <n v="9995631"/>
    <n v="7.6128299999999998"/>
    <n v="0.84967400000000004"/>
    <n v="1.7380599999999999"/>
    <n v="4.0307599999999999"/>
    <n v="330563712"/>
    <s v="110 96693 822209 20600330 51302"/>
    <s v="30 96646 821485 20599363 51301"/>
    <n v="386205"/>
    <n v="2912"/>
    <m/>
    <m/>
    <n v="230488626"/>
    <n v="0"/>
    <n v="153650310"/>
    <n v="230488626"/>
    <n v="384138936"/>
    <n v="57622156"/>
    <n v="0"/>
    <n v="38412577"/>
    <n v="57622156"/>
    <n v="96034734"/>
    <n v="28.456499999999998"/>
    <n v="15.192"/>
    <n v="5241.63"/>
    <n v="3605.78"/>
    <n v="2903"/>
    <n v="348"/>
    <x v="0"/>
    <x v="2"/>
  </r>
  <r>
    <s v="istree_exp5_numerical_stability_vs_time/step10032.txt"/>
    <x v="0"/>
    <n v="72"/>
    <s v="reclaimer_debra"/>
    <s v="allocator_new"/>
    <s v="pool_none"/>
    <n v="8000"/>
    <n v="20"/>
    <n v="20"/>
    <n v="0"/>
    <n v="1"/>
    <n v="20000000"/>
    <n v="190"/>
    <n v="190"/>
    <n v="190"/>
    <n v="0"/>
    <s v="insertIfAbsent"/>
    <n v="100063812733478"/>
    <n v="10001367"/>
    <n v="100063812733478"/>
    <n v="10001367"/>
    <s v="success"/>
    <n v="7"/>
    <n v="1836446"/>
    <n v="11892221"/>
    <n v="13728667"/>
    <n v="10001367"/>
    <n v="7.47567"/>
    <n v="0.841001"/>
    <n v="1.7284999999999999"/>
    <n v="4.0418900000000004"/>
    <n v="337222112"/>
    <s v="216 193906 1642589 41314047 103679"/>
    <s v="61 193842 1641155 41312067 103676"/>
    <n v="782804"/>
    <n v="5898"/>
    <m/>
    <m/>
    <n v="462570691"/>
    <n v="0"/>
    <n v="308385081"/>
    <n v="462570691"/>
    <n v="770955772"/>
    <n v="57821336"/>
    <n v="0"/>
    <n v="38548135"/>
    <n v="57821336"/>
    <n v="96369471"/>
    <n v="28.550599999999999"/>
    <n v="15.253"/>
    <n v="5267.61"/>
    <n v="3619.82"/>
    <n v="2919"/>
    <n v="408"/>
    <x v="0"/>
    <x v="3"/>
  </r>
  <r>
    <s v="istree_exp5_numerical_stability_vs_time/step10033.txt"/>
    <x v="0"/>
    <n v="72"/>
    <s v="reclaimer_debra"/>
    <s v="allocator_new"/>
    <s v="pool_none"/>
    <n v="16000"/>
    <n v="20"/>
    <n v="20"/>
    <n v="0"/>
    <n v="1"/>
    <n v="20000000"/>
    <n v="190"/>
    <n v="190"/>
    <n v="190"/>
    <n v="0"/>
    <s v="insertIfAbsent"/>
    <n v="99987057406283"/>
    <n v="9998791"/>
    <n v="99987057406283"/>
    <n v="9998791"/>
    <s v="success"/>
    <n v="7"/>
    <n v="1853805"/>
    <n v="11925058"/>
    <n v="13778863"/>
    <n v="9998791"/>
    <n v="7.4327500000000004"/>
    <n v="0.83846900000000002"/>
    <n v="1.72566"/>
    <n v="4.0454699999999999"/>
    <n v="339139760"/>
    <s v="431 389836 3297211 82803006 208108"/>
    <s v="123 389712 3294446 82799194 208102"/>
    <n v="1552418"/>
    <n v="11826"/>
    <m/>
    <m/>
    <n v="927247990"/>
    <n v="0"/>
    <n v="618221737"/>
    <n v="927247990"/>
    <n v="1545469727"/>
    <n v="57952999"/>
    <n v="0"/>
    <n v="38638858"/>
    <n v="57952999"/>
    <n v="96591857"/>
    <n v="28.587199999999999"/>
    <n v="15.2799"/>
    <n v="5290.53"/>
    <n v="3641.57"/>
    <n v="2932"/>
    <n v="397"/>
    <x v="0"/>
    <x v="4"/>
  </r>
  <r>
    <s v="istree_exp5_numerical_stability_vs_time/step10034.txt"/>
    <x v="0"/>
    <n v="72"/>
    <s v="reclaimer_debra"/>
    <s v="allocator_new"/>
    <s v="pool_none"/>
    <n v="32000"/>
    <n v="20"/>
    <n v="20"/>
    <n v="0"/>
    <n v="1"/>
    <n v="20000000"/>
    <n v="190"/>
    <n v="190"/>
    <n v="190"/>
    <n v="0"/>
    <s v="insertIfAbsent"/>
    <n v="100003500212019"/>
    <n v="10000581"/>
    <n v="100003500212019"/>
    <n v="10000581"/>
    <s v="success"/>
    <n v="7"/>
    <n v="1853576"/>
    <n v="11927070"/>
    <n v="13780646"/>
    <n v="10000581"/>
    <n v="7.4346300000000003"/>
    <n v="0.83847799999999995"/>
    <n v="1.7257"/>
    <n v="4.0453700000000001"/>
    <n v="339153104"/>
    <s v="895 782175 6606973 165778383 414831"/>
    <s v="247 781894 6601249 165770524 414823"/>
    <n v="3128147"/>
    <n v="23678"/>
    <m/>
    <m/>
    <n v="1857253302"/>
    <n v="0"/>
    <n v="1238138870"/>
    <n v="1857253302"/>
    <n v="3095392172"/>
    <n v="58039165"/>
    <n v="0"/>
    <n v="38691839"/>
    <n v="58039165"/>
    <n v="96731005"/>
    <n v="28.6068"/>
    <n v="15.2986"/>
    <n v="5296.83"/>
    <n v="3646.59"/>
    <n v="2944"/>
    <n v="382"/>
    <x v="0"/>
    <x v="5"/>
  </r>
  <r>
    <s v="istree_exp5_numerical_stability_vs_time/step10035.txt"/>
    <x v="0"/>
    <n v="72"/>
    <s v="reclaimer_debra"/>
    <s v="allocator_new"/>
    <s v="pool_none"/>
    <n v="64000"/>
    <n v="20"/>
    <n v="20"/>
    <n v="0"/>
    <n v="1"/>
    <n v="20000000"/>
    <n v="190"/>
    <n v="190"/>
    <n v="190"/>
    <n v="0"/>
    <s v="insertIfAbsent"/>
    <n v="100015855717221"/>
    <n v="9999402"/>
    <n v="100015855717221"/>
    <n v="9999402"/>
    <s v="success"/>
    <n v="7"/>
    <n v="1896832"/>
    <n v="12008483"/>
    <n v="13905315"/>
    <n v="9999402"/>
    <n v="7.3308099999999996"/>
    <n v="0.83269499999999996"/>
    <n v="1.7191099999999999"/>
    <n v="4.0543199999999997"/>
    <n v="343906176"/>
    <s v="1801 1559796 13149237 330225587 830044"/>
    <s v="493 1559268 13137919 330210126 830032"/>
    <n v="6226784"/>
    <n v="47134"/>
    <m/>
    <m/>
    <n v="3700724656"/>
    <n v="0"/>
    <n v="2467099781"/>
    <n v="3700724656"/>
    <n v="6167824437"/>
    <n v="57823822"/>
    <n v="0"/>
    <n v="38548434"/>
    <n v="57823822"/>
    <n v="96372256"/>
    <n v="28.649799999999999"/>
    <n v="15.313599999999999"/>
    <n v="5323.42"/>
    <n v="3664.55"/>
    <n v="2967"/>
    <n v="378"/>
    <x v="0"/>
    <x v="6"/>
  </r>
  <r>
    <s v="istree_exp5_numerical_stability_vs_time/step10036.txt"/>
    <x v="2"/>
    <n v="208"/>
    <s v="reclaimer_debra"/>
    <s v="allocator_new"/>
    <s v="pool_none"/>
    <n v="1000"/>
    <n v="20"/>
    <n v="20"/>
    <n v="0"/>
    <n v="1"/>
    <n v="20000000"/>
    <n v="190"/>
    <n v="190"/>
    <n v="190"/>
    <n v="0"/>
    <s v="insertIfAbsent"/>
    <n v="99980069736669"/>
    <n v="9998275"/>
    <n v="99980069736669"/>
    <n v="9998275"/>
    <s v="success"/>
    <n v="9"/>
    <n v="242920"/>
    <n v="1669975"/>
    <n v="1912895"/>
    <n v="9998275"/>
    <n v="7.8745900000000004"/>
    <n v="5.9870799999999997"/>
    <n v="6.2267799999999998"/>
    <n v="8"/>
    <n v="397882160"/>
    <m/>
    <m/>
    <m/>
    <s v="572 1564"/>
    <m/>
    <m/>
    <n v="73898858"/>
    <n v="0"/>
    <n v="49276323"/>
    <n v="73898858"/>
    <n v="123175181"/>
    <n v="73898858"/>
    <n v="0"/>
    <n v="49276323"/>
    <n v="73898858"/>
    <n v="123175181"/>
    <n v="22.166499999999999"/>
    <n v="8.6886299999999999"/>
    <n v="4097.3"/>
    <n v="2277.88"/>
    <n v="2061"/>
    <n v="921"/>
    <x v="0"/>
    <x v="0"/>
  </r>
  <r>
    <s v="istree_exp5_numerical_stability_vs_time/step10037.txt"/>
    <x v="2"/>
    <n v="208"/>
    <s v="reclaimer_debra"/>
    <s v="allocator_new"/>
    <s v="pool_none"/>
    <n v="2000"/>
    <n v="20"/>
    <n v="20"/>
    <n v="0"/>
    <n v="1"/>
    <n v="20000000"/>
    <n v="190"/>
    <n v="190"/>
    <n v="190"/>
    <n v="0"/>
    <s v="insertIfAbsent"/>
    <n v="100047162514296"/>
    <n v="10001560"/>
    <n v="100047162514296"/>
    <n v="10001560"/>
    <s v="success"/>
    <n v="9"/>
    <n v="262890"/>
    <n v="1797257"/>
    <n v="2060147"/>
    <n v="10001560"/>
    <n v="7.8365400000000003"/>
    <n v="5.5648999999999997"/>
    <n v="5.8547799999999999"/>
    <n v="8"/>
    <n v="428510576"/>
    <m/>
    <m/>
    <m/>
    <s v="540 2556"/>
    <m/>
    <m/>
    <n v="150519199"/>
    <n v="0"/>
    <n v="100350125"/>
    <n v="150519199"/>
    <n v="250869324"/>
    <n v="75259599"/>
    <n v="0"/>
    <n v="50175062"/>
    <n v="75259599"/>
    <n v="125434662"/>
    <n v="22.279299999999999"/>
    <n v="8.7486099999999993"/>
    <n v="4108.1899999999996"/>
    <n v="2300.96"/>
    <n v="2111"/>
    <n v="886"/>
    <x v="0"/>
    <x v="1"/>
  </r>
  <r>
    <s v="istree_exp5_numerical_stability_vs_time/step10038.txt"/>
    <x v="2"/>
    <n v="208"/>
    <s v="reclaimer_debra"/>
    <s v="allocator_new"/>
    <s v="pool_none"/>
    <n v="4000"/>
    <n v="20"/>
    <n v="20"/>
    <n v="0"/>
    <n v="1"/>
    <n v="20000000"/>
    <n v="190"/>
    <n v="190"/>
    <n v="190"/>
    <n v="0"/>
    <s v="insertIfAbsent"/>
    <n v="100064297867534"/>
    <n v="10004330"/>
    <n v="100064297867534"/>
    <n v="10004330"/>
    <s v="success"/>
    <n v="9"/>
    <n v="281683"/>
    <n v="1903026"/>
    <n v="2184709"/>
    <n v="10004330"/>
    <n v="7.7559100000000001"/>
    <n v="5.2570600000000001"/>
    <n v="5.57925"/>
    <n v="8"/>
    <n v="454419472"/>
    <m/>
    <m/>
    <m/>
    <s v="624 4562"/>
    <m/>
    <m/>
    <n v="298314801"/>
    <n v="0"/>
    <n v="198915782"/>
    <n v="298314801"/>
    <n v="497230583"/>
    <n v="74578700"/>
    <n v="0"/>
    <n v="49728945"/>
    <n v="74578700"/>
    <n v="124307645"/>
    <n v="22.4285"/>
    <n v="8.8740600000000001"/>
    <n v="4171.8999999999996"/>
    <n v="2340.58"/>
    <n v="2194"/>
    <n v="959"/>
    <x v="0"/>
    <x v="2"/>
  </r>
  <r>
    <s v="istree_exp5_numerical_stability_vs_time/step10039.txt"/>
    <x v="2"/>
    <n v="208"/>
    <s v="reclaimer_debra"/>
    <s v="allocator_new"/>
    <s v="pool_none"/>
    <n v="8000"/>
    <n v="20"/>
    <n v="20"/>
    <n v="0"/>
    <n v="1"/>
    <n v="20000000"/>
    <n v="190"/>
    <n v="190"/>
    <n v="190"/>
    <n v="0"/>
    <s v="insertIfAbsent"/>
    <n v="99965091570056"/>
    <n v="9996243"/>
    <n v="99965091570056"/>
    <n v="9996243"/>
    <s v="success"/>
    <n v="9"/>
    <n v="300382"/>
    <n v="1960853"/>
    <n v="2261235"/>
    <n v="9996243"/>
    <n v="7.5278600000000004"/>
    <n v="5.0979099999999997"/>
    <n v="5.4207000000000001"/>
    <n v="8"/>
    <n v="470336880"/>
    <m/>
    <m/>
    <m/>
    <s v="552 8332"/>
    <m/>
    <m/>
    <n v="597087141"/>
    <n v="0"/>
    <n v="398035187"/>
    <n v="597087141"/>
    <n v="995122328"/>
    <n v="74635892"/>
    <n v="0"/>
    <n v="49754398"/>
    <n v="74635892"/>
    <n v="124390291"/>
    <n v="22.589500000000001"/>
    <n v="8.9558700000000009"/>
    <n v="4194.76"/>
    <n v="2363.15"/>
    <n v="2244"/>
    <n v="918"/>
    <x v="0"/>
    <x v="3"/>
  </r>
  <r>
    <s v="istree_exp5_numerical_stability_vs_time/step10040.txt"/>
    <x v="2"/>
    <n v="208"/>
    <s v="reclaimer_debra"/>
    <s v="allocator_new"/>
    <s v="pool_none"/>
    <n v="16000"/>
    <n v="20"/>
    <n v="20"/>
    <n v="0"/>
    <n v="1"/>
    <n v="20000000"/>
    <n v="190"/>
    <n v="190"/>
    <n v="190"/>
    <n v="0"/>
    <s v="insertIfAbsent"/>
    <n v="100010488335326"/>
    <n v="10000574"/>
    <n v="100010488335326"/>
    <n v="10000574"/>
    <s v="success"/>
    <n v="9"/>
    <n v="315779"/>
    <n v="1962787"/>
    <n v="2278566"/>
    <n v="10000574"/>
    <n v="7.2157"/>
    <n v="5.0950899999999999"/>
    <n v="5.3889800000000001"/>
    <n v="8"/>
    <n v="473941728"/>
    <m/>
    <m/>
    <m/>
    <s v="608 16054"/>
    <m/>
    <m/>
    <n v="1186052873"/>
    <n v="0"/>
    <n v="790735500"/>
    <n v="1186052873"/>
    <n v="1976788373"/>
    <n v="74128304"/>
    <n v="0"/>
    <n v="49420968"/>
    <n v="74128304"/>
    <n v="123549273"/>
    <n v="22.694400000000002"/>
    <n v="9.0369100000000007"/>
    <n v="4232.55"/>
    <n v="2385.11"/>
    <n v="2171"/>
    <n v="901"/>
    <x v="0"/>
    <x v="4"/>
  </r>
  <r>
    <s v="istree_exp5_numerical_stability_vs_time/step10041.txt"/>
    <x v="2"/>
    <n v="208"/>
    <s v="reclaimer_debra"/>
    <s v="allocator_new"/>
    <s v="pool_none"/>
    <n v="32000"/>
    <n v="20"/>
    <n v="20"/>
    <n v="0"/>
    <n v="1"/>
    <n v="20000000"/>
    <n v="190"/>
    <n v="190"/>
    <n v="190"/>
    <n v="0"/>
    <s v="insertIfAbsent"/>
    <n v="100006669680235"/>
    <n v="10002243"/>
    <n v="100006669680235"/>
    <n v="10002243"/>
    <s v="success"/>
    <n v="9"/>
    <n v="328460"/>
    <n v="1954654"/>
    <n v="2283114"/>
    <n v="10002243"/>
    <n v="6.9509699999999999"/>
    <n v="5.11714"/>
    <n v="5.3809699999999996"/>
    <n v="8"/>
    <n v="474887712"/>
    <m/>
    <m/>
    <m/>
    <n v="31234"/>
    <m/>
    <m/>
    <n v="2365606762"/>
    <n v="0"/>
    <n v="1577046690"/>
    <n v="2365606762"/>
    <n v="3942653452"/>
    <n v="73925211"/>
    <n v="0"/>
    <n v="49282709"/>
    <n v="73925211"/>
    <n v="123207920"/>
    <n v="22.918500000000002"/>
    <n v="9.1149199999999997"/>
    <n v="4263.6899999999996"/>
    <n v="2404.1"/>
    <n v="2182"/>
    <n v="928"/>
    <x v="0"/>
    <x v="5"/>
  </r>
  <r>
    <s v="istree_exp5_numerical_stability_vs_time/step10042.txt"/>
    <x v="2"/>
    <n v="208"/>
    <s v="reclaimer_debra"/>
    <s v="allocator_new"/>
    <s v="pool_none"/>
    <n v="64000"/>
    <n v="20"/>
    <n v="20"/>
    <n v="0"/>
    <n v="1"/>
    <n v="20000000"/>
    <n v="190"/>
    <n v="190"/>
    <n v="190"/>
    <n v="0"/>
    <s v="insertIfAbsent"/>
    <n v="100009862837490"/>
    <n v="10003535"/>
    <n v="100009862837490"/>
    <n v="10003535"/>
    <s v="success"/>
    <n v="9"/>
    <n v="339312"/>
    <n v="1951451"/>
    <n v="2290763"/>
    <n v="10003535"/>
    <n v="6.7511999999999999"/>
    <n v="5.1261999999999999"/>
    <n v="5.3669000000000002"/>
    <n v="8"/>
    <n v="476478704"/>
    <m/>
    <m/>
    <m/>
    <s v="628 61940"/>
    <m/>
    <m/>
    <n v="4707574710"/>
    <n v="0"/>
    <n v="3138429743"/>
    <n v="4707574710"/>
    <n v="7846004453"/>
    <n v="73555854"/>
    <n v="0"/>
    <n v="49037964"/>
    <n v="73555854"/>
    <n v="122593819"/>
    <n v="22.851700000000001"/>
    <n v="9.1450099999999992"/>
    <n v="4281.8599999999997"/>
    <n v="2412.5700000000002"/>
    <n v="2182"/>
    <n v="895"/>
    <x v="0"/>
    <x v="6"/>
  </r>
  <r>
    <s v="istree_exp5_numerical_stability_vs_time/step10043.txt"/>
    <x v="1"/>
    <m/>
    <s v="reclaimer_debra"/>
    <s v="allocator_new"/>
    <s v="pool_none"/>
    <n v="1000"/>
    <n v="20"/>
    <n v="20"/>
    <n v="0"/>
    <n v="1"/>
    <n v="20000000"/>
    <n v="190"/>
    <n v="190"/>
    <n v="190"/>
    <n v="0"/>
    <s v="insertIfAbsent"/>
    <n v="99946296292876"/>
    <n v="9995457"/>
    <n v="99946296292876"/>
    <n v="9995457"/>
    <s v="success"/>
    <n v="29"/>
    <n v="6692314"/>
    <n v="5070415"/>
    <n v="11762729"/>
    <n v="9995457"/>
    <n v="1.7576499999999999"/>
    <n v="1.97133"/>
    <n v="1.8497600000000001"/>
    <n v="23.180700000000002"/>
    <n v="658712824"/>
    <m/>
    <m/>
    <m/>
    <s v="168 742"/>
    <m/>
    <m/>
    <n v="58021244"/>
    <n v="0"/>
    <n v="38673412"/>
    <n v="58021244"/>
    <n v="96694656"/>
    <n v="58021244"/>
    <n v="0"/>
    <n v="38673412"/>
    <n v="58021244"/>
    <n v="96694656"/>
    <n v="31.325600000000001"/>
    <n v="11.5106"/>
    <n v="5415.02"/>
    <n v="3829.26"/>
    <n v="1951"/>
    <n v="439"/>
    <x v="0"/>
    <x v="0"/>
  </r>
  <r>
    <s v="istree_exp5_numerical_stability_vs_time/step10044.txt"/>
    <x v="1"/>
    <m/>
    <s v="reclaimer_debra"/>
    <s v="allocator_new"/>
    <s v="pool_none"/>
    <n v="2000"/>
    <n v="20"/>
    <n v="20"/>
    <n v="0"/>
    <n v="1"/>
    <n v="20000000"/>
    <n v="190"/>
    <n v="190"/>
    <n v="190"/>
    <n v="0"/>
    <s v="insertIfAbsent"/>
    <n v="100000439755417"/>
    <n v="10001127"/>
    <n v="100000439755417"/>
    <n v="10001127"/>
    <s v="success"/>
    <n v="29"/>
    <n v="6834372"/>
    <n v="5182429"/>
    <n v="12016801"/>
    <n v="10001127"/>
    <n v="1.7582899999999999"/>
    <n v="1.92981"/>
    <n v="1.83226"/>
    <n v="23.2166"/>
    <n v="672940856"/>
    <m/>
    <m/>
    <m/>
    <s v="172 1306"/>
    <m/>
    <m/>
    <n v="114459441"/>
    <n v="0"/>
    <n v="76320482"/>
    <n v="114459441"/>
    <n v="190779923"/>
    <n v="57229720"/>
    <n v="0"/>
    <n v="38160241"/>
    <n v="57229720"/>
    <n v="95389961"/>
    <n v="31.751999999999999"/>
    <n v="11.638"/>
    <n v="5520.76"/>
    <n v="3898.23"/>
    <n v="2054"/>
    <n v="445"/>
    <x v="0"/>
    <x v="1"/>
  </r>
  <r>
    <s v="istree_exp5_numerical_stability_vs_time/step10045.txt"/>
    <x v="1"/>
    <m/>
    <s v="reclaimer_debra"/>
    <s v="allocator_new"/>
    <s v="pool_none"/>
    <n v="4000"/>
    <n v="20"/>
    <n v="20"/>
    <n v="0"/>
    <n v="1"/>
    <n v="20000000"/>
    <n v="190"/>
    <n v="190"/>
    <n v="190"/>
    <n v="0"/>
    <s v="insertIfAbsent"/>
    <n v="99998229509457"/>
    <n v="9998597"/>
    <n v="99998229509457"/>
    <n v="9998597"/>
    <s v="success"/>
    <n v="29"/>
    <n v="6857785"/>
    <n v="5201181"/>
    <n v="12058966"/>
    <n v="9998597"/>
    <n v="1.7584299999999999"/>
    <n v="1.9223699999999999"/>
    <n v="1.82914"/>
    <n v="23.255700000000001"/>
    <n v="675302096"/>
    <m/>
    <m/>
    <m/>
    <s v="162 2404"/>
    <m/>
    <m/>
    <n v="228026782"/>
    <n v="0"/>
    <n v="152014283"/>
    <n v="228026782"/>
    <n v="380041065"/>
    <n v="57006695"/>
    <n v="0"/>
    <n v="38003570"/>
    <n v="57006695"/>
    <n v="95010266"/>
    <n v="31.7654"/>
    <n v="11.776199999999999"/>
    <n v="5557.47"/>
    <n v="3960.11"/>
    <n v="2195"/>
    <n v="432"/>
    <x v="0"/>
    <x v="2"/>
  </r>
  <r>
    <s v="istree_exp5_numerical_stability_vs_time/step10046.txt"/>
    <x v="1"/>
    <m/>
    <s v="reclaimer_debra"/>
    <s v="allocator_new"/>
    <s v="pool_none"/>
    <n v="8000"/>
    <n v="20"/>
    <n v="20"/>
    <n v="0"/>
    <n v="1"/>
    <n v="20000000"/>
    <n v="190"/>
    <n v="190"/>
    <n v="190"/>
    <n v="0"/>
    <s v="insertIfAbsent"/>
    <n v="99982452220171"/>
    <n v="9999308"/>
    <n v="99982452220171"/>
    <n v="9999308"/>
    <s v="success"/>
    <n v="29"/>
    <n v="6857771"/>
    <n v="5204094"/>
    <n v="12061865"/>
    <n v="9999308"/>
    <n v="1.7588600000000001"/>
    <n v="1.92143"/>
    <n v="1.829"/>
    <n v="23.252099999999999"/>
    <n v="675464440"/>
    <m/>
    <m/>
    <m/>
    <s v="164 4598"/>
    <m/>
    <m/>
    <n v="450814624"/>
    <n v="0"/>
    <n v="300510917"/>
    <n v="450814624"/>
    <n v="751325541"/>
    <n v="56351828"/>
    <n v="0"/>
    <n v="37563864"/>
    <n v="56351828"/>
    <n v="93915692"/>
    <n v="32.0533"/>
    <n v="11.9438"/>
    <n v="5622.54"/>
    <n v="4031.87"/>
    <n v="2343"/>
    <n v="426"/>
    <x v="0"/>
    <x v="3"/>
  </r>
  <r>
    <s v="istree_exp5_numerical_stability_vs_time/step10047.txt"/>
    <x v="1"/>
    <m/>
    <s v="reclaimer_debra"/>
    <s v="allocator_new"/>
    <s v="pool_none"/>
    <n v="16000"/>
    <n v="20"/>
    <n v="20"/>
    <n v="0"/>
    <n v="1"/>
    <n v="20000000"/>
    <n v="190"/>
    <n v="190"/>
    <n v="190"/>
    <n v="0"/>
    <s v="insertIfAbsent"/>
    <n v="100048470791976"/>
    <n v="10005066"/>
    <n v="100048470791976"/>
    <n v="10005066"/>
    <s v="success"/>
    <n v="29"/>
    <n v="6859900"/>
    <n v="5204749"/>
    <n v="12064649"/>
    <n v="10005066"/>
    <n v="1.7587200000000001"/>
    <n v="1.9222999999999999"/>
    <n v="1.8292900000000001"/>
    <n v="23.257899999999999"/>
    <n v="675620344"/>
    <m/>
    <m/>
    <m/>
    <n v="8906"/>
    <m/>
    <m/>
    <n v="890081600"/>
    <n v="0"/>
    <n v="593435106"/>
    <n v="890081600"/>
    <n v="1483516706"/>
    <n v="55630100"/>
    <n v="0"/>
    <n v="37089694"/>
    <n v="55630100"/>
    <n v="92719794"/>
    <n v="32.427300000000002"/>
    <n v="12.133699999999999"/>
    <n v="5694.61"/>
    <n v="4086.36"/>
    <n v="2458"/>
    <n v="431"/>
    <x v="0"/>
    <x v="4"/>
  </r>
  <r>
    <s v="istree_exp5_numerical_stability_vs_time/step10048.txt"/>
    <x v="1"/>
    <m/>
    <s v="reclaimer_debra"/>
    <s v="allocator_new"/>
    <s v="pool_none"/>
    <n v="32000"/>
    <n v="20"/>
    <n v="20"/>
    <n v="0"/>
    <n v="1"/>
    <n v="20000000"/>
    <n v="190"/>
    <n v="190"/>
    <n v="190"/>
    <n v="0"/>
    <s v="insertIfAbsent"/>
    <n v="100028766371383"/>
    <n v="10000980"/>
    <n v="100028766371383"/>
    <n v="10000980"/>
    <s v="success"/>
    <n v="29"/>
    <n v="6859630"/>
    <n v="5204147"/>
    <n v="12063777"/>
    <n v="10000980"/>
    <n v="1.7586599999999999"/>
    <n v="1.9217299999999999"/>
    <n v="1.82901"/>
    <n v="23.223500000000001"/>
    <n v="675571512"/>
    <m/>
    <m/>
    <m/>
    <s v="166 17376"/>
    <m/>
    <m/>
    <n v="1753956810"/>
    <n v="0"/>
    <n v="1169328485"/>
    <n v="1753956810"/>
    <n v="2923285295"/>
    <n v="54811150"/>
    <n v="0"/>
    <n v="36541515"/>
    <n v="54811150"/>
    <n v="91352665"/>
    <n v="33.162100000000002"/>
    <n v="12.298"/>
    <n v="5781.91"/>
    <n v="4160.7299999999996"/>
    <n v="2511"/>
    <n v="438"/>
    <x v="0"/>
    <x v="5"/>
  </r>
  <r>
    <s v="istree_exp5_numerical_stability_vs_time/step10049.txt"/>
    <x v="1"/>
    <m/>
    <s v="reclaimer_debra"/>
    <s v="allocator_new"/>
    <s v="pool_none"/>
    <n v="64000"/>
    <n v="20"/>
    <n v="20"/>
    <n v="0"/>
    <n v="1"/>
    <n v="20000000"/>
    <n v="190"/>
    <n v="190"/>
    <n v="190"/>
    <n v="0"/>
    <s v="insertIfAbsent"/>
    <n v="100050947059376"/>
    <n v="10004230"/>
    <n v="100050947059376"/>
    <n v="10004230"/>
    <s v="success"/>
    <n v="29"/>
    <n v="6860690"/>
    <n v="5204008"/>
    <n v="12064698"/>
    <n v="10004230"/>
    <n v="1.7585299999999999"/>
    <n v="1.92241"/>
    <n v="1.8292200000000001"/>
    <n v="23.217700000000001"/>
    <n v="675623088"/>
    <m/>
    <m/>
    <m/>
    <s v="166 34384"/>
    <m/>
    <m/>
    <n v="3496294527"/>
    <n v="0"/>
    <n v="2330838264"/>
    <n v="3496294527"/>
    <n v="5827132791"/>
    <n v="54629601"/>
    <n v="0"/>
    <n v="36419347"/>
    <n v="54629601"/>
    <n v="91048949"/>
    <n v="33.084699999999998"/>
    <n v="12.433999999999999"/>
    <n v="5804.29"/>
    <n v="4183.6400000000003"/>
    <n v="2533"/>
    <n v="454"/>
    <x v="0"/>
    <x v="6"/>
  </r>
  <r>
    <s v="istree_exp5_numerical_stability_vs_time/step10050.txt"/>
    <x v="3"/>
    <m/>
    <s v="reclaimer_debra"/>
    <s v="allocator_new"/>
    <s v="pool_none"/>
    <n v="1000"/>
    <n v="20"/>
    <n v="20"/>
    <n v="0"/>
    <n v="1"/>
    <n v="20000000"/>
    <n v="190"/>
    <n v="190"/>
    <n v="190"/>
    <n v="0"/>
    <s v="insertIfAbsent"/>
    <n v="99948460232027"/>
    <n v="9994445"/>
    <n v="99948460232027"/>
    <n v="9994445"/>
    <s v="success"/>
    <n v="61"/>
    <n v="9994444"/>
    <n v="9994445"/>
    <n v="19988889"/>
    <n v="9994445"/>
    <n v="2"/>
    <n v="1"/>
    <n v="1.5"/>
    <n v="31.4498"/>
    <n v="639644448"/>
    <m/>
    <m/>
    <m/>
    <s v="154 668"/>
    <m/>
    <m/>
    <n v="41336884"/>
    <n v="0"/>
    <n v="27555795"/>
    <n v="41336884"/>
    <n v="68892679"/>
    <n v="41336884"/>
    <n v="0"/>
    <n v="27555795"/>
    <n v="41336884"/>
    <n v="68892679"/>
    <n v="27.9985"/>
    <n v="11.261799999999999"/>
    <n v="7553.01"/>
    <n v="4995.1400000000003"/>
    <n v="1932"/>
    <n v="415"/>
    <x v="0"/>
    <x v="0"/>
  </r>
  <r>
    <s v="istree_exp5_numerical_stability_vs_time/step10051.txt"/>
    <x v="3"/>
    <m/>
    <s v="reclaimer_debra"/>
    <s v="allocator_new"/>
    <s v="pool_none"/>
    <n v="2000"/>
    <n v="20"/>
    <n v="20"/>
    <n v="0"/>
    <n v="1"/>
    <n v="20000000"/>
    <n v="190"/>
    <n v="190"/>
    <n v="190"/>
    <n v="0"/>
    <s v="insertIfAbsent"/>
    <n v="99972750261724"/>
    <n v="9998717"/>
    <n v="99972750261724"/>
    <n v="9998717"/>
    <s v="success"/>
    <n v="57"/>
    <n v="9998716"/>
    <n v="9998717"/>
    <n v="19997433"/>
    <n v="9998717"/>
    <n v="2"/>
    <n v="1"/>
    <n v="1.5"/>
    <n v="30.2866"/>
    <n v="639917856"/>
    <m/>
    <m/>
    <m/>
    <n v="1148"/>
    <m/>
    <m/>
    <n v="84542604"/>
    <n v="0"/>
    <n v="56373398"/>
    <n v="84542604"/>
    <n v="140916002"/>
    <n v="42271302"/>
    <n v="0"/>
    <n v="28186699"/>
    <n v="42271302"/>
    <n v="70458001"/>
    <n v="28.409700000000001"/>
    <n v="11.480700000000001"/>
    <n v="7444.13"/>
    <n v="5089.08"/>
    <n v="2059"/>
    <n v="414"/>
    <x v="0"/>
    <x v="1"/>
  </r>
  <r>
    <s v="istree_exp5_numerical_stability_vs_time/step10052.txt"/>
    <x v="3"/>
    <m/>
    <s v="reclaimer_debra"/>
    <s v="allocator_new"/>
    <s v="pool_none"/>
    <n v="4000"/>
    <n v="20"/>
    <n v="20"/>
    <n v="0"/>
    <n v="1"/>
    <n v="20000000"/>
    <n v="190"/>
    <n v="190"/>
    <n v="190"/>
    <n v="0"/>
    <s v="insertIfAbsent"/>
    <n v="99974942138631"/>
    <n v="9999081"/>
    <n v="99974942138631"/>
    <n v="9999081"/>
    <s v="success"/>
    <n v="58"/>
    <n v="9999080"/>
    <n v="9999081"/>
    <n v="19998161"/>
    <n v="9999081"/>
    <n v="2"/>
    <n v="1"/>
    <n v="1.5"/>
    <n v="30.3748"/>
    <n v="639941152"/>
    <m/>
    <m/>
    <m/>
    <s v="146 2096"/>
    <m/>
    <m/>
    <n v="174852534"/>
    <n v="0"/>
    <n v="116569817"/>
    <n v="174852534"/>
    <n v="291422351"/>
    <n v="43713133"/>
    <n v="0"/>
    <n v="29142454"/>
    <n v="43713133"/>
    <n v="72855587"/>
    <n v="28.701599999999999"/>
    <n v="11.7584"/>
    <n v="7231.8"/>
    <n v="5169.4399999999996"/>
    <n v="2212"/>
    <n v="425"/>
    <x v="0"/>
    <x v="2"/>
  </r>
  <r>
    <s v="istree_exp5_numerical_stability_vs_time/step10053.txt"/>
    <x v="3"/>
    <m/>
    <s v="reclaimer_debra"/>
    <s v="allocator_new"/>
    <s v="pool_none"/>
    <n v="8000"/>
    <n v="20"/>
    <n v="20"/>
    <n v="0"/>
    <n v="1"/>
    <n v="20000000"/>
    <n v="190"/>
    <n v="190"/>
    <n v="190"/>
    <n v="0"/>
    <s v="insertIfAbsent"/>
    <n v="100038670579846"/>
    <n v="10003639"/>
    <n v="100038670579846"/>
    <n v="10003639"/>
    <s v="success"/>
    <n v="59"/>
    <n v="10003638"/>
    <n v="10003639"/>
    <n v="20007277"/>
    <n v="10003639"/>
    <n v="2"/>
    <n v="1"/>
    <n v="1.5"/>
    <n v="30.335899999999999"/>
    <n v="640232864"/>
    <m/>
    <m/>
    <m/>
    <n v="3946"/>
    <m/>
    <m/>
    <n v="348830642"/>
    <n v="0"/>
    <n v="232551179"/>
    <n v="348830642"/>
    <n v="581381821"/>
    <n v="43603830"/>
    <n v="0"/>
    <n v="29068897"/>
    <n v="43603830"/>
    <n v="72672727"/>
    <n v="29.064499999999999"/>
    <n v="11.9825"/>
    <n v="7262.81"/>
    <n v="5258.73"/>
    <n v="2309"/>
    <n v="423"/>
    <x v="0"/>
    <x v="3"/>
  </r>
  <r>
    <s v="istree_exp5_numerical_stability_vs_time/step10054.txt"/>
    <x v="3"/>
    <m/>
    <s v="reclaimer_debra"/>
    <s v="allocator_new"/>
    <s v="pool_none"/>
    <n v="16000"/>
    <n v="20"/>
    <n v="20"/>
    <n v="0"/>
    <n v="1"/>
    <n v="20000000"/>
    <n v="190"/>
    <n v="190"/>
    <n v="190"/>
    <n v="0"/>
    <s v="insertIfAbsent"/>
    <n v="99985488315873"/>
    <n v="10000411"/>
    <n v="99985488315873"/>
    <n v="10000411"/>
    <s v="success"/>
    <n v="63"/>
    <n v="10000410"/>
    <n v="10000411"/>
    <n v="20000821"/>
    <n v="10000411"/>
    <n v="2"/>
    <n v="1"/>
    <n v="1.5"/>
    <n v="31.456399999999999"/>
    <n v="640026272"/>
    <m/>
    <m/>
    <m/>
    <s v="142 7678"/>
    <m/>
    <m/>
    <n v="691662785"/>
    <n v="0"/>
    <n v="461094558"/>
    <n v="691662785"/>
    <n v="1152757343"/>
    <n v="43228924"/>
    <n v="0"/>
    <n v="28818409"/>
    <n v="43228924"/>
    <n v="72047333"/>
    <n v="29.1692"/>
    <n v="12.0968"/>
    <n v="7323.13"/>
    <n v="5280.73"/>
    <n v="2335"/>
    <n v="420"/>
    <x v="0"/>
    <x v="4"/>
  </r>
  <r>
    <s v="istree_exp5_numerical_stability_vs_time/step10055.txt"/>
    <x v="3"/>
    <m/>
    <s v="reclaimer_debra"/>
    <s v="allocator_new"/>
    <s v="pool_none"/>
    <n v="32000"/>
    <n v="20"/>
    <n v="20"/>
    <n v="0"/>
    <n v="1"/>
    <n v="20000000"/>
    <n v="190"/>
    <n v="190"/>
    <n v="190"/>
    <n v="0"/>
    <s v="insertIfAbsent"/>
    <n v="99985328452390"/>
    <n v="9999599"/>
    <n v="99985328452390"/>
    <n v="9999599"/>
    <s v="success"/>
    <n v="57"/>
    <n v="9999598"/>
    <n v="9999599"/>
    <n v="19999197"/>
    <n v="9999599"/>
    <n v="2"/>
    <n v="1"/>
    <n v="1.5"/>
    <n v="29.922499999999999"/>
    <n v="639974304"/>
    <m/>
    <m/>
    <m/>
    <s v="156 15194"/>
    <m/>
    <m/>
    <n v="1375768913"/>
    <n v="0"/>
    <n v="917196000"/>
    <n v="1375768913"/>
    <n v="2292964913"/>
    <n v="42992778"/>
    <n v="0"/>
    <n v="28662375"/>
    <n v="42992778"/>
    <n v="71655153"/>
    <n v="29.340199999999999"/>
    <n v="12.122400000000001"/>
    <n v="7352.93"/>
    <n v="5291.69"/>
    <n v="2318"/>
    <n v="432"/>
    <x v="0"/>
    <x v="5"/>
  </r>
  <r>
    <s v="istree_exp5_numerical_stability_vs_time/step10056.txt"/>
    <x v="3"/>
    <m/>
    <s v="reclaimer_debra"/>
    <s v="allocator_new"/>
    <s v="pool_none"/>
    <n v="64000"/>
    <n v="20"/>
    <n v="20"/>
    <n v="0"/>
    <n v="1"/>
    <n v="20000000"/>
    <n v="190"/>
    <n v="190"/>
    <n v="190"/>
    <n v="0"/>
    <s v="insertIfAbsent"/>
    <n v="100000673617392"/>
    <n v="9999074"/>
    <n v="100000673617392"/>
    <n v="9999074"/>
    <s v="success"/>
    <n v="54"/>
    <n v="9999073"/>
    <n v="9999074"/>
    <n v="19998147"/>
    <n v="9999074"/>
    <n v="2"/>
    <n v="1"/>
    <n v="1.5"/>
    <n v="29.9758"/>
    <n v="639940704"/>
    <m/>
    <m/>
    <m/>
    <s v="152 30370"/>
    <m/>
    <m/>
    <n v="2765026145"/>
    <n v="0"/>
    <n v="1843510826"/>
    <n v="2765026145"/>
    <n v="4608536971"/>
    <n v="43203533"/>
    <n v="0"/>
    <n v="28804856"/>
    <n v="43203533"/>
    <n v="72008390"/>
    <n v="29.161799999999999"/>
    <n v="12.087400000000001"/>
    <n v="7320.81"/>
    <n v="5254.17"/>
    <n v="2315"/>
    <n v="417"/>
    <x v="0"/>
    <x v="6"/>
  </r>
  <r>
    <s v="istree_exp5_numerical_stability_vs_time/step10057.txt"/>
    <x v="0"/>
    <n v="72"/>
    <s v="reclaimer_debra"/>
    <s v="allocator_new"/>
    <s v="pool_none"/>
    <n v="1000"/>
    <n v="20"/>
    <n v="20"/>
    <n v="0"/>
    <n v="1"/>
    <n v="200000000"/>
    <n v="190"/>
    <n v="190"/>
    <n v="190"/>
    <n v="0"/>
    <s v="insertIfAbsent"/>
    <n v="9999943178018020"/>
    <n v="99995191"/>
    <n v="9999943178018020"/>
    <n v="99995191"/>
    <s v="success"/>
    <n v="7"/>
    <n v="13125320"/>
    <n v="114347577"/>
    <n v="127472897"/>
    <n v="99995191"/>
    <n v="9.7119800000000005"/>
    <n v="0.87448499999999996"/>
    <n v="1.78444"/>
    <n v="4.0416600000000003"/>
    <n v="2881738048"/>
    <s v="0 4203 319857 3798668 634780"/>
    <s v="0 4201 319829 3798650 634779"/>
    <n v="12374"/>
    <n v="720"/>
    <m/>
    <m/>
    <n v="67677490"/>
    <n v="0"/>
    <n v="45116249"/>
    <n v="67677490"/>
    <n v="112793739"/>
    <n v="67677490"/>
    <n v="0"/>
    <n v="45116249"/>
    <n v="67677490"/>
    <n v="112793739"/>
    <n v="25.7681"/>
    <n v="13.120900000000001"/>
    <n v="4371.0600000000004"/>
    <n v="3217.87"/>
    <n v="9834"/>
    <n v="1094"/>
    <x v="3"/>
    <x v="0"/>
  </r>
  <r>
    <s v="istree_exp5_numerical_stability_vs_time/step10058.txt"/>
    <x v="0"/>
    <n v="72"/>
    <s v="reclaimer_debra"/>
    <s v="allocator_new"/>
    <s v="pool_none"/>
    <n v="2000"/>
    <n v="20"/>
    <n v="20"/>
    <n v="0"/>
    <n v="1"/>
    <n v="200000000"/>
    <n v="190"/>
    <n v="190"/>
    <n v="190"/>
    <n v="0"/>
    <s v="insertIfAbsent"/>
    <n v="9998587317612430"/>
    <n v="99989274"/>
    <n v="9998587317612430"/>
    <n v="99989274"/>
    <s v="success"/>
    <n v="7"/>
    <n v="13767694"/>
    <n v="115639801"/>
    <n v="129407495"/>
    <n v="99989274"/>
    <n v="9.3993599999999997"/>
    <n v="0.86466100000000001"/>
    <n v="1.77267"/>
    <n v="4.0569300000000004"/>
    <n v="2953593856"/>
    <s v="1 9998 345003 4273486 818220"/>
    <s v="1 9998 344962 4273460 818215"/>
    <n v="28704"/>
    <n v="1074"/>
    <m/>
    <m/>
    <n v="96337089"/>
    <n v="0"/>
    <n v="64215594"/>
    <n v="96337089"/>
    <n v="160552683"/>
    <n v="48168544"/>
    <n v="0"/>
    <n v="32107797"/>
    <n v="48168544"/>
    <n v="80276341"/>
    <n v="28.747499999999999"/>
    <n v="15.0167"/>
    <n v="4840.08"/>
    <n v="3558.41"/>
    <n v="13895"/>
    <n v="1119"/>
    <x v="3"/>
    <x v="1"/>
  </r>
  <r>
    <s v="istree_exp5_numerical_stability_vs_time/step10059.txt"/>
    <x v="0"/>
    <n v="72"/>
    <s v="reclaimer_debra"/>
    <s v="allocator_new"/>
    <s v="pool_none"/>
    <n v="4000"/>
    <n v="20"/>
    <n v="20"/>
    <n v="0"/>
    <n v="1"/>
    <n v="200000000"/>
    <n v="190"/>
    <n v="190"/>
    <n v="190"/>
    <n v="0"/>
    <s v="insertIfAbsent"/>
    <n v="1.00007347382045E+16"/>
    <n v="100006365"/>
    <n v="1.00007347382045E+16"/>
    <n v="100006365"/>
    <s v="success"/>
    <n v="7"/>
    <n v="14103832"/>
    <n v="116424536"/>
    <n v="130528368"/>
    <n v="100006365"/>
    <n v="9.2548200000000005"/>
    <n v="0.85897999999999997"/>
    <n v="1.76617"/>
    <n v="4.0619199999999998"/>
    <n v="2994441296"/>
    <s v="6 21232 971756 11465173 1953543"/>
    <s v="2 21230 971673 11465093 1953541"/>
    <n v="59944"/>
    <n v="2382"/>
    <m/>
    <m/>
    <n v="215606451"/>
    <n v="0"/>
    <n v="143741640"/>
    <n v="215606451"/>
    <n v="359348091"/>
    <n v="53901612"/>
    <n v="0"/>
    <n v="35935410"/>
    <n v="53901612"/>
    <n v="89837022"/>
    <n v="29.162400000000002"/>
    <n v="15.5794"/>
    <n v="5073"/>
    <n v="3742.76"/>
    <n v="14373"/>
    <n v="1150"/>
    <x v="3"/>
    <x v="2"/>
  </r>
  <r>
    <s v="istree_exp5_numerical_stability_vs_time/step10060.txt"/>
    <x v="0"/>
    <n v="72"/>
    <s v="reclaimer_debra"/>
    <s v="allocator_new"/>
    <s v="pool_none"/>
    <n v="8000"/>
    <n v="20"/>
    <n v="20"/>
    <n v="0"/>
    <n v="1"/>
    <n v="200000000"/>
    <n v="190"/>
    <n v="190"/>
    <n v="190"/>
    <n v="0"/>
    <s v="insertIfAbsent"/>
    <n v="1.00006217175467E+16"/>
    <n v="100004431"/>
    <n v="1.00006217175467E+16"/>
    <n v="100004431"/>
    <s v="success"/>
    <n v="7"/>
    <n v="14946214"/>
    <n v="118279500"/>
    <n v="133225714"/>
    <n v="100004431"/>
    <n v="8.9136799999999994"/>
    <n v="0.84549300000000005"/>
    <n v="1.75064"/>
    <n v="4.0819900000000002"/>
    <n v="3092471040"/>
    <s v="18 49989 1764292 21927977 3808381"/>
    <s v="5 49987 1764121 21927858 3808373"/>
    <n v="134711"/>
    <n v="4150"/>
    <m/>
    <m/>
    <n v="425428142"/>
    <n v="0"/>
    <n v="283596873"/>
    <n v="425428142"/>
    <n v="709025015"/>
    <n v="53178517"/>
    <n v="0"/>
    <n v="35449609"/>
    <n v="53178517"/>
    <n v="88628126"/>
    <n v="30.4862"/>
    <n v="16.686"/>
    <n v="5385.47"/>
    <n v="3997.02"/>
    <n v="14386"/>
    <n v="1082"/>
    <x v="3"/>
    <x v="3"/>
  </r>
  <r>
    <s v="istree_exp5_numerical_stability_vs_time/step10061.txt"/>
    <x v="0"/>
    <n v="72"/>
    <s v="reclaimer_debra"/>
    <s v="allocator_new"/>
    <s v="pool_none"/>
    <n v="16000"/>
    <n v="20"/>
    <n v="20"/>
    <n v="0"/>
    <n v="1"/>
    <n v="200000000"/>
    <n v="190"/>
    <n v="190"/>
    <n v="190"/>
    <n v="0"/>
    <s v="insertIfAbsent"/>
    <n v="1.00003341889878E+16"/>
    <n v="100003766"/>
    <n v="1.00003341889878E+16"/>
    <n v="100003766"/>
    <s v="success"/>
    <n v="7"/>
    <n v="12729160"/>
    <n v="113514101"/>
    <n v="126243261"/>
    <n v="100003766"/>
    <n v="9.9176400000000005"/>
    <n v="0.88098100000000001"/>
    <n v="1.7921499999999999"/>
    <n v="4.0335799999999997"/>
    <n v="2836224160"/>
    <s v="41 105523 3770105 42677854 7295239"/>
    <s v="10 105514 3769742 42677572 7295224"/>
    <n v="272409"/>
    <n v="7328"/>
    <m/>
    <m/>
    <n v="818275795"/>
    <n v="0"/>
    <n v="545522898"/>
    <n v="818275795"/>
    <n v="1363798693"/>
    <n v="51142237"/>
    <n v="0"/>
    <n v="34095181"/>
    <n v="51142237"/>
    <n v="85237418"/>
    <n v="31.104199999999999"/>
    <n v="17.271799999999999"/>
    <n v="5581.4"/>
    <n v="4144.1499999999996"/>
    <n v="14437"/>
    <n v="1238"/>
    <x v="3"/>
    <x v="4"/>
  </r>
  <r>
    <s v="istree_exp5_numerical_stability_vs_time/step10062.txt"/>
    <x v="0"/>
    <n v="72"/>
    <s v="reclaimer_debra"/>
    <s v="allocator_new"/>
    <s v="pool_none"/>
    <n v="32000"/>
    <n v="20"/>
    <n v="20"/>
    <n v="0"/>
    <n v="1"/>
    <n v="200000000"/>
    <n v="190"/>
    <n v="190"/>
    <n v="190"/>
    <n v="0"/>
    <s v="insertIfAbsent"/>
    <n v="9998894907310380"/>
    <n v="99994218"/>
    <n v="9998894907310380"/>
    <n v="99994218"/>
    <s v="success"/>
    <n v="7"/>
    <n v="14833461"/>
    <n v="117993531"/>
    <n v="132826992"/>
    <n v="99994218"/>
    <n v="8.9545499999999993"/>
    <n v="0.84745499999999996"/>
    <n v="1.75282"/>
    <n v="4.0798300000000003"/>
    <n v="3078436352"/>
    <s v="101 209961 7231976 83277374 14356458"/>
    <s v="21 209932 7231265 83276841 14356428"/>
    <n v="542254"/>
    <n v="13522"/>
    <m/>
    <m/>
    <n v="1615806870"/>
    <n v="0"/>
    <n v="1077184107"/>
    <n v="1615806870"/>
    <n v="2692990977"/>
    <n v="50493964"/>
    <n v="0"/>
    <n v="33662003"/>
    <n v="50493964"/>
    <n v="84155968"/>
    <n v="31.337299999999999"/>
    <n v="17.519300000000001"/>
    <n v="5638.45"/>
    <n v="4186.7"/>
    <n v="14496"/>
    <n v="1284"/>
    <x v="3"/>
    <x v="5"/>
  </r>
  <r>
    <s v="istree_exp5_numerical_stability_vs_time/step10063.txt"/>
    <x v="0"/>
    <n v="72"/>
    <s v="reclaimer_debra"/>
    <s v="allocator_new"/>
    <s v="pool_none"/>
    <n v="64000"/>
    <n v="20"/>
    <n v="20"/>
    <n v="0"/>
    <n v="1"/>
    <n v="200000000"/>
    <n v="190"/>
    <n v="190"/>
    <n v="190"/>
    <n v="0"/>
    <s v="insertIfAbsent"/>
    <n v="9999728793491440"/>
    <n v="99999305"/>
    <n v="9999728793491440"/>
    <n v="99999305"/>
    <s v="success"/>
    <n v="7"/>
    <n v="14667118"/>
    <n v="117649631"/>
    <n v="132316749"/>
    <n v="99999305"/>
    <n v="9.0213199999999993"/>
    <n v="0.84997599999999995"/>
    <n v="1.75576"/>
    <n v="4.0745199999999997"/>
    <n v="3059839744"/>
    <s v="137 419942 14645608 166638453 28563317"/>
    <s v="42 419908 14644259 166637416 28563243"/>
    <n v="1068608"/>
    <n v="26240"/>
    <m/>
    <m/>
    <n v="3211272908"/>
    <n v="0"/>
    <n v="2140909856"/>
    <n v="3211272908"/>
    <n v="5352182764"/>
    <n v="50176139"/>
    <n v="0"/>
    <n v="33451716"/>
    <n v="50176139"/>
    <n v="83627855"/>
    <n v="31.4436"/>
    <n v="17.613600000000002"/>
    <n v="5677.3"/>
    <n v="4216.8599999999997"/>
    <n v="14441"/>
    <n v="1180"/>
    <x v="3"/>
    <x v="6"/>
  </r>
  <r>
    <s v="istree_exp5_numerical_stability_vs_time/step10064.txt"/>
    <x v="2"/>
    <n v="208"/>
    <s v="reclaimer_debra"/>
    <s v="allocator_new"/>
    <s v="pool_none"/>
    <n v="1000"/>
    <n v="20"/>
    <n v="20"/>
    <n v="0"/>
    <n v="1"/>
    <n v="200000000"/>
    <n v="190"/>
    <n v="190"/>
    <n v="190"/>
    <n v="0"/>
    <s v="insertIfAbsent"/>
    <n v="9999984856511490"/>
    <n v="100001009"/>
    <n v="9999984856511490"/>
    <n v="100001009"/>
    <s v="success"/>
    <n v="10"/>
    <n v="1956232"/>
    <n v="13454733"/>
    <n v="15410965"/>
    <n v="100001009"/>
    <n v="7.8778800000000002"/>
    <n v="7.4324000000000003"/>
    <n v="7.48895"/>
    <n v="9"/>
    <n v="3205480720"/>
    <m/>
    <m/>
    <m/>
    <s v="3092 3884"/>
    <m/>
    <m/>
    <n v="45256270"/>
    <n v="0"/>
    <n v="30178382"/>
    <n v="45256270"/>
    <n v="75434652"/>
    <n v="45256270"/>
    <n v="0"/>
    <n v="30178382"/>
    <n v="45256270"/>
    <n v="75434652"/>
    <n v="28.806100000000001"/>
    <n v="13.264699999999999"/>
    <n v="5981.63"/>
    <n v="3470.66"/>
    <n v="6750"/>
    <n v="6101"/>
    <x v="3"/>
    <x v="0"/>
  </r>
  <r>
    <s v="istree_exp5_numerical_stability_vs_time/step10065.txt"/>
    <x v="2"/>
    <n v="208"/>
    <s v="reclaimer_debra"/>
    <s v="allocator_new"/>
    <s v="pool_none"/>
    <n v="2000"/>
    <n v="20"/>
    <n v="20"/>
    <n v="0"/>
    <n v="1"/>
    <n v="200000000"/>
    <n v="190"/>
    <n v="190"/>
    <n v="190"/>
    <n v="0"/>
    <s v="insertIfAbsent"/>
    <n v="1.0000007776908E+16"/>
    <n v="99996139"/>
    <n v="1.0000007776908E+16"/>
    <n v="99996139"/>
    <s v="success"/>
    <n v="10"/>
    <n v="2045473"/>
    <n v="14071586"/>
    <n v="16117059"/>
    <n v="99996139"/>
    <n v="7.8793800000000003"/>
    <n v="7.1062500000000002"/>
    <n v="7.2043699999999999"/>
    <n v="9"/>
    <n v="3352348272"/>
    <m/>
    <m/>
    <m/>
    <s v="2916 4442"/>
    <m/>
    <m/>
    <n v="108808314"/>
    <n v="0"/>
    <n v="72536867"/>
    <n v="108808314"/>
    <n v="181345181"/>
    <n v="54404157"/>
    <n v="0"/>
    <n v="36268433"/>
    <n v="54404157"/>
    <n v="90672590"/>
    <n v="28.892099999999999"/>
    <n v="13.551"/>
    <n v="5429.45"/>
    <n v="3489.31"/>
    <n v="7837"/>
    <n v="5980"/>
    <x v="3"/>
    <x v="1"/>
  </r>
  <r>
    <s v="istree_exp5_numerical_stability_vs_time/step10066.txt"/>
    <x v="2"/>
    <n v="208"/>
    <s v="reclaimer_debra"/>
    <s v="allocator_new"/>
    <s v="pool_none"/>
    <n v="4000"/>
    <n v="20"/>
    <n v="20"/>
    <n v="0"/>
    <n v="1"/>
    <n v="200000000"/>
    <n v="190"/>
    <n v="190"/>
    <n v="190"/>
    <n v="0"/>
    <s v="insertIfAbsent"/>
    <n v="1.00003391260457E+16"/>
    <n v="100001050"/>
    <n v="1.00003391260457E+16"/>
    <n v="100001050"/>
    <s v="success"/>
    <n v="10"/>
    <n v="2160882"/>
    <n v="14864292"/>
    <n v="17025174"/>
    <n v="100001050"/>
    <n v="7.8788099999999996"/>
    <n v="6.7275999999999998"/>
    <n v="6.8737199999999996"/>
    <n v="9"/>
    <n v="3541236192"/>
    <m/>
    <m/>
    <m/>
    <s v="3260 5942"/>
    <m/>
    <m/>
    <n v="228089387"/>
    <n v="0"/>
    <n v="152017938"/>
    <n v="228089387"/>
    <n v="380107325"/>
    <n v="57022346"/>
    <n v="0"/>
    <n v="38004484"/>
    <n v="57022346"/>
    <n v="95026831"/>
    <n v="29.029399999999999"/>
    <n v="13.782999999999999"/>
    <n v="5372.17"/>
    <n v="3519.74"/>
    <n v="8570"/>
    <n v="6070"/>
    <x v="3"/>
    <x v="2"/>
  </r>
  <r>
    <s v="istree_exp5_numerical_stability_vs_time/step10067.txt"/>
    <x v="2"/>
    <n v="208"/>
    <s v="reclaimer_debra"/>
    <s v="allocator_new"/>
    <s v="pool_none"/>
    <n v="8000"/>
    <n v="20"/>
    <n v="20"/>
    <n v="0"/>
    <n v="1"/>
    <n v="200000000"/>
    <n v="190"/>
    <n v="190"/>
    <n v="190"/>
    <n v="0"/>
    <s v="insertIfAbsent"/>
    <n v="9999724044540220"/>
    <n v="99996965"/>
    <n v="9999724044540220"/>
    <n v="99996965"/>
    <s v="success"/>
    <n v="10"/>
    <n v="2312007"/>
    <n v="15898480"/>
    <n v="18210487"/>
    <n v="99996965"/>
    <n v="7.8764799999999999"/>
    <n v="6.28972"/>
    <n v="6.4911700000000003"/>
    <n v="9"/>
    <n v="3787781296"/>
    <m/>
    <m/>
    <m/>
    <s v="3102 8520"/>
    <m/>
    <m/>
    <n v="463510518"/>
    <n v="0"/>
    <n v="309010752"/>
    <n v="463510518"/>
    <n v="772521270"/>
    <n v="57938814"/>
    <n v="0"/>
    <n v="38626344"/>
    <n v="57938814"/>
    <n v="96565158"/>
    <n v="29.125599999999999"/>
    <n v="13.8461"/>
    <n v="5374.49"/>
    <n v="3529.26"/>
    <n v="9073"/>
    <n v="5960"/>
    <x v="3"/>
    <x v="3"/>
  </r>
  <r>
    <s v="istree_exp5_numerical_stability_vs_time/step10068.txt"/>
    <x v="2"/>
    <n v="208"/>
    <s v="reclaimer_debra"/>
    <s v="allocator_new"/>
    <s v="pool_none"/>
    <n v="16000"/>
    <n v="20"/>
    <n v="20"/>
    <n v="0"/>
    <n v="1"/>
    <n v="200000000"/>
    <n v="190"/>
    <n v="190"/>
    <n v="190"/>
    <n v="0"/>
    <s v="insertIfAbsent"/>
    <n v="9998773348609680"/>
    <n v="99988727"/>
    <n v="9998773348609680"/>
    <n v="99988727"/>
    <s v="success"/>
    <n v="11"/>
    <n v="2489930"/>
    <n v="17099237"/>
    <n v="19589167"/>
    <n v="99988727"/>
    <n v="7.8673599999999997"/>
    <n v="5.84755"/>
    <n v="6.1042899999999998"/>
    <n v="10"/>
    <n v="4074546736"/>
    <m/>
    <m/>
    <m/>
    <s v="3164 13988"/>
    <m/>
    <m/>
    <n v="926170302"/>
    <n v="0"/>
    <n v="617410909"/>
    <n v="926170302"/>
    <n v="1543581211"/>
    <n v="57885643"/>
    <n v="0"/>
    <n v="38588181"/>
    <n v="57885643"/>
    <n v="96473825"/>
    <n v="29.3246"/>
    <n v="13.858499999999999"/>
    <n v="5420.49"/>
    <n v="3546.47"/>
    <n v="9461"/>
    <n v="5983"/>
    <x v="3"/>
    <x v="4"/>
  </r>
  <r>
    <s v="istree_exp5_numerical_stability_vs_time/step10069.txt"/>
    <x v="2"/>
    <n v="208"/>
    <s v="reclaimer_debra"/>
    <s v="allocator_new"/>
    <s v="pool_none"/>
    <n v="32000"/>
    <n v="20"/>
    <n v="20"/>
    <n v="0"/>
    <n v="1"/>
    <n v="200000000"/>
    <n v="190"/>
    <n v="190"/>
    <n v="190"/>
    <n v="0"/>
    <s v="insertIfAbsent"/>
    <n v="9999265650755980"/>
    <n v="99995071"/>
    <n v="9999265650755980"/>
    <n v="99995071"/>
    <s v="success"/>
    <n v="11"/>
    <n v="2684727"/>
    <n v="18328160"/>
    <n v="21012887"/>
    <n v="99995071"/>
    <n v="7.8268199999999997"/>
    <n v="5.4558200000000001"/>
    <n v="5.75875"/>
    <n v="10"/>
    <n v="4370680496"/>
    <m/>
    <m/>
    <m/>
    <s v="3024 24880"/>
    <m/>
    <m/>
    <n v="1854166501"/>
    <n v="0"/>
    <n v="1235974271"/>
    <n v="1854166501"/>
    <n v="3090140772"/>
    <n v="57942703"/>
    <n v="0"/>
    <n v="38624195"/>
    <n v="57942703"/>
    <n v="96566899"/>
    <n v="29.549299999999999"/>
    <n v="13.937799999999999"/>
    <n v="5436.62"/>
    <n v="3563.63"/>
    <n v="9786"/>
    <n v="6021"/>
    <x v="3"/>
    <x v="5"/>
  </r>
  <r>
    <s v="istree_exp5_numerical_stability_vs_time/step10070.txt"/>
    <x v="2"/>
    <n v="208"/>
    <s v="reclaimer_debra"/>
    <s v="allocator_new"/>
    <s v="pool_none"/>
    <n v="64000"/>
    <n v="20"/>
    <n v="20"/>
    <n v="0"/>
    <n v="1"/>
    <n v="200000000"/>
    <n v="190"/>
    <n v="190"/>
    <n v="190"/>
    <n v="0"/>
    <s v="insertIfAbsent"/>
    <n v="9999607404191850"/>
    <n v="99994398"/>
    <n v="9999607404191850"/>
    <n v="99994398"/>
    <s v="success"/>
    <n v="11"/>
    <n v="2874196"/>
    <n v="19273627"/>
    <n v="22147823"/>
    <n v="99994398"/>
    <n v="7.7057500000000001"/>
    <n v="5.1881500000000003"/>
    <n v="5.5148599999999997"/>
    <n v="10"/>
    <n v="4606747184"/>
    <m/>
    <m/>
    <m/>
    <s v="2866 46594"/>
    <m/>
    <m/>
    <n v="3705235893"/>
    <n v="0"/>
    <n v="2470294631"/>
    <n v="3705235893"/>
    <n v="6175530524"/>
    <n v="57894310"/>
    <n v="0"/>
    <n v="38598353"/>
    <n v="57894310"/>
    <n v="96492664"/>
    <n v="29.691400000000002"/>
    <n v="14.058400000000001"/>
    <n v="5455.67"/>
    <n v="3572.53"/>
    <n v="10071"/>
    <n v="6059"/>
    <x v="3"/>
    <x v="6"/>
  </r>
  <r>
    <s v="istree_exp5_numerical_stability_vs_time/step10071.txt"/>
    <x v="1"/>
    <m/>
    <s v="reclaimer_debra"/>
    <s v="allocator_new"/>
    <s v="pool_none"/>
    <n v="1000"/>
    <n v="20"/>
    <n v="20"/>
    <n v="0"/>
    <n v="1"/>
    <n v="200000000"/>
    <n v="190"/>
    <n v="190"/>
    <n v="190"/>
    <n v="0"/>
    <s v="insertIfAbsent"/>
    <n v="1.00006046292378E+16"/>
    <n v="100005568"/>
    <n v="1.00006046292378E+16"/>
    <n v="100005568"/>
    <s v="success"/>
    <n v="33"/>
    <n v="58545867"/>
    <n v="44021733"/>
    <n v="102567600"/>
    <n v="100005568"/>
    <n v="1.7519199999999999"/>
    <n v="2.2717299999999998"/>
    <n v="1.97502"/>
    <n v="26.1676"/>
    <n v="5743785600"/>
    <m/>
    <m/>
    <m/>
    <s v="772 1330"/>
    <m/>
    <m/>
    <n v="38456114"/>
    <n v="0"/>
    <n v="25639876"/>
    <n v="38456114"/>
    <n v="64095990"/>
    <n v="38456114"/>
    <n v="0"/>
    <n v="25639876"/>
    <n v="38456114"/>
    <n v="64095990"/>
    <n v="43.488500000000002"/>
    <n v="20.2394"/>
    <n v="8238.58"/>
    <n v="6604.42"/>
    <n v="7780"/>
    <n v="2762"/>
    <x v="3"/>
    <x v="0"/>
  </r>
  <r>
    <s v="istree_exp5_numerical_stability_vs_time/step10072.txt"/>
    <x v="1"/>
    <m/>
    <s v="reclaimer_debra"/>
    <s v="allocator_new"/>
    <s v="pool_none"/>
    <n v="2000"/>
    <n v="20"/>
    <n v="20"/>
    <n v="0"/>
    <n v="1"/>
    <n v="200000000"/>
    <n v="190"/>
    <n v="190"/>
    <n v="190"/>
    <n v="0"/>
    <s v="insertIfAbsent"/>
    <n v="1.00003384284419E+16"/>
    <n v="100005459"/>
    <n v="1.00003384284419E+16"/>
    <n v="100005459"/>
    <s v="success"/>
    <n v="33"/>
    <n v="59756343"/>
    <n v="45011770"/>
    <n v="104768113"/>
    <n v="100005459"/>
    <n v="1.75326"/>
    <n v="2.2217600000000002"/>
    <n v="1.9545399999999999"/>
    <n v="26.2044"/>
    <n v="5867014328"/>
    <m/>
    <m/>
    <m/>
    <s v="774 1698"/>
    <m/>
    <m/>
    <n v="76406089"/>
    <n v="0"/>
    <n v="50929466"/>
    <n v="76406089"/>
    <n v="127335555"/>
    <n v="38203044"/>
    <n v="0"/>
    <n v="25464733"/>
    <n v="38203044"/>
    <n v="63667777"/>
    <n v="44.172499999999999"/>
    <n v="20.370999999999999"/>
    <n v="8297.2000000000007"/>
    <n v="6621.77"/>
    <n v="7961"/>
    <n v="2774"/>
    <x v="3"/>
    <x v="1"/>
  </r>
  <r>
    <s v="istree_exp5_numerical_stability_vs_time/step10073.txt"/>
    <x v="1"/>
    <m/>
    <s v="reclaimer_debra"/>
    <s v="allocator_new"/>
    <s v="pool_none"/>
    <n v="4000"/>
    <n v="20"/>
    <n v="20"/>
    <n v="0"/>
    <n v="1"/>
    <n v="200000000"/>
    <n v="190"/>
    <n v="190"/>
    <n v="190"/>
    <n v="0"/>
    <s v="insertIfAbsent"/>
    <n v="1.0000541915976E+16"/>
    <n v="100001302"/>
    <n v="1.0000541915976E+16"/>
    <n v="100001302"/>
    <s v="success"/>
    <n v="33"/>
    <n v="61784054"/>
    <n v="46642363"/>
    <n v="108426417"/>
    <n v="100001302"/>
    <n v="1.7549300000000001"/>
    <n v="2.1440000000000001"/>
    <n v="1.9222999999999999"/>
    <n v="26.382300000000001"/>
    <n v="6071879352"/>
    <m/>
    <m/>
    <m/>
    <s v="774 2432"/>
    <m/>
    <m/>
    <n v="153409526"/>
    <n v="0"/>
    <n v="102276559"/>
    <n v="153409526"/>
    <n v="255686085"/>
    <n v="38352381"/>
    <n v="0"/>
    <n v="25569139"/>
    <n v="38352381"/>
    <n v="63921521"/>
    <n v="43.753300000000003"/>
    <n v="20.549099999999999"/>
    <n v="8265.73"/>
    <n v="6622.99"/>
    <n v="8293"/>
    <n v="2796"/>
    <x v="3"/>
    <x v="2"/>
  </r>
  <r>
    <s v="istree_exp5_numerical_stability_vs_time/step10074.txt"/>
    <x v="1"/>
    <m/>
    <s v="reclaimer_debra"/>
    <s v="allocator_new"/>
    <s v="pool_none"/>
    <n v="8000"/>
    <n v="20"/>
    <n v="20"/>
    <n v="0"/>
    <n v="1"/>
    <n v="200000000"/>
    <n v="190"/>
    <n v="190"/>
    <n v="190"/>
    <n v="0"/>
    <s v="insertIfAbsent"/>
    <n v="1.00001033280912E+16"/>
    <n v="100003476"/>
    <n v="1.00001033280912E+16"/>
    <n v="100003476"/>
    <s v="success"/>
    <n v="33"/>
    <n v="64518778"/>
    <n v="48802015"/>
    <n v="113320793"/>
    <n v="100003476"/>
    <n v="1.7564"/>
    <n v="2.0491700000000002"/>
    <n v="1.8824799999999999"/>
    <n v="26.476700000000001"/>
    <n v="6345964408"/>
    <m/>
    <m/>
    <m/>
    <s v="772 3888"/>
    <m/>
    <m/>
    <n v="305550549"/>
    <n v="0"/>
    <n v="203729211"/>
    <n v="305550549"/>
    <n v="509279760"/>
    <n v="38193818"/>
    <n v="0"/>
    <n v="25466151"/>
    <n v="38193818"/>
    <n v="63659970"/>
    <n v="43.436199999999999"/>
    <n v="20.783100000000001"/>
    <n v="8302.16"/>
    <n v="6665.23"/>
    <n v="8837"/>
    <n v="2753"/>
    <x v="3"/>
    <x v="3"/>
  </r>
  <r>
    <s v="istree_exp5_numerical_stability_vs_time/step10075.txt"/>
    <x v="1"/>
    <m/>
    <s v="reclaimer_debra"/>
    <s v="allocator_new"/>
    <s v="pool_none"/>
    <n v="16000"/>
    <n v="20"/>
    <n v="20"/>
    <n v="0"/>
    <n v="1"/>
    <n v="200000000"/>
    <n v="190"/>
    <n v="190"/>
    <n v="190"/>
    <n v="0"/>
    <s v="insertIfAbsent"/>
    <n v="9997787967863180"/>
    <n v="99981556"/>
    <n v="9997787967863180"/>
    <n v="99981556"/>
    <s v="success"/>
    <n v="33"/>
    <n v="67101367"/>
    <n v="50833971"/>
    <n v="117935338"/>
    <n v="99981556"/>
    <n v="1.7575700000000001"/>
    <n v="1.9668300000000001"/>
    <n v="1.8477699999999999"/>
    <n v="26.618400000000001"/>
    <n v="6604378928"/>
    <m/>
    <m/>
    <m/>
    <s v="770 6764"/>
    <m/>
    <m/>
    <n v="605688755"/>
    <n v="0"/>
    <n v="403830451"/>
    <n v="605688755"/>
    <n v="1009519206"/>
    <n v="37855547"/>
    <n v="0"/>
    <n v="25239403"/>
    <n v="37855547"/>
    <n v="63094950"/>
    <n v="43.906799999999997"/>
    <n v="21.065899999999999"/>
    <n v="8377.4599999999991"/>
    <n v="6721.65"/>
    <n v="9644"/>
    <n v="2749"/>
    <x v="3"/>
    <x v="4"/>
  </r>
  <r>
    <s v="istree_exp5_numerical_stability_vs_time/step10076.txt"/>
    <x v="1"/>
    <m/>
    <s v="reclaimer_debra"/>
    <s v="allocator_new"/>
    <s v="pool_none"/>
    <n v="32000"/>
    <n v="20"/>
    <n v="20"/>
    <n v="0"/>
    <n v="1"/>
    <n v="200000000"/>
    <n v="190"/>
    <n v="190"/>
    <n v="190"/>
    <n v="0"/>
    <s v="insertIfAbsent"/>
    <n v="9998867575701810"/>
    <n v="99989814"/>
    <n v="9998867575701810"/>
    <n v="99989814"/>
    <s v="success"/>
    <n v="33"/>
    <n v="68371133"/>
    <n v="51850291"/>
    <n v="120221424"/>
    <n v="99989814"/>
    <n v="1.75837"/>
    <n v="1.9284300000000001"/>
    <n v="1.8317099999999999"/>
    <n v="26.6143"/>
    <n v="6732399744"/>
    <m/>
    <m/>
    <m/>
    <s v="774 12424"/>
    <m/>
    <m/>
    <n v="1197454116"/>
    <n v="0"/>
    <n v="798324919"/>
    <n v="1197454116"/>
    <n v="1995779035"/>
    <n v="37420441"/>
    <n v="0"/>
    <n v="24947653"/>
    <n v="37420441"/>
    <n v="62368094"/>
    <n v="43.883499999999998"/>
    <n v="21.434999999999999"/>
    <n v="8476.66"/>
    <n v="6813.95"/>
    <n v="10735"/>
    <n v="2755"/>
    <x v="3"/>
    <x v="5"/>
  </r>
  <r>
    <s v="istree_exp5_numerical_stability_vs_time/step10077.txt"/>
    <x v="1"/>
    <m/>
    <s v="reclaimer_debra"/>
    <s v="allocator_new"/>
    <s v="pool_none"/>
    <n v="64000"/>
    <n v="20"/>
    <n v="20"/>
    <n v="0"/>
    <n v="1"/>
    <n v="200000000"/>
    <n v="190"/>
    <n v="190"/>
    <n v="190"/>
    <n v="0"/>
    <s v="insertIfAbsent"/>
    <n v="1.00013699732369E+16"/>
    <n v="100013077"/>
    <n v="1.00013699732369E+16"/>
    <n v="100013077"/>
    <s v="success"/>
    <n v="33"/>
    <n v="68584261"/>
    <n v="52031551"/>
    <n v="120615812"/>
    <n v="100013077"/>
    <n v="1.75865"/>
    <n v="1.9221600000000001"/>
    <n v="1.8291900000000001"/>
    <n v="26.640599999999999"/>
    <n v="6754485472"/>
    <m/>
    <m/>
    <m/>
    <s v="774 23484"/>
    <m/>
    <m/>
    <n v="2349275480"/>
    <n v="0"/>
    <n v="1566176198"/>
    <n v="2349275480"/>
    <n v="3915451678"/>
    <n v="36707429"/>
    <n v="0"/>
    <n v="24471503"/>
    <n v="36707429"/>
    <n v="61178932"/>
    <n v="44.881999999999998"/>
    <n v="21.818200000000001"/>
    <n v="8644.41"/>
    <n v="6968.45"/>
    <n v="12098"/>
    <n v="2802"/>
    <x v="3"/>
    <x v="6"/>
  </r>
  <r>
    <s v="istree_exp5_numerical_stability_vs_time/step10078.txt"/>
    <x v="3"/>
    <m/>
    <s v="reclaimer_debra"/>
    <s v="allocator_new"/>
    <s v="pool_none"/>
    <n v="1000"/>
    <n v="20"/>
    <n v="20"/>
    <n v="0"/>
    <n v="1"/>
    <n v="200000000"/>
    <n v="190"/>
    <n v="190"/>
    <n v="190"/>
    <n v="0"/>
    <s v="insertIfAbsent"/>
    <n v="1.00005066316547E+16"/>
    <n v="100003185"/>
    <n v="1.00005066316547E+16"/>
    <n v="100003185"/>
    <s v="success"/>
    <n v="72"/>
    <n v="100003184"/>
    <n v="100003185"/>
    <n v="200006369"/>
    <n v="100003185"/>
    <n v="2"/>
    <n v="1"/>
    <n v="1.5"/>
    <n v="35.209699999999998"/>
    <n v="6400203808"/>
    <m/>
    <m/>
    <m/>
    <s v="738 1244"/>
    <m/>
    <m/>
    <n v="29490189"/>
    <n v="0"/>
    <n v="19654671"/>
    <n v="29490189"/>
    <n v="49144860"/>
    <n v="29490189"/>
    <n v="0"/>
    <n v="19654671"/>
    <n v="29490189"/>
    <n v="49144860"/>
    <n v="41.081000000000003"/>
    <n v="20.423300000000001"/>
    <n v="10727.1"/>
    <n v="8402.65"/>
    <n v="7750"/>
    <n v="2852"/>
    <x v="3"/>
    <x v="0"/>
  </r>
  <r>
    <s v="istree_exp5_numerical_stability_vs_time/step10079.txt"/>
    <x v="3"/>
    <m/>
    <s v="reclaimer_debra"/>
    <s v="allocator_new"/>
    <s v="pool_none"/>
    <n v="2000"/>
    <n v="20"/>
    <n v="20"/>
    <n v="0"/>
    <n v="1"/>
    <n v="200000000"/>
    <n v="190"/>
    <n v="190"/>
    <n v="190"/>
    <n v="0"/>
    <s v="insertIfAbsent"/>
    <n v="9998448394473140"/>
    <n v="99989744"/>
    <n v="9998448394473140"/>
    <n v="99989744"/>
    <s v="success"/>
    <n v="72"/>
    <n v="99989743"/>
    <n v="99989744"/>
    <n v="199979487"/>
    <n v="99989744"/>
    <n v="2"/>
    <n v="1"/>
    <n v="1.5"/>
    <n v="35.743200000000002"/>
    <n v="6399343584"/>
    <m/>
    <m/>
    <m/>
    <s v="734 1558"/>
    <m/>
    <m/>
    <n v="59108999"/>
    <n v="0"/>
    <n v="39397241"/>
    <n v="59108999"/>
    <n v="98506240"/>
    <n v="29554499"/>
    <n v="0"/>
    <n v="19698620"/>
    <n v="29554499"/>
    <n v="49253120"/>
    <n v="41.032800000000002"/>
    <n v="20.4908"/>
    <n v="10709.9"/>
    <n v="8409.33"/>
    <n v="7915"/>
    <n v="2870"/>
    <x v="3"/>
    <x v="1"/>
  </r>
  <r>
    <s v="istree_exp5_numerical_stability_vs_time/step10080.txt"/>
    <x v="3"/>
    <m/>
    <s v="reclaimer_debra"/>
    <s v="allocator_new"/>
    <s v="pool_none"/>
    <n v="4000"/>
    <n v="20"/>
    <n v="20"/>
    <n v="0"/>
    <n v="1"/>
    <n v="200000000"/>
    <n v="190"/>
    <n v="190"/>
    <n v="190"/>
    <n v="0"/>
    <s v="insertIfAbsent"/>
    <n v="1.00006804790391E+16"/>
    <n v="100001222"/>
    <n v="1.00006804790391E+16"/>
    <n v="100001222"/>
    <s v="success"/>
    <n v="69"/>
    <n v="100001221"/>
    <n v="100001222"/>
    <n v="200002443"/>
    <n v="100001222"/>
    <n v="2"/>
    <n v="1"/>
    <n v="1.5"/>
    <n v="36.515500000000003"/>
    <n v="6400078176"/>
    <m/>
    <m/>
    <m/>
    <s v="740 2168"/>
    <m/>
    <m/>
    <n v="117532952"/>
    <n v="0"/>
    <n v="78373114"/>
    <n v="117532952"/>
    <n v="195906066"/>
    <n v="29383238"/>
    <n v="0"/>
    <n v="19593278"/>
    <n v="29383238"/>
    <n v="48976516"/>
    <n v="41.297800000000002"/>
    <n v="20.6248"/>
    <n v="10768.1"/>
    <n v="8470.41"/>
    <n v="8222"/>
    <n v="2865"/>
    <x v="3"/>
    <x v="2"/>
  </r>
  <r>
    <s v="istree_exp5_numerical_stability_vs_time/step10081.txt"/>
    <x v="3"/>
    <m/>
    <s v="reclaimer_debra"/>
    <s v="allocator_new"/>
    <s v="pool_none"/>
    <n v="8000"/>
    <n v="20"/>
    <n v="20"/>
    <n v="0"/>
    <n v="1"/>
    <n v="200000000"/>
    <n v="190"/>
    <n v="190"/>
    <n v="190"/>
    <n v="0"/>
    <s v="insertIfAbsent"/>
    <n v="1.00000440331872E+16"/>
    <n v="100003813"/>
    <n v="1.00000440331872E+16"/>
    <n v="100003813"/>
    <s v="success"/>
    <n v="70"/>
    <n v="100003812"/>
    <n v="100003813"/>
    <n v="200007625"/>
    <n v="100003813"/>
    <n v="2"/>
    <n v="1"/>
    <n v="1.5"/>
    <n v="35.441400000000002"/>
    <n v="6400244000"/>
    <m/>
    <m/>
    <m/>
    <s v="732 3388"/>
    <m/>
    <m/>
    <n v="236828234"/>
    <n v="0"/>
    <n v="157871221"/>
    <n v="236828234"/>
    <n v="394699455"/>
    <n v="29603529"/>
    <n v="0"/>
    <n v="19733902"/>
    <n v="29603529"/>
    <n v="49337431"/>
    <n v="41.305900000000001"/>
    <n v="20.864799999999999"/>
    <n v="10695.8"/>
    <n v="8501.17"/>
    <n v="8797"/>
    <n v="2842"/>
    <x v="3"/>
    <x v="3"/>
  </r>
  <r>
    <s v="istree_exp5_numerical_stability_vs_time/step10082.txt"/>
    <x v="3"/>
    <m/>
    <s v="reclaimer_debra"/>
    <s v="allocator_new"/>
    <s v="pool_none"/>
    <n v="16000"/>
    <n v="20"/>
    <n v="20"/>
    <n v="0"/>
    <n v="1"/>
    <n v="200000000"/>
    <n v="190"/>
    <n v="190"/>
    <n v="190"/>
    <n v="0"/>
    <s v="insertIfAbsent"/>
    <n v="1.00015597319114E+16"/>
    <n v="100011854"/>
    <n v="1.00015597319114E+16"/>
    <n v="100011854"/>
    <s v="success"/>
    <n v="65"/>
    <n v="100011853"/>
    <n v="100011854"/>
    <n v="200023707"/>
    <n v="100011854"/>
    <n v="2"/>
    <n v="1"/>
    <n v="1.5"/>
    <n v="34.841200000000001"/>
    <n v="6400758624"/>
    <m/>
    <m/>
    <m/>
    <s v="736 5794"/>
    <m/>
    <m/>
    <n v="477301605"/>
    <n v="0"/>
    <n v="318208528"/>
    <n v="477301605"/>
    <n v="795510133"/>
    <n v="29831350"/>
    <n v="0"/>
    <n v="19888033"/>
    <n v="29831350"/>
    <n v="49719383"/>
    <n v="41.694299999999998"/>
    <n v="21.211300000000001"/>
    <n v="10621"/>
    <n v="8579.56"/>
    <n v="9753"/>
    <n v="2843"/>
    <x v="3"/>
    <x v="4"/>
  </r>
  <r>
    <s v="istree_exp5_numerical_stability_vs_time/step10083.txt"/>
    <x v="3"/>
    <m/>
    <s v="reclaimer_debra"/>
    <s v="allocator_new"/>
    <s v="pool_none"/>
    <n v="32000"/>
    <n v="20"/>
    <n v="20"/>
    <n v="0"/>
    <n v="1"/>
    <n v="200000000"/>
    <n v="190"/>
    <n v="190"/>
    <n v="190"/>
    <n v="0"/>
    <s v="insertIfAbsent"/>
    <n v="1.00006288245066E+16"/>
    <n v="100001110"/>
    <n v="1.00006288245066E+16"/>
    <n v="100001110"/>
    <s v="success"/>
    <n v="69"/>
    <n v="100001109"/>
    <n v="100001110"/>
    <n v="200002219"/>
    <n v="100001110"/>
    <n v="2"/>
    <n v="1"/>
    <n v="1.5"/>
    <n v="35.582099999999997"/>
    <n v="6400071008"/>
    <m/>
    <m/>
    <m/>
    <s v="728 10510"/>
    <m/>
    <m/>
    <n v="962088074"/>
    <n v="0"/>
    <n v="641397002"/>
    <n v="962088074"/>
    <n v="1603485076"/>
    <n v="30065252"/>
    <n v="0"/>
    <n v="20043656"/>
    <n v="30065252"/>
    <n v="50108908"/>
    <n v="42.040100000000002"/>
    <n v="21.704499999999999"/>
    <n v="10546.3"/>
    <n v="8713.17"/>
    <n v="11089"/>
    <n v="2847"/>
    <x v="3"/>
    <x v="5"/>
  </r>
  <r>
    <s v="istree_exp5_numerical_stability_vs_time/step10084.txt"/>
    <x v="3"/>
    <m/>
    <s v="reclaimer_debra"/>
    <s v="allocator_new"/>
    <s v="pool_none"/>
    <n v="64000"/>
    <n v="20"/>
    <n v="20"/>
    <n v="0"/>
    <n v="1"/>
    <n v="200000000"/>
    <n v="190"/>
    <n v="190"/>
    <n v="190"/>
    <n v="0"/>
    <s v="insertIfAbsent"/>
    <n v="1.00008896090675E+16"/>
    <n v="100002163"/>
    <n v="1.00008896090675E+16"/>
    <n v="100002163"/>
    <s v="success"/>
    <n v="68"/>
    <n v="100002162"/>
    <n v="100002163"/>
    <n v="200004325"/>
    <n v="100002163"/>
    <n v="2"/>
    <n v="1"/>
    <n v="1.5"/>
    <n v="35.171300000000002"/>
    <n v="6400138400"/>
    <m/>
    <m/>
    <m/>
    <s v="736 19744"/>
    <m/>
    <m/>
    <n v="1887364624"/>
    <n v="0"/>
    <n v="1258212309"/>
    <n v="1887364624"/>
    <n v="3145576933"/>
    <n v="29490072"/>
    <n v="0"/>
    <n v="19659567"/>
    <n v="29490072"/>
    <n v="49149639"/>
    <n v="42.573500000000003"/>
    <n v="22.1755"/>
    <n v="10754.8"/>
    <n v="8868.36"/>
    <n v="12353"/>
    <n v="2829"/>
    <x v="3"/>
    <x v="6"/>
  </r>
  <r>
    <s v="istree_exp5_numerical_stability_vs_time/step10085.txt"/>
    <x v="0"/>
    <n v="72"/>
    <s v="reclaimer_debra"/>
    <s v="allocator_new"/>
    <s v="pool_none"/>
    <n v="1000"/>
    <n v="5"/>
    <n v="5"/>
    <n v="0"/>
    <n v="1"/>
    <n v="2000000"/>
    <n v="190"/>
    <n v="190"/>
    <n v="190"/>
    <n v="0"/>
    <s v="insertIfAbsent"/>
    <n v="1000212576131"/>
    <n v="1000097"/>
    <n v="1000212576131"/>
    <n v="1000097"/>
    <s v="success"/>
    <n v="6"/>
    <n v="54291"/>
    <n v="1075713"/>
    <n v="1130004"/>
    <n v="1000097"/>
    <n v="20.813800000000001"/>
    <n v="0.92970600000000003"/>
    <n v="1.88504"/>
    <n v="3.04454"/>
    <n v="21576528"/>
    <s v="72 93508 45046 373214"/>
    <s v="39 93023 44893 373182"/>
    <n v="177644"/>
    <n v="1314"/>
    <m/>
    <m/>
    <n v="178894056"/>
    <n v="0"/>
    <n v="19876526"/>
    <n v="178894056"/>
    <n v="198770582"/>
    <n v="178894056"/>
    <n v="0"/>
    <n v="19876526"/>
    <n v="178894056"/>
    <n v="198770582"/>
    <n v="12.924200000000001"/>
    <n v="3.1428799999999999"/>
    <n v="2603.2800000000002"/>
    <n v="1783.08"/>
    <n v="1437"/>
    <n v="470"/>
    <x v="4"/>
    <x v="0"/>
  </r>
  <r>
    <s v="istree_exp5_numerical_stability_vs_time/step10086.txt"/>
    <x v="0"/>
    <n v="72"/>
    <s v="reclaimer_debra"/>
    <s v="allocator_new"/>
    <s v="pool_none"/>
    <n v="2000"/>
    <n v="5"/>
    <n v="5"/>
    <n v="0"/>
    <n v="1"/>
    <n v="2000000"/>
    <n v="190"/>
    <n v="190"/>
    <n v="190"/>
    <n v="0"/>
    <s v="insertIfAbsent"/>
    <n v="999922098022"/>
    <n v="999702"/>
    <n v="999922098022"/>
    <n v="999702"/>
    <s v="success"/>
    <n v="6"/>
    <n v="53503"/>
    <n v="1073418"/>
    <n v="1126921"/>
    <n v="999702"/>
    <n v="21.062799999999999"/>
    <n v="0.93132599999999999"/>
    <n v="1.8871100000000001"/>
    <n v="3.0427300000000002"/>
    <n v="21474912"/>
    <s v="150 187766 91553 748855"/>
    <s v="79 186840 91257 748809"/>
    <n v="347441"/>
    <n v="2622"/>
    <m/>
    <m/>
    <n v="359464690"/>
    <n v="0"/>
    <n v="39934537"/>
    <n v="359464690"/>
    <n v="399399227"/>
    <n v="179732345"/>
    <n v="0"/>
    <n v="19967268"/>
    <n v="179732345"/>
    <n v="199699613"/>
    <n v="12.908799999999999"/>
    <n v="3.1475300000000002"/>
    <n v="2642.49"/>
    <n v="1815.21"/>
    <n v="1475"/>
    <n v="341"/>
    <x v="4"/>
    <x v="1"/>
  </r>
  <r>
    <s v="istree_exp5_numerical_stability_vs_time/step10087.txt"/>
    <x v="0"/>
    <n v="72"/>
    <s v="reclaimer_debra"/>
    <s v="allocator_new"/>
    <s v="pool_none"/>
    <n v="4000"/>
    <n v="5"/>
    <n v="5"/>
    <n v="0"/>
    <n v="1"/>
    <n v="2000000"/>
    <n v="190"/>
    <n v="190"/>
    <n v="190"/>
    <n v="0"/>
    <s v="insertIfAbsent"/>
    <n v="999922971665"/>
    <n v="999939"/>
    <n v="999922971665"/>
    <n v="999939"/>
    <s v="success"/>
    <n v="6"/>
    <n v="57804"/>
    <n v="1082340"/>
    <n v="1140144"/>
    <n v="999939"/>
    <n v="19.724299999999999"/>
    <n v="0.92386800000000002"/>
    <n v="1.87703"/>
    <n v="3.0519099999999999"/>
    <n v="21966272"/>
    <s v="280 373285 181509 1492142"/>
    <s v="159 371439 180891 1492067"/>
    <n v="676663"/>
    <n v="5220"/>
    <m/>
    <m/>
    <n v="715857154"/>
    <n v="0"/>
    <n v="79540132"/>
    <n v="715857154"/>
    <n v="795397286"/>
    <n v="178964288"/>
    <n v="0"/>
    <n v="19885033"/>
    <n v="178964288"/>
    <n v="198849321"/>
    <n v="12.928800000000001"/>
    <n v="3.1476700000000002"/>
    <n v="2658.13"/>
    <n v="1829.59"/>
    <n v="1511"/>
    <n v="248"/>
    <x v="4"/>
    <x v="2"/>
  </r>
  <r>
    <s v="istree_exp5_numerical_stability_vs_time/step10088.txt"/>
    <x v="0"/>
    <n v="72"/>
    <s v="reclaimer_debra"/>
    <s v="allocator_new"/>
    <s v="pool_none"/>
    <n v="8000"/>
    <n v="5"/>
    <n v="5"/>
    <n v="0"/>
    <n v="1"/>
    <n v="2000000"/>
    <n v="190"/>
    <n v="190"/>
    <n v="190"/>
    <n v="0"/>
    <s v="insertIfAbsent"/>
    <n v="998760140842"/>
    <n v="998620"/>
    <n v="998760140842"/>
    <n v="998620"/>
    <s v="success"/>
    <n v="6"/>
    <n v="53604"/>
    <n v="1072574"/>
    <n v="1126178"/>
    <n v="998620"/>
    <n v="21.0092"/>
    <n v="0.93105000000000004"/>
    <n v="1.88673"/>
    <n v="3.0430799999999998"/>
    <n v="21469680"/>
    <s v="584 753682 366345 3007355"/>
    <s v="320 749920 365143 3007134"/>
    <n v="1370548"/>
    <n v="10550"/>
    <m/>
    <m/>
    <n v="1442439254"/>
    <n v="0"/>
    <n v="160269788"/>
    <n v="1442439254"/>
    <n v="1602709042"/>
    <n v="180304906"/>
    <n v="0"/>
    <n v="20033723"/>
    <n v="180304906"/>
    <n v="200338630"/>
    <n v="12.867100000000001"/>
    <n v="3.1514000000000002"/>
    <n v="2638.92"/>
    <n v="1809.17"/>
    <n v="1523"/>
    <n v="254"/>
    <x v="4"/>
    <x v="3"/>
  </r>
  <r>
    <s v="istree_exp5_numerical_stability_vs_time/step10089.txt"/>
    <x v="0"/>
    <n v="72"/>
    <s v="reclaimer_debra"/>
    <s v="allocator_new"/>
    <s v="pool_none"/>
    <n v="16000"/>
    <n v="5"/>
    <n v="5"/>
    <n v="0"/>
    <n v="1"/>
    <n v="2000000"/>
    <n v="190"/>
    <n v="190"/>
    <n v="190"/>
    <n v="0"/>
    <s v="insertIfAbsent"/>
    <n v="999206199640"/>
    <n v="999629"/>
    <n v="999206199640"/>
    <n v="999629"/>
    <s v="success"/>
    <n v="6"/>
    <n v="57873"/>
    <n v="1082356"/>
    <n v="1140229"/>
    <n v="999629"/>
    <n v="19.702300000000001"/>
    <n v="0.92356799999999994"/>
    <n v="1.87669"/>
    <n v="3.0523799999999999"/>
    <n v="21975376"/>
    <s v="1167 1498539 728298 5981720"/>
    <s v="638 1491299 725873 5981284"/>
    <n v="2704462"/>
    <n v="20972"/>
    <m/>
    <m/>
    <n v="2869006723"/>
    <n v="0"/>
    <n v="318747660"/>
    <n v="2869006723"/>
    <n v="3187754383"/>
    <n v="179312920"/>
    <n v="0"/>
    <n v="19921728"/>
    <n v="179312920"/>
    <n v="199234648"/>
    <n v="12.897600000000001"/>
    <n v="3.1481699999999999"/>
    <n v="2654.07"/>
    <n v="1825.82"/>
    <n v="1553"/>
    <n v="317"/>
    <x v="4"/>
    <x v="4"/>
  </r>
  <r>
    <s v="istree_exp5_numerical_stability_vs_time/step10090.txt"/>
    <x v="0"/>
    <n v="72"/>
    <s v="reclaimer_debra"/>
    <s v="allocator_new"/>
    <s v="pool_none"/>
    <n v="32000"/>
    <n v="5"/>
    <n v="5"/>
    <n v="0"/>
    <n v="1"/>
    <n v="2000000"/>
    <n v="190"/>
    <n v="190"/>
    <n v="190"/>
    <n v="0"/>
    <s v="insertIfAbsent"/>
    <n v="1002588025018"/>
    <n v="1001907"/>
    <n v="1002588025018"/>
    <n v="1001907"/>
    <s v="success"/>
    <n v="6"/>
    <n v="54717"/>
    <n v="1077869"/>
    <n v="1132586"/>
    <n v="1001907"/>
    <n v="20.699000000000002"/>
    <n v="0.92952599999999996"/>
    <n v="1.88462"/>
    <n v="3.0453800000000002"/>
    <n v="21646592"/>
    <s v="2271 2988200 1454887 11940999"/>
    <s v="1272 2973584 1450137 11940065"/>
    <n v="5387187"/>
    <n v="41738"/>
    <m/>
    <m/>
    <n v="5720371769"/>
    <n v="0"/>
    <n v="635639861"/>
    <n v="5720371769"/>
    <n v="6356011630"/>
    <n v="178761617"/>
    <n v="0"/>
    <n v="19863745"/>
    <n v="178761617"/>
    <n v="198625363"/>
    <n v="12.901899999999999"/>
    <n v="3.1472600000000002"/>
    <n v="2662.39"/>
    <n v="1835.05"/>
    <n v="1578"/>
    <n v="315"/>
    <x v="4"/>
    <x v="5"/>
  </r>
  <r>
    <s v="istree_exp5_numerical_stability_vs_time/step10091.txt"/>
    <x v="0"/>
    <n v="72"/>
    <s v="reclaimer_debra"/>
    <s v="allocator_new"/>
    <s v="pool_none"/>
    <n v="64000"/>
    <n v="5"/>
    <n v="5"/>
    <n v="0"/>
    <n v="1"/>
    <n v="2000000"/>
    <n v="190"/>
    <n v="190"/>
    <n v="190"/>
    <n v="0"/>
    <s v="insertIfAbsent"/>
    <n v="998697518775"/>
    <n v="999311"/>
    <n v="998697518775"/>
    <n v="999311"/>
    <s v="success"/>
    <n v="6"/>
    <n v="48824"/>
    <n v="1063293"/>
    <n v="1112117"/>
    <n v="999311"/>
    <n v="22.778099999999998"/>
    <n v="0.93982699999999997"/>
    <n v="1.8985700000000001"/>
    <n v="3.0324399999999998"/>
    <n v="20926688"/>
    <s v="4538 6009858 2917308 23985596"/>
    <s v="2559 5980243 2907634 23983715"/>
    <n v="10924208"/>
    <n v="84086"/>
    <m/>
    <m/>
    <n v="11503390276"/>
    <n v="0"/>
    <n v="1278168434"/>
    <n v="11503390276"/>
    <n v="12781558710"/>
    <n v="179740473"/>
    <n v="0"/>
    <n v="19971381"/>
    <n v="179740473"/>
    <n v="199711854"/>
    <n v="12.8787"/>
    <n v="3.1522399999999999"/>
    <n v="2647.98"/>
    <n v="1823.3"/>
    <n v="1648"/>
    <n v="239"/>
    <x v="4"/>
    <x v="6"/>
  </r>
  <r>
    <s v="istree_exp5_numerical_stability_vs_time/step10092.txt"/>
    <x v="2"/>
    <n v="208"/>
    <s v="reclaimer_debra"/>
    <s v="allocator_new"/>
    <s v="pool_none"/>
    <n v="1000"/>
    <n v="5"/>
    <n v="5"/>
    <n v="0"/>
    <n v="1"/>
    <n v="2000000"/>
    <n v="190"/>
    <n v="190"/>
    <n v="190"/>
    <n v="0"/>
    <s v="insertIfAbsent"/>
    <n v="1000610885513"/>
    <n v="999924"/>
    <n v="1000610885513"/>
    <n v="999924"/>
    <s v="success"/>
    <n v="8"/>
    <n v="29376"/>
    <n v="195004"/>
    <n v="224380"/>
    <n v="999924"/>
    <n v="7.6382099999999999"/>
    <n v="5.1277100000000004"/>
    <n v="5.4563899999999999"/>
    <n v="7"/>
    <n v="46671040"/>
    <m/>
    <m/>
    <m/>
    <n v="2326"/>
    <m/>
    <m/>
    <n v="295815162"/>
    <n v="0"/>
    <n v="32862256"/>
    <n v="295815162"/>
    <n v="328677418"/>
    <n v="295815162"/>
    <n v="0"/>
    <n v="32862256"/>
    <n v="295815162"/>
    <n v="328677418"/>
    <n v="10.802099999999999"/>
    <n v="2.15273"/>
    <n v="1603.91"/>
    <n v="680.52200000000005"/>
    <n v="1182"/>
    <n v="246"/>
    <x v="4"/>
    <x v="0"/>
  </r>
  <r>
    <s v="istree_exp5_numerical_stability_vs_time/step10093.txt"/>
    <x v="2"/>
    <n v="208"/>
    <s v="reclaimer_debra"/>
    <s v="allocator_new"/>
    <s v="pool_none"/>
    <n v="2000"/>
    <n v="5"/>
    <n v="5"/>
    <n v="0"/>
    <n v="1"/>
    <n v="2000000"/>
    <n v="190"/>
    <n v="190"/>
    <n v="190"/>
    <n v="0"/>
    <s v="insertIfAbsent"/>
    <n v="1000552309001"/>
    <n v="1000236"/>
    <n v="1000552309001"/>
    <n v="1000236"/>
    <s v="success"/>
    <n v="8"/>
    <n v="31242"/>
    <n v="196461"/>
    <n v="227703"/>
    <n v="1000236"/>
    <n v="7.2883599999999999"/>
    <n v="5.0912699999999997"/>
    <n v="5.3927199999999997"/>
    <n v="7"/>
    <n v="47362224"/>
    <m/>
    <m/>
    <m/>
    <n v="4268"/>
    <m/>
    <m/>
    <n v="573476089"/>
    <n v="0"/>
    <n v="63724471"/>
    <n v="573476089"/>
    <n v="637200560"/>
    <n v="286738044"/>
    <n v="0"/>
    <n v="31862235"/>
    <n v="286738044"/>
    <n v="318600280"/>
    <n v="11.1096"/>
    <n v="2.24492"/>
    <n v="1644.1"/>
    <n v="712.03099999999995"/>
    <n v="1189"/>
    <n v="232"/>
    <x v="4"/>
    <x v="1"/>
  </r>
  <r>
    <s v="istree_exp5_numerical_stability_vs_time/step10094.txt"/>
    <x v="2"/>
    <n v="208"/>
    <s v="reclaimer_debra"/>
    <s v="allocator_new"/>
    <s v="pool_none"/>
    <n v="4000"/>
    <n v="5"/>
    <n v="5"/>
    <n v="0"/>
    <n v="1"/>
    <n v="2000000"/>
    <n v="190"/>
    <n v="190"/>
    <n v="190"/>
    <n v="0"/>
    <s v="insertIfAbsent"/>
    <n v="999293141783"/>
    <n v="999558"/>
    <n v="999293141783"/>
    <n v="999558"/>
    <s v="success"/>
    <n v="8"/>
    <n v="32425"/>
    <n v="195751"/>
    <n v="228176"/>
    <n v="999558"/>
    <n v="7.0370400000000002"/>
    <n v="5.1062700000000003"/>
    <n v="5.3806399999999996"/>
    <n v="7"/>
    <n v="47460608"/>
    <m/>
    <m/>
    <m/>
    <n v="8180"/>
    <m/>
    <m/>
    <n v="1115896732"/>
    <n v="0"/>
    <n v="123966866"/>
    <n v="1115896732"/>
    <n v="1239863598"/>
    <n v="278974183"/>
    <n v="0"/>
    <n v="30991716"/>
    <n v="278974183"/>
    <n v="309965899"/>
    <n v="11.255599999999999"/>
    <n v="2.28817"/>
    <n v="1671.66"/>
    <n v="741.25400000000002"/>
    <n v="1189"/>
    <n v="234"/>
    <x v="4"/>
    <x v="2"/>
  </r>
  <r>
    <s v="istree_exp5_numerical_stability_vs_time/step10095.txt"/>
    <x v="2"/>
    <n v="208"/>
    <s v="reclaimer_debra"/>
    <s v="allocator_new"/>
    <s v="pool_none"/>
    <n v="8000"/>
    <n v="5"/>
    <n v="5"/>
    <n v="0"/>
    <n v="1"/>
    <n v="2000000"/>
    <n v="190"/>
    <n v="190"/>
    <n v="190"/>
    <n v="0"/>
    <s v="insertIfAbsent"/>
    <n v="1001176753054"/>
    <n v="1000617"/>
    <n v="1001176753054"/>
    <n v="1000617"/>
    <s v="success"/>
    <n v="8"/>
    <n v="33649"/>
    <n v="195329"/>
    <n v="228978"/>
    <n v="1000617"/>
    <n v="6.8048999999999999"/>
    <n v="5.1227299999999998"/>
    <n v="5.3699300000000001"/>
    <n v="7"/>
    <n v="47627424"/>
    <m/>
    <m/>
    <m/>
    <n v="15986"/>
    <m/>
    <m/>
    <n v="2185364807"/>
    <n v="0"/>
    <n v="242833457"/>
    <n v="2185364807"/>
    <n v="2428198264"/>
    <n v="273170600"/>
    <n v="0"/>
    <n v="30354182"/>
    <n v="273170600"/>
    <n v="303524783"/>
    <n v="11.4564"/>
    <n v="2.33074"/>
    <n v="1700.29"/>
    <n v="766.17"/>
    <n v="1202"/>
    <n v="303"/>
    <x v="4"/>
    <x v="3"/>
  </r>
  <r>
    <s v="istree_exp5_numerical_stability_vs_time/step10096.txt"/>
    <x v="2"/>
    <n v="208"/>
    <s v="reclaimer_debra"/>
    <s v="allocator_new"/>
    <s v="pool_none"/>
    <n v="16000"/>
    <n v="5"/>
    <n v="5"/>
    <n v="0"/>
    <n v="1"/>
    <n v="2000000"/>
    <n v="190"/>
    <n v="190"/>
    <n v="190"/>
    <n v="0"/>
    <s v="insertIfAbsent"/>
    <n v="1000141918392"/>
    <n v="1000775"/>
    <n v="1000141918392"/>
    <n v="1000775"/>
    <s v="success"/>
    <n v="8"/>
    <n v="34564"/>
    <n v="194915"/>
    <n v="229479"/>
    <n v="1000775"/>
    <n v="6.6392499999999997"/>
    <n v="5.1344200000000004"/>
    <n v="5.3610699999999998"/>
    <n v="7"/>
    <n v="47731632"/>
    <m/>
    <m/>
    <m/>
    <n v="31312"/>
    <m/>
    <m/>
    <n v="4342323221"/>
    <n v="0"/>
    <n v="482498909"/>
    <n v="4342323221"/>
    <n v="4824822130"/>
    <n v="271395201"/>
    <n v="0"/>
    <n v="30156181"/>
    <n v="271395201"/>
    <n v="301551383"/>
    <n v="11.6241"/>
    <n v="2.35276"/>
    <n v="1709.02"/>
    <n v="776.60500000000002"/>
    <n v="1219"/>
    <n v="292"/>
    <x v="4"/>
    <x v="4"/>
  </r>
  <r>
    <s v="istree_exp5_numerical_stability_vs_time/step10097.txt"/>
    <x v="2"/>
    <n v="208"/>
    <s v="reclaimer_debra"/>
    <s v="allocator_new"/>
    <s v="pool_none"/>
    <n v="32000"/>
    <n v="5"/>
    <n v="5"/>
    <n v="0"/>
    <n v="1"/>
    <n v="2000000"/>
    <n v="190"/>
    <n v="190"/>
    <n v="190"/>
    <n v="0"/>
    <s v="insertIfAbsent"/>
    <n v="999215155370"/>
    <n v="999529"/>
    <n v="999215155370"/>
    <n v="999529"/>
    <s v="success"/>
    <n v="8"/>
    <n v="35311"/>
    <n v="194827"/>
    <n v="230138"/>
    <n v="999529"/>
    <n v="6.5174599999999998"/>
    <n v="5.1303400000000003"/>
    <n v="5.3431699999999998"/>
    <n v="7"/>
    <n v="47868704"/>
    <m/>
    <m/>
    <m/>
    <s v="234 61100"/>
    <m/>
    <m/>
    <n v="8566234065"/>
    <n v="0"/>
    <n v="951792674"/>
    <n v="8566234065"/>
    <n v="9518026739"/>
    <n v="267694814"/>
    <n v="0"/>
    <n v="29743521"/>
    <n v="267694814"/>
    <n v="297438335"/>
    <n v="11.7302"/>
    <n v="2.3680500000000002"/>
    <n v="1730.19"/>
    <n v="793.42499999999995"/>
    <n v="1230"/>
    <n v="302"/>
    <x v="4"/>
    <x v="5"/>
  </r>
  <r>
    <s v="istree_exp5_numerical_stability_vs_time/step10098.txt"/>
    <x v="2"/>
    <n v="208"/>
    <s v="reclaimer_debra"/>
    <s v="allocator_new"/>
    <s v="pool_none"/>
    <n v="64000"/>
    <n v="5"/>
    <n v="5"/>
    <n v="0"/>
    <n v="1"/>
    <n v="2000000"/>
    <n v="190"/>
    <n v="190"/>
    <n v="190"/>
    <n v="0"/>
    <s v="insertIfAbsent"/>
    <n v="999169506725"/>
    <n v="998725"/>
    <n v="999169506725"/>
    <n v="998725"/>
    <s v="success"/>
    <n v="8"/>
    <n v="36203"/>
    <n v="194674"/>
    <n v="230877"/>
    <n v="998725"/>
    <n v="6.3772900000000003"/>
    <n v="5.1302399999999997"/>
    <n v="5.3257899999999996"/>
    <n v="7"/>
    <n v="48022416"/>
    <m/>
    <m/>
    <m/>
    <n v="122604"/>
    <m/>
    <m/>
    <n v="17061327933"/>
    <n v="0"/>
    <n v="1895806225"/>
    <n v="17061327933"/>
    <n v="18957134158"/>
    <n v="266583248"/>
    <n v="0"/>
    <n v="29621972"/>
    <n v="266583248"/>
    <n v="296205221"/>
    <n v="11.8065"/>
    <n v="2.3696799999999998"/>
    <n v="1735.7"/>
    <n v="798.98199999999997"/>
    <n v="1241"/>
    <n v="271"/>
    <x v="4"/>
    <x v="6"/>
  </r>
  <r>
    <s v="istree_exp5_numerical_stability_vs_time/step10099.txt"/>
    <x v="1"/>
    <m/>
    <s v="reclaimer_debra"/>
    <s v="allocator_new"/>
    <s v="pool_none"/>
    <n v="1000"/>
    <n v="5"/>
    <n v="5"/>
    <n v="0"/>
    <n v="1"/>
    <n v="2000000"/>
    <n v="190"/>
    <n v="190"/>
    <n v="190"/>
    <n v="0"/>
    <s v="insertIfAbsent"/>
    <n v="1001769537721"/>
    <n v="1001837"/>
    <n v="1001769537721"/>
    <n v="1001837"/>
    <s v="success"/>
    <n v="25"/>
    <n v="686939"/>
    <n v="521167"/>
    <n v="1208106"/>
    <n v="1001837"/>
    <n v="1.75868"/>
    <n v="1.9222999999999999"/>
    <n v="1.8292600000000001"/>
    <n v="19.8719"/>
    <n v="67653936"/>
    <m/>
    <m/>
    <m/>
    <n v="1520"/>
    <m/>
    <m/>
    <n v="178975595"/>
    <n v="0"/>
    <n v="19881266"/>
    <n v="178975595"/>
    <n v="198856861"/>
    <n v="178975595"/>
    <n v="0"/>
    <n v="19881266"/>
    <n v="178975595"/>
    <n v="198856861"/>
    <n v="17.075900000000001"/>
    <n v="3.1109300000000002"/>
    <n v="2626.83"/>
    <n v="1280.25"/>
    <n v="1185"/>
    <n v="373"/>
    <x v="4"/>
    <x v="0"/>
  </r>
  <r>
    <s v="istree_exp5_numerical_stability_vs_time/step10100.txt"/>
    <x v="1"/>
    <m/>
    <s v="reclaimer_debra"/>
    <s v="allocator_new"/>
    <s v="pool_none"/>
    <n v="2000"/>
    <n v="5"/>
    <n v="5"/>
    <n v="0"/>
    <n v="1"/>
    <n v="2000000"/>
    <n v="190"/>
    <n v="190"/>
    <n v="190"/>
    <n v="0"/>
    <s v="insertIfAbsent"/>
    <n v="999941791739"/>
    <n v="999532"/>
    <n v="999941791739"/>
    <n v="999532"/>
    <s v="success"/>
    <n v="25"/>
    <n v="685206"/>
    <n v="520377"/>
    <n v="1205583"/>
    <n v="999532"/>
    <n v="1.75945"/>
    <n v="1.9207799999999999"/>
    <n v="1.8290900000000001"/>
    <n v="19.879300000000001"/>
    <n v="67512648"/>
    <m/>
    <m/>
    <m/>
    <n v="2622"/>
    <m/>
    <m/>
    <n v="354634863"/>
    <n v="0"/>
    <n v="39404430"/>
    <n v="354634863"/>
    <n v="394039293"/>
    <n v="177317431"/>
    <n v="0"/>
    <n v="19702215"/>
    <n v="177317431"/>
    <n v="197019646"/>
    <n v="17.224499999999999"/>
    <n v="3.1814100000000001"/>
    <n v="2665.73"/>
    <n v="1333.38"/>
    <n v="1188"/>
    <n v="262"/>
    <x v="4"/>
    <x v="1"/>
  </r>
  <r>
    <s v="istree_exp5_numerical_stability_vs_time/step10101.txt"/>
    <x v="1"/>
    <m/>
    <s v="reclaimer_debra"/>
    <s v="allocator_new"/>
    <s v="pool_none"/>
    <n v="4000"/>
    <n v="5"/>
    <n v="5"/>
    <n v="0"/>
    <n v="1"/>
    <n v="2000000"/>
    <n v="190"/>
    <n v="190"/>
    <n v="190"/>
    <n v="0"/>
    <s v="insertIfAbsent"/>
    <n v="999223039943"/>
    <n v="999579"/>
    <n v="999223039943"/>
    <n v="999579"/>
    <s v="success"/>
    <n v="25"/>
    <n v="685894"/>
    <n v="520135"/>
    <n v="1206029"/>
    <n v="999579"/>
    <n v="1.7583299999999999"/>
    <n v="1.92177"/>
    <n v="1.8288199999999999"/>
    <n v="19.884699999999999"/>
    <n v="67537624"/>
    <m/>
    <m/>
    <m/>
    <n v="4948"/>
    <m/>
    <m/>
    <n v="691772127"/>
    <n v="0"/>
    <n v="76878669"/>
    <n v="691772127"/>
    <n v="768650796"/>
    <n v="172943031"/>
    <n v="0"/>
    <n v="19219667"/>
    <n v="172943031"/>
    <n v="192162699"/>
    <n v="17.421099999999999"/>
    <n v="3.2529400000000002"/>
    <n v="2712.24"/>
    <n v="1391.31"/>
    <n v="1193"/>
    <n v="252"/>
    <x v="4"/>
    <x v="2"/>
  </r>
  <r>
    <s v="istree_exp5_numerical_stability_vs_time/step10102.txt"/>
    <x v="1"/>
    <m/>
    <s v="reclaimer_debra"/>
    <s v="allocator_new"/>
    <s v="pool_none"/>
    <n v="8000"/>
    <n v="5"/>
    <n v="5"/>
    <n v="0"/>
    <n v="1"/>
    <n v="2000000"/>
    <n v="190"/>
    <n v="190"/>
    <n v="190"/>
    <n v="0"/>
    <s v="insertIfAbsent"/>
    <n v="999773868633"/>
    <n v="1000372"/>
    <n v="999773868633"/>
    <n v="1000372"/>
    <s v="success"/>
    <n v="25"/>
    <n v="686176"/>
    <n v="520184"/>
    <n v="1206360"/>
    <n v="1000372"/>
    <n v="1.7580899999999999"/>
    <n v="1.9231100000000001"/>
    <n v="1.82925"/>
    <n v="19.8401"/>
    <n v="67556160"/>
    <m/>
    <m/>
    <m/>
    <n v="9530"/>
    <m/>
    <m/>
    <n v="1348498079"/>
    <n v="0"/>
    <n v="149827388"/>
    <n v="1348498079"/>
    <n v="1498325467"/>
    <n v="168562259"/>
    <n v="0"/>
    <n v="18728423"/>
    <n v="168562259"/>
    <n v="187290683"/>
    <n v="17.720400000000001"/>
    <n v="3.3399899999999998"/>
    <n v="2777.35"/>
    <n v="1459.67"/>
    <n v="1202"/>
    <n v="362"/>
    <x v="4"/>
    <x v="3"/>
  </r>
  <r>
    <s v="istree_exp5_numerical_stability_vs_time/step10103.txt"/>
    <x v="1"/>
    <m/>
    <s v="reclaimer_debra"/>
    <s v="allocator_new"/>
    <s v="pool_none"/>
    <n v="16000"/>
    <n v="5"/>
    <n v="5"/>
    <n v="0"/>
    <n v="1"/>
    <n v="2000000"/>
    <n v="190"/>
    <n v="190"/>
    <n v="190"/>
    <n v="0"/>
    <s v="insertIfAbsent"/>
    <n v="999925250698"/>
    <n v="1000307"/>
    <n v="999925250698"/>
    <n v="1000307"/>
    <s v="success"/>
    <n v="25"/>
    <n v="686175"/>
    <n v="520399"/>
    <n v="1206574"/>
    <n v="1000307"/>
    <n v="1.75841"/>
    <n v="1.9221900000000001"/>
    <n v="1.8290500000000001"/>
    <n v="19.8203"/>
    <n v="67568144"/>
    <m/>
    <m/>
    <m/>
    <n v="18412"/>
    <m/>
    <m/>
    <n v="2646617910"/>
    <n v="0"/>
    <n v="294071404"/>
    <n v="2646617910"/>
    <n v="2940689314"/>
    <n v="165413619"/>
    <n v="0"/>
    <n v="18379462"/>
    <n v="165413619"/>
    <n v="183793082"/>
    <n v="18.244"/>
    <n v="3.4437099999999998"/>
    <n v="2832.27"/>
    <n v="1518.94"/>
    <n v="1216"/>
    <n v="352"/>
    <x v="4"/>
    <x v="4"/>
  </r>
  <r>
    <s v="istree_exp5_numerical_stability_vs_time/step10104.txt"/>
    <x v="1"/>
    <m/>
    <s v="reclaimer_debra"/>
    <s v="allocator_new"/>
    <s v="pool_none"/>
    <n v="32000"/>
    <n v="5"/>
    <n v="5"/>
    <n v="0"/>
    <n v="1"/>
    <n v="2000000"/>
    <n v="190"/>
    <n v="190"/>
    <n v="190"/>
    <n v="0"/>
    <s v="insertIfAbsent"/>
    <n v="1000022506519"/>
    <n v="1000225"/>
    <n v="1000022506519"/>
    <n v="1000225"/>
    <s v="success"/>
    <n v="25"/>
    <n v="686261"/>
    <n v="520045"/>
    <n v="1206306"/>
    <n v="1000225"/>
    <n v="1.75779"/>
    <n v="1.92334"/>
    <n v="1.8291599999999999"/>
    <n v="19.852499999999999"/>
    <n v="67553136"/>
    <m/>
    <m/>
    <m/>
    <n v="35616"/>
    <m/>
    <m/>
    <n v="5197381910"/>
    <n v="0"/>
    <n v="577458397"/>
    <n v="5197381910"/>
    <n v="5774840307"/>
    <n v="162418184"/>
    <n v="0"/>
    <n v="18045574"/>
    <n v="162418184"/>
    <n v="180463759"/>
    <n v="18.7591"/>
    <n v="3.49796"/>
    <n v="2883.14"/>
    <n v="1564.24"/>
    <n v="1233"/>
    <n v="256"/>
    <x v="4"/>
    <x v="5"/>
  </r>
  <r>
    <s v="istree_exp5_numerical_stability_vs_time/step10105.txt"/>
    <x v="1"/>
    <m/>
    <s v="reclaimer_debra"/>
    <s v="allocator_new"/>
    <s v="pool_none"/>
    <n v="64000"/>
    <n v="5"/>
    <n v="5"/>
    <n v="0"/>
    <n v="1"/>
    <n v="2000000"/>
    <n v="190"/>
    <n v="190"/>
    <n v="190"/>
    <n v="0"/>
    <s v="insertIfAbsent"/>
    <n v="1001031760899"/>
    <n v="1000822"/>
    <n v="1001031760899"/>
    <n v="1000822"/>
    <s v="success"/>
    <n v="25"/>
    <n v="686054"/>
    <n v="520615"/>
    <n v="1206669"/>
    <n v="1000822"/>
    <n v="1.75885"/>
    <n v="1.92238"/>
    <n v="1.82941"/>
    <n v="19.837399999999999"/>
    <n v="67573464"/>
    <m/>
    <m/>
    <m/>
    <n v="70132"/>
    <m/>
    <m/>
    <n v="10178971288"/>
    <n v="0"/>
    <n v="1130960682"/>
    <n v="10178971288"/>
    <n v="11309931970"/>
    <n v="159046426"/>
    <n v="0"/>
    <n v="17671260"/>
    <n v="159046426"/>
    <n v="176717687"/>
    <n v="19.4147"/>
    <n v="3.4811899999999998"/>
    <n v="2943.32"/>
    <n v="1597.41"/>
    <n v="1246"/>
    <n v="255"/>
    <x v="4"/>
    <x v="6"/>
  </r>
  <r>
    <s v="istree_exp5_numerical_stability_vs_time/step10106.txt"/>
    <x v="3"/>
    <m/>
    <s v="reclaimer_debra"/>
    <s v="allocator_new"/>
    <s v="pool_none"/>
    <n v="1000"/>
    <n v="5"/>
    <n v="5"/>
    <n v="0"/>
    <n v="1"/>
    <n v="2000000"/>
    <n v="190"/>
    <n v="190"/>
    <n v="190"/>
    <n v="0"/>
    <s v="insertIfAbsent"/>
    <n v="1001052913094"/>
    <n v="1000427"/>
    <n v="1001052913094"/>
    <n v="1000427"/>
    <s v="success"/>
    <n v="49"/>
    <n v="1000426"/>
    <n v="1000427"/>
    <n v="2000853"/>
    <n v="1000427"/>
    <n v="2"/>
    <n v="1"/>
    <n v="1.5"/>
    <n v="26.764399999999998"/>
    <n v="64027296"/>
    <m/>
    <m/>
    <m/>
    <n v="1334"/>
    <m/>
    <m/>
    <n v="173557081"/>
    <n v="0"/>
    <n v="19282784"/>
    <n v="173557081"/>
    <n v="192839865"/>
    <n v="173557081"/>
    <n v="0"/>
    <n v="19282784"/>
    <n v="173557081"/>
    <n v="192839865"/>
    <n v="12.809100000000001"/>
    <n v="2.40524"/>
    <n v="2742.54"/>
    <n v="1753.49"/>
    <n v="1176"/>
    <n v="219"/>
    <x v="4"/>
    <x v="0"/>
  </r>
  <r>
    <s v="istree_exp5_numerical_stability_vs_time/step10107.txt"/>
    <x v="3"/>
    <m/>
    <s v="reclaimer_debra"/>
    <s v="allocator_new"/>
    <s v="pool_none"/>
    <n v="2000"/>
    <n v="5"/>
    <n v="5"/>
    <n v="0"/>
    <n v="1"/>
    <n v="2000000"/>
    <n v="190"/>
    <n v="190"/>
    <n v="190"/>
    <n v="0"/>
    <s v="insertIfAbsent"/>
    <n v="1002033540321"/>
    <n v="1002255"/>
    <n v="1002033540321"/>
    <n v="1002255"/>
    <s v="success"/>
    <n v="49"/>
    <n v="1002254"/>
    <n v="1002255"/>
    <n v="2004509"/>
    <n v="1002255"/>
    <n v="2"/>
    <n v="1"/>
    <n v="1.5"/>
    <n v="26.206399999999999"/>
    <n v="64144288"/>
    <m/>
    <m/>
    <m/>
    <s v="252 2602"/>
    <m/>
    <m/>
    <n v="347558649"/>
    <n v="0"/>
    <n v="38622796"/>
    <n v="347558649"/>
    <n v="386181445"/>
    <n v="173779324"/>
    <n v="0"/>
    <n v="19311398"/>
    <n v="173779324"/>
    <n v="193090722"/>
    <n v="12.868399999999999"/>
    <n v="2.4809800000000002"/>
    <n v="2740.65"/>
    <n v="1760.5"/>
    <n v="1183"/>
    <n v="316"/>
    <x v="4"/>
    <x v="1"/>
  </r>
  <r>
    <s v="istree_exp5_numerical_stability_vs_time/step10108.txt"/>
    <x v="3"/>
    <m/>
    <s v="reclaimer_debra"/>
    <s v="allocator_new"/>
    <s v="pool_none"/>
    <n v="4000"/>
    <n v="5"/>
    <n v="5"/>
    <n v="0"/>
    <n v="1"/>
    <n v="2000000"/>
    <n v="190"/>
    <n v="190"/>
    <n v="190"/>
    <n v="0"/>
    <s v="insertIfAbsent"/>
    <n v="999004146078"/>
    <n v="999370"/>
    <n v="999004146078"/>
    <n v="999370"/>
    <s v="success"/>
    <n v="49"/>
    <n v="999369"/>
    <n v="999370"/>
    <n v="1998739"/>
    <n v="999370"/>
    <n v="2"/>
    <n v="1"/>
    <n v="1.5"/>
    <n v="25.7075"/>
    <n v="63959648"/>
    <m/>
    <m/>
    <m/>
    <n v="4768"/>
    <m/>
    <m/>
    <n v="683050760"/>
    <n v="0"/>
    <n v="75899796"/>
    <n v="683050760"/>
    <n v="758950556"/>
    <n v="170762690"/>
    <n v="0"/>
    <n v="18974949"/>
    <n v="170762690"/>
    <n v="189737639"/>
    <n v="13.0517"/>
    <n v="2.5890499999999999"/>
    <n v="2788.86"/>
    <n v="1810.5"/>
    <n v="1192"/>
    <n v="241"/>
    <x v="4"/>
    <x v="2"/>
  </r>
  <r>
    <s v="istree_exp5_numerical_stability_vs_time/step10109.txt"/>
    <x v="3"/>
    <m/>
    <s v="reclaimer_debra"/>
    <s v="allocator_new"/>
    <s v="pool_none"/>
    <n v="8000"/>
    <n v="5"/>
    <n v="5"/>
    <n v="0"/>
    <n v="1"/>
    <n v="2000000"/>
    <n v="190"/>
    <n v="190"/>
    <n v="190"/>
    <n v="0"/>
    <s v="insertIfAbsent"/>
    <n v="1000650965870"/>
    <n v="1000262"/>
    <n v="1000650965870"/>
    <n v="1000262"/>
    <s v="success"/>
    <n v="46"/>
    <n v="1000261"/>
    <n v="1000262"/>
    <n v="2000523"/>
    <n v="1000262"/>
    <n v="2"/>
    <n v="1"/>
    <n v="1.5"/>
    <n v="25.847000000000001"/>
    <n v="64016736"/>
    <m/>
    <m/>
    <m/>
    <n v="9244"/>
    <m/>
    <m/>
    <n v="1352700859"/>
    <n v="0"/>
    <n v="150306435"/>
    <n v="1352700859"/>
    <n v="1503007294"/>
    <n v="169087607"/>
    <n v="0"/>
    <n v="18788304"/>
    <n v="169087607"/>
    <n v="187875911"/>
    <n v="13.2966"/>
    <n v="2.6997599999999999"/>
    <n v="2817.25"/>
    <n v="1850.15"/>
    <n v="1207"/>
    <n v="217"/>
    <x v="4"/>
    <x v="3"/>
  </r>
  <r>
    <s v="istree_exp5_numerical_stability_vs_time/step10110.txt"/>
    <x v="3"/>
    <m/>
    <s v="reclaimer_debra"/>
    <s v="allocator_new"/>
    <s v="pool_none"/>
    <n v="16000"/>
    <n v="5"/>
    <n v="5"/>
    <n v="0"/>
    <n v="1"/>
    <n v="2000000"/>
    <n v="190"/>
    <n v="190"/>
    <n v="190"/>
    <n v="0"/>
    <s v="insertIfAbsent"/>
    <n v="999156262301"/>
    <n v="998884"/>
    <n v="999156262301"/>
    <n v="998884"/>
    <s v="success"/>
    <n v="45"/>
    <n v="998883"/>
    <n v="998884"/>
    <n v="1997767"/>
    <n v="998884"/>
    <n v="2"/>
    <n v="1"/>
    <n v="1.5"/>
    <n v="25.398499999999999"/>
    <n v="63928544"/>
    <m/>
    <m/>
    <m/>
    <s v="220 18446"/>
    <m/>
    <m/>
    <n v="2705723801"/>
    <n v="0"/>
    <n v="300647133"/>
    <n v="2705723801"/>
    <n v="3006370934"/>
    <n v="169107737"/>
    <n v="0"/>
    <n v="18790445"/>
    <n v="169107737"/>
    <n v="187898183"/>
    <n v="13.6105"/>
    <n v="2.7302"/>
    <n v="2816.04"/>
    <n v="1852.58"/>
    <n v="1222"/>
    <n v="276"/>
    <x v="4"/>
    <x v="4"/>
  </r>
  <r>
    <s v="istree_exp5_numerical_stability_vs_time/step10111.txt"/>
    <x v="3"/>
    <m/>
    <s v="reclaimer_debra"/>
    <s v="allocator_new"/>
    <s v="pool_none"/>
    <n v="32000"/>
    <n v="5"/>
    <n v="5"/>
    <n v="0"/>
    <n v="1"/>
    <n v="2000000"/>
    <n v="190"/>
    <n v="190"/>
    <n v="190"/>
    <n v="0"/>
    <s v="insertIfAbsent"/>
    <n v="1001880948285"/>
    <n v="1001885"/>
    <n v="1001880948285"/>
    <n v="1001885"/>
    <s v="success"/>
    <n v="49"/>
    <n v="1001884"/>
    <n v="1001885"/>
    <n v="2003769"/>
    <n v="1001885"/>
    <n v="2"/>
    <n v="1"/>
    <n v="1.5"/>
    <n v="25.631599999999999"/>
    <n v="64120608"/>
    <m/>
    <m/>
    <m/>
    <n v="36326"/>
    <m/>
    <m/>
    <n v="5372667189"/>
    <n v="0"/>
    <n v="596963153"/>
    <n v="5372667189"/>
    <n v="5969630342"/>
    <n v="167895849"/>
    <n v="0"/>
    <n v="18655098"/>
    <n v="167895849"/>
    <n v="186550948"/>
    <n v="13.699400000000001"/>
    <n v="2.6804399999999999"/>
    <n v="2836.86"/>
    <n v="1874.27"/>
    <n v="1231"/>
    <n v="313"/>
    <x v="4"/>
    <x v="5"/>
  </r>
  <r>
    <s v="istree_exp5_numerical_stability_vs_time/step10112.txt"/>
    <x v="3"/>
    <m/>
    <s v="reclaimer_debra"/>
    <s v="allocator_new"/>
    <s v="pool_none"/>
    <n v="64000"/>
    <n v="5"/>
    <n v="5"/>
    <n v="0"/>
    <n v="1"/>
    <n v="2000000"/>
    <n v="190"/>
    <n v="190"/>
    <n v="190"/>
    <n v="0"/>
    <s v="insertIfAbsent"/>
    <n v="999986979666"/>
    <n v="1000307"/>
    <n v="999986979666"/>
    <n v="1000307"/>
    <s v="success"/>
    <n v="47"/>
    <n v="1000306"/>
    <n v="1000307"/>
    <n v="2000613"/>
    <n v="1000307"/>
    <n v="2"/>
    <n v="1"/>
    <n v="1.5"/>
    <n v="25.4285"/>
    <n v="64019616"/>
    <m/>
    <m/>
    <m/>
    <n v="72758"/>
    <m/>
    <m/>
    <n v="10786979875"/>
    <n v="0"/>
    <n v="1198547064"/>
    <n v="10786979875"/>
    <n v="11985526939"/>
    <n v="168546560"/>
    <n v="0"/>
    <n v="18727297"/>
    <n v="168546560"/>
    <n v="187273858"/>
    <n v="13.746"/>
    <n v="2.6085099999999999"/>
    <n v="2826.11"/>
    <n v="1859.54"/>
    <n v="1227"/>
    <n v="222"/>
    <x v="4"/>
    <x v="6"/>
  </r>
  <r>
    <s v="istree_exp5_numerical_stability_vs_time/step10113.txt"/>
    <x v="0"/>
    <n v="72"/>
    <s v="reclaimer_debra"/>
    <s v="allocator_new"/>
    <s v="pool_none"/>
    <n v="1000"/>
    <n v="5"/>
    <n v="5"/>
    <n v="0"/>
    <n v="1"/>
    <n v="20000000"/>
    <n v="190"/>
    <n v="190"/>
    <n v="190"/>
    <n v="0"/>
    <s v="insertIfAbsent"/>
    <n v="99971191361829"/>
    <n v="9998676"/>
    <n v="99971191361829"/>
    <n v="9998676"/>
    <s v="success"/>
    <n v="7"/>
    <n v="1887291"/>
    <n v="11987173"/>
    <n v="13874464"/>
    <n v="9998676"/>
    <n v="7.3515199999999998"/>
    <n v="0.83411500000000005"/>
    <n v="1.72065"/>
    <n v="4.0525000000000002"/>
    <n v="342798320"/>
    <s v="5 9491 80850 2271439 5406"/>
    <s v="3 9488 80806 2271399 5406"/>
    <n v="22515"/>
    <n v="1098"/>
    <m/>
    <m/>
    <n v="154555437"/>
    <n v="0"/>
    <n v="17168206"/>
    <n v="154555437"/>
    <n v="171723643"/>
    <n v="154555437"/>
    <n v="0"/>
    <n v="17168206"/>
    <n v="154555437"/>
    <n v="171723643"/>
    <n v="18.919499999999999"/>
    <n v="8.2865199999999994"/>
    <n v="2798.89"/>
    <n v="1902.17"/>
    <n v="2772"/>
    <n v="368"/>
    <x v="5"/>
    <x v="0"/>
  </r>
  <r>
    <s v="istree_exp5_numerical_stability_vs_time/step10114.txt"/>
    <x v="0"/>
    <n v="72"/>
    <s v="reclaimer_debra"/>
    <s v="allocator_new"/>
    <s v="pool_none"/>
    <n v="2000"/>
    <n v="5"/>
    <n v="5"/>
    <n v="0"/>
    <n v="1"/>
    <n v="20000000"/>
    <n v="190"/>
    <n v="190"/>
    <n v="190"/>
    <n v="0"/>
    <s v="insertIfAbsent"/>
    <n v="100020190204441"/>
    <n v="10003532"/>
    <n v="100020190204441"/>
    <n v="10003532"/>
    <s v="success"/>
    <n v="7"/>
    <n v="1760466"/>
    <n v="11724740"/>
    <n v="13485206"/>
    <n v="10003532"/>
    <n v="7.6600200000000003"/>
    <n v="0.85319900000000004"/>
    <n v="1.7418199999999999"/>
    <n v="4.0276199999999998"/>
    <n v="328435136"/>
    <s v="10 22126 186857 4600846 11709"/>
    <s v="6 22124 186783 4600747 11709"/>
    <n v="48694"/>
    <n v="2208"/>
    <m/>
    <m/>
    <n v="309240335"/>
    <n v="0"/>
    <n v="34358097"/>
    <n v="309240335"/>
    <n v="343598432"/>
    <n v="154620167"/>
    <n v="0"/>
    <n v="17179048"/>
    <n v="154620167"/>
    <n v="171799216"/>
    <n v="19.154599999999999"/>
    <n v="8.4454899999999995"/>
    <n v="2912.64"/>
    <n v="1996.13"/>
    <n v="2822"/>
    <n v="383"/>
    <x v="5"/>
    <x v="1"/>
  </r>
  <r>
    <s v="istree_exp5_numerical_stability_vs_time/step10115.txt"/>
    <x v="0"/>
    <n v="72"/>
    <s v="reclaimer_debra"/>
    <s v="allocator_new"/>
    <s v="pool_none"/>
    <n v="4000"/>
    <n v="5"/>
    <n v="5"/>
    <n v="0"/>
    <n v="1"/>
    <n v="20000000"/>
    <n v="190"/>
    <n v="190"/>
    <n v="190"/>
    <n v="0"/>
    <s v="insertIfAbsent"/>
    <n v="99959028880603"/>
    <n v="9996653"/>
    <n v="99959028880603"/>
    <n v="9996653"/>
    <s v="success"/>
    <n v="7"/>
    <n v="1685682"/>
    <n v="11560622"/>
    <n v="13246304"/>
    <n v="9996653"/>
    <n v="7.8581300000000001"/>
    <n v="0.86471600000000004"/>
    <n v="1.75467"/>
    <n v="4.0120899999999997"/>
    <n v="319824544"/>
    <s v="26 44286 372882 9373680 23453"/>
    <s v="14 44278 372736 9373484 23453"/>
    <n v="99663"/>
    <n v="4544"/>
    <m/>
    <m/>
    <n v="632508747"/>
    <n v="0"/>
    <n v="70271227"/>
    <n v="632508747"/>
    <n v="702779974"/>
    <n v="158127186"/>
    <n v="0"/>
    <n v="17567806"/>
    <n v="158127186"/>
    <n v="175694993"/>
    <n v="19.223800000000001"/>
    <n v="8.5370500000000007"/>
    <n v="2909.03"/>
    <n v="1992.15"/>
    <n v="2866"/>
    <n v="346"/>
    <x v="5"/>
    <x v="2"/>
  </r>
  <r>
    <s v="istree_exp5_numerical_stability_vs_time/step10116.txt"/>
    <x v="0"/>
    <n v="72"/>
    <s v="reclaimer_debra"/>
    <s v="allocator_new"/>
    <s v="pool_none"/>
    <n v="8000"/>
    <n v="5"/>
    <n v="5"/>
    <n v="0"/>
    <n v="1"/>
    <n v="20000000"/>
    <n v="190"/>
    <n v="190"/>
    <n v="190"/>
    <n v="0"/>
    <s v="insertIfAbsent"/>
    <n v="100007707546060"/>
    <n v="9999471"/>
    <n v="100007707546060"/>
    <n v="9999471"/>
    <s v="success"/>
    <n v="7"/>
    <n v="1837751"/>
    <n v="11879250"/>
    <n v="13717001"/>
    <n v="9999471"/>
    <n v="7.46401"/>
    <n v="0.84175900000000003"/>
    <n v="1.72898"/>
    <n v="4.04244"/>
    <n v="337094640"/>
    <s v="50 85406 720105 18196719 45175"/>
    <s v="27 85399 719825 18196403 45175"/>
    <n v="192667"/>
    <n v="8770"/>
    <m/>
    <m/>
    <n v="1227305260"/>
    <n v="0"/>
    <n v="136371507"/>
    <n v="1227305260"/>
    <n v="1363676767"/>
    <n v="153413157"/>
    <n v="0"/>
    <n v="17046438"/>
    <n v="153413157"/>
    <n v="170459595"/>
    <n v="19.380600000000001"/>
    <n v="8.5429999999999993"/>
    <n v="3023.46"/>
    <n v="2095.2800000000002"/>
    <n v="2869"/>
    <n v="399"/>
    <x v="5"/>
    <x v="3"/>
  </r>
  <r>
    <s v="istree_exp5_numerical_stability_vs_time/step10117.txt"/>
    <x v="0"/>
    <n v="72"/>
    <s v="reclaimer_debra"/>
    <s v="allocator_new"/>
    <s v="pool_none"/>
    <n v="16000"/>
    <n v="5"/>
    <n v="5"/>
    <n v="0"/>
    <n v="1"/>
    <n v="20000000"/>
    <n v="190"/>
    <n v="190"/>
    <n v="190"/>
    <n v="0"/>
    <s v="insertIfAbsent"/>
    <n v="100022741417107"/>
    <n v="9999664"/>
    <n v="100022741417107"/>
    <n v="9999664"/>
    <s v="success"/>
    <n v="7"/>
    <n v="1749046"/>
    <n v="11702786"/>
    <n v="13451832"/>
    <n v="9999664"/>
    <n v="7.69095"/>
    <n v="0.85446900000000003"/>
    <n v="1.7433700000000001"/>
    <n v="4.0249600000000001"/>
    <n v="327181280"/>
    <s v="88 182626 1544884 38686043 97072"/>
    <s v="57 182598 1544201 38685317 97071"/>
    <n v="430323"/>
    <n v="18868"/>
    <m/>
    <m/>
    <n v="2599378172"/>
    <n v="0"/>
    <n v="288822136"/>
    <n v="2599378172"/>
    <n v="2888200308"/>
    <n v="162461135"/>
    <n v="0"/>
    <n v="18051383"/>
    <n v="162461135"/>
    <n v="180512519"/>
    <n v="19.248799999999999"/>
    <n v="8.5542899999999999"/>
    <n v="2865.12"/>
    <n v="1933.01"/>
    <n v="2868"/>
    <n v="535"/>
    <x v="5"/>
    <x v="4"/>
  </r>
  <r>
    <s v="istree_exp5_numerical_stability_vs_time/step10118.txt"/>
    <x v="0"/>
    <n v="72"/>
    <s v="reclaimer_debra"/>
    <s v="allocator_new"/>
    <s v="pool_none"/>
    <n v="32000"/>
    <n v="5"/>
    <n v="5"/>
    <n v="0"/>
    <n v="1"/>
    <n v="20000000"/>
    <n v="190"/>
    <n v="190"/>
    <n v="190"/>
    <n v="0"/>
    <s v="insertIfAbsent"/>
    <n v="99963616889812"/>
    <n v="9997608"/>
    <n v="99963616889812"/>
    <n v="9997608"/>
    <s v="success"/>
    <n v="7"/>
    <n v="1886162"/>
    <n v="11983575"/>
    <n v="13869737"/>
    <n v="9997608"/>
    <n v="7.3534199999999998"/>
    <n v="0.83427600000000002"/>
    <n v="1.72082"/>
    <n v="4.0521900000000004"/>
    <n v="342648832"/>
    <s v="189 357463 3013473 75868725 190823"/>
    <s v="113 357406 3012279 75867345 190823"/>
    <n v="835208"/>
    <n v="37166"/>
    <m/>
    <m/>
    <n v="5103628841"/>
    <n v="0"/>
    <n v="567027875"/>
    <n v="5103628841"/>
    <n v="5670656716"/>
    <n v="159488401"/>
    <n v="0"/>
    <n v="17719621"/>
    <n v="159488401"/>
    <n v="177208022"/>
    <n v="19.295500000000001"/>
    <n v="8.5628299999999999"/>
    <n v="2926.78"/>
    <n v="1999.22"/>
    <n v="2865"/>
    <n v="394"/>
    <x v="5"/>
    <x v="5"/>
  </r>
  <r>
    <s v="istree_exp5_numerical_stability_vs_time/step10119.txt"/>
    <x v="0"/>
    <n v="72"/>
    <s v="reclaimer_debra"/>
    <s v="allocator_new"/>
    <s v="pool_none"/>
    <n v="64000"/>
    <n v="5"/>
    <n v="5"/>
    <n v="0"/>
    <n v="1"/>
    <n v="20000000"/>
    <n v="190"/>
    <n v="190"/>
    <n v="190"/>
    <n v="0"/>
    <s v="insertIfAbsent"/>
    <n v="100047000057218"/>
    <n v="10005094"/>
    <n v="100047000057218"/>
    <n v="10005094"/>
    <s v="success"/>
    <n v="7"/>
    <n v="1817323"/>
    <n v="11845342"/>
    <n v="13662665"/>
    <n v="10005094"/>
    <n v="7.5180199999999999"/>
    <n v="0.84464399999999995"/>
    <n v="1.7322900000000001"/>
    <n v="4.0389499999999998"/>
    <n v="334916880"/>
    <s v="393 730746 6163375 154563418 387470"/>
    <s v="230 730623 6160835 154560616 387468"/>
    <n v="1733162"/>
    <n v="75596"/>
    <m/>
    <m/>
    <n v="10392746677"/>
    <n v="0"/>
    <n v="1154774592"/>
    <n v="10392746677"/>
    <n v="11547521269"/>
    <n v="162386666"/>
    <n v="0"/>
    <n v="18043353"/>
    <n v="162386666"/>
    <n v="180430019"/>
    <n v="19.2879"/>
    <n v="8.5668199999999999"/>
    <n v="2876.12"/>
    <n v="1943.6"/>
    <n v="2880"/>
    <n v="408"/>
    <x v="5"/>
    <x v="6"/>
  </r>
  <r>
    <s v="istree_exp5_numerical_stability_vs_time/step10120.txt"/>
    <x v="2"/>
    <n v="208"/>
    <s v="reclaimer_debra"/>
    <s v="allocator_new"/>
    <s v="pool_none"/>
    <n v="1000"/>
    <n v="5"/>
    <n v="5"/>
    <n v="0"/>
    <n v="1"/>
    <n v="20000000"/>
    <n v="190"/>
    <n v="190"/>
    <n v="190"/>
    <n v="0"/>
    <s v="insertIfAbsent"/>
    <n v="100011245672779"/>
    <n v="10002501"/>
    <n v="100011245672779"/>
    <n v="10002501"/>
    <s v="success"/>
    <n v="9"/>
    <n v="222507"/>
    <n v="1531554"/>
    <n v="1754061"/>
    <n v="10002501"/>
    <n v="7.8831699999999998"/>
    <n v="6.5309499999999998"/>
    <n v="6.7024800000000004"/>
    <n v="8"/>
    <n v="364844688"/>
    <m/>
    <m/>
    <m/>
    <s v="600 1884"/>
    <m/>
    <m/>
    <n v="189795052"/>
    <n v="0"/>
    <n v="21102109"/>
    <n v="189795052"/>
    <n v="210897161"/>
    <n v="189795052"/>
    <n v="0"/>
    <n v="21102109"/>
    <n v="189795052"/>
    <n v="210897161"/>
    <n v="17.892499999999998"/>
    <n v="6.0680399999999999"/>
    <n v="2451.0100000000002"/>
    <n v="1478.75"/>
    <n v="1714"/>
    <n v="901"/>
    <x v="5"/>
    <x v="0"/>
  </r>
  <r>
    <s v="istree_exp5_numerical_stability_vs_time/step10121.txt"/>
    <x v="2"/>
    <n v="208"/>
    <s v="reclaimer_debra"/>
    <s v="allocator_new"/>
    <s v="pool_none"/>
    <n v="2000"/>
    <n v="5"/>
    <n v="5"/>
    <n v="0"/>
    <n v="1"/>
    <n v="20000000"/>
    <n v="190"/>
    <n v="190"/>
    <n v="190"/>
    <n v="0"/>
    <s v="insertIfAbsent"/>
    <n v="100024204002823"/>
    <n v="10001936"/>
    <n v="100024204002823"/>
    <n v="10001936"/>
    <s v="success"/>
    <n v="9"/>
    <n v="239704"/>
    <n v="1645679"/>
    <n v="1885383"/>
    <n v="10001936"/>
    <n v="7.8654599999999997"/>
    <n v="6.0777000000000001"/>
    <n v="6.3049900000000001"/>
    <n v="8"/>
    <n v="392159664"/>
    <m/>
    <m/>
    <m/>
    <s v="562 3164"/>
    <m/>
    <m/>
    <n v="385705533"/>
    <n v="0"/>
    <n v="42857750"/>
    <n v="385705533"/>
    <n v="428563283"/>
    <n v="192852766"/>
    <n v="0"/>
    <n v="21428875"/>
    <n v="192852766"/>
    <n v="214281641"/>
    <n v="18.028300000000002"/>
    <n v="6.1298399999999997"/>
    <n v="2446.48"/>
    <n v="1500.5"/>
    <n v="1709"/>
    <n v="892"/>
    <x v="5"/>
    <x v="1"/>
  </r>
  <r>
    <s v="istree_exp5_numerical_stability_vs_time/step10122.txt"/>
    <x v="2"/>
    <n v="208"/>
    <s v="reclaimer_debra"/>
    <s v="allocator_new"/>
    <s v="pool_none"/>
    <n v="4000"/>
    <n v="5"/>
    <n v="5"/>
    <n v="0"/>
    <n v="1"/>
    <n v="20000000"/>
    <n v="190"/>
    <n v="190"/>
    <n v="190"/>
    <n v="0"/>
    <s v="insertIfAbsent"/>
    <n v="100018881765540"/>
    <n v="10001606"/>
    <n v="100018881765540"/>
    <n v="10001606"/>
    <s v="success"/>
    <n v="9"/>
    <n v="257623"/>
    <n v="1765496"/>
    <n v="2023119"/>
    <n v="10001606"/>
    <n v="7.8530199999999999"/>
    <n v="5.6650400000000003"/>
    <n v="5.9436600000000004"/>
    <n v="8"/>
    <n v="420808752"/>
    <m/>
    <m/>
    <m/>
    <s v="558 5614"/>
    <m/>
    <m/>
    <n v="751925700"/>
    <n v="0"/>
    <n v="83534861"/>
    <n v="751925700"/>
    <n v="835460561"/>
    <n v="187981425"/>
    <n v="0"/>
    <n v="20883715"/>
    <n v="187981425"/>
    <n v="208865140"/>
    <n v="18.250900000000001"/>
    <n v="6.24193"/>
    <n v="2513.66"/>
    <n v="1560.86"/>
    <n v="1742"/>
    <n v="887"/>
    <x v="5"/>
    <x v="2"/>
  </r>
  <r>
    <s v="istree_exp5_numerical_stability_vs_time/step10123.txt"/>
    <x v="2"/>
    <n v="208"/>
    <s v="reclaimer_debra"/>
    <s v="allocator_new"/>
    <s v="pool_none"/>
    <n v="8000"/>
    <n v="5"/>
    <n v="5"/>
    <n v="0"/>
    <n v="1"/>
    <n v="20000000"/>
    <n v="190"/>
    <n v="190"/>
    <n v="190"/>
    <n v="0"/>
    <s v="insertIfAbsent"/>
    <n v="99979616404751"/>
    <n v="9998448"/>
    <n v="99979616404751"/>
    <n v="9998448"/>
    <s v="success"/>
    <n v="9"/>
    <n v="276209"/>
    <n v="1874650"/>
    <n v="2150859"/>
    <n v="9998448"/>
    <n v="7.7870699999999999"/>
    <n v="5.3334999999999999"/>
    <n v="5.6485799999999999"/>
    <n v="8"/>
    <n v="447378672"/>
    <m/>
    <m/>
    <m/>
    <n v="10446"/>
    <m/>
    <m/>
    <n v="1467016653"/>
    <n v="0"/>
    <n v="162998875"/>
    <n v="1467016653"/>
    <n v="1630015528"/>
    <n v="183377081"/>
    <n v="0"/>
    <n v="20374859"/>
    <n v="183377081"/>
    <n v="203751941"/>
    <n v="18.511299999999999"/>
    <n v="6.3647"/>
    <n v="2579.83"/>
    <n v="1621.18"/>
    <n v="1800"/>
    <n v="928"/>
    <x v="5"/>
    <x v="3"/>
  </r>
  <r>
    <s v="istree_exp5_numerical_stability_vs_time/step10124.txt"/>
    <x v="2"/>
    <n v="208"/>
    <s v="reclaimer_debra"/>
    <s v="allocator_new"/>
    <s v="pool_none"/>
    <n v="16000"/>
    <n v="5"/>
    <n v="5"/>
    <n v="0"/>
    <n v="1"/>
    <n v="20000000"/>
    <n v="190"/>
    <n v="190"/>
    <n v="190"/>
    <n v="0"/>
    <s v="insertIfAbsent"/>
    <n v="99963121812168"/>
    <n v="9995399"/>
    <n v="99963121812168"/>
    <n v="9995399"/>
    <s v="success"/>
    <n v="9"/>
    <n v="295026"/>
    <n v="1950103"/>
    <n v="2245129"/>
    <n v="9995399"/>
    <n v="7.6099399999999999"/>
    <n v="5.1255699999999997"/>
    <n v="5.4520400000000002"/>
    <n v="8"/>
    <n v="466986832"/>
    <m/>
    <m/>
    <m/>
    <s v="610 20070"/>
    <m/>
    <m/>
    <n v="2899888552"/>
    <n v="0"/>
    <n v="322258673"/>
    <n v="2899888552"/>
    <n v="3222147225"/>
    <n v="181243034"/>
    <n v="0"/>
    <n v="20141167"/>
    <n v="181243034"/>
    <n v="201384201"/>
    <n v="18.6431"/>
    <n v="6.4880599999999999"/>
    <n v="2612.73"/>
    <n v="1655.92"/>
    <n v="1824"/>
    <n v="887"/>
    <x v="5"/>
    <x v="4"/>
  </r>
  <r>
    <s v="istree_exp5_numerical_stability_vs_time/step10125.txt"/>
    <x v="2"/>
    <n v="208"/>
    <s v="reclaimer_debra"/>
    <s v="allocator_new"/>
    <s v="pool_none"/>
    <n v="32000"/>
    <n v="5"/>
    <n v="5"/>
    <n v="0"/>
    <n v="1"/>
    <n v="20000000"/>
    <n v="190"/>
    <n v="190"/>
    <n v="190"/>
    <n v="0"/>
    <s v="insertIfAbsent"/>
    <n v="99969900889020"/>
    <n v="9998149"/>
    <n v="99969900889020"/>
    <n v="9998149"/>
    <s v="success"/>
    <n v="9"/>
    <n v="311239"/>
    <n v="1964597"/>
    <n v="2275836"/>
    <n v="9998149"/>
    <n v="7.3121799999999997"/>
    <n v="5.0891599999999997"/>
    <n v="5.3931800000000001"/>
    <n v="8"/>
    <n v="473373888"/>
    <m/>
    <m/>
    <m/>
    <s v="608 38774"/>
    <m/>
    <m/>
    <n v="5711859776"/>
    <n v="0"/>
    <n v="634665994"/>
    <n v="5711859776"/>
    <n v="6346525770"/>
    <n v="178495618"/>
    <n v="0"/>
    <n v="19833312"/>
    <n v="178495618"/>
    <n v="198328930"/>
    <n v="18.876300000000001"/>
    <n v="6.5936599999999999"/>
    <n v="2653.73"/>
    <n v="1697.07"/>
    <n v="1902"/>
    <n v="1020"/>
    <x v="5"/>
    <x v="5"/>
  </r>
  <r>
    <s v="istree_exp5_numerical_stability_vs_time/step10126.txt"/>
    <x v="2"/>
    <n v="208"/>
    <s v="reclaimer_debra"/>
    <s v="allocator_new"/>
    <s v="pool_none"/>
    <n v="64000"/>
    <n v="5"/>
    <n v="5"/>
    <n v="0"/>
    <n v="1"/>
    <n v="20000000"/>
    <n v="190"/>
    <n v="190"/>
    <n v="190"/>
    <n v="0"/>
    <s v="insertIfAbsent"/>
    <n v="99965136535697"/>
    <n v="9997468"/>
    <n v="99965136535697"/>
    <n v="9997468"/>
    <s v="success"/>
    <n v="9"/>
    <n v="324700"/>
    <n v="1957153"/>
    <n v="2281853"/>
    <n v="9997468"/>
    <n v="7.0275699999999999"/>
    <n v="5.1081700000000003"/>
    <n v="5.3812899999999999"/>
    <n v="8"/>
    <n v="474625424"/>
    <m/>
    <m/>
    <m/>
    <n v="76072"/>
    <m/>
    <m/>
    <n v="11314112800"/>
    <n v="0"/>
    <n v="1257163439"/>
    <n v="11314112800"/>
    <n v="12571276239"/>
    <n v="176783012"/>
    <n v="0"/>
    <n v="19643178"/>
    <n v="176783012"/>
    <n v="196426191"/>
    <n v="19.072500000000002"/>
    <n v="6.69339"/>
    <n v="2680.09"/>
    <n v="1716.64"/>
    <n v="1921"/>
    <n v="891"/>
    <x v="5"/>
    <x v="6"/>
  </r>
  <r>
    <s v="istree_exp5_numerical_stability_vs_time/step10127.txt"/>
    <x v="1"/>
    <m/>
    <s v="reclaimer_debra"/>
    <s v="allocator_new"/>
    <s v="pool_none"/>
    <n v="1000"/>
    <n v="5"/>
    <n v="5"/>
    <n v="0"/>
    <n v="1"/>
    <n v="20000000"/>
    <n v="190"/>
    <n v="190"/>
    <n v="190"/>
    <n v="0"/>
    <s v="insertIfAbsent"/>
    <n v="99962383752733"/>
    <n v="9997427"/>
    <n v="99962383752733"/>
    <n v="9997427"/>
    <s v="success"/>
    <n v="29"/>
    <n v="6199321"/>
    <n v="4679994"/>
    <n v="10879315"/>
    <n v="9997427"/>
    <n v="1.75492"/>
    <n v="2.1362100000000002"/>
    <n v="1.9189400000000001"/>
    <n v="22.956199999999999"/>
    <n v="609241640"/>
    <m/>
    <m/>
    <m/>
    <s v="170 810"/>
    <m/>
    <m/>
    <n v="97765001"/>
    <n v="0"/>
    <n v="10866657"/>
    <n v="97765001"/>
    <n v="108631658"/>
    <n v="97765001"/>
    <n v="0"/>
    <n v="10866657"/>
    <n v="97765001"/>
    <n v="108631658"/>
    <n v="29.350200000000001"/>
    <n v="10.6221"/>
    <n v="4824.71"/>
    <n v="3429.54"/>
    <n v="1812"/>
    <n v="437"/>
    <x v="5"/>
    <x v="0"/>
  </r>
  <r>
    <s v="istree_exp5_numerical_stability_vs_time/step10128.txt"/>
    <x v="1"/>
    <m/>
    <s v="reclaimer_debra"/>
    <s v="allocator_new"/>
    <s v="pool_none"/>
    <n v="2000"/>
    <n v="5"/>
    <n v="5"/>
    <n v="0"/>
    <n v="1"/>
    <n v="20000000"/>
    <n v="190"/>
    <n v="190"/>
    <n v="190"/>
    <n v="0"/>
    <s v="insertIfAbsent"/>
    <n v="99999812768303"/>
    <n v="9998232"/>
    <n v="99999812768303"/>
    <n v="9998232"/>
    <s v="success"/>
    <n v="29"/>
    <n v="6477228"/>
    <n v="4901117"/>
    <n v="11378345"/>
    <n v="9998232"/>
    <n v="1.75667"/>
    <n v="2.03999"/>
    <n v="1.8787100000000001"/>
    <n v="23.0839"/>
    <n v="637187320"/>
    <m/>
    <m/>
    <m/>
    <s v="150 1448"/>
    <m/>
    <m/>
    <n v="195308427"/>
    <n v="0"/>
    <n v="21697950"/>
    <n v="195308427"/>
    <n v="217006377"/>
    <n v="97654213"/>
    <n v="0"/>
    <n v="10848975"/>
    <n v="97654213"/>
    <n v="108503188"/>
    <n v="29.260100000000001"/>
    <n v="10.717499999999999"/>
    <n v="4863.8500000000004"/>
    <n v="3422.74"/>
    <n v="1844"/>
    <n v="430"/>
    <x v="5"/>
    <x v="1"/>
  </r>
  <r>
    <s v="istree_exp5_numerical_stability_vs_time/step10129.txt"/>
    <x v="1"/>
    <m/>
    <s v="reclaimer_debra"/>
    <s v="allocator_new"/>
    <s v="pool_none"/>
    <n v="4000"/>
    <n v="5"/>
    <n v="5"/>
    <n v="0"/>
    <n v="1"/>
    <n v="20000000"/>
    <n v="190"/>
    <n v="190"/>
    <n v="190"/>
    <n v="0"/>
    <s v="insertIfAbsent"/>
    <n v="100017256018517"/>
    <n v="10001077"/>
    <n v="100017256018517"/>
    <n v="10001077"/>
    <s v="success"/>
    <n v="29"/>
    <n v="6730943"/>
    <n v="5100411"/>
    <n v="11831354"/>
    <n v="10001077"/>
    <n v="1.75776"/>
    <n v="1.9608399999999999"/>
    <n v="1.8452999999999999"/>
    <n v="23.2456"/>
    <n v="662555824"/>
    <m/>
    <m/>
    <m/>
    <s v="168 2698"/>
    <m/>
    <m/>
    <n v="388241290"/>
    <n v="0"/>
    <n v="43146926"/>
    <n v="388241290"/>
    <n v="431388216"/>
    <n v="97060322"/>
    <n v="0"/>
    <n v="10786731"/>
    <n v="97060322"/>
    <n v="107847054"/>
    <n v="29.593699999999998"/>
    <n v="10.807600000000001"/>
    <n v="4895.55"/>
    <n v="3493.61"/>
    <n v="1875"/>
    <n v="437"/>
    <x v="5"/>
    <x v="2"/>
  </r>
  <r>
    <s v="istree_exp5_numerical_stability_vs_time/step10130.txt"/>
    <x v="1"/>
    <m/>
    <s v="reclaimer_debra"/>
    <s v="allocator_new"/>
    <s v="pool_none"/>
    <n v="8000"/>
    <n v="5"/>
    <n v="5"/>
    <n v="0"/>
    <n v="1"/>
    <n v="20000000"/>
    <n v="190"/>
    <n v="190"/>
    <n v="190"/>
    <n v="0"/>
    <s v="insertIfAbsent"/>
    <n v="99968616774001"/>
    <n v="9997536"/>
    <n v="99968616774001"/>
    <n v="9997536"/>
    <s v="success"/>
    <n v="29"/>
    <n v="6841426"/>
    <n v="5188725"/>
    <n v="12030151"/>
    <n v="9997536"/>
    <n v="1.7584299999999999"/>
    <n v="1.9267799999999999"/>
    <n v="1.83104"/>
    <n v="23.23"/>
    <n v="673688456"/>
    <m/>
    <m/>
    <m/>
    <n v="5204"/>
    <m/>
    <m/>
    <n v="771300633"/>
    <n v="0"/>
    <n v="85703083"/>
    <n v="771300633"/>
    <n v="857003716"/>
    <n v="96412579"/>
    <n v="0"/>
    <n v="10712885"/>
    <n v="96412579"/>
    <n v="107125464"/>
    <n v="29.6341"/>
    <n v="10.9076"/>
    <n v="4927.25"/>
    <n v="3527.83"/>
    <n v="1891"/>
    <n v="444"/>
    <x v="5"/>
    <x v="3"/>
  </r>
  <r>
    <s v="istree_exp5_numerical_stability_vs_time/step10131.txt"/>
    <x v="1"/>
    <m/>
    <s v="reclaimer_debra"/>
    <s v="allocator_new"/>
    <s v="pool_none"/>
    <n v="16000"/>
    <n v="5"/>
    <n v="5"/>
    <n v="0"/>
    <n v="1"/>
    <n v="20000000"/>
    <n v="190"/>
    <n v="190"/>
    <n v="190"/>
    <n v="0"/>
    <s v="insertIfAbsent"/>
    <n v="100005584827492"/>
    <n v="10001613"/>
    <n v="100005584827492"/>
    <n v="10001613"/>
    <s v="success"/>
    <n v="29"/>
    <n v="6859067"/>
    <n v="5204582"/>
    <n v="12063649"/>
    <n v="10001613"/>
    <n v="1.7587900000000001"/>
    <n v="1.9216899999999999"/>
    <n v="1.82907"/>
    <n v="23.2498"/>
    <n v="675564344"/>
    <m/>
    <m/>
    <m/>
    <s v="168 10174"/>
    <m/>
    <m/>
    <n v="1534965900"/>
    <n v="0"/>
    <n v="170539929"/>
    <n v="1534965900"/>
    <n v="1705505829"/>
    <n v="95935368"/>
    <n v="0"/>
    <n v="10658745"/>
    <n v="95935368"/>
    <n v="106594114"/>
    <n v="29.670500000000001"/>
    <n v="10.9847"/>
    <n v="4951.88"/>
    <n v="3540.98"/>
    <n v="1908"/>
    <n v="431"/>
    <x v="5"/>
    <x v="4"/>
  </r>
  <r>
    <s v="istree_exp5_numerical_stability_vs_time/step10132.txt"/>
    <x v="1"/>
    <m/>
    <s v="reclaimer_debra"/>
    <s v="allocator_new"/>
    <s v="pool_none"/>
    <n v="32000"/>
    <n v="5"/>
    <n v="5"/>
    <n v="0"/>
    <n v="1"/>
    <n v="20000000"/>
    <n v="190"/>
    <n v="190"/>
    <n v="190"/>
    <n v="0"/>
    <s v="insertIfAbsent"/>
    <n v="100004449952950"/>
    <n v="9998018"/>
    <n v="100004449952950"/>
    <n v="9998018"/>
    <s v="success"/>
    <n v="29"/>
    <n v="6857838"/>
    <n v="5202836"/>
    <n v="12060674"/>
    <n v="9998018"/>
    <n v="1.75867"/>
    <n v="1.9216500000000001"/>
    <n v="1.8289800000000001"/>
    <n v="23.237500000000001"/>
    <n v="675397744"/>
    <m/>
    <m/>
    <m/>
    <s v="168 20066"/>
    <m/>
    <m/>
    <n v="3055310097"/>
    <n v="0"/>
    <n v="339496602"/>
    <n v="3055310097"/>
    <n v="3394806699"/>
    <n v="95478440"/>
    <n v="0"/>
    <n v="10609268"/>
    <n v="95478440"/>
    <n v="106087709"/>
    <n v="29.9391"/>
    <n v="11.0794"/>
    <n v="4975.99"/>
    <n v="3575.23"/>
    <n v="1936"/>
    <n v="428"/>
    <x v="5"/>
    <x v="5"/>
  </r>
  <r>
    <s v="istree_exp5_numerical_stability_vs_time/step10133.txt"/>
    <x v="1"/>
    <m/>
    <s v="reclaimer_debra"/>
    <s v="allocator_new"/>
    <s v="pool_none"/>
    <n v="64000"/>
    <n v="5"/>
    <n v="5"/>
    <n v="0"/>
    <n v="1"/>
    <n v="20000000"/>
    <n v="190"/>
    <n v="190"/>
    <n v="190"/>
    <n v="0"/>
    <s v="insertIfAbsent"/>
    <n v="99987400269504"/>
    <n v="9995354"/>
    <n v="99987400269504"/>
    <n v="9995354"/>
    <s v="success"/>
    <n v="29"/>
    <n v="6855817"/>
    <n v="5200990"/>
    <n v="12056807"/>
    <n v="9995354"/>
    <n v="1.7586200000000001"/>
    <n v="1.9218200000000001"/>
    <n v="1.8290200000000001"/>
    <n v="23.236899999999999"/>
    <n v="675181192"/>
    <m/>
    <m/>
    <m/>
    <n v="39698"/>
    <m/>
    <m/>
    <n v="6063285007"/>
    <n v="0"/>
    <n v="673724360"/>
    <n v="6063285007"/>
    <n v="6737009367"/>
    <n v="94738828"/>
    <n v="0"/>
    <n v="10526943"/>
    <n v="94738828"/>
    <n v="105265771"/>
    <n v="30.253900000000002"/>
    <n v="11.183299999999999"/>
    <n v="5016.04"/>
    <n v="3606.18"/>
    <n v="1985"/>
    <n v="512"/>
    <x v="5"/>
    <x v="6"/>
  </r>
  <r>
    <s v="istree_exp5_numerical_stability_vs_time/step10134.txt"/>
    <x v="3"/>
    <m/>
    <s v="reclaimer_debra"/>
    <s v="allocator_new"/>
    <s v="pool_none"/>
    <n v="1000"/>
    <n v="5"/>
    <n v="5"/>
    <n v="0"/>
    <n v="1"/>
    <n v="20000000"/>
    <n v="190"/>
    <n v="190"/>
    <n v="190"/>
    <n v="0"/>
    <s v="insertIfAbsent"/>
    <n v="99977330102072"/>
    <n v="9998315"/>
    <n v="99977330102072"/>
    <n v="9998315"/>
    <s v="success"/>
    <n v="61"/>
    <n v="9998314"/>
    <n v="9998315"/>
    <n v="19996629"/>
    <n v="9998315"/>
    <n v="2"/>
    <n v="1"/>
    <n v="1.5"/>
    <n v="31.113800000000001"/>
    <n v="639892128"/>
    <m/>
    <m/>
    <m/>
    <s v="144 728"/>
    <m/>
    <m/>
    <n v="85992045"/>
    <n v="0"/>
    <n v="9558224"/>
    <n v="85992045"/>
    <n v="95550269"/>
    <n v="85992045"/>
    <n v="0"/>
    <n v="9558224"/>
    <n v="85992045"/>
    <n v="95550269"/>
    <n v="25.182200000000002"/>
    <n v="9.9741999999999997"/>
    <n v="5506.89"/>
    <n v="4442.8999999999996"/>
    <n v="1760"/>
    <n v="410"/>
    <x v="5"/>
    <x v="0"/>
  </r>
  <r>
    <s v="istree_exp5_numerical_stability_vs_time/step10135.txt"/>
    <x v="3"/>
    <m/>
    <s v="reclaimer_debra"/>
    <s v="allocator_new"/>
    <s v="pool_none"/>
    <n v="2000"/>
    <n v="5"/>
    <n v="5"/>
    <n v="0"/>
    <n v="1"/>
    <n v="20000000"/>
    <n v="190"/>
    <n v="190"/>
    <n v="190"/>
    <n v="0"/>
    <s v="insertIfAbsent"/>
    <n v="100018470625259"/>
    <n v="10002215"/>
    <n v="100018470625259"/>
    <n v="10002215"/>
    <s v="success"/>
    <n v="62"/>
    <n v="10002214"/>
    <n v="10002215"/>
    <n v="20004429"/>
    <n v="10002215"/>
    <n v="2"/>
    <n v="1"/>
    <n v="1.5"/>
    <n v="31.9832"/>
    <n v="640141728"/>
    <m/>
    <m/>
    <m/>
    <s v="154 1274"/>
    <m/>
    <m/>
    <n v="171765264"/>
    <n v="0"/>
    <n v="19090572"/>
    <n v="171765264"/>
    <n v="190855836"/>
    <n v="85882632"/>
    <n v="0"/>
    <n v="9545286"/>
    <n v="85882632"/>
    <n v="95427918"/>
    <n v="25.428599999999999"/>
    <n v="10.1305"/>
    <n v="5542.23"/>
    <n v="4478.24"/>
    <n v="1764"/>
    <n v="408"/>
    <x v="5"/>
    <x v="1"/>
  </r>
  <r>
    <s v="istree_exp5_numerical_stability_vs_time/step10136.txt"/>
    <x v="3"/>
    <m/>
    <s v="reclaimer_debra"/>
    <s v="allocator_new"/>
    <s v="pool_none"/>
    <n v="4000"/>
    <n v="5"/>
    <n v="5"/>
    <n v="0"/>
    <n v="1"/>
    <n v="20000000"/>
    <n v="190"/>
    <n v="190"/>
    <n v="190"/>
    <n v="0"/>
    <s v="insertIfAbsent"/>
    <n v="100040757502513"/>
    <n v="10002397"/>
    <n v="100040757502513"/>
    <n v="10002397"/>
    <s v="success"/>
    <n v="59"/>
    <n v="10002396"/>
    <n v="10002397"/>
    <n v="20004793"/>
    <n v="10002397"/>
    <n v="2"/>
    <n v="1"/>
    <n v="1.5"/>
    <n v="30.976900000000001"/>
    <n v="640153376"/>
    <m/>
    <m/>
    <m/>
    <n v="2368"/>
    <m/>
    <m/>
    <n v="341684320"/>
    <n v="0"/>
    <n v="37964787"/>
    <n v="341684320"/>
    <n v="379649107"/>
    <n v="85421080"/>
    <n v="0"/>
    <n v="9491196"/>
    <n v="85421080"/>
    <n v="94912276"/>
    <n v="25.636500000000002"/>
    <n v="10.2704"/>
    <n v="5564.4"/>
    <n v="4507.51"/>
    <n v="1772"/>
    <n v="404"/>
    <x v="5"/>
    <x v="2"/>
  </r>
  <r>
    <s v="istree_exp5_numerical_stability_vs_time/step10137.txt"/>
    <x v="3"/>
    <m/>
    <s v="reclaimer_debra"/>
    <s v="allocator_new"/>
    <s v="pool_none"/>
    <n v="8000"/>
    <n v="5"/>
    <n v="5"/>
    <n v="0"/>
    <n v="1"/>
    <n v="20000000"/>
    <n v="190"/>
    <n v="190"/>
    <n v="190"/>
    <n v="0"/>
    <s v="insertIfAbsent"/>
    <n v="100032418049176"/>
    <n v="10003104"/>
    <n v="100032418049176"/>
    <n v="10003104"/>
    <s v="success"/>
    <n v="56"/>
    <n v="10003103"/>
    <n v="10003104"/>
    <n v="20006207"/>
    <n v="10003104"/>
    <n v="2"/>
    <n v="1"/>
    <n v="1.5"/>
    <n v="30.709199999999999"/>
    <n v="640198624"/>
    <m/>
    <m/>
    <m/>
    <s v="138 4526"/>
    <m/>
    <m/>
    <n v="679638241"/>
    <n v="0"/>
    <n v="75520427"/>
    <n v="679638241"/>
    <n v="755158668"/>
    <n v="84954780"/>
    <n v="0"/>
    <n v="9440053"/>
    <n v="84954780"/>
    <n v="94394833"/>
    <n v="25.812200000000001"/>
    <n v="10.3917"/>
    <n v="5603.66"/>
    <n v="4554.1099999999997"/>
    <n v="1788"/>
    <n v="419"/>
    <x v="5"/>
    <x v="3"/>
  </r>
  <r>
    <s v="istree_exp5_numerical_stability_vs_time/step10138.txt"/>
    <x v="3"/>
    <m/>
    <s v="reclaimer_debra"/>
    <s v="allocator_new"/>
    <s v="pool_none"/>
    <n v="16000"/>
    <n v="5"/>
    <n v="5"/>
    <n v="0"/>
    <n v="1"/>
    <n v="20000000"/>
    <n v="190"/>
    <n v="190"/>
    <n v="190"/>
    <n v="0"/>
    <s v="insertIfAbsent"/>
    <n v="100012565421645"/>
    <n v="10003610"/>
    <n v="100012565421645"/>
    <n v="10003610"/>
    <s v="success"/>
    <n v="56"/>
    <n v="10003609"/>
    <n v="10003610"/>
    <n v="20007219"/>
    <n v="10003610"/>
    <n v="2"/>
    <n v="1"/>
    <n v="1.5"/>
    <n v="30.5261"/>
    <n v="640231008"/>
    <m/>
    <m/>
    <m/>
    <s v="148 8884"/>
    <m/>
    <m/>
    <n v="1358728150"/>
    <n v="0"/>
    <n v="150966458"/>
    <n v="1358728150"/>
    <n v="1509694608"/>
    <n v="84920509"/>
    <n v="0"/>
    <n v="9435403"/>
    <n v="84920509"/>
    <n v="94355913"/>
    <n v="25.963699999999999"/>
    <n v="10.4407"/>
    <n v="5605.38"/>
    <n v="4567.58"/>
    <n v="1820"/>
    <n v="418"/>
    <x v="5"/>
    <x v="4"/>
  </r>
  <r>
    <s v="istree_exp5_numerical_stability_vs_time/step10139.txt"/>
    <x v="3"/>
    <m/>
    <s v="reclaimer_debra"/>
    <s v="allocator_new"/>
    <s v="pool_none"/>
    <n v="32000"/>
    <n v="5"/>
    <n v="5"/>
    <n v="0"/>
    <n v="1"/>
    <n v="20000000"/>
    <n v="190"/>
    <n v="190"/>
    <n v="190"/>
    <n v="0"/>
    <s v="insertIfAbsent"/>
    <n v="100005987688179"/>
    <n v="9999723"/>
    <n v="100005987688179"/>
    <n v="9999723"/>
    <s v="success"/>
    <n v="58"/>
    <n v="9999722"/>
    <n v="9999723"/>
    <n v="19999445"/>
    <n v="9999723"/>
    <n v="2"/>
    <n v="1"/>
    <n v="1.5"/>
    <n v="30.731400000000001"/>
    <n v="639982240"/>
    <m/>
    <m/>
    <m/>
    <s v="154 17496"/>
    <m/>
    <m/>
    <n v="2706425174"/>
    <n v="0"/>
    <n v="300745809"/>
    <n v="2706425174"/>
    <n v="3007170983"/>
    <n v="84575786"/>
    <n v="0"/>
    <n v="9398306"/>
    <n v="84575786"/>
    <n v="93974093"/>
    <n v="25.947700000000001"/>
    <n v="10.421200000000001"/>
    <n v="5629.63"/>
    <n v="4584.63"/>
    <n v="1876"/>
    <n v="415"/>
    <x v="5"/>
    <x v="5"/>
  </r>
  <r>
    <s v="istree_exp5_numerical_stability_vs_time/step10140.txt"/>
    <x v="3"/>
    <m/>
    <s v="reclaimer_debra"/>
    <s v="allocator_new"/>
    <s v="pool_none"/>
    <n v="64000"/>
    <n v="5"/>
    <n v="5"/>
    <n v="0"/>
    <n v="1"/>
    <n v="20000000"/>
    <n v="190"/>
    <n v="190"/>
    <n v="190"/>
    <n v="0"/>
    <s v="insertIfAbsent"/>
    <n v="99989380296712"/>
    <n v="10000778"/>
    <n v="99989380296712"/>
    <n v="10000778"/>
    <s v="success"/>
    <n v="58"/>
    <n v="10000777"/>
    <n v="10000778"/>
    <n v="20001555"/>
    <n v="10000778"/>
    <n v="2"/>
    <n v="1"/>
    <n v="1.5"/>
    <n v="30.1633"/>
    <n v="640049760"/>
    <m/>
    <m/>
    <m/>
    <s v="138 34838"/>
    <m/>
    <m/>
    <n v="5427052683"/>
    <n v="0"/>
    <n v="602993429"/>
    <n v="5427052683"/>
    <n v="6030046112"/>
    <n v="84797698"/>
    <n v="0"/>
    <n v="9421772"/>
    <n v="84797698"/>
    <n v="94219470"/>
    <n v="25.912400000000002"/>
    <n v="10.3657"/>
    <n v="5615.18"/>
    <n v="4577.08"/>
    <n v="1972"/>
    <n v="425"/>
    <x v="5"/>
    <x v="6"/>
  </r>
  <r>
    <s v="istree_exp5_numerical_stability_vs_time/step10141.txt"/>
    <x v="0"/>
    <n v="72"/>
    <s v="reclaimer_debra"/>
    <s v="allocator_new"/>
    <s v="pool_none"/>
    <n v="1000"/>
    <n v="5"/>
    <n v="5"/>
    <n v="0"/>
    <n v="1"/>
    <n v="200000000"/>
    <n v="190"/>
    <n v="190"/>
    <n v="190"/>
    <n v="0"/>
    <s v="insertIfAbsent"/>
    <n v="9999658222004020"/>
    <n v="99999962"/>
    <n v="9999658222004020"/>
    <n v="99999962"/>
    <s v="success"/>
    <n v="7"/>
    <n v="14176957"/>
    <n v="116524113"/>
    <n v="130701070"/>
    <n v="99999962"/>
    <n v="9.2192600000000002"/>
    <n v="0.85819100000000004"/>
    <n v="1.7650999999999999"/>
    <n v="4.0655999999999999"/>
    <n v="3001074176"/>
    <s v="0 0 16 647503 209114"/>
    <s v="0 0 16 647503 209114"/>
    <m/>
    <n v="1070"/>
    <m/>
    <m/>
    <n v="159226239"/>
    <n v="0"/>
    <n v="17696938"/>
    <n v="159226239"/>
    <n v="176923177"/>
    <n v="159226239"/>
    <n v="0"/>
    <n v="17696938"/>
    <n v="159226239"/>
    <n v="176923177"/>
    <n v="20.104299999999999"/>
    <n v="9.5043699999999998"/>
    <n v="2978.04"/>
    <n v="2204.4499999999998"/>
    <n v="7800"/>
    <n v="1070"/>
    <x v="6"/>
    <x v="0"/>
  </r>
  <r>
    <s v="istree_exp5_numerical_stability_vs_time/step10142.txt"/>
    <x v="0"/>
    <n v="72"/>
    <s v="reclaimer_debra"/>
    <s v="allocator_new"/>
    <s v="pool_none"/>
    <n v="2000"/>
    <n v="5"/>
    <n v="5"/>
    <n v="0"/>
    <n v="1"/>
    <n v="200000000"/>
    <n v="190"/>
    <n v="190"/>
    <n v="190"/>
    <n v="0"/>
    <s v="insertIfAbsent"/>
    <n v="1.0000116909363E+16"/>
    <n v="100002308"/>
    <n v="1.0000116909363E+16"/>
    <n v="100002308"/>
    <s v="success"/>
    <n v="7"/>
    <n v="14942988"/>
    <n v="118271051"/>
    <n v="133214039"/>
    <n v="100002308"/>
    <n v="8.9148200000000006"/>
    <n v="0.84553500000000004"/>
    <n v="1.7506900000000001"/>
    <n v="4.0818599999999998"/>
    <n v="3092124576"/>
    <s v="0 0 48816 2552706 485902"/>
    <s v="0 0 48814 2552699 485902"/>
    <n v="17"/>
    <n v="2078"/>
    <m/>
    <m/>
    <n v="307141676"/>
    <n v="0"/>
    <n v="34129872"/>
    <n v="307141676"/>
    <n v="341271548"/>
    <n v="153570838"/>
    <n v="0"/>
    <n v="17064936"/>
    <n v="153570838"/>
    <n v="170635774"/>
    <n v="20.470700000000001"/>
    <n v="9.7677099999999992"/>
    <n v="3088.5"/>
    <n v="2306.37"/>
    <n v="8174"/>
    <n v="1099"/>
    <x v="6"/>
    <x v="1"/>
  </r>
  <r>
    <s v="istree_exp5_numerical_stability_vs_time/step10143.txt"/>
    <x v="0"/>
    <n v="72"/>
    <s v="reclaimer_debra"/>
    <s v="allocator_new"/>
    <s v="pool_none"/>
    <n v="4000"/>
    <n v="5"/>
    <n v="5"/>
    <n v="0"/>
    <n v="1"/>
    <n v="200000000"/>
    <n v="190"/>
    <n v="190"/>
    <n v="190"/>
    <n v="0"/>
    <s v="insertIfAbsent"/>
    <n v="1.00002256645923E+16"/>
    <n v="99999654"/>
    <n v="1.00002256645923E+16"/>
    <n v="99999654"/>
    <s v="success"/>
    <n v="7"/>
    <n v="12192988"/>
    <n v="112381217"/>
    <n v="124574205"/>
    <n v="99999654"/>
    <n v="10.216900000000001"/>
    <n v="0.88982499999999998"/>
    <n v="1.8027299999999999"/>
    <n v="4.0240200000000002"/>
    <n v="2773926592"/>
    <s v="2 9998 344767 3911059 691086"/>
    <s v="1 9997 344749 3911055 691086"/>
    <n v="16778"/>
    <n v="3324"/>
    <m/>
    <m/>
    <n v="495314235"/>
    <n v="0"/>
    <n v="55028899"/>
    <n v="495314235"/>
    <n v="550343134"/>
    <n v="123828558"/>
    <n v="0"/>
    <n v="13757224"/>
    <n v="123828558"/>
    <n v="137585783"/>
    <n v="22.070699999999999"/>
    <n v="10.868"/>
    <n v="3455.27"/>
    <n v="2586.4499999999998"/>
    <n v="13825"/>
    <n v="1115"/>
    <x v="6"/>
    <x v="2"/>
  </r>
  <r>
    <s v="istree_exp5_numerical_stability_vs_time/step10144.txt"/>
    <x v="0"/>
    <n v="72"/>
    <s v="reclaimer_debra"/>
    <s v="allocator_new"/>
    <s v="pool_none"/>
    <n v="8000"/>
    <n v="5"/>
    <n v="5"/>
    <n v="0"/>
    <n v="1"/>
    <n v="200000000"/>
    <n v="190"/>
    <n v="190"/>
    <n v="190"/>
    <n v="0"/>
    <s v="insertIfAbsent"/>
    <n v="9999610338990730"/>
    <n v="100000216"/>
    <n v="9999610338990730"/>
    <n v="100000216"/>
    <s v="success"/>
    <n v="7"/>
    <n v="14228431"/>
    <n v="116633713"/>
    <n v="130862144"/>
    <n v="100000216"/>
    <n v="9.1972299999999994"/>
    <n v="0.85738700000000001"/>
    <n v="1.76416"/>
    <n v="4.0667200000000001"/>
    <n v="3007052592"/>
    <s v="2 19995 689631 8467802 1549833"/>
    <s v="2 19995 689602 8467791 1549831"/>
    <n v="32858"/>
    <n v="6442"/>
    <m/>
    <m/>
    <n v="1064000282"/>
    <n v="0"/>
    <n v="118217830"/>
    <n v="1064000282"/>
    <n v="1182218112"/>
    <n v="133000035"/>
    <n v="0"/>
    <n v="14777228"/>
    <n v="133000035"/>
    <n v="147777264"/>
    <n v="21.948799999999999"/>
    <n v="10.9404"/>
    <n v="3340.82"/>
    <n v="2482.21"/>
    <n v="14233"/>
    <n v="1115"/>
    <x v="6"/>
    <x v="3"/>
  </r>
  <r>
    <s v="istree_exp5_numerical_stability_vs_time/step10145.txt"/>
    <x v="0"/>
    <n v="72"/>
    <s v="reclaimer_debra"/>
    <s v="allocator_new"/>
    <s v="pool_none"/>
    <n v="16000"/>
    <n v="5"/>
    <n v="5"/>
    <n v="0"/>
    <n v="1"/>
    <n v="200000000"/>
    <n v="190"/>
    <n v="190"/>
    <n v="190"/>
    <n v="0"/>
    <s v="insertIfAbsent"/>
    <n v="9999398318934220"/>
    <n v="99993005"/>
    <n v="9999398318934220"/>
    <n v="99993005"/>
    <s v="success"/>
    <n v="7"/>
    <n v="14950230"/>
    <n v="118270901"/>
    <n v="133221131"/>
    <n v="99993005"/>
    <n v="8.9109800000000003"/>
    <n v="0.84545700000000001"/>
    <n v="1.75058"/>
    <n v="4.0822099999999999"/>
    <n v="3092693840"/>
    <s v="9 39996 1407492 17904143 3125246"/>
    <s v="4 39995 1407435 17904094 3125241"/>
    <n v="63895"/>
    <n v="11398"/>
    <m/>
    <m/>
    <n v="2094000731"/>
    <n v="0"/>
    <n v="232659488"/>
    <n v="2094000731"/>
    <n v="2326660219"/>
    <n v="130875045"/>
    <n v="0"/>
    <n v="14541218"/>
    <n v="130875045"/>
    <n v="145416263"/>
    <n v="22.073399999999999"/>
    <n v="11.0991"/>
    <n v="3391.86"/>
    <n v="2525.5300000000002"/>
    <n v="14265"/>
    <n v="1105"/>
    <x v="6"/>
    <x v="4"/>
  </r>
  <r>
    <s v="istree_exp5_numerical_stability_vs_time/step10146.txt"/>
    <x v="0"/>
    <n v="72"/>
    <s v="reclaimer_debra"/>
    <s v="allocator_new"/>
    <s v="pool_none"/>
    <n v="32000"/>
    <n v="5"/>
    <n v="5"/>
    <n v="0"/>
    <n v="1"/>
    <n v="200000000"/>
    <n v="190"/>
    <n v="190"/>
    <n v="190"/>
    <n v="0"/>
    <s v="insertIfAbsent"/>
    <n v="1.0000610540453E+16"/>
    <n v="100006545"/>
    <n v="1.0000610540453E+16"/>
    <n v="100006545"/>
    <s v="success"/>
    <n v="7"/>
    <n v="11348125"/>
    <n v="110681939"/>
    <n v="122030064"/>
    <n v="100006545"/>
    <n v="10.753299999999999"/>
    <n v="0.90354900000000005"/>
    <n v="1.81952"/>
    <n v="4.0067700000000004"/>
    <n v="2678795536"/>
    <s v="17 89974 3096891 34979985 5994555"/>
    <s v="9 89970 3096752 34979901 5994552"/>
    <n v="143649"/>
    <n v="20032"/>
    <m/>
    <m/>
    <n v="4062117136"/>
    <n v="0"/>
    <n v="451308725"/>
    <n v="4062117136"/>
    <n v="4513425861"/>
    <n v="126941160"/>
    <n v="0"/>
    <n v="14103397"/>
    <n v="126941160"/>
    <n v="141044558"/>
    <n v="22.310300000000002"/>
    <n v="11.3825"/>
    <n v="3466.54"/>
    <n v="2590.7600000000002"/>
    <n v="14289"/>
    <n v="1152"/>
    <x v="6"/>
    <x v="5"/>
  </r>
  <r>
    <s v="istree_exp5_numerical_stability_vs_time/step10147.txt"/>
    <x v="0"/>
    <n v="72"/>
    <s v="reclaimer_debra"/>
    <s v="allocator_new"/>
    <s v="pool_none"/>
    <n v="64000"/>
    <n v="5"/>
    <n v="5"/>
    <n v="0"/>
    <n v="1"/>
    <n v="200000000"/>
    <n v="190"/>
    <n v="190"/>
    <n v="190"/>
    <n v="0"/>
    <s v="insertIfAbsent"/>
    <n v="1.00006832257724E+16"/>
    <n v="100007183"/>
    <n v="1.00006832257724E+16"/>
    <n v="100007183"/>
    <s v="success"/>
    <n v="7"/>
    <n v="14781181"/>
    <n v="117922062"/>
    <n v="132703243"/>
    <n v="100007183"/>
    <n v="8.9778500000000001"/>
    <n v="0.84807900000000003"/>
    <n v="1.75362"/>
    <n v="4.0774900000000001"/>
    <n v="3073479280"/>
    <s v="29 169975 5962472 69264151 11883077"/>
    <s v="17 169970 5962196 69263979 11883052"/>
    <n v="270399"/>
    <n v="36546"/>
    <m/>
    <m/>
    <n v="8001312033"/>
    <n v="0"/>
    <n v="889058864"/>
    <n v="8001312033"/>
    <n v="8890370897"/>
    <n v="125020500"/>
    <n v="0"/>
    <n v="13891544"/>
    <n v="125020500"/>
    <n v="138912045"/>
    <n v="22.289200000000001"/>
    <n v="11.392200000000001"/>
    <n v="3493.86"/>
    <n v="2608.2199999999998"/>
    <n v="14294"/>
    <n v="1115"/>
    <x v="6"/>
    <x v="6"/>
  </r>
  <r>
    <s v="istree_exp5_numerical_stability_vs_time/step10148.txt"/>
    <x v="2"/>
    <n v="208"/>
    <s v="reclaimer_debra"/>
    <s v="allocator_new"/>
    <s v="pool_none"/>
    <n v="1000"/>
    <n v="5"/>
    <n v="5"/>
    <n v="0"/>
    <n v="1"/>
    <n v="200000000"/>
    <n v="190"/>
    <n v="190"/>
    <n v="190"/>
    <n v="0"/>
    <s v="insertIfAbsent"/>
    <n v="9999676356255750"/>
    <n v="99995446"/>
    <n v="9999676356255750"/>
    <n v="99995446"/>
    <s v="success"/>
    <n v="10"/>
    <n v="1909880"/>
    <n v="13145116"/>
    <n v="15054996"/>
    <n v="99995446"/>
    <n v="7.8826900000000002"/>
    <n v="7.6070399999999996"/>
    <n v="7.64201"/>
    <n v="9"/>
    <n v="3131439168"/>
    <m/>
    <m/>
    <m/>
    <s v="3004 4092"/>
    <m/>
    <m/>
    <n v="131439473"/>
    <n v="0"/>
    <n v="14603495"/>
    <n v="131439473"/>
    <n v="146042968"/>
    <n v="131439473"/>
    <n v="0"/>
    <n v="14603495"/>
    <n v="131439473"/>
    <n v="146042968"/>
    <n v="24.449400000000001"/>
    <n v="10.689500000000001"/>
    <n v="3603.44"/>
    <n v="2595.14"/>
    <n v="5256"/>
    <n v="6124"/>
    <x v="6"/>
    <x v="0"/>
  </r>
  <r>
    <s v="istree_exp5_numerical_stability_vs_time/step10149.txt"/>
    <x v="2"/>
    <n v="208"/>
    <s v="reclaimer_debra"/>
    <s v="allocator_new"/>
    <s v="pool_none"/>
    <n v="2000"/>
    <n v="5"/>
    <n v="5"/>
    <n v="0"/>
    <n v="1"/>
    <n v="200000000"/>
    <n v="190"/>
    <n v="190"/>
    <n v="190"/>
    <n v="0"/>
    <s v="insertIfAbsent"/>
    <n v="9999880177302810"/>
    <n v="99998739"/>
    <n v="9999880177302810"/>
    <n v="99998739"/>
    <s v="success"/>
    <n v="10"/>
    <n v="1953372"/>
    <n v="13436913"/>
    <n v="15390285"/>
    <n v="99998739"/>
    <n v="7.8788299999999998"/>
    <n v="7.4420900000000003"/>
    <n v="7.4975199999999997"/>
    <n v="9"/>
    <n v="3201179280"/>
    <m/>
    <m/>
    <m/>
    <s v="2986 4910"/>
    <m/>
    <m/>
    <n v="262483165"/>
    <n v="0"/>
    <n v="29165564"/>
    <n v="262483165"/>
    <n v="291648729"/>
    <n v="131241582"/>
    <n v="0"/>
    <n v="14582782"/>
    <n v="131241582"/>
    <n v="145824364"/>
    <n v="24.4495"/>
    <n v="10.7563"/>
    <n v="3611.48"/>
    <n v="2605.16"/>
    <n v="5367"/>
    <n v="6054"/>
    <x v="6"/>
    <x v="1"/>
  </r>
  <r>
    <s v="istree_exp5_numerical_stability_vs_time/step10150.txt"/>
    <x v="2"/>
    <n v="208"/>
    <s v="reclaimer_debra"/>
    <s v="allocator_new"/>
    <s v="pool_none"/>
    <n v="4000"/>
    <n v="5"/>
    <n v="5"/>
    <n v="0"/>
    <n v="1"/>
    <n v="200000000"/>
    <n v="190"/>
    <n v="190"/>
    <n v="190"/>
    <n v="0"/>
    <s v="insertIfAbsent"/>
    <n v="9999251306053380"/>
    <n v="99994840"/>
    <n v="9999251306053380"/>
    <n v="99994840"/>
    <s v="success"/>
    <n v="10"/>
    <n v="2017867"/>
    <n v="13887103"/>
    <n v="15904970"/>
    <n v="99994840"/>
    <n v="7.8820699999999997"/>
    <n v="7.2005499999999998"/>
    <n v="7.2870200000000001"/>
    <n v="9"/>
    <n v="3308233760"/>
    <m/>
    <m/>
    <m/>
    <s v="3062 6544"/>
    <m/>
    <m/>
    <n v="524989344"/>
    <n v="0"/>
    <n v="58338192"/>
    <n v="524989344"/>
    <n v="583327536"/>
    <n v="131247336"/>
    <n v="0"/>
    <n v="14584548"/>
    <n v="131247336"/>
    <n v="145831884"/>
    <n v="24.480699999999999"/>
    <n v="10.8018"/>
    <n v="3619"/>
    <n v="2619.42"/>
    <n v="5475"/>
    <n v="5983"/>
    <x v="6"/>
    <x v="2"/>
  </r>
  <r>
    <s v="istree_exp5_numerical_stability_vs_time/step10151.txt"/>
    <x v="2"/>
    <n v="208"/>
    <s v="reclaimer_debra"/>
    <s v="allocator_new"/>
    <s v="pool_none"/>
    <n v="8000"/>
    <n v="5"/>
    <n v="5"/>
    <n v="0"/>
    <n v="1"/>
    <n v="200000000"/>
    <n v="190"/>
    <n v="190"/>
    <n v="190"/>
    <n v="0"/>
    <s v="insertIfAbsent"/>
    <n v="1.00002160398869E+16"/>
    <n v="100002228"/>
    <n v="1.00002160398869E+16"/>
    <n v="100002228"/>
    <s v="success"/>
    <n v="10"/>
    <n v="2114556"/>
    <n v="14543845"/>
    <n v="16658401"/>
    <n v="100002228"/>
    <n v="7.8779700000000004"/>
    <n v="6.8759100000000002"/>
    <n v="7.0031100000000004"/>
    <n v="9"/>
    <n v="3464947408"/>
    <m/>
    <m/>
    <m/>
    <s v="3022 10086"/>
    <m/>
    <m/>
    <n v="1046806601"/>
    <n v="0"/>
    <n v="116334668"/>
    <n v="1046806601"/>
    <n v="1163141269"/>
    <n v="130850825"/>
    <n v="0"/>
    <n v="14541833"/>
    <n v="130850825"/>
    <n v="145392658"/>
    <n v="24.5487"/>
    <n v="10.846"/>
    <n v="3630.74"/>
    <n v="2639.72"/>
    <n v="5650"/>
    <n v="5985"/>
    <x v="6"/>
    <x v="3"/>
  </r>
  <r>
    <s v="istree_exp5_numerical_stability_vs_time/step10152.txt"/>
    <x v="2"/>
    <n v="208"/>
    <s v="reclaimer_debra"/>
    <s v="allocator_new"/>
    <s v="pool_none"/>
    <n v="16000"/>
    <n v="5"/>
    <n v="5"/>
    <n v="0"/>
    <n v="1"/>
    <n v="200000000"/>
    <n v="190"/>
    <n v="190"/>
    <n v="190"/>
    <n v="0"/>
    <s v="insertIfAbsent"/>
    <n v="9999660471161240"/>
    <n v="99994747"/>
    <n v="9999660471161240"/>
    <n v="99994747"/>
    <s v="success"/>
    <n v="10"/>
    <n v="2245663"/>
    <n v="15440742"/>
    <n v="17686405"/>
    <n v="99994747"/>
    <n v="7.8758100000000004"/>
    <n v="6.4760299999999997"/>
    <n v="6.6537600000000001"/>
    <n v="9"/>
    <n v="3678772240"/>
    <m/>
    <m/>
    <m/>
    <s v="3040 16682"/>
    <m/>
    <m/>
    <n v="2072253946"/>
    <n v="0"/>
    <n v="230264751"/>
    <n v="2072253946"/>
    <n v="2302518697"/>
    <n v="129515871"/>
    <n v="0"/>
    <n v="14391546"/>
    <n v="129515871"/>
    <n v="143907418"/>
    <n v="24.610800000000001"/>
    <n v="10.9472"/>
    <n v="3669.29"/>
    <n v="2679.66"/>
    <n v="5964"/>
    <n v="5993"/>
    <x v="6"/>
    <x v="4"/>
  </r>
  <r>
    <s v="istree_exp5_numerical_stability_vs_time/step10153.txt"/>
    <x v="2"/>
    <n v="208"/>
    <s v="reclaimer_debra"/>
    <s v="allocator_new"/>
    <s v="pool_none"/>
    <n v="32000"/>
    <n v="5"/>
    <n v="5"/>
    <n v="0"/>
    <n v="1"/>
    <n v="200000000"/>
    <n v="190"/>
    <n v="190"/>
    <n v="190"/>
    <n v="0"/>
    <s v="insertIfAbsent"/>
    <n v="9999228920630900"/>
    <n v="99991713"/>
    <n v="9999228920630900"/>
    <n v="99991713"/>
    <s v="success"/>
    <n v="11"/>
    <n v="2409781"/>
    <n v="16564176"/>
    <n v="18973957"/>
    <n v="99991713"/>
    <n v="7.8737300000000001"/>
    <n v="6.0366200000000001"/>
    <n v="6.2699499999999997"/>
    <n v="10"/>
    <n v="3946583056"/>
    <m/>
    <m/>
    <m/>
    <s v="3148 29924"/>
    <m/>
    <m/>
    <n v="4101648772"/>
    <n v="0"/>
    <n v="455725915"/>
    <n v="4101648772"/>
    <n v="4557374687"/>
    <n v="128176524"/>
    <n v="0"/>
    <n v="14241434"/>
    <n v="128176524"/>
    <n v="142417958"/>
    <n v="24.811199999999999"/>
    <n v="11.073399999999999"/>
    <n v="3709.3"/>
    <n v="2717.84"/>
    <n v="6329"/>
    <n v="5966"/>
    <x v="6"/>
    <x v="5"/>
  </r>
  <r>
    <s v="istree_exp5_numerical_stability_vs_time/step10154.txt"/>
    <x v="2"/>
    <n v="208"/>
    <s v="reclaimer_debra"/>
    <s v="allocator_new"/>
    <s v="pool_none"/>
    <n v="64000"/>
    <n v="5"/>
    <n v="5"/>
    <n v="0"/>
    <n v="1"/>
    <n v="200000000"/>
    <n v="190"/>
    <n v="190"/>
    <n v="190"/>
    <n v="0"/>
    <s v="insertIfAbsent"/>
    <n v="9999218566290260"/>
    <n v="99995639"/>
    <n v="9999218566290260"/>
    <n v="99995639"/>
    <s v="success"/>
    <n v="10"/>
    <n v="2597504"/>
    <n v="17788805"/>
    <n v="20386309"/>
    <n v="99995639"/>
    <n v="7.84842"/>
    <n v="5.62127"/>
    <n v="5.9050399999999996"/>
    <n v="9"/>
    <n v="4240352272"/>
    <m/>
    <m/>
    <m/>
    <s v="3000 56068"/>
    <m/>
    <m/>
    <n v="8118587951"/>
    <n v="0"/>
    <n v="902057118"/>
    <n v="8118587951"/>
    <n v="9020645069"/>
    <n v="126852936"/>
    <n v="0"/>
    <n v="14094642"/>
    <n v="126852936"/>
    <n v="140947579"/>
    <n v="25.0107"/>
    <n v="11.3066"/>
    <n v="3748.72"/>
    <n v="2758.81"/>
    <n v="6807"/>
    <n v="6146"/>
    <x v="6"/>
    <x v="6"/>
  </r>
  <r>
    <s v="istree_exp5_numerical_stability_vs_time/step10155.txt"/>
    <x v="1"/>
    <m/>
    <s v="reclaimer_debra"/>
    <s v="allocator_new"/>
    <s v="pool_none"/>
    <n v="1000"/>
    <n v="5"/>
    <n v="5"/>
    <n v="0"/>
    <n v="1"/>
    <n v="200000000"/>
    <n v="190"/>
    <n v="190"/>
    <n v="190"/>
    <n v="0"/>
    <s v="insertIfAbsent"/>
    <n v="9999789608786270"/>
    <n v="99999306"/>
    <n v="9999789608786270"/>
    <n v="99999306"/>
    <s v="success"/>
    <n v="33"/>
    <n v="57531210"/>
    <n v="43179564"/>
    <n v="100710774"/>
    <n v="99999306"/>
    <n v="1.75054"/>
    <n v="2.31589"/>
    <n v="1.9929399999999999"/>
    <n v="26.093"/>
    <n v="5639803344"/>
    <m/>
    <m/>
    <m/>
    <s v="772 1348"/>
    <m/>
    <m/>
    <n v="60814367"/>
    <n v="0"/>
    <n v="6752217"/>
    <n v="60814367"/>
    <n v="67566584"/>
    <n v="60814367"/>
    <n v="0"/>
    <n v="6752217"/>
    <n v="60814367"/>
    <n v="67566584"/>
    <n v="41.623600000000003"/>
    <n v="19.4282"/>
    <n v="7828.95"/>
    <n v="6341.63"/>
    <n v="7624"/>
    <n v="2759"/>
    <x v="6"/>
    <x v="0"/>
  </r>
  <r>
    <s v="istree_exp5_numerical_stability_vs_time/step10156.txt"/>
    <x v="1"/>
    <m/>
    <s v="reclaimer_debra"/>
    <s v="allocator_new"/>
    <s v="pool_none"/>
    <n v="2000"/>
    <n v="5"/>
    <n v="5"/>
    <n v="0"/>
    <n v="1"/>
    <n v="200000000"/>
    <n v="190"/>
    <n v="190"/>
    <n v="190"/>
    <n v="0"/>
    <s v="insertIfAbsent"/>
    <n v="1.0000506885139E+16"/>
    <n v="100001274"/>
    <n v="1.0000506885139E+16"/>
    <n v="100001274"/>
    <s v="success"/>
    <n v="33"/>
    <n v="57909962"/>
    <n v="43493533"/>
    <n v="101403495"/>
    <n v="100001274"/>
    <n v="1.75105"/>
    <n v="2.29922"/>
    <n v="1.98617"/>
    <n v="26.093"/>
    <n v="5678595720"/>
    <m/>
    <m/>
    <m/>
    <s v="774 1738"/>
    <m/>
    <m/>
    <n v="122328126"/>
    <n v="0"/>
    <n v="13590151"/>
    <n v="122328126"/>
    <n v="135918277"/>
    <n v="61164063"/>
    <n v="0"/>
    <n v="6795075"/>
    <n v="61164063"/>
    <n v="67959138"/>
    <n v="41.349200000000003"/>
    <n v="19.5579"/>
    <n v="7782.01"/>
    <n v="6298.05"/>
    <n v="7666"/>
    <n v="2741"/>
    <x v="6"/>
    <x v="1"/>
  </r>
  <r>
    <s v="istree_exp5_numerical_stability_vs_time/step10157.txt"/>
    <x v="1"/>
    <m/>
    <s v="reclaimer_debra"/>
    <s v="allocator_new"/>
    <s v="pool_none"/>
    <n v="4000"/>
    <n v="5"/>
    <n v="5"/>
    <n v="0"/>
    <n v="1"/>
    <n v="200000000"/>
    <n v="190"/>
    <n v="190"/>
    <n v="190"/>
    <n v="0"/>
    <s v="insertIfAbsent"/>
    <n v="1.00006651871869E+16"/>
    <n v="100000498"/>
    <n v="1.00006651871869E+16"/>
    <n v="100000498"/>
    <s v="success"/>
    <n v="33"/>
    <n v="58622333"/>
    <n v="44081784"/>
    <n v="102704117"/>
    <n v="100000498"/>
    <n v="1.75196"/>
    <n v="2.2685200000000001"/>
    <n v="1.9736800000000001"/>
    <n v="26.124400000000001"/>
    <n v="5751430552"/>
    <m/>
    <m/>
    <m/>
    <s v="774 2516"/>
    <m/>
    <m/>
    <n v="244259309"/>
    <n v="0"/>
    <n v="27136261"/>
    <n v="244259309"/>
    <n v="271395570"/>
    <n v="61064827"/>
    <n v="0"/>
    <n v="6784065"/>
    <n v="61064827"/>
    <n v="67848892"/>
    <n v="41.5779"/>
    <n v="19.7196"/>
    <n v="7795.34"/>
    <n v="6306.14"/>
    <n v="7752"/>
    <n v="2761"/>
    <x v="6"/>
    <x v="2"/>
  </r>
  <r>
    <s v="istree_exp5_numerical_stability_vs_time/step10158.txt"/>
    <x v="1"/>
    <m/>
    <s v="reclaimer_debra"/>
    <s v="allocator_new"/>
    <s v="pool_none"/>
    <n v="8000"/>
    <n v="5"/>
    <n v="5"/>
    <n v="0"/>
    <n v="1"/>
    <n v="200000000"/>
    <n v="190"/>
    <n v="190"/>
    <n v="190"/>
    <n v="0"/>
    <s v="insertIfAbsent"/>
    <n v="1.00002357059418E+16"/>
    <n v="99998844"/>
    <n v="1.00002357059418E+16"/>
    <n v="99998844"/>
    <s v="success"/>
    <n v="33"/>
    <n v="59895280"/>
    <n v="45118840"/>
    <n v="105014120"/>
    <n v="99998844"/>
    <n v="1.7533000000000001"/>
    <n v="2.2163400000000002"/>
    <n v="1.95224"/>
    <n v="26.240300000000001"/>
    <n v="5880790720"/>
    <m/>
    <m/>
    <m/>
    <s v="776 4080"/>
    <m/>
    <m/>
    <n v="486501397"/>
    <n v="0"/>
    <n v="54050258"/>
    <n v="486501397"/>
    <n v="540551655"/>
    <n v="60812674"/>
    <n v="0"/>
    <n v="6756282"/>
    <n v="60812674"/>
    <n v="67568956"/>
    <n v="41.850299999999997"/>
    <n v="19.866"/>
    <n v="7827.11"/>
    <n v="6268.18"/>
    <n v="7899"/>
    <n v="2755"/>
    <x v="6"/>
    <x v="3"/>
  </r>
  <r>
    <s v="istree_exp5_numerical_stability_vs_time/step10159.txt"/>
    <x v="1"/>
    <m/>
    <s v="reclaimer_debra"/>
    <s v="allocator_new"/>
    <s v="pool_none"/>
    <n v="16000"/>
    <n v="5"/>
    <n v="5"/>
    <n v="0"/>
    <n v="1"/>
    <n v="200000000"/>
    <n v="190"/>
    <n v="190"/>
    <n v="190"/>
    <n v="0"/>
    <s v="insertIfAbsent"/>
    <n v="1.00007159159157E+16"/>
    <n v="100004301"/>
    <n v="1.00007159159157E+16"/>
    <n v="100004301"/>
    <s v="success"/>
    <n v="33"/>
    <n v="61989062"/>
    <n v="46803165"/>
    <n v="108792227"/>
    <n v="100004301"/>
    <n v="1.75502"/>
    <n v="2.1366999999999998"/>
    <n v="1.9192199999999999"/>
    <n v="26.33"/>
    <n v="6092364712"/>
    <m/>
    <m/>
    <m/>
    <s v="774 7192"/>
    <m/>
    <m/>
    <n v="974898453"/>
    <n v="0"/>
    <n v="108312049"/>
    <n v="974898453"/>
    <n v="1083210502"/>
    <n v="60931153"/>
    <n v="0"/>
    <n v="6769503"/>
    <n v="60931153"/>
    <n v="67700656"/>
    <n v="42.110999999999997"/>
    <n v="20.031199999999998"/>
    <n v="7813.09"/>
    <n v="6306.45"/>
    <n v="8146"/>
    <n v="2760"/>
    <x v="6"/>
    <x v="4"/>
  </r>
  <r>
    <s v="istree_exp5_numerical_stability_vs_time/step10160.txt"/>
    <x v="1"/>
    <m/>
    <s v="reclaimer_debra"/>
    <s v="allocator_new"/>
    <s v="pool_none"/>
    <n v="32000"/>
    <n v="5"/>
    <n v="5"/>
    <n v="0"/>
    <n v="1"/>
    <n v="200000000"/>
    <n v="190"/>
    <n v="190"/>
    <n v="190"/>
    <n v="0"/>
    <s v="insertIfAbsent"/>
    <n v="9998952712073820"/>
    <n v="99996878"/>
    <n v="9998952712073820"/>
    <n v="99996878"/>
    <s v="success"/>
    <n v="33"/>
    <n v="64713031"/>
    <n v="48951259"/>
    <n v="113664290"/>
    <n v="99996878"/>
    <n v="1.75644"/>
    <n v="2.04278"/>
    <n v="1.8797600000000001"/>
    <n v="26.4255"/>
    <n v="6365200240"/>
    <m/>
    <m/>
    <m/>
    <s v="778 13464"/>
    <m/>
    <m/>
    <n v="1942444494"/>
    <n v="0"/>
    <n v="215810567"/>
    <n v="1942444494"/>
    <n v="2158255061"/>
    <n v="60701390"/>
    <n v="0"/>
    <n v="6744080"/>
    <n v="60701390"/>
    <n v="67445470"/>
    <n v="41.7102"/>
    <n v="20.209199999999999"/>
    <n v="7843.61"/>
    <n v="6269.13"/>
    <n v="8460"/>
    <n v="2761"/>
    <x v="6"/>
    <x v="5"/>
  </r>
  <r>
    <s v="istree_exp5_numerical_stability_vs_time/step10161.txt"/>
    <x v="1"/>
    <m/>
    <s v="reclaimer_debra"/>
    <s v="allocator_new"/>
    <s v="pool_none"/>
    <n v="64000"/>
    <n v="5"/>
    <n v="5"/>
    <n v="0"/>
    <n v="1"/>
    <n v="200000000"/>
    <n v="190"/>
    <n v="190"/>
    <n v="190"/>
    <n v="0"/>
    <s v="insertIfAbsent"/>
    <n v="1.00013318715578E+16"/>
    <n v="100014974"/>
    <n v="1.00013318715578E+16"/>
    <n v="100014974"/>
    <s v="success"/>
    <n v="33"/>
    <n v="67239961"/>
    <n v="50952474"/>
    <n v="118192435"/>
    <n v="100014974"/>
    <n v="1.7577700000000001"/>
    <n v="1.9629099999999999"/>
    <n v="1.8462000000000001"/>
    <n v="26.565799999999999"/>
    <n v="6618776360"/>
    <m/>
    <m/>
    <m/>
    <s v="778 25782"/>
    <m/>
    <m/>
    <n v="3882933455"/>
    <n v="0"/>
    <n v="431413791"/>
    <n v="3882933455"/>
    <n v="4314347246"/>
    <n v="60670835"/>
    <n v="0"/>
    <n v="6740840"/>
    <n v="60670835"/>
    <n v="67411675"/>
    <n v="41.826300000000003"/>
    <n v="20.3931"/>
    <n v="7846.64"/>
    <n v="6338.91"/>
    <n v="8756"/>
    <n v="2755"/>
    <x v="6"/>
    <x v="6"/>
  </r>
  <r>
    <s v="istree_exp5_numerical_stability_vs_time/step10162.txt"/>
    <x v="3"/>
    <m/>
    <s v="reclaimer_debra"/>
    <s v="allocator_new"/>
    <s v="pool_none"/>
    <n v="1000"/>
    <n v="5"/>
    <n v="5"/>
    <n v="0"/>
    <n v="1"/>
    <n v="200000000"/>
    <n v="190"/>
    <n v="190"/>
    <n v="190"/>
    <n v="0"/>
    <s v="insertIfAbsent"/>
    <n v="9999754860400530"/>
    <n v="99999022"/>
    <n v="9999754860400530"/>
    <n v="99999022"/>
    <s v="success"/>
    <n v="72"/>
    <n v="99999021"/>
    <n v="99999022"/>
    <n v="199998043"/>
    <n v="99999022"/>
    <n v="2"/>
    <n v="1"/>
    <n v="1.5"/>
    <n v="36.203499999999998"/>
    <n v="6399937376"/>
    <m/>
    <m/>
    <m/>
    <s v="748 1266"/>
    <m/>
    <m/>
    <n v="52091533"/>
    <n v="0"/>
    <n v="5788304"/>
    <n v="52091533"/>
    <n v="57879837"/>
    <n v="52091533"/>
    <n v="0"/>
    <n v="5788304"/>
    <n v="52091533"/>
    <n v="57879837"/>
    <n v="38.457299999999996"/>
    <n v="18.964400000000001"/>
    <n v="9139.7000000000007"/>
    <n v="7967.33"/>
    <n v="7579"/>
    <n v="2867"/>
    <x v="6"/>
    <x v="0"/>
  </r>
  <r>
    <s v="istree_exp5_numerical_stability_vs_time/step10163.txt"/>
    <x v="3"/>
    <m/>
    <s v="reclaimer_debra"/>
    <s v="allocator_new"/>
    <s v="pool_none"/>
    <n v="2000"/>
    <n v="5"/>
    <n v="5"/>
    <n v="0"/>
    <n v="1"/>
    <n v="200000000"/>
    <n v="190"/>
    <n v="190"/>
    <n v="190"/>
    <n v="0"/>
    <s v="insertIfAbsent"/>
    <n v="1.00004690655787E+16"/>
    <n v="100000019"/>
    <n v="1.00004690655787E+16"/>
    <n v="100000019"/>
    <s v="success"/>
    <n v="71"/>
    <n v="100000018"/>
    <n v="100000019"/>
    <n v="200000037"/>
    <n v="100000019"/>
    <n v="2"/>
    <n v="1"/>
    <n v="1.5"/>
    <n v="36.545400000000001"/>
    <n v="6400001184"/>
    <m/>
    <m/>
    <m/>
    <s v="740 1602"/>
    <m/>
    <m/>
    <n v="104058164"/>
    <n v="0"/>
    <n v="11567363"/>
    <n v="104058164"/>
    <n v="115625527"/>
    <n v="52029082"/>
    <n v="0"/>
    <n v="5783681"/>
    <n v="52029082"/>
    <n v="57812763"/>
    <n v="38.4056"/>
    <n v="19.042300000000001"/>
    <n v="9152.32"/>
    <n v="7970.61"/>
    <n v="7582"/>
    <n v="2880"/>
    <x v="6"/>
    <x v="1"/>
  </r>
  <r>
    <s v="istree_exp5_numerical_stability_vs_time/step10164.txt"/>
    <x v="3"/>
    <m/>
    <s v="reclaimer_debra"/>
    <s v="allocator_new"/>
    <s v="pool_none"/>
    <n v="4000"/>
    <n v="5"/>
    <n v="5"/>
    <n v="0"/>
    <n v="1"/>
    <n v="200000000"/>
    <n v="190"/>
    <n v="190"/>
    <n v="190"/>
    <n v="0"/>
    <s v="insertIfAbsent"/>
    <n v="9999606438040160"/>
    <n v="100001259"/>
    <n v="9999606438040160"/>
    <n v="100001259"/>
    <s v="success"/>
    <n v="68"/>
    <n v="100001258"/>
    <n v="100001259"/>
    <n v="200002517"/>
    <n v="100001259"/>
    <n v="2"/>
    <n v="1"/>
    <n v="1.5"/>
    <n v="35.319099999999999"/>
    <n v="6400080544"/>
    <m/>
    <m/>
    <m/>
    <s v="734 2256"/>
    <m/>
    <m/>
    <n v="208108592"/>
    <n v="0"/>
    <n v="23125524"/>
    <n v="208108592"/>
    <n v="231234116"/>
    <n v="52027148"/>
    <n v="0"/>
    <n v="5781381"/>
    <n v="52027148"/>
    <n v="57808529"/>
    <n v="38.6051"/>
    <n v="19.141999999999999"/>
    <n v="9153.89"/>
    <n v="7967.91"/>
    <n v="7587"/>
    <n v="2825"/>
    <x v="6"/>
    <x v="2"/>
  </r>
  <r>
    <s v="istree_exp5_numerical_stability_vs_time/step10165.txt"/>
    <x v="3"/>
    <m/>
    <s v="reclaimer_debra"/>
    <s v="allocator_new"/>
    <s v="pool_none"/>
    <n v="8000"/>
    <n v="5"/>
    <n v="5"/>
    <n v="0"/>
    <n v="1"/>
    <n v="200000000"/>
    <n v="190"/>
    <n v="190"/>
    <n v="190"/>
    <n v="0"/>
    <s v="insertIfAbsent"/>
    <n v="9999580900662030"/>
    <n v="99999725"/>
    <n v="9999580900662030"/>
    <n v="99999725"/>
    <s v="success"/>
    <n v="69"/>
    <n v="99999724"/>
    <n v="99999725"/>
    <n v="199999449"/>
    <n v="99999725"/>
    <n v="2"/>
    <n v="1"/>
    <n v="1.5"/>
    <n v="35.067"/>
    <n v="6399982368"/>
    <m/>
    <m/>
    <m/>
    <s v="730 3576"/>
    <m/>
    <m/>
    <n v="417195508"/>
    <n v="0"/>
    <n v="46347021"/>
    <n v="417195508"/>
    <n v="463542529"/>
    <n v="52149438"/>
    <n v="0"/>
    <n v="5793377"/>
    <n v="52149438"/>
    <n v="57942816"/>
    <n v="38.617199999999997"/>
    <n v="19.266300000000001"/>
    <n v="9132.86"/>
    <n v="7945.58"/>
    <n v="7599"/>
    <n v="2831"/>
    <x v="6"/>
    <x v="3"/>
  </r>
  <r>
    <s v="istree_exp5_numerical_stability_vs_time/step10166.txt"/>
    <x v="3"/>
    <m/>
    <s v="reclaimer_debra"/>
    <s v="allocator_new"/>
    <s v="pool_none"/>
    <n v="16000"/>
    <n v="5"/>
    <n v="5"/>
    <n v="0"/>
    <n v="1"/>
    <n v="200000000"/>
    <n v="190"/>
    <n v="190"/>
    <n v="190"/>
    <n v="0"/>
    <s v="insertIfAbsent"/>
    <n v="9999485933548950"/>
    <n v="99998195"/>
    <n v="9999485933548950"/>
    <n v="99998195"/>
    <s v="success"/>
    <n v="74"/>
    <n v="99998194"/>
    <n v="99998195"/>
    <n v="199996389"/>
    <n v="99998195"/>
    <n v="2"/>
    <n v="1"/>
    <n v="1.5"/>
    <n v="36.796599999999998"/>
    <n v="6399884448"/>
    <m/>
    <m/>
    <m/>
    <s v="740 6204"/>
    <m/>
    <m/>
    <n v="833055034"/>
    <n v="0"/>
    <n v="92570978"/>
    <n v="833055034"/>
    <n v="925626012"/>
    <n v="52065939"/>
    <n v="0"/>
    <n v="5785686"/>
    <n v="52065939"/>
    <n v="57851625"/>
    <n v="38.846200000000003"/>
    <n v="19.445900000000002"/>
    <n v="9146"/>
    <n v="7957.17"/>
    <n v="7618"/>
    <n v="2846"/>
    <x v="6"/>
    <x v="4"/>
  </r>
  <r>
    <s v="istree_exp5_numerical_stability_vs_time/step10167.txt"/>
    <x v="3"/>
    <m/>
    <s v="reclaimer_debra"/>
    <s v="allocator_new"/>
    <s v="pool_none"/>
    <n v="32000"/>
    <n v="5"/>
    <n v="5"/>
    <n v="0"/>
    <n v="1"/>
    <n v="200000000"/>
    <n v="190"/>
    <n v="190"/>
    <n v="190"/>
    <n v="0"/>
    <s v="insertIfAbsent"/>
    <n v="1.00011140170684E+16"/>
    <n v="100006175"/>
    <n v="1.00011140170684E+16"/>
    <n v="100006175"/>
    <s v="success"/>
    <n v="68"/>
    <n v="100006174"/>
    <n v="100006175"/>
    <n v="200012349"/>
    <n v="100006175"/>
    <n v="2"/>
    <n v="1"/>
    <n v="1.5"/>
    <n v="36.786000000000001"/>
    <n v="6400395168"/>
    <m/>
    <m/>
    <m/>
    <s v="732 11472"/>
    <m/>
    <m/>
    <n v="1665645490"/>
    <n v="0"/>
    <n v="185078343"/>
    <n v="1665645490"/>
    <n v="1850723833"/>
    <n v="52051421"/>
    <n v="0"/>
    <n v="5783698"/>
    <n v="52051421"/>
    <n v="57835119"/>
    <n v="39.012599999999999"/>
    <n v="19.6586"/>
    <n v="9148.4699999999993"/>
    <n v="7961.32"/>
    <n v="7661"/>
    <n v="2839"/>
    <x v="6"/>
    <x v="5"/>
  </r>
  <r>
    <s v="istree_exp5_numerical_stability_vs_time/step10168.txt"/>
    <x v="3"/>
    <m/>
    <s v="reclaimer_debra"/>
    <s v="allocator_new"/>
    <s v="pool_none"/>
    <n v="64000"/>
    <n v="5"/>
    <n v="5"/>
    <n v="0"/>
    <n v="1"/>
    <n v="200000000"/>
    <n v="190"/>
    <n v="190"/>
    <n v="190"/>
    <n v="0"/>
    <s v="insertIfAbsent"/>
    <n v="9999643863439950"/>
    <n v="99996690"/>
    <n v="9999643863439950"/>
    <n v="99996690"/>
    <s v="success"/>
    <n v="68"/>
    <n v="99996689"/>
    <n v="99996690"/>
    <n v="199993379"/>
    <n v="99996690"/>
    <n v="2"/>
    <n v="1"/>
    <n v="1.5"/>
    <n v="35.947000000000003"/>
    <n v="6399788128"/>
    <m/>
    <m/>
    <m/>
    <s v="738 21974"/>
    <m/>
    <m/>
    <n v="3321481960"/>
    <n v="0"/>
    <n v="369062033"/>
    <n v="3321481960"/>
    <n v="3690543993"/>
    <n v="51898155"/>
    <n v="0"/>
    <n v="5766594"/>
    <n v="51898155"/>
    <n v="57664749"/>
    <n v="39.155900000000003"/>
    <n v="19.873200000000001"/>
    <n v="9176.31"/>
    <n v="7996.1"/>
    <n v="7743"/>
    <n v="2845"/>
    <x v="6"/>
    <x v="6"/>
  </r>
  <r>
    <s v="istree_exp5_numerical_stability_vs_time/step10169.txt"/>
    <x v="0"/>
    <n v="72"/>
    <s v="reclaimer_debra"/>
    <s v="allocator_new"/>
    <s v="pool_none"/>
    <n v="1000"/>
    <n v="0.5"/>
    <n v="0.5"/>
    <n v="0"/>
    <n v="1"/>
    <n v="2000000"/>
    <n v="190"/>
    <n v="190"/>
    <n v="190"/>
    <n v="0"/>
    <s v="insertIfAbsent"/>
    <n v="999394965298"/>
    <n v="998982"/>
    <n v="999394965298"/>
    <n v="998982"/>
    <s v="success"/>
    <n v="6"/>
    <n v="54355"/>
    <n v="1074324"/>
    <n v="1128679"/>
    <n v="998982"/>
    <n v="20.765000000000001"/>
    <n v="0.92986999999999997"/>
    <n v="1.8850899999999999"/>
    <n v="3.0447299999999999"/>
    <n v="21559456"/>
    <s v="7 18612 9043 74964"/>
    <s v="7 18604 9037 74963"/>
    <n v="15101"/>
    <n v="2712"/>
    <m/>
    <m/>
    <n v="393692186"/>
    <n v="0"/>
    <n v="3979901"/>
    <n v="393692186"/>
    <n v="397672087"/>
    <n v="393692186"/>
    <n v="0"/>
    <n v="3979901"/>
    <n v="393692186"/>
    <n v="397672087"/>
    <n v="8.8559400000000004"/>
    <n v="0.41162700000000002"/>
    <n v="1296.5999999999999"/>
    <n v="562.20699999999999"/>
    <n v="1343"/>
    <n v="213"/>
    <x v="7"/>
    <x v="0"/>
  </r>
  <r>
    <s v="istree_exp5_numerical_stability_vs_time/step10170.txt"/>
    <x v="0"/>
    <n v="72"/>
    <s v="reclaimer_debra"/>
    <s v="allocator_new"/>
    <s v="pool_none"/>
    <n v="2000"/>
    <n v="0.5"/>
    <n v="0.5"/>
    <n v="0"/>
    <n v="1"/>
    <n v="2000000"/>
    <n v="190"/>
    <n v="190"/>
    <n v="190"/>
    <n v="0"/>
    <s v="insertIfAbsent"/>
    <n v="999177304682"/>
    <n v="999132"/>
    <n v="999177304682"/>
    <n v="999132"/>
    <s v="success"/>
    <n v="6"/>
    <n v="52924"/>
    <n v="1071494"/>
    <n v="1124418"/>
    <n v="999132"/>
    <n v="21.245899999999999"/>
    <n v="0.93246600000000002"/>
    <n v="1.8885799999999999"/>
    <n v="3.04115"/>
    <n v="21391280"/>
    <s v="17 37606 18141 151466"/>
    <s v="16 37575 18128 151465"/>
    <n v="25753"/>
    <n v="5532"/>
    <m/>
    <m/>
    <n v="799622593"/>
    <n v="0"/>
    <n v="8081746"/>
    <n v="799622593"/>
    <n v="807704339"/>
    <n v="399811296"/>
    <n v="0"/>
    <n v="4040873"/>
    <n v="399811296"/>
    <n v="403852169"/>
    <n v="8.7804599999999997"/>
    <n v="0.41320400000000002"/>
    <n v="1305.4100000000001"/>
    <n v="568.99199999999996"/>
    <n v="1369"/>
    <n v="273"/>
    <x v="7"/>
    <x v="1"/>
  </r>
  <r>
    <s v="istree_exp5_numerical_stability_vs_time/step10171.txt"/>
    <x v="0"/>
    <n v="72"/>
    <s v="reclaimer_debra"/>
    <s v="allocator_new"/>
    <s v="pool_none"/>
    <n v="4000"/>
    <n v="0.5"/>
    <n v="0.5"/>
    <n v="0"/>
    <n v="1"/>
    <n v="2000000"/>
    <n v="190"/>
    <n v="190"/>
    <n v="190"/>
    <n v="0"/>
    <s v="insertIfAbsent"/>
    <n v="999607100382"/>
    <n v="1000108"/>
    <n v="999607100382"/>
    <n v="1000108"/>
    <s v="success"/>
    <n v="6"/>
    <n v="55459"/>
    <n v="1077605"/>
    <n v="1133064"/>
    <n v="1000108"/>
    <n v="20.430700000000002"/>
    <n v="0.92808400000000002"/>
    <n v="1.88266"/>
    <n v="3.0470299999999999"/>
    <n v="21701568"/>
    <s v="36 74216 36096 296761"/>
    <s v="31 74164 36074 296758"/>
    <n v="44461"/>
    <n v="10898"/>
    <m/>
    <m/>
    <n v="1565541546"/>
    <n v="0"/>
    <n v="15814000"/>
    <n v="1565541546"/>
    <n v="1581355546"/>
    <n v="391385386"/>
    <n v="0"/>
    <n v="3953500"/>
    <n v="391385386"/>
    <n v="395338886"/>
    <n v="8.7473600000000005"/>
    <n v="0.41715600000000003"/>
    <n v="1331.16"/>
    <n v="596.26900000000001"/>
    <n v="1388"/>
    <n v="297"/>
    <x v="7"/>
    <x v="2"/>
  </r>
  <r>
    <s v="istree_exp5_numerical_stability_vs_time/step10172.txt"/>
    <x v="0"/>
    <n v="72"/>
    <s v="reclaimer_debra"/>
    <s v="allocator_new"/>
    <s v="pool_none"/>
    <n v="8000"/>
    <n v="0.5"/>
    <n v="0.5"/>
    <n v="0"/>
    <n v="1"/>
    <n v="2000000"/>
    <n v="190"/>
    <n v="190"/>
    <n v="190"/>
    <n v="0"/>
    <s v="insertIfAbsent"/>
    <n v="998232360745"/>
    <n v="998688"/>
    <n v="998232360745"/>
    <n v="998688"/>
    <s v="success"/>
    <n v="6"/>
    <n v="53646"/>
    <n v="1072891"/>
    <n v="1126537"/>
    <n v="998688"/>
    <n v="20.999500000000001"/>
    <n v="0.93083800000000005"/>
    <n v="1.8865099999999999"/>
    <n v="3.0431900000000001"/>
    <n v="21477808"/>
    <s v="73 147546 71565 589419"/>
    <s v="62 147407 71532 589415"/>
    <n v="74477"/>
    <n v="21450"/>
    <m/>
    <m/>
    <n v="3107213230"/>
    <n v="0"/>
    <n v="31391466"/>
    <n v="3107213230"/>
    <n v="3138604696"/>
    <n v="388401653"/>
    <n v="0"/>
    <n v="3923933"/>
    <n v="388401653"/>
    <n v="392325587"/>
    <n v="8.8026099999999996"/>
    <n v="0.42274"/>
    <n v="1339.43"/>
    <n v="601.46600000000001"/>
    <n v="1408"/>
    <n v="301"/>
    <x v="7"/>
    <x v="3"/>
  </r>
  <r>
    <s v="istree_exp5_numerical_stability_vs_time/step10173.txt"/>
    <x v="0"/>
    <n v="72"/>
    <s v="reclaimer_debra"/>
    <s v="allocator_new"/>
    <s v="pool_none"/>
    <n v="16000"/>
    <n v="0.5"/>
    <n v="0.5"/>
    <n v="0"/>
    <n v="1"/>
    <n v="2000000"/>
    <n v="190"/>
    <n v="190"/>
    <n v="190"/>
    <n v="0"/>
    <s v="insertIfAbsent"/>
    <n v="999548235771"/>
    <n v="999779"/>
    <n v="999548235771"/>
    <n v="999779"/>
    <s v="success"/>
    <n v="6"/>
    <n v="53841"/>
    <n v="1074409"/>
    <n v="1128250"/>
    <n v="999779"/>
    <n v="20.955200000000001"/>
    <n v="0.93053900000000001"/>
    <n v="1.8861300000000001"/>
    <n v="3.0435599999999998"/>
    <n v="21519440"/>
    <s v="141 292549 141657 1168445"/>
    <s v="124 292340 141572 1168423"/>
    <n v="149254"/>
    <n v="42570"/>
    <m/>
    <m/>
    <n v="6168461466"/>
    <n v="0"/>
    <n v="62305716"/>
    <n v="6168461466"/>
    <n v="6230767182"/>
    <n v="385528841"/>
    <n v="0"/>
    <n v="3894107"/>
    <n v="385528841"/>
    <n v="389422948"/>
    <n v="8.7753800000000002"/>
    <n v="0.42013400000000001"/>
    <n v="1347.57"/>
    <n v="603.93399999999997"/>
    <n v="1417"/>
    <n v="271"/>
    <x v="7"/>
    <x v="4"/>
  </r>
  <r>
    <s v="istree_exp5_numerical_stability_vs_time/step10174.txt"/>
    <x v="0"/>
    <n v="72"/>
    <s v="reclaimer_debra"/>
    <s v="allocator_new"/>
    <s v="pool_none"/>
    <n v="32000"/>
    <n v="0.5"/>
    <n v="0.5"/>
    <n v="0"/>
    <n v="1"/>
    <n v="2000000"/>
    <n v="190"/>
    <n v="190"/>
    <n v="190"/>
    <n v="0"/>
    <s v="insertIfAbsent"/>
    <n v="1000421967386"/>
    <n v="1000094"/>
    <n v="1000421967386"/>
    <n v="1000094"/>
    <s v="success"/>
    <n v="6"/>
    <n v="33075"/>
    <n v="1032228"/>
    <n v="1065303"/>
    <n v="1000094"/>
    <n v="32.2087"/>
    <n v="0.96886899999999998"/>
    <n v="1.93879"/>
    <n v="3.0000800000000001"/>
    <n v="19161632"/>
    <s v="272 583933 283443 2332707"/>
    <s v="249 583468 283271 2332681"/>
    <n v="285294"/>
    <n v="85898"/>
    <m/>
    <m/>
    <n v="12312640872"/>
    <n v="0"/>
    <n v="124343827"/>
    <n v="12312640872"/>
    <n v="12436984699"/>
    <n v="384770027"/>
    <n v="0"/>
    <n v="3885744"/>
    <n v="384770027"/>
    <n v="388655771"/>
    <n v="8.7708700000000004"/>
    <n v="0.42221999999999998"/>
    <n v="1350.27"/>
    <n v="614.38199999999995"/>
    <n v="1413"/>
    <n v="292"/>
    <x v="7"/>
    <x v="5"/>
  </r>
  <r>
    <s v="istree_exp5_numerical_stability_vs_time/step10175.txt"/>
    <x v="0"/>
    <n v="72"/>
    <s v="reclaimer_debra"/>
    <s v="allocator_new"/>
    <s v="pool_none"/>
    <n v="64000"/>
    <n v="0.5"/>
    <n v="0.5"/>
    <n v="0"/>
    <n v="1"/>
    <n v="2000000"/>
    <n v="190"/>
    <n v="190"/>
    <n v="190"/>
    <n v="0"/>
    <s v="insertIfAbsent"/>
    <n v="1001143167035"/>
    <n v="1000273"/>
    <n v="1001143167035"/>
    <n v="1000273"/>
    <s v="success"/>
    <n v="6"/>
    <n v="52958"/>
    <n v="1072820"/>
    <n v="1125778"/>
    <n v="1000273"/>
    <n v="21.257899999999999"/>
    <n v="0.93237700000000001"/>
    <n v="1.88852"/>
    <n v="3.0412599999999999"/>
    <n v="21417008"/>
    <s v="549 1173767 568496 4687165"/>
    <s v="500 1172785 568184 4687100"/>
    <n v="565429"/>
    <n v="172666"/>
    <m/>
    <m/>
    <n v="24729130996"/>
    <n v="0"/>
    <n v="249783226"/>
    <n v="24729130996"/>
    <n v="24978914222"/>
    <n v="386392671"/>
    <n v="0"/>
    <n v="3902862"/>
    <n v="386392671"/>
    <n v="390295534"/>
    <n v="8.7822200000000006"/>
    <n v="0.42019200000000001"/>
    <n v="1343.96"/>
    <n v="608.73299999999995"/>
    <n v="1433"/>
    <n v="287"/>
    <x v="7"/>
    <x v="6"/>
  </r>
  <r>
    <s v="istree_exp5_numerical_stability_vs_time/step10176.txt"/>
    <x v="2"/>
    <n v="208"/>
    <s v="reclaimer_debra"/>
    <s v="allocator_new"/>
    <s v="pool_none"/>
    <n v="1000"/>
    <n v="0.5"/>
    <n v="0.5"/>
    <n v="0"/>
    <n v="1"/>
    <n v="2000000"/>
    <n v="190"/>
    <n v="190"/>
    <n v="190"/>
    <n v="0"/>
    <s v="insertIfAbsent"/>
    <n v="1001706293534"/>
    <n v="1000915"/>
    <n v="1001706293534"/>
    <n v="1000915"/>
    <s v="success"/>
    <n v="8"/>
    <n v="23769"/>
    <n v="163538"/>
    <n v="187307"/>
    <n v="1000915"/>
    <n v="7.8803099999999997"/>
    <n v="6.1203799999999999"/>
    <n v="6.3437099999999997"/>
    <n v="7"/>
    <n v="38959856"/>
    <m/>
    <m/>
    <m/>
    <n v="2920"/>
    <m/>
    <m/>
    <n v="398454923"/>
    <n v="0"/>
    <n v="4024183"/>
    <n v="398454923"/>
    <n v="402479106"/>
    <n v="398454923"/>
    <n v="0"/>
    <n v="4024183"/>
    <n v="398454923"/>
    <n v="402479106"/>
    <n v="9.2425700000000006"/>
    <n v="0.78800800000000004"/>
    <n v="1310.07"/>
    <n v="425.29300000000001"/>
    <n v="1158"/>
    <n v="311"/>
    <x v="7"/>
    <x v="0"/>
  </r>
  <r>
    <s v="istree_exp5_numerical_stability_vs_time/step10177.txt"/>
    <x v="2"/>
    <n v="208"/>
    <s v="reclaimer_debra"/>
    <s v="allocator_new"/>
    <s v="pool_none"/>
    <n v="2000"/>
    <n v="0.5"/>
    <n v="0.5"/>
    <n v="0"/>
    <n v="1"/>
    <n v="2000000"/>
    <n v="190"/>
    <n v="190"/>
    <n v="190"/>
    <n v="0"/>
    <s v="insertIfAbsent"/>
    <n v="1000143838464"/>
    <n v="1000535"/>
    <n v="1000143838464"/>
    <n v="1000535"/>
    <s v="success"/>
    <n v="8"/>
    <n v="25597"/>
    <n v="175125"/>
    <n v="200722"/>
    <n v="1000535"/>
    <n v="7.8416199999999998"/>
    <n v="5.71326"/>
    <n v="5.98468"/>
    <n v="7"/>
    <n v="41750176"/>
    <m/>
    <m/>
    <m/>
    <n v="5558"/>
    <m/>
    <m/>
    <n v="765553160"/>
    <n v="0"/>
    <n v="7735956"/>
    <n v="765553160"/>
    <n v="773289116"/>
    <n v="382776580"/>
    <n v="0"/>
    <n v="3867978"/>
    <n v="382776580"/>
    <n v="386644558"/>
    <n v="9.6110900000000008"/>
    <n v="0.89519800000000005"/>
    <n v="1352.14"/>
    <n v="461.66500000000002"/>
    <n v="1176"/>
    <n v="319"/>
    <x v="7"/>
    <x v="1"/>
  </r>
  <r>
    <s v="istree_exp5_numerical_stability_vs_time/step10178.txt"/>
    <x v="2"/>
    <n v="208"/>
    <s v="reclaimer_debra"/>
    <s v="allocator_new"/>
    <s v="pool_none"/>
    <n v="4000"/>
    <n v="0.5"/>
    <n v="0.5"/>
    <n v="0"/>
    <n v="1"/>
    <n v="2000000"/>
    <n v="190"/>
    <n v="190"/>
    <n v="190"/>
    <n v="0"/>
    <s v="insertIfAbsent"/>
    <n v="1000373920695"/>
    <n v="1000397"/>
    <n v="1000373920695"/>
    <n v="1000397"/>
    <s v="success"/>
    <n v="8"/>
    <n v="27402"/>
    <n v="186419"/>
    <n v="213821"/>
    <n v="1000397"/>
    <n v="7.8031199999999998"/>
    <n v="5.36639"/>
    <n v="5.6786700000000003"/>
    <n v="7"/>
    <n v="44474768"/>
    <m/>
    <m/>
    <m/>
    <n v="10356"/>
    <m/>
    <m/>
    <n v="1479936724"/>
    <n v="0"/>
    <n v="14943973"/>
    <n v="1479936724"/>
    <n v="1494880697"/>
    <n v="369984181"/>
    <n v="0"/>
    <n v="3735993"/>
    <n v="369984181"/>
    <n v="373720174"/>
    <n v="9.8066099999999992"/>
    <n v="1.0259499999999999"/>
    <n v="1381.75"/>
    <n v="488.13799999999998"/>
    <n v="1170"/>
    <n v="308"/>
    <x v="7"/>
    <x v="2"/>
  </r>
  <r>
    <s v="istree_exp5_numerical_stability_vs_time/step10179.txt"/>
    <x v="2"/>
    <n v="208"/>
    <s v="reclaimer_debra"/>
    <s v="allocator_new"/>
    <s v="pool_none"/>
    <n v="8000"/>
    <n v="0.5"/>
    <n v="0.5"/>
    <n v="0"/>
    <n v="1"/>
    <n v="2000000"/>
    <n v="190"/>
    <n v="190"/>
    <n v="190"/>
    <n v="0"/>
    <s v="insertIfAbsent"/>
    <n v="1000761546138"/>
    <n v="1000617"/>
    <n v="1000761546138"/>
    <n v="1000617"/>
    <s v="success"/>
    <n v="8"/>
    <n v="29292"/>
    <n v="194420"/>
    <n v="223712"/>
    <n v="1000617"/>
    <n v="7.6373100000000003"/>
    <n v="5.1466799999999999"/>
    <n v="5.4727899999999998"/>
    <n v="7"/>
    <n v="46532096"/>
    <m/>
    <m/>
    <m/>
    <s v="260 19582"/>
    <m/>
    <m/>
    <n v="2872605559"/>
    <n v="0"/>
    <n v="29018446"/>
    <n v="2872605559"/>
    <n v="2901624005"/>
    <n v="359075694"/>
    <n v="0"/>
    <n v="3627305"/>
    <n v="359075694"/>
    <n v="362703000"/>
    <n v="10.0562"/>
    <n v="1.15981"/>
    <n v="1417.07"/>
    <n v="522.54300000000001"/>
    <n v="1173"/>
    <n v="311"/>
    <x v="7"/>
    <x v="3"/>
  </r>
  <r>
    <s v="istree_exp5_numerical_stability_vs_time/step10180.txt"/>
    <x v="2"/>
    <n v="208"/>
    <s v="reclaimer_debra"/>
    <s v="allocator_new"/>
    <s v="pool_none"/>
    <n v="16000"/>
    <n v="0.5"/>
    <n v="0.5"/>
    <n v="0"/>
    <n v="1"/>
    <n v="2000000"/>
    <n v="190"/>
    <n v="190"/>
    <n v="190"/>
    <n v="0"/>
    <s v="insertIfAbsent"/>
    <n v="999458159770"/>
    <n v="1000176"/>
    <n v="999458159770"/>
    <n v="1000176"/>
    <s v="success"/>
    <n v="8"/>
    <n v="30958"/>
    <n v="196548"/>
    <n v="227506"/>
    <n v="1000176"/>
    <n v="7.3488600000000002"/>
    <n v="5.0887099999999998"/>
    <n v="5.3962599999999998"/>
    <n v="7"/>
    <n v="47321248"/>
    <m/>
    <m/>
    <m/>
    <n v="37640"/>
    <m/>
    <m/>
    <n v="5643529664"/>
    <n v="0"/>
    <n v="56994445"/>
    <n v="5643529664"/>
    <n v="5700524109"/>
    <n v="352720604"/>
    <n v="0"/>
    <n v="3562152"/>
    <n v="352720604"/>
    <n v="356282756"/>
    <n v="10.305199999999999"/>
    <n v="1.2586599999999999"/>
    <n v="1438.69"/>
    <n v="543.16800000000001"/>
    <n v="1178"/>
    <n v="311"/>
    <x v="7"/>
    <x v="4"/>
  </r>
  <r>
    <s v="istree_exp5_numerical_stability_vs_time/step10181.txt"/>
    <x v="2"/>
    <n v="208"/>
    <s v="reclaimer_debra"/>
    <s v="allocator_new"/>
    <s v="pool_none"/>
    <n v="32000"/>
    <n v="0.5"/>
    <n v="0.5"/>
    <n v="0"/>
    <n v="1"/>
    <n v="2000000"/>
    <n v="190"/>
    <n v="190"/>
    <n v="190"/>
    <n v="0"/>
    <s v="insertIfAbsent"/>
    <n v="999332043157"/>
    <n v="999146"/>
    <n v="999332043157"/>
    <n v="999146"/>
    <s v="success"/>
    <n v="8"/>
    <n v="32213"/>
    <n v="195802"/>
    <n v="228015"/>
    <n v="999146"/>
    <n v="7.0783500000000004"/>
    <n v="5.1028399999999996"/>
    <n v="5.3819299999999997"/>
    <n v="7"/>
    <n v="47427120"/>
    <m/>
    <m/>
    <m/>
    <n v="75232"/>
    <m/>
    <m/>
    <n v="11158919302"/>
    <n v="0"/>
    <n v="112716306"/>
    <n v="11158919302"/>
    <n v="11271635608"/>
    <n v="348716228"/>
    <n v="0"/>
    <n v="3522384"/>
    <n v="348716228"/>
    <n v="352238612"/>
    <n v="10.2912"/>
    <n v="1.3108900000000001"/>
    <n v="1452.38"/>
    <n v="550.803"/>
    <n v="1176"/>
    <n v="292"/>
    <x v="7"/>
    <x v="5"/>
  </r>
  <r>
    <s v="istree_exp5_numerical_stability_vs_time/step10182.txt"/>
    <x v="2"/>
    <n v="208"/>
    <s v="reclaimer_debra"/>
    <s v="allocator_new"/>
    <s v="pool_none"/>
    <n v="64000"/>
    <n v="0.5"/>
    <n v="0.5"/>
    <n v="0"/>
    <n v="1"/>
    <n v="2000000"/>
    <n v="190"/>
    <n v="190"/>
    <n v="190"/>
    <n v="0"/>
    <s v="insertIfAbsent"/>
    <n v="1000254367386"/>
    <n v="999929"/>
    <n v="1000254367386"/>
    <n v="999929"/>
    <s v="success"/>
    <n v="8"/>
    <n v="33456"/>
    <n v="195293"/>
    <n v="228749"/>
    <n v="999929"/>
    <n v="6.8373100000000004"/>
    <n v="5.1201499999999998"/>
    <n v="5.3712900000000001"/>
    <n v="7"/>
    <n v="47579792"/>
    <m/>
    <m/>
    <m/>
    <n v="150430"/>
    <m/>
    <m/>
    <n v="22209564251"/>
    <n v="0"/>
    <n v="224310918"/>
    <n v="22209564251"/>
    <n v="22433875169"/>
    <n v="347024441"/>
    <n v="0"/>
    <n v="3504858"/>
    <n v="347024441"/>
    <n v="350529299"/>
    <n v="10.427099999999999"/>
    <n v="1.3420300000000001"/>
    <n v="1459.04"/>
    <n v="559.13199999999995"/>
    <n v="1173"/>
    <n v="249"/>
    <x v="7"/>
    <x v="6"/>
  </r>
  <r>
    <s v="istree_exp5_numerical_stability_vs_time/step10183.txt"/>
    <x v="1"/>
    <m/>
    <s v="reclaimer_debra"/>
    <s v="allocator_new"/>
    <s v="pool_none"/>
    <n v="1000"/>
    <n v="0.5"/>
    <n v="0.5"/>
    <n v="0"/>
    <n v="1"/>
    <n v="2000000"/>
    <n v="190"/>
    <n v="190"/>
    <n v="190"/>
    <n v="0"/>
    <s v="insertIfAbsent"/>
    <n v="999823424384"/>
    <n v="1000028"/>
    <n v="999823424384"/>
    <n v="1000028"/>
    <s v="success"/>
    <n v="25"/>
    <n v="649315"/>
    <n v="490832"/>
    <n v="1140147"/>
    <n v="1000028"/>
    <n v="1.7559199999999999"/>
    <n v="2.0374099999999999"/>
    <n v="1.8771"/>
    <n v="19.710799999999999"/>
    <n v="63848232"/>
    <m/>
    <m/>
    <m/>
    <n v="1596"/>
    <m/>
    <m/>
    <n v="221776400"/>
    <n v="0"/>
    <n v="2238854"/>
    <n v="221776400"/>
    <n v="224015254"/>
    <n v="221776400"/>
    <n v="0"/>
    <n v="2238854"/>
    <n v="221776400"/>
    <n v="224015254"/>
    <n v="16.134699999999999"/>
    <n v="2.4144800000000002"/>
    <n v="2352.38"/>
    <n v="1068.55"/>
    <n v="1177"/>
    <n v="280"/>
    <x v="7"/>
    <x v="0"/>
  </r>
  <r>
    <s v="istree_exp5_numerical_stability_vs_time/step10184.txt"/>
    <x v="1"/>
    <m/>
    <s v="reclaimer_debra"/>
    <s v="allocator_new"/>
    <s v="pool_none"/>
    <n v="2000"/>
    <n v="0.5"/>
    <n v="0.5"/>
    <n v="0"/>
    <n v="1"/>
    <n v="2000000"/>
    <n v="190"/>
    <n v="190"/>
    <n v="190"/>
    <n v="0"/>
    <s v="insertIfAbsent"/>
    <n v="998529662230"/>
    <n v="998795"/>
    <n v="998529662230"/>
    <n v="998795"/>
    <s v="success"/>
    <n v="25"/>
    <n v="672954"/>
    <n v="509880"/>
    <n v="1182834"/>
    <n v="998795"/>
    <n v="1.7576700000000001"/>
    <n v="1.95888"/>
    <n v="1.8444100000000001"/>
    <n v="19.825199999999999"/>
    <n v="66238704"/>
    <m/>
    <m/>
    <m/>
    <n v="2902"/>
    <m/>
    <m/>
    <n v="433247013"/>
    <n v="0"/>
    <n v="4377220"/>
    <n v="433247013"/>
    <n v="437624233"/>
    <n v="216623506"/>
    <n v="0"/>
    <n v="2188610"/>
    <n v="216623506"/>
    <n v="218812116"/>
    <n v="16.255199999999999"/>
    <n v="2.5220699999999998"/>
    <n v="2396.42"/>
    <n v="1115.08"/>
    <n v="1179"/>
    <n v="235"/>
    <x v="7"/>
    <x v="1"/>
  </r>
  <r>
    <s v="istree_exp5_numerical_stability_vs_time/step10185.txt"/>
    <x v="1"/>
    <m/>
    <s v="reclaimer_debra"/>
    <s v="allocator_new"/>
    <s v="pool_none"/>
    <n v="4000"/>
    <n v="0.5"/>
    <n v="0.5"/>
    <n v="0"/>
    <n v="1"/>
    <n v="2000000"/>
    <n v="190"/>
    <n v="190"/>
    <n v="190"/>
    <n v="0"/>
    <s v="insertIfAbsent"/>
    <n v="999311269776"/>
    <n v="999433"/>
    <n v="999311269776"/>
    <n v="999433"/>
    <s v="success"/>
    <n v="25"/>
    <n v="683668"/>
    <n v="518600"/>
    <n v="1202268"/>
    <n v="999433"/>
    <n v="1.7585599999999999"/>
    <n v="1.9271799999999999"/>
    <n v="1.8312900000000001"/>
    <n v="19.873899999999999"/>
    <n v="67327008"/>
    <m/>
    <m/>
    <m/>
    <n v="5572"/>
    <m/>
    <m/>
    <n v="842959132"/>
    <n v="0"/>
    <n v="8519469"/>
    <n v="842959132"/>
    <n v="851478601"/>
    <n v="210739783"/>
    <n v="0"/>
    <n v="2129867"/>
    <n v="210739783"/>
    <n v="212869650"/>
    <n v="16.421600000000002"/>
    <n v="2.6295899999999999"/>
    <n v="2438.7600000000002"/>
    <n v="1154.25"/>
    <n v="1181"/>
    <n v="329"/>
    <x v="7"/>
    <x v="2"/>
  </r>
  <r>
    <s v="istree_exp5_numerical_stability_vs_time/step10186.txt"/>
    <x v="1"/>
    <m/>
    <s v="reclaimer_debra"/>
    <s v="allocator_new"/>
    <s v="pool_none"/>
    <n v="8000"/>
    <n v="0.5"/>
    <n v="0.5"/>
    <n v="0"/>
    <n v="1"/>
    <n v="2000000"/>
    <n v="190"/>
    <n v="190"/>
    <n v="190"/>
    <n v="0"/>
    <s v="insertIfAbsent"/>
    <n v="998369177896"/>
    <n v="998300"/>
    <n v="998369177896"/>
    <n v="998300"/>
    <s v="success"/>
    <n v="25"/>
    <n v="685063"/>
    <n v="519675"/>
    <n v="1204738"/>
    <n v="998300"/>
    <n v="1.75858"/>
    <n v="1.9210100000000001"/>
    <n v="1.82864"/>
    <n v="19.865600000000001"/>
    <n v="67465328"/>
    <m/>
    <m/>
    <m/>
    <n v="10796"/>
    <m/>
    <m/>
    <n v="1638290601"/>
    <n v="0"/>
    <n v="16550167"/>
    <n v="1638290601"/>
    <n v="1654840768"/>
    <n v="204786325"/>
    <n v="0"/>
    <n v="2068770"/>
    <n v="204786325"/>
    <n v="206855096"/>
    <n v="16.539100000000001"/>
    <n v="2.7199300000000002"/>
    <n v="2496.77"/>
    <n v="1182.26"/>
    <n v="1182"/>
    <n v="374"/>
    <x v="7"/>
    <x v="3"/>
  </r>
  <r>
    <s v="istree_exp5_numerical_stability_vs_time/step10187.txt"/>
    <x v="1"/>
    <m/>
    <s v="reclaimer_debra"/>
    <s v="allocator_new"/>
    <s v="pool_none"/>
    <n v="16000"/>
    <n v="0.5"/>
    <n v="0.5"/>
    <n v="0"/>
    <n v="1"/>
    <n v="2000000"/>
    <n v="190"/>
    <n v="190"/>
    <n v="190"/>
    <n v="0"/>
    <s v="insertIfAbsent"/>
    <n v="1000395687220"/>
    <n v="1000214"/>
    <n v="1000395687220"/>
    <n v="1000214"/>
    <s v="success"/>
    <n v="25"/>
    <n v="686319"/>
    <n v="520652"/>
    <n v="1206971"/>
    <n v="1000214"/>
    <n v="1.7586200000000001"/>
    <n v="1.9210799999999999"/>
    <n v="1.8287"/>
    <n v="19.9023"/>
    <n v="67590376"/>
    <m/>
    <m/>
    <m/>
    <s v="268 21120"/>
    <m/>
    <m/>
    <n v="3280703008"/>
    <n v="0"/>
    <n v="33134115"/>
    <n v="3280703008"/>
    <n v="3313837123"/>
    <n v="205043938"/>
    <n v="0"/>
    <n v="2070882"/>
    <n v="205043938"/>
    <n v="207114820"/>
    <n v="16.7013"/>
    <n v="2.80185"/>
    <n v="2494.2399999999998"/>
    <n v="1217.8499999999999"/>
    <n v="1184"/>
    <n v="388"/>
    <x v="7"/>
    <x v="4"/>
  </r>
  <r>
    <s v="istree_exp5_numerical_stability_vs_time/step10188.txt"/>
    <x v="1"/>
    <m/>
    <s v="reclaimer_debra"/>
    <s v="allocator_new"/>
    <s v="pool_none"/>
    <n v="32000"/>
    <n v="0.5"/>
    <n v="0.5"/>
    <n v="0"/>
    <n v="1"/>
    <n v="2000000"/>
    <n v="190"/>
    <n v="190"/>
    <n v="190"/>
    <n v="0"/>
    <s v="insertIfAbsent"/>
    <n v="1000592738069"/>
    <n v="1000891"/>
    <n v="1000592738069"/>
    <n v="1000891"/>
    <s v="success"/>
    <n v="25"/>
    <n v="686283"/>
    <n v="520828"/>
    <n v="1207111"/>
    <n v="1000891"/>
    <n v="1.75891"/>
    <n v="1.9217299999999999"/>
    <n v="1.8291599999999999"/>
    <n v="19.9145"/>
    <n v="67598216"/>
    <m/>
    <m/>
    <m/>
    <s v="266 41584"/>
    <m/>
    <m/>
    <n v="6492447611"/>
    <n v="0"/>
    <n v="65583604"/>
    <n v="6492447611"/>
    <n v="6558031215"/>
    <n v="202888987"/>
    <n v="0"/>
    <n v="2049487"/>
    <n v="202888987"/>
    <n v="204938475"/>
    <n v="16.894400000000001"/>
    <n v="2.8679800000000002"/>
    <n v="2524.6"/>
    <n v="1252.21"/>
    <n v="1188"/>
    <n v="373"/>
    <x v="7"/>
    <x v="5"/>
  </r>
  <r>
    <s v="istree_exp5_numerical_stability_vs_time/step10189.txt"/>
    <x v="1"/>
    <m/>
    <s v="reclaimer_debra"/>
    <s v="allocator_new"/>
    <s v="pool_none"/>
    <n v="64000"/>
    <n v="0.5"/>
    <n v="0.5"/>
    <n v="0"/>
    <n v="1"/>
    <n v="2000000"/>
    <n v="190"/>
    <n v="190"/>
    <n v="190"/>
    <n v="0"/>
    <s v="insertIfAbsent"/>
    <n v="999448827026"/>
    <n v="999264"/>
    <n v="999448827026"/>
    <n v="999264"/>
    <s v="success"/>
    <n v="25"/>
    <n v="685755"/>
    <n v="519922"/>
    <n v="1205677"/>
    <n v="999264"/>
    <n v="1.75817"/>
    <n v="1.92195"/>
    <n v="1.8288"/>
    <n v="19.8476"/>
    <n v="67517912"/>
    <m/>
    <m/>
    <m/>
    <n v="81024"/>
    <m/>
    <m/>
    <n v="12802974201"/>
    <n v="0"/>
    <n v="129328142"/>
    <n v="12802974201"/>
    <n v="12932302343"/>
    <n v="200046471"/>
    <n v="0"/>
    <n v="2020752"/>
    <n v="200046471"/>
    <n v="202067224"/>
    <n v="17.1523"/>
    <n v="2.95018"/>
    <n v="2562.64"/>
    <n v="1293.42"/>
    <n v="1195"/>
    <n v="250"/>
    <x v="7"/>
    <x v="6"/>
  </r>
  <r>
    <s v="istree_exp5_numerical_stability_vs_time/step10190.txt"/>
    <x v="3"/>
    <m/>
    <s v="reclaimer_debra"/>
    <s v="allocator_new"/>
    <s v="pool_none"/>
    <n v="1000"/>
    <n v="0.5"/>
    <n v="0.5"/>
    <n v="0"/>
    <n v="1"/>
    <n v="2000000"/>
    <n v="190"/>
    <n v="190"/>
    <n v="190"/>
    <n v="0"/>
    <s v="insertIfAbsent"/>
    <n v="998385414034"/>
    <n v="998979"/>
    <n v="998385414034"/>
    <n v="998979"/>
    <s v="success"/>
    <n v="49"/>
    <n v="998978"/>
    <n v="998979"/>
    <n v="1997957"/>
    <n v="998979"/>
    <n v="2"/>
    <n v="1"/>
    <n v="1.5"/>
    <n v="26.0778"/>
    <n v="63934624"/>
    <m/>
    <m/>
    <m/>
    <n v="1442"/>
    <m/>
    <m/>
    <n v="208183495"/>
    <n v="0"/>
    <n v="2101969"/>
    <n v="208183495"/>
    <n v="210285464"/>
    <n v="208183495"/>
    <n v="0"/>
    <n v="2101969"/>
    <n v="208183495"/>
    <n v="210285464"/>
    <n v="12.1235"/>
    <n v="1.9493499999999999"/>
    <n v="2515.1"/>
    <n v="1563.74"/>
    <n v="1167"/>
    <n v="217"/>
    <x v="7"/>
    <x v="0"/>
  </r>
  <r>
    <s v="istree_exp5_numerical_stability_vs_time/step10191.txt"/>
    <x v="3"/>
    <m/>
    <s v="reclaimer_debra"/>
    <s v="allocator_new"/>
    <s v="pool_none"/>
    <n v="2000"/>
    <n v="0.5"/>
    <n v="0.5"/>
    <n v="0"/>
    <n v="1"/>
    <n v="2000000"/>
    <n v="190"/>
    <n v="190"/>
    <n v="190"/>
    <n v="0"/>
    <s v="insertIfAbsent"/>
    <n v="999996215195"/>
    <n v="1000320"/>
    <n v="999996215195"/>
    <n v="1000320"/>
    <s v="success"/>
    <n v="50"/>
    <n v="1000319"/>
    <n v="1000320"/>
    <n v="2000639"/>
    <n v="1000320"/>
    <n v="2"/>
    <n v="1"/>
    <n v="1.5"/>
    <n v="27.165199999999999"/>
    <n v="64020448"/>
    <m/>
    <m/>
    <m/>
    <n v="2764"/>
    <m/>
    <m/>
    <n v="411244104"/>
    <n v="0"/>
    <n v="4153903"/>
    <n v="411244104"/>
    <n v="415398007"/>
    <n v="205622052"/>
    <n v="0"/>
    <n v="2076951"/>
    <n v="205622052"/>
    <n v="207699003"/>
    <n v="12.266500000000001"/>
    <n v="1.9965900000000001"/>
    <n v="2547.63"/>
    <n v="1594.56"/>
    <n v="1167"/>
    <n v="256"/>
    <x v="7"/>
    <x v="1"/>
  </r>
  <r>
    <s v="istree_exp5_numerical_stability_vs_time/step10192.txt"/>
    <x v="3"/>
    <m/>
    <s v="reclaimer_debra"/>
    <s v="allocator_new"/>
    <s v="pool_none"/>
    <n v="4000"/>
    <n v="0.5"/>
    <n v="0.5"/>
    <n v="0"/>
    <n v="1"/>
    <n v="2000000"/>
    <n v="190"/>
    <n v="190"/>
    <n v="190"/>
    <n v="0"/>
    <s v="insertIfAbsent"/>
    <n v="1001029308043"/>
    <n v="1000964"/>
    <n v="1001029308043"/>
    <n v="1000964"/>
    <s v="success"/>
    <n v="55"/>
    <n v="1000963"/>
    <n v="1000964"/>
    <n v="2001927"/>
    <n v="1000964"/>
    <n v="2"/>
    <n v="1"/>
    <n v="1.5"/>
    <n v="26.735099999999999"/>
    <n v="64061664"/>
    <m/>
    <m/>
    <m/>
    <n v="5246"/>
    <m/>
    <m/>
    <n v="817457867"/>
    <n v="0"/>
    <n v="8255251"/>
    <n v="817457867"/>
    <n v="825713118"/>
    <n v="204364466"/>
    <n v="0"/>
    <n v="2063812"/>
    <n v="204364466"/>
    <n v="206428279"/>
    <n v="12.350199999999999"/>
    <n v="2.0617299999999998"/>
    <n v="2562.9699999999998"/>
    <n v="1624.78"/>
    <n v="1168"/>
    <n v="232"/>
    <x v="7"/>
    <x v="2"/>
  </r>
  <r>
    <s v="istree_exp5_numerical_stability_vs_time/step10193.txt"/>
    <x v="3"/>
    <m/>
    <s v="reclaimer_debra"/>
    <s v="allocator_new"/>
    <s v="pool_none"/>
    <n v="8000"/>
    <n v="0.5"/>
    <n v="0.5"/>
    <n v="0"/>
    <n v="1"/>
    <n v="2000000"/>
    <n v="190"/>
    <n v="190"/>
    <n v="190"/>
    <n v="0"/>
    <s v="insertIfAbsent"/>
    <n v="1000483736425"/>
    <n v="1000277"/>
    <n v="1000483736425"/>
    <n v="1000277"/>
    <s v="success"/>
    <n v="52"/>
    <n v="1000276"/>
    <n v="1000277"/>
    <n v="2000553"/>
    <n v="1000277"/>
    <n v="2"/>
    <n v="1"/>
    <n v="1.5"/>
    <n v="27.160499999999999"/>
    <n v="64017696"/>
    <m/>
    <m/>
    <m/>
    <n v="10196"/>
    <m/>
    <m/>
    <n v="1615306451"/>
    <n v="0"/>
    <n v="16313834"/>
    <n v="1615306451"/>
    <n v="1631620285"/>
    <n v="201913306"/>
    <n v="0"/>
    <n v="2039229"/>
    <n v="201913306"/>
    <n v="203952535"/>
    <n v="12.313700000000001"/>
    <n v="2.11788"/>
    <n v="2594.15"/>
    <n v="1647.48"/>
    <n v="1170"/>
    <n v="268"/>
    <x v="7"/>
    <x v="3"/>
  </r>
  <r>
    <s v="istree_exp5_numerical_stability_vs_time/step10194.txt"/>
    <x v="3"/>
    <m/>
    <s v="reclaimer_debra"/>
    <s v="allocator_new"/>
    <s v="pool_none"/>
    <n v="16000"/>
    <n v="0.5"/>
    <n v="0.5"/>
    <n v="0"/>
    <n v="1"/>
    <n v="2000000"/>
    <n v="190"/>
    <n v="190"/>
    <n v="190"/>
    <n v="0"/>
    <s v="insertIfAbsent"/>
    <n v="999630629005"/>
    <n v="999628"/>
    <n v="999630629005"/>
    <n v="999628"/>
    <s v="success"/>
    <n v="53"/>
    <n v="999627"/>
    <n v="999628"/>
    <n v="1999255"/>
    <n v="999628"/>
    <n v="2"/>
    <n v="1"/>
    <n v="1.5"/>
    <n v="26.157800000000002"/>
    <n v="63976160"/>
    <m/>
    <m/>
    <m/>
    <n v="20206"/>
    <m/>
    <m/>
    <n v="3219615375"/>
    <n v="0"/>
    <n v="32523206"/>
    <n v="3219615375"/>
    <n v="3252138581"/>
    <n v="201225960"/>
    <n v="0"/>
    <n v="2032700"/>
    <n v="201225960"/>
    <n v="203258661"/>
    <n v="12.3286"/>
    <n v="2.1717599999999999"/>
    <n v="2603.29"/>
    <n v="1665.41"/>
    <n v="1173"/>
    <n v="287"/>
    <x v="7"/>
    <x v="4"/>
  </r>
  <r>
    <s v="istree_exp5_numerical_stability_vs_time/step10195.txt"/>
    <x v="3"/>
    <m/>
    <s v="reclaimer_debra"/>
    <s v="allocator_new"/>
    <s v="pool_none"/>
    <n v="32000"/>
    <n v="0.5"/>
    <n v="0.5"/>
    <n v="0"/>
    <n v="1"/>
    <n v="2000000"/>
    <n v="190"/>
    <n v="190"/>
    <n v="190"/>
    <n v="0"/>
    <s v="insertIfAbsent"/>
    <n v="999759511957"/>
    <n v="999451"/>
    <n v="999759511957"/>
    <n v="999451"/>
    <s v="success"/>
    <n v="48"/>
    <n v="999450"/>
    <n v="999451"/>
    <n v="1998901"/>
    <n v="999451"/>
    <n v="2"/>
    <n v="1"/>
    <n v="1.5"/>
    <n v="25.808599999999998"/>
    <n v="63964832"/>
    <m/>
    <m/>
    <m/>
    <n v="40256"/>
    <m/>
    <m/>
    <n v="6460312498"/>
    <n v="0"/>
    <n v="65252847"/>
    <n v="6460312498"/>
    <n v="6525565345"/>
    <n v="201884765"/>
    <n v="0"/>
    <n v="2039151"/>
    <n v="201884765"/>
    <n v="203923917"/>
    <n v="12.395300000000001"/>
    <n v="2.2480600000000002"/>
    <n v="2594.46"/>
    <n v="1668.76"/>
    <n v="1179"/>
    <n v="306"/>
    <x v="7"/>
    <x v="5"/>
  </r>
  <r>
    <s v="istree_exp5_numerical_stability_vs_time/step10196.txt"/>
    <x v="3"/>
    <m/>
    <s v="reclaimer_debra"/>
    <s v="allocator_new"/>
    <s v="pool_none"/>
    <n v="64000"/>
    <n v="0.5"/>
    <n v="0.5"/>
    <n v="0"/>
    <n v="1"/>
    <n v="2000000"/>
    <n v="190"/>
    <n v="190"/>
    <n v="190"/>
    <n v="0"/>
    <s v="insertIfAbsent"/>
    <n v="998133959401"/>
    <n v="998485"/>
    <n v="998133959401"/>
    <n v="998485"/>
    <s v="success"/>
    <n v="48"/>
    <n v="998484"/>
    <n v="998485"/>
    <n v="1996969"/>
    <n v="998485"/>
    <n v="2"/>
    <n v="1"/>
    <n v="1.5"/>
    <n v="28.135899999999999"/>
    <n v="63903008"/>
    <m/>
    <m/>
    <m/>
    <n v="78072"/>
    <m/>
    <m/>
    <n v="12688427925"/>
    <n v="0"/>
    <n v="128175678"/>
    <n v="12688427925"/>
    <n v="12816603603"/>
    <n v="198256686"/>
    <n v="0"/>
    <n v="2002744"/>
    <n v="198256686"/>
    <n v="200259431"/>
    <n v="12.5296"/>
    <n v="2.3510599999999999"/>
    <n v="2641.95"/>
    <n v="1709.23"/>
    <n v="1190"/>
    <n v="244"/>
    <x v="7"/>
    <x v="6"/>
  </r>
  <r>
    <s v="istree_exp5_numerical_stability_vs_time/step10197.txt"/>
    <x v="0"/>
    <n v="72"/>
    <s v="reclaimer_debra"/>
    <s v="allocator_new"/>
    <s v="pool_none"/>
    <n v="1000"/>
    <n v="0.5"/>
    <n v="0.5"/>
    <n v="0"/>
    <n v="1"/>
    <n v="20000000"/>
    <n v="190"/>
    <n v="190"/>
    <n v="190"/>
    <n v="0"/>
    <s v="insertIfAbsent"/>
    <n v="100019044667553"/>
    <n v="10000383"/>
    <n v="100019044667553"/>
    <n v="10000383"/>
    <s v="success"/>
    <n v="7"/>
    <n v="1903472"/>
    <n v="12025731"/>
    <n v="13929203"/>
    <n v="10000383"/>
    <n v="7.3177899999999996"/>
    <n v="0.83158200000000004"/>
    <n v="1.71794"/>
    <n v="4.0555599999999998"/>
    <n v="344720672"/>
    <s v="0 24 4646 367638 763"/>
    <s v="0 24 4646 367638 763"/>
    <n v="13"/>
    <n v="1690"/>
    <m/>
    <m/>
    <n v="267722441"/>
    <n v="0"/>
    <n v="2704626"/>
    <n v="267722441"/>
    <n v="270427067"/>
    <n v="267722441"/>
    <n v="0"/>
    <n v="2704626"/>
    <n v="267722441"/>
    <n v="270427067"/>
    <n v="15.935600000000001"/>
    <n v="6.4779900000000001"/>
    <n v="1952.64"/>
    <n v="1194.33"/>
    <n v="1915"/>
    <n v="329"/>
    <x v="1"/>
    <x v="0"/>
  </r>
  <r>
    <s v="istree_exp5_numerical_stability_vs_time/step10198.txt"/>
    <x v="0"/>
    <n v="72"/>
    <s v="reclaimer_debra"/>
    <s v="allocator_new"/>
    <s v="pool_none"/>
    <n v="2000"/>
    <n v="0.5"/>
    <n v="0.5"/>
    <n v="0"/>
    <n v="1"/>
    <n v="20000000"/>
    <n v="190"/>
    <n v="190"/>
    <n v="190"/>
    <n v="0"/>
    <s v="insertIfAbsent"/>
    <n v="99997391674390"/>
    <n v="10000557"/>
    <n v="99997391674390"/>
    <n v="10000557"/>
    <s v="success"/>
    <n v="7"/>
    <n v="1629890"/>
    <n v="11451212"/>
    <n v="13081102"/>
    <n v="10000557"/>
    <n v="8.02576"/>
    <n v="0.87331899999999996"/>
    <n v="1.7645"/>
    <n v="4.00082"/>
    <n v="313610576"/>
    <s v="1 3163 26461 669331 1724"/>
    <s v="1 3163 26460 669331 1724"/>
    <n v="1936"/>
    <n v="3068"/>
    <m/>
    <m/>
    <n v="497112851"/>
    <n v="0"/>
    <n v="5016562"/>
    <n v="497112851"/>
    <n v="502129413"/>
    <n v="248556425"/>
    <n v="0"/>
    <n v="2508281"/>
    <n v="248556425"/>
    <n v="251064706"/>
    <n v="16.132100000000001"/>
    <n v="6.5976800000000004"/>
    <n v="2047.47"/>
    <n v="1289.5999999999999"/>
    <n v="2598"/>
    <n v="348"/>
    <x v="1"/>
    <x v="1"/>
  </r>
  <r>
    <s v="istree_exp5_numerical_stability_vs_time/step10199.txt"/>
    <x v="0"/>
    <n v="72"/>
    <s v="reclaimer_debra"/>
    <s v="allocator_new"/>
    <s v="pool_none"/>
    <n v="4000"/>
    <n v="0.5"/>
    <n v="0.5"/>
    <n v="0"/>
    <n v="1"/>
    <n v="20000000"/>
    <n v="190"/>
    <n v="190"/>
    <n v="190"/>
    <n v="0"/>
    <s v="insertIfAbsent"/>
    <n v="100013178727974"/>
    <n v="9999884"/>
    <n v="100013178727974"/>
    <n v="9999884"/>
    <s v="success"/>
    <n v="7"/>
    <n v="1642918"/>
    <n v="11476748"/>
    <n v="13119666"/>
    <n v="9999884"/>
    <n v="7.9855900000000002"/>
    <n v="0.87131700000000001"/>
    <n v="1.7622100000000001"/>
    <n v="4.0034299999999998"/>
    <n v="315061392"/>
    <s v="3 6325 53093 1338978 3392"/>
    <s v="2 6325 53087 1338973 3392"/>
    <n v="4793"/>
    <n v="6258"/>
    <m/>
    <m/>
    <n v="995696203"/>
    <n v="0"/>
    <n v="10064261"/>
    <n v="995696203"/>
    <n v="1005760464"/>
    <n v="248924050"/>
    <n v="0"/>
    <n v="2516065"/>
    <n v="248924050"/>
    <n v="251440116"/>
    <n v="16.2224"/>
    <n v="6.6109600000000004"/>
    <n v="2051.81"/>
    <n v="1272.1400000000001"/>
    <n v="2731"/>
    <n v="401"/>
    <x v="1"/>
    <x v="2"/>
  </r>
  <r>
    <s v="istree_exp5_numerical_stability_vs_time/step10200.txt"/>
    <x v="0"/>
    <n v="72"/>
    <s v="reclaimer_debra"/>
    <s v="allocator_new"/>
    <s v="pool_none"/>
    <n v="8000"/>
    <n v="0.5"/>
    <n v="0.5"/>
    <n v="0"/>
    <n v="1"/>
    <n v="20000000"/>
    <n v="190"/>
    <n v="190"/>
    <n v="190"/>
    <n v="0"/>
    <s v="insertIfAbsent"/>
    <n v="99994367274827"/>
    <n v="9998459"/>
    <n v="99994367274827"/>
    <n v="9998459"/>
    <s v="success"/>
    <n v="7"/>
    <n v="1656833"/>
    <n v="11503277"/>
    <n v="13160110"/>
    <n v="9998459"/>
    <n v="7.9429299999999996"/>
    <n v="0.86918399999999996"/>
    <n v="1.7597499999999999"/>
    <n v="4.00631"/>
    <n v="316599072"/>
    <s v="5 12652 107039 2680013 6724"/>
    <s v="4 12651 107036 2680006 6724"/>
    <n v="9473"/>
    <n v="12414"/>
    <m/>
    <m/>
    <n v="1993688403"/>
    <n v="0"/>
    <n v="20131181"/>
    <n v="1993688403"/>
    <n v="2013819584"/>
    <n v="249211050"/>
    <n v="0"/>
    <n v="2516397"/>
    <n v="249211050"/>
    <n v="251727448"/>
    <n v="16.3188"/>
    <n v="6.6339199999999998"/>
    <n v="2066.96"/>
    <n v="1299.8800000000001"/>
    <n v="2782"/>
    <n v="459"/>
    <x v="1"/>
    <x v="3"/>
  </r>
  <r>
    <s v="istree_exp5_numerical_stability_vs_time/step10201.txt"/>
    <x v="0"/>
    <n v="72"/>
    <s v="reclaimer_debra"/>
    <s v="allocator_new"/>
    <s v="pool_none"/>
    <n v="16000"/>
    <n v="0.5"/>
    <n v="0.5"/>
    <n v="0"/>
    <n v="1"/>
    <n v="20000000"/>
    <n v="190"/>
    <n v="190"/>
    <n v="190"/>
    <n v="0"/>
    <s v="insertIfAbsent"/>
    <n v="99986348560477"/>
    <n v="9998028"/>
    <n v="99986348560477"/>
    <n v="9998028"/>
    <s v="success"/>
    <n v="7"/>
    <n v="1640080"/>
    <n v="11469648"/>
    <n v="13109728"/>
    <n v="9998028"/>
    <n v="7.9933500000000004"/>
    <n v="0.87169399999999997"/>
    <n v="1.76264"/>
    <n v="4.0029599999999999"/>
    <n v="314720752"/>
    <s v="9 25304 212425 5355038 13575"/>
    <s v="8 25303 212409 5355024 13575"/>
    <n v="20608"/>
    <n v="24748"/>
    <m/>
    <m/>
    <n v="3965725047"/>
    <n v="0"/>
    <n v="40054583"/>
    <n v="3965725047"/>
    <n v="4005779630"/>
    <n v="247857815"/>
    <n v="0"/>
    <n v="2503411"/>
    <n v="247857815"/>
    <n v="250361226"/>
    <n v="16.292000000000002"/>
    <n v="6.65367"/>
    <n v="2081.85"/>
    <n v="1298.48"/>
    <n v="2769"/>
    <n v="390"/>
    <x v="1"/>
    <x v="4"/>
  </r>
  <r>
    <s v="istree_exp5_numerical_stability_vs_time/step10202.txt"/>
    <x v="0"/>
    <n v="72"/>
    <s v="reclaimer_debra"/>
    <s v="allocator_new"/>
    <s v="pool_none"/>
    <n v="32000"/>
    <n v="0.5"/>
    <n v="0.5"/>
    <n v="0"/>
    <n v="1"/>
    <n v="20000000"/>
    <n v="190"/>
    <n v="190"/>
    <n v="190"/>
    <n v="0"/>
    <s v="insertIfAbsent"/>
    <n v="99981027907547"/>
    <n v="9999725"/>
    <n v="99981027907547"/>
    <n v="9999725"/>
    <s v="success"/>
    <n v="7"/>
    <n v="1772524"/>
    <n v="11746940"/>
    <n v="13519464"/>
    <n v="9999725"/>
    <n v="7.6272399999999996"/>
    <n v="0.85126199999999996"/>
    <n v="1.7396499999999999"/>
    <n v="4.0300900000000004"/>
    <n v="329755648"/>
    <s v="17 50598 424674 10633280 26818"/>
    <s v="15 50598 424651 10633255 26818"/>
    <n v="36608"/>
    <n v="48874"/>
    <m/>
    <m/>
    <n v="7865442346"/>
    <n v="0"/>
    <n v="79450934"/>
    <n v="7865442346"/>
    <n v="7944893280"/>
    <n v="245795073"/>
    <n v="0"/>
    <n v="2482841"/>
    <n v="245795073"/>
    <n v="248277915"/>
    <n v="16.324999999999999"/>
    <n v="6.6571199999999999"/>
    <n v="2102.6999999999998"/>
    <n v="1330.15"/>
    <n v="2728"/>
    <n v="433"/>
    <x v="1"/>
    <x v="5"/>
  </r>
  <r>
    <s v="istree_exp5_numerical_stability_vs_time/step10203.txt"/>
    <x v="0"/>
    <n v="72"/>
    <s v="reclaimer_debra"/>
    <s v="allocator_new"/>
    <s v="pool_none"/>
    <n v="64000"/>
    <n v="0.5"/>
    <n v="0.5"/>
    <n v="0"/>
    <n v="1"/>
    <n v="20000000"/>
    <n v="190"/>
    <n v="190"/>
    <n v="190"/>
    <n v="0"/>
    <s v="insertIfAbsent"/>
    <n v="100030758640910"/>
    <n v="10001746"/>
    <n v="100030758640910"/>
    <n v="10001746"/>
    <s v="success"/>
    <n v="7"/>
    <n v="1662648"/>
    <n v="11517940"/>
    <n v="13180588"/>
    <n v="10001746"/>
    <n v="7.9274699999999996"/>
    <n v="0.86836199999999997"/>
    <n v="1.7588200000000001"/>
    <n v="4.0073699999999999"/>
    <n v="317298896"/>
    <s v="33 101221 854664 21418322 53885"/>
    <s v="32 101216 854600 21418258 53885"/>
    <n v="76705"/>
    <n v="99230"/>
    <m/>
    <m/>
    <n v="15855674006"/>
    <n v="0"/>
    <n v="160164356"/>
    <n v="15855674006"/>
    <n v="16015838362"/>
    <n v="247744906"/>
    <n v="0"/>
    <n v="2502568"/>
    <n v="247744906"/>
    <n v="250247474"/>
    <n v="16.4221"/>
    <n v="6.6636699999999998"/>
    <n v="2086.86"/>
    <n v="1316.36"/>
    <n v="2772"/>
    <n v="446"/>
    <x v="1"/>
    <x v="6"/>
  </r>
  <r>
    <s v="istree_exp5_numerical_stability_vs_time/step10204.txt"/>
    <x v="2"/>
    <n v="208"/>
    <s v="reclaimer_debra"/>
    <s v="allocator_new"/>
    <s v="pool_none"/>
    <n v="1000"/>
    <n v="0.5"/>
    <n v="0.5"/>
    <n v="0"/>
    <n v="1"/>
    <n v="20000000"/>
    <n v="190"/>
    <n v="190"/>
    <n v="190"/>
    <n v="0"/>
    <s v="insertIfAbsent"/>
    <n v="100000942516162"/>
    <n v="9999925"/>
    <n v="100000942516162"/>
    <n v="9999925"/>
    <s v="success"/>
    <n v="9"/>
    <n v="194088"/>
    <n v="1334400"/>
    <n v="1528488"/>
    <n v="9999925"/>
    <n v="7.8752300000000002"/>
    <n v="7.4939499999999999"/>
    <n v="7.5423600000000004"/>
    <n v="8"/>
    <n v="317925504"/>
    <m/>
    <m/>
    <m/>
    <n v="2106"/>
    <m/>
    <m/>
    <n v="237369253"/>
    <n v="0"/>
    <n v="2398772"/>
    <n v="237369253"/>
    <n v="239768025"/>
    <n v="237369253"/>
    <n v="0"/>
    <n v="2398772"/>
    <n v="237369253"/>
    <n v="239768025"/>
    <n v="16.7681"/>
    <n v="5.5817500000000004"/>
    <n v="2177.04"/>
    <n v="1257.28"/>
    <n v="1615"/>
    <n v="905"/>
    <x v="1"/>
    <x v="0"/>
  </r>
  <r>
    <s v="istree_exp5_numerical_stability_vs_time/step10205.txt"/>
    <x v="2"/>
    <n v="208"/>
    <s v="reclaimer_debra"/>
    <s v="allocator_new"/>
    <s v="pool_none"/>
    <n v="2000"/>
    <n v="0.5"/>
    <n v="0.5"/>
    <n v="0"/>
    <n v="1"/>
    <n v="20000000"/>
    <n v="190"/>
    <n v="190"/>
    <n v="190"/>
    <n v="0"/>
    <s v="insertIfAbsent"/>
    <n v="100011943376630"/>
    <n v="10000397"/>
    <n v="100011943376630"/>
    <n v="10000397"/>
    <s v="success"/>
    <n v="9"/>
    <n v="199766"/>
    <n v="1374535"/>
    <n v="1574301"/>
    <n v="10000397"/>
    <n v="7.8807299999999998"/>
    <n v="7.2754799999999999"/>
    <n v="7.3522800000000004"/>
    <n v="8"/>
    <n v="327454608"/>
    <m/>
    <m/>
    <m/>
    <s v="602 3584"/>
    <m/>
    <m/>
    <n v="476370022"/>
    <n v="0"/>
    <n v="4812182"/>
    <n v="476370022"/>
    <n v="481182204"/>
    <n v="238185011"/>
    <n v="0"/>
    <n v="2406091"/>
    <n v="238185011"/>
    <n v="240591102"/>
    <n v="16.845700000000001"/>
    <n v="5.6114499999999996"/>
    <n v="2177.3000000000002"/>
    <n v="1267.5899999999999"/>
    <n v="1632"/>
    <n v="934"/>
    <x v="1"/>
    <x v="1"/>
  </r>
  <r>
    <s v="istree_exp5_numerical_stability_vs_time/step10206.txt"/>
    <x v="2"/>
    <n v="208"/>
    <s v="reclaimer_debra"/>
    <s v="allocator_new"/>
    <s v="pool_none"/>
    <n v="4000"/>
    <n v="0.5"/>
    <n v="0.5"/>
    <n v="0"/>
    <n v="1"/>
    <n v="20000000"/>
    <n v="190"/>
    <n v="190"/>
    <n v="190"/>
    <n v="0"/>
    <s v="insertIfAbsent"/>
    <n v="99958903757245"/>
    <n v="9997462"/>
    <n v="99958903757245"/>
    <n v="9997462"/>
    <s v="success"/>
    <n v="9"/>
    <n v="208026"/>
    <n v="1431668"/>
    <n v="1639694"/>
    <n v="9997462"/>
    <n v="7.8821599999999998"/>
    <n v="6.9830899999999998"/>
    <n v="7.0971500000000001"/>
    <n v="8"/>
    <n v="341056352"/>
    <m/>
    <m/>
    <m/>
    <s v="558 6372"/>
    <m/>
    <m/>
    <n v="935376392"/>
    <n v="0"/>
    <n v="9453645"/>
    <n v="935376392"/>
    <n v="944830037"/>
    <n v="233844098"/>
    <n v="0"/>
    <n v="2363411"/>
    <n v="233844098"/>
    <n v="236207509"/>
    <n v="16.957699999999999"/>
    <n v="5.65402"/>
    <n v="2223.6999999999998"/>
    <n v="1305.43"/>
    <n v="1637"/>
    <n v="890"/>
    <x v="1"/>
    <x v="2"/>
  </r>
  <r>
    <s v="istree_exp5_numerical_stability_vs_time/step10207.txt"/>
    <x v="2"/>
    <n v="208"/>
    <s v="reclaimer_debra"/>
    <s v="allocator_new"/>
    <s v="pool_none"/>
    <n v="8000"/>
    <n v="0.5"/>
    <n v="0.5"/>
    <n v="0"/>
    <n v="1"/>
    <n v="20000000"/>
    <n v="190"/>
    <n v="190"/>
    <n v="190"/>
    <n v="0"/>
    <s v="insertIfAbsent"/>
    <n v="100010811334500"/>
    <n v="10001930"/>
    <n v="100010811334500"/>
    <n v="10001930"/>
    <s v="success"/>
    <n v="9"/>
    <n v="219949"/>
    <n v="1513619"/>
    <n v="1733568"/>
    <n v="10001930"/>
    <n v="7.8816800000000002"/>
    <n v="6.6079600000000003"/>
    <n v="6.7695600000000002"/>
    <n v="8"/>
    <n v="360582144"/>
    <m/>
    <m/>
    <m/>
    <s v="484 12000"/>
    <m/>
    <m/>
    <n v="1847918691"/>
    <n v="0"/>
    <n v="18667793"/>
    <n v="1847918691"/>
    <n v="1866586484"/>
    <n v="230989836"/>
    <n v="0"/>
    <n v="2333474"/>
    <n v="230989836"/>
    <n v="233323310"/>
    <n v="17.0625"/>
    <n v="5.7185199999999998"/>
    <n v="2250.9299999999998"/>
    <n v="1333.92"/>
    <n v="1631"/>
    <n v="888"/>
    <x v="1"/>
    <x v="3"/>
  </r>
  <r>
    <s v="istree_exp5_numerical_stability_vs_time/step10208.txt"/>
    <x v="2"/>
    <n v="208"/>
    <s v="reclaimer_debra"/>
    <s v="allocator_new"/>
    <s v="pool_none"/>
    <n v="16000"/>
    <n v="0.5"/>
    <n v="0.5"/>
    <n v="0"/>
    <n v="1"/>
    <n v="20000000"/>
    <n v="190"/>
    <n v="190"/>
    <n v="190"/>
    <n v="0"/>
    <s v="insertIfAbsent"/>
    <n v="99984020507495"/>
    <n v="9999613"/>
    <n v="99984020507495"/>
    <n v="9999613"/>
    <s v="success"/>
    <n v="9"/>
    <n v="235578"/>
    <n v="1619189"/>
    <n v="1854767"/>
    <n v="9999613"/>
    <n v="7.8732600000000001"/>
    <n v="6.1756900000000003"/>
    <n v="6.3913000000000002"/>
    <n v="8"/>
    <n v="385791536"/>
    <m/>
    <m/>
    <m/>
    <s v="532 23022"/>
    <m/>
    <m/>
    <n v="3651932095"/>
    <n v="0"/>
    <n v="36890637"/>
    <n v="3651932095"/>
    <n v="3688822732"/>
    <n v="228245755"/>
    <n v="0"/>
    <n v="2305664"/>
    <n v="228245755"/>
    <n v="230551420"/>
    <n v="17.217700000000001"/>
    <n v="5.8118600000000002"/>
    <n v="2279.6"/>
    <n v="1363.2"/>
    <n v="1658"/>
    <n v="882"/>
    <x v="1"/>
    <x v="4"/>
  </r>
  <r>
    <s v="istree_exp5_numerical_stability_vs_time/step10209.txt"/>
    <x v="2"/>
    <n v="208"/>
    <s v="reclaimer_debra"/>
    <s v="allocator_new"/>
    <s v="pool_none"/>
    <n v="32000"/>
    <n v="0.5"/>
    <n v="0.5"/>
    <n v="0"/>
    <n v="1"/>
    <n v="20000000"/>
    <n v="190"/>
    <n v="190"/>
    <n v="190"/>
    <n v="0"/>
    <s v="insertIfAbsent"/>
    <n v="100014824061658"/>
    <n v="10000478"/>
    <n v="100014824061658"/>
    <n v="10000478"/>
    <s v="success"/>
    <n v="9"/>
    <n v="253478"/>
    <n v="1740711"/>
    <n v="1994189"/>
    <n v="10000478"/>
    <n v="7.8673099999999998"/>
    <n v="5.74505"/>
    <n v="6.0148099999999998"/>
    <n v="8"/>
    <n v="414791312"/>
    <m/>
    <m/>
    <m/>
    <n v="45234"/>
    <m/>
    <m/>
    <n v="7204652231"/>
    <n v="0"/>
    <n v="72776419"/>
    <n v="7204652231"/>
    <n v="7277428650"/>
    <n v="225145382"/>
    <n v="0"/>
    <n v="2274263"/>
    <n v="225145382"/>
    <n v="227419645"/>
    <n v="17.456900000000001"/>
    <n v="5.9194300000000002"/>
    <n v="2312.0100000000002"/>
    <n v="1394.41"/>
    <n v="1720"/>
    <n v="952"/>
    <x v="1"/>
    <x v="5"/>
  </r>
  <r>
    <s v="istree_exp5_numerical_stability_vs_time/step10210.txt"/>
    <x v="2"/>
    <n v="208"/>
    <s v="reclaimer_debra"/>
    <s v="allocator_new"/>
    <s v="pool_none"/>
    <n v="64000"/>
    <n v="0.5"/>
    <n v="0.5"/>
    <n v="0"/>
    <n v="1"/>
    <n v="20000000"/>
    <n v="190"/>
    <n v="190"/>
    <n v="190"/>
    <n v="0"/>
    <s v="insertIfAbsent"/>
    <n v="100004827685141"/>
    <n v="9999786"/>
    <n v="100004827685141"/>
    <n v="9999786"/>
    <s v="success"/>
    <n v="9"/>
    <n v="272753"/>
    <n v="1856852"/>
    <n v="2129605"/>
    <n v="9999786"/>
    <n v="7.8078200000000004"/>
    <n v="5.3853400000000002"/>
    <n v="5.6956100000000003"/>
    <n v="8"/>
    <n v="442957840"/>
    <m/>
    <m/>
    <m/>
    <n v="87680"/>
    <m/>
    <m/>
    <n v="14200857613"/>
    <n v="0"/>
    <n v="143433122"/>
    <n v="14200857613"/>
    <n v="14344290735"/>
    <n v="221888400"/>
    <n v="0"/>
    <n v="2241142"/>
    <n v="221888400"/>
    <n v="224129542"/>
    <n v="17.652899999999999"/>
    <n v="6.0522299999999998"/>
    <n v="2345.5500000000002"/>
    <n v="1428.48"/>
    <n v="1758"/>
    <n v="934"/>
    <x v="1"/>
    <x v="6"/>
  </r>
  <r>
    <s v="istree_exp5_numerical_stability_vs_time/step10211.txt"/>
    <x v="1"/>
    <m/>
    <s v="reclaimer_debra"/>
    <s v="allocator_new"/>
    <s v="pool_none"/>
    <n v="1000"/>
    <n v="0.5"/>
    <n v="0.5"/>
    <n v="0"/>
    <n v="1"/>
    <n v="20000000"/>
    <n v="190"/>
    <n v="190"/>
    <n v="190"/>
    <n v="0"/>
    <s v="insertIfAbsent"/>
    <n v="99994229262839"/>
    <n v="9999516"/>
    <n v="99994229262839"/>
    <n v="9999516"/>
    <s v="success"/>
    <n v="29"/>
    <n v="5777888"/>
    <n v="4339252"/>
    <n v="10117140"/>
    <n v="9999516"/>
    <n v="1.75101"/>
    <n v="2.30443"/>
    <n v="1.98837"/>
    <n v="22.7544"/>
    <n v="566559840"/>
    <m/>
    <m/>
    <m/>
    <s v="148 838"/>
    <m/>
    <m/>
    <n v="112574135"/>
    <n v="0"/>
    <n v="1138375"/>
    <n v="112574135"/>
    <n v="113712510"/>
    <n v="112574135"/>
    <n v="0"/>
    <n v="1138375"/>
    <n v="112574135"/>
    <n v="113712510"/>
    <n v="28.709399999999999"/>
    <n v="10.461499999999999"/>
    <n v="4611.46"/>
    <n v="3248.42"/>
    <n v="1763"/>
    <n v="473"/>
    <x v="1"/>
    <x v="0"/>
  </r>
  <r>
    <s v="istree_exp5_numerical_stability_vs_time/step10212.txt"/>
    <x v="1"/>
    <m/>
    <s v="reclaimer_debra"/>
    <s v="allocator_new"/>
    <s v="pool_none"/>
    <n v="2000"/>
    <n v="0.5"/>
    <n v="0.5"/>
    <n v="0"/>
    <n v="1"/>
    <n v="20000000"/>
    <n v="190"/>
    <n v="190"/>
    <n v="190"/>
    <n v="0"/>
    <s v="insertIfAbsent"/>
    <n v="100003026092650"/>
    <n v="9999906"/>
    <n v="100003026092650"/>
    <n v="9999906"/>
    <s v="success"/>
    <n v="29"/>
    <n v="5841022"/>
    <n v="4390490"/>
    <n v="10231512"/>
    <n v="9999906"/>
    <n v="1.75166"/>
    <n v="2.2776299999999998"/>
    <n v="1.97736"/>
    <n v="22.726099999999999"/>
    <n v="572964672"/>
    <m/>
    <m/>
    <m/>
    <s v="168 1522"/>
    <m/>
    <m/>
    <n v="228276009"/>
    <n v="0"/>
    <n v="2306766"/>
    <n v="228276009"/>
    <n v="230582775"/>
    <n v="114138004"/>
    <n v="0"/>
    <n v="1153383"/>
    <n v="114138004"/>
    <n v="115291387"/>
    <n v="28.628499999999999"/>
    <n v="10.5684"/>
    <n v="4582.01"/>
    <n v="3230.23"/>
    <n v="1770"/>
    <n v="442"/>
    <x v="1"/>
    <x v="1"/>
  </r>
  <r>
    <s v="istree_exp5_numerical_stability_vs_time/step10213.txt"/>
    <x v="1"/>
    <m/>
    <s v="reclaimer_debra"/>
    <s v="allocator_new"/>
    <s v="pool_none"/>
    <n v="4000"/>
    <n v="0.5"/>
    <n v="0.5"/>
    <n v="0"/>
    <n v="1"/>
    <n v="20000000"/>
    <n v="190"/>
    <n v="190"/>
    <n v="190"/>
    <n v="0"/>
    <s v="insertIfAbsent"/>
    <n v="99987008492350"/>
    <n v="9998494"/>
    <n v="99987008492350"/>
    <n v="9998494"/>
    <s v="success"/>
    <n v="29"/>
    <n v="5953197"/>
    <n v="4482524"/>
    <n v="10435721"/>
    <n v="9998494"/>
    <n v="1.7529600000000001"/>
    <n v="2.23055"/>
    <n v="1.9581"/>
    <n v="22.793600000000001"/>
    <n v="584400376"/>
    <m/>
    <m/>
    <m/>
    <s v="166 2888"/>
    <m/>
    <m/>
    <n v="457516728"/>
    <n v="0"/>
    <n v="4620166"/>
    <n v="457516728"/>
    <n v="462136894"/>
    <n v="114379182"/>
    <n v="0"/>
    <n v="1155041"/>
    <n v="114379182"/>
    <n v="115534223"/>
    <n v="28.635000000000002"/>
    <n v="10.650600000000001"/>
    <n v="4575.21"/>
    <n v="3217.13"/>
    <n v="1782"/>
    <n v="440"/>
    <x v="1"/>
    <x v="2"/>
  </r>
  <r>
    <s v="istree_exp5_numerical_stability_vs_time/step10214.txt"/>
    <x v="1"/>
    <m/>
    <s v="reclaimer_debra"/>
    <s v="allocator_new"/>
    <s v="pool_none"/>
    <n v="8000"/>
    <n v="0.5"/>
    <n v="0.5"/>
    <n v="0"/>
    <n v="1"/>
    <n v="20000000"/>
    <n v="190"/>
    <n v="190"/>
    <n v="190"/>
    <n v="0"/>
    <s v="insertIfAbsent"/>
    <n v="100011760475260"/>
    <n v="10002403"/>
    <n v="100011760475260"/>
    <n v="10002403"/>
    <s v="success"/>
    <n v="29"/>
    <n v="6143892"/>
    <n v="4635936"/>
    <n v="10779828"/>
    <n v="10002403"/>
    <n v="1.7545599999999999"/>
    <n v="2.1575799999999998"/>
    <n v="1.92788"/>
    <n v="22.894400000000001"/>
    <n v="603670368"/>
    <m/>
    <m/>
    <m/>
    <s v="164 5594"/>
    <m/>
    <m/>
    <n v="911851494"/>
    <n v="0"/>
    <n v="9205084"/>
    <n v="911851494"/>
    <n v="921056578"/>
    <n v="113981436"/>
    <n v="0"/>
    <n v="1150635"/>
    <n v="113981436"/>
    <n v="115132072"/>
    <n v="28.7043"/>
    <n v="10.7271"/>
    <n v="4584.82"/>
    <n v="3219.13"/>
    <n v="1805"/>
    <n v="440"/>
    <x v="1"/>
    <x v="3"/>
  </r>
  <r>
    <s v="istree_exp5_numerical_stability_vs_time/step10215.txt"/>
    <x v="1"/>
    <m/>
    <s v="reclaimer_debra"/>
    <s v="allocator_new"/>
    <s v="pool_none"/>
    <n v="16000"/>
    <n v="0.5"/>
    <n v="0.5"/>
    <n v="0"/>
    <n v="1"/>
    <n v="20000000"/>
    <n v="190"/>
    <n v="190"/>
    <n v="190"/>
    <n v="0"/>
    <s v="insertIfAbsent"/>
    <n v="100020249620561"/>
    <n v="9999971"/>
    <n v="100020249620561"/>
    <n v="9999971"/>
    <s v="success"/>
    <n v="29"/>
    <n v="6408860"/>
    <n v="4846945"/>
    <n v="11255805"/>
    <n v="9999971"/>
    <n v="1.7562899999999999"/>
    <n v="2.0631499999999998"/>
    <n v="1.8884300000000001"/>
    <n v="23.0623"/>
    <n v="630325080"/>
    <m/>
    <m/>
    <m/>
    <s v="150 10950"/>
    <m/>
    <m/>
    <n v="1814523347"/>
    <n v="0"/>
    <n v="18321616"/>
    <n v="1814523347"/>
    <n v="1832844963"/>
    <n v="113407709"/>
    <n v="0"/>
    <n v="1145101"/>
    <n v="113407709"/>
    <n v="114552810"/>
    <n v="29.065100000000001"/>
    <n v="10.8078"/>
    <n v="4607.58"/>
    <n v="3241.42"/>
    <n v="1836"/>
    <n v="432"/>
    <x v="1"/>
    <x v="4"/>
  </r>
  <r>
    <s v="istree_exp5_numerical_stability_vs_time/step10216.txt"/>
    <x v="1"/>
    <m/>
    <s v="reclaimer_debra"/>
    <s v="allocator_new"/>
    <s v="pool_none"/>
    <n v="32000"/>
    <n v="0.5"/>
    <n v="0.5"/>
    <n v="0"/>
    <n v="1"/>
    <n v="20000000"/>
    <n v="190"/>
    <n v="190"/>
    <n v="190"/>
    <n v="0"/>
    <s v="insertIfAbsent"/>
    <n v="99977190156727"/>
    <n v="9996516"/>
    <n v="99977190156727"/>
    <n v="9996516"/>
    <s v="success"/>
    <n v="29"/>
    <n v="6671795"/>
    <n v="5053120"/>
    <n v="11724915"/>
    <n v="9996516"/>
    <n v="1.75739"/>
    <n v="1.9782900000000001"/>
    <n v="1.85259"/>
    <n v="23.1676"/>
    <n v="656595240"/>
    <m/>
    <m/>
    <m/>
    <s v="168 21626"/>
    <m/>
    <m/>
    <n v="3555884775"/>
    <n v="0"/>
    <n v="35919800"/>
    <n v="3555884775"/>
    <n v="3591804575"/>
    <n v="111121399"/>
    <n v="0"/>
    <n v="1122493"/>
    <n v="111121399"/>
    <n v="112243892"/>
    <n v="28.952000000000002"/>
    <n v="10.8994"/>
    <n v="4696.1000000000004"/>
    <n v="3258.79"/>
    <n v="1866"/>
    <n v="427"/>
    <x v="1"/>
    <x v="5"/>
  </r>
  <r>
    <s v="istree_exp5_numerical_stability_vs_time/step10217.txt"/>
    <x v="1"/>
    <m/>
    <s v="reclaimer_debra"/>
    <s v="allocator_new"/>
    <s v="pool_none"/>
    <n v="64000"/>
    <n v="0.5"/>
    <n v="0.5"/>
    <n v="0"/>
    <n v="1"/>
    <n v="20000000"/>
    <n v="190"/>
    <n v="190"/>
    <n v="190"/>
    <n v="0"/>
    <s v="insertIfAbsent"/>
    <n v="99925928642962"/>
    <n v="9993634"/>
    <n v="99925928642962"/>
    <n v="9993634"/>
    <s v="success"/>
    <n v="29"/>
    <n v="6824242"/>
    <n v="5176425"/>
    <n v="12000667"/>
    <n v="9993634"/>
    <n v="1.7585299999999999"/>
    <n v="1.9306099999999999"/>
    <n v="1.8327599999999999"/>
    <n v="23.268899999999999"/>
    <n v="672037352"/>
    <m/>
    <m/>
    <m/>
    <n v="42674"/>
    <m/>
    <m/>
    <n v="7135989991"/>
    <n v="0"/>
    <n v="72068105"/>
    <n v="7135989991"/>
    <n v="7208058096"/>
    <n v="111499843"/>
    <n v="0"/>
    <n v="1126064"/>
    <n v="111499843"/>
    <n v="112625907"/>
    <n v="29.028700000000001"/>
    <n v="11.002000000000001"/>
    <n v="4681.03"/>
    <n v="3291.3"/>
    <n v="1886"/>
    <n v="427"/>
    <x v="1"/>
    <x v="6"/>
  </r>
  <r>
    <s v="istree_exp5_numerical_stability_vs_time/step10218.txt"/>
    <x v="3"/>
    <m/>
    <s v="reclaimer_debra"/>
    <s v="allocator_new"/>
    <s v="pool_none"/>
    <n v="1000"/>
    <n v="0.5"/>
    <n v="0.5"/>
    <n v="0"/>
    <n v="1"/>
    <n v="20000000"/>
    <n v="190"/>
    <n v="190"/>
    <n v="190"/>
    <n v="0"/>
    <s v="insertIfAbsent"/>
    <n v="100006217666526"/>
    <n v="10000131"/>
    <n v="100006217666526"/>
    <n v="10000131"/>
    <s v="success"/>
    <n v="59"/>
    <n v="10000130"/>
    <n v="10000131"/>
    <n v="20000261"/>
    <n v="10000131"/>
    <n v="2"/>
    <n v="1"/>
    <n v="1.5"/>
    <n v="30.7241"/>
    <n v="640008352"/>
    <m/>
    <m/>
    <m/>
    <s v="140 748"/>
    <m/>
    <m/>
    <n v="97343959"/>
    <n v="0"/>
    <n v="983973"/>
    <n v="97343959"/>
    <n v="98327932"/>
    <n v="97343959"/>
    <n v="0"/>
    <n v="983973"/>
    <n v="97343959"/>
    <n v="98327932"/>
    <n v="24.762599999999999"/>
    <n v="9.7900799999999997"/>
    <n v="5351.23"/>
    <n v="4318.6400000000003"/>
    <n v="1754"/>
    <n v="417"/>
    <x v="1"/>
    <x v="0"/>
  </r>
  <r>
    <s v="istree_exp5_numerical_stability_vs_time/step10219.txt"/>
    <x v="3"/>
    <m/>
    <s v="reclaimer_debra"/>
    <s v="allocator_new"/>
    <s v="pool_none"/>
    <n v="2000"/>
    <n v="0.5"/>
    <n v="0.5"/>
    <n v="0"/>
    <n v="1"/>
    <n v="20000000"/>
    <n v="190"/>
    <n v="190"/>
    <n v="190"/>
    <n v="0"/>
    <s v="insertIfAbsent"/>
    <n v="100014517850111"/>
    <n v="10001777"/>
    <n v="100014517850111"/>
    <n v="10001777"/>
    <s v="success"/>
    <n v="61"/>
    <n v="10001776"/>
    <n v="10001777"/>
    <n v="20003553"/>
    <n v="10001777"/>
    <n v="2"/>
    <n v="1"/>
    <n v="1.5"/>
    <n v="31.264700000000001"/>
    <n v="640113696"/>
    <m/>
    <m/>
    <m/>
    <s v="162 1326"/>
    <m/>
    <m/>
    <n v="197016236"/>
    <n v="0"/>
    <n v="1991001"/>
    <n v="197016236"/>
    <n v="199007237"/>
    <n v="98508118"/>
    <n v="0"/>
    <n v="995500"/>
    <n v="98508118"/>
    <n v="99503618"/>
    <n v="24.800699999999999"/>
    <n v="9.8984000000000005"/>
    <n v="5308.66"/>
    <n v="4285.63"/>
    <n v="1754"/>
    <n v="423"/>
    <x v="1"/>
    <x v="1"/>
  </r>
  <r>
    <s v="istree_exp5_numerical_stability_vs_time/step10220.txt"/>
    <x v="3"/>
    <m/>
    <s v="reclaimer_debra"/>
    <s v="allocator_new"/>
    <s v="pool_none"/>
    <n v="4000"/>
    <n v="0.5"/>
    <n v="0.5"/>
    <n v="0"/>
    <n v="1"/>
    <n v="20000000"/>
    <n v="190"/>
    <n v="190"/>
    <n v="190"/>
    <n v="0"/>
    <s v="insertIfAbsent"/>
    <n v="99980013438360"/>
    <n v="9998698"/>
    <n v="99980013438360"/>
    <n v="9998698"/>
    <s v="success"/>
    <n v="60"/>
    <n v="9998697"/>
    <n v="9998698"/>
    <n v="19997395"/>
    <n v="9998698"/>
    <n v="2"/>
    <n v="1"/>
    <n v="1.5"/>
    <n v="31.216200000000001"/>
    <n v="639916640"/>
    <m/>
    <m/>
    <m/>
    <n v="2496"/>
    <m/>
    <m/>
    <n v="396372503"/>
    <n v="0"/>
    <n v="4000261"/>
    <n v="396372503"/>
    <n v="400372764"/>
    <n v="99093125"/>
    <n v="0"/>
    <n v="1000065"/>
    <n v="99093125"/>
    <n v="100093191"/>
    <n v="25.0318"/>
    <n v="10.0341"/>
    <n v="5273.14"/>
    <n v="4258.62"/>
    <n v="1754"/>
    <n v="418"/>
    <x v="1"/>
    <x v="2"/>
  </r>
  <r>
    <s v="istree_exp5_numerical_stability_vs_time/step10221.txt"/>
    <x v="3"/>
    <m/>
    <s v="reclaimer_debra"/>
    <s v="allocator_new"/>
    <s v="pool_none"/>
    <n v="8000"/>
    <n v="0.5"/>
    <n v="0.5"/>
    <n v="0"/>
    <n v="1"/>
    <n v="20000000"/>
    <n v="190"/>
    <n v="190"/>
    <n v="190"/>
    <n v="0"/>
    <s v="insertIfAbsent"/>
    <n v="100012079058589"/>
    <n v="10000912"/>
    <n v="100012079058589"/>
    <n v="10000912"/>
    <s v="success"/>
    <n v="60"/>
    <n v="10000911"/>
    <n v="10000912"/>
    <n v="20001823"/>
    <n v="10000912"/>
    <n v="2"/>
    <n v="1"/>
    <n v="1.5"/>
    <n v="31.558599999999998"/>
    <n v="640058336"/>
    <m/>
    <m/>
    <m/>
    <n v="4816"/>
    <m/>
    <m/>
    <n v="791957284"/>
    <n v="0"/>
    <n v="8000963"/>
    <n v="791957284"/>
    <n v="799958247"/>
    <n v="98994660"/>
    <n v="0"/>
    <n v="1000120"/>
    <n v="98994660"/>
    <n v="99994780"/>
    <n v="24.955300000000001"/>
    <n v="10.131500000000001"/>
    <n v="5287.47"/>
    <n v="4273.2700000000004"/>
    <n v="1756"/>
    <n v="405"/>
    <x v="1"/>
    <x v="3"/>
  </r>
  <r>
    <s v="istree_exp5_numerical_stability_vs_time/step10222.txt"/>
    <x v="3"/>
    <m/>
    <s v="reclaimer_debra"/>
    <s v="allocator_new"/>
    <s v="pool_none"/>
    <n v="16000"/>
    <n v="0.5"/>
    <n v="0.5"/>
    <n v="0"/>
    <n v="1"/>
    <n v="20000000"/>
    <n v="190"/>
    <n v="190"/>
    <n v="190"/>
    <n v="0"/>
    <s v="insertIfAbsent"/>
    <n v="100013543956022"/>
    <n v="9999103"/>
    <n v="100013543956022"/>
    <n v="9999103"/>
    <s v="success"/>
    <n v="60"/>
    <n v="9999102"/>
    <n v="9999103"/>
    <n v="19998205"/>
    <n v="9999103"/>
    <n v="2"/>
    <n v="1"/>
    <n v="1.5"/>
    <n v="30.9757"/>
    <n v="639942560"/>
    <m/>
    <m/>
    <m/>
    <n v="9464"/>
    <m/>
    <m/>
    <n v="1586698154"/>
    <n v="0"/>
    <n v="16022761"/>
    <n v="1586698154"/>
    <n v="1602720915"/>
    <n v="99168634"/>
    <n v="0"/>
    <n v="1001422"/>
    <n v="99168634"/>
    <n v="100170057"/>
    <n v="25.1539"/>
    <n v="10.2545"/>
    <n v="5277.3"/>
    <n v="4273.08"/>
    <n v="1756"/>
    <n v="428"/>
    <x v="1"/>
    <x v="4"/>
  </r>
  <r>
    <s v="istree_exp5_numerical_stability_vs_time/step10223.txt"/>
    <x v="3"/>
    <m/>
    <s v="reclaimer_debra"/>
    <s v="allocator_new"/>
    <s v="pool_none"/>
    <n v="32000"/>
    <n v="0.5"/>
    <n v="0.5"/>
    <n v="0"/>
    <n v="1"/>
    <n v="20000000"/>
    <n v="190"/>
    <n v="190"/>
    <n v="190"/>
    <n v="0"/>
    <s v="insertIfAbsent"/>
    <n v="100019071436783"/>
    <n v="10001383"/>
    <n v="100019071436783"/>
    <n v="10001383"/>
    <s v="success"/>
    <n v="60"/>
    <n v="10001382"/>
    <n v="10001383"/>
    <n v="20002765"/>
    <n v="10001383"/>
    <n v="2"/>
    <n v="1"/>
    <n v="1.5"/>
    <n v="31.456700000000001"/>
    <n v="640088480"/>
    <m/>
    <m/>
    <m/>
    <n v="18686"/>
    <m/>
    <m/>
    <n v="3158330779"/>
    <n v="0"/>
    <n v="31900390"/>
    <n v="3158330779"/>
    <n v="3190231169"/>
    <n v="98697836"/>
    <n v="0"/>
    <n v="996887"/>
    <n v="98697836"/>
    <n v="99694724"/>
    <n v="25.2531"/>
    <n v="10.356999999999999"/>
    <n v="5305.52"/>
    <n v="4304.67"/>
    <n v="1762"/>
    <n v="416"/>
    <x v="1"/>
    <x v="5"/>
  </r>
  <r>
    <s v="istree_exp5_numerical_stability_vs_time/step10224.txt"/>
    <x v="3"/>
    <m/>
    <s v="reclaimer_debra"/>
    <s v="allocator_new"/>
    <s v="pool_none"/>
    <n v="64000"/>
    <n v="0.5"/>
    <n v="0.5"/>
    <n v="0"/>
    <n v="1"/>
    <n v="20000000"/>
    <n v="190"/>
    <n v="190"/>
    <n v="190"/>
    <n v="0"/>
    <s v="insertIfAbsent"/>
    <n v="100044294629461"/>
    <n v="10005219"/>
    <n v="100044294629461"/>
    <n v="10005219"/>
    <s v="success"/>
    <n v="63"/>
    <n v="10005218"/>
    <n v="10005219"/>
    <n v="20010437"/>
    <n v="10005219"/>
    <n v="2"/>
    <n v="1"/>
    <n v="1.5"/>
    <n v="32.0428"/>
    <n v="640333984"/>
    <m/>
    <m/>
    <m/>
    <s v="136 36774"/>
    <m/>
    <m/>
    <n v="6260858560"/>
    <n v="0"/>
    <n v="63241933"/>
    <n v="6260858560"/>
    <n v="6324100493"/>
    <n v="97825915"/>
    <n v="0"/>
    <n v="988155"/>
    <n v="97825915"/>
    <n v="98814070"/>
    <n v="25.5562"/>
    <n v="10.473699999999999"/>
    <n v="5352.96"/>
    <n v="4356.88"/>
    <n v="1769"/>
    <n v="423"/>
    <x v="1"/>
    <x v="6"/>
  </r>
  <r>
    <s v="istree_exp5_numerical_stability_vs_time/step10225.txt"/>
    <x v="0"/>
    <n v="72"/>
    <s v="reclaimer_debra"/>
    <s v="allocator_new"/>
    <s v="pool_none"/>
    <n v="1000"/>
    <n v="0.5"/>
    <n v="0.5"/>
    <n v="0"/>
    <n v="1"/>
    <n v="200000000"/>
    <n v="190"/>
    <n v="190"/>
    <n v="190"/>
    <n v="0"/>
    <s v="insertIfAbsent"/>
    <n v="9999402574214010"/>
    <n v="100000796"/>
    <n v="9999402574214010"/>
    <n v="100000796"/>
    <s v="success"/>
    <n v="7"/>
    <n v="11508991"/>
    <n v="110999481"/>
    <n v="122508472"/>
    <n v="100000796"/>
    <n v="10.644600000000001"/>
    <n v="0.90091200000000005"/>
    <n v="1.8162799999999999"/>
    <n v="4.0100300000000004"/>
    <n v="2696784096"/>
    <s v="0 0 0 1788 4635"/>
    <s v="0 0 0 1788 4635"/>
    <m/>
    <n v="1236"/>
    <m/>
    <m/>
    <n v="200995376"/>
    <n v="0"/>
    <n v="2030173"/>
    <n v="200995376"/>
    <n v="203025549"/>
    <n v="200995376"/>
    <n v="0"/>
    <n v="2030173"/>
    <n v="200995376"/>
    <n v="203025549"/>
    <n v="19.001799999999999"/>
    <n v="8.8266500000000008"/>
    <n v="2602.36"/>
    <n v="1867.52"/>
    <n v="7411"/>
    <n v="1101"/>
    <x v="8"/>
    <x v="0"/>
  </r>
  <r>
    <s v="istree_exp5_numerical_stability_vs_time/step10226.txt"/>
    <x v="0"/>
    <n v="72"/>
    <s v="reclaimer_debra"/>
    <s v="allocator_new"/>
    <s v="pool_none"/>
    <n v="2000"/>
    <n v="0.5"/>
    <n v="0.5"/>
    <n v="0"/>
    <n v="1"/>
    <n v="200000000"/>
    <n v="190"/>
    <n v="190"/>
    <n v="190"/>
    <n v="0"/>
    <s v="insertIfAbsent"/>
    <n v="1.00006418113648E+16"/>
    <n v="99998229"/>
    <n v="1.00006418113648E+16"/>
    <n v="99998229"/>
    <s v="success"/>
    <n v="7"/>
    <n v="11978155"/>
    <n v="111946426"/>
    <n v="123924581"/>
    <n v="99998229"/>
    <n v="10.3459"/>
    <n v="0.89326899999999998"/>
    <n v="1.8069299999999999"/>
    <n v="4.01959"/>
    <n v="2749659104"/>
    <s v="0 0 0 13429 17684"/>
    <s v="0 0 0 13429 17684"/>
    <m/>
    <n v="2436"/>
    <m/>
    <m/>
    <n v="401534049"/>
    <n v="0"/>
    <n v="4058185"/>
    <n v="401534049"/>
    <n v="405592234"/>
    <n v="200767024"/>
    <n v="0"/>
    <n v="2029092"/>
    <n v="200767024"/>
    <n v="202796117"/>
    <n v="19"/>
    <n v="8.9154300000000006"/>
    <n v="2606.2199999999998"/>
    <n v="1870.6"/>
    <n v="7466"/>
    <n v="1077"/>
    <x v="8"/>
    <x v="1"/>
  </r>
  <r>
    <s v="istree_exp5_numerical_stability_vs_time/step10227.txt"/>
    <x v="0"/>
    <n v="72"/>
    <s v="reclaimer_debra"/>
    <s v="allocator_new"/>
    <s v="pool_none"/>
    <n v="4000"/>
    <n v="0.5"/>
    <n v="0.5"/>
    <n v="0"/>
    <n v="1"/>
    <n v="200000000"/>
    <n v="190"/>
    <n v="190"/>
    <n v="190"/>
    <n v="0"/>
    <s v="insertIfAbsent"/>
    <n v="9999889050575380"/>
    <n v="99998546"/>
    <n v="9999889050575380"/>
    <n v="99998546"/>
    <s v="success"/>
    <n v="7"/>
    <n v="12799714"/>
    <n v="113623097"/>
    <n v="126422811"/>
    <n v="99998546"/>
    <n v="9.8770000000000007"/>
    <n v="0.88009000000000004"/>
    <n v="1.79098"/>
    <n v="4.0365500000000001"/>
    <n v="2842799696"/>
    <s v="0 0 0 89951 59814"/>
    <s v="0 0 0 89951 59814"/>
    <m/>
    <n v="4874"/>
    <m/>
    <m/>
    <n v="796849034"/>
    <n v="0"/>
    <n v="8044765"/>
    <n v="796849034"/>
    <n v="804893799"/>
    <n v="199212258"/>
    <n v="0"/>
    <n v="2011191"/>
    <n v="199212258"/>
    <n v="201223449"/>
    <n v="18.984500000000001"/>
    <n v="9.0396699999999992"/>
    <n v="2624.54"/>
    <n v="1880.42"/>
    <n v="7568"/>
    <n v="1077"/>
    <x v="8"/>
    <x v="2"/>
  </r>
  <r>
    <s v="istree_exp5_numerical_stability_vs_time/step10228.txt"/>
    <x v="0"/>
    <n v="72"/>
    <s v="reclaimer_debra"/>
    <s v="allocator_new"/>
    <s v="pool_none"/>
    <n v="8000"/>
    <n v="0.5"/>
    <n v="0.5"/>
    <n v="0"/>
    <n v="1"/>
    <n v="200000000"/>
    <n v="190"/>
    <n v="190"/>
    <n v="190"/>
    <n v="0"/>
    <s v="insertIfAbsent"/>
    <n v="9999561561551560"/>
    <n v="99999370"/>
    <n v="9999561561551560"/>
    <n v="99999370"/>
    <s v="success"/>
    <n v="7"/>
    <n v="13970273"/>
    <n v="116076425"/>
    <n v="130046698"/>
    <n v="99999370"/>
    <n v="9.3088200000000008"/>
    <n v="0.86149600000000004"/>
    <n v="1.76895"/>
    <n v="4.0612000000000004"/>
    <n v="2977066576"/>
    <s v="0 0 2 496755 177910"/>
    <s v="0 0 2 496755 177910"/>
    <m/>
    <n v="9608"/>
    <m/>
    <m/>
    <n v="1564759502"/>
    <n v="0"/>
    <n v="15807408"/>
    <n v="1564759502"/>
    <n v="1580566910"/>
    <n v="195594937"/>
    <n v="0"/>
    <n v="1975926"/>
    <n v="195594937"/>
    <n v="197570863"/>
    <n v="19.169799999999999"/>
    <n v="9.2406900000000007"/>
    <n v="2673.16"/>
    <n v="1923.23"/>
    <n v="7756"/>
    <n v="1109"/>
    <x v="8"/>
    <x v="3"/>
  </r>
  <r>
    <s v="istree_exp5_numerical_stability_vs_time/step10229.txt"/>
    <x v="0"/>
    <n v="72"/>
    <s v="reclaimer_debra"/>
    <s v="allocator_new"/>
    <s v="pool_none"/>
    <n v="16000"/>
    <n v="0.5"/>
    <n v="0.5"/>
    <n v="0"/>
    <n v="1"/>
    <n v="200000000"/>
    <n v="190"/>
    <n v="190"/>
    <n v="190"/>
    <n v="0"/>
    <s v="insertIfAbsent"/>
    <n v="1.00003538542327E+16"/>
    <n v="99998702"/>
    <n v="1.00003538542327E+16"/>
    <n v="99998702"/>
    <s v="success"/>
    <n v="7"/>
    <n v="14945621"/>
    <n v="118262759"/>
    <n v="133208380"/>
    <n v="99998702"/>
    <n v="8.9128699999999998"/>
    <n v="0.84556399999999998"/>
    <n v="1.7506900000000001"/>
    <n v="4.0821300000000003"/>
    <n v="3092076128"/>
    <s v="0 0 22951 2204274 443305"/>
    <s v="0 0 22951 2204274 443304"/>
    <n v="1"/>
    <n v="19158"/>
    <m/>
    <m/>
    <n v="3113663370"/>
    <n v="0"/>
    <n v="31454170"/>
    <n v="3113663370"/>
    <n v="3145117540"/>
    <n v="194603960"/>
    <n v="0"/>
    <n v="1965885"/>
    <n v="194603960"/>
    <n v="196569846"/>
    <n v="19.322800000000001"/>
    <n v="9.4577299999999997"/>
    <n v="2685.37"/>
    <n v="1940.05"/>
    <n v="8103"/>
    <n v="1179"/>
    <x v="8"/>
    <x v="4"/>
  </r>
  <r>
    <s v="istree_exp5_numerical_stability_vs_time/step10230.txt"/>
    <x v="0"/>
    <n v="72"/>
    <s v="reclaimer_debra"/>
    <s v="allocator_new"/>
    <s v="pool_none"/>
    <n v="32000"/>
    <n v="0.5"/>
    <n v="0.5"/>
    <n v="0"/>
    <n v="1"/>
    <n v="200000000"/>
    <n v="190"/>
    <n v="190"/>
    <n v="190"/>
    <n v="0"/>
    <s v="insertIfAbsent"/>
    <n v="9999809044474910"/>
    <n v="99995295"/>
    <n v="9999809044474910"/>
    <n v="99995295"/>
    <s v="success"/>
    <n v="7"/>
    <n v="13258420"/>
    <n v="114569250"/>
    <n v="127827670"/>
    <n v="99995295"/>
    <n v="9.6412399999999998"/>
    <n v="0.87279300000000004"/>
    <n v="1.78227"/>
    <n v="4.04617"/>
    <n v="2895096352"/>
    <s v="1 9999 344761 4074492 763507"/>
    <s v="1 9999 344757 4074491 763507"/>
    <n v="3919"/>
    <n v="34204"/>
    <m/>
    <m/>
    <n v="6006739199"/>
    <n v="0"/>
    <n v="60663025"/>
    <n v="6006739199"/>
    <n v="6067402224"/>
    <n v="187710599"/>
    <n v="0"/>
    <n v="1895719"/>
    <n v="187710599"/>
    <n v="189606319"/>
    <n v="19.447500000000002"/>
    <n v="9.5618999999999996"/>
    <n v="2734.16"/>
    <n v="1976.19"/>
    <n v="13373"/>
    <n v="1074"/>
    <x v="8"/>
    <x v="5"/>
  </r>
  <r>
    <s v="istree_exp5_numerical_stability_vs_time/step10231.txt"/>
    <x v="0"/>
    <n v="72"/>
    <s v="reclaimer_debra"/>
    <s v="allocator_new"/>
    <s v="pool_none"/>
    <n v="64000"/>
    <n v="0.5"/>
    <n v="0.5"/>
    <n v="0"/>
    <n v="1"/>
    <n v="200000000"/>
    <n v="190"/>
    <n v="190"/>
    <n v="190"/>
    <n v="0"/>
    <s v="insertIfAbsent"/>
    <n v="1.00012213436621E+16"/>
    <n v="100008157"/>
    <n v="1.00012213436621E+16"/>
    <n v="100008157"/>
    <s v="success"/>
    <n v="7"/>
    <n v="14481169"/>
    <n v="117196709"/>
    <n v="131677878"/>
    <n v="100008157"/>
    <n v="9.0930400000000002"/>
    <n v="0.85333599999999998"/>
    <n v="1.75949"/>
    <n v="4.0721400000000001"/>
    <n v="3036705328"/>
    <s v="2 19990 688176 8739426 1599214"/>
    <s v="2 19990 688172 8739425 1599214"/>
    <n v="8132"/>
    <n v="62932"/>
    <m/>
    <m/>
    <n v="11986717734"/>
    <n v="0"/>
    <n v="121088557"/>
    <n v="11986717734"/>
    <n v="12107806291"/>
    <n v="187292464"/>
    <n v="0"/>
    <n v="1892008"/>
    <n v="187292464"/>
    <n v="189184473"/>
    <n v="19.4499"/>
    <n v="9.6234699999999993"/>
    <n v="2742.43"/>
    <n v="1984.68"/>
    <n v="13810"/>
    <n v="1108"/>
    <x v="8"/>
    <x v="6"/>
  </r>
  <r>
    <s v="istree_exp5_numerical_stability_vs_time/step10232.txt"/>
    <x v="2"/>
    <n v="208"/>
    <s v="reclaimer_debra"/>
    <s v="allocator_new"/>
    <s v="pool_none"/>
    <n v="1000"/>
    <n v="0.5"/>
    <n v="0.5"/>
    <n v="0"/>
    <n v="1"/>
    <n v="200000000"/>
    <n v="190"/>
    <n v="190"/>
    <n v="190"/>
    <n v="0"/>
    <s v="insertIfAbsent"/>
    <n v="1.00004958220742E+16"/>
    <n v="100000406"/>
    <n v="1.00004958220742E+16"/>
    <n v="100000406"/>
    <s v="success"/>
    <n v="10"/>
    <n v="1861479"/>
    <n v="12806071"/>
    <n v="14667550"/>
    <n v="100000406"/>
    <n v="7.8795099999999998"/>
    <n v="7.8088300000000004"/>
    <n v="7.8178000000000001"/>
    <n v="9"/>
    <n v="3050850400"/>
    <m/>
    <m/>
    <m/>
    <s v="3192 4162"/>
    <m/>
    <m/>
    <n v="152100525"/>
    <n v="0"/>
    <n v="1536904"/>
    <n v="152100525"/>
    <n v="153637429"/>
    <n v="152100525"/>
    <n v="0"/>
    <n v="1536904"/>
    <n v="152100525"/>
    <n v="153637429"/>
    <n v="23.637899999999998"/>
    <n v="10.390700000000001"/>
    <n v="3427.48"/>
    <n v="2450.9499999999998"/>
    <n v="5145"/>
    <n v="6044"/>
    <x v="8"/>
    <x v="0"/>
  </r>
  <r>
    <s v="istree_exp5_numerical_stability_vs_time/step10233.txt"/>
    <x v="2"/>
    <n v="208"/>
    <s v="reclaimer_debra"/>
    <s v="allocator_new"/>
    <s v="pool_none"/>
    <n v="2000"/>
    <n v="0.5"/>
    <n v="0.5"/>
    <n v="0"/>
    <n v="1"/>
    <n v="200000000"/>
    <n v="190"/>
    <n v="190"/>
    <n v="190"/>
    <n v="0"/>
    <s v="insertIfAbsent"/>
    <n v="1.00007296838724E+16"/>
    <n v="100000502"/>
    <n v="1.00007296838724E+16"/>
    <n v="100000502"/>
    <s v="success"/>
    <n v="10"/>
    <n v="1867789"/>
    <n v="12850999"/>
    <n v="14718788"/>
    <n v="100000502"/>
    <n v="7.8803299999999998"/>
    <n v="7.7815399999999997"/>
    <n v="7.7940699999999996"/>
    <n v="9"/>
    <n v="3061507904"/>
    <m/>
    <m/>
    <m/>
    <s v="3172 5116"/>
    <m/>
    <m/>
    <n v="305610853"/>
    <n v="0"/>
    <n v="3088760"/>
    <n v="305610853"/>
    <n v="308699613"/>
    <n v="152805426"/>
    <n v="0"/>
    <n v="1544380"/>
    <n v="152805426"/>
    <n v="154349806"/>
    <n v="23.615400000000001"/>
    <n v="10.440799999999999"/>
    <n v="3417.43"/>
    <n v="2441.91"/>
    <n v="5146"/>
    <n v="6071"/>
    <x v="8"/>
    <x v="1"/>
  </r>
  <r>
    <s v="istree_exp5_numerical_stability_vs_time/step10234.txt"/>
    <x v="2"/>
    <n v="208"/>
    <s v="reclaimer_debra"/>
    <s v="allocator_new"/>
    <s v="pool_none"/>
    <n v="4000"/>
    <n v="0.5"/>
    <n v="0.5"/>
    <n v="0"/>
    <n v="1"/>
    <n v="200000000"/>
    <n v="190"/>
    <n v="190"/>
    <n v="190"/>
    <n v="0"/>
    <s v="insertIfAbsent"/>
    <n v="1.00000008967096E+16"/>
    <n v="100002191"/>
    <n v="1.00000008967096E+16"/>
    <n v="100002191"/>
    <s v="success"/>
    <n v="10"/>
    <n v="1881237"/>
    <n v="12939296"/>
    <n v="14820533"/>
    <n v="100002191"/>
    <n v="7.8780799999999997"/>
    <n v="7.7285700000000004"/>
    <n v="7.7475399999999999"/>
    <n v="9"/>
    <n v="3082670864"/>
    <m/>
    <m/>
    <m/>
    <s v="2916 6806"/>
    <m/>
    <m/>
    <n v="615347384"/>
    <n v="0"/>
    <n v="6210297"/>
    <n v="615347384"/>
    <n v="621557681"/>
    <n v="153836846"/>
    <n v="0"/>
    <n v="1552574"/>
    <n v="153836846"/>
    <n v="155389420"/>
    <n v="23.681899999999999"/>
    <n v="10.5402"/>
    <n v="3397.34"/>
    <n v="2430.92"/>
    <n v="5165"/>
    <n v="6037"/>
    <x v="8"/>
    <x v="2"/>
  </r>
  <r>
    <s v="istree_exp5_numerical_stability_vs_time/step10235.txt"/>
    <x v="2"/>
    <n v="208"/>
    <s v="reclaimer_debra"/>
    <s v="allocator_new"/>
    <s v="pool_none"/>
    <n v="8000"/>
    <n v="0.5"/>
    <n v="0.5"/>
    <n v="0"/>
    <n v="1"/>
    <n v="200000000"/>
    <n v="190"/>
    <n v="190"/>
    <n v="190"/>
    <n v="0"/>
    <s v="insertIfAbsent"/>
    <n v="9999962141636990"/>
    <n v="99999038"/>
    <n v="9999962141636990"/>
    <n v="99999038"/>
    <s v="success"/>
    <n v="10"/>
    <n v="1903020"/>
    <n v="13095436"/>
    <n v="14998456"/>
    <n v="99999038"/>
    <n v="7.8814000000000002"/>
    <n v="7.6361699999999999"/>
    <n v="7.6672900000000004"/>
    <n v="9"/>
    <n v="3119678848"/>
    <m/>
    <m/>
    <m/>
    <s v="3030 10550"/>
    <m/>
    <m/>
    <n v="1229561868"/>
    <n v="0"/>
    <n v="12415964"/>
    <n v="1229561868"/>
    <n v="1241977832"/>
    <n v="153695233"/>
    <n v="0"/>
    <n v="1551995"/>
    <n v="153695233"/>
    <n v="155247229"/>
    <n v="23.661999999999999"/>
    <n v="10.6165"/>
    <n v="3400.54"/>
    <n v="2427.69"/>
    <n v="5217"/>
    <n v="6057"/>
    <x v="8"/>
    <x v="3"/>
  </r>
  <r>
    <s v="istree_exp5_numerical_stability_vs_time/step10236.txt"/>
    <x v="2"/>
    <n v="208"/>
    <s v="reclaimer_debra"/>
    <s v="allocator_new"/>
    <s v="pool_none"/>
    <n v="16000"/>
    <n v="0.5"/>
    <n v="0.5"/>
    <n v="0"/>
    <n v="1"/>
    <n v="200000000"/>
    <n v="190"/>
    <n v="190"/>
    <n v="190"/>
    <n v="0"/>
    <s v="insertIfAbsent"/>
    <n v="9999930425481660"/>
    <n v="100002559"/>
    <n v="9999930425481660"/>
    <n v="100002559"/>
    <s v="success"/>
    <n v="10"/>
    <n v="1941679"/>
    <n v="13358814"/>
    <n v="15300493"/>
    <n v="100002559"/>
    <n v="7.8800299999999996"/>
    <n v="7.4858900000000004"/>
    <n v="7.5358999999999998"/>
    <n v="9"/>
    <n v="3182502544"/>
    <m/>
    <m/>
    <m/>
    <s v="3008 17816"/>
    <m/>
    <m/>
    <n v="2462685421"/>
    <n v="0"/>
    <n v="24876767"/>
    <n v="2462685421"/>
    <n v="2487562188"/>
    <n v="153917838"/>
    <n v="0"/>
    <n v="1554797"/>
    <n v="153917838"/>
    <n v="155472636"/>
    <n v="23.6722"/>
    <n v="10.686500000000001"/>
    <n v="3395.65"/>
    <n v="2421.9299999999998"/>
    <n v="5315"/>
    <n v="6026"/>
    <x v="8"/>
    <x v="4"/>
  </r>
  <r>
    <s v="istree_exp5_numerical_stability_vs_time/step10237.txt"/>
    <x v="2"/>
    <n v="208"/>
    <s v="reclaimer_debra"/>
    <s v="allocator_new"/>
    <s v="pool_none"/>
    <n v="32000"/>
    <n v="0.5"/>
    <n v="0.5"/>
    <n v="0"/>
    <n v="1"/>
    <n v="200000000"/>
    <n v="190"/>
    <n v="190"/>
    <n v="190"/>
    <n v="0"/>
    <s v="insertIfAbsent"/>
    <n v="9999879244756610"/>
    <n v="99998651"/>
    <n v="9999879244756610"/>
    <n v="99998651"/>
    <s v="success"/>
    <n v="10"/>
    <n v="2000479"/>
    <n v="13765435"/>
    <n v="15765914"/>
    <n v="99998651"/>
    <n v="7.8810700000000002"/>
    <n v="7.2644700000000002"/>
    <n v="7.3427100000000003"/>
    <n v="9"/>
    <n v="3279310112"/>
    <m/>
    <m/>
    <m/>
    <s v="3046 32304"/>
    <m/>
    <m/>
    <n v="4910302338"/>
    <n v="0"/>
    <n v="49598527"/>
    <n v="4910302338"/>
    <n v="4959900865"/>
    <n v="153446948"/>
    <n v="0"/>
    <n v="1549953"/>
    <n v="153446948"/>
    <n v="154996902"/>
    <n v="23.735499999999998"/>
    <n v="10.756399999999999"/>
    <n v="3406.3"/>
    <n v="2434.19"/>
    <n v="5386"/>
    <n v="5943"/>
    <x v="8"/>
    <x v="5"/>
  </r>
  <r>
    <s v="istree_exp5_numerical_stability_vs_time/step10238.txt"/>
    <x v="2"/>
    <n v="208"/>
    <s v="reclaimer_debra"/>
    <s v="allocator_new"/>
    <s v="pool_none"/>
    <n v="64000"/>
    <n v="0.5"/>
    <n v="0.5"/>
    <n v="0"/>
    <n v="1"/>
    <n v="200000000"/>
    <n v="190"/>
    <n v="190"/>
    <n v="190"/>
    <n v="0"/>
    <s v="insertIfAbsent"/>
    <n v="1.0000023781572E+16"/>
    <n v="100003237"/>
    <n v="1.0000023781572E+16"/>
    <n v="100003237"/>
    <s v="success"/>
    <n v="10"/>
    <n v="2088895"/>
    <n v="14366895"/>
    <n v="16455790"/>
    <n v="100003237"/>
    <n v="7.8777499999999998"/>
    <n v="6.9606700000000004"/>
    <n v="7.0770900000000001"/>
    <n v="9"/>
    <n v="3422804320"/>
    <m/>
    <m/>
    <m/>
    <s v="2942 61104"/>
    <m/>
    <m/>
    <n v="9768086752"/>
    <n v="0"/>
    <n v="98677603"/>
    <n v="9768086752"/>
    <n v="9866764355"/>
    <n v="152626355"/>
    <n v="0"/>
    <n v="1541837"/>
    <n v="152626355"/>
    <n v="154168193"/>
    <n v="23.8108"/>
    <n v="10.861000000000001"/>
    <n v="3425.48"/>
    <n v="2449.09"/>
    <n v="5536"/>
    <n v="6070"/>
    <x v="8"/>
    <x v="6"/>
  </r>
  <r>
    <s v="istree_exp5_numerical_stability_vs_time/step10239.txt"/>
    <x v="1"/>
    <m/>
    <s v="reclaimer_debra"/>
    <s v="allocator_new"/>
    <s v="pool_none"/>
    <n v="1000"/>
    <n v="0.5"/>
    <n v="0.5"/>
    <n v="0"/>
    <n v="1"/>
    <n v="200000000"/>
    <n v="190"/>
    <n v="190"/>
    <n v="190"/>
    <n v="0"/>
    <s v="insertIfAbsent"/>
    <n v="9999492608641920"/>
    <n v="99999685"/>
    <n v="9999492608641920"/>
    <n v="99999685"/>
    <s v="success"/>
    <n v="33"/>
    <n v="57181233"/>
    <n v="42891579"/>
    <n v="100072812"/>
    <n v="99999685"/>
    <n v="1.7501"/>
    <n v="2.3314499999999998"/>
    <n v="1.9992700000000001"/>
    <n v="26.094100000000001"/>
    <n v="5604077472"/>
    <m/>
    <m/>
    <m/>
    <s v="772 1354"/>
    <m/>
    <m/>
    <n v="68040081"/>
    <n v="0"/>
    <n v="686807"/>
    <n v="68040081"/>
    <n v="68726888"/>
    <n v="68040081"/>
    <n v="0"/>
    <n v="686807"/>
    <n v="68040081"/>
    <n v="68726888"/>
    <n v="40.984099999999998"/>
    <n v="19.218800000000002"/>
    <n v="7697.13"/>
    <n v="6250.33"/>
    <n v="7580"/>
    <n v="2771"/>
    <x v="8"/>
    <x v="0"/>
  </r>
  <r>
    <s v="istree_exp5_numerical_stability_vs_time/step10240.txt"/>
    <x v="1"/>
    <m/>
    <s v="reclaimer_debra"/>
    <s v="allocator_new"/>
    <s v="pool_none"/>
    <n v="2000"/>
    <n v="0.5"/>
    <n v="0.5"/>
    <n v="0"/>
    <n v="1"/>
    <n v="200000000"/>
    <n v="190"/>
    <n v="190"/>
    <n v="190"/>
    <n v="0"/>
    <s v="insertIfAbsent"/>
    <n v="1.00000163466347E+16"/>
    <n v="100000748"/>
    <n v="1.00000163466347E+16"/>
    <n v="100000748"/>
    <s v="success"/>
    <n v="33"/>
    <n v="57222237"/>
    <n v="42924949"/>
    <n v="100147186"/>
    <n v="100000748"/>
    <n v="1.75014"/>
    <n v="2.3296600000000001"/>
    <n v="1.99854"/>
    <n v="26.056699999999999"/>
    <n v="5608242416"/>
    <m/>
    <m/>
    <m/>
    <s v="778 1750"/>
    <m/>
    <m/>
    <n v="136094101"/>
    <n v="0"/>
    <n v="1376380"/>
    <n v="136094101"/>
    <n v="137470481"/>
    <n v="68047050"/>
    <n v="0"/>
    <n v="688190"/>
    <n v="68047050"/>
    <n v="68735240"/>
    <n v="41.176600000000001"/>
    <n v="19.3645"/>
    <n v="7695.64"/>
    <n v="6240.1"/>
    <n v="7587"/>
    <n v="2765"/>
    <x v="8"/>
    <x v="1"/>
  </r>
  <r>
    <s v="istree_exp5_numerical_stability_vs_time/step10241.txt"/>
    <x v="1"/>
    <m/>
    <s v="reclaimer_debra"/>
    <s v="allocator_new"/>
    <s v="pool_none"/>
    <n v="4000"/>
    <n v="0.5"/>
    <n v="0.5"/>
    <n v="0"/>
    <n v="1"/>
    <n v="200000000"/>
    <n v="190"/>
    <n v="190"/>
    <n v="190"/>
    <n v="0"/>
    <s v="insertIfAbsent"/>
    <n v="9999970261334050"/>
    <n v="99998860"/>
    <n v="9999970261334050"/>
    <n v="99998860"/>
    <s v="success"/>
    <n v="33"/>
    <n v="57300501"/>
    <n v="42991210"/>
    <n v="100291711"/>
    <n v="99998860"/>
    <n v="1.7502800000000001"/>
    <n v="2.3260299999999998"/>
    <n v="1.99708"/>
    <n v="26.090699999999998"/>
    <n v="5616335816"/>
    <m/>
    <m/>
    <m/>
    <s v="776 2548"/>
    <m/>
    <m/>
    <n v="273355515"/>
    <n v="0"/>
    <n v="2760334"/>
    <n v="273355515"/>
    <n v="276115849"/>
    <n v="68338878"/>
    <n v="0"/>
    <n v="690083"/>
    <n v="68338878"/>
    <n v="69028962"/>
    <n v="41.410899999999998"/>
    <n v="19.533300000000001"/>
    <n v="7663.43"/>
    <n v="6209.9"/>
    <n v="7596"/>
    <n v="2754"/>
    <x v="8"/>
    <x v="2"/>
  </r>
  <r>
    <s v="istree_exp5_numerical_stability_vs_time/step10242.txt"/>
    <x v="1"/>
    <m/>
    <s v="reclaimer_debra"/>
    <s v="allocator_new"/>
    <s v="pool_none"/>
    <n v="8000"/>
    <n v="0.5"/>
    <n v="0.5"/>
    <n v="0"/>
    <n v="1"/>
    <n v="200000000"/>
    <n v="190"/>
    <n v="190"/>
    <n v="190"/>
    <n v="0"/>
    <s v="insertIfAbsent"/>
    <n v="9999960988656430"/>
    <n v="100000314"/>
    <n v="9999960988656430"/>
    <n v="100000314"/>
    <s v="success"/>
    <n v="33"/>
    <n v="57464308"/>
    <n v="43121797"/>
    <n v="100586105"/>
    <n v="100000314"/>
    <n v="1.75041"/>
    <n v="2.3190200000000001"/>
    <n v="1.9941800000000001"/>
    <n v="26.0731"/>
    <n v="5632821880"/>
    <m/>
    <m/>
    <m/>
    <s v="778 4152"/>
    <m/>
    <m/>
    <n v="549290319"/>
    <n v="0"/>
    <n v="5547774"/>
    <n v="549290319"/>
    <n v="554838093"/>
    <n v="68661289"/>
    <n v="0"/>
    <n v="693471"/>
    <n v="68661289"/>
    <n v="69354761"/>
    <n v="41.533900000000003"/>
    <n v="19.712199999999999"/>
    <n v="7626.41"/>
    <n v="6165"/>
    <n v="7615"/>
    <n v="2756"/>
    <x v="8"/>
    <x v="3"/>
  </r>
  <r>
    <s v="istree_exp5_numerical_stability_vs_time/step10243.txt"/>
    <x v="1"/>
    <m/>
    <s v="reclaimer_debra"/>
    <s v="allocator_new"/>
    <s v="pool_none"/>
    <n v="16000"/>
    <n v="0.5"/>
    <n v="0.5"/>
    <n v="0"/>
    <n v="1"/>
    <n v="200000000"/>
    <n v="190"/>
    <n v="190"/>
    <n v="190"/>
    <n v="0"/>
    <s v="insertIfAbsent"/>
    <n v="1.00002146334061E+16"/>
    <n v="99997521"/>
    <n v="1.00002146334061E+16"/>
    <n v="99997521"/>
    <s v="success"/>
    <n v="33"/>
    <n v="57774938"/>
    <n v="43383302"/>
    <n v="101158240"/>
    <n v="99997521"/>
    <n v="1.7508999999999999"/>
    <n v="2.30498"/>
    <n v="1.9885299999999999"/>
    <n v="26.1233"/>
    <n v="5664861440"/>
    <m/>
    <m/>
    <m/>
    <s v="780 7374"/>
    <m/>
    <m/>
    <n v="1105771066"/>
    <n v="0"/>
    <n v="11169038"/>
    <n v="1105771066"/>
    <n v="1116940104"/>
    <n v="69110691"/>
    <n v="0"/>
    <n v="698064"/>
    <n v="69110691"/>
    <n v="69808756"/>
    <n v="41.157800000000002"/>
    <n v="19.928799999999999"/>
    <n v="7577.16"/>
    <n v="6106.73"/>
    <n v="7650"/>
    <n v="2756"/>
    <x v="8"/>
    <x v="4"/>
  </r>
  <r>
    <s v="istree_exp5_numerical_stability_vs_time/step10244.txt"/>
    <x v="1"/>
    <m/>
    <s v="reclaimer_debra"/>
    <s v="allocator_new"/>
    <s v="pool_none"/>
    <n v="32000"/>
    <n v="0.5"/>
    <n v="0.5"/>
    <n v="0"/>
    <n v="1"/>
    <n v="200000000"/>
    <n v="190"/>
    <n v="190"/>
    <n v="190"/>
    <n v="0"/>
    <s v="insertIfAbsent"/>
    <n v="9999389765913080"/>
    <n v="100001631"/>
    <n v="9999389765913080"/>
    <n v="100001631"/>
    <s v="success"/>
    <n v="33"/>
    <n v="58380994"/>
    <n v="43886875"/>
    <n v="102267869"/>
    <n v="100001631"/>
    <n v="1.75173"/>
    <n v="2.2786200000000001"/>
    <n v="1.97784"/>
    <n v="26.1387"/>
    <n v="5727000664"/>
    <m/>
    <m/>
    <m/>
    <s v="776 13890"/>
    <m/>
    <m/>
    <n v="2225621635"/>
    <n v="0"/>
    <n v="22480962"/>
    <n v="2225621635"/>
    <n v="2248102597"/>
    <n v="69550676"/>
    <n v="0"/>
    <n v="702530"/>
    <n v="69550676"/>
    <n v="70253206"/>
    <n v="41.540199999999999"/>
    <n v="20.079899999999999"/>
    <n v="7528.57"/>
    <n v="6053.38"/>
    <n v="7723"/>
    <n v="2759"/>
    <x v="8"/>
    <x v="5"/>
  </r>
  <r>
    <s v="istree_exp5_numerical_stability_vs_time/step10245.txt"/>
    <x v="1"/>
    <m/>
    <s v="reclaimer_debra"/>
    <s v="allocator_new"/>
    <s v="pool_none"/>
    <n v="64000"/>
    <n v="0.5"/>
    <n v="0.5"/>
    <n v="0"/>
    <n v="1"/>
    <n v="200000000"/>
    <n v="190"/>
    <n v="190"/>
    <n v="190"/>
    <n v="0"/>
    <s v="insertIfAbsent"/>
    <n v="1.00011348229299E+16"/>
    <n v="100004124"/>
    <n v="1.00011348229299E+16"/>
    <n v="100004124"/>
    <s v="success"/>
    <n v="33"/>
    <n v="59472393"/>
    <n v="44779886"/>
    <n v="104252279"/>
    <n v="100004124"/>
    <n v="1.75295"/>
    <n v="2.2332399999999999"/>
    <n v="1.9592499999999999"/>
    <n v="26.229600000000001"/>
    <n v="5838127624"/>
    <m/>
    <m/>
    <m/>
    <s v="776 26830"/>
    <m/>
    <m/>
    <n v="4422516279"/>
    <n v="0"/>
    <n v="44672303"/>
    <n v="4422516279"/>
    <n v="4467188582"/>
    <n v="69101816"/>
    <n v="0"/>
    <n v="698004"/>
    <n v="69101816"/>
    <n v="69799821"/>
    <n v="41.5852"/>
    <n v="20.239899999999999"/>
    <n v="7577.45"/>
    <n v="6022.61"/>
    <n v="7850"/>
    <n v="2758"/>
    <x v="8"/>
    <x v="6"/>
  </r>
  <r>
    <s v="istree_exp5_numerical_stability_vs_time/step10246.txt"/>
    <x v="3"/>
    <m/>
    <s v="reclaimer_debra"/>
    <s v="allocator_new"/>
    <s v="pool_none"/>
    <n v="1000"/>
    <n v="0.5"/>
    <n v="0.5"/>
    <n v="0"/>
    <n v="1"/>
    <n v="200000000"/>
    <n v="190"/>
    <n v="190"/>
    <n v="190"/>
    <n v="0"/>
    <s v="insertIfAbsent"/>
    <n v="1.00001127932567E+16"/>
    <n v="100000464"/>
    <n v="1.00001127932567E+16"/>
    <n v="100000464"/>
    <s v="success"/>
    <n v="67"/>
    <n v="100000463"/>
    <n v="100000464"/>
    <n v="200000927"/>
    <n v="100000464"/>
    <n v="2"/>
    <n v="1"/>
    <n v="1.5"/>
    <n v="35.668599999999998"/>
    <n v="6400029664"/>
    <m/>
    <m/>
    <m/>
    <s v="744 1268"/>
    <m/>
    <m/>
    <n v="57796689"/>
    <n v="0"/>
    <n v="583913"/>
    <n v="57796689"/>
    <n v="58380602"/>
    <n v="57796689"/>
    <n v="0"/>
    <n v="583913"/>
    <n v="57796689"/>
    <n v="58380602"/>
    <n v="38.161299999999997"/>
    <n v="18.825900000000001"/>
    <n v="9057.61"/>
    <n v="7929.12"/>
    <n v="7576"/>
    <n v="2827"/>
    <x v="8"/>
    <x v="0"/>
  </r>
  <r>
    <s v="istree_exp5_numerical_stability_vs_time/step10247.txt"/>
    <x v="3"/>
    <m/>
    <s v="reclaimer_debra"/>
    <s v="allocator_new"/>
    <s v="pool_none"/>
    <n v="2000"/>
    <n v="0.5"/>
    <n v="0.5"/>
    <n v="0"/>
    <n v="1"/>
    <n v="200000000"/>
    <n v="190"/>
    <n v="190"/>
    <n v="190"/>
    <n v="0"/>
    <s v="insertIfAbsent"/>
    <n v="1.00004499224202E+16"/>
    <n v="100000409"/>
    <n v="1.00004499224202E+16"/>
    <n v="100000409"/>
    <s v="success"/>
    <n v="68"/>
    <n v="100000408"/>
    <n v="100000409"/>
    <n v="200000817"/>
    <n v="100000409"/>
    <n v="2"/>
    <n v="1"/>
    <n v="1.5"/>
    <n v="36.536200000000001"/>
    <n v="6400026144"/>
    <m/>
    <m/>
    <m/>
    <s v="736 1596"/>
    <m/>
    <m/>
    <n v="115481991"/>
    <n v="0"/>
    <n v="1168007"/>
    <n v="115481991"/>
    <n v="116649998"/>
    <n v="57740995"/>
    <n v="0"/>
    <n v="584003"/>
    <n v="57740995"/>
    <n v="58324999"/>
    <n v="38.221800000000002"/>
    <n v="18.868300000000001"/>
    <n v="9071.5499999999993"/>
    <n v="7926.98"/>
    <n v="7575"/>
    <n v="2853"/>
    <x v="8"/>
    <x v="1"/>
  </r>
  <r>
    <s v="istree_exp5_numerical_stability_vs_time/step10248.txt"/>
    <x v="3"/>
    <m/>
    <s v="reclaimer_debra"/>
    <s v="allocator_new"/>
    <s v="pool_none"/>
    <n v="4000"/>
    <n v="0.5"/>
    <n v="0.5"/>
    <n v="0"/>
    <n v="1"/>
    <n v="200000000"/>
    <n v="190"/>
    <n v="190"/>
    <n v="190"/>
    <n v="0"/>
    <s v="insertIfAbsent"/>
    <n v="1.00000137102201E+16"/>
    <n v="100000929"/>
    <n v="1.00000137102201E+16"/>
    <n v="100000929"/>
    <s v="success"/>
    <n v="69"/>
    <n v="100000928"/>
    <n v="100000929"/>
    <n v="200001857"/>
    <n v="100000929"/>
    <n v="2"/>
    <n v="1"/>
    <n v="1.5"/>
    <n v="36.966700000000003"/>
    <n v="6400059424"/>
    <m/>
    <m/>
    <m/>
    <s v="730 2270"/>
    <m/>
    <m/>
    <n v="231789417"/>
    <n v="0"/>
    <n v="2341254"/>
    <n v="231789417"/>
    <n v="234130671"/>
    <n v="57947354"/>
    <n v="0"/>
    <n v="585313"/>
    <n v="57947354"/>
    <n v="58532667"/>
    <n v="38.239699999999999"/>
    <n v="18.952400000000001"/>
    <n v="9040.91"/>
    <n v="7894.4"/>
    <n v="7576"/>
    <n v="2869"/>
    <x v="8"/>
    <x v="2"/>
  </r>
  <r>
    <s v="istree_exp5_numerical_stability_vs_time/step10249.txt"/>
    <x v="3"/>
    <m/>
    <s v="reclaimer_debra"/>
    <s v="allocator_new"/>
    <s v="pool_none"/>
    <n v="8000"/>
    <n v="0.5"/>
    <n v="0.5"/>
    <n v="0"/>
    <n v="1"/>
    <n v="200000000"/>
    <n v="190"/>
    <n v="190"/>
    <n v="190"/>
    <n v="0"/>
    <s v="insertIfAbsent"/>
    <n v="9999156262123120"/>
    <n v="99998851"/>
    <n v="9999156262123120"/>
    <n v="99998851"/>
    <s v="success"/>
    <n v="74"/>
    <n v="99998850"/>
    <n v="99998851"/>
    <n v="199997701"/>
    <n v="99998851"/>
    <n v="2"/>
    <n v="1"/>
    <n v="1.5"/>
    <n v="36.731900000000003"/>
    <n v="6399926432"/>
    <m/>
    <m/>
    <m/>
    <s v="734 3612"/>
    <m/>
    <m/>
    <n v="465636894"/>
    <n v="0"/>
    <n v="4703967"/>
    <n v="465636894"/>
    <n v="470340861"/>
    <n v="58204611"/>
    <n v="0"/>
    <n v="587995"/>
    <n v="58204611"/>
    <n v="58792607"/>
    <n v="38.200299999999999"/>
    <n v="19.065799999999999"/>
    <n v="9000.58"/>
    <n v="7854.36"/>
    <n v="7576"/>
    <n v="2848"/>
    <x v="8"/>
    <x v="3"/>
  </r>
  <r>
    <s v="istree_exp5_numerical_stability_vs_time/step10250.txt"/>
    <x v="3"/>
    <m/>
    <s v="reclaimer_debra"/>
    <s v="allocator_new"/>
    <s v="pool_none"/>
    <n v="16000"/>
    <n v="0.5"/>
    <n v="0.5"/>
    <n v="0"/>
    <n v="1"/>
    <n v="200000000"/>
    <n v="190"/>
    <n v="190"/>
    <n v="190"/>
    <n v="0"/>
    <s v="insertIfAbsent"/>
    <n v="1.00003200071849E+16"/>
    <n v="99999638"/>
    <n v="1.00003200071849E+16"/>
    <n v="99999638"/>
    <s v="success"/>
    <n v="69"/>
    <n v="99999637"/>
    <n v="99999638"/>
    <n v="199999275"/>
    <n v="99999638"/>
    <n v="2"/>
    <n v="1"/>
    <n v="1.5"/>
    <n v="35.573799999999999"/>
    <n v="6399976800"/>
    <m/>
    <m/>
    <m/>
    <s v="726 6310"/>
    <m/>
    <m/>
    <n v="934588173"/>
    <n v="0"/>
    <n v="9440355"/>
    <n v="934588173"/>
    <n v="944028528"/>
    <n v="58411760"/>
    <n v="0"/>
    <n v="590022"/>
    <n v="58411760"/>
    <n v="59001783"/>
    <n v="38.312800000000003"/>
    <n v="19.213899999999999"/>
    <n v="8967.5400000000009"/>
    <n v="7815.49"/>
    <n v="7575"/>
    <n v="2859"/>
    <x v="8"/>
    <x v="4"/>
  </r>
  <r>
    <s v="istree_exp5_numerical_stability_vs_time/step10251.txt"/>
    <x v="3"/>
    <m/>
    <s v="reclaimer_debra"/>
    <s v="allocator_new"/>
    <s v="pool_none"/>
    <n v="32000"/>
    <n v="0.5"/>
    <n v="0.5"/>
    <n v="0"/>
    <n v="1"/>
    <n v="200000000"/>
    <n v="190"/>
    <n v="190"/>
    <n v="190"/>
    <n v="0"/>
    <s v="insertIfAbsent"/>
    <n v="9999868199806490"/>
    <n v="100001985"/>
    <n v="9999868199806490"/>
    <n v="100001985"/>
    <s v="success"/>
    <n v="71"/>
    <n v="100001984"/>
    <n v="100001985"/>
    <n v="200003969"/>
    <n v="100001985"/>
    <n v="2"/>
    <n v="1"/>
    <n v="1.5"/>
    <n v="35.4908"/>
    <n v="6400127008"/>
    <m/>
    <m/>
    <m/>
    <s v="734 11732"/>
    <m/>
    <m/>
    <n v="1877384873"/>
    <n v="0"/>
    <n v="18971775"/>
    <n v="1877384873"/>
    <n v="1896356648"/>
    <n v="58668277"/>
    <n v="0"/>
    <n v="592867"/>
    <n v="58668277"/>
    <n v="59261145"/>
    <n v="38.411299999999997"/>
    <n v="19.396000000000001"/>
    <n v="8927.75"/>
    <n v="7772.56"/>
    <n v="7578"/>
    <n v="2869"/>
    <x v="8"/>
    <x v="5"/>
  </r>
  <r>
    <s v="istree_exp5_numerical_stability_vs_time/step10252.txt"/>
    <x v="3"/>
    <m/>
    <s v="reclaimer_debra"/>
    <s v="allocator_new"/>
    <s v="pool_none"/>
    <n v="64000"/>
    <n v="0.5"/>
    <n v="0.5"/>
    <n v="0"/>
    <n v="1"/>
    <n v="200000000"/>
    <n v="190"/>
    <n v="190"/>
    <n v="190"/>
    <n v="0"/>
    <s v="insertIfAbsent"/>
    <n v="9999568642950440"/>
    <n v="99997001"/>
    <n v="9999568642950440"/>
    <n v="99997001"/>
    <s v="success"/>
    <n v="70"/>
    <n v="99997000"/>
    <n v="99997001"/>
    <n v="199994001"/>
    <n v="99997001"/>
    <n v="2"/>
    <n v="1"/>
    <n v="1.5"/>
    <n v="35.091799999999999"/>
    <n v="6399808032"/>
    <m/>
    <m/>
    <m/>
    <s v="738 22688"/>
    <m/>
    <m/>
    <n v="3783234580"/>
    <n v="0"/>
    <n v="38215606"/>
    <n v="3783234580"/>
    <n v="3821450186"/>
    <n v="59113040"/>
    <n v="0"/>
    <n v="597118"/>
    <n v="59113040"/>
    <n v="59710159"/>
    <n v="38.4773"/>
    <n v="19.559000000000001"/>
    <n v="8859.48"/>
    <n v="7707.47"/>
    <n v="7584"/>
    <n v="2847"/>
    <x v="8"/>
    <x v="6"/>
  </r>
  <r>
    <s v="istree_exp5_numerical_stability_vs_time/step10253.txt"/>
    <x v="0"/>
    <n v="72"/>
    <s v="reclaimer_debra"/>
    <s v="allocator_new"/>
    <s v="pool_none"/>
    <n v="1000"/>
    <n v="0"/>
    <n v="0"/>
    <n v="0"/>
    <n v="1"/>
    <n v="2000000"/>
    <n v="190"/>
    <n v="190"/>
    <n v="190"/>
    <n v="0"/>
    <s v="insertIfAbsent"/>
    <n v="999811583846"/>
    <n v="1000001"/>
    <n v="999811583846"/>
    <n v="1000001"/>
    <s v="success"/>
    <n v="5"/>
    <n v="33035"/>
    <n v="1032033"/>
    <n v="1065068"/>
    <n v="1000001"/>
    <n v="32.240600000000001"/>
    <n v="0.96896199999999999"/>
    <n v="1.9389099999999999"/>
    <n v="3"/>
    <n v="19155312"/>
    <m/>
    <m/>
    <m/>
    <n v="3462"/>
    <m/>
    <m/>
    <n v="497248631"/>
    <n v="0"/>
    <n v="0"/>
    <n v="497248631"/>
    <n v="497248631"/>
    <n v="497248631"/>
    <n v="0"/>
    <n v="0"/>
    <n v="497248631"/>
    <n v="497248631"/>
    <n v="8.7451000000000008"/>
    <n v="9.5754500000000006E-2"/>
    <n v="1058.07"/>
    <n v="329.87"/>
    <n v="1217"/>
    <n v="300"/>
    <x v="9"/>
    <x v="0"/>
  </r>
  <r>
    <s v="istree_exp5_numerical_stability_vs_time/step10254.txt"/>
    <x v="0"/>
    <n v="72"/>
    <s v="reclaimer_debra"/>
    <s v="allocator_new"/>
    <s v="pool_none"/>
    <n v="2000"/>
    <n v="0"/>
    <n v="0"/>
    <n v="0"/>
    <n v="1"/>
    <n v="2000000"/>
    <n v="190"/>
    <n v="190"/>
    <n v="190"/>
    <n v="0"/>
    <s v="insertIfAbsent"/>
    <n v="999607195726"/>
    <n v="1000001"/>
    <n v="999607195726"/>
    <n v="1000001"/>
    <s v="success"/>
    <n v="5"/>
    <n v="33035"/>
    <n v="1032033"/>
    <n v="1065068"/>
    <n v="1000001"/>
    <n v="32.240600000000001"/>
    <n v="0.96896199999999999"/>
    <n v="1.9389099999999999"/>
    <n v="3"/>
    <n v="19155312"/>
    <m/>
    <m/>
    <m/>
    <n v="6916"/>
    <m/>
    <m/>
    <n v="1013172468"/>
    <n v="0"/>
    <n v="0"/>
    <n v="1013172468"/>
    <n v="1013172468"/>
    <n v="506586234"/>
    <n v="0"/>
    <n v="0"/>
    <n v="506586234"/>
    <n v="506586234"/>
    <n v="8.3311299999999999"/>
    <n v="9.4015199999999993E-2"/>
    <n v="1037.95"/>
    <n v="317.25400000000002"/>
    <n v="1216"/>
    <n v="282"/>
    <x v="9"/>
    <x v="1"/>
  </r>
  <r>
    <s v="istree_exp5_numerical_stability_vs_time/step10255.txt"/>
    <x v="0"/>
    <n v="72"/>
    <s v="reclaimer_debra"/>
    <s v="allocator_new"/>
    <s v="pool_none"/>
    <n v="4000"/>
    <n v="0"/>
    <n v="0"/>
    <n v="0"/>
    <n v="1"/>
    <n v="2000000"/>
    <n v="190"/>
    <n v="190"/>
    <n v="190"/>
    <n v="0"/>
    <s v="insertIfAbsent"/>
    <n v="1000250178303"/>
    <n v="1000001"/>
    <n v="1000250178303"/>
    <n v="1000001"/>
    <s v="success"/>
    <n v="5"/>
    <n v="33035"/>
    <n v="1032033"/>
    <n v="1065068"/>
    <n v="1000001"/>
    <n v="32.240600000000001"/>
    <n v="0.96896199999999999"/>
    <n v="1.9389099999999999"/>
    <n v="3"/>
    <n v="19155312"/>
    <m/>
    <m/>
    <m/>
    <n v="13540"/>
    <m/>
    <m/>
    <n v="1978627520"/>
    <n v="0"/>
    <n v="0"/>
    <n v="1978627520"/>
    <n v="1978627520"/>
    <n v="494656880"/>
    <n v="0"/>
    <n v="0"/>
    <n v="494656880"/>
    <n v="494656880"/>
    <n v="8.3633199999999999"/>
    <n v="9.5428200000000005E-2"/>
    <n v="1057.05"/>
    <n v="330.93099999999998"/>
    <n v="1213"/>
    <n v="335"/>
    <x v="9"/>
    <x v="2"/>
  </r>
  <r>
    <s v="istree_exp5_numerical_stability_vs_time/step10256.txt"/>
    <x v="0"/>
    <n v="72"/>
    <s v="reclaimer_debra"/>
    <s v="allocator_new"/>
    <s v="pool_none"/>
    <n v="8000"/>
    <n v="0"/>
    <n v="0"/>
    <n v="0"/>
    <n v="1"/>
    <n v="2000000"/>
    <n v="190"/>
    <n v="190"/>
    <n v="190"/>
    <n v="0"/>
    <s v="insertIfAbsent"/>
    <n v="999247294422"/>
    <n v="1000001"/>
    <n v="999247294422"/>
    <n v="1000001"/>
    <s v="success"/>
    <n v="5"/>
    <n v="33035"/>
    <n v="1032033"/>
    <n v="1065068"/>
    <n v="1000001"/>
    <n v="32.240600000000001"/>
    <n v="0.96896199999999999"/>
    <n v="1.9389099999999999"/>
    <n v="3"/>
    <n v="19155312"/>
    <m/>
    <m/>
    <m/>
    <n v="27298"/>
    <m/>
    <m/>
    <n v="3944785596"/>
    <n v="0"/>
    <n v="0"/>
    <n v="3944785596"/>
    <n v="3944785596"/>
    <n v="493098199"/>
    <n v="0"/>
    <n v="0"/>
    <n v="493098199"/>
    <n v="493098199"/>
    <n v="8.3229500000000005"/>
    <n v="9.4603199999999998E-2"/>
    <n v="1056.46"/>
    <n v="328.96300000000002"/>
    <n v="1218"/>
    <n v="251"/>
    <x v="9"/>
    <x v="3"/>
  </r>
  <r>
    <s v="istree_exp5_numerical_stability_vs_time/step10257.txt"/>
    <x v="0"/>
    <n v="72"/>
    <s v="reclaimer_debra"/>
    <s v="allocator_new"/>
    <s v="pool_none"/>
    <n v="16000"/>
    <n v="0"/>
    <n v="0"/>
    <n v="0"/>
    <n v="1"/>
    <n v="2000000"/>
    <n v="190"/>
    <n v="190"/>
    <n v="190"/>
    <n v="0"/>
    <s v="insertIfAbsent"/>
    <n v="1000331105540"/>
    <n v="1000001"/>
    <n v="1000331105540"/>
    <n v="1000001"/>
    <s v="success"/>
    <n v="5"/>
    <n v="33035"/>
    <n v="1032033"/>
    <n v="1065068"/>
    <n v="1000001"/>
    <n v="32.240600000000001"/>
    <n v="0.96896199999999999"/>
    <n v="1.9389099999999999"/>
    <n v="3"/>
    <n v="19155312"/>
    <m/>
    <m/>
    <m/>
    <n v="53676"/>
    <m/>
    <m/>
    <n v="7798462394"/>
    <n v="0"/>
    <n v="0"/>
    <n v="7798462394"/>
    <n v="7798462394"/>
    <n v="487403899"/>
    <n v="0"/>
    <n v="0"/>
    <n v="487403899"/>
    <n v="487403899"/>
    <n v="8.4391700000000007"/>
    <n v="8.7568000000000007E-2"/>
    <n v="1068.33"/>
    <n v="343.72800000000001"/>
    <n v="1216"/>
    <n v="331"/>
    <x v="9"/>
    <x v="4"/>
  </r>
  <r>
    <s v="istree_exp5_numerical_stability_vs_time/step10258.txt"/>
    <x v="0"/>
    <n v="72"/>
    <s v="reclaimer_debra"/>
    <s v="allocator_new"/>
    <s v="pool_none"/>
    <n v="32000"/>
    <n v="0"/>
    <n v="0"/>
    <n v="0"/>
    <n v="1"/>
    <n v="2000000"/>
    <n v="190"/>
    <n v="190"/>
    <n v="190"/>
    <n v="0"/>
    <s v="insertIfAbsent"/>
    <n v="999984098154"/>
    <n v="1000001"/>
    <n v="999984098154"/>
    <n v="1000001"/>
    <s v="success"/>
    <n v="5"/>
    <n v="33035"/>
    <n v="1032033"/>
    <n v="1065068"/>
    <n v="1000001"/>
    <n v="32.240600000000001"/>
    <n v="0.96896199999999999"/>
    <n v="1.9389099999999999"/>
    <n v="3"/>
    <n v="19155312"/>
    <m/>
    <m/>
    <m/>
    <n v="109592"/>
    <m/>
    <m/>
    <n v="15598673507"/>
    <n v="0"/>
    <n v="0"/>
    <n v="15598673507"/>
    <n v="15598673507"/>
    <n v="487458547"/>
    <n v="0"/>
    <n v="0"/>
    <n v="487458547"/>
    <n v="487458547"/>
    <n v="8.2908600000000003"/>
    <n v="9.2529E-2"/>
    <n v="1066.95"/>
    <n v="331.923"/>
    <n v="1218"/>
    <n v="353"/>
    <x v="9"/>
    <x v="5"/>
  </r>
  <r>
    <s v="istree_exp5_numerical_stability_vs_time/step10259.txt"/>
    <x v="0"/>
    <n v="72"/>
    <s v="reclaimer_debra"/>
    <s v="allocator_new"/>
    <s v="pool_none"/>
    <n v="64000"/>
    <n v="0"/>
    <n v="0"/>
    <n v="0"/>
    <n v="1"/>
    <n v="2000000"/>
    <n v="190"/>
    <n v="190"/>
    <n v="190"/>
    <n v="0"/>
    <s v="insertIfAbsent"/>
    <n v="1000663998729"/>
    <n v="1000001"/>
    <n v="1000663998729"/>
    <n v="1000001"/>
    <s v="success"/>
    <n v="5"/>
    <n v="33035"/>
    <n v="1032033"/>
    <n v="1065068"/>
    <n v="1000001"/>
    <n v="32.240600000000001"/>
    <n v="0.96896199999999999"/>
    <n v="1.9389099999999999"/>
    <n v="3"/>
    <n v="19155312"/>
    <m/>
    <m/>
    <m/>
    <n v="217506"/>
    <m/>
    <m/>
    <n v="31383752311"/>
    <n v="0"/>
    <n v="0"/>
    <n v="31383752311"/>
    <n v="31383752311"/>
    <n v="490371129"/>
    <n v="0"/>
    <n v="0"/>
    <n v="490371129"/>
    <n v="490371129"/>
    <n v="8.5403500000000001"/>
    <n v="9.3821600000000005E-2"/>
    <n v="1062.7"/>
    <n v="347.26499999999999"/>
    <n v="1217"/>
    <n v="307"/>
    <x v="9"/>
    <x v="6"/>
  </r>
  <r>
    <s v="istree_exp5_numerical_stability_vs_time/step10260.txt"/>
    <x v="2"/>
    <n v="208"/>
    <s v="reclaimer_debra"/>
    <s v="allocator_new"/>
    <s v="pool_none"/>
    <n v="1000"/>
    <n v="0"/>
    <n v="0"/>
    <n v="0"/>
    <n v="1"/>
    <n v="2000000"/>
    <n v="190"/>
    <n v="190"/>
    <n v="190"/>
    <n v="0"/>
    <s v="insertIfAbsent"/>
    <n v="1000461892585"/>
    <n v="1000000"/>
    <n v="1000461892585"/>
    <n v="1000000"/>
    <s v="success"/>
    <n v="8"/>
    <n v="18543"/>
    <n v="127573"/>
    <n v="146116"/>
    <n v="1000000"/>
    <n v="7.8798500000000002"/>
    <n v="7.8386500000000003"/>
    <n v="7.8438800000000004"/>
    <n v="7"/>
    <n v="30392128"/>
    <m/>
    <m/>
    <m/>
    <n v="3294"/>
    <m/>
    <m/>
    <n v="428704613"/>
    <n v="0"/>
    <n v="0"/>
    <n v="428704613"/>
    <n v="428704613"/>
    <n v="428704613"/>
    <n v="0"/>
    <n v="0"/>
    <n v="428704613"/>
    <n v="428704613"/>
    <n v="8.6469799999999992"/>
    <n v="0.36780099999999999"/>
    <n v="1227.56"/>
    <n v="345.98500000000001"/>
    <n v="1156"/>
    <n v="318"/>
    <x v="9"/>
    <x v="0"/>
  </r>
  <r>
    <s v="istree_exp5_numerical_stability_vs_time/step10261.txt"/>
    <x v="2"/>
    <n v="208"/>
    <s v="reclaimer_debra"/>
    <s v="allocator_new"/>
    <s v="pool_none"/>
    <n v="2000"/>
    <n v="0"/>
    <n v="0"/>
    <n v="0"/>
    <n v="1"/>
    <n v="2000000"/>
    <n v="190"/>
    <n v="190"/>
    <n v="190"/>
    <n v="0"/>
    <s v="insertIfAbsent"/>
    <n v="999359443841"/>
    <n v="1000000"/>
    <n v="999359443841"/>
    <n v="1000000"/>
    <s v="success"/>
    <n v="8"/>
    <n v="18594"/>
    <n v="127524"/>
    <n v="146118"/>
    <n v="1000000"/>
    <n v="7.8583400000000001"/>
    <n v="7.8416600000000001"/>
    <n v="7.8437799999999998"/>
    <n v="7"/>
    <n v="30392544"/>
    <m/>
    <m/>
    <m/>
    <n v="6040"/>
    <m/>
    <m/>
    <n v="840489229"/>
    <n v="0"/>
    <n v="0"/>
    <n v="840489229"/>
    <n v="840489229"/>
    <n v="420244614"/>
    <n v="0"/>
    <n v="0"/>
    <n v="420244614"/>
    <n v="420244614"/>
    <n v="8.5138400000000001"/>
    <n v="0.36502000000000001"/>
    <n v="1242.3599999999999"/>
    <n v="350.05200000000002"/>
    <n v="1143"/>
    <n v="214"/>
    <x v="9"/>
    <x v="1"/>
  </r>
  <r>
    <s v="istree_exp5_numerical_stability_vs_time/step10262.txt"/>
    <x v="2"/>
    <n v="208"/>
    <s v="reclaimer_debra"/>
    <s v="allocator_new"/>
    <s v="pool_none"/>
    <n v="4000"/>
    <n v="0"/>
    <n v="0"/>
    <n v="0"/>
    <n v="1"/>
    <n v="2000000"/>
    <n v="190"/>
    <n v="190"/>
    <n v="190"/>
    <n v="0"/>
    <s v="insertIfAbsent"/>
    <n v="999899488333"/>
    <n v="1000000"/>
    <n v="999899488333"/>
    <n v="1000000"/>
    <s v="success"/>
    <n v="8"/>
    <n v="18497"/>
    <n v="127534"/>
    <n v="146031"/>
    <n v="1000000"/>
    <n v="7.8948499999999999"/>
    <n v="7.8410500000000001"/>
    <n v="7.8478599999999998"/>
    <n v="7"/>
    <n v="30374448"/>
    <m/>
    <m/>
    <m/>
    <n v="11698"/>
    <m/>
    <m/>
    <n v="1645871543"/>
    <n v="0"/>
    <n v="0"/>
    <n v="1645871543"/>
    <n v="1645871543"/>
    <n v="411467885"/>
    <n v="0"/>
    <n v="0"/>
    <n v="411467885"/>
    <n v="411467885"/>
    <n v="8.6534600000000008"/>
    <n v="0.37043900000000002"/>
    <n v="1252.03"/>
    <n v="363.44799999999998"/>
    <n v="1156"/>
    <n v="294"/>
    <x v="9"/>
    <x v="2"/>
  </r>
  <r>
    <s v="istree_exp5_numerical_stability_vs_time/step10263.txt"/>
    <x v="2"/>
    <n v="208"/>
    <s v="reclaimer_debra"/>
    <s v="allocator_new"/>
    <s v="pool_none"/>
    <n v="8000"/>
    <n v="0"/>
    <n v="0"/>
    <n v="0"/>
    <n v="1"/>
    <n v="2000000"/>
    <n v="190"/>
    <n v="190"/>
    <n v="190"/>
    <n v="0"/>
    <s v="insertIfAbsent"/>
    <n v="999936230908"/>
    <n v="1000000"/>
    <n v="999936230908"/>
    <n v="1000000"/>
    <s v="success"/>
    <n v="8"/>
    <n v="18556"/>
    <n v="127661"/>
    <n v="146217"/>
    <n v="1000000"/>
    <n v="7.8797699999999997"/>
    <n v="7.8332499999999996"/>
    <n v="7.8391500000000001"/>
    <n v="7"/>
    <n v="30413136"/>
    <m/>
    <m/>
    <m/>
    <n v="23212"/>
    <m/>
    <m/>
    <n v="3284739115"/>
    <n v="0"/>
    <n v="0"/>
    <n v="3284739115"/>
    <n v="3284739115"/>
    <n v="410592389"/>
    <n v="0"/>
    <n v="0"/>
    <n v="410592389"/>
    <n v="410592389"/>
    <n v="8.5716999999999999"/>
    <n v="0.37787300000000001"/>
    <n v="1248.6400000000001"/>
    <n v="364.83600000000001"/>
    <n v="1149"/>
    <n v="267"/>
    <x v="9"/>
    <x v="3"/>
  </r>
  <r>
    <s v="istree_exp5_numerical_stability_vs_time/step10264.txt"/>
    <x v="2"/>
    <n v="208"/>
    <s v="reclaimer_debra"/>
    <s v="allocator_new"/>
    <s v="pool_none"/>
    <n v="16000"/>
    <n v="0"/>
    <n v="0"/>
    <n v="0"/>
    <n v="1"/>
    <n v="2000000"/>
    <n v="190"/>
    <n v="190"/>
    <n v="190"/>
    <n v="0"/>
    <s v="insertIfAbsent"/>
    <n v="1000727351342"/>
    <n v="1000000"/>
    <n v="1000727351342"/>
    <n v="1000000"/>
    <s v="success"/>
    <n v="8"/>
    <n v="18603"/>
    <n v="127588"/>
    <n v="146191"/>
    <n v="1000000"/>
    <n v="7.85846"/>
    <n v="7.8377299999999996"/>
    <n v="7.8403700000000001"/>
    <n v="7"/>
    <n v="30407728"/>
    <m/>
    <m/>
    <m/>
    <s v="214 46370"/>
    <m/>
    <m/>
    <n v="6586447055"/>
    <n v="0"/>
    <n v="0"/>
    <n v="6586447055"/>
    <n v="6586447055"/>
    <n v="411652940"/>
    <n v="0"/>
    <n v="0"/>
    <n v="411652940"/>
    <n v="411652940"/>
    <n v="8.6737000000000002"/>
    <n v="0.37956800000000002"/>
    <n v="1235.53"/>
    <n v="358.334"/>
    <n v="1156"/>
    <n v="339"/>
    <x v="9"/>
    <x v="4"/>
  </r>
  <r>
    <s v="istree_exp5_numerical_stability_vs_time/step10265.txt"/>
    <x v="2"/>
    <n v="208"/>
    <s v="reclaimer_debra"/>
    <s v="allocator_new"/>
    <s v="pool_none"/>
    <n v="32000"/>
    <n v="0"/>
    <n v="0"/>
    <n v="0"/>
    <n v="1"/>
    <n v="2000000"/>
    <n v="190"/>
    <n v="190"/>
    <n v="190"/>
    <n v="0"/>
    <s v="insertIfAbsent"/>
    <n v="999797443711"/>
    <n v="1000000"/>
    <n v="999797443711"/>
    <n v="1000000"/>
    <s v="success"/>
    <n v="8"/>
    <n v="18540"/>
    <n v="127616"/>
    <n v="146156"/>
    <n v="1000000"/>
    <n v="7.8832800000000001"/>
    <n v="7.8360099999999999"/>
    <n v="7.8419999999999996"/>
    <n v="7"/>
    <n v="30400448"/>
    <m/>
    <m/>
    <m/>
    <n v="92368"/>
    <m/>
    <m/>
    <n v="13201314965"/>
    <n v="0"/>
    <n v="0"/>
    <n v="13201314965"/>
    <n v="13201314965"/>
    <n v="412541092"/>
    <n v="0"/>
    <n v="0"/>
    <n v="412541092"/>
    <n v="412541092"/>
    <n v="8.6208899999999993"/>
    <n v="0.36711300000000002"/>
    <n v="1234.3900000000001"/>
    <n v="356.76799999999997"/>
    <n v="1150"/>
    <n v="308"/>
    <x v="9"/>
    <x v="5"/>
  </r>
  <r>
    <s v="istree_exp5_numerical_stability_vs_time/step10266.txt"/>
    <x v="2"/>
    <n v="208"/>
    <s v="reclaimer_debra"/>
    <s v="allocator_new"/>
    <s v="pool_none"/>
    <n v="64000"/>
    <n v="0"/>
    <n v="0"/>
    <n v="0"/>
    <n v="1"/>
    <n v="2000000"/>
    <n v="190"/>
    <n v="190"/>
    <n v="190"/>
    <n v="0"/>
    <s v="insertIfAbsent"/>
    <n v="999874811374"/>
    <n v="1000000"/>
    <n v="999874811374"/>
    <n v="1000000"/>
    <s v="success"/>
    <n v="8"/>
    <n v="18558"/>
    <n v="127614"/>
    <n v="146172"/>
    <n v="1000000"/>
    <n v="7.8765000000000001"/>
    <n v="7.8361299999999998"/>
    <n v="7.8412600000000001"/>
    <n v="7"/>
    <n v="30403776"/>
    <m/>
    <m/>
    <m/>
    <n v="184944"/>
    <m/>
    <m/>
    <n v="26126848313"/>
    <n v="0"/>
    <n v="0"/>
    <n v="26126848313"/>
    <n v="26126848313"/>
    <n v="408232004"/>
    <n v="0"/>
    <n v="0"/>
    <n v="408232004"/>
    <n v="408232004"/>
    <n v="8.5098699999999994"/>
    <n v="0.35733999999999999"/>
    <n v="1249.5999999999999"/>
    <n v="362"/>
    <n v="1143"/>
    <n v="233"/>
    <x v="9"/>
    <x v="6"/>
  </r>
  <r>
    <s v="istree_exp5_numerical_stability_vs_time/step10267.txt"/>
    <x v="1"/>
    <m/>
    <s v="reclaimer_debra"/>
    <s v="allocator_new"/>
    <s v="pool_none"/>
    <n v="1000"/>
    <n v="0"/>
    <n v="0"/>
    <n v="0"/>
    <n v="1"/>
    <n v="2000000"/>
    <n v="190"/>
    <n v="190"/>
    <n v="190"/>
    <n v="0"/>
    <s v="insertIfAbsent"/>
    <n v="1000026536685"/>
    <n v="1000000"/>
    <n v="1000026536685"/>
    <n v="1000000"/>
    <s v="success"/>
    <n v="25"/>
    <n v="571361"/>
    <n v="428640"/>
    <n v="1000001"/>
    <n v="1000000"/>
    <n v="1.75021"/>
    <n v="2.3329599999999999"/>
    <n v="2"/>
    <n v="19.323399999999999"/>
    <n v="56000056"/>
    <m/>
    <m/>
    <m/>
    <n v="1688"/>
    <m/>
    <m/>
    <n v="231694743"/>
    <n v="0"/>
    <n v="0"/>
    <n v="231694743"/>
    <n v="231694743"/>
    <n v="231694743"/>
    <n v="0"/>
    <n v="0"/>
    <n v="231694743"/>
    <n v="231694743"/>
    <n v="15.7392"/>
    <n v="2.1056400000000002"/>
    <n v="2274.7800000000002"/>
    <n v="991.33"/>
    <n v="1167"/>
    <n v="357"/>
    <x v="9"/>
    <x v="0"/>
  </r>
  <r>
    <s v="istree_exp5_numerical_stability_vs_time/step10268.txt"/>
    <x v="1"/>
    <m/>
    <s v="reclaimer_debra"/>
    <s v="allocator_new"/>
    <s v="pool_none"/>
    <n v="2000"/>
    <n v="0"/>
    <n v="0"/>
    <n v="0"/>
    <n v="1"/>
    <n v="2000000"/>
    <n v="190"/>
    <n v="190"/>
    <n v="190"/>
    <n v="0"/>
    <s v="insertIfAbsent"/>
    <n v="999648097981"/>
    <n v="1000000"/>
    <n v="999648097981"/>
    <n v="1000000"/>
    <s v="success"/>
    <n v="25"/>
    <n v="571611"/>
    <n v="428390"/>
    <n v="1000001"/>
    <n v="1000000"/>
    <n v="1.7494400000000001"/>
    <n v="2.33432"/>
    <n v="2"/>
    <n v="19.306000000000001"/>
    <n v="56000056"/>
    <m/>
    <m/>
    <m/>
    <n v="3162"/>
    <m/>
    <m/>
    <n v="452242404"/>
    <n v="0"/>
    <n v="0"/>
    <n v="452242404"/>
    <n v="452242404"/>
    <n v="226121202"/>
    <n v="0"/>
    <n v="0"/>
    <n v="226121202"/>
    <n v="226121202"/>
    <n v="15.7279"/>
    <n v="2.1127899999999999"/>
    <n v="2313.92"/>
    <n v="996.09100000000001"/>
    <n v="1167"/>
    <n v="377"/>
    <x v="9"/>
    <x v="1"/>
  </r>
  <r>
    <s v="istree_exp5_numerical_stability_vs_time/step10269.txt"/>
    <x v="1"/>
    <m/>
    <s v="reclaimer_debra"/>
    <s v="allocator_new"/>
    <s v="pool_none"/>
    <n v="4000"/>
    <n v="0"/>
    <n v="0"/>
    <n v="0"/>
    <n v="1"/>
    <n v="2000000"/>
    <n v="190"/>
    <n v="190"/>
    <n v="190"/>
    <n v="0"/>
    <s v="insertIfAbsent"/>
    <n v="1000177478863"/>
    <n v="1000000"/>
    <n v="1000177478863"/>
    <n v="1000000"/>
    <s v="success"/>
    <n v="25"/>
    <n v="571391"/>
    <n v="428610"/>
    <n v="1000001"/>
    <n v="1000000"/>
    <n v="1.7501199999999999"/>
    <n v="2.3331200000000001"/>
    <n v="2"/>
    <n v="19.299099999999999"/>
    <n v="56000056"/>
    <m/>
    <m/>
    <m/>
    <s v="210 5962"/>
    <m/>
    <m/>
    <n v="896881205"/>
    <n v="0"/>
    <n v="0"/>
    <n v="896881205"/>
    <n v="896881205"/>
    <n v="224220301"/>
    <n v="0"/>
    <n v="0"/>
    <n v="224220301"/>
    <n v="224220301"/>
    <n v="15.6723"/>
    <n v="2.1074999999999999"/>
    <n v="2306.5"/>
    <n v="1019.87"/>
    <n v="1166"/>
    <n v="340"/>
    <x v="9"/>
    <x v="2"/>
  </r>
  <r>
    <s v="istree_exp5_numerical_stability_vs_time/step10270.txt"/>
    <x v="1"/>
    <m/>
    <s v="reclaimer_debra"/>
    <s v="allocator_new"/>
    <s v="pool_none"/>
    <n v="8000"/>
    <n v="0"/>
    <n v="0"/>
    <n v="0"/>
    <n v="1"/>
    <n v="2000000"/>
    <n v="190"/>
    <n v="190"/>
    <n v="190"/>
    <n v="0"/>
    <s v="insertIfAbsent"/>
    <n v="999772873166"/>
    <n v="1000000"/>
    <n v="999772873166"/>
    <n v="1000000"/>
    <s v="success"/>
    <n v="25"/>
    <n v="571298"/>
    <n v="428703"/>
    <n v="1000001"/>
    <n v="1000000"/>
    <n v="1.7504"/>
    <n v="2.3326199999999999"/>
    <n v="2"/>
    <n v="19.327200000000001"/>
    <n v="56000056"/>
    <m/>
    <m/>
    <m/>
    <n v="11340"/>
    <m/>
    <m/>
    <n v="1772099692"/>
    <n v="0"/>
    <n v="0"/>
    <n v="1772099692"/>
    <n v="1772099692"/>
    <n v="221512461"/>
    <n v="0"/>
    <n v="0"/>
    <n v="221512461"/>
    <n v="221512461"/>
    <n v="15.7545"/>
    <n v="2.1122999999999998"/>
    <n v="2320.35"/>
    <n v="1027.96"/>
    <n v="1167"/>
    <n v="234"/>
    <x v="9"/>
    <x v="3"/>
  </r>
  <r>
    <s v="istree_exp5_numerical_stability_vs_time/step10271.txt"/>
    <x v="1"/>
    <m/>
    <s v="reclaimer_debra"/>
    <s v="allocator_new"/>
    <s v="pool_none"/>
    <n v="16000"/>
    <n v="0"/>
    <n v="0"/>
    <n v="0"/>
    <n v="1"/>
    <n v="2000000"/>
    <n v="190"/>
    <n v="190"/>
    <n v="190"/>
    <n v="0"/>
    <s v="insertIfAbsent"/>
    <n v="999831551286"/>
    <n v="1000000"/>
    <n v="999831551286"/>
    <n v="1000000"/>
    <s v="success"/>
    <n v="25"/>
    <n v="571354"/>
    <n v="428647"/>
    <n v="1000001"/>
    <n v="1000000"/>
    <n v="1.75023"/>
    <n v="2.3329200000000001"/>
    <n v="2"/>
    <n v="19.327200000000001"/>
    <n v="56000056"/>
    <m/>
    <m/>
    <m/>
    <n v="22556"/>
    <m/>
    <m/>
    <n v="3520961743"/>
    <n v="0"/>
    <n v="0"/>
    <n v="3520961743"/>
    <n v="3520961743"/>
    <n v="220060108"/>
    <n v="0"/>
    <n v="0"/>
    <n v="220060108"/>
    <n v="220060108"/>
    <n v="15.6868"/>
    <n v="2.1081300000000001"/>
    <n v="2329.1799999999998"/>
    <n v="1034.93"/>
    <n v="1166"/>
    <n v="261"/>
    <x v="9"/>
    <x v="4"/>
  </r>
  <r>
    <s v="istree_exp5_numerical_stability_vs_time/step10272.txt"/>
    <x v="1"/>
    <m/>
    <s v="reclaimer_debra"/>
    <s v="allocator_new"/>
    <s v="pool_none"/>
    <n v="32000"/>
    <n v="0"/>
    <n v="0"/>
    <n v="0"/>
    <n v="1"/>
    <n v="2000000"/>
    <n v="190"/>
    <n v="190"/>
    <n v="190"/>
    <n v="0"/>
    <s v="insertIfAbsent"/>
    <n v="1000572078810"/>
    <n v="1000000"/>
    <n v="1000572078810"/>
    <n v="1000000"/>
    <s v="success"/>
    <n v="25"/>
    <n v="571710"/>
    <n v="428291"/>
    <n v="1000001"/>
    <n v="1000000"/>
    <n v="1.7491399999999999"/>
    <n v="2.3348599999999999"/>
    <n v="2"/>
    <n v="19.324400000000001"/>
    <n v="56000056"/>
    <m/>
    <m/>
    <m/>
    <n v="45224"/>
    <m/>
    <m/>
    <n v="7066164964"/>
    <n v="0"/>
    <n v="0"/>
    <n v="7066164964"/>
    <n v="7066164964"/>
    <n v="220817655"/>
    <n v="0"/>
    <n v="0"/>
    <n v="220817655"/>
    <n v="220817655"/>
    <n v="15.6845"/>
    <n v="2.1037599999999999"/>
    <n v="2317.3000000000002"/>
    <n v="1036.07"/>
    <n v="1167"/>
    <n v="388"/>
    <x v="9"/>
    <x v="5"/>
  </r>
  <r>
    <s v="istree_exp5_numerical_stability_vs_time/step10273.txt"/>
    <x v="1"/>
    <m/>
    <s v="reclaimer_debra"/>
    <s v="allocator_new"/>
    <s v="pool_none"/>
    <n v="64000"/>
    <n v="0"/>
    <n v="0"/>
    <n v="0"/>
    <n v="1"/>
    <n v="2000000"/>
    <n v="190"/>
    <n v="190"/>
    <n v="190"/>
    <n v="0"/>
    <s v="insertIfAbsent"/>
    <n v="1001096211043"/>
    <n v="1000000"/>
    <n v="1001096211043"/>
    <n v="1000000"/>
    <s v="success"/>
    <n v="25"/>
    <n v="571469"/>
    <n v="428532"/>
    <n v="1000001"/>
    <n v="1000000"/>
    <n v="1.7498800000000001"/>
    <n v="2.3335499999999998"/>
    <n v="2"/>
    <n v="19.3186"/>
    <n v="56000056"/>
    <m/>
    <m/>
    <m/>
    <n v="89658"/>
    <m/>
    <m/>
    <n v="14076422915"/>
    <n v="0"/>
    <n v="0"/>
    <n v="14076422915"/>
    <n v="14076422915"/>
    <n v="219944108"/>
    <n v="0"/>
    <n v="0"/>
    <n v="219944108"/>
    <n v="219944108"/>
    <n v="15.671200000000001"/>
    <n v="2.1115200000000001"/>
    <n v="2324.83"/>
    <n v="1038.29"/>
    <n v="1166"/>
    <n v="262"/>
    <x v="9"/>
    <x v="6"/>
  </r>
  <r>
    <s v="istree_exp5_numerical_stability_vs_time/step10274.txt"/>
    <x v="3"/>
    <m/>
    <s v="reclaimer_debra"/>
    <s v="allocator_new"/>
    <s v="pool_none"/>
    <n v="1000"/>
    <n v="0"/>
    <n v="0"/>
    <n v="0"/>
    <n v="1"/>
    <n v="2000000"/>
    <n v="190"/>
    <n v="190"/>
    <n v="190"/>
    <n v="0"/>
    <s v="insertIfAbsent"/>
    <n v="999401238734"/>
    <n v="1000000"/>
    <n v="999401238734"/>
    <n v="1000000"/>
    <s v="success"/>
    <n v="57"/>
    <n v="999999"/>
    <n v="1000000"/>
    <n v="1999999"/>
    <n v="1000000"/>
    <n v="2"/>
    <n v="1"/>
    <n v="1.5"/>
    <n v="26.853000000000002"/>
    <n v="63999968"/>
    <m/>
    <m/>
    <m/>
    <s v="244 1578"/>
    <m/>
    <m/>
    <n v="216574047"/>
    <n v="0"/>
    <n v="0"/>
    <n v="216574047"/>
    <n v="216574047"/>
    <n v="216574047"/>
    <n v="0"/>
    <n v="0"/>
    <n v="216574047"/>
    <n v="216574047"/>
    <n v="11.847099999999999"/>
    <n v="1.80447"/>
    <n v="2440.94"/>
    <n v="1494.8"/>
    <n v="1167"/>
    <n v="309"/>
    <x v="9"/>
    <x v="0"/>
  </r>
  <r>
    <s v="istree_exp5_numerical_stability_vs_time/step10275.txt"/>
    <x v="3"/>
    <m/>
    <s v="reclaimer_debra"/>
    <s v="allocator_new"/>
    <s v="pool_none"/>
    <n v="2000"/>
    <n v="0"/>
    <n v="0"/>
    <n v="0"/>
    <n v="1"/>
    <n v="2000000"/>
    <n v="190"/>
    <n v="190"/>
    <n v="190"/>
    <n v="0"/>
    <s v="insertIfAbsent"/>
    <n v="999220855838"/>
    <n v="1000000"/>
    <n v="999220855838"/>
    <n v="1000000"/>
    <s v="success"/>
    <n v="54"/>
    <n v="999999"/>
    <n v="1000000"/>
    <n v="1999999"/>
    <n v="1000000"/>
    <n v="2"/>
    <n v="1"/>
    <n v="1.5"/>
    <n v="28.6767"/>
    <n v="63999968"/>
    <m/>
    <m/>
    <m/>
    <n v="2872"/>
    <m/>
    <m/>
    <n v="430149253"/>
    <n v="0"/>
    <n v="0"/>
    <n v="430149253"/>
    <n v="430149253"/>
    <n v="215074626"/>
    <n v="0"/>
    <n v="0"/>
    <n v="215074626"/>
    <n v="215074626"/>
    <n v="11.9116"/>
    <n v="1.8136399999999999"/>
    <n v="2459.62"/>
    <n v="1514.67"/>
    <n v="1167"/>
    <n v="276"/>
    <x v="9"/>
    <x v="1"/>
  </r>
  <r>
    <s v="istree_exp5_numerical_stability_vs_time/step10276.txt"/>
    <x v="3"/>
    <m/>
    <s v="reclaimer_debra"/>
    <s v="allocator_new"/>
    <s v="pool_none"/>
    <n v="4000"/>
    <n v="0"/>
    <n v="0"/>
    <n v="0"/>
    <n v="1"/>
    <n v="2000000"/>
    <n v="190"/>
    <n v="190"/>
    <n v="190"/>
    <n v="0"/>
    <s v="insertIfAbsent"/>
    <n v="1000405941862"/>
    <n v="1000000"/>
    <n v="1000405941862"/>
    <n v="1000000"/>
    <s v="success"/>
    <n v="51"/>
    <n v="999999"/>
    <n v="1000000"/>
    <n v="1999999"/>
    <n v="1000000"/>
    <n v="2"/>
    <n v="1"/>
    <n v="1.5"/>
    <n v="27.1906"/>
    <n v="63999968"/>
    <m/>
    <m/>
    <m/>
    <n v="5512"/>
    <m/>
    <m/>
    <n v="860296849"/>
    <n v="0"/>
    <n v="0"/>
    <n v="860296849"/>
    <n v="860296849"/>
    <n v="215074212"/>
    <n v="0"/>
    <n v="0"/>
    <n v="215074212"/>
    <n v="215074212"/>
    <n v="11.8888"/>
    <n v="1.8130299999999999"/>
    <n v="2459.77"/>
    <n v="1510.57"/>
    <n v="1167"/>
    <n v="318"/>
    <x v="9"/>
    <x v="2"/>
  </r>
  <r>
    <s v="istree_exp5_numerical_stability_vs_time/step10277.txt"/>
    <x v="3"/>
    <m/>
    <s v="reclaimer_debra"/>
    <s v="allocator_new"/>
    <s v="pool_none"/>
    <n v="8000"/>
    <n v="0"/>
    <n v="0"/>
    <n v="0"/>
    <n v="1"/>
    <n v="2000000"/>
    <n v="190"/>
    <n v="190"/>
    <n v="190"/>
    <n v="0"/>
    <s v="insertIfAbsent"/>
    <n v="1000198646629"/>
    <n v="1000000"/>
    <n v="1000198646629"/>
    <n v="1000000"/>
    <s v="success"/>
    <n v="49"/>
    <n v="999999"/>
    <n v="1000000"/>
    <n v="1999999"/>
    <n v="1000000"/>
    <n v="2"/>
    <n v="1"/>
    <n v="1.5"/>
    <n v="26.402000000000001"/>
    <n v="63999968"/>
    <m/>
    <m/>
    <m/>
    <n v="10822"/>
    <m/>
    <m/>
    <n v="1731683766"/>
    <n v="0"/>
    <n v="0"/>
    <n v="1731683766"/>
    <n v="1731683766"/>
    <n v="216460470"/>
    <n v="0"/>
    <n v="0"/>
    <n v="216460470"/>
    <n v="216460470"/>
    <n v="11.875500000000001"/>
    <n v="1.8055399999999999"/>
    <n v="2444.36"/>
    <n v="1495.14"/>
    <n v="1166"/>
    <n v="264"/>
    <x v="9"/>
    <x v="3"/>
  </r>
  <r>
    <s v="istree_exp5_numerical_stability_vs_time/step10278.txt"/>
    <x v="3"/>
    <m/>
    <s v="reclaimer_debra"/>
    <s v="allocator_new"/>
    <s v="pool_none"/>
    <n v="16000"/>
    <n v="0"/>
    <n v="0"/>
    <n v="0"/>
    <n v="1"/>
    <n v="2000000"/>
    <n v="190"/>
    <n v="190"/>
    <n v="190"/>
    <n v="0"/>
    <s v="insertIfAbsent"/>
    <n v="1000494943132"/>
    <n v="1000000"/>
    <n v="1000494943132"/>
    <n v="1000000"/>
    <s v="success"/>
    <n v="51"/>
    <n v="999999"/>
    <n v="1000000"/>
    <n v="1999999"/>
    <n v="1000000"/>
    <n v="2"/>
    <n v="1"/>
    <n v="1.5"/>
    <n v="26.189800000000002"/>
    <n v="63999968"/>
    <m/>
    <m/>
    <m/>
    <s v="244 21654"/>
    <m/>
    <m/>
    <n v="3494503243"/>
    <n v="0"/>
    <n v="0"/>
    <n v="3494503243"/>
    <n v="3494503243"/>
    <n v="218406452"/>
    <n v="0"/>
    <n v="0"/>
    <n v="218406452"/>
    <n v="218406452"/>
    <n v="11.8621"/>
    <n v="1.79817"/>
    <n v="2422.61"/>
    <n v="1480.1"/>
    <n v="1167"/>
    <n v="308"/>
    <x v="9"/>
    <x v="4"/>
  </r>
  <r>
    <s v="istree_exp5_numerical_stability_vs_time/step10279.txt"/>
    <x v="3"/>
    <m/>
    <s v="reclaimer_debra"/>
    <s v="allocator_new"/>
    <s v="pool_none"/>
    <n v="32000"/>
    <n v="0"/>
    <n v="0"/>
    <n v="0"/>
    <n v="1"/>
    <n v="2000000"/>
    <n v="190"/>
    <n v="190"/>
    <n v="190"/>
    <n v="0"/>
    <s v="insertIfAbsent"/>
    <n v="1000158074789"/>
    <n v="1000000"/>
    <n v="1000158074789"/>
    <n v="1000000"/>
    <s v="success"/>
    <n v="51"/>
    <n v="999999"/>
    <n v="1000000"/>
    <n v="1999999"/>
    <n v="1000000"/>
    <n v="2"/>
    <n v="1"/>
    <n v="1.5"/>
    <n v="26.994800000000001"/>
    <n v="63999968"/>
    <m/>
    <m/>
    <m/>
    <n v="42516"/>
    <m/>
    <m/>
    <n v="6885539731"/>
    <n v="0"/>
    <n v="0"/>
    <n v="6885539731"/>
    <n v="6885539731"/>
    <n v="215173116"/>
    <n v="0"/>
    <n v="0"/>
    <n v="215173116"/>
    <n v="215173116"/>
    <n v="11.8947"/>
    <n v="1.81576"/>
    <n v="2459.29"/>
    <n v="1508.99"/>
    <n v="1166"/>
    <n v="235"/>
    <x v="9"/>
    <x v="5"/>
  </r>
  <r>
    <s v="istree_exp5_numerical_stability_vs_time/step10280.txt"/>
    <x v="3"/>
    <m/>
    <s v="reclaimer_debra"/>
    <s v="allocator_new"/>
    <s v="pool_none"/>
    <n v="64000"/>
    <n v="0"/>
    <n v="0"/>
    <n v="0"/>
    <n v="1"/>
    <n v="2000000"/>
    <n v="190"/>
    <n v="190"/>
    <n v="190"/>
    <n v="0"/>
    <s v="insertIfAbsent"/>
    <n v="1000424786282"/>
    <n v="1000000"/>
    <n v="1000424786282"/>
    <n v="1000000"/>
    <s v="success"/>
    <n v="48"/>
    <n v="999999"/>
    <n v="1000000"/>
    <n v="1999999"/>
    <n v="1000000"/>
    <n v="2"/>
    <n v="1"/>
    <n v="1.5"/>
    <n v="26.145299999999999"/>
    <n v="63999968"/>
    <m/>
    <m/>
    <m/>
    <n v="85092"/>
    <m/>
    <m/>
    <n v="13825369195"/>
    <n v="0"/>
    <n v="0"/>
    <n v="13825369195"/>
    <n v="13825369195"/>
    <n v="216021393"/>
    <n v="0"/>
    <n v="0"/>
    <n v="216021393"/>
    <n v="216021393"/>
    <n v="11.811"/>
    <n v="1.8104"/>
    <n v="2449.21"/>
    <n v="1501.81"/>
    <n v="1167"/>
    <n v="281"/>
    <x v="9"/>
    <x v="6"/>
  </r>
  <r>
    <s v="istree_exp5_numerical_stability_vs_time/step10281.txt"/>
    <x v="0"/>
    <n v="72"/>
    <s v="reclaimer_debra"/>
    <s v="allocator_new"/>
    <s v="pool_none"/>
    <n v="1000"/>
    <n v="0"/>
    <n v="0"/>
    <n v="0"/>
    <n v="1"/>
    <n v="20000000"/>
    <n v="190"/>
    <n v="190"/>
    <n v="190"/>
    <n v="0"/>
    <s v="insertIfAbsent"/>
    <n v="99992339527669"/>
    <n v="10000001"/>
    <n v="99992339527669"/>
    <n v="10000001"/>
    <s v="success"/>
    <n v="6"/>
    <n v="1625784"/>
    <n v="11442329"/>
    <n v="13068113"/>
    <n v="10000001"/>
    <n v="8.0380400000000005"/>
    <n v="0.87394799999999995"/>
    <n v="1.76522"/>
    <n v="4"/>
    <n v="313139968"/>
    <m/>
    <m/>
    <m/>
    <n v="1796"/>
    <m/>
    <m/>
    <n v="286176895"/>
    <n v="0"/>
    <n v="0"/>
    <n v="286176895"/>
    <n v="286176895"/>
    <n v="286176895"/>
    <n v="0"/>
    <n v="0"/>
    <n v="286176895"/>
    <n v="286176895"/>
    <n v="15.448"/>
    <n v="6.2014500000000004"/>
    <n v="1846.64"/>
    <n v="1081.67"/>
    <n v="1848"/>
    <n v="410"/>
    <x v="10"/>
    <x v="0"/>
  </r>
  <r>
    <s v="istree_exp5_numerical_stability_vs_time/step10282.txt"/>
    <x v="0"/>
    <n v="72"/>
    <s v="reclaimer_debra"/>
    <s v="allocator_new"/>
    <s v="pool_none"/>
    <n v="2000"/>
    <n v="0"/>
    <n v="0"/>
    <n v="0"/>
    <n v="1"/>
    <n v="20000000"/>
    <n v="190"/>
    <n v="190"/>
    <n v="190"/>
    <n v="0"/>
    <s v="insertIfAbsent"/>
    <n v="100034919848861"/>
    <n v="10000001"/>
    <n v="100034919848861"/>
    <n v="10000001"/>
    <s v="success"/>
    <n v="6"/>
    <n v="1625784"/>
    <n v="11442329"/>
    <n v="13068113"/>
    <n v="10000001"/>
    <n v="8.0380400000000005"/>
    <n v="0.87394799999999995"/>
    <n v="1.76522"/>
    <n v="4"/>
    <n v="313139968"/>
    <m/>
    <m/>
    <m/>
    <n v="3484"/>
    <m/>
    <m/>
    <n v="573686854"/>
    <n v="0"/>
    <n v="0"/>
    <n v="573686854"/>
    <n v="573686854"/>
    <n v="286843427"/>
    <n v="0"/>
    <n v="0"/>
    <n v="286843427"/>
    <n v="286843427"/>
    <n v="15.4764"/>
    <n v="6.2169600000000003"/>
    <n v="1839.8"/>
    <n v="1080.17"/>
    <n v="1845"/>
    <n v="451"/>
    <x v="10"/>
    <x v="1"/>
  </r>
  <r>
    <s v="istree_exp5_numerical_stability_vs_time/step10283.txt"/>
    <x v="0"/>
    <n v="72"/>
    <s v="reclaimer_debra"/>
    <s v="allocator_new"/>
    <s v="pool_none"/>
    <n v="4000"/>
    <n v="0"/>
    <n v="0"/>
    <n v="0"/>
    <n v="1"/>
    <n v="20000000"/>
    <n v="190"/>
    <n v="190"/>
    <n v="190"/>
    <n v="0"/>
    <s v="insertIfAbsent"/>
    <n v="99996387027661"/>
    <n v="10000001"/>
    <n v="99996387027661"/>
    <n v="10000001"/>
    <s v="success"/>
    <n v="6"/>
    <n v="1625784"/>
    <n v="11442329"/>
    <n v="13068113"/>
    <n v="10000001"/>
    <n v="8.0380400000000005"/>
    <n v="0.87394799999999995"/>
    <n v="1.76522"/>
    <n v="4"/>
    <n v="313139968"/>
    <m/>
    <m/>
    <m/>
    <n v="7174"/>
    <m/>
    <m/>
    <n v="1128601003"/>
    <n v="0"/>
    <n v="0"/>
    <n v="1128601003"/>
    <n v="1128601003"/>
    <n v="282150250"/>
    <n v="0"/>
    <n v="0"/>
    <n v="282150250"/>
    <n v="282150250"/>
    <n v="15.4718"/>
    <n v="6.2366999999999999"/>
    <n v="1868.33"/>
    <n v="1098.33"/>
    <n v="1849"/>
    <n v="388"/>
    <x v="10"/>
    <x v="2"/>
  </r>
  <r>
    <s v="istree_exp5_numerical_stability_vs_time/step10284.txt"/>
    <x v="0"/>
    <n v="72"/>
    <s v="reclaimer_debra"/>
    <s v="allocator_new"/>
    <s v="pool_none"/>
    <n v="8000"/>
    <n v="0"/>
    <n v="0"/>
    <n v="0"/>
    <n v="1"/>
    <n v="20000000"/>
    <n v="190"/>
    <n v="190"/>
    <n v="190"/>
    <n v="0"/>
    <s v="insertIfAbsent"/>
    <n v="100001185386707"/>
    <n v="10000001"/>
    <n v="100001185386707"/>
    <n v="10000001"/>
    <s v="success"/>
    <n v="6"/>
    <n v="1625784"/>
    <n v="11442329"/>
    <n v="13068113"/>
    <n v="10000001"/>
    <n v="8.0380400000000005"/>
    <n v="0.87394799999999995"/>
    <n v="1.76522"/>
    <n v="4"/>
    <n v="313139968"/>
    <m/>
    <m/>
    <m/>
    <n v="14424"/>
    <m/>
    <m/>
    <n v="2255256894"/>
    <n v="0"/>
    <n v="0"/>
    <n v="2255256894"/>
    <n v="2255256894"/>
    <n v="281907111"/>
    <n v="0"/>
    <n v="0"/>
    <n v="281907111"/>
    <n v="281907111"/>
    <n v="15.454800000000001"/>
    <n v="6.24498"/>
    <n v="1868.15"/>
    <n v="1102.2"/>
    <n v="1850"/>
    <n v="366"/>
    <x v="10"/>
    <x v="3"/>
  </r>
  <r>
    <s v="istree_exp5_numerical_stability_vs_time/step10285.txt"/>
    <x v="0"/>
    <n v="72"/>
    <s v="reclaimer_debra"/>
    <s v="allocator_new"/>
    <s v="pool_none"/>
    <n v="16000"/>
    <n v="0"/>
    <n v="0"/>
    <n v="0"/>
    <n v="1"/>
    <n v="20000000"/>
    <n v="190"/>
    <n v="190"/>
    <n v="190"/>
    <n v="0"/>
    <s v="insertIfAbsent"/>
    <n v="100004888438517"/>
    <n v="10000001"/>
    <n v="100004888438517"/>
    <n v="10000001"/>
    <s v="success"/>
    <n v="6"/>
    <n v="1625784"/>
    <n v="11442329"/>
    <n v="13068113"/>
    <n v="10000001"/>
    <n v="8.0380400000000005"/>
    <n v="0.87394799999999995"/>
    <n v="1.76522"/>
    <n v="4"/>
    <n v="313139968"/>
    <m/>
    <m/>
    <m/>
    <n v="28610"/>
    <m/>
    <m/>
    <n v="4472251072"/>
    <n v="0"/>
    <n v="0"/>
    <n v="4472251072"/>
    <n v="4472251072"/>
    <n v="279515692"/>
    <n v="0"/>
    <n v="0"/>
    <n v="279515692"/>
    <n v="279515692"/>
    <n v="15.4459"/>
    <n v="6.2528300000000003"/>
    <n v="1883.71"/>
    <n v="1110.26"/>
    <n v="1850"/>
    <n v="355"/>
    <x v="10"/>
    <x v="4"/>
  </r>
  <r>
    <s v="istree_exp5_numerical_stability_vs_time/step10286.txt"/>
    <x v="0"/>
    <n v="72"/>
    <s v="reclaimer_debra"/>
    <s v="allocator_new"/>
    <s v="pool_none"/>
    <n v="32000"/>
    <n v="0"/>
    <n v="0"/>
    <n v="0"/>
    <n v="1"/>
    <n v="20000000"/>
    <n v="190"/>
    <n v="190"/>
    <n v="190"/>
    <n v="0"/>
    <s v="insertIfAbsent"/>
    <n v="99983133528047"/>
    <n v="10000001"/>
    <n v="99983133528047"/>
    <n v="10000001"/>
    <s v="success"/>
    <n v="6"/>
    <n v="1625784"/>
    <n v="11442329"/>
    <n v="13068113"/>
    <n v="10000001"/>
    <n v="8.0380400000000005"/>
    <n v="0.87394799999999995"/>
    <n v="1.76522"/>
    <n v="4"/>
    <n v="313139968"/>
    <m/>
    <m/>
    <m/>
    <n v="57538"/>
    <m/>
    <m/>
    <n v="8910188333"/>
    <n v="0"/>
    <n v="0"/>
    <n v="8910188333"/>
    <n v="8910188333"/>
    <n v="278443385"/>
    <n v="0"/>
    <n v="0"/>
    <n v="278443385"/>
    <n v="278443385"/>
    <n v="15.389200000000001"/>
    <n v="6.2462099999999996"/>
    <n v="1890.02"/>
    <n v="1112.58"/>
    <n v="1850"/>
    <n v="385"/>
    <x v="10"/>
    <x v="5"/>
  </r>
  <r>
    <s v="istree_exp5_numerical_stability_vs_time/step10287.txt"/>
    <x v="0"/>
    <n v="72"/>
    <s v="reclaimer_debra"/>
    <s v="allocator_new"/>
    <s v="pool_none"/>
    <n v="64000"/>
    <n v="0"/>
    <n v="0"/>
    <n v="0"/>
    <n v="1"/>
    <n v="20000000"/>
    <n v="190"/>
    <n v="190"/>
    <n v="190"/>
    <n v="0"/>
    <s v="insertIfAbsent"/>
    <n v="99978907314392"/>
    <n v="10000001"/>
    <n v="99978907314392"/>
    <n v="10000001"/>
    <s v="success"/>
    <n v="6"/>
    <n v="1625784"/>
    <n v="11442329"/>
    <n v="13068113"/>
    <n v="10000001"/>
    <n v="8.0380400000000005"/>
    <n v="0.87394799999999995"/>
    <n v="1.76522"/>
    <n v="4"/>
    <n v="313139968"/>
    <m/>
    <m/>
    <m/>
    <n v="115232"/>
    <m/>
    <m/>
    <n v="17783628603"/>
    <n v="0"/>
    <n v="0"/>
    <n v="17783628603"/>
    <n v="17783628603"/>
    <n v="277869196"/>
    <n v="0"/>
    <n v="0"/>
    <n v="277869196"/>
    <n v="277869196"/>
    <n v="15.4057"/>
    <n v="6.2486199999999998"/>
    <n v="1893.94"/>
    <n v="1117.6199999999999"/>
    <n v="1849"/>
    <n v="374"/>
    <x v="10"/>
    <x v="6"/>
  </r>
  <r>
    <s v="istree_exp5_numerical_stability_vs_time/step10288.txt"/>
    <x v="2"/>
    <n v="208"/>
    <s v="reclaimer_debra"/>
    <s v="allocator_new"/>
    <s v="pool_none"/>
    <n v="1000"/>
    <n v="0"/>
    <n v="0"/>
    <n v="0"/>
    <n v="1"/>
    <n v="20000000"/>
    <n v="190"/>
    <n v="190"/>
    <n v="190"/>
    <n v="0"/>
    <s v="insertIfAbsent"/>
    <n v="100009321191790"/>
    <n v="10000000"/>
    <n v="100009321191790"/>
    <n v="10000000"/>
    <s v="success"/>
    <n v="9"/>
    <n v="185279"/>
    <n v="1275719"/>
    <n v="1460998"/>
    <n v="10000000"/>
    <n v="7.8853900000000001"/>
    <n v="7.8387200000000004"/>
    <n v="7.8446400000000001"/>
    <n v="8"/>
    <n v="303887584"/>
    <m/>
    <m/>
    <m/>
    <s v="606 2104"/>
    <m/>
    <m/>
    <n v="244127232"/>
    <n v="0"/>
    <n v="0"/>
    <n v="244127232"/>
    <n v="244127232"/>
    <n v="244127232"/>
    <n v="0"/>
    <n v="0"/>
    <n v="244127232"/>
    <n v="244127232"/>
    <n v="16.512899999999998"/>
    <n v="5.51518"/>
    <n v="2130.34"/>
    <n v="1210.44"/>
    <n v="1607"/>
    <n v="930"/>
    <x v="10"/>
    <x v="0"/>
  </r>
  <r>
    <s v="istree_exp5_numerical_stability_vs_time/step10289.txt"/>
    <x v="2"/>
    <n v="208"/>
    <s v="reclaimer_debra"/>
    <s v="allocator_new"/>
    <s v="pool_none"/>
    <n v="2000"/>
    <n v="0"/>
    <n v="0"/>
    <n v="0"/>
    <n v="1"/>
    <n v="20000000"/>
    <n v="190"/>
    <n v="190"/>
    <n v="190"/>
    <n v="0"/>
    <s v="insertIfAbsent"/>
    <n v="100007748822158"/>
    <n v="10000000"/>
    <n v="100007748822158"/>
    <n v="10000000"/>
    <s v="success"/>
    <n v="9"/>
    <n v="185396"/>
    <n v="1275956"/>
    <n v="1461352"/>
    <n v="10000000"/>
    <n v="7.8823299999999996"/>
    <n v="7.8372599999999997"/>
    <n v="7.8429799999999998"/>
    <n v="8"/>
    <n v="303961216"/>
    <m/>
    <m/>
    <m/>
    <s v="590 3648"/>
    <m/>
    <m/>
    <n v="492811651"/>
    <n v="0"/>
    <n v="0"/>
    <n v="492811651"/>
    <n v="492811651"/>
    <n v="246405825"/>
    <n v="0"/>
    <n v="0"/>
    <n v="246405825"/>
    <n v="246405825"/>
    <n v="16.526299999999999"/>
    <n v="5.5408799999999996"/>
    <n v="2125.94"/>
    <n v="1212.06"/>
    <n v="1595"/>
    <n v="919"/>
    <x v="10"/>
    <x v="1"/>
  </r>
  <r>
    <s v="istree_exp5_numerical_stability_vs_time/step10290.txt"/>
    <x v="2"/>
    <n v="208"/>
    <s v="reclaimer_debra"/>
    <s v="allocator_new"/>
    <s v="pool_none"/>
    <n v="4000"/>
    <n v="0"/>
    <n v="0"/>
    <n v="0"/>
    <n v="1"/>
    <n v="20000000"/>
    <n v="190"/>
    <n v="190"/>
    <n v="190"/>
    <n v="0"/>
    <s v="insertIfAbsent"/>
    <n v="99972333692746"/>
    <n v="10000000"/>
    <n v="99972333692746"/>
    <n v="10000000"/>
    <s v="success"/>
    <n v="9"/>
    <n v="185429"/>
    <n v="1275893"/>
    <n v="1461322"/>
    <n v="10000000"/>
    <n v="7.8807600000000004"/>
    <n v="7.83765"/>
    <n v="7.8431199999999999"/>
    <n v="8"/>
    <n v="303954976"/>
    <m/>
    <m/>
    <m/>
    <s v="534 6530"/>
    <m/>
    <m/>
    <n v="970319258"/>
    <n v="0"/>
    <n v="0"/>
    <n v="970319258"/>
    <n v="970319258"/>
    <n v="242579814"/>
    <n v="0"/>
    <n v="0"/>
    <n v="242579814"/>
    <n v="242579814"/>
    <n v="16.5349"/>
    <n v="5.5501500000000004"/>
    <n v="2161.34"/>
    <n v="1242.7"/>
    <n v="1590"/>
    <n v="877"/>
    <x v="10"/>
    <x v="2"/>
  </r>
  <r>
    <s v="istree_exp5_numerical_stability_vs_time/step10291.txt"/>
    <x v="2"/>
    <n v="208"/>
    <s v="reclaimer_debra"/>
    <s v="allocator_new"/>
    <s v="pool_none"/>
    <n v="8000"/>
    <n v="0"/>
    <n v="0"/>
    <n v="0"/>
    <n v="1"/>
    <n v="20000000"/>
    <n v="190"/>
    <n v="190"/>
    <n v="190"/>
    <n v="0"/>
    <s v="insertIfAbsent"/>
    <n v="99989563227204"/>
    <n v="10000000"/>
    <n v="99989563227204"/>
    <n v="10000000"/>
    <s v="success"/>
    <n v="9"/>
    <n v="185291"/>
    <n v="1275647"/>
    <n v="1460938"/>
    <n v="10000000"/>
    <n v="7.8845599999999996"/>
    <n v="7.8391599999999997"/>
    <n v="7.8449200000000001"/>
    <n v="8"/>
    <n v="303875104"/>
    <m/>
    <m/>
    <m/>
    <n v="12466"/>
    <m/>
    <m/>
    <n v="1943307959"/>
    <n v="0"/>
    <n v="0"/>
    <n v="1943307959"/>
    <n v="1943307959"/>
    <n v="242913494"/>
    <n v="0"/>
    <n v="0"/>
    <n v="242913494"/>
    <n v="242913494"/>
    <n v="16.568300000000001"/>
    <n v="5.5668699999999998"/>
    <n v="2160.91"/>
    <n v="1247.44"/>
    <n v="1581"/>
    <n v="893"/>
    <x v="10"/>
    <x v="3"/>
  </r>
  <r>
    <s v="istree_exp5_numerical_stability_vs_time/step10292.txt"/>
    <x v="2"/>
    <n v="208"/>
    <s v="reclaimer_debra"/>
    <s v="allocator_new"/>
    <s v="pool_none"/>
    <n v="16000"/>
    <n v="0"/>
    <n v="0"/>
    <n v="0"/>
    <n v="1"/>
    <n v="20000000"/>
    <n v="190"/>
    <n v="190"/>
    <n v="190"/>
    <n v="0"/>
    <s v="insertIfAbsent"/>
    <n v="100005772832365"/>
    <n v="10000000"/>
    <n v="100005772832365"/>
    <n v="10000000"/>
    <s v="success"/>
    <n v="9"/>
    <n v="185001"/>
    <n v="1275570"/>
    <n v="1460571"/>
    <n v="10000000"/>
    <n v="7.8949400000000001"/>
    <n v="7.8396299999999997"/>
    <n v="7.8466399999999998"/>
    <n v="8"/>
    <n v="303798768"/>
    <m/>
    <m/>
    <m/>
    <s v="518 24268"/>
    <m/>
    <m/>
    <n v="3893527508"/>
    <n v="0"/>
    <n v="0"/>
    <n v="3893527508"/>
    <n v="3893527508"/>
    <n v="243345469"/>
    <n v="0"/>
    <n v="0"/>
    <n v="243345469"/>
    <n v="243345469"/>
    <n v="16.504100000000001"/>
    <n v="5.56053"/>
    <n v="2156.5500000000002"/>
    <n v="1248.81"/>
    <n v="1562"/>
    <n v="861"/>
    <x v="10"/>
    <x v="4"/>
  </r>
  <r>
    <s v="istree_exp5_numerical_stability_vs_time/step10293.txt"/>
    <x v="2"/>
    <n v="208"/>
    <s v="reclaimer_debra"/>
    <s v="allocator_new"/>
    <s v="pool_none"/>
    <n v="32000"/>
    <n v="0"/>
    <n v="0"/>
    <n v="0"/>
    <n v="1"/>
    <n v="20000000"/>
    <n v="190"/>
    <n v="190"/>
    <n v="190"/>
    <n v="0"/>
    <s v="insertIfAbsent"/>
    <n v="100020144338452"/>
    <n v="10000000"/>
    <n v="100020144338452"/>
    <n v="10000000"/>
    <s v="success"/>
    <n v="9"/>
    <n v="185464"/>
    <n v="1275768"/>
    <n v="1461232"/>
    <n v="10000000"/>
    <n v="7.8787900000000004"/>
    <n v="7.8384200000000002"/>
    <n v="7.84354"/>
    <n v="8"/>
    <n v="303936256"/>
    <m/>
    <m/>
    <m/>
    <s v="572 47886"/>
    <m/>
    <m/>
    <n v="7767194362"/>
    <n v="0"/>
    <n v="0"/>
    <n v="7767194362"/>
    <n v="7767194362"/>
    <n v="242724823"/>
    <n v="0"/>
    <n v="0"/>
    <n v="242724823"/>
    <n v="242724823"/>
    <n v="16.553699999999999"/>
    <n v="5.5670000000000002"/>
    <n v="2164.66"/>
    <n v="1257.55"/>
    <n v="1602"/>
    <n v="904"/>
    <x v="10"/>
    <x v="5"/>
  </r>
  <r>
    <s v="istree_exp5_numerical_stability_vs_time/step10294.txt"/>
    <x v="2"/>
    <n v="208"/>
    <s v="reclaimer_debra"/>
    <s v="allocator_new"/>
    <s v="pool_none"/>
    <n v="64000"/>
    <n v="0"/>
    <n v="0"/>
    <n v="0"/>
    <n v="1"/>
    <n v="20000000"/>
    <n v="190"/>
    <n v="190"/>
    <n v="190"/>
    <n v="0"/>
    <s v="insertIfAbsent"/>
    <n v="99988815496026"/>
    <n v="10000000"/>
    <n v="99988815496026"/>
    <n v="10000000"/>
    <s v="success"/>
    <n v="9"/>
    <n v="185299"/>
    <n v="1275575"/>
    <n v="1460874"/>
    <n v="10000000"/>
    <n v="7.8838699999999999"/>
    <n v="7.8395999999999999"/>
    <n v="7.8452200000000003"/>
    <n v="8"/>
    <n v="303861792"/>
    <m/>
    <m/>
    <m/>
    <n v="95398"/>
    <m/>
    <m/>
    <n v="15463272951"/>
    <n v="0"/>
    <n v="0"/>
    <n v="15463272951"/>
    <n v="15463272951"/>
    <n v="241613639"/>
    <n v="0"/>
    <n v="0"/>
    <n v="241613639"/>
    <n v="241613639"/>
    <n v="16.541499999999999"/>
    <n v="5.5791599999999999"/>
    <n v="2173.06"/>
    <n v="1262.45"/>
    <n v="1602"/>
    <n v="901"/>
    <x v="10"/>
    <x v="6"/>
  </r>
  <r>
    <s v="istree_exp5_numerical_stability_vs_time/step10295.txt"/>
    <x v="1"/>
    <m/>
    <s v="reclaimer_debra"/>
    <s v="allocator_new"/>
    <s v="pool_none"/>
    <n v="1000"/>
    <n v="0"/>
    <n v="0"/>
    <n v="0"/>
    <n v="1"/>
    <n v="20000000"/>
    <n v="190"/>
    <n v="190"/>
    <n v="190"/>
    <n v="0"/>
    <s v="insertIfAbsent"/>
    <n v="99996944822052"/>
    <n v="10000000"/>
    <n v="99996944822052"/>
    <n v="10000000"/>
    <s v="success"/>
    <n v="29"/>
    <n v="5714457"/>
    <n v="4285544"/>
    <n v="10000001"/>
    <n v="10000000"/>
    <n v="1.7499499999999999"/>
    <n v="2.3334299999999999"/>
    <n v="2"/>
    <n v="22.694800000000001"/>
    <n v="560000056"/>
    <m/>
    <m/>
    <m/>
    <s v="150 844"/>
    <m/>
    <m/>
    <n v="113916421"/>
    <n v="0"/>
    <n v="0"/>
    <n v="113916421"/>
    <n v="113916421"/>
    <n v="113916421"/>
    <n v="0"/>
    <n v="0"/>
    <n v="113916421"/>
    <n v="113916421"/>
    <n v="28.542300000000001"/>
    <n v="10.4176"/>
    <n v="4628.76"/>
    <n v="3210.78"/>
    <n v="1754"/>
    <n v="443"/>
    <x v="10"/>
    <x v="0"/>
  </r>
  <r>
    <s v="istree_exp5_numerical_stability_vs_time/step10296.txt"/>
    <x v="1"/>
    <m/>
    <s v="reclaimer_debra"/>
    <s v="allocator_new"/>
    <s v="pool_none"/>
    <n v="2000"/>
    <n v="0"/>
    <n v="0"/>
    <n v="0"/>
    <n v="1"/>
    <n v="20000000"/>
    <n v="190"/>
    <n v="190"/>
    <n v="190"/>
    <n v="0"/>
    <s v="insertIfAbsent"/>
    <n v="99998474530447"/>
    <n v="10000000"/>
    <n v="99998474530447"/>
    <n v="10000000"/>
    <s v="success"/>
    <n v="29"/>
    <n v="5714424"/>
    <n v="4285577"/>
    <n v="10000001"/>
    <n v="10000000"/>
    <n v="1.74996"/>
    <n v="2.3334100000000002"/>
    <n v="2"/>
    <n v="22.714400000000001"/>
    <n v="560000056"/>
    <m/>
    <m/>
    <m/>
    <s v="168 1534"/>
    <m/>
    <m/>
    <n v="230186181"/>
    <n v="0"/>
    <n v="0"/>
    <n v="230186181"/>
    <n v="230186181"/>
    <n v="115093090"/>
    <n v="0"/>
    <n v="0"/>
    <n v="115093090"/>
    <n v="115093090"/>
    <n v="28.396100000000001"/>
    <n v="10.528"/>
    <n v="4590.38"/>
    <n v="3167.49"/>
    <n v="1753"/>
    <n v="439"/>
    <x v="10"/>
    <x v="1"/>
  </r>
  <r>
    <s v="istree_exp5_numerical_stability_vs_time/step10297.txt"/>
    <x v="1"/>
    <m/>
    <s v="reclaimer_debra"/>
    <s v="allocator_new"/>
    <s v="pool_none"/>
    <n v="4000"/>
    <n v="0"/>
    <n v="0"/>
    <n v="0"/>
    <n v="1"/>
    <n v="20000000"/>
    <n v="190"/>
    <n v="190"/>
    <n v="190"/>
    <n v="0"/>
    <s v="insertIfAbsent"/>
    <n v="100012185180112"/>
    <n v="10000000"/>
    <n v="100012185180112"/>
    <n v="10000000"/>
    <s v="success"/>
    <n v="29"/>
    <n v="5714399"/>
    <n v="4285602"/>
    <n v="10000001"/>
    <n v="10000000"/>
    <n v="1.74997"/>
    <n v="2.3333900000000001"/>
    <n v="2"/>
    <n v="22.701699999999999"/>
    <n v="560000056"/>
    <m/>
    <m/>
    <m/>
    <s v="168 2916"/>
    <m/>
    <m/>
    <n v="467280870"/>
    <n v="0"/>
    <n v="0"/>
    <n v="467280870"/>
    <n v="467280870"/>
    <n v="116820217"/>
    <n v="0"/>
    <n v="0"/>
    <n v="116820217"/>
    <n v="116820217"/>
    <n v="28.449000000000002"/>
    <n v="10.616"/>
    <n v="4520.3900000000003"/>
    <n v="3158.67"/>
    <n v="1754"/>
    <n v="443"/>
    <x v="10"/>
    <x v="2"/>
  </r>
  <r>
    <s v="istree_exp5_numerical_stability_vs_time/step10298.txt"/>
    <x v="1"/>
    <m/>
    <s v="reclaimer_debra"/>
    <s v="allocator_new"/>
    <s v="pool_none"/>
    <n v="8000"/>
    <n v="0"/>
    <n v="0"/>
    <n v="0"/>
    <n v="1"/>
    <n v="20000000"/>
    <n v="190"/>
    <n v="190"/>
    <n v="190"/>
    <n v="0"/>
    <s v="insertIfAbsent"/>
    <n v="99990191826086"/>
    <n v="10000000"/>
    <n v="99990191826086"/>
    <n v="10000000"/>
    <s v="success"/>
    <n v="29"/>
    <n v="5714479"/>
    <n v="4285522"/>
    <n v="10000001"/>
    <n v="10000000"/>
    <n v="1.7499400000000001"/>
    <n v="2.33344"/>
    <n v="2"/>
    <n v="22.710599999999999"/>
    <n v="560000056"/>
    <m/>
    <m/>
    <m/>
    <s v="166 5658"/>
    <m/>
    <m/>
    <n v="932259836"/>
    <n v="0"/>
    <n v="0"/>
    <n v="932259836"/>
    <n v="932259836"/>
    <n v="116532479"/>
    <n v="0"/>
    <n v="0"/>
    <n v="116532479"/>
    <n v="116532479"/>
    <n v="28.4436"/>
    <n v="10.6785"/>
    <n v="4526.32"/>
    <n v="3163.37"/>
    <n v="1755"/>
    <n v="445"/>
    <x v="10"/>
    <x v="3"/>
  </r>
  <r>
    <s v="istree_exp5_numerical_stability_vs_time/step10299.txt"/>
    <x v="1"/>
    <m/>
    <s v="reclaimer_debra"/>
    <s v="allocator_new"/>
    <s v="pool_none"/>
    <n v="16000"/>
    <n v="0"/>
    <n v="0"/>
    <n v="0"/>
    <n v="1"/>
    <n v="20000000"/>
    <n v="190"/>
    <n v="190"/>
    <n v="190"/>
    <n v="0"/>
    <s v="insertIfAbsent"/>
    <n v="100009010819342"/>
    <n v="10000000"/>
    <n v="100009010819342"/>
    <n v="10000000"/>
    <s v="success"/>
    <n v="29"/>
    <n v="5714071"/>
    <n v="4285930"/>
    <n v="10000001"/>
    <n v="10000000"/>
    <n v="1.75007"/>
    <n v="2.3332199999999998"/>
    <n v="2"/>
    <n v="22.762499999999999"/>
    <n v="560000056"/>
    <m/>
    <m/>
    <m/>
    <s v="148 11218"/>
    <m/>
    <m/>
    <n v="1872854496"/>
    <n v="0"/>
    <n v="0"/>
    <n v="1872854496"/>
    <n v="1872854496"/>
    <n v="117053406"/>
    <n v="0"/>
    <n v="0"/>
    <n v="117053406"/>
    <n v="117053406"/>
    <n v="28.613700000000001"/>
    <n v="10.721299999999999"/>
    <n v="4506.33"/>
    <n v="3151.56"/>
    <n v="1755"/>
    <n v="455"/>
    <x v="10"/>
    <x v="4"/>
  </r>
  <r>
    <s v="istree_exp5_numerical_stability_vs_time/step10300.txt"/>
    <x v="1"/>
    <m/>
    <s v="reclaimer_debra"/>
    <s v="allocator_new"/>
    <s v="pool_none"/>
    <n v="32000"/>
    <n v="0"/>
    <n v="0"/>
    <n v="0"/>
    <n v="1"/>
    <n v="20000000"/>
    <n v="190"/>
    <n v="190"/>
    <n v="190"/>
    <n v="0"/>
    <s v="insertIfAbsent"/>
    <n v="99979016337639"/>
    <n v="10000000"/>
    <n v="99979016337639"/>
    <n v="10000000"/>
    <s v="success"/>
    <n v="29"/>
    <n v="5713709"/>
    <n v="4286292"/>
    <n v="10000001"/>
    <n v="10000000"/>
    <n v="1.7501800000000001"/>
    <n v="2.3330199999999999"/>
    <n v="2"/>
    <n v="22.6831"/>
    <n v="560000056"/>
    <m/>
    <m/>
    <m/>
    <s v="164 22242"/>
    <m/>
    <m/>
    <n v="3739142460"/>
    <n v="0"/>
    <n v="0"/>
    <n v="3739142460"/>
    <n v="3739142460"/>
    <n v="116848201"/>
    <n v="0"/>
    <n v="0"/>
    <n v="116848201"/>
    <n v="116848201"/>
    <n v="28.592199999999998"/>
    <n v="10.7417"/>
    <n v="4511.5600000000004"/>
    <n v="3149.8"/>
    <n v="1755"/>
    <n v="432"/>
    <x v="10"/>
    <x v="5"/>
  </r>
  <r>
    <s v="istree_exp5_numerical_stability_vs_time/step10301.txt"/>
    <x v="1"/>
    <m/>
    <s v="reclaimer_debra"/>
    <s v="allocator_new"/>
    <s v="pool_none"/>
    <n v="64000"/>
    <n v="0"/>
    <n v="0"/>
    <n v="0"/>
    <n v="1"/>
    <n v="20000000"/>
    <n v="190"/>
    <n v="190"/>
    <n v="190"/>
    <n v="0"/>
    <s v="insertIfAbsent"/>
    <n v="100005963668108"/>
    <n v="10000000"/>
    <n v="100005963668108"/>
    <n v="10000000"/>
    <s v="success"/>
    <n v="29"/>
    <n v="5713158"/>
    <n v="4286843"/>
    <n v="10000001"/>
    <n v="10000000"/>
    <n v="1.7503500000000001"/>
    <n v="2.3327200000000001"/>
    <n v="2"/>
    <n v="22.714200000000002"/>
    <n v="560000056"/>
    <m/>
    <m/>
    <m/>
    <n v="44528"/>
    <m/>
    <m/>
    <n v="7535730900"/>
    <n v="0"/>
    <n v="0"/>
    <n v="7535730900"/>
    <n v="7535730900"/>
    <n v="117745795"/>
    <n v="0"/>
    <n v="0"/>
    <n v="117745795"/>
    <n v="117745795"/>
    <n v="28.864899999999999"/>
    <n v="10.7498"/>
    <n v="4476.3100000000004"/>
    <n v="3152.35"/>
    <n v="1755"/>
    <n v="447"/>
    <x v="10"/>
    <x v="6"/>
  </r>
  <r>
    <s v="istree_exp5_numerical_stability_vs_time/step10302.txt"/>
    <x v="3"/>
    <m/>
    <s v="reclaimer_debra"/>
    <s v="allocator_new"/>
    <s v="pool_none"/>
    <n v="1000"/>
    <n v="0"/>
    <n v="0"/>
    <n v="0"/>
    <n v="1"/>
    <n v="20000000"/>
    <n v="190"/>
    <n v="190"/>
    <n v="190"/>
    <n v="0"/>
    <s v="insertIfAbsent"/>
    <n v="100004486363397"/>
    <n v="10000000"/>
    <n v="100004486363397"/>
    <n v="10000000"/>
    <s v="success"/>
    <n v="59"/>
    <n v="9999999"/>
    <n v="10000000"/>
    <n v="19999999"/>
    <n v="10000000"/>
    <n v="2"/>
    <n v="1"/>
    <n v="1.5"/>
    <n v="30.773399999999999"/>
    <n v="639999968"/>
    <m/>
    <m/>
    <m/>
    <n v="744"/>
    <m/>
    <m/>
    <n v="98811355"/>
    <n v="0"/>
    <n v="0"/>
    <n v="98811355"/>
    <n v="98811355"/>
    <n v="98811355"/>
    <n v="0"/>
    <n v="0"/>
    <n v="98811355"/>
    <n v="98811355"/>
    <n v="24.613499999999998"/>
    <n v="9.7536100000000001"/>
    <n v="5341.84"/>
    <n v="4310.88"/>
    <n v="1754"/>
    <n v="409"/>
    <x v="10"/>
    <x v="0"/>
  </r>
  <r>
    <s v="istree_exp5_numerical_stability_vs_time/step10303.txt"/>
    <x v="3"/>
    <m/>
    <s v="reclaimer_debra"/>
    <s v="allocator_new"/>
    <s v="pool_none"/>
    <n v="2000"/>
    <n v="0"/>
    <n v="0"/>
    <n v="0"/>
    <n v="1"/>
    <n v="20000000"/>
    <n v="190"/>
    <n v="190"/>
    <n v="190"/>
    <n v="0"/>
    <s v="insertIfAbsent"/>
    <n v="100013300889356"/>
    <n v="10000000"/>
    <n v="100013300889356"/>
    <n v="10000000"/>
    <s v="success"/>
    <n v="58"/>
    <n v="9999999"/>
    <n v="10000000"/>
    <n v="19999999"/>
    <n v="10000000"/>
    <n v="2"/>
    <n v="1"/>
    <n v="1.5"/>
    <n v="30.9329"/>
    <n v="639999968"/>
    <m/>
    <m/>
    <m/>
    <s v="152 1338"/>
    <m/>
    <m/>
    <n v="200809061"/>
    <n v="0"/>
    <n v="0"/>
    <n v="200809061"/>
    <n v="200809061"/>
    <n v="100404530"/>
    <n v="0"/>
    <n v="0"/>
    <n v="100404530"/>
    <n v="100404530"/>
    <n v="24.651299999999999"/>
    <n v="9.8698200000000007"/>
    <n v="5251.02"/>
    <n v="4234.5"/>
    <n v="1753"/>
    <n v="417"/>
    <x v="10"/>
    <x v="1"/>
  </r>
  <r>
    <s v="istree_exp5_numerical_stability_vs_time/step10304.txt"/>
    <x v="3"/>
    <m/>
    <s v="reclaimer_debra"/>
    <s v="allocator_new"/>
    <s v="pool_none"/>
    <n v="4000"/>
    <n v="0"/>
    <n v="0"/>
    <n v="0"/>
    <n v="1"/>
    <n v="20000000"/>
    <n v="190"/>
    <n v="190"/>
    <n v="190"/>
    <n v="0"/>
    <s v="insertIfAbsent"/>
    <n v="99984934030931"/>
    <n v="10000000"/>
    <n v="99984934030931"/>
    <n v="10000000"/>
    <s v="success"/>
    <n v="61"/>
    <n v="9999999"/>
    <n v="10000000"/>
    <n v="19999999"/>
    <n v="10000000"/>
    <n v="2"/>
    <n v="1"/>
    <n v="1.5"/>
    <n v="31.275300000000001"/>
    <n v="639999968"/>
    <m/>
    <m/>
    <m/>
    <s v="154 2508"/>
    <m/>
    <m/>
    <n v="404357373"/>
    <n v="0"/>
    <n v="0"/>
    <n v="404357373"/>
    <n v="404357373"/>
    <n v="101089343"/>
    <n v="0"/>
    <n v="0"/>
    <n v="101089343"/>
    <n v="101089343"/>
    <n v="24.798999999999999"/>
    <n v="9.9592200000000002"/>
    <n v="5229.7700000000004"/>
    <n v="4220.1400000000003"/>
    <n v="1754"/>
    <n v="407"/>
    <x v="10"/>
    <x v="2"/>
  </r>
  <r>
    <s v="istree_exp5_numerical_stability_vs_time/step10305.txt"/>
    <x v="3"/>
    <m/>
    <s v="reclaimer_debra"/>
    <s v="allocator_new"/>
    <s v="pool_none"/>
    <n v="8000"/>
    <n v="0"/>
    <n v="0"/>
    <n v="0"/>
    <n v="1"/>
    <n v="20000000"/>
    <n v="190"/>
    <n v="190"/>
    <n v="190"/>
    <n v="0"/>
    <s v="insertIfAbsent"/>
    <n v="100005116866607"/>
    <n v="10000000"/>
    <n v="100005116866607"/>
    <n v="10000000"/>
    <s v="success"/>
    <n v="62"/>
    <n v="9999999"/>
    <n v="10000000"/>
    <n v="19999999"/>
    <n v="10000000"/>
    <n v="2"/>
    <n v="1"/>
    <n v="1.5"/>
    <n v="31.7333"/>
    <n v="639999968"/>
    <m/>
    <m/>
    <m/>
    <s v="150 4900"/>
    <m/>
    <m/>
    <n v="815397036"/>
    <n v="0"/>
    <n v="0"/>
    <n v="815397036"/>
    <n v="815397036"/>
    <n v="101924629"/>
    <n v="0"/>
    <n v="0"/>
    <n v="101924629"/>
    <n v="101924629"/>
    <n v="24.705100000000002"/>
    <n v="10.0365"/>
    <n v="5183.43"/>
    <n v="4180"/>
    <n v="1753"/>
    <n v="429"/>
    <x v="10"/>
    <x v="3"/>
  </r>
  <r>
    <s v="istree_exp5_numerical_stability_vs_time/step10306.txt"/>
    <x v="3"/>
    <m/>
    <s v="reclaimer_debra"/>
    <s v="allocator_new"/>
    <s v="pool_none"/>
    <n v="16000"/>
    <n v="0"/>
    <n v="0"/>
    <n v="0"/>
    <n v="1"/>
    <n v="20000000"/>
    <n v="190"/>
    <n v="190"/>
    <n v="190"/>
    <n v="0"/>
    <s v="insertIfAbsent"/>
    <n v="100006671529995"/>
    <n v="10000000"/>
    <n v="100006671529995"/>
    <n v="10000000"/>
    <s v="success"/>
    <n v="58"/>
    <n v="9999999"/>
    <n v="10000000"/>
    <n v="19999999"/>
    <n v="10000000"/>
    <n v="2"/>
    <n v="1"/>
    <n v="1.5"/>
    <n v="31.138200000000001"/>
    <n v="639999968"/>
    <m/>
    <m/>
    <m/>
    <s v="138 9652"/>
    <m/>
    <m/>
    <n v="1639060215"/>
    <n v="0"/>
    <n v="0"/>
    <n v="1639060215"/>
    <n v="1639060215"/>
    <n v="102441263"/>
    <n v="0"/>
    <n v="0"/>
    <n v="102441263"/>
    <n v="102441263"/>
    <n v="24.8429"/>
    <n v="10.076700000000001"/>
    <n v="5162.67"/>
    <n v="4168.68"/>
    <n v="1754"/>
    <n v="413"/>
    <x v="10"/>
    <x v="4"/>
  </r>
  <r>
    <s v="istree_exp5_numerical_stability_vs_time/step10307.txt"/>
    <x v="3"/>
    <m/>
    <s v="reclaimer_debra"/>
    <s v="allocator_new"/>
    <s v="pool_none"/>
    <n v="32000"/>
    <n v="0"/>
    <n v="0"/>
    <n v="0"/>
    <n v="1"/>
    <n v="20000000"/>
    <n v="190"/>
    <n v="190"/>
    <n v="190"/>
    <n v="0"/>
    <s v="insertIfAbsent"/>
    <n v="99994543969199"/>
    <n v="10000000"/>
    <n v="99994543969199"/>
    <n v="10000000"/>
    <s v="success"/>
    <n v="63"/>
    <n v="9999999"/>
    <n v="10000000"/>
    <n v="19999999"/>
    <n v="10000000"/>
    <n v="2"/>
    <n v="1"/>
    <n v="1.5"/>
    <n v="30.6846"/>
    <n v="639999968"/>
    <m/>
    <m/>
    <m/>
    <s v="152 19200"/>
    <m/>
    <m/>
    <n v="3286252043"/>
    <n v="0"/>
    <n v="0"/>
    <n v="3286252043"/>
    <n v="3286252043"/>
    <n v="102695376"/>
    <n v="0"/>
    <n v="0"/>
    <n v="102695376"/>
    <n v="102695376"/>
    <n v="24.792899999999999"/>
    <n v="10.104900000000001"/>
    <n v="5149.6899999999996"/>
    <n v="4160.49"/>
    <n v="1754"/>
    <n v="418"/>
    <x v="10"/>
    <x v="5"/>
  </r>
  <r>
    <s v="istree_exp5_numerical_stability_vs_time/step10308.txt"/>
    <x v="3"/>
    <m/>
    <s v="reclaimer_debra"/>
    <s v="allocator_new"/>
    <s v="pool_none"/>
    <n v="64000"/>
    <n v="0"/>
    <n v="0"/>
    <n v="0"/>
    <n v="1"/>
    <n v="20000000"/>
    <n v="190"/>
    <n v="190"/>
    <n v="190"/>
    <n v="0"/>
    <s v="insertIfAbsent"/>
    <n v="99992487906925"/>
    <n v="10000000"/>
    <n v="99992487906925"/>
    <n v="10000000"/>
    <s v="success"/>
    <n v="61"/>
    <n v="9999999"/>
    <n v="10000000"/>
    <n v="19999999"/>
    <n v="10000000"/>
    <n v="2"/>
    <n v="1"/>
    <n v="1.5"/>
    <n v="31.3886"/>
    <n v="639999968"/>
    <m/>
    <m/>
    <m/>
    <s v="152 38340"/>
    <m/>
    <m/>
    <n v="6582738508"/>
    <n v="0"/>
    <n v="0"/>
    <n v="6582738508"/>
    <n v="6582738508"/>
    <n v="102855289"/>
    <n v="0"/>
    <n v="0"/>
    <n v="102855289"/>
    <n v="102855289"/>
    <n v="24.725899999999999"/>
    <n v="10.108599999999999"/>
    <n v="5141.67"/>
    <n v="4147.88"/>
    <n v="1754"/>
    <n v="405"/>
    <x v="10"/>
    <x v="6"/>
  </r>
  <r>
    <s v="istree_exp5_numerical_stability_vs_time/step10309.txt"/>
    <x v="0"/>
    <n v="72"/>
    <s v="reclaimer_debra"/>
    <s v="allocator_new"/>
    <s v="pool_none"/>
    <n v="1000"/>
    <n v="0"/>
    <n v="0"/>
    <n v="0"/>
    <n v="1"/>
    <n v="200000000"/>
    <n v="190"/>
    <n v="190"/>
    <n v="190"/>
    <n v="0"/>
    <s v="insertIfAbsent"/>
    <n v="1.00000052454126E+16"/>
    <n v="100000001"/>
    <n v="1.00000052454126E+16"/>
    <n v="100000001"/>
    <s v="success"/>
    <n v="6"/>
    <n v="11011103"/>
    <n v="110001001"/>
    <n v="121012104"/>
    <n v="100000001"/>
    <n v="10.99"/>
    <n v="0.90908299999999997"/>
    <n v="1.82636"/>
    <n v="4"/>
    <n v="2640904240"/>
    <m/>
    <m/>
    <m/>
    <n v="1242"/>
    <m/>
    <m/>
    <n v="205718696"/>
    <n v="0"/>
    <n v="0"/>
    <n v="205718696"/>
    <n v="205718696"/>
    <n v="205718696"/>
    <n v="0"/>
    <n v="0"/>
    <n v="205718696"/>
    <n v="205718696"/>
    <n v="18.851500000000001"/>
    <n v="8.7280200000000008"/>
    <n v="2569.83"/>
    <n v="1819.52"/>
    <n v="7356"/>
    <n v="1049"/>
    <x v="11"/>
    <x v="0"/>
  </r>
  <r>
    <s v="istree_exp5_numerical_stability_vs_time/step10310.txt"/>
    <x v="0"/>
    <n v="72"/>
    <s v="reclaimer_debra"/>
    <s v="allocator_new"/>
    <s v="pool_none"/>
    <n v="2000"/>
    <n v="0"/>
    <n v="0"/>
    <n v="0"/>
    <n v="1"/>
    <n v="200000000"/>
    <n v="190"/>
    <n v="190"/>
    <n v="190"/>
    <n v="0"/>
    <s v="insertIfAbsent"/>
    <n v="1.00000541446654E+16"/>
    <n v="100000001"/>
    <n v="1.00000541446654E+16"/>
    <n v="100000001"/>
    <s v="success"/>
    <n v="6"/>
    <n v="11011103"/>
    <n v="110001001"/>
    <n v="121012104"/>
    <n v="100000001"/>
    <n v="10.99"/>
    <n v="0.90908299999999997"/>
    <n v="1.82636"/>
    <n v="4"/>
    <n v="2640904240"/>
    <m/>
    <m/>
    <m/>
    <n v="2506"/>
    <m/>
    <m/>
    <n v="411334342"/>
    <n v="0"/>
    <n v="0"/>
    <n v="411334342"/>
    <n v="411334342"/>
    <n v="205667171"/>
    <n v="0"/>
    <n v="0"/>
    <n v="205667171"/>
    <n v="205667171"/>
    <n v="18.796099999999999"/>
    <n v="8.7989999999999995"/>
    <n v="2569.33"/>
    <n v="1816.78"/>
    <n v="7356"/>
    <n v="1146"/>
    <x v="11"/>
    <x v="1"/>
  </r>
  <r>
    <s v="istree_exp5_numerical_stability_vs_time/step10311.txt"/>
    <x v="0"/>
    <n v="72"/>
    <s v="reclaimer_debra"/>
    <s v="allocator_new"/>
    <s v="pool_none"/>
    <n v="4000"/>
    <n v="0"/>
    <n v="0"/>
    <n v="0"/>
    <n v="1"/>
    <n v="200000000"/>
    <n v="190"/>
    <n v="190"/>
    <n v="190"/>
    <n v="0"/>
    <s v="insertIfAbsent"/>
    <n v="9999836967999850"/>
    <n v="100000001"/>
    <n v="9999836967999850"/>
    <n v="100000001"/>
    <s v="success"/>
    <n v="6"/>
    <n v="11011103"/>
    <n v="110001001"/>
    <n v="121012104"/>
    <n v="100000001"/>
    <n v="10.99"/>
    <n v="0.90908299999999997"/>
    <n v="1.82636"/>
    <n v="4"/>
    <n v="2640904240"/>
    <m/>
    <m/>
    <m/>
    <n v="5024"/>
    <m/>
    <m/>
    <n v="823828677"/>
    <n v="0"/>
    <n v="0"/>
    <n v="823828677"/>
    <n v="823828677"/>
    <n v="205957169"/>
    <n v="0"/>
    <n v="0"/>
    <n v="205957169"/>
    <n v="205957169"/>
    <n v="18.793199999999999"/>
    <n v="8.8867399999999996"/>
    <n v="2564.84"/>
    <n v="1819.3"/>
    <n v="7351"/>
    <n v="1061"/>
    <x v="11"/>
    <x v="2"/>
  </r>
  <r>
    <s v="istree_exp5_numerical_stability_vs_time/step10312.txt"/>
    <x v="0"/>
    <n v="72"/>
    <s v="reclaimer_debra"/>
    <s v="allocator_new"/>
    <s v="pool_none"/>
    <n v="8000"/>
    <n v="0"/>
    <n v="0"/>
    <n v="0"/>
    <n v="1"/>
    <n v="200000000"/>
    <n v="190"/>
    <n v="190"/>
    <n v="190"/>
    <n v="0"/>
    <s v="insertIfAbsent"/>
    <n v="9999850980070260"/>
    <n v="100000001"/>
    <n v="9999850980070260"/>
    <n v="100000001"/>
    <s v="success"/>
    <n v="6"/>
    <n v="11011103"/>
    <n v="110001001"/>
    <n v="121012104"/>
    <n v="100000001"/>
    <n v="10.99"/>
    <n v="0.90908299999999997"/>
    <n v="1.82636"/>
    <n v="4"/>
    <n v="2640904240"/>
    <m/>
    <m/>
    <m/>
    <n v="10088"/>
    <m/>
    <m/>
    <n v="1645063772"/>
    <n v="0"/>
    <n v="0"/>
    <n v="1645063772"/>
    <n v="1645063772"/>
    <n v="205632971"/>
    <n v="0"/>
    <n v="0"/>
    <n v="205632971"/>
    <n v="205632971"/>
    <n v="18.7484"/>
    <n v="9.0094499999999993"/>
    <n v="2568.0500000000002"/>
    <n v="1815.44"/>
    <n v="7351"/>
    <n v="1092"/>
    <x v="11"/>
    <x v="3"/>
  </r>
  <r>
    <s v="istree_exp5_numerical_stability_vs_time/step10313.txt"/>
    <x v="0"/>
    <n v="72"/>
    <s v="reclaimer_debra"/>
    <s v="allocator_new"/>
    <s v="pool_none"/>
    <n v="16000"/>
    <n v="0"/>
    <n v="0"/>
    <n v="0"/>
    <n v="1"/>
    <n v="200000000"/>
    <n v="190"/>
    <n v="190"/>
    <n v="190"/>
    <n v="0"/>
    <s v="insertIfAbsent"/>
    <n v="1.00001881464627E+16"/>
    <n v="100000001"/>
    <n v="1.00001881464627E+16"/>
    <n v="100000001"/>
    <s v="success"/>
    <n v="6"/>
    <n v="11011103"/>
    <n v="110001001"/>
    <n v="121012104"/>
    <n v="100000001"/>
    <n v="10.99"/>
    <n v="0.90908299999999997"/>
    <n v="1.82636"/>
    <n v="4"/>
    <n v="2640904240"/>
    <m/>
    <m/>
    <m/>
    <n v="20220"/>
    <m/>
    <m/>
    <n v="3289665796"/>
    <n v="0"/>
    <n v="0"/>
    <n v="3289665796"/>
    <n v="3289665796"/>
    <n v="205604112"/>
    <n v="0"/>
    <n v="0"/>
    <n v="205604112"/>
    <n v="205604112"/>
    <n v="18.844100000000001"/>
    <n v="9.1477900000000005"/>
    <n v="2566.9"/>
    <n v="1808.19"/>
    <n v="7355"/>
    <n v="1084"/>
    <x v="11"/>
    <x v="4"/>
  </r>
  <r>
    <s v="istree_exp5_numerical_stability_vs_time/step10314.txt"/>
    <x v="0"/>
    <n v="72"/>
    <s v="reclaimer_debra"/>
    <s v="allocator_new"/>
    <s v="pool_none"/>
    <n v="32000"/>
    <n v="0"/>
    <n v="0"/>
    <n v="0"/>
    <n v="1"/>
    <n v="200000000"/>
    <n v="190"/>
    <n v="190"/>
    <n v="190"/>
    <n v="0"/>
    <s v="insertIfAbsent"/>
    <n v="1.00005020699171E+16"/>
    <n v="100000001"/>
    <n v="1.00005020699171E+16"/>
    <n v="100000001"/>
    <s v="success"/>
    <n v="6"/>
    <n v="11011103"/>
    <n v="110001001"/>
    <n v="121012104"/>
    <n v="100000001"/>
    <n v="10.99"/>
    <n v="0.90908299999999997"/>
    <n v="1.82636"/>
    <n v="4"/>
    <n v="2640904240"/>
    <m/>
    <m/>
    <m/>
    <n v="40236"/>
    <m/>
    <m/>
    <n v="6556455904"/>
    <n v="0"/>
    <n v="0"/>
    <n v="6556455904"/>
    <n v="6556455904"/>
    <n v="204889247"/>
    <n v="0"/>
    <n v="0"/>
    <n v="204889247"/>
    <n v="204889247"/>
    <n v="18.795100000000001"/>
    <n v="9.2699800000000003"/>
    <n v="2574.11"/>
    <n v="1804.4"/>
    <n v="7352"/>
    <n v="1119"/>
    <x v="11"/>
    <x v="5"/>
  </r>
  <r>
    <s v="istree_exp5_numerical_stability_vs_time/step10315.txt"/>
    <x v="0"/>
    <n v="72"/>
    <s v="reclaimer_debra"/>
    <s v="allocator_new"/>
    <s v="pool_none"/>
    <n v="64000"/>
    <n v="0"/>
    <n v="0"/>
    <n v="0"/>
    <n v="1"/>
    <n v="200000000"/>
    <n v="190"/>
    <n v="190"/>
    <n v="190"/>
    <n v="0"/>
    <s v="insertIfAbsent"/>
    <n v="1.0000268188034E+16"/>
    <n v="100000001"/>
    <n v="1.0000268188034E+16"/>
    <n v="100000001"/>
    <s v="success"/>
    <n v="6"/>
    <n v="11011103"/>
    <n v="110001001"/>
    <n v="121012104"/>
    <n v="100000001"/>
    <n v="10.99"/>
    <n v="0.90908299999999997"/>
    <n v="1.82636"/>
    <n v="4"/>
    <n v="2640904240"/>
    <m/>
    <m/>
    <m/>
    <n v="80586"/>
    <m/>
    <m/>
    <n v="13166194024"/>
    <n v="0"/>
    <n v="0"/>
    <n v="13166194024"/>
    <n v="13166194024"/>
    <n v="205721781"/>
    <n v="0"/>
    <n v="0"/>
    <n v="205721781"/>
    <n v="205721781"/>
    <n v="18.87"/>
    <n v="9.3474199999999996"/>
    <n v="2564.8000000000002"/>
    <n v="1803.93"/>
    <n v="7358"/>
    <n v="1096"/>
    <x v="11"/>
    <x v="6"/>
  </r>
  <r>
    <s v="istree_exp5_numerical_stability_vs_time/step10316.txt"/>
    <x v="2"/>
    <n v="208"/>
    <s v="reclaimer_debra"/>
    <s v="allocator_new"/>
    <s v="pool_none"/>
    <n v="1000"/>
    <n v="0"/>
    <n v="0"/>
    <n v="0"/>
    <n v="1"/>
    <n v="200000000"/>
    <n v="190"/>
    <n v="190"/>
    <n v="190"/>
    <n v="0"/>
    <s v="insertIfAbsent"/>
    <n v="1.00002968819171E+16"/>
    <n v="100000000"/>
    <n v="1.00002968819171E+16"/>
    <n v="100000000"/>
    <s v="success"/>
    <n v="10"/>
    <n v="1853617"/>
    <n v="12756099"/>
    <n v="14609716"/>
    <n v="100000000"/>
    <n v="7.8817300000000001"/>
    <n v="7.8393899999999999"/>
    <n v="7.84476"/>
    <n v="9"/>
    <n v="3038820928"/>
    <m/>
    <m/>
    <m/>
    <s v="3024 4098"/>
    <m/>
    <m/>
    <n v="153808693"/>
    <n v="0"/>
    <n v="0"/>
    <n v="153808693"/>
    <n v="153808693"/>
    <n v="153808693"/>
    <n v="0"/>
    <n v="0"/>
    <n v="153808693"/>
    <n v="153808693"/>
    <n v="23.465800000000002"/>
    <n v="10.297700000000001"/>
    <n v="3422.71"/>
    <n v="2434.3200000000002"/>
    <n v="5124"/>
    <n v="6074"/>
    <x v="11"/>
    <x v="0"/>
  </r>
  <r>
    <s v="istree_exp5_numerical_stability_vs_time/step10317.txt"/>
    <x v="2"/>
    <n v="208"/>
    <s v="reclaimer_debra"/>
    <s v="allocator_new"/>
    <s v="pool_none"/>
    <n v="2000"/>
    <n v="0"/>
    <n v="0"/>
    <n v="0"/>
    <n v="1"/>
    <n v="200000000"/>
    <n v="190"/>
    <n v="190"/>
    <n v="190"/>
    <n v="0"/>
    <s v="insertIfAbsent"/>
    <n v="9999415210139700"/>
    <n v="100000000"/>
    <n v="9999415210139700"/>
    <n v="100000000"/>
    <s v="success"/>
    <n v="10"/>
    <n v="1853478"/>
    <n v="12756046"/>
    <n v="14609524"/>
    <n v="100000000"/>
    <n v="7.8822200000000002"/>
    <n v="7.8394199999999996"/>
    <n v="7.8448500000000001"/>
    <n v="9"/>
    <n v="3038780992"/>
    <m/>
    <m/>
    <m/>
    <s v="3174 5022"/>
    <m/>
    <m/>
    <n v="312740909"/>
    <n v="0"/>
    <n v="0"/>
    <n v="312740909"/>
    <n v="312740909"/>
    <n v="156370454"/>
    <n v="0"/>
    <n v="0"/>
    <n v="156370454"/>
    <n v="156370454"/>
    <n v="23.443000000000001"/>
    <n v="10.416499999999999"/>
    <n v="3373.94"/>
    <n v="2398.5300000000002"/>
    <n v="5126"/>
    <n v="5977"/>
    <x v="11"/>
    <x v="1"/>
  </r>
  <r>
    <s v="istree_exp5_numerical_stability_vs_time/step10318.txt"/>
    <x v="2"/>
    <n v="208"/>
    <s v="reclaimer_debra"/>
    <s v="allocator_new"/>
    <s v="pool_none"/>
    <n v="4000"/>
    <n v="0"/>
    <n v="0"/>
    <n v="0"/>
    <n v="1"/>
    <n v="200000000"/>
    <n v="190"/>
    <n v="190"/>
    <n v="190"/>
    <n v="0"/>
    <s v="insertIfAbsent"/>
    <n v="9999437640871140"/>
    <n v="100000000"/>
    <n v="9999437640871140"/>
    <n v="100000000"/>
    <s v="success"/>
    <n v="10"/>
    <n v="1854315"/>
    <n v="12758101"/>
    <n v="14612416"/>
    <n v="100000000"/>
    <n v="7.8802199999999996"/>
    <n v="7.8381600000000002"/>
    <n v="7.8434999999999997"/>
    <n v="9"/>
    <n v="3039382528"/>
    <m/>
    <m/>
    <m/>
    <s v="2938 6872"/>
    <m/>
    <m/>
    <n v="626924356"/>
    <n v="0"/>
    <n v="0"/>
    <n v="626924356"/>
    <n v="626924356"/>
    <n v="156731089"/>
    <n v="0"/>
    <n v="0"/>
    <n v="156731089"/>
    <n v="156731089"/>
    <n v="23.4038"/>
    <n v="10.491199999999999"/>
    <n v="3368.14"/>
    <n v="2388.77"/>
    <n v="5125"/>
    <n v="6004"/>
    <x v="11"/>
    <x v="2"/>
  </r>
  <r>
    <s v="istree_exp5_numerical_stability_vs_time/step10319.txt"/>
    <x v="2"/>
    <n v="208"/>
    <s v="reclaimer_debra"/>
    <s v="allocator_new"/>
    <s v="pool_none"/>
    <n v="8000"/>
    <n v="0"/>
    <n v="0"/>
    <n v="0"/>
    <n v="1"/>
    <n v="200000000"/>
    <n v="190"/>
    <n v="190"/>
    <n v="190"/>
    <n v="0"/>
    <s v="insertIfAbsent"/>
    <n v="9999123908516920"/>
    <n v="100000000"/>
    <n v="9999123908516920"/>
    <n v="100000000"/>
    <s v="success"/>
    <n v="10"/>
    <n v="1854543"/>
    <n v="12756937"/>
    <n v="14611480"/>
    <n v="100000000"/>
    <n v="7.8787500000000001"/>
    <n v="7.83887"/>
    <n v="7.8439300000000003"/>
    <n v="9"/>
    <n v="3039187840"/>
    <m/>
    <m/>
    <m/>
    <s v="3210 10594"/>
    <m/>
    <m/>
    <n v="1255401274"/>
    <n v="0"/>
    <n v="0"/>
    <n v="1255401274"/>
    <n v="1255401274"/>
    <n v="156925159"/>
    <n v="0"/>
    <n v="0"/>
    <n v="156925159"/>
    <n v="156925159"/>
    <n v="23.4269"/>
    <n v="10.5707"/>
    <n v="3363.67"/>
    <n v="2380.35"/>
    <n v="5134"/>
    <n v="6041"/>
    <x v="11"/>
    <x v="3"/>
  </r>
  <r>
    <s v="istree_exp5_numerical_stability_vs_time/step10320.txt"/>
    <x v="2"/>
    <n v="208"/>
    <s v="reclaimer_debra"/>
    <s v="allocator_new"/>
    <s v="pool_none"/>
    <n v="16000"/>
    <n v="0"/>
    <n v="0"/>
    <n v="0"/>
    <n v="1"/>
    <n v="200000000"/>
    <n v="190"/>
    <n v="190"/>
    <n v="190"/>
    <n v="0"/>
    <s v="insertIfAbsent"/>
    <n v="1.00002323244293E+16"/>
    <n v="100000000"/>
    <n v="1.00002323244293E+16"/>
    <n v="100000000"/>
    <s v="success"/>
    <n v="10"/>
    <n v="1854038"/>
    <n v="12758003"/>
    <n v="14612041"/>
    <n v="100000000"/>
    <n v="7.8811999999999998"/>
    <n v="7.8382199999999997"/>
    <n v="7.8436700000000004"/>
    <n v="9"/>
    <n v="3039304528"/>
    <m/>
    <m/>
    <m/>
    <s v="2988 18012"/>
    <m/>
    <m/>
    <n v="2525883322"/>
    <n v="0"/>
    <n v="0"/>
    <n v="2525883322"/>
    <n v="2525883322"/>
    <n v="157867707"/>
    <n v="0"/>
    <n v="0"/>
    <n v="157867707"/>
    <n v="157867707"/>
    <n v="23.373999999999999"/>
    <n v="10.6592"/>
    <n v="3343.23"/>
    <n v="2368.1799999999998"/>
    <n v="5132"/>
    <n v="5993"/>
    <x v="11"/>
    <x v="4"/>
  </r>
  <r>
    <s v="istree_exp5_numerical_stability_vs_time/step10321.txt"/>
    <x v="2"/>
    <n v="208"/>
    <s v="reclaimer_debra"/>
    <s v="allocator_new"/>
    <s v="pool_none"/>
    <n v="32000"/>
    <n v="0"/>
    <n v="0"/>
    <n v="0"/>
    <n v="1"/>
    <n v="200000000"/>
    <n v="190"/>
    <n v="190"/>
    <n v="190"/>
    <n v="0"/>
    <s v="insertIfAbsent"/>
    <n v="9999798636866190"/>
    <n v="100000000"/>
    <n v="9999798636866190"/>
    <n v="100000000"/>
    <s v="success"/>
    <n v="10"/>
    <n v="1854153"/>
    <n v="12755903"/>
    <n v="14610056"/>
    <n v="100000000"/>
    <n v="7.8796400000000002"/>
    <n v="7.8395099999999998"/>
    <n v="7.8445999999999998"/>
    <n v="9"/>
    <n v="3038891648"/>
    <m/>
    <m/>
    <m/>
    <s v="3118 32946"/>
    <m/>
    <m/>
    <n v="5074275539"/>
    <n v="0"/>
    <n v="0"/>
    <n v="5074275539"/>
    <n v="5074275539"/>
    <n v="158571110"/>
    <n v="0"/>
    <n v="0"/>
    <n v="158571110"/>
    <n v="158571110"/>
    <n v="23.319299999999998"/>
    <n v="10.7745"/>
    <n v="3328.15"/>
    <n v="2350.9899999999998"/>
    <n v="5114"/>
    <n v="6006"/>
    <x v="11"/>
    <x v="5"/>
  </r>
  <r>
    <s v="istree_exp5_numerical_stability_vs_time/step10322.txt"/>
    <x v="2"/>
    <n v="208"/>
    <s v="reclaimer_debra"/>
    <s v="allocator_new"/>
    <s v="pool_none"/>
    <n v="64000"/>
    <n v="0"/>
    <n v="0"/>
    <n v="0"/>
    <n v="1"/>
    <n v="200000000"/>
    <n v="190"/>
    <n v="190"/>
    <n v="190"/>
    <n v="0"/>
    <s v="insertIfAbsent"/>
    <n v="9999789948729420"/>
    <n v="100000000"/>
    <n v="9999789948729420"/>
    <n v="100000000"/>
    <s v="success"/>
    <n v="10"/>
    <n v="1853453"/>
    <n v="12757234"/>
    <n v="14610687"/>
    <n v="100000000"/>
    <n v="7.8829599999999997"/>
    <n v="7.8386899999999997"/>
    <n v="7.8443100000000001"/>
    <n v="9"/>
    <n v="3039022896"/>
    <m/>
    <m/>
    <m/>
    <s v="3084 63388"/>
    <m/>
    <m/>
    <n v="10233734451"/>
    <n v="0"/>
    <n v="0"/>
    <n v="10233734451"/>
    <n v="10233734451"/>
    <n v="159902100"/>
    <n v="0"/>
    <n v="0"/>
    <n v="159902100"/>
    <n v="159902100"/>
    <n v="23.3748"/>
    <n v="10.8841"/>
    <n v="3298.79"/>
    <n v="2332.8000000000002"/>
    <n v="5122"/>
    <n v="6002"/>
    <x v="11"/>
    <x v="6"/>
  </r>
  <r>
    <s v="istree_exp5_numerical_stability_vs_time/step10323.txt"/>
    <x v="1"/>
    <m/>
    <s v="reclaimer_debra"/>
    <s v="allocator_new"/>
    <s v="pool_none"/>
    <n v="1000"/>
    <n v="0"/>
    <n v="0"/>
    <n v="0"/>
    <n v="1"/>
    <n v="200000000"/>
    <n v="190"/>
    <n v="190"/>
    <n v="190"/>
    <n v="0"/>
    <s v="insertIfAbsent"/>
    <n v="9999833791094970"/>
    <n v="100000000"/>
    <n v="9999833791094970"/>
    <n v="100000000"/>
    <s v="success"/>
    <n v="33"/>
    <n v="57143212"/>
    <n v="42856789"/>
    <n v="100000001"/>
    <n v="100000000"/>
    <n v="1.7499899999999999"/>
    <n v="2.3333499999999998"/>
    <n v="2"/>
    <n v="26.0627"/>
    <n v="5600000056"/>
    <m/>
    <m/>
    <m/>
    <s v="774 1358"/>
    <m/>
    <m/>
    <n v="68948712"/>
    <n v="0"/>
    <n v="0"/>
    <n v="68948712"/>
    <n v="68948712"/>
    <n v="68948712"/>
    <n v="0"/>
    <n v="0"/>
    <n v="68948712"/>
    <n v="68948712"/>
    <n v="40.926900000000003"/>
    <n v="19.1555"/>
    <n v="7671.39"/>
    <n v="6224.12"/>
    <n v="7576"/>
    <n v="2751"/>
    <x v="11"/>
    <x v="0"/>
  </r>
  <r>
    <s v="istree_exp5_numerical_stability_vs_time/step10324.txt"/>
    <x v="1"/>
    <m/>
    <s v="reclaimer_debra"/>
    <s v="allocator_new"/>
    <s v="pool_none"/>
    <n v="2000"/>
    <n v="0"/>
    <n v="0"/>
    <n v="0"/>
    <n v="1"/>
    <n v="200000000"/>
    <n v="190"/>
    <n v="190"/>
    <n v="190"/>
    <n v="0"/>
    <s v="insertIfAbsent"/>
    <n v="9999124988430890"/>
    <n v="100000000"/>
    <n v="9999124988430890"/>
    <n v="100000000"/>
    <s v="success"/>
    <n v="33"/>
    <n v="57144435"/>
    <n v="42855566"/>
    <n v="100000001"/>
    <n v="100000000"/>
    <n v="1.7499499999999999"/>
    <n v="2.3334199999999998"/>
    <n v="2"/>
    <n v="26.083400000000001"/>
    <n v="5600000056"/>
    <m/>
    <m/>
    <m/>
    <s v="776 1754"/>
    <m/>
    <m/>
    <n v="138175283"/>
    <n v="0"/>
    <n v="0"/>
    <n v="138175283"/>
    <n v="138175283"/>
    <n v="69087641"/>
    <n v="0"/>
    <n v="0"/>
    <n v="69087641"/>
    <n v="69087641"/>
    <n v="40.798000000000002"/>
    <n v="19.3124"/>
    <n v="7655.75"/>
    <n v="6208.45"/>
    <n v="7574"/>
    <n v="2735"/>
    <x v="11"/>
    <x v="1"/>
  </r>
  <r>
    <s v="istree_exp5_numerical_stability_vs_time/step10325.txt"/>
    <x v="1"/>
    <m/>
    <s v="reclaimer_debra"/>
    <s v="allocator_new"/>
    <s v="pool_none"/>
    <n v="4000"/>
    <n v="0"/>
    <n v="0"/>
    <n v="0"/>
    <n v="1"/>
    <n v="200000000"/>
    <n v="190"/>
    <n v="190"/>
    <n v="190"/>
    <n v="0"/>
    <s v="insertIfAbsent"/>
    <n v="1.00001122084548E+16"/>
    <n v="100000000"/>
    <n v="1.00001122084548E+16"/>
    <n v="100000000"/>
    <s v="success"/>
    <n v="33"/>
    <n v="57144372"/>
    <n v="42855629"/>
    <n v="100000001"/>
    <n v="100000000"/>
    <n v="1.7499499999999999"/>
    <n v="2.3334199999999998"/>
    <n v="2"/>
    <n v="26.087499999999999"/>
    <n v="5600000056"/>
    <m/>
    <m/>
    <m/>
    <s v="778 2554"/>
    <m/>
    <m/>
    <n v="277636149"/>
    <n v="0"/>
    <n v="0"/>
    <n v="277636149"/>
    <n v="277636149"/>
    <n v="69409037"/>
    <n v="0"/>
    <n v="0"/>
    <n v="69409037"/>
    <n v="69409037"/>
    <n v="40.812100000000001"/>
    <n v="19.465299999999999"/>
    <n v="7621.82"/>
    <n v="6165.25"/>
    <n v="7575"/>
    <n v="2747"/>
    <x v="11"/>
    <x v="2"/>
  </r>
  <r>
    <s v="istree_exp5_numerical_stability_vs_time/step10326.txt"/>
    <x v="1"/>
    <m/>
    <s v="reclaimer_debra"/>
    <s v="allocator_new"/>
    <s v="pool_none"/>
    <n v="8000"/>
    <n v="0"/>
    <n v="0"/>
    <n v="0"/>
    <n v="1"/>
    <n v="200000000"/>
    <n v="190"/>
    <n v="190"/>
    <n v="190"/>
    <n v="0"/>
    <s v="insertIfAbsent"/>
    <n v="1.00006108989361E+16"/>
    <n v="100000000"/>
    <n v="1.00006108989361E+16"/>
    <n v="100000000"/>
    <s v="success"/>
    <n v="33"/>
    <n v="57142722"/>
    <n v="42857279"/>
    <n v="100000001"/>
    <n v="100000000"/>
    <n v="1.75"/>
    <n v="2.3333300000000001"/>
    <n v="2"/>
    <n v="26.076699999999999"/>
    <n v="5600000056"/>
    <m/>
    <m/>
    <m/>
    <s v="776 4152"/>
    <m/>
    <m/>
    <n v="555277845"/>
    <n v="0"/>
    <n v="0"/>
    <n v="555277845"/>
    <n v="555277845"/>
    <n v="69409730"/>
    <n v="0"/>
    <n v="0"/>
    <n v="69409730"/>
    <n v="69409730"/>
    <n v="41.733899999999998"/>
    <n v="19.661999999999999"/>
    <n v="7620.65"/>
    <n v="6157.4"/>
    <n v="7576"/>
    <n v="2818"/>
    <x v="11"/>
    <x v="3"/>
  </r>
  <r>
    <s v="istree_exp5_numerical_stability_vs_time/step10327.txt"/>
    <x v="1"/>
    <m/>
    <s v="reclaimer_debra"/>
    <s v="allocator_new"/>
    <s v="pool_none"/>
    <n v="16000"/>
    <n v="0"/>
    <n v="0"/>
    <n v="0"/>
    <n v="1"/>
    <n v="200000000"/>
    <n v="190"/>
    <n v="190"/>
    <n v="190"/>
    <n v="0"/>
    <s v="insertIfAbsent"/>
    <n v="1.00001449772393E+16"/>
    <n v="100000000"/>
    <n v="1.00001449772393E+16"/>
    <n v="100000000"/>
    <s v="success"/>
    <n v="33"/>
    <n v="57143322"/>
    <n v="42856679"/>
    <n v="100000001"/>
    <n v="100000000"/>
    <n v="1.7499899999999999"/>
    <n v="2.3333599999999999"/>
    <n v="2"/>
    <n v="26.036000000000001"/>
    <n v="5600000056"/>
    <m/>
    <m/>
    <m/>
    <s v="780 7384"/>
    <m/>
    <m/>
    <n v="1113895570"/>
    <n v="0"/>
    <n v="0"/>
    <n v="1113895570"/>
    <n v="1113895570"/>
    <n v="69618473"/>
    <n v="0"/>
    <n v="0"/>
    <n v="69618473"/>
    <n v="69618473"/>
    <n v="41.828200000000002"/>
    <n v="19.852900000000002"/>
    <n v="7596.73"/>
    <n v="6122.22"/>
    <n v="7576"/>
    <n v="2781"/>
    <x v="11"/>
    <x v="4"/>
  </r>
  <r>
    <s v="istree_exp5_numerical_stability_vs_time/step10328.txt"/>
    <x v="1"/>
    <m/>
    <s v="reclaimer_debra"/>
    <s v="allocator_new"/>
    <s v="pool_none"/>
    <n v="32000"/>
    <n v="0"/>
    <n v="0"/>
    <n v="0"/>
    <n v="1"/>
    <n v="200000000"/>
    <n v="190"/>
    <n v="190"/>
    <n v="190"/>
    <n v="0"/>
    <s v="insertIfAbsent"/>
    <n v="9999920455273810"/>
    <n v="100000000"/>
    <n v="9999920455273810"/>
    <n v="100000000"/>
    <s v="success"/>
    <n v="33"/>
    <n v="57141822"/>
    <n v="42858179"/>
    <n v="100000001"/>
    <n v="100000000"/>
    <n v="1.75003"/>
    <n v="2.3332799999999998"/>
    <n v="2"/>
    <n v="26.092400000000001"/>
    <n v="5600000056"/>
    <m/>
    <m/>
    <m/>
    <s v="776 13974"/>
    <m/>
    <m/>
    <n v="2266792985"/>
    <n v="0"/>
    <n v="0"/>
    <n v="2266792985"/>
    <n v="2266792985"/>
    <n v="70837280"/>
    <n v="0"/>
    <n v="0"/>
    <n v="70837280"/>
    <n v="70837280"/>
    <n v="40.720100000000002"/>
    <n v="20.038"/>
    <n v="7466.55"/>
    <n v="5993.87"/>
    <n v="7574"/>
    <n v="2749"/>
    <x v="11"/>
    <x v="5"/>
  </r>
  <r>
    <s v="istree_exp5_numerical_stability_vs_time/step10329.txt"/>
    <x v="1"/>
    <m/>
    <s v="reclaimer_debra"/>
    <s v="allocator_new"/>
    <s v="pool_none"/>
    <n v="64000"/>
    <n v="0"/>
    <n v="0"/>
    <n v="0"/>
    <n v="1"/>
    <n v="200000000"/>
    <n v="190"/>
    <n v="190"/>
    <n v="190"/>
    <n v="0"/>
    <s v="insertIfAbsent"/>
    <n v="1.00002462685677E+16"/>
    <n v="100000000"/>
    <n v="1.00002462685677E+16"/>
    <n v="100000000"/>
    <s v="success"/>
    <n v="33"/>
    <n v="57143396"/>
    <n v="42856605"/>
    <n v="100000001"/>
    <n v="100000000"/>
    <n v="1.7499800000000001"/>
    <n v="2.3333599999999999"/>
    <n v="2"/>
    <n v="26.0562"/>
    <n v="5600000056"/>
    <m/>
    <m/>
    <m/>
    <s v="772 27128"/>
    <m/>
    <m/>
    <n v="4554186120"/>
    <n v="0"/>
    <n v="0"/>
    <n v="4554186120"/>
    <n v="4554186120"/>
    <n v="71159158"/>
    <n v="0"/>
    <n v="0"/>
    <n v="71159158"/>
    <n v="71159158"/>
    <n v="40.900500000000001"/>
    <n v="20.224699999999999"/>
    <n v="7431.08"/>
    <n v="5956.82"/>
    <n v="7577"/>
    <n v="2764"/>
    <x v="11"/>
    <x v="6"/>
  </r>
  <r>
    <s v="istree_exp5_numerical_stability_vs_time/step10330.txt"/>
    <x v="3"/>
    <m/>
    <s v="reclaimer_debra"/>
    <s v="allocator_new"/>
    <s v="pool_none"/>
    <n v="1000"/>
    <n v="0"/>
    <n v="0"/>
    <n v="0"/>
    <n v="1"/>
    <n v="200000000"/>
    <n v="190"/>
    <n v="190"/>
    <n v="190"/>
    <n v="0"/>
    <s v="insertIfAbsent"/>
    <n v="1.00004013626494E+16"/>
    <n v="100000000"/>
    <n v="1.00004013626494E+16"/>
    <n v="100000000"/>
    <s v="success"/>
    <n v="69"/>
    <n v="99999999"/>
    <n v="100000000"/>
    <n v="199999999"/>
    <n v="100000000"/>
    <n v="2"/>
    <n v="1"/>
    <n v="1.5"/>
    <n v="36.210500000000003"/>
    <n v="6399999968"/>
    <m/>
    <m/>
    <m/>
    <s v="740 1270"/>
    <m/>
    <m/>
    <n v="58408178"/>
    <n v="0"/>
    <n v="0"/>
    <n v="58408178"/>
    <n v="58408178"/>
    <n v="58408178"/>
    <n v="0"/>
    <n v="0"/>
    <n v="58408178"/>
    <n v="58408178"/>
    <n v="38.144399999999997"/>
    <n v="18.776"/>
    <n v="9058.64"/>
    <n v="7925.79"/>
    <n v="7575"/>
    <n v="2833"/>
    <x v="11"/>
    <x v="0"/>
  </r>
  <r>
    <s v="istree_exp5_numerical_stability_vs_time/step10331.txt"/>
    <x v="3"/>
    <m/>
    <s v="reclaimer_debra"/>
    <s v="allocator_new"/>
    <s v="pool_none"/>
    <n v="2000"/>
    <n v="0"/>
    <n v="0"/>
    <n v="0"/>
    <n v="1"/>
    <n v="200000000"/>
    <n v="190"/>
    <n v="190"/>
    <n v="190"/>
    <n v="0"/>
    <s v="insertIfAbsent"/>
    <n v="1.00000907366844E+16"/>
    <n v="100000000"/>
    <n v="1.00000907366844E+16"/>
    <n v="100000000"/>
    <s v="success"/>
    <n v="69"/>
    <n v="99999999"/>
    <n v="100000000"/>
    <n v="199999999"/>
    <n v="100000000"/>
    <n v="2"/>
    <n v="1"/>
    <n v="1.5"/>
    <n v="35.929400000000001"/>
    <n v="6399999968"/>
    <m/>
    <m/>
    <m/>
    <s v="738 1600"/>
    <m/>
    <m/>
    <n v="116923913"/>
    <n v="0"/>
    <n v="0"/>
    <n v="116923913"/>
    <n v="116923913"/>
    <n v="58461956"/>
    <n v="0"/>
    <n v="0"/>
    <n v="58461956"/>
    <n v="58461956"/>
    <n v="38.082900000000002"/>
    <n v="18.814900000000002"/>
    <n v="9051.08"/>
    <n v="7913.39"/>
    <n v="7575"/>
    <n v="2815"/>
    <x v="11"/>
    <x v="1"/>
  </r>
  <r>
    <s v="istree_exp5_numerical_stability_vs_time/step10332.txt"/>
    <x v="3"/>
    <m/>
    <s v="reclaimer_debra"/>
    <s v="allocator_new"/>
    <s v="pool_none"/>
    <n v="4000"/>
    <n v="0"/>
    <n v="0"/>
    <n v="0"/>
    <n v="1"/>
    <n v="200000000"/>
    <n v="190"/>
    <n v="190"/>
    <n v="190"/>
    <n v="0"/>
    <s v="insertIfAbsent"/>
    <n v="1.000001148383E+16"/>
    <n v="100000000"/>
    <n v="1.000001148383E+16"/>
    <n v="100000000"/>
    <s v="success"/>
    <n v="69"/>
    <n v="99999999"/>
    <n v="100000000"/>
    <n v="199999999"/>
    <n v="100000000"/>
    <n v="2"/>
    <n v="1"/>
    <n v="1.5"/>
    <n v="35.416400000000003"/>
    <n v="6399999968"/>
    <m/>
    <m/>
    <m/>
    <s v="742 2278"/>
    <m/>
    <m/>
    <n v="235012036"/>
    <n v="0"/>
    <n v="0"/>
    <n v="235012036"/>
    <n v="235012036"/>
    <n v="58753009"/>
    <n v="0"/>
    <n v="0"/>
    <n v="58753009"/>
    <n v="58753009"/>
    <n v="38.1188"/>
    <n v="18.920500000000001"/>
    <n v="9004.61"/>
    <n v="7867.79"/>
    <n v="7575"/>
    <n v="2845"/>
    <x v="11"/>
    <x v="2"/>
  </r>
  <r>
    <s v="istree_exp5_numerical_stability_vs_time/step10333.txt"/>
    <x v="3"/>
    <m/>
    <s v="reclaimer_debra"/>
    <s v="allocator_new"/>
    <s v="pool_none"/>
    <n v="8000"/>
    <n v="0"/>
    <n v="0"/>
    <n v="0"/>
    <n v="1"/>
    <n v="200000000"/>
    <n v="190"/>
    <n v="190"/>
    <n v="190"/>
    <n v="0"/>
    <s v="insertIfAbsent"/>
    <n v="9999157505797570"/>
    <n v="100000000"/>
    <n v="9999157505797570"/>
    <n v="100000000"/>
    <s v="success"/>
    <n v="70"/>
    <n v="99999999"/>
    <n v="100000000"/>
    <n v="199999999"/>
    <n v="100000000"/>
    <n v="2"/>
    <n v="1"/>
    <n v="1.5"/>
    <n v="35.766599999999997"/>
    <n v="6399999968"/>
    <m/>
    <m/>
    <m/>
    <s v="740 3612"/>
    <m/>
    <m/>
    <n v="470453906"/>
    <n v="0"/>
    <n v="0"/>
    <n v="470453906"/>
    <n v="470453906"/>
    <n v="58806738"/>
    <n v="0"/>
    <n v="0"/>
    <n v="58806738"/>
    <n v="58806738"/>
    <n v="38.221600000000002"/>
    <n v="19.026599999999998"/>
    <n v="8996.98"/>
    <n v="7849.72"/>
    <n v="7573"/>
    <n v="2851"/>
    <x v="11"/>
    <x v="3"/>
  </r>
  <r>
    <s v="istree_exp5_numerical_stability_vs_time/step10334.txt"/>
    <x v="3"/>
    <m/>
    <s v="reclaimer_debra"/>
    <s v="allocator_new"/>
    <s v="pool_none"/>
    <n v="16000"/>
    <n v="0"/>
    <n v="0"/>
    <n v="0"/>
    <n v="1"/>
    <n v="200000000"/>
    <n v="190"/>
    <n v="190"/>
    <n v="190"/>
    <n v="0"/>
    <s v="insertIfAbsent"/>
    <n v="1.00005683474583E+16"/>
    <n v="100000000"/>
    <n v="1.00005683474583E+16"/>
    <n v="100000000"/>
    <s v="success"/>
    <n v="68"/>
    <n v="99999999"/>
    <n v="100000000"/>
    <n v="199999999"/>
    <n v="100000000"/>
    <n v="2"/>
    <n v="1"/>
    <n v="1.5"/>
    <n v="35.542299999999997"/>
    <n v="6399999968"/>
    <m/>
    <m/>
    <m/>
    <s v="734 6328"/>
    <m/>
    <m/>
    <n v="948313450"/>
    <n v="0"/>
    <n v="0"/>
    <n v="948313450"/>
    <n v="948313450"/>
    <n v="59269590"/>
    <n v="0"/>
    <n v="0"/>
    <n v="59269590"/>
    <n v="59269590"/>
    <n v="38.189"/>
    <n v="19.161799999999999"/>
    <n v="8927.1200000000008"/>
    <n v="7778.54"/>
    <n v="7574"/>
    <n v="2834"/>
    <x v="11"/>
    <x v="4"/>
  </r>
  <r>
    <s v="istree_exp5_numerical_stability_vs_time/step10335.txt"/>
    <x v="3"/>
    <m/>
    <s v="reclaimer_debra"/>
    <s v="allocator_new"/>
    <s v="pool_none"/>
    <n v="32000"/>
    <n v="0"/>
    <n v="0"/>
    <n v="0"/>
    <n v="1"/>
    <n v="200000000"/>
    <n v="190"/>
    <n v="190"/>
    <n v="190"/>
    <n v="0"/>
    <s v="insertIfAbsent"/>
    <n v="9999945620347970"/>
    <n v="100000000"/>
    <n v="9999945620347970"/>
    <n v="100000000"/>
    <s v="success"/>
    <n v="69"/>
    <n v="99999999"/>
    <n v="100000000"/>
    <n v="199999999"/>
    <n v="100000000"/>
    <n v="2"/>
    <n v="1"/>
    <n v="1.5"/>
    <n v="35.541200000000003"/>
    <n v="6399999968"/>
    <m/>
    <m/>
    <m/>
    <s v="740 11772"/>
    <m/>
    <m/>
    <n v="1907452214"/>
    <n v="0"/>
    <n v="0"/>
    <n v="1907452214"/>
    <n v="1907452214"/>
    <n v="59607881"/>
    <n v="0"/>
    <n v="0"/>
    <n v="59607881"/>
    <n v="59607881"/>
    <n v="38.304299999999998"/>
    <n v="19.304400000000001"/>
    <n v="8875.8799999999992"/>
    <n v="7723.96"/>
    <n v="7576"/>
    <n v="2840"/>
    <x v="11"/>
    <x v="5"/>
  </r>
  <r>
    <s v="istree_exp5_numerical_stability_vs_time/step10336.txt"/>
    <x v="3"/>
    <m/>
    <s v="reclaimer_debra"/>
    <s v="allocator_new"/>
    <s v="pool_none"/>
    <n v="64000"/>
    <n v="0"/>
    <n v="0"/>
    <n v="0"/>
    <n v="1"/>
    <n v="200000000"/>
    <n v="190"/>
    <n v="190"/>
    <n v="190"/>
    <n v="0"/>
    <s v="insertIfAbsent"/>
    <n v="9999926618841520"/>
    <n v="100000000"/>
    <n v="9999926618841520"/>
    <n v="100000000"/>
    <s v="success"/>
    <n v="68"/>
    <n v="99999999"/>
    <n v="100000000"/>
    <n v="199999999"/>
    <n v="100000000"/>
    <n v="2"/>
    <n v="1"/>
    <n v="1.5"/>
    <n v="35.515300000000003"/>
    <n v="6399999968"/>
    <m/>
    <m/>
    <m/>
    <s v="738 22804"/>
    <m/>
    <m/>
    <n v="3844571470"/>
    <n v="0"/>
    <n v="0"/>
    <n v="3844571470"/>
    <n v="3844571470"/>
    <n v="60071429"/>
    <n v="0"/>
    <n v="0"/>
    <n v="60071429"/>
    <n v="60071429"/>
    <n v="38.2087"/>
    <n v="19.462"/>
    <n v="8807.02"/>
    <n v="7652.89"/>
    <n v="7576"/>
    <n v="2831"/>
    <x v="11"/>
    <x v="6"/>
  </r>
  <r>
    <s v="istree_exp5_numerical_stability_vs_time/step10337.txt"/>
    <x v="0"/>
    <n v="72"/>
    <s v="reclaimer_debra"/>
    <s v="allocator_new"/>
    <s v="pool_none"/>
    <n v="1000"/>
    <n v="20"/>
    <n v="20"/>
    <n v="0"/>
    <n v="1"/>
    <n v="2000000"/>
    <n v="190"/>
    <n v="190"/>
    <n v="190"/>
    <n v="0"/>
    <s v="insertIfAbsent"/>
    <n v="999730841833"/>
    <n v="1000031"/>
    <n v="999730841833"/>
    <n v="1000031"/>
    <s v="success"/>
    <n v="6"/>
    <n v="33078"/>
    <n v="1032160"/>
    <n v="1065238"/>
    <n v="1000031"/>
    <n v="32.203800000000001"/>
    <n v="0.96887199999999996"/>
    <n v="1.93879"/>
    <n v="3.0000900000000001"/>
    <n v="19160784"/>
    <s v="215 176290 85229 702481"/>
    <s v="75 174398 84606 702347"/>
    <n v="777157"/>
    <n v="670"/>
    <m/>
    <m/>
    <n v="56199591"/>
    <n v="0"/>
    <n v="37464002"/>
    <n v="56199591"/>
    <n v="93663593"/>
    <n v="56199591"/>
    <n v="0"/>
    <n v="37464002"/>
    <n v="56199591"/>
    <n v="93663593"/>
    <n v="25.046099999999999"/>
    <n v="11.855600000000001"/>
    <n v="5551.89"/>
    <n v="4263.71"/>
    <n v="1560"/>
    <n v="350"/>
    <x v="2"/>
    <x v="0"/>
  </r>
  <r>
    <s v="istree_exp5_numerical_stability_vs_time/step10338.txt"/>
    <x v="0"/>
    <n v="72"/>
    <s v="reclaimer_debra"/>
    <s v="allocator_new"/>
    <s v="pool_none"/>
    <n v="2000"/>
    <n v="20"/>
    <n v="20"/>
    <n v="0"/>
    <n v="1"/>
    <n v="2000000"/>
    <n v="190"/>
    <n v="190"/>
    <n v="190"/>
    <n v="0"/>
    <s v="insertIfAbsent"/>
    <n v="999031886501"/>
    <n v="999587"/>
    <n v="999031886501"/>
    <n v="999587"/>
    <s v="success"/>
    <n v="6"/>
    <n v="33043"/>
    <n v="1031669"/>
    <n v="1064712"/>
    <n v="999587"/>
    <n v="32.222000000000001"/>
    <n v="0.96890299999999996"/>
    <n v="1.9388300000000001"/>
    <n v="3.0000800000000001"/>
    <n v="19150128"/>
    <s v="474 354903 172370 1414295"/>
    <s v="151 351131 171124 1414021"/>
    <n v="1558907"/>
    <n v="1350"/>
    <m/>
    <m/>
    <n v="113130716"/>
    <n v="0"/>
    <n v="75419299"/>
    <n v="113130716"/>
    <n v="188550015"/>
    <n v="56565358"/>
    <n v="0"/>
    <n v="37709649"/>
    <n v="56565358"/>
    <n v="94275007"/>
    <n v="25.079000000000001"/>
    <n v="11.8872"/>
    <n v="5589.25"/>
    <n v="4307.05"/>
    <n v="1597"/>
    <n v="219"/>
    <x v="2"/>
    <x v="1"/>
  </r>
  <r>
    <s v="istree_exp5_numerical_stability_vs_time/step10339.txt"/>
    <x v="0"/>
    <n v="72"/>
    <s v="reclaimer_debra"/>
    <s v="allocator_new"/>
    <s v="pool_none"/>
    <n v="4000"/>
    <n v="20"/>
    <n v="20"/>
    <n v="0"/>
    <n v="1"/>
    <n v="2000000"/>
    <n v="190"/>
    <n v="190"/>
    <n v="190"/>
    <n v="0"/>
    <s v="insertIfAbsent"/>
    <n v="999769241739"/>
    <n v="999423"/>
    <n v="999769241739"/>
    <n v="999423"/>
    <s v="success"/>
    <n v="6"/>
    <n v="33041"/>
    <n v="1031514"/>
    <n v="1064555"/>
    <n v="999423"/>
    <n v="32.219200000000001"/>
    <n v="0.968889"/>
    <n v="1.93882"/>
    <n v="3.0000800000000001"/>
    <n v="19147488"/>
    <s v="937 712759 346668 2842418"/>
    <s v="303 705194 344175 2841854"/>
    <n v="3117693"/>
    <n v="2716"/>
    <m/>
    <m/>
    <n v="227112450"/>
    <n v="0"/>
    <n v="151380844"/>
    <n v="227112450"/>
    <n v="378493294"/>
    <n v="56778112"/>
    <n v="0"/>
    <n v="37845211"/>
    <n v="56778112"/>
    <n v="94623323"/>
    <n v="25.057700000000001"/>
    <n v="11.9034"/>
    <n v="5579.86"/>
    <n v="4296.46"/>
    <n v="1633"/>
    <n v="262"/>
    <x v="2"/>
    <x v="2"/>
  </r>
  <r>
    <s v="istree_exp5_numerical_stability_vs_time/step10340.txt"/>
    <x v="0"/>
    <n v="72"/>
    <s v="reclaimer_debra"/>
    <s v="allocator_new"/>
    <s v="pool_none"/>
    <n v="8000"/>
    <n v="20"/>
    <n v="20"/>
    <n v="0"/>
    <n v="1"/>
    <n v="2000000"/>
    <n v="190"/>
    <n v="190"/>
    <n v="190"/>
    <n v="0"/>
    <s v="insertIfAbsent"/>
    <n v="1000797265262"/>
    <n v="1000183"/>
    <n v="1000797265262"/>
    <n v="1000183"/>
    <s v="success"/>
    <n v="6"/>
    <n v="55038"/>
    <n v="1077316"/>
    <n v="1132354"/>
    <n v="1000183"/>
    <n v="20.574000000000002"/>
    <n v="0.92840299999999998"/>
    <n v="1.8832800000000001"/>
    <n v="3.0461200000000002"/>
    <n v="21663008"/>
    <s v="1910 1425756 695398 5686550"/>
    <s v="606 1410821 690543 5685506"/>
    <n v="6233604"/>
    <n v="5440"/>
    <m/>
    <m/>
    <n v="454634500"/>
    <n v="0"/>
    <n v="303082155"/>
    <n v="454634500"/>
    <n v="757716655"/>
    <n v="56829312"/>
    <n v="0"/>
    <n v="37885269"/>
    <n v="56829312"/>
    <n v="94714581"/>
    <n v="25.032499999999999"/>
    <n v="11.8995"/>
    <n v="5579.63"/>
    <n v="4294.47"/>
    <n v="1672"/>
    <n v="309"/>
    <x v="2"/>
    <x v="3"/>
  </r>
  <r>
    <s v="istree_exp5_numerical_stability_vs_time/step10341.txt"/>
    <x v="0"/>
    <n v="72"/>
    <s v="reclaimer_debra"/>
    <s v="allocator_new"/>
    <s v="pool_none"/>
    <n v="16000"/>
    <n v="20"/>
    <n v="20"/>
    <n v="0"/>
    <n v="1"/>
    <n v="2000000"/>
    <n v="190"/>
    <n v="190"/>
    <n v="190"/>
    <n v="0"/>
    <s v="insertIfAbsent"/>
    <n v="999513238933"/>
    <n v="999450"/>
    <n v="999513238933"/>
    <n v="999450"/>
    <s v="success"/>
    <n v="6"/>
    <n v="57834"/>
    <n v="1082493"/>
    <n v="1140327"/>
    <n v="999450"/>
    <n v="19.717199999999998"/>
    <n v="0.92328500000000002"/>
    <n v="1.87646"/>
    <n v="3.0522"/>
    <n v="21973920"/>
    <s v="3783 2849747 1384123 11363679"/>
    <s v="1212 2819653 1374492 11361620"/>
    <n v="12459224"/>
    <n v="10858"/>
    <m/>
    <m/>
    <n v="908119744"/>
    <n v="0"/>
    <n v="605462839"/>
    <n v="908119744"/>
    <n v="1513582583"/>
    <n v="56757484"/>
    <n v="0"/>
    <n v="37841427"/>
    <n v="56757484"/>
    <n v="94598911"/>
    <n v="25.0566"/>
    <n v="11.8957"/>
    <n v="5589.05"/>
    <n v="4307.8"/>
    <n v="1698"/>
    <n v="331"/>
    <x v="2"/>
    <x v="4"/>
  </r>
  <r>
    <s v="istree_exp5_numerical_stability_vs_time/step10342.txt"/>
    <x v="0"/>
    <n v="72"/>
    <s v="reclaimer_debra"/>
    <s v="allocator_new"/>
    <s v="pool_none"/>
    <n v="32000"/>
    <n v="20"/>
    <n v="20"/>
    <n v="0"/>
    <n v="1"/>
    <n v="2000000"/>
    <n v="190"/>
    <n v="190"/>
    <n v="190"/>
    <n v="0"/>
    <s v="insertIfAbsent"/>
    <n v="999909161929"/>
    <n v="1000222"/>
    <n v="999909161929"/>
    <n v="1000222"/>
    <s v="success"/>
    <n v="6"/>
    <n v="54204"/>
    <n v="1075574"/>
    <n v="1129778"/>
    <n v="1000222"/>
    <n v="20.8431"/>
    <n v="0.92994299999999996"/>
    <n v="1.88533"/>
    <n v="3.0441600000000002"/>
    <n v="21565824"/>
    <s v="7351 5682545 2761143 22664393"/>
    <s v="2416 5622266 2741568 22660196"/>
    <n v="24795190"/>
    <n v="21628"/>
    <m/>
    <m/>
    <n v="1810554122"/>
    <n v="0"/>
    <n v="1207095311"/>
    <n v="1810554122"/>
    <n v="3017649433"/>
    <n v="56579816"/>
    <n v="0"/>
    <n v="37721728"/>
    <n v="56579816"/>
    <n v="94301544"/>
    <n v="25.0565"/>
    <n v="11.9024"/>
    <n v="5604.37"/>
    <n v="4310.5200000000004"/>
    <n v="1797"/>
    <n v="284"/>
    <x v="2"/>
    <x v="5"/>
  </r>
  <r>
    <s v="istree_exp5_numerical_stability_vs_time/step10343.txt"/>
    <x v="0"/>
    <n v="72"/>
    <s v="reclaimer_debra"/>
    <s v="allocator_new"/>
    <s v="pool_none"/>
    <n v="64000"/>
    <n v="20"/>
    <n v="20"/>
    <n v="0"/>
    <n v="1"/>
    <n v="2000000"/>
    <n v="190"/>
    <n v="190"/>
    <n v="190"/>
    <n v="0"/>
    <s v="insertIfAbsent"/>
    <n v="1000199400561"/>
    <n v="999990"/>
    <n v="1000199400561"/>
    <n v="999990"/>
    <s v="success"/>
    <n v="6"/>
    <n v="52810"/>
    <n v="1071942"/>
    <n v="1124752"/>
    <n v="999990"/>
    <n v="21.298100000000002"/>
    <n v="0.93287699999999996"/>
    <n v="1.8890800000000001"/>
    <n v="3.0413899999999998"/>
    <n v="21395312"/>
    <s v="14896 11382733 5533709 45383291"/>
    <s v="4841 11261883 5494629 45375035"/>
    <n v="49902748"/>
    <n v="43314"/>
    <m/>
    <m/>
    <n v="3627072268"/>
    <n v="0"/>
    <n v="2418067679"/>
    <n v="3627072268"/>
    <n v="6045139947"/>
    <n v="56673004"/>
    <n v="0"/>
    <n v="37782307"/>
    <n v="56673004"/>
    <n v="94455311"/>
    <n v="25.061499999999999"/>
    <n v="11.9137"/>
    <n v="5592.56"/>
    <n v="4313.12"/>
    <n v="1877"/>
    <n v="264"/>
    <x v="2"/>
    <x v="6"/>
  </r>
  <r>
    <s v="istree_exp5_numerical_stability_vs_time/step10344.txt"/>
    <x v="2"/>
    <n v="208"/>
    <s v="reclaimer_debra"/>
    <s v="allocator_new"/>
    <s v="pool_none"/>
    <n v="1000"/>
    <n v="20"/>
    <n v="20"/>
    <n v="0"/>
    <n v="1"/>
    <n v="2000000"/>
    <n v="190"/>
    <n v="190"/>
    <n v="190"/>
    <n v="0"/>
    <s v="insertIfAbsent"/>
    <n v="998468653700"/>
    <n v="999011"/>
    <n v="998468653700"/>
    <n v="999011"/>
    <s v="success"/>
    <n v="8"/>
    <n v="30505"/>
    <n v="196292"/>
    <n v="226797"/>
    <n v="999011"/>
    <n v="7.4347500000000002"/>
    <n v="5.08941"/>
    <n v="5.4048699999999998"/>
    <n v="7"/>
    <n v="47173776"/>
    <m/>
    <m/>
    <m/>
    <n v="1550"/>
    <m/>
    <m/>
    <n v="72787805"/>
    <n v="0"/>
    <n v="48525626"/>
    <n v="72787805"/>
    <n v="121313431"/>
    <n v="72787805"/>
    <n v="0"/>
    <n v="48525626"/>
    <n v="72787805"/>
    <n v="121313431"/>
    <n v="15.673400000000001"/>
    <n v="5.7523200000000001"/>
    <n v="3879.27"/>
    <n v="1661.63"/>
    <n v="1262"/>
    <n v="324"/>
    <x v="2"/>
    <x v="0"/>
  </r>
  <r>
    <s v="istree_exp5_numerical_stability_vs_time/step10345.txt"/>
    <x v="2"/>
    <n v="208"/>
    <s v="reclaimer_debra"/>
    <s v="allocator_new"/>
    <s v="pool_none"/>
    <n v="2000"/>
    <n v="20"/>
    <n v="20"/>
    <n v="0"/>
    <n v="1"/>
    <n v="2000000"/>
    <n v="190"/>
    <n v="190"/>
    <n v="190"/>
    <n v="0"/>
    <s v="insertIfAbsent"/>
    <n v="1000247924137"/>
    <n v="1000542"/>
    <n v="1000247924137"/>
    <n v="1000542"/>
    <s v="success"/>
    <n v="8"/>
    <n v="31998"/>
    <n v="196165"/>
    <n v="228163"/>
    <n v="1000542"/>
    <n v="7.1305399999999999"/>
    <n v="5.1005099999999999"/>
    <n v="5.3852099999999998"/>
    <n v="7"/>
    <n v="47457904"/>
    <m/>
    <m/>
    <m/>
    <s v="240 2966"/>
    <m/>
    <m/>
    <n v="143949664"/>
    <n v="0"/>
    <n v="95995189"/>
    <n v="143949664"/>
    <n v="239944853"/>
    <n v="71974832"/>
    <n v="0"/>
    <n v="47997594"/>
    <n v="71974832"/>
    <n v="119972426"/>
    <n v="15.680899999999999"/>
    <n v="5.8284399999999996"/>
    <n v="3906.56"/>
    <n v="1672.09"/>
    <n v="1270"/>
    <n v="298"/>
    <x v="2"/>
    <x v="1"/>
  </r>
  <r>
    <s v="istree_exp5_numerical_stability_vs_time/step10346.txt"/>
    <x v="2"/>
    <n v="208"/>
    <s v="reclaimer_debra"/>
    <s v="allocator_new"/>
    <s v="pool_none"/>
    <n v="4000"/>
    <n v="20"/>
    <n v="20"/>
    <n v="0"/>
    <n v="1"/>
    <n v="2000000"/>
    <n v="190"/>
    <n v="190"/>
    <n v="190"/>
    <n v="0"/>
    <s v="insertIfAbsent"/>
    <n v="999549302655"/>
    <n v="999228"/>
    <n v="999549302655"/>
    <n v="999228"/>
    <s v="success"/>
    <n v="8"/>
    <n v="33279"/>
    <n v="195181"/>
    <n v="228460"/>
    <n v="999228"/>
    <n v="6.8649899999999997"/>
    <n v="5.1194899999999999"/>
    <n v="5.3737500000000002"/>
    <n v="7"/>
    <n v="47519680"/>
    <m/>
    <m/>
    <m/>
    <s v="242 5688"/>
    <m/>
    <m/>
    <n v="292068051"/>
    <n v="0"/>
    <n v="194708367"/>
    <n v="292068051"/>
    <n v="486776418"/>
    <n v="73017012"/>
    <n v="0"/>
    <n v="48677091"/>
    <n v="73017012"/>
    <n v="121694104"/>
    <n v="15.789199999999999"/>
    <n v="5.8304600000000004"/>
    <n v="3901.15"/>
    <n v="1691.44"/>
    <n v="1273"/>
    <n v="312"/>
    <x v="2"/>
    <x v="2"/>
  </r>
  <r>
    <s v="istree_exp5_numerical_stability_vs_time/step10347.txt"/>
    <x v="2"/>
    <n v="208"/>
    <s v="reclaimer_debra"/>
    <s v="allocator_new"/>
    <s v="pool_none"/>
    <n v="8000"/>
    <n v="20"/>
    <n v="20"/>
    <n v="0"/>
    <n v="1"/>
    <n v="2000000"/>
    <n v="190"/>
    <n v="190"/>
    <n v="190"/>
    <n v="0"/>
    <s v="insertIfAbsent"/>
    <n v="1000672884178"/>
    <n v="999764"/>
    <n v="1000672884178"/>
    <n v="999764"/>
    <s v="success"/>
    <n v="8"/>
    <n v="34261"/>
    <n v="195142"/>
    <n v="229403"/>
    <n v="999764"/>
    <n v="6.6957500000000003"/>
    <n v="5.1232600000000001"/>
    <n v="5.3581099999999999"/>
    <n v="7"/>
    <n v="47715824"/>
    <m/>
    <m/>
    <m/>
    <n v="11082"/>
    <m/>
    <m/>
    <n v="588583151"/>
    <n v="0"/>
    <n v="392378614"/>
    <n v="588583151"/>
    <n v="980961765"/>
    <n v="73572893"/>
    <n v="0"/>
    <n v="49047326"/>
    <n v="73572893"/>
    <n v="122620220"/>
    <n v="15.9122"/>
    <n v="5.8646200000000004"/>
    <n v="3889.1"/>
    <n v="1685.25"/>
    <n v="1279"/>
    <n v="323"/>
    <x v="2"/>
    <x v="3"/>
  </r>
  <r>
    <s v="istree_exp5_numerical_stability_vs_time/step10348.txt"/>
    <x v="2"/>
    <n v="208"/>
    <s v="reclaimer_debra"/>
    <s v="allocator_new"/>
    <s v="pool_none"/>
    <n v="16000"/>
    <n v="20"/>
    <n v="20"/>
    <n v="0"/>
    <n v="1"/>
    <n v="2000000"/>
    <n v="190"/>
    <n v="190"/>
    <n v="190"/>
    <n v="0"/>
    <s v="insertIfAbsent"/>
    <n v="998864875424"/>
    <n v="998676"/>
    <n v="998864875424"/>
    <n v="998676"/>
    <s v="success"/>
    <n v="8"/>
    <n v="35070"/>
    <n v="194758"/>
    <n v="229828"/>
    <n v="998676"/>
    <n v="6.5534100000000004"/>
    <n v="5.1277799999999996"/>
    <n v="5.3453200000000001"/>
    <n v="7"/>
    <n v="47804224"/>
    <m/>
    <m/>
    <m/>
    <n v="21808"/>
    <m/>
    <m/>
    <n v="1188774311"/>
    <n v="0"/>
    <n v="792564018"/>
    <n v="1188774311"/>
    <n v="1981338329"/>
    <n v="74298394"/>
    <n v="0"/>
    <n v="49535251"/>
    <n v="74298394"/>
    <n v="123833645"/>
    <n v="15.977399999999999"/>
    <n v="5.8651999999999997"/>
    <n v="3879.27"/>
    <n v="1690.36"/>
    <n v="1282"/>
    <n v="304"/>
    <x v="2"/>
    <x v="4"/>
  </r>
  <r>
    <s v="istree_exp5_numerical_stability_vs_time/step10349.txt"/>
    <x v="2"/>
    <n v="208"/>
    <s v="reclaimer_debra"/>
    <s v="allocator_new"/>
    <s v="pool_none"/>
    <n v="32000"/>
    <n v="20"/>
    <n v="20"/>
    <n v="0"/>
    <n v="1"/>
    <n v="2000000"/>
    <n v="190"/>
    <n v="190"/>
    <n v="190"/>
    <n v="0"/>
    <s v="insertIfAbsent"/>
    <n v="999484372735"/>
    <n v="999717"/>
    <n v="999484372735"/>
    <n v="999717"/>
    <s v="success"/>
    <n v="8"/>
    <n v="35966"/>
    <n v="194600"/>
    <n v="230566"/>
    <n v="999717"/>
    <n v="6.4106699999999996"/>
    <n v="5.1372900000000001"/>
    <n v="5.3359300000000003"/>
    <n v="7"/>
    <n v="47957728"/>
    <m/>
    <m/>
    <m/>
    <n v="43502"/>
    <m/>
    <m/>
    <n v="2362791323"/>
    <n v="0"/>
    <n v="1575110205"/>
    <n v="2362791323"/>
    <n v="3937901528"/>
    <n v="73837228"/>
    <n v="0"/>
    <n v="49222193"/>
    <n v="73837228"/>
    <n v="123059422"/>
    <n v="16.103999999999999"/>
    <n v="5.8792299999999997"/>
    <n v="3887.36"/>
    <n v="1691.02"/>
    <n v="1375"/>
    <n v="307"/>
    <x v="2"/>
    <x v="5"/>
  </r>
  <r>
    <s v="istree_exp5_numerical_stability_vs_time/step10350.txt"/>
    <x v="2"/>
    <n v="208"/>
    <s v="reclaimer_debra"/>
    <s v="allocator_new"/>
    <s v="pool_none"/>
    <n v="64000"/>
    <n v="20"/>
    <n v="20"/>
    <n v="0"/>
    <n v="1"/>
    <n v="2000000"/>
    <n v="190"/>
    <n v="190"/>
    <n v="190"/>
    <n v="0"/>
    <s v="insertIfAbsent"/>
    <n v="1000031208718"/>
    <n v="1000053"/>
    <n v="1000031208718"/>
    <n v="1000053"/>
    <s v="success"/>
    <n v="8"/>
    <n v="36676"/>
    <n v="194524"/>
    <n v="231200"/>
    <n v="1000053"/>
    <n v="6.3038499999999997"/>
    <n v="5.1410299999999998"/>
    <n v="5.3254900000000003"/>
    <n v="7"/>
    <n v="48089600"/>
    <m/>
    <m/>
    <m/>
    <n v="86274"/>
    <m/>
    <m/>
    <n v="4744774839"/>
    <n v="0"/>
    <n v="3163325773"/>
    <n v="4744774839"/>
    <n v="7908100612"/>
    <n v="74137106"/>
    <n v="0"/>
    <n v="49426965"/>
    <n v="74137106"/>
    <n v="123564072"/>
    <n v="16.183599999999998"/>
    <n v="5.8998600000000003"/>
    <n v="3889.79"/>
    <n v="1695.34"/>
    <n v="1416"/>
    <n v="332"/>
    <x v="2"/>
    <x v="6"/>
  </r>
  <r>
    <s v="istree_exp5_numerical_stability_vs_time/step10351.txt"/>
    <x v="1"/>
    <m/>
    <s v="reclaimer_debra"/>
    <s v="allocator_new"/>
    <s v="pool_none"/>
    <n v="1000"/>
    <n v="20"/>
    <n v="20"/>
    <n v="0"/>
    <n v="1"/>
    <n v="2000000"/>
    <n v="190"/>
    <n v="190"/>
    <n v="190"/>
    <n v="0"/>
    <s v="insertIfAbsent"/>
    <n v="1000409563326"/>
    <n v="1000155"/>
    <n v="1000409563326"/>
    <n v="1000155"/>
    <s v="success"/>
    <n v="25"/>
    <n v="685937"/>
    <n v="520545"/>
    <n v="1206482"/>
    <n v="1000155"/>
    <n v="1.75888"/>
    <n v="1.92136"/>
    <n v="1.8289800000000001"/>
    <n v="19.8825"/>
    <n v="67562992"/>
    <m/>
    <m/>
    <m/>
    <n v="1082"/>
    <m/>
    <m/>
    <n v="81426029"/>
    <n v="0"/>
    <n v="54278762"/>
    <n v="81426029"/>
    <n v="135704791"/>
    <n v="81426029"/>
    <n v="0"/>
    <n v="54278762"/>
    <n v="81426029"/>
    <n v="135704791"/>
    <n v="20.525400000000001"/>
    <n v="4.9614099999999999"/>
    <n v="3867.05"/>
    <n v="1972.07"/>
    <n v="1239"/>
    <n v="232"/>
    <x v="2"/>
    <x v="0"/>
  </r>
  <r>
    <s v="istree_exp5_numerical_stability_vs_time/step10352.txt"/>
    <x v="1"/>
    <m/>
    <s v="reclaimer_debra"/>
    <s v="allocator_new"/>
    <s v="pool_none"/>
    <n v="2000"/>
    <n v="20"/>
    <n v="20"/>
    <n v="0"/>
    <n v="1"/>
    <n v="2000000"/>
    <n v="190"/>
    <n v="190"/>
    <n v="190"/>
    <n v="0"/>
    <s v="insertIfAbsent"/>
    <n v="1000856632645"/>
    <n v="999934"/>
    <n v="1000856632645"/>
    <n v="999934"/>
    <s v="success"/>
    <n v="25"/>
    <n v="686113"/>
    <n v="520293"/>
    <n v="1206406"/>
    <n v="999934"/>
    <n v="1.7583200000000001"/>
    <n v="1.92187"/>
    <n v="1.8288500000000001"/>
    <n v="19.843800000000002"/>
    <n v="67558736"/>
    <m/>
    <m/>
    <m/>
    <n v="2092"/>
    <m/>
    <m/>
    <n v="171192095"/>
    <n v="0"/>
    <n v="114134775"/>
    <n v="171192095"/>
    <n v="285326870"/>
    <n v="85596047"/>
    <n v="0"/>
    <n v="57067387"/>
    <n v="85596047"/>
    <n v="142663435"/>
    <n v="20.842099999999999"/>
    <n v="4.9802600000000004"/>
    <n v="3671.38"/>
    <n v="1972.47"/>
    <n v="1249"/>
    <n v="363"/>
    <x v="2"/>
    <x v="1"/>
  </r>
  <r>
    <s v="istree_exp5_numerical_stability_vs_time/step10353.txt"/>
    <x v="1"/>
    <m/>
    <s v="reclaimer_debra"/>
    <s v="allocator_new"/>
    <s v="pool_none"/>
    <n v="4000"/>
    <n v="20"/>
    <n v="20"/>
    <n v="0"/>
    <n v="1"/>
    <n v="2000000"/>
    <n v="190"/>
    <n v="190"/>
    <n v="190"/>
    <n v="0"/>
    <s v="insertIfAbsent"/>
    <n v="1000110422309"/>
    <n v="1000197"/>
    <n v="1000110422309"/>
    <n v="1000197"/>
    <s v="success"/>
    <n v="25"/>
    <n v="686064"/>
    <n v="520186"/>
    <n v="1206250"/>
    <n v="1000197"/>
    <n v="1.7582199999999999"/>
    <n v="1.9227700000000001"/>
    <n v="1.82918"/>
    <n v="19.8461"/>
    <n v="67550000"/>
    <m/>
    <m/>
    <m/>
    <n v="3878"/>
    <m/>
    <m/>
    <n v="342575671"/>
    <n v="0"/>
    <n v="228376091"/>
    <n v="342575671"/>
    <n v="570951762"/>
    <n v="85643917"/>
    <n v="0"/>
    <n v="57094022"/>
    <n v="85643917"/>
    <n v="142737940"/>
    <n v="21.198499999999999"/>
    <n v="4.9561900000000003"/>
    <n v="3677.63"/>
    <n v="2053.64"/>
    <n v="1253"/>
    <n v="368"/>
    <x v="2"/>
    <x v="2"/>
  </r>
  <r>
    <s v="istree_exp5_numerical_stability_vs_time/step10354.txt"/>
    <x v="1"/>
    <m/>
    <s v="reclaimer_debra"/>
    <s v="allocator_new"/>
    <s v="pool_none"/>
    <n v="8000"/>
    <n v="20"/>
    <n v="20"/>
    <n v="0"/>
    <n v="1"/>
    <n v="2000000"/>
    <n v="190"/>
    <n v="190"/>
    <n v="190"/>
    <n v="0"/>
    <s v="insertIfAbsent"/>
    <n v="1000659586390"/>
    <n v="1000615"/>
    <n v="1000659586390"/>
    <n v="1000615"/>
    <s v="success"/>
    <n v="25"/>
    <n v="685802"/>
    <n v="520230"/>
    <n v="1206032"/>
    <n v="1000615"/>
    <n v="1.75857"/>
    <n v="1.9234100000000001"/>
    <n v="1.82968"/>
    <n v="19.8261"/>
    <n v="67537792"/>
    <m/>
    <m/>
    <m/>
    <n v="7300"/>
    <m/>
    <m/>
    <n v="682978766"/>
    <n v="0"/>
    <n v="455302306"/>
    <n v="682978766"/>
    <n v="1138281072"/>
    <n v="85372345"/>
    <n v="0"/>
    <n v="56912788"/>
    <n v="85372345"/>
    <n v="142285134"/>
    <n v="21.4618"/>
    <n v="4.9238799999999996"/>
    <n v="3689.04"/>
    <n v="2091.36"/>
    <n v="1255"/>
    <n v="272"/>
    <x v="2"/>
    <x v="3"/>
  </r>
  <r>
    <s v="istree_exp5_numerical_stability_vs_time/step10355.txt"/>
    <x v="1"/>
    <m/>
    <s v="reclaimer_debra"/>
    <s v="allocator_new"/>
    <s v="pool_none"/>
    <n v="16000"/>
    <n v="20"/>
    <n v="20"/>
    <n v="0"/>
    <n v="1"/>
    <n v="2000000"/>
    <n v="190"/>
    <n v="190"/>
    <n v="190"/>
    <n v="0"/>
    <s v="insertIfAbsent"/>
    <n v="1000030955842"/>
    <n v="1000294"/>
    <n v="1000030955842"/>
    <n v="1000294"/>
    <s v="success"/>
    <n v="25"/>
    <n v="686553"/>
    <n v="520261"/>
    <n v="1206814"/>
    <n v="1000294"/>
    <n v="1.75779"/>
    <n v="1.9226799999999999"/>
    <n v="1.82887"/>
    <n v="19.853100000000001"/>
    <n v="67581584"/>
    <m/>
    <m/>
    <m/>
    <n v="14362"/>
    <m/>
    <m/>
    <n v="1372928471"/>
    <n v="0"/>
    <n v="915278790"/>
    <n v="1372928471"/>
    <n v="2288207261"/>
    <n v="85808029"/>
    <n v="0"/>
    <n v="57204924"/>
    <n v="85808029"/>
    <n v="143012953"/>
    <n v="21.600100000000001"/>
    <n v="4.9165000000000001"/>
    <n v="3667.19"/>
    <n v="2104.19"/>
    <n v="1256"/>
    <n v="245"/>
    <x v="2"/>
    <x v="4"/>
  </r>
  <r>
    <s v="istree_exp5_numerical_stability_vs_time/step10356.txt"/>
    <x v="1"/>
    <m/>
    <s v="reclaimer_debra"/>
    <s v="allocator_new"/>
    <s v="pool_none"/>
    <n v="32000"/>
    <n v="20"/>
    <n v="20"/>
    <n v="0"/>
    <n v="1"/>
    <n v="2000000"/>
    <n v="190"/>
    <n v="190"/>
    <n v="190"/>
    <n v="0"/>
    <s v="insertIfAbsent"/>
    <n v="1000107258392"/>
    <n v="999668"/>
    <n v="1000107258392"/>
    <n v="999668"/>
    <s v="success"/>
    <n v="25"/>
    <n v="685369"/>
    <n v="520281"/>
    <n v="1205650"/>
    <n v="999668"/>
    <n v="1.7591300000000001"/>
    <n v="1.9214"/>
    <n v="1.8291500000000001"/>
    <n v="19.7849"/>
    <n v="67516400"/>
    <m/>
    <m/>
    <m/>
    <n v="28434"/>
    <m/>
    <m/>
    <n v="2725800454"/>
    <n v="0"/>
    <n v="1817193590"/>
    <n v="2725800454"/>
    <n v="4542994044"/>
    <n v="85181264"/>
    <n v="0"/>
    <n v="56787299"/>
    <n v="85181264"/>
    <n v="141968563"/>
    <n v="21.744499999999999"/>
    <n v="4.90036"/>
    <n v="3685.28"/>
    <n v="2127.4899999999998"/>
    <n v="1257"/>
    <n v="373"/>
    <x v="2"/>
    <x v="5"/>
  </r>
  <r>
    <s v="istree_exp5_numerical_stability_vs_time/step10357.txt"/>
    <x v="1"/>
    <m/>
    <s v="reclaimer_debra"/>
    <s v="allocator_new"/>
    <s v="pool_none"/>
    <n v="64000"/>
    <n v="20"/>
    <n v="20"/>
    <n v="0"/>
    <n v="1"/>
    <n v="2000000"/>
    <n v="190"/>
    <n v="190"/>
    <n v="190"/>
    <n v="0"/>
    <s v="insertIfAbsent"/>
    <n v="1001909705857"/>
    <n v="1001756"/>
    <n v="1001909705857"/>
    <n v="1001756"/>
    <s v="success"/>
    <n v="25"/>
    <n v="686846"/>
    <n v="520539"/>
    <n v="1207385"/>
    <n v="1001756"/>
    <n v="1.75787"/>
    <n v="1.9244600000000001"/>
    <n v="1.82969"/>
    <n v="19.828700000000001"/>
    <n v="67613560"/>
    <m/>
    <m/>
    <m/>
    <n v="56246"/>
    <m/>
    <m/>
    <n v="5456817156"/>
    <n v="0"/>
    <n v="3637914475"/>
    <n v="5456817156"/>
    <n v="9094731631"/>
    <n v="85262768"/>
    <n v="0"/>
    <n v="56842413"/>
    <n v="85262768"/>
    <n v="142105181"/>
    <n v="21.8232"/>
    <n v="4.8958199999999996"/>
    <n v="3684.91"/>
    <n v="2129.61"/>
    <n v="1258"/>
    <n v="250"/>
    <x v="2"/>
    <x v="6"/>
  </r>
  <r>
    <s v="istree_exp5_numerical_stability_vs_time/step10358.txt"/>
    <x v="3"/>
    <m/>
    <s v="reclaimer_debra"/>
    <s v="allocator_new"/>
    <s v="pool_none"/>
    <n v="1000"/>
    <n v="20"/>
    <n v="20"/>
    <n v="0"/>
    <n v="1"/>
    <n v="2000000"/>
    <n v="190"/>
    <n v="190"/>
    <n v="190"/>
    <n v="0"/>
    <s v="insertIfAbsent"/>
    <n v="999608071381"/>
    <n v="999058"/>
    <n v="999608071381"/>
    <n v="999058"/>
    <s v="success"/>
    <n v="46"/>
    <n v="999057"/>
    <n v="999058"/>
    <n v="1998115"/>
    <n v="999058"/>
    <n v="2"/>
    <n v="1"/>
    <n v="1.5"/>
    <n v="25.425799999999999"/>
    <n v="63939680"/>
    <m/>
    <m/>
    <m/>
    <n v="1068"/>
    <m/>
    <m/>
    <n v="51430942"/>
    <n v="0"/>
    <n v="34285977"/>
    <n v="51430942"/>
    <n v="85716919"/>
    <n v="51430942"/>
    <n v="0"/>
    <n v="34285977"/>
    <n v="51430942"/>
    <n v="85716919"/>
    <n v="17.153300000000002"/>
    <n v="4.6206500000000004"/>
    <n v="5205.57"/>
    <n v="2577.67"/>
    <n v="1232"/>
    <n v="214"/>
    <x v="2"/>
    <x v="0"/>
  </r>
  <r>
    <s v="istree_exp5_numerical_stability_vs_time/step10359.txt"/>
    <x v="3"/>
    <m/>
    <s v="reclaimer_debra"/>
    <s v="allocator_new"/>
    <s v="pool_none"/>
    <n v="2000"/>
    <n v="20"/>
    <n v="20"/>
    <n v="0"/>
    <n v="1"/>
    <n v="2000000"/>
    <n v="190"/>
    <n v="190"/>
    <n v="190"/>
    <n v="0"/>
    <s v="insertIfAbsent"/>
    <n v="1000313331037"/>
    <n v="999877"/>
    <n v="1000313331037"/>
    <n v="999877"/>
    <s v="success"/>
    <n v="52"/>
    <n v="999876"/>
    <n v="999877"/>
    <n v="1999753"/>
    <n v="999877"/>
    <n v="2"/>
    <n v="1"/>
    <n v="1.5"/>
    <n v="27.183499999999999"/>
    <n v="63992096"/>
    <m/>
    <m/>
    <m/>
    <n v="1974"/>
    <m/>
    <m/>
    <n v="126226655"/>
    <n v="0"/>
    <n v="84142925"/>
    <n v="126226655"/>
    <n v="210369580"/>
    <n v="63113327"/>
    <n v="0"/>
    <n v="42071462"/>
    <n v="63113327"/>
    <n v="105184790"/>
    <n v="17.1236"/>
    <n v="4.5543199999999997"/>
    <n v="4630.8900000000003"/>
    <n v="2518.15"/>
    <n v="1235"/>
    <n v="251"/>
    <x v="2"/>
    <x v="1"/>
  </r>
  <r>
    <s v="istree_exp5_numerical_stability_vs_time/step10360.txt"/>
    <x v="3"/>
    <m/>
    <s v="reclaimer_debra"/>
    <s v="allocator_new"/>
    <s v="pool_none"/>
    <n v="4000"/>
    <n v="20"/>
    <n v="20"/>
    <n v="0"/>
    <n v="1"/>
    <n v="2000000"/>
    <n v="190"/>
    <n v="190"/>
    <n v="190"/>
    <n v="0"/>
    <s v="insertIfAbsent"/>
    <n v="999685528690"/>
    <n v="1000311"/>
    <n v="999685528690"/>
    <n v="1000311"/>
    <s v="success"/>
    <n v="50"/>
    <n v="1000310"/>
    <n v="1000311"/>
    <n v="2000621"/>
    <n v="1000311"/>
    <n v="2"/>
    <n v="1"/>
    <n v="1.5"/>
    <n v="25.673999999999999"/>
    <n v="64019872"/>
    <m/>
    <m/>
    <m/>
    <n v="3852"/>
    <m/>
    <m/>
    <n v="272699914"/>
    <n v="0"/>
    <n v="181788994"/>
    <n v="272699914"/>
    <n v="454488908"/>
    <n v="68174978"/>
    <n v="0"/>
    <n v="45447248"/>
    <n v="68174978"/>
    <n v="113622227"/>
    <n v="17.068899999999999"/>
    <n v="4.49817"/>
    <n v="4463.29"/>
    <n v="2493.48"/>
    <n v="1243"/>
    <n v="300"/>
    <x v="2"/>
    <x v="2"/>
  </r>
  <r>
    <s v="istree_exp5_numerical_stability_vs_time/step10361.txt"/>
    <x v="3"/>
    <m/>
    <s v="reclaimer_debra"/>
    <s v="allocator_new"/>
    <s v="pool_none"/>
    <n v="8000"/>
    <n v="20"/>
    <n v="20"/>
    <n v="0"/>
    <n v="1"/>
    <n v="2000000"/>
    <n v="190"/>
    <n v="190"/>
    <n v="190"/>
    <n v="0"/>
    <s v="insertIfAbsent"/>
    <n v="1000063750653"/>
    <n v="999725"/>
    <n v="1000063750653"/>
    <n v="999725"/>
    <s v="success"/>
    <n v="47"/>
    <n v="999724"/>
    <n v="999725"/>
    <n v="1999449"/>
    <n v="999725"/>
    <n v="2"/>
    <n v="1"/>
    <n v="1.5"/>
    <n v="26.2136"/>
    <n v="63982368"/>
    <m/>
    <m/>
    <m/>
    <n v="7360"/>
    <m/>
    <m/>
    <n v="566303457"/>
    <n v="0"/>
    <n v="377526185"/>
    <n v="566303457"/>
    <n v="943829642"/>
    <n v="70787932"/>
    <n v="0"/>
    <n v="47190773"/>
    <n v="70787932"/>
    <n v="117978705"/>
    <n v="16.967700000000001"/>
    <n v="4.4427500000000002"/>
    <n v="4384.21"/>
    <n v="2504.06"/>
    <n v="1231"/>
    <n v="232"/>
    <x v="2"/>
    <x v="3"/>
  </r>
  <r>
    <s v="istree_exp5_numerical_stability_vs_time/step10362.txt"/>
    <x v="3"/>
    <m/>
    <s v="reclaimer_debra"/>
    <s v="allocator_new"/>
    <s v="pool_none"/>
    <n v="16000"/>
    <n v="20"/>
    <n v="20"/>
    <n v="0"/>
    <n v="1"/>
    <n v="2000000"/>
    <n v="190"/>
    <n v="190"/>
    <n v="190"/>
    <n v="0"/>
    <s v="insertIfAbsent"/>
    <n v="1000681889481"/>
    <n v="1000922"/>
    <n v="1000681889481"/>
    <n v="1000922"/>
    <s v="success"/>
    <n v="48"/>
    <n v="1000921"/>
    <n v="1000922"/>
    <n v="2001843"/>
    <n v="1000922"/>
    <n v="2"/>
    <n v="1"/>
    <n v="1.5"/>
    <n v="25.433"/>
    <n v="64058976"/>
    <m/>
    <m/>
    <m/>
    <n v="14674"/>
    <m/>
    <m/>
    <n v="1165872305"/>
    <n v="0"/>
    <n v="777293311"/>
    <n v="1165872305"/>
    <n v="1943165616"/>
    <n v="72867019"/>
    <n v="0"/>
    <n v="48580831"/>
    <n v="72867019"/>
    <n v="121447851"/>
    <n v="16.792200000000001"/>
    <n v="4.3863000000000003"/>
    <n v="4307.1400000000003"/>
    <n v="2466.39"/>
    <n v="1222"/>
    <n v="229"/>
    <x v="2"/>
    <x v="4"/>
  </r>
  <r>
    <s v="istree_exp5_numerical_stability_vs_time/step10363.txt"/>
    <x v="3"/>
    <m/>
    <s v="reclaimer_debra"/>
    <s v="allocator_new"/>
    <s v="pool_none"/>
    <n v="32000"/>
    <n v="20"/>
    <n v="20"/>
    <n v="0"/>
    <n v="1"/>
    <n v="2000000"/>
    <n v="190"/>
    <n v="190"/>
    <n v="190"/>
    <n v="0"/>
    <s v="insertIfAbsent"/>
    <n v="1002173291576"/>
    <n v="1002003"/>
    <n v="1002173291576"/>
    <n v="1002003"/>
    <s v="success"/>
    <n v="50"/>
    <n v="1002002"/>
    <n v="1002003"/>
    <n v="2004005"/>
    <n v="1002003"/>
    <n v="2"/>
    <n v="1"/>
    <n v="1.5"/>
    <n v="25.342199999999998"/>
    <n v="64128160"/>
    <m/>
    <m/>
    <m/>
    <n v="29474"/>
    <m/>
    <m/>
    <n v="2381516672"/>
    <n v="0"/>
    <n v="1587705624"/>
    <n v="2381516672"/>
    <n v="3969222296"/>
    <n v="74422396"/>
    <n v="0"/>
    <n v="49615800"/>
    <n v="74422396"/>
    <n v="124038196"/>
    <n v="16.802299999999999"/>
    <n v="4.3482399999999997"/>
    <n v="4241.18"/>
    <n v="2436.7199999999998"/>
    <n v="1223"/>
    <n v="230"/>
    <x v="2"/>
    <x v="5"/>
  </r>
  <r>
    <s v="istree_exp5_numerical_stability_vs_time/step10364.txt"/>
    <x v="3"/>
    <m/>
    <s v="reclaimer_debra"/>
    <s v="allocator_new"/>
    <s v="pool_none"/>
    <n v="64000"/>
    <n v="20"/>
    <n v="20"/>
    <n v="0"/>
    <n v="1"/>
    <n v="2000000"/>
    <n v="190"/>
    <n v="190"/>
    <n v="190"/>
    <n v="0"/>
    <s v="insertIfAbsent"/>
    <n v="999725475049"/>
    <n v="999947"/>
    <n v="999725475049"/>
    <n v="999947"/>
    <s v="success"/>
    <n v="46"/>
    <n v="999946"/>
    <n v="999947"/>
    <n v="1999893"/>
    <n v="999947"/>
    <n v="2"/>
    <n v="1"/>
    <n v="1.5"/>
    <n v="25.2285"/>
    <n v="63996576"/>
    <m/>
    <m/>
    <m/>
    <n v="59096"/>
    <m/>
    <m/>
    <n v="4796100833"/>
    <n v="0"/>
    <n v="3197339050"/>
    <n v="4796100833"/>
    <n v="7993439883"/>
    <n v="74939075"/>
    <n v="0"/>
    <n v="49958422"/>
    <n v="74939075"/>
    <n v="124897498"/>
    <n v="16.692"/>
    <n v="4.3216900000000003"/>
    <n v="4220.38"/>
    <n v="2423.62"/>
    <n v="1223"/>
    <n v="269"/>
    <x v="2"/>
    <x v="6"/>
  </r>
  <r>
    <s v="istree_exp5_numerical_stability_vs_time/step10365.txt"/>
    <x v="0"/>
    <n v="72"/>
    <s v="reclaimer_debra"/>
    <s v="allocator_new"/>
    <s v="pool_none"/>
    <n v="1000"/>
    <n v="20"/>
    <n v="20"/>
    <n v="0"/>
    <n v="1"/>
    <n v="20000000"/>
    <n v="190"/>
    <n v="190"/>
    <n v="190"/>
    <n v="0"/>
    <s v="insertIfAbsent"/>
    <n v="100038151664349"/>
    <n v="10003513"/>
    <n v="100038151664349"/>
    <n v="10003513"/>
    <s v="success"/>
    <n v="7"/>
    <n v="1871807"/>
    <n v="11957089"/>
    <n v="13828896"/>
    <n v="10003513"/>
    <n v="7.3879900000000003"/>
    <n v="0.83661799999999997"/>
    <n v="1.7233799999999999"/>
    <n v="4.0492800000000004"/>
    <n v="341071760"/>
    <s v="30 22151 187191 4892030 12011"/>
    <s v="7 22142 187025 4891790 12010"/>
    <n v="89317"/>
    <n v="700"/>
    <m/>
    <m/>
    <n v="55279351"/>
    <n v="0"/>
    <n v="36858792"/>
    <n v="55279351"/>
    <n v="92138143"/>
    <n v="55279351"/>
    <n v="0"/>
    <n v="36858792"/>
    <n v="55279351"/>
    <n v="92138143"/>
    <n v="28.183599999999998"/>
    <n v="14.819000000000001"/>
    <n v="5061.07"/>
    <n v="3475.05"/>
    <n v="2849"/>
    <n v="393"/>
    <x v="0"/>
    <x v="0"/>
  </r>
  <r>
    <s v="istree_exp5_numerical_stability_vs_time/step10366.txt"/>
    <x v="0"/>
    <n v="72"/>
    <s v="reclaimer_debra"/>
    <s v="allocator_new"/>
    <s v="pool_none"/>
    <n v="2000"/>
    <n v="20"/>
    <n v="20"/>
    <n v="0"/>
    <n v="1"/>
    <n v="20000000"/>
    <n v="190"/>
    <n v="190"/>
    <n v="190"/>
    <n v="0"/>
    <s v="insertIfAbsent"/>
    <n v="99997171231249"/>
    <n v="9999154"/>
    <n v="99997171231249"/>
    <n v="9999154"/>
    <s v="success"/>
    <n v="7"/>
    <n v="1764781"/>
    <n v="11724882"/>
    <n v="13489663"/>
    <n v="9999154"/>
    <n v="7.6438199999999998"/>
    <n v="0.85281499999999999"/>
    <n v="1.74125"/>
    <n v="4.0278099999999997"/>
    <n v="328781664"/>
    <s v="62 47460 398300 10079032 25142"/>
    <s v="15 47444 397951 10078588 25142"/>
    <n v="189132"/>
    <n v="1444"/>
    <m/>
    <m/>
    <n v="113560231"/>
    <n v="0"/>
    <n v="75709829"/>
    <n v="113560231"/>
    <n v="189270060"/>
    <n v="56780115"/>
    <n v="0"/>
    <n v="37854914"/>
    <n v="56780115"/>
    <n v="94635030"/>
    <n v="28.451799999999999"/>
    <n v="15.159000000000001"/>
    <n v="5195.7299999999996"/>
    <n v="3571.64"/>
    <n v="2879"/>
    <n v="361"/>
    <x v="0"/>
    <x v="1"/>
  </r>
  <r>
    <s v="istree_exp5_numerical_stability_vs_time/step10367.txt"/>
    <x v="0"/>
    <n v="72"/>
    <s v="reclaimer_debra"/>
    <s v="allocator_new"/>
    <s v="pool_none"/>
    <n v="4000"/>
    <n v="20"/>
    <n v="20"/>
    <n v="0"/>
    <n v="1"/>
    <n v="20000000"/>
    <n v="190"/>
    <n v="190"/>
    <n v="190"/>
    <n v="0"/>
    <s v="insertIfAbsent"/>
    <n v="99983121934351"/>
    <n v="10000033"/>
    <n v="99983121934351"/>
    <n v="10000033"/>
    <s v="success"/>
    <n v="7"/>
    <n v="1843795"/>
    <n v="11905908"/>
    <n v="13749703"/>
    <n v="10000033"/>
    <n v="7.4572799999999999"/>
    <n v="0.83992199999999995"/>
    <n v="1.72729"/>
    <n v="4.04352"/>
    <n v="338030592"/>
    <s v="93 95719 818273 20565172 51697"/>
    <s v="30 95694 817641 20564211 51695"/>
    <n v="384634"/>
    <n v="2932"/>
    <m/>
    <m/>
    <n v="230067484"/>
    <n v="0"/>
    <n v="153363243"/>
    <n v="230067484"/>
    <n v="383430727"/>
    <n v="57516871"/>
    <n v="0"/>
    <n v="38340810"/>
    <n v="57516871"/>
    <n v="95857681"/>
    <n v="28.4635"/>
    <n v="15.1723"/>
    <n v="5246.7"/>
    <n v="3601.98"/>
    <n v="2909"/>
    <n v="392"/>
    <x v="0"/>
    <x v="2"/>
  </r>
  <r>
    <s v="istree_exp5_numerical_stability_vs_time/step10368.txt"/>
    <x v="0"/>
    <n v="72"/>
    <s v="reclaimer_debra"/>
    <s v="allocator_new"/>
    <s v="pool_none"/>
    <n v="8000"/>
    <n v="20"/>
    <n v="20"/>
    <n v="0"/>
    <n v="1"/>
    <n v="20000000"/>
    <n v="190"/>
    <n v="190"/>
    <n v="190"/>
    <n v="0"/>
    <s v="insertIfAbsent"/>
    <n v="100008303685002"/>
    <n v="10000718"/>
    <n v="100008303685002"/>
    <n v="10000718"/>
    <s v="success"/>
    <n v="7"/>
    <n v="1748307"/>
    <n v="11697004"/>
    <n v="13445311"/>
    <n v="10000718"/>
    <n v="7.6904700000000004"/>
    <n v="0.85498099999999999"/>
    <n v="1.7438100000000001"/>
    <n v="4.0252299999999996"/>
    <n v="327018880"/>
    <s v="250 196103 1653015 41397836 103728"/>
    <s v="61 196033 1651613 41395773 103725"/>
    <n v="786923"/>
    <n v="5904"/>
    <m/>
    <m/>
    <n v="463806012"/>
    <n v="0"/>
    <n v="309223835"/>
    <n v="463806012"/>
    <n v="773029847"/>
    <n v="57975751"/>
    <n v="0"/>
    <n v="38652979"/>
    <n v="57975751"/>
    <n v="96628730"/>
    <n v="28.588000000000001"/>
    <n v="15.2683"/>
    <n v="5262.07"/>
    <n v="3631.19"/>
    <n v="2924"/>
    <n v="363"/>
    <x v="0"/>
    <x v="3"/>
  </r>
  <r>
    <s v="istree_exp5_numerical_stability_vs_time/step10369.txt"/>
    <x v="0"/>
    <n v="72"/>
    <s v="reclaimer_debra"/>
    <s v="allocator_new"/>
    <s v="pool_none"/>
    <n v="16000"/>
    <n v="20"/>
    <n v="20"/>
    <n v="0"/>
    <n v="1"/>
    <n v="20000000"/>
    <n v="190"/>
    <n v="190"/>
    <n v="190"/>
    <n v="0"/>
    <s v="insertIfAbsent"/>
    <n v="100024778386896"/>
    <n v="10001355"/>
    <n v="100024778386896"/>
    <n v="10001355"/>
    <s v="success"/>
    <n v="7"/>
    <n v="1757473"/>
    <n v="11722664"/>
    <n v="13480137"/>
    <n v="10001355"/>
    <n v="7.6701800000000002"/>
    <n v="0.85316400000000003"/>
    <n v="1.74193"/>
    <n v="4.0264300000000004"/>
    <n v="328176032"/>
    <s v="481 391326 3303553 82852975 208406"/>
    <s v="123 391175 3300732 82848961 208402"/>
    <n v="1554923"/>
    <n v="11870"/>
    <m/>
    <m/>
    <n v="928107264"/>
    <n v="0"/>
    <n v="618745280"/>
    <n v="928107264"/>
    <n v="1546852544"/>
    <n v="58006704"/>
    <n v="0"/>
    <n v="38671580"/>
    <n v="58006704"/>
    <n v="96678284"/>
    <n v="28.6358"/>
    <n v="15.289899999999999"/>
    <n v="5288.48"/>
    <n v="3638.64"/>
    <n v="2932"/>
    <n v="390"/>
    <x v="0"/>
    <x v="4"/>
  </r>
  <r>
    <s v="istree_exp5_numerical_stability_vs_time/step10370.txt"/>
    <x v="0"/>
    <n v="72"/>
    <s v="reclaimer_debra"/>
    <s v="allocator_new"/>
    <s v="pool_none"/>
    <n v="32000"/>
    <n v="20"/>
    <n v="20"/>
    <n v="0"/>
    <n v="1"/>
    <n v="20000000"/>
    <n v="190"/>
    <n v="190"/>
    <n v="190"/>
    <n v="0"/>
    <s v="insertIfAbsent"/>
    <n v="100061101608541"/>
    <n v="10004817"/>
    <n v="100061101608541"/>
    <n v="10004817"/>
    <s v="success"/>
    <n v="7"/>
    <n v="1626338"/>
    <n v="11447688"/>
    <n v="13074026"/>
    <n v="10004817"/>
    <n v="8.0389400000000002"/>
    <n v="0.87395999999999996"/>
    <n v="1.7652399999999999"/>
    <n v="4.0000099999999996"/>
    <n v="313270032"/>
    <s v="929 781491 6589338 165286320 414897"/>
    <s v="247 781220 6583719 165278299 414889"/>
    <n v="3111689"/>
    <n v="23716"/>
    <m/>
    <m/>
    <n v="1852317375"/>
    <n v="0"/>
    <n v="1234837449"/>
    <n v="1852317375"/>
    <n v="3087154824"/>
    <n v="57884917"/>
    <n v="0"/>
    <n v="38588670"/>
    <n v="57884917"/>
    <n v="96473588"/>
    <n v="28.657399999999999"/>
    <n v="15.3071"/>
    <n v="5309.81"/>
    <n v="3646.37"/>
    <n v="2950"/>
    <n v="482"/>
    <x v="0"/>
    <x v="5"/>
  </r>
  <r>
    <s v="istree_exp5_numerical_stability_vs_time/step10371.txt"/>
    <x v="0"/>
    <n v="72"/>
    <s v="reclaimer_debra"/>
    <s v="allocator_new"/>
    <s v="pool_none"/>
    <n v="64000"/>
    <n v="20"/>
    <n v="20"/>
    <n v="0"/>
    <n v="1"/>
    <n v="20000000"/>
    <n v="190"/>
    <n v="190"/>
    <n v="190"/>
    <n v="0"/>
    <s v="insertIfAbsent"/>
    <n v="99993770389931"/>
    <n v="9999832"/>
    <n v="99993770389931"/>
    <n v="9999832"/>
    <s v="success"/>
    <n v="7"/>
    <n v="1762143"/>
    <n v="11732067"/>
    <n v="13494210"/>
    <n v="9999832"/>
    <n v="7.6578400000000002"/>
    <n v="0.85235000000000005"/>
    <n v="1.74105"/>
    <n v="4.0274200000000002"/>
    <n v="328701872"/>
    <s v="1811 1565028 13192306 331130442 830105"/>
    <s v="494 1564494 13180950 331114763 830088"/>
    <n v="6251650"/>
    <n v="47246"/>
    <m/>
    <m/>
    <n v="3709900743"/>
    <n v="0"/>
    <n v="2473401776"/>
    <n v="3709900743"/>
    <n v="6183302519"/>
    <n v="57967199"/>
    <n v="0"/>
    <n v="38646902"/>
    <n v="57967199"/>
    <n v="96614101"/>
    <n v="28.682600000000001"/>
    <n v="15.314"/>
    <n v="5315.21"/>
    <n v="3666.95"/>
    <n v="2963"/>
    <n v="334"/>
    <x v="0"/>
    <x v="6"/>
  </r>
  <r>
    <s v="istree_exp5_numerical_stability_vs_time/step10372.txt"/>
    <x v="2"/>
    <n v="208"/>
    <s v="reclaimer_debra"/>
    <s v="allocator_new"/>
    <s v="pool_none"/>
    <n v="1000"/>
    <n v="20"/>
    <n v="20"/>
    <n v="0"/>
    <n v="1"/>
    <n v="20000000"/>
    <n v="190"/>
    <n v="190"/>
    <n v="190"/>
    <n v="0"/>
    <s v="insertIfAbsent"/>
    <n v="99991430903350"/>
    <n v="10001443"/>
    <n v="99991430903350"/>
    <n v="10001443"/>
    <s v="success"/>
    <n v="9"/>
    <n v="243049"/>
    <n v="1668813"/>
    <n v="1911862"/>
    <n v="10001443"/>
    <n v="7.8661599999999998"/>
    <n v="5.99315"/>
    <n v="6.2312599999999998"/>
    <n v="8"/>
    <n v="397667296"/>
    <m/>
    <m/>
    <m/>
    <s v="552 1548"/>
    <m/>
    <m/>
    <n v="73581142"/>
    <n v="0"/>
    <n v="49049726"/>
    <n v="73581142"/>
    <n v="122630868"/>
    <n v="73581142"/>
    <n v="0"/>
    <n v="49049726"/>
    <n v="73581142"/>
    <n v="122630868"/>
    <n v="22.2333"/>
    <n v="8.6820599999999999"/>
    <n v="4073.16"/>
    <n v="2267.79"/>
    <n v="2036"/>
    <n v="890"/>
    <x v="0"/>
    <x v="0"/>
  </r>
  <r>
    <s v="istree_exp5_numerical_stability_vs_time/step10373.txt"/>
    <x v="2"/>
    <n v="208"/>
    <s v="reclaimer_debra"/>
    <s v="allocator_new"/>
    <s v="pool_none"/>
    <n v="2000"/>
    <n v="20"/>
    <n v="20"/>
    <n v="0"/>
    <n v="1"/>
    <n v="20000000"/>
    <n v="190"/>
    <n v="190"/>
    <n v="190"/>
    <n v="0"/>
    <s v="insertIfAbsent"/>
    <n v="100005912324556"/>
    <n v="9999505"/>
    <n v="100005912324556"/>
    <n v="9999505"/>
    <s v="success"/>
    <n v="9"/>
    <n v="261815"/>
    <n v="1792544"/>
    <n v="2054359"/>
    <n v="9999505"/>
    <n v="7.8466100000000001"/>
    <n v="5.5783899999999997"/>
    <n v="5.8674600000000003"/>
    <n v="8"/>
    <n v="427306672"/>
    <m/>
    <m/>
    <m/>
    <n v="2620"/>
    <m/>
    <m/>
    <n v="146024883"/>
    <n v="0"/>
    <n v="97356788"/>
    <n v="146024883"/>
    <n v="243381671"/>
    <n v="73012441"/>
    <n v="0"/>
    <n v="48678394"/>
    <n v="73012441"/>
    <n v="121690835"/>
    <n v="22.270499999999998"/>
    <n v="8.7634500000000006"/>
    <n v="4188.8"/>
    <n v="2307.12"/>
    <n v="2130"/>
    <n v="941"/>
    <x v="0"/>
    <x v="1"/>
  </r>
  <r>
    <s v="istree_exp5_numerical_stability_vs_time/step10374.txt"/>
    <x v="2"/>
    <n v="208"/>
    <s v="reclaimer_debra"/>
    <s v="allocator_new"/>
    <s v="pool_none"/>
    <n v="4000"/>
    <n v="20"/>
    <n v="20"/>
    <n v="0"/>
    <n v="1"/>
    <n v="20000000"/>
    <n v="190"/>
    <n v="190"/>
    <n v="190"/>
    <n v="0"/>
    <s v="insertIfAbsent"/>
    <n v="100006520190599"/>
    <n v="10000555"/>
    <n v="100006520190599"/>
    <n v="10000555"/>
    <s v="success"/>
    <n v="9"/>
    <n v="282253"/>
    <n v="1904804"/>
    <n v="2187057"/>
    <n v="10000555"/>
    <n v="7.74857"/>
    <n v="5.2501800000000003"/>
    <n v="5.5726100000000001"/>
    <n v="8"/>
    <n v="454907856"/>
    <m/>
    <m/>
    <m/>
    <n v="4536"/>
    <m/>
    <m/>
    <n v="302151314"/>
    <n v="0"/>
    <n v="201440353"/>
    <n v="302151314"/>
    <n v="503591667"/>
    <n v="75537828"/>
    <n v="0"/>
    <n v="50360088"/>
    <n v="75537828"/>
    <n v="125897916"/>
    <n v="22.431000000000001"/>
    <n v="8.8606800000000003"/>
    <n v="4139.59"/>
    <n v="2334.34"/>
    <n v="2138"/>
    <n v="935"/>
    <x v="0"/>
    <x v="2"/>
  </r>
  <r>
    <s v="istree_exp5_numerical_stability_vs_time/step10375.txt"/>
    <x v="2"/>
    <n v="208"/>
    <s v="reclaimer_debra"/>
    <s v="allocator_new"/>
    <s v="pool_none"/>
    <n v="8000"/>
    <n v="20"/>
    <n v="20"/>
    <n v="0"/>
    <n v="1"/>
    <n v="20000000"/>
    <n v="190"/>
    <n v="190"/>
    <n v="190"/>
    <n v="0"/>
    <s v="insertIfAbsent"/>
    <n v="100002758546088"/>
    <n v="10001519"/>
    <n v="100002758546088"/>
    <n v="10001519"/>
    <s v="success"/>
    <n v="9"/>
    <n v="300317"/>
    <n v="1960745"/>
    <n v="2261062"/>
    <n v="10001519"/>
    <n v="7.5289200000000003"/>
    <n v="5.1008800000000001"/>
    <n v="5.4233700000000002"/>
    <n v="8"/>
    <n v="470300896"/>
    <m/>
    <m/>
    <m/>
    <s v="492 8376"/>
    <m/>
    <m/>
    <n v="596916447"/>
    <n v="0"/>
    <n v="397927843"/>
    <n v="596916447"/>
    <n v="994844290"/>
    <n v="74614555"/>
    <n v="0"/>
    <n v="49740980"/>
    <n v="74614555"/>
    <n v="124355536"/>
    <n v="22.624400000000001"/>
    <n v="8.9625900000000005"/>
    <n v="4206.12"/>
    <n v="2364.34"/>
    <n v="2164"/>
    <n v="918"/>
    <x v="0"/>
    <x v="3"/>
  </r>
  <r>
    <s v="istree_exp5_numerical_stability_vs_time/step10376.txt"/>
    <x v="2"/>
    <n v="208"/>
    <s v="reclaimer_debra"/>
    <s v="allocator_new"/>
    <s v="pool_none"/>
    <n v="16000"/>
    <n v="20"/>
    <n v="20"/>
    <n v="0"/>
    <n v="1"/>
    <n v="20000000"/>
    <n v="190"/>
    <n v="190"/>
    <n v="190"/>
    <n v="0"/>
    <s v="insertIfAbsent"/>
    <n v="99975363116140"/>
    <n v="9997812"/>
    <n v="99975363116140"/>
    <n v="9997812"/>
    <s v="success"/>
    <n v="9"/>
    <n v="315599"/>
    <n v="1962650"/>
    <n v="2278249"/>
    <n v="9997812"/>
    <n v="7.2188100000000004"/>
    <n v="5.0940399999999997"/>
    <n v="5.3883799999999997"/>
    <n v="8"/>
    <n v="473875792"/>
    <m/>
    <m/>
    <m/>
    <s v="602 15982"/>
    <m/>
    <m/>
    <n v="1178397777"/>
    <n v="0"/>
    <n v="785622047"/>
    <n v="1178397777"/>
    <n v="1964019824"/>
    <n v="73649861"/>
    <n v="0"/>
    <n v="49101377"/>
    <n v="73649861"/>
    <n v="122751239"/>
    <n v="22.732199999999999"/>
    <n v="9.0340100000000003"/>
    <n v="4262.47"/>
    <n v="2401.27"/>
    <n v="2253"/>
    <n v="928"/>
    <x v="0"/>
    <x v="4"/>
  </r>
  <r>
    <s v="istree_exp5_numerical_stability_vs_time/step10377.txt"/>
    <x v="2"/>
    <n v="208"/>
    <s v="reclaimer_debra"/>
    <s v="allocator_new"/>
    <s v="pool_none"/>
    <n v="32000"/>
    <n v="20"/>
    <n v="20"/>
    <n v="0"/>
    <n v="1"/>
    <n v="20000000"/>
    <n v="190"/>
    <n v="190"/>
    <n v="190"/>
    <n v="0"/>
    <s v="insertIfAbsent"/>
    <n v="99988785271786"/>
    <n v="9999379"/>
    <n v="99988785271786"/>
    <n v="9999379"/>
    <s v="success"/>
    <n v="10"/>
    <n v="328508"/>
    <n v="1954796"/>
    <n v="2283304"/>
    <n v="9999379"/>
    <n v="6.9505299999999997"/>
    <n v="5.11531"/>
    <n v="5.3793499999999996"/>
    <n v="9"/>
    <n v="474927232"/>
    <m/>
    <m/>
    <m/>
    <s v="628 31014"/>
    <m/>
    <m/>
    <n v="2362545429"/>
    <n v="0"/>
    <n v="1575006743"/>
    <n v="2362545429"/>
    <n v="3937552172"/>
    <n v="73829544"/>
    <n v="0"/>
    <n v="49218960"/>
    <n v="73829544"/>
    <n v="123048505"/>
    <n v="22.788"/>
    <n v="9.0741700000000005"/>
    <n v="4273.45"/>
    <n v="2421.62"/>
    <n v="2232"/>
    <n v="936"/>
    <x v="0"/>
    <x v="5"/>
  </r>
  <r>
    <s v="istree_exp5_numerical_stability_vs_time/step10378.txt"/>
    <x v="2"/>
    <n v="208"/>
    <s v="reclaimer_debra"/>
    <s v="allocator_new"/>
    <s v="pool_none"/>
    <n v="64000"/>
    <n v="20"/>
    <n v="20"/>
    <n v="0"/>
    <n v="1"/>
    <n v="20000000"/>
    <n v="190"/>
    <n v="190"/>
    <n v="190"/>
    <n v="0"/>
    <s v="insertIfAbsent"/>
    <n v="100002165129747"/>
    <n v="9999070"/>
    <n v="100002165129747"/>
    <n v="9999070"/>
    <s v="success"/>
    <n v="9"/>
    <n v="339353"/>
    <n v="1951167"/>
    <n v="2290520"/>
    <n v="9999070"/>
    <n v="6.7496700000000001"/>
    <n v="5.1246600000000004"/>
    <n v="5.3654099999999998"/>
    <n v="8"/>
    <n v="476428160"/>
    <m/>
    <m/>
    <m/>
    <n v="61530"/>
    <m/>
    <m/>
    <n v="4733082087"/>
    <n v="0"/>
    <n v="3155475729"/>
    <n v="4733082087"/>
    <n v="7888557816"/>
    <n v="73954407"/>
    <n v="0"/>
    <n v="49304308"/>
    <n v="73954407"/>
    <n v="123258715"/>
    <n v="23.030799999999999"/>
    <n v="9.1732399999999998"/>
    <n v="4267.58"/>
    <n v="2422.9699999999998"/>
    <n v="2182"/>
    <n v="923"/>
    <x v="0"/>
    <x v="6"/>
  </r>
  <r>
    <s v="istree_exp5_numerical_stability_vs_time/step10379.txt"/>
    <x v="1"/>
    <m/>
    <s v="reclaimer_debra"/>
    <s v="allocator_new"/>
    <s v="pool_none"/>
    <n v="1000"/>
    <n v="20"/>
    <n v="20"/>
    <n v="0"/>
    <n v="1"/>
    <n v="20000000"/>
    <n v="190"/>
    <n v="190"/>
    <n v="190"/>
    <n v="0"/>
    <s v="insertIfAbsent"/>
    <n v="100025271481220"/>
    <n v="10001416"/>
    <n v="100025271481220"/>
    <n v="10001416"/>
    <s v="success"/>
    <n v="29"/>
    <n v="6697097"/>
    <n v="5073115"/>
    <n v="11770212"/>
    <n v="10001416"/>
    <n v="1.7575099999999999"/>
    <n v="1.9714499999999999"/>
    <n v="1.84972"/>
    <n v="23.215699999999998"/>
    <n v="659131872"/>
    <m/>
    <m/>
    <m/>
    <s v="148 744"/>
    <m/>
    <m/>
    <n v="57663429"/>
    <n v="0"/>
    <n v="38438875"/>
    <n v="57663429"/>
    <n v="96102304"/>
    <n v="57663429"/>
    <n v="0"/>
    <n v="38438875"/>
    <n v="57663429"/>
    <n v="96102304"/>
    <n v="31.207699999999999"/>
    <n v="11.504300000000001"/>
    <n v="5424"/>
    <n v="3804.36"/>
    <n v="1951"/>
    <n v="434"/>
    <x v="0"/>
    <x v="0"/>
  </r>
  <r>
    <s v="istree_exp5_numerical_stability_vs_time/step10380.txt"/>
    <x v="1"/>
    <m/>
    <s v="reclaimer_debra"/>
    <s v="allocator_new"/>
    <s v="pool_none"/>
    <n v="2000"/>
    <n v="20"/>
    <n v="20"/>
    <n v="0"/>
    <n v="1"/>
    <n v="20000000"/>
    <n v="190"/>
    <n v="190"/>
    <n v="190"/>
    <n v="0"/>
    <s v="insertIfAbsent"/>
    <n v="100024084003247"/>
    <n v="10002391"/>
    <n v="100024084003247"/>
    <n v="10002391"/>
    <s v="success"/>
    <n v="29"/>
    <n v="6835419"/>
    <n v="5184100"/>
    <n v="12019519"/>
    <n v="10002391"/>
    <n v="1.7584200000000001"/>
    <n v="1.92944"/>
    <n v="1.8321799999999999"/>
    <n v="23.215299999999999"/>
    <n v="673093064"/>
    <m/>
    <m/>
    <m/>
    <s v="168 1300"/>
    <m/>
    <m/>
    <n v="115145954"/>
    <n v="0"/>
    <n v="76730082"/>
    <n v="115145954"/>
    <n v="191876036"/>
    <n v="57572977"/>
    <n v="0"/>
    <n v="38365041"/>
    <n v="57572977"/>
    <n v="95938018"/>
    <n v="31.497499999999999"/>
    <n v="11.6572"/>
    <n v="5498.14"/>
    <n v="3886.73"/>
    <n v="2059"/>
    <n v="443"/>
    <x v="0"/>
    <x v="1"/>
  </r>
  <r>
    <s v="istree_exp5_numerical_stability_vs_time/step10381.txt"/>
    <x v="1"/>
    <m/>
    <s v="reclaimer_debra"/>
    <s v="allocator_new"/>
    <s v="pool_none"/>
    <n v="4000"/>
    <n v="20"/>
    <n v="20"/>
    <n v="0"/>
    <n v="1"/>
    <n v="20000000"/>
    <n v="190"/>
    <n v="190"/>
    <n v="190"/>
    <n v="0"/>
    <s v="insertIfAbsent"/>
    <n v="100004677647771"/>
    <n v="10000258"/>
    <n v="100004677647771"/>
    <n v="10000258"/>
    <s v="success"/>
    <n v="29"/>
    <n v="6857503"/>
    <n v="5202355"/>
    <n v="12059858"/>
    <n v="10000258"/>
    <n v="1.75864"/>
    <n v="1.9222600000000001"/>
    <n v="1.8292200000000001"/>
    <n v="23.255600000000001"/>
    <n v="675352048"/>
    <m/>
    <m/>
    <m/>
    <s v="166 2406"/>
    <m/>
    <m/>
    <n v="227498528"/>
    <n v="0"/>
    <n v="151682252"/>
    <n v="227498528"/>
    <n v="379180780"/>
    <n v="56874632"/>
    <n v="0"/>
    <n v="37920563"/>
    <n v="56874632"/>
    <n v="94795195"/>
    <n v="31.8232"/>
    <n v="11.776"/>
    <n v="5572.84"/>
    <n v="3956.98"/>
    <n v="2193"/>
    <n v="435"/>
    <x v="0"/>
    <x v="2"/>
  </r>
  <r>
    <s v="istree_exp5_numerical_stability_vs_time/step10382.txt"/>
    <x v="1"/>
    <m/>
    <s v="reclaimer_debra"/>
    <s v="allocator_new"/>
    <s v="pool_none"/>
    <n v="8000"/>
    <n v="20"/>
    <n v="20"/>
    <n v="0"/>
    <n v="1"/>
    <n v="20000000"/>
    <n v="190"/>
    <n v="190"/>
    <n v="190"/>
    <n v="0"/>
    <s v="insertIfAbsent"/>
    <n v="99967111190992"/>
    <n v="9999122"/>
    <n v="99967111190992"/>
    <n v="9999122"/>
    <s v="success"/>
    <n v="29"/>
    <n v="6858017"/>
    <n v="5202537"/>
    <n v="12060554"/>
    <n v="9999122"/>
    <n v="1.75861"/>
    <n v="1.92197"/>
    <n v="1.82908"/>
    <n v="23.238700000000001"/>
    <n v="675391024"/>
    <m/>
    <m/>
    <m/>
    <s v="168 4598"/>
    <m/>
    <m/>
    <n v="451253658"/>
    <n v="0"/>
    <n v="300853349"/>
    <n v="451253658"/>
    <n v="752107007"/>
    <n v="56406707"/>
    <n v="0"/>
    <n v="37606668"/>
    <n v="56406707"/>
    <n v="94013375"/>
    <n v="32.051600000000001"/>
    <n v="11.950100000000001"/>
    <n v="5614.33"/>
    <n v="4029.35"/>
    <n v="2346"/>
    <n v="447"/>
    <x v="0"/>
    <x v="3"/>
  </r>
  <r>
    <s v="istree_exp5_numerical_stability_vs_time/step10383.txt"/>
    <x v="1"/>
    <m/>
    <s v="reclaimer_debra"/>
    <s v="allocator_new"/>
    <s v="pool_none"/>
    <n v="16000"/>
    <n v="20"/>
    <n v="20"/>
    <n v="0"/>
    <n v="1"/>
    <n v="20000000"/>
    <n v="190"/>
    <n v="190"/>
    <n v="190"/>
    <n v="0"/>
    <s v="insertIfAbsent"/>
    <n v="99986827360420"/>
    <n v="9999347"/>
    <n v="99986827360420"/>
    <n v="9999347"/>
    <s v="success"/>
    <n v="29"/>
    <n v="6857619"/>
    <n v="5202396"/>
    <n v="12060015"/>
    <n v="9999347"/>
    <n v="1.7586299999999999"/>
    <n v="1.9220699999999999"/>
    <n v="1.8291299999999999"/>
    <n v="23.234100000000002"/>
    <n v="675360840"/>
    <m/>
    <m/>
    <m/>
    <s v="170 8892"/>
    <m/>
    <m/>
    <n v="883422124"/>
    <n v="0"/>
    <n v="588900633"/>
    <n v="883422124"/>
    <n v="1472322757"/>
    <n v="55213882"/>
    <n v="0"/>
    <n v="36806289"/>
    <n v="55213882"/>
    <n v="92020172"/>
    <n v="32.484299999999998"/>
    <n v="12.1286"/>
    <n v="5739.9"/>
    <n v="4105.91"/>
    <n v="2455"/>
    <n v="451"/>
    <x v="0"/>
    <x v="4"/>
  </r>
  <r>
    <s v="istree_exp5_numerical_stability_vs_time/step10384.txt"/>
    <x v="1"/>
    <m/>
    <s v="reclaimer_debra"/>
    <s v="allocator_new"/>
    <s v="pool_none"/>
    <n v="32000"/>
    <n v="20"/>
    <n v="20"/>
    <n v="0"/>
    <n v="1"/>
    <n v="20000000"/>
    <n v="190"/>
    <n v="190"/>
    <n v="190"/>
    <n v="0"/>
    <s v="insertIfAbsent"/>
    <n v="99990491558451"/>
    <n v="10000583"/>
    <n v="99990491558451"/>
    <n v="10000583"/>
    <s v="success"/>
    <n v="29"/>
    <n v="6858467"/>
    <n v="5203352"/>
    <n v="12061819"/>
    <n v="10000583"/>
    <n v="1.75868"/>
    <n v="1.92195"/>
    <n v="1.82911"/>
    <n v="23.2272"/>
    <n v="675461864"/>
    <m/>
    <m/>
    <m/>
    <s v="166 17390"/>
    <m/>
    <m/>
    <n v="1758211436"/>
    <n v="0"/>
    <n v="1172242371"/>
    <n v="1758211436"/>
    <n v="2930453807"/>
    <n v="54944107"/>
    <n v="0"/>
    <n v="36632574"/>
    <n v="54944107"/>
    <n v="91576681"/>
    <n v="32.805700000000002"/>
    <n v="12.309200000000001"/>
    <n v="5768.79"/>
    <n v="4155.8599999999997"/>
    <n v="2512"/>
    <n v="435"/>
    <x v="0"/>
    <x v="5"/>
  </r>
  <r>
    <s v="istree_exp5_numerical_stability_vs_time/step10385.txt"/>
    <x v="1"/>
    <m/>
    <s v="reclaimer_debra"/>
    <s v="allocator_new"/>
    <s v="pool_none"/>
    <n v="64000"/>
    <n v="20"/>
    <n v="20"/>
    <n v="0"/>
    <n v="1"/>
    <n v="20000000"/>
    <n v="190"/>
    <n v="190"/>
    <n v="190"/>
    <n v="0"/>
    <s v="insertIfAbsent"/>
    <n v="100003717248071"/>
    <n v="10003012"/>
    <n v="100003717248071"/>
    <n v="10003012"/>
    <s v="success"/>
    <n v="29"/>
    <n v="6860285"/>
    <n v="5204030"/>
    <n v="12064315"/>
    <n v="10003012"/>
    <n v="1.75857"/>
    <n v="1.9221699999999999"/>
    <n v="1.82914"/>
    <n v="23.2104"/>
    <n v="675601640"/>
    <m/>
    <m/>
    <m/>
    <n v="34388"/>
    <m/>
    <m/>
    <n v="3480253158"/>
    <n v="0"/>
    <n v="2320001196"/>
    <n v="3480253158"/>
    <n v="5800254354"/>
    <n v="54378955"/>
    <n v="0"/>
    <n v="36250018"/>
    <n v="54378955"/>
    <n v="90628974"/>
    <n v="33.136099999999999"/>
    <n v="12.423"/>
    <n v="5828.83"/>
    <n v="4193.91"/>
    <n v="2533"/>
    <n v="440"/>
    <x v="0"/>
    <x v="6"/>
  </r>
  <r>
    <s v="istree_exp5_numerical_stability_vs_time/step10386.txt"/>
    <x v="3"/>
    <m/>
    <s v="reclaimer_debra"/>
    <s v="allocator_new"/>
    <s v="pool_none"/>
    <n v="1000"/>
    <n v="20"/>
    <n v="20"/>
    <n v="0"/>
    <n v="1"/>
    <n v="20000000"/>
    <n v="190"/>
    <n v="190"/>
    <n v="190"/>
    <n v="0"/>
    <s v="insertIfAbsent"/>
    <n v="100021288328499"/>
    <n v="10000197"/>
    <n v="100021288328499"/>
    <n v="10000197"/>
    <s v="success"/>
    <n v="58"/>
    <n v="10000196"/>
    <n v="10000197"/>
    <n v="20000393"/>
    <n v="10000197"/>
    <n v="2"/>
    <n v="1"/>
    <n v="1.5"/>
    <n v="30.4758"/>
    <n v="640012576"/>
    <m/>
    <m/>
    <m/>
    <s v="136 664"/>
    <m/>
    <m/>
    <n v="41137853"/>
    <n v="0"/>
    <n v="27419159"/>
    <n v="41137853"/>
    <n v="68557012"/>
    <n v="41137853"/>
    <n v="0"/>
    <n v="27419159"/>
    <n v="41137853"/>
    <n v="68557012"/>
    <n v="27.996200000000002"/>
    <n v="11.267200000000001"/>
    <n v="7585.09"/>
    <n v="4997.49"/>
    <n v="1932"/>
    <n v="406"/>
    <x v="0"/>
    <x v="0"/>
  </r>
  <r>
    <s v="istree_exp5_numerical_stability_vs_time/step10387.txt"/>
    <x v="3"/>
    <m/>
    <s v="reclaimer_debra"/>
    <s v="allocator_new"/>
    <s v="pool_none"/>
    <n v="2000"/>
    <n v="20"/>
    <n v="20"/>
    <n v="0"/>
    <n v="1"/>
    <n v="20000000"/>
    <n v="190"/>
    <n v="190"/>
    <n v="190"/>
    <n v="0"/>
    <s v="insertIfAbsent"/>
    <n v="99998927120984"/>
    <n v="10000735"/>
    <n v="99998927120984"/>
    <n v="10000735"/>
    <s v="success"/>
    <n v="58"/>
    <n v="10000734"/>
    <n v="10000735"/>
    <n v="20001469"/>
    <n v="10000735"/>
    <n v="2"/>
    <n v="1"/>
    <n v="1.5"/>
    <n v="30.8155"/>
    <n v="640047008"/>
    <m/>
    <m/>
    <m/>
    <s v="150 1148"/>
    <m/>
    <m/>
    <n v="84646869"/>
    <n v="0"/>
    <n v="56440730"/>
    <n v="84646869"/>
    <n v="141087599"/>
    <n v="42323434"/>
    <n v="0"/>
    <n v="28220365"/>
    <n v="42323434"/>
    <n v="70543799"/>
    <n v="28.292300000000001"/>
    <n v="11.487399999999999"/>
    <n v="7444.9"/>
    <n v="5094.43"/>
    <n v="2060"/>
    <n v="414"/>
    <x v="0"/>
    <x v="1"/>
  </r>
  <r>
    <s v="istree_exp5_numerical_stability_vs_time/step10388.txt"/>
    <x v="3"/>
    <m/>
    <s v="reclaimer_debra"/>
    <s v="allocator_new"/>
    <s v="pool_none"/>
    <n v="4000"/>
    <n v="20"/>
    <n v="20"/>
    <n v="0"/>
    <n v="1"/>
    <n v="20000000"/>
    <n v="190"/>
    <n v="190"/>
    <n v="190"/>
    <n v="0"/>
    <s v="insertIfAbsent"/>
    <n v="100027505862029"/>
    <n v="10002147"/>
    <n v="100027505862029"/>
    <n v="10002147"/>
    <s v="success"/>
    <n v="59"/>
    <n v="10002146"/>
    <n v="10002147"/>
    <n v="20004293"/>
    <n v="10002147"/>
    <n v="2"/>
    <n v="1"/>
    <n v="1.5"/>
    <n v="31.9236"/>
    <n v="640137376"/>
    <m/>
    <m/>
    <m/>
    <s v="138 2086"/>
    <m/>
    <m/>
    <n v="175230286"/>
    <n v="0"/>
    <n v="116841508"/>
    <n v="175230286"/>
    <n v="292071794"/>
    <n v="43807571"/>
    <n v="0"/>
    <n v="29210377"/>
    <n v="43807571"/>
    <n v="73017948"/>
    <n v="28.6828"/>
    <n v="11.7523"/>
    <n v="7224.08"/>
    <n v="5175.9399999999996"/>
    <n v="2213"/>
    <n v="413"/>
    <x v="0"/>
    <x v="2"/>
  </r>
  <r>
    <s v="istree_exp5_numerical_stability_vs_time/step10389.txt"/>
    <x v="3"/>
    <m/>
    <s v="reclaimer_debra"/>
    <s v="allocator_new"/>
    <s v="pool_none"/>
    <n v="8000"/>
    <n v="20"/>
    <n v="20"/>
    <n v="0"/>
    <n v="1"/>
    <n v="20000000"/>
    <n v="190"/>
    <n v="190"/>
    <n v="190"/>
    <n v="0"/>
    <s v="insertIfAbsent"/>
    <n v="100019194550176"/>
    <n v="9999843"/>
    <n v="100019194550176"/>
    <n v="9999843"/>
    <s v="success"/>
    <n v="64"/>
    <n v="9999842"/>
    <n v="9999843"/>
    <n v="19999685"/>
    <n v="9999843"/>
    <n v="2"/>
    <n v="1"/>
    <n v="1.5"/>
    <n v="31.140499999999999"/>
    <n v="639989920"/>
    <m/>
    <m/>
    <m/>
    <s v="144 3946"/>
    <m/>
    <m/>
    <n v="348780180"/>
    <n v="0"/>
    <n v="232490804"/>
    <n v="348780180"/>
    <n v="581270984"/>
    <n v="43597522"/>
    <n v="0"/>
    <n v="29061350"/>
    <n v="43597522"/>
    <n v="72658873"/>
    <n v="29.074300000000001"/>
    <n v="11.9817"/>
    <n v="7263.89"/>
    <n v="5246.51"/>
    <n v="2309"/>
    <n v="397"/>
    <x v="0"/>
    <x v="3"/>
  </r>
  <r>
    <s v="istree_exp5_numerical_stability_vs_time/step10390.txt"/>
    <x v="3"/>
    <m/>
    <s v="reclaimer_debra"/>
    <s v="allocator_new"/>
    <s v="pool_none"/>
    <n v="16000"/>
    <n v="20"/>
    <n v="20"/>
    <n v="0"/>
    <n v="1"/>
    <n v="20000000"/>
    <n v="190"/>
    <n v="190"/>
    <n v="190"/>
    <n v="0"/>
    <s v="insertIfAbsent"/>
    <n v="100043716906120"/>
    <n v="10003059"/>
    <n v="100043716906120"/>
    <n v="10003059"/>
    <s v="success"/>
    <n v="60"/>
    <n v="10003058"/>
    <n v="10003059"/>
    <n v="20006117"/>
    <n v="10003059"/>
    <n v="2"/>
    <n v="1"/>
    <n v="1.5"/>
    <n v="30.298300000000001"/>
    <n v="640195744"/>
    <m/>
    <m/>
    <m/>
    <n v="7670"/>
    <m/>
    <m/>
    <n v="691921611"/>
    <n v="0"/>
    <n v="461293201"/>
    <n v="691921611"/>
    <n v="1153214812"/>
    <n v="43245100"/>
    <n v="0"/>
    <n v="28830825"/>
    <n v="43245100"/>
    <n v="72075925"/>
    <n v="29.2346"/>
    <n v="12.107100000000001"/>
    <n v="7325.72"/>
    <n v="5291"/>
    <n v="2337"/>
    <n v="408"/>
    <x v="0"/>
    <x v="4"/>
  </r>
  <r>
    <s v="istree_exp5_numerical_stability_vs_time/step10391.txt"/>
    <x v="3"/>
    <m/>
    <s v="reclaimer_debra"/>
    <s v="allocator_new"/>
    <s v="pool_none"/>
    <n v="32000"/>
    <n v="20"/>
    <n v="20"/>
    <n v="0"/>
    <n v="1"/>
    <n v="20000000"/>
    <n v="190"/>
    <n v="190"/>
    <n v="190"/>
    <n v="0"/>
    <s v="insertIfAbsent"/>
    <n v="99979058014303"/>
    <n v="9995870"/>
    <n v="99979058014303"/>
    <n v="9995870"/>
    <s v="success"/>
    <n v="55"/>
    <n v="9995869"/>
    <n v="9995870"/>
    <n v="19991739"/>
    <n v="9995870"/>
    <n v="2"/>
    <n v="1"/>
    <n v="1.5"/>
    <n v="30.476900000000001"/>
    <n v="639735648"/>
    <m/>
    <m/>
    <m/>
    <s v="158 15246"/>
    <m/>
    <m/>
    <n v="1382393458"/>
    <n v="0"/>
    <n v="921608664"/>
    <n v="1382393458"/>
    <n v="2304002122"/>
    <n v="43199795"/>
    <n v="0"/>
    <n v="28800270"/>
    <n v="43199795"/>
    <n v="72000066"/>
    <n v="29.134799999999998"/>
    <n v="12.116300000000001"/>
    <n v="7330.07"/>
    <n v="5274.2"/>
    <n v="2316"/>
    <n v="434"/>
    <x v="0"/>
    <x v="5"/>
  </r>
  <r>
    <s v="istree_exp5_numerical_stability_vs_time/step10392.txt"/>
    <x v="3"/>
    <m/>
    <s v="reclaimer_debra"/>
    <s v="allocator_new"/>
    <s v="pool_none"/>
    <n v="64000"/>
    <n v="20"/>
    <n v="20"/>
    <n v="0"/>
    <n v="1"/>
    <n v="20000000"/>
    <n v="190"/>
    <n v="190"/>
    <n v="190"/>
    <n v="0"/>
    <s v="insertIfAbsent"/>
    <n v="100030364758940"/>
    <n v="10002916"/>
    <n v="100030364758940"/>
    <n v="10002916"/>
    <s v="success"/>
    <n v="57"/>
    <n v="10002915"/>
    <n v="10002916"/>
    <n v="20005831"/>
    <n v="10002916"/>
    <n v="2"/>
    <n v="1"/>
    <n v="1.5"/>
    <n v="30.039200000000001"/>
    <n v="640186592"/>
    <m/>
    <m/>
    <m/>
    <s v="140 30408"/>
    <m/>
    <m/>
    <n v="2763395108"/>
    <n v="0"/>
    <n v="1842294534"/>
    <n v="2763395108"/>
    <n v="4605689642"/>
    <n v="43178048"/>
    <n v="0"/>
    <n v="28785852"/>
    <n v="43178048"/>
    <n v="71963900"/>
    <n v="29.151399999999999"/>
    <n v="12.0829"/>
    <n v="7331.83"/>
    <n v="5261.87"/>
    <n v="2315"/>
    <n v="426"/>
    <x v="0"/>
    <x v="6"/>
  </r>
  <r>
    <s v="istree_exp5_numerical_stability_vs_time/step10393.txt"/>
    <x v="0"/>
    <n v="72"/>
    <s v="reclaimer_debra"/>
    <s v="allocator_new"/>
    <s v="pool_none"/>
    <n v="1000"/>
    <n v="20"/>
    <n v="20"/>
    <n v="0"/>
    <n v="1"/>
    <n v="200000000"/>
    <n v="190"/>
    <n v="190"/>
    <n v="190"/>
    <n v="0"/>
    <s v="insertIfAbsent"/>
    <n v="9999327113588230"/>
    <n v="99991720"/>
    <n v="9999327113588230"/>
    <n v="99991720"/>
    <s v="success"/>
    <n v="7"/>
    <n v="13321077"/>
    <n v="114755410"/>
    <n v="128076487"/>
    <n v="99991720"/>
    <n v="9.6145700000000005"/>
    <n v="0.87134599999999995"/>
    <n v="1.7807200000000001"/>
    <n v="4.0457000000000001"/>
    <n v="2904169104"/>
    <s v="0 3592 313380 3781283 632820"/>
    <s v="0 3592 313361 3781253 632820"/>
    <n v="10851"/>
    <n v="734"/>
    <m/>
    <m/>
    <n v="67331749"/>
    <n v="0"/>
    <n v="44868730"/>
    <n v="67331749"/>
    <n v="112200479"/>
    <n v="67331749"/>
    <n v="0"/>
    <n v="44868730"/>
    <n v="67331749"/>
    <n v="112200479"/>
    <n v="25.540800000000001"/>
    <n v="12.943300000000001"/>
    <n v="4313.99"/>
    <n v="3174.89"/>
    <n v="9701"/>
    <n v="1089"/>
    <x v="3"/>
    <x v="0"/>
  </r>
  <r>
    <s v="istree_exp5_numerical_stability_vs_time/step10394.txt"/>
    <x v="0"/>
    <n v="72"/>
    <s v="reclaimer_debra"/>
    <s v="allocator_new"/>
    <s v="pool_none"/>
    <n v="2000"/>
    <n v="20"/>
    <n v="20"/>
    <n v="0"/>
    <n v="1"/>
    <n v="200000000"/>
    <n v="190"/>
    <n v="190"/>
    <n v="190"/>
    <n v="0"/>
    <s v="insertIfAbsent"/>
    <n v="9999125553593030"/>
    <n v="99996411"/>
    <n v="9999125553593030"/>
    <n v="99996411"/>
    <s v="success"/>
    <n v="7"/>
    <n v="14044608"/>
    <n v="116235588"/>
    <n v="130280196"/>
    <n v="99996411"/>
    <n v="9.2761700000000005"/>
    <n v="0.86029100000000003"/>
    <n v="1.76755"/>
    <n v="4.0628099999999998"/>
    <n v="2985682160"/>
    <s v="2 10001 343880 4432386 854731"/>
    <s v="1 10000 343843 4432361 854728"/>
    <n v="28853"/>
    <n v="1106"/>
    <m/>
    <m/>
    <n v="99676946"/>
    <n v="0"/>
    <n v="66470295"/>
    <n v="99676946"/>
    <n v="166147241"/>
    <n v="49838473"/>
    <n v="0"/>
    <n v="33235147"/>
    <n v="49838473"/>
    <n v="83073620"/>
    <n v="28.651800000000001"/>
    <n v="14.883100000000001"/>
    <n v="4828.62"/>
    <n v="3555.62"/>
    <n v="13903"/>
    <n v="1157"/>
    <x v="3"/>
    <x v="1"/>
  </r>
  <r>
    <s v="istree_exp5_numerical_stability_vs_time/step10395.txt"/>
    <x v="0"/>
    <n v="72"/>
    <s v="reclaimer_debra"/>
    <s v="allocator_new"/>
    <s v="pool_none"/>
    <n v="4000"/>
    <n v="20"/>
    <n v="20"/>
    <n v="0"/>
    <n v="1"/>
    <n v="200000000"/>
    <n v="190"/>
    <n v="190"/>
    <n v="190"/>
    <n v="0"/>
    <s v="insertIfAbsent"/>
    <n v="1.00004729144912E+16"/>
    <n v="100009901"/>
    <n v="1.00004729144912E+16"/>
    <n v="100009901"/>
    <s v="success"/>
    <n v="7"/>
    <n v="13643840"/>
    <n v="115453718"/>
    <n v="129097558"/>
    <n v="100009901"/>
    <n v="9.4619700000000009"/>
    <n v="0.86623399999999995"/>
    <n v="1.77468"/>
    <n v="4.0523199999999999"/>
    <n v="2941555312"/>
    <s v="6 22581 991403 11528059 1961272"/>
    <s v="2 22580 991313 11527975 1961268"/>
    <n v="61916"/>
    <n v="2400"/>
    <m/>
    <m/>
    <n v="216630126"/>
    <n v="0"/>
    <n v="144442675"/>
    <n v="216630126"/>
    <n v="361072801"/>
    <n v="54157531"/>
    <n v="0"/>
    <n v="36110668"/>
    <n v="54157531"/>
    <n v="90268200"/>
    <n v="29.336500000000001"/>
    <n v="15.7018"/>
    <n v="5111.8999999999996"/>
    <n v="3767.34"/>
    <n v="14380"/>
    <n v="1092"/>
    <x v="3"/>
    <x v="2"/>
  </r>
  <r>
    <s v="istree_exp5_numerical_stability_vs_time/step10396.txt"/>
    <x v="0"/>
    <n v="72"/>
    <s v="reclaimer_debra"/>
    <s v="allocator_new"/>
    <s v="pool_none"/>
    <n v="8000"/>
    <n v="20"/>
    <n v="20"/>
    <n v="0"/>
    <n v="1"/>
    <n v="200000000"/>
    <n v="190"/>
    <n v="190"/>
    <n v="190"/>
    <n v="0"/>
    <s v="insertIfAbsent"/>
    <n v="1.00004925889336E+16"/>
    <n v="100003021"/>
    <n v="1.00004925889336E+16"/>
    <n v="100003021"/>
    <s v="success"/>
    <n v="7"/>
    <n v="14947749"/>
    <n v="118269479"/>
    <n v="133217228"/>
    <n v="100003021"/>
    <n v="8.9121900000000007"/>
    <n v="0.84555199999999997"/>
    <n v="1.75068"/>
    <n v="4.0821899999999998"/>
    <n v="3092396560"/>
    <s v="20 49995 1745051 21664161 3773000"/>
    <s v="5 49992 1744881 21664010 3772991"/>
    <n v="134689"/>
    <n v="4116"/>
    <m/>
    <m/>
    <n v="422527120"/>
    <n v="0"/>
    <n v="281659463"/>
    <n v="422527120"/>
    <n v="704186583"/>
    <n v="52815890"/>
    <n v="0"/>
    <n v="35207432"/>
    <n v="52815890"/>
    <n v="88023322"/>
    <n v="30.491199999999999"/>
    <n v="16.694900000000001"/>
    <n v="5414.79"/>
    <n v="4011.66"/>
    <n v="14400"/>
    <n v="1202"/>
    <x v="3"/>
    <x v="3"/>
  </r>
  <r>
    <s v="istree_exp5_numerical_stability_vs_time/step10397.txt"/>
    <x v="0"/>
    <n v="72"/>
    <s v="reclaimer_debra"/>
    <s v="allocator_new"/>
    <s v="pool_none"/>
    <n v="16000"/>
    <n v="20"/>
    <n v="20"/>
    <n v="0"/>
    <n v="1"/>
    <n v="200000000"/>
    <n v="190"/>
    <n v="190"/>
    <n v="190"/>
    <n v="0"/>
    <s v="insertIfAbsent"/>
    <n v="1.00007912324555E+16"/>
    <n v="100007509"/>
    <n v="1.00007912324555E+16"/>
    <n v="100007509"/>
    <s v="success"/>
    <n v="7"/>
    <n v="12736222"/>
    <n v="113533830"/>
    <n v="126270052"/>
    <n v="100007509"/>
    <n v="9.9142499999999991"/>
    <n v="0.88086100000000001"/>
    <n v="1.7920100000000001"/>
    <n v="4.0336999999999996"/>
    <n v="2837107664"/>
    <s v="48 105496 3768641 42682236 7297340"/>
    <s v="10 105487 3768288 42681973 7297328"/>
    <n v="271281"/>
    <n v="7408"/>
    <m/>
    <m/>
    <n v="818398546"/>
    <n v="0"/>
    <n v="545574755"/>
    <n v="818398546"/>
    <n v="1363973301"/>
    <n v="51149909"/>
    <n v="0"/>
    <n v="34098422"/>
    <n v="51149909"/>
    <n v="85248331"/>
    <n v="31.056799999999999"/>
    <n v="17.2668"/>
    <n v="5573.7"/>
    <n v="4130.58"/>
    <n v="14398"/>
    <n v="1105"/>
    <x v="3"/>
    <x v="4"/>
  </r>
  <r>
    <s v="istree_exp5_numerical_stability_vs_time/step10398.txt"/>
    <x v="0"/>
    <n v="72"/>
    <s v="reclaimer_debra"/>
    <s v="allocator_new"/>
    <s v="pool_none"/>
    <n v="32000"/>
    <n v="20"/>
    <n v="20"/>
    <n v="0"/>
    <n v="1"/>
    <n v="200000000"/>
    <n v="190"/>
    <n v="190"/>
    <n v="190"/>
    <n v="0"/>
    <s v="insertIfAbsent"/>
    <n v="1.00019033765606E+16"/>
    <n v="100011282"/>
    <n v="1.00019033765606E+16"/>
    <n v="100011282"/>
    <s v="success"/>
    <n v="7"/>
    <n v="14593069"/>
    <n v="117363708"/>
    <n v="131956777"/>
    <n v="100011282"/>
    <n v="9.0424299999999995"/>
    <n v="0.85214800000000002"/>
    <n v="1.7579100000000001"/>
    <n v="4.0730700000000004"/>
    <n v="3048441936"/>
    <s v="70 209980 7227372 82632881 14275523"/>
    <s v="21 209953 7226655 82632359 14275490"/>
    <n v="537347"/>
    <n v="13470"/>
    <m/>
    <m/>
    <n v="1607554095"/>
    <n v="0"/>
    <n v="1071654964"/>
    <n v="1607554095"/>
    <n v="2679209059"/>
    <n v="50236065"/>
    <n v="0"/>
    <n v="33489217"/>
    <n v="50236065"/>
    <n v="83725283"/>
    <n v="31.3325"/>
    <n v="17.530200000000001"/>
    <n v="5675.53"/>
    <n v="4216.24"/>
    <n v="14420"/>
    <n v="1096"/>
    <x v="3"/>
    <x v="5"/>
  </r>
  <r>
    <s v="istree_exp5_numerical_stability_vs_time/step10399.txt"/>
    <x v="0"/>
    <n v="72"/>
    <s v="reclaimer_debra"/>
    <s v="allocator_new"/>
    <s v="pool_none"/>
    <n v="64000"/>
    <n v="20"/>
    <n v="20"/>
    <n v="0"/>
    <n v="1"/>
    <n v="200000000"/>
    <n v="190"/>
    <n v="190"/>
    <n v="190"/>
    <n v="0"/>
    <s v="insertIfAbsent"/>
    <n v="1.00006238018456E+16"/>
    <n v="100008790"/>
    <n v="1.00006238018456E+16"/>
    <n v="100008790"/>
    <s v="success"/>
    <n v="7"/>
    <n v="14870886"/>
    <n v="118084986"/>
    <n v="132955872"/>
    <n v="100008790"/>
    <n v="8.9406800000000004"/>
    <n v="0.84692199999999995"/>
    <n v="1.7522"/>
    <n v="4.0805999999999996"/>
    <n v="3082983792"/>
    <s v="151 419939 14462906 164999771 28368597"/>
    <s v="42 419886 14461589 164998741 28368532"/>
    <n v="1064229"/>
    <n v="26038"/>
    <m/>
    <m/>
    <n v="3192048228"/>
    <n v="0"/>
    <n v="2128013872"/>
    <n v="3192048228"/>
    <n v="5320062100"/>
    <n v="49875753"/>
    <n v="0"/>
    <n v="33250216"/>
    <n v="49875753"/>
    <n v="83125970"/>
    <n v="31.4742"/>
    <n v="17.6312"/>
    <n v="5695.25"/>
    <n v="4224.66"/>
    <n v="14487"/>
    <n v="1134"/>
    <x v="3"/>
    <x v="6"/>
  </r>
  <r>
    <s v="istree_exp5_numerical_stability_vs_time/step10400.txt"/>
    <x v="2"/>
    <n v="208"/>
    <s v="reclaimer_debra"/>
    <s v="allocator_new"/>
    <s v="pool_none"/>
    <n v="1000"/>
    <n v="20"/>
    <n v="20"/>
    <n v="0"/>
    <n v="1"/>
    <n v="200000000"/>
    <n v="190"/>
    <n v="190"/>
    <n v="190"/>
    <n v="0"/>
    <s v="insertIfAbsent"/>
    <n v="9999894297019780"/>
    <n v="99997690"/>
    <n v="9999894297019780"/>
    <n v="99997690"/>
    <s v="success"/>
    <n v="10"/>
    <n v="1961905"/>
    <n v="13497520"/>
    <n v="15459425"/>
    <n v="99997690"/>
    <n v="7.8798000000000004"/>
    <n v="7.4085999999999999"/>
    <n v="7.4683999999999999"/>
    <n v="9"/>
    <n v="3215560400"/>
    <m/>
    <m/>
    <m/>
    <s v="3090 3812"/>
    <m/>
    <m/>
    <n v="48951949"/>
    <n v="0"/>
    <n v="32631501"/>
    <n v="48951949"/>
    <n v="81583450"/>
    <n v="48951949"/>
    <n v="0"/>
    <n v="32631501"/>
    <n v="48951949"/>
    <n v="81583450"/>
    <n v="28.650600000000001"/>
    <n v="13.2362"/>
    <n v="5902.37"/>
    <n v="3476.75"/>
    <n v="6827"/>
    <n v="6072"/>
    <x v="3"/>
    <x v="0"/>
  </r>
  <r>
    <s v="istree_exp5_numerical_stability_vs_time/step10401.txt"/>
    <x v="2"/>
    <n v="208"/>
    <s v="reclaimer_debra"/>
    <s v="allocator_new"/>
    <s v="pool_none"/>
    <n v="2000"/>
    <n v="20"/>
    <n v="20"/>
    <n v="0"/>
    <n v="1"/>
    <n v="200000000"/>
    <n v="190"/>
    <n v="190"/>
    <n v="190"/>
    <n v="0"/>
    <s v="insertIfAbsent"/>
    <n v="9999733042381470"/>
    <n v="99997776"/>
    <n v="9999733042381470"/>
    <n v="99997776"/>
    <s v="success"/>
    <n v="10"/>
    <n v="2046359"/>
    <n v="14078352"/>
    <n v="16124711"/>
    <n v="99997776"/>
    <n v="7.8797100000000002"/>
    <n v="7.1029499999999999"/>
    <n v="7.2015200000000004"/>
    <n v="9"/>
    <n v="3353939888"/>
    <m/>
    <m/>
    <m/>
    <s v="3140 4474"/>
    <m/>
    <m/>
    <n v="109749315"/>
    <n v="0"/>
    <n v="73172121"/>
    <n v="109749315"/>
    <n v="182921436"/>
    <n v="54874657"/>
    <n v="0"/>
    <n v="36586060"/>
    <n v="54874657"/>
    <n v="91460718"/>
    <n v="28.8431"/>
    <n v="13.5716"/>
    <n v="5441.62"/>
    <n v="3481.06"/>
    <n v="7827"/>
    <n v="6031"/>
    <x v="3"/>
    <x v="1"/>
  </r>
  <r>
    <s v="istree_exp5_numerical_stability_vs_time/step10402.txt"/>
    <x v="2"/>
    <n v="208"/>
    <s v="reclaimer_debra"/>
    <s v="allocator_new"/>
    <s v="pool_none"/>
    <n v="4000"/>
    <n v="20"/>
    <n v="20"/>
    <n v="0"/>
    <n v="1"/>
    <n v="200000000"/>
    <n v="190"/>
    <n v="190"/>
    <n v="190"/>
    <n v="0"/>
    <s v="insertIfAbsent"/>
    <n v="9999913420202570"/>
    <n v="100004686"/>
    <n v="9999913420202570"/>
    <n v="100004686"/>
    <s v="success"/>
    <n v="10"/>
    <n v="2160128"/>
    <n v="14857848"/>
    <n v="17017976"/>
    <n v="100004686"/>
    <n v="7.8782300000000003"/>
    <n v="6.7307699999999997"/>
    <n v="6.8764099999999999"/>
    <n v="9"/>
    <n v="3539739008"/>
    <m/>
    <m/>
    <m/>
    <s v="3046 5906"/>
    <m/>
    <m/>
    <n v="228294290"/>
    <n v="0"/>
    <n v="152183869"/>
    <n v="228294290"/>
    <n v="380478159"/>
    <n v="57073572"/>
    <n v="0"/>
    <n v="38045967"/>
    <n v="57073572"/>
    <n v="95119539"/>
    <n v="28.988700000000001"/>
    <n v="13.7477"/>
    <n v="5360.22"/>
    <n v="3516.09"/>
    <n v="8568"/>
    <n v="6046"/>
    <x v="3"/>
    <x v="2"/>
  </r>
  <r>
    <s v="istree_exp5_numerical_stability_vs_time/step10403.txt"/>
    <x v="2"/>
    <n v="208"/>
    <s v="reclaimer_debra"/>
    <s v="allocator_new"/>
    <s v="pool_none"/>
    <n v="8000"/>
    <n v="20"/>
    <n v="20"/>
    <n v="0"/>
    <n v="1"/>
    <n v="200000000"/>
    <n v="190"/>
    <n v="190"/>
    <n v="190"/>
    <n v="0"/>
    <s v="insertIfAbsent"/>
    <n v="1.0000603701264E+16"/>
    <n v="99994999"/>
    <n v="1.0000603701264E+16"/>
    <n v="99994999"/>
    <s v="success"/>
    <n v="10"/>
    <n v="2313806"/>
    <n v="15902883"/>
    <n v="18216689"/>
    <n v="99994999"/>
    <n v="7.8730399999999996"/>
    <n v="6.2878499999999997"/>
    <n v="6.4892000000000003"/>
    <n v="9"/>
    <n v="3789071312"/>
    <m/>
    <m/>
    <m/>
    <s v="3050 8632"/>
    <m/>
    <m/>
    <n v="464214627"/>
    <n v="0"/>
    <n v="309466253"/>
    <n v="464214627"/>
    <n v="773680880"/>
    <n v="58026828"/>
    <n v="0"/>
    <n v="38683281"/>
    <n v="58026828"/>
    <n v="96710110"/>
    <n v="29.161100000000001"/>
    <n v="13.8589"/>
    <n v="5368.35"/>
    <n v="3528.71"/>
    <n v="9073"/>
    <n v="5991"/>
    <x v="3"/>
    <x v="3"/>
  </r>
  <r>
    <s v="istree_exp5_numerical_stability_vs_time/step10404.txt"/>
    <x v="2"/>
    <n v="208"/>
    <s v="reclaimer_debra"/>
    <s v="allocator_new"/>
    <s v="pool_none"/>
    <n v="16000"/>
    <n v="20"/>
    <n v="20"/>
    <n v="0"/>
    <n v="1"/>
    <n v="200000000"/>
    <n v="190"/>
    <n v="190"/>
    <n v="190"/>
    <n v="0"/>
    <s v="insertIfAbsent"/>
    <n v="1.00001530949465E+16"/>
    <n v="100005106"/>
    <n v="1.00001530949465E+16"/>
    <n v="100005106"/>
    <s v="success"/>
    <n v="11"/>
    <n v="2494313"/>
    <n v="17122822"/>
    <n v="19617135"/>
    <n v="100005106"/>
    <n v="7.8647400000000003"/>
    <n v="5.8404600000000002"/>
    <n v="6.0978399999999997"/>
    <n v="10"/>
    <n v="4080364080"/>
    <m/>
    <m/>
    <m/>
    <s v="2970 14032"/>
    <m/>
    <m/>
    <n v="932824359"/>
    <n v="0"/>
    <n v="621819400"/>
    <n v="932824359"/>
    <n v="1554643759"/>
    <n v="58301522"/>
    <n v="0"/>
    <n v="38863712"/>
    <n v="58301522"/>
    <n v="97165234"/>
    <n v="29.3688"/>
    <n v="13.863"/>
    <n v="5387.29"/>
    <n v="3534.88"/>
    <n v="9464"/>
    <n v="6026"/>
    <x v="3"/>
    <x v="4"/>
  </r>
  <r>
    <s v="istree_exp5_numerical_stability_vs_time/step10405.txt"/>
    <x v="2"/>
    <n v="208"/>
    <s v="reclaimer_debra"/>
    <s v="allocator_new"/>
    <s v="pool_none"/>
    <n v="32000"/>
    <n v="20"/>
    <n v="20"/>
    <n v="0"/>
    <n v="1"/>
    <n v="200000000"/>
    <n v="190"/>
    <n v="190"/>
    <n v="190"/>
    <n v="0"/>
    <s v="insertIfAbsent"/>
    <n v="1.00008760444644E+16"/>
    <n v="100005393"/>
    <n v="1.00008760444644E+16"/>
    <n v="100005393"/>
    <s v="success"/>
    <n v="11"/>
    <n v="2686412"/>
    <n v="18331304"/>
    <n v="21017716"/>
    <n v="100005393"/>
    <n v="7.8237100000000002"/>
    <n v="5.4554400000000003"/>
    <n v="5.7581499999999997"/>
    <n v="10"/>
    <n v="4371684928"/>
    <m/>
    <m/>
    <m/>
    <s v="2916 24844"/>
    <m/>
    <m/>
    <n v="1855648895"/>
    <n v="0"/>
    <n v="1237089589"/>
    <n v="1855648895"/>
    <n v="3092738484"/>
    <n v="57989027"/>
    <n v="0"/>
    <n v="38659049"/>
    <n v="57989027"/>
    <n v="96648077"/>
    <n v="29.5275"/>
    <n v="13.902799999999999"/>
    <n v="5431.57"/>
    <n v="3558.59"/>
    <n v="9780"/>
    <n v="6054"/>
    <x v="3"/>
    <x v="5"/>
  </r>
  <r>
    <s v="istree_exp5_numerical_stability_vs_time/step10406.txt"/>
    <x v="2"/>
    <n v="208"/>
    <s v="reclaimer_debra"/>
    <s v="allocator_new"/>
    <s v="pool_none"/>
    <n v="64000"/>
    <n v="20"/>
    <n v="20"/>
    <n v="0"/>
    <n v="1"/>
    <n v="200000000"/>
    <n v="190"/>
    <n v="190"/>
    <n v="190"/>
    <n v="0"/>
    <s v="insertIfAbsent"/>
    <n v="1.0001258859459E+16"/>
    <n v="100004665"/>
    <n v="1.0001258859459E+16"/>
    <n v="100004665"/>
    <s v="success"/>
    <n v="11"/>
    <n v="2875609"/>
    <n v="19273369"/>
    <n v="22148978"/>
    <n v="100004665"/>
    <n v="7.7023599999999997"/>
    <n v="5.1887499999999998"/>
    <n v="5.5150899999999998"/>
    <n v="10"/>
    <n v="4606987424"/>
    <m/>
    <m/>
    <m/>
    <s v="2954 46346"/>
    <m/>
    <m/>
    <n v="3686985757"/>
    <n v="0"/>
    <n v="2457971757"/>
    <n v="3686985757"/>
    <n v="6144957514"/>
    <n v="57609152"/>
    <n v="0"/>
    <n v="38405808"/>
    <n v="57609152"/>
    <n v="96014961"/>
    <n v="29.695599999999999"/>
    <n v="14.059100000000001"/>
    <n v="5478.34"/>
    <n v="3584.51"/>
    <n v="10078"/>
    <n v="5991"/>
    <x v="3"/>
    <x v="6"/>
  </r>
  <r>
    <s v="istree_exp5_numerical_stability_vs_time/step10407.txt"/>
    <x v="1"/>
    <m/>
    <s v="reclaimer_debra"/>
    <s v="allocator_new"/>
    <s v="pool_none"/>
    <n v="1000"/>
    <n v="20"/>
    <n v="20"/>
    <n v="0"/>
    <n v="1"/>
    <n v="200000000"/>
    <n v="190"/>
    <n v="190"/>
    <n v="190"/>
    <n v="0"/>
    <s v="insertIfAbsent"/>
    <n v="9999932547758350"/>
    <n v="100000224"/>
    <n v="9999932547758350"/>
    <n v="100000224"/>
    <s v="success"/>
    <n v="33"/>
    <n v="58542894"/>
    <n v="44020889"/>
    <n v="102563783"/>
    <n v="100000224"/>
    <n v="1.7519400000000001"/>
    <n v="2.2716500000000002"/>
    <n v="1.9750099999999999"/>
    <n v="26.119800000000001"/>
    <n v="5743571848"/>
    <m/>
    <m/>
    <m/>
    <s v="778 1330"/>
    <m/>
    <m/>
    <n v="38449801"/>
    <n v="0"/>
    <n v="25625425"/>
    <n v="38449801"/>
    <n v="64075226"/>
    <n v="38449801"/>
    <n v="0"/>
    <n v="25625425"/>
    <n v="38449801"/>
    <n v="64075226"/>
    <n v="43.464199999999998"/>
    <n v="20.238099999999999"/>
    <n v="8243.02"/>
    <n v="6596.48"/>
    <n v="7779"/>
    <n v="2759"/>
    <x v="3"/>
    <x v="0"/>
  </r>
  <r>
    <s v="istree_exp5_numerical_stability_vs_time/step10408.txt"/>
    <x v="1"/>
    <m/>
    <s v="reclaimer_debra"/>
    <s v="allocator_new"/>
    <s v="pool_none"/>
    <n v="2000"/>
    <n v="20"/>
    <n v="20"/>
    <n v="0"/>
    <n v="1"/>
    <n v="200000000"/>
    <n v="190"/>
    <n v="190"/>
    <n v="190"/>
    <n v="0"/>
    <s v="insertIfAbsent"/>
    <n v="1.00016056102721E+16"/>
    <n v="100012470"/>
    <n v="1.00016056102721E+16"/>
    <n v="100012470"/>
    <s v="success"/>
    <n v="33"/>
    <n v="59780151"/>
    <n v="45027940"/>
    <n v="104808091"/>
    <n v="100012470"/>
    <n v="1.7532300000000001"/>
    <n v="2.22112"/>
    <n v="1.95424"/>
    <n v="26.197099999999999"/>
    <n v="5869253096"/>
    <m/>
    <m/>
    <m/>
    <s v="778 1704"/>
    <m/>
    <m/>
    <n v="77020833"/>
    <n v="0"/>
    <n v="51355115"/>
    <n v="77020833"/>
    <n v="128375948"/>
    <n v="38510416"/>
    <n v="0"/>
    <n v="25677557"/>
    <n v="38510416"/>
    <n v="64187974"/>
    <n v="43.208599999999997"/>
    <n v="20.374400000000001"/>
    <n v="8228.26"/>
    <n v="6587.04"/>
    <n v="7964"/>
    <n v="2753"/>
    <x v="3"/>
    <x v="1"/>
  </r>
  <r>
    <s v="istree_exp5_numerical_stability_vs_time/step10409.txt"/>
    <x v="1"/>
    <m/>
    <s v="reclaimer_debra"/>
    <s v="allocator_new"/>
    <s v="pool_none"/>
    <n v="4000"/>
    <n v="20"/>
    <n v="20"/>
    <n v="0"/>
    <n v="1"/>
    <n v="200000000"/>
    <n v="190"/>
    <n v="190"/>
    <n v="190"/>
    <n v="0"/>
    <s v="insertIfAbsent"/>
    <n v="1.00009681882977E+16"/>
    <n v="100002242"/>
    <n v="1.00009681882977E+16"/>
    <n v="100002242"/>
    <s v="success"/>
    <n v="33"/>
    <n v="61793995"/>
    <n v="46645898"/>
    <n v="108439893"/>
    <n v="100002242"/>
    <n v="1.7548600000000001"/>
    <n v="2.1438600000000001"/>
    <n v="1.9221900000000001"/>
    <n v="26.311599999999999"/>
    <n v="6072634008"/>
    <m/>
    <m/>
    <m/>
    <s v="778 2438"/>
    <m/>
    <m/>
    <n v="153796470"/>
    <n v="0"/>
    <n v="102535440"/>
    <n v="153796470"/>
    <n v="256331910"/>
    <n v="38449117"/>
    <n v="0"/>
    <n v="25633860"/>
    <n v="38449117"/>
    <n v="64082977"/>
    <n v="43.385899999999999"/>
    <n v="20.549499999999998"/>
    <n v="8242.4699999999993"/>
    <n v="6604.02"/>
    <n v="8291"/>
    <n v="2745"/>
    <x v="3"/>
    <x v="2"/>
  </r>
  <r>
    <s v="istree_exp5_numerical_stability_vs_time/step10410.txt"/>
    <x v="1"/>
    <m/>
    <s v="reclaimer_debra"/>
    <s v="allocator_new"/>
    <s v="pool_none"/>
    <n v="8000"/>
    <n v="20"/>
    <n v="20"/>
    <n v="0"/>
    <n v="1"/>
    <n v="200000000"/>
    <n v="190"/>
    <n v="190"/>
    <n v="190"/>
    <n v="0"/>
    <s v="insertIfAbsent"/>
    <n v="9999191411850130"/>
    <n v="99996980"/>
    <n v="9999191411850130"/>
    <n v="99996980"/>
    <s v="success"/>
    <n v="33"/>
    <n v="64500056"/>
    <n v="48787653"/>
    <n v="113287709"/>
    <n v="99996980"/>
    <n v="1.7564"/>
    <n v="2.0496400000000001"/>
    <n v="1.8826799999999999"/>
    <n v="26.410499999999999"/>
    <n v="6344111704"/>
    <m/>
    <m/>
    <m/>
    <s v="776 3886"/>
    <m/>
    <m/>
    <n v="305116081"/>
    <n v="0"/>
    <n v="203371006"/>
    <n v="305116081"/>
    <n v="508487087"/>
    <n v="38139510"/>
    <n v="0"/>
    <n v="25421375"/>
    <n v="38139510"/>
    <n v="63560885"/>
    <n v="43.6479"/>
    <n v="20.7774"/>
    <n v="8312.9599999999991"/>
    <n v="6665.98"/>
    <n v="8834"/>
    <n v="2742"/>
    <x v="3"/>
    <x v="3"/>
  </r>
  <r>
    <s v="istree_exp5_numerical_stability_vs_time/step10411.txt"/>
    <x v="1"/>
    <m/>
    <s v="reclaimer_debra"/>
    <s v="allocator_new"/>
    <s v="pool_none"/>
    <n v="16000"/>
    <n v="20"/>
    <n v="20"/>
    <n v="0"/>
    <n v="1"/>
    <n v="200000000"/>
    <n v="190"/>
    <n v="190"/>
    <n v="190"/>
    <n v="0"/>
    <s v="insertIfAbsent"/>
    <n v="9999987271973060"/>
    <n v="100004181"/>
    <n v="9999987271973060"/>
    <n v="100004181"/>
    <s v="success"/>
    <n v="33"/>
    <n v="67101803"/>
    <n v="50838366"/>
    <n v="117940169"/>
    <n v="100004181"/>
    <n v="1.75763"/>
    <n v="1.9671000000000001"/>
    <n v="1.84792"/>
    <n v="26.561800000000002"/>
    <n v="6604649464"/>
    <m/>
    <m/>
    <m/>
    <s v="774 6772"/>
    <m/>
    <m/>
    <n v="604782168"/>
    <n v="0"/>
    <n v="403188678"/>
    <n v="604782168"/>
    <n v="1007970846"/>
    <n v="37798885"/>
    <n v="0"/>
    <n v="25199292"/>
    <n v="37798885"/>
    <n v="62998177"/>
    <n v="43.712600000000002"/>
    <n v="21.049900000000001"/>
    <n v="8389.26"/>
    <n v="6728.53"/>
    <n v="9636"/>
    <n v="2753"/>
    <x v="3"/>
    <x v="4"/>
  </r>
  <r>
    <s v="istree_exp5_numerical_stability_vs_time/step10412.txt"/>
    <x v="1"/>
    <m/>
    <s v="reclaimer_debra"/>
    <s v="allocator_new"/>
    <s v="pool_none"/>
    <n v="32000"/>
    <n v="20"/>
    <n v="20"/>
    <n v="0"/>
    <n v="1"/>
    <n v="200000000"/>
    <n v="190"/>
    <n v="190"/>
    <n v="190"/>
    <n v="0"/>
    <s v="insertIfAbsent"/>
    <n v="9999251947097260"/>
    <n v="99993691"/>
    <n v="9999251947097260"/>
    <n v="99993691"/>
    <s v="success"/>
    <n v="33"/>
    <n v="68369491"/>
    <n v="51846040"/>
    <n v="120215531"/>
    <n v="99993691"/>
    <n v="1.7583200000000001"/>
    <n v="1.9286700000000001"/>
    <n v="1.83179"/>
    <n v="26.651499999999999"/>
    <n v="6732069736"/>
    <m/>
    <m/>
    <m/>
    <s v="770 12442"/>
    <m/>
    <m/>
    <n v="1195421477"/>
    <n v="0"/>
    <n v="797039711"/>
    <n v="1195421477"/>
    <n v="1992461188"/>
    <n v="37356921"/>
    <n v="0"/>
    <n v="24907490"/>
    <n v="37356921"/>
    <n v="62264412"/>
    <n v="44.1845"/>
    <n v="21.3904"/>
    <n v="8489.7900000000009"/>
    <n v="6819.52"/>
    <n v="10720"/>
    <n v="2792"/>
    <x v="3"/>
    <x v="5"/>
  </r>
  <r>
    <s v="istree_exp5_numerical_stability_vs_time/step10413.txt"/>
    <x v="1"/>
    <m/>
    <s v="reclaimer_debra"/>
    <s v="allocator_new"/>
    <s v="pool_none"/>
    <n v="64000"/>
    <n v="20"/>
    <n v="20"/>
    <n v="0"/>
    <n v="1"/>
    <n v="200000000"/>
    <n v="190"/>
    <n v="190"/>
    <n v="190"/>
    <n v="0"/>
    <s v="insertIfAbsent"/>
    <n v="9999007330313770"/>
    <n v="99990155"/>
    <n v="9999007330313770"/>
    <n v="99990155"/>
    <s v="success"/>
    <n v="33"/>
    <n v="68574498"/>
    <n v="52020560"/>
    <n v="120595058"/>
    <n v="99990155"/>
    <n v="1.7585999999999999"/>
    <n v="1.9221299999999999"/>
    <n v="1.82914"/>
    <n v="26.606000000000002"/>
    <n v="6753323248"/>
    <m/>
    <m/>
    <m/>
    <s v="774 23576"/>
    <m/>
    <m/>
    <n v="2349991190"/>
    <n v="0"/>
    <n v="1566653423"/>
    <n v="2349991190"/>
    <n v="3916644613"/>
    <n v="36718612"/>
    <n v="0"/>
    <n v="24478959"/>
    <n v="36718612"/>
    <n v="61197572"/>
    <n v="44.169600000000003"/>
    <n v="21.8279"/>
    <n v="8640.5499999999993"/>
    <n v="6961.75"/>
    <n v="12092"/>
    <n v="2792"/>
    <x v="3"/>
    <x v="6"/>
  </r>
  <r>
    <s v="istree_exp5_numerical_stability_vs_time/step10414.txt"/>
    <x v="3"/>
    <m/>
    <s v="reclaimer_debra"/>
    <s v="allocator_new"/>
    <s v="pool_none"/>
    <n v="1000"/>
    <n v="20"/>
    <n v="20"/>
    <n v="0"/>
    <n v="1"/>
    <n v="200000000"/>
    <n v="190"/>
    <n v="190"/>
    <n v="190"/>
    <n v="0"/>
    <s v="insertIfAbsent"/>
    <n v="1.00002259029338E+16"/>
    <n v="99999905"/>
    <n v="1.00002259029338E+16"/>
    <n v="99999905"/>
    <s v="success"/>
    <n v="77"/>
    <n v="99999904"/>
    <n v="99999905"/>
    <n v="199999809"/>
    <n v="99999905"/>
    <n v="2"/>
    <n v="1"/>
    <n v="1.5"/>
    <n v="36.844200000000001"/>
    <n v="6399993888"/>
    <m/>
    <m/>
    <m/>
    <s v="742 1248"/>
    <m/>
    <m/>
    <n v="29465603"/>
    <n v="0"/>
    <n v="19641771"/>
    <n v="29465603"/>
    <n v="49107374"/>
    <n v="29465603"/>
    <n v="0"/>
    <n v="19641771"/>
    <n v="29465603"/>
    <n v="49107374"/>
    <n v="41.049700000000001"/>
    <n v="20.422599999999999"/>
    <n v="10736.3"/>
    <n v="8409.33"/>
    <n v="7748"/>
    <n v="2826"/>
    <x v="3"/>
    <x v="0"/>
  </r>
  <r>
    <s v="istree_exp5_numerical_stability_vs_time/step10415.txt"/>
    <x v="3"/>
    <m/>
    <s v="reclaimer_debra"/>
    <s v="allocator_new"/>
    <s v="pool_none"/>
    <n v="2000"/>
    <n v="20"/>
    <n v="20"/>
    <n v="0"/>
    <n v="1"/>
    <n v="200000000"/>
    <n v="190"/>
    <n v="190"/>
    <n v="190"/>
    <n v="0"/>
    <s v="insertIfAbsent"/>
    <n v="1.00004726302207E+16"/>
    <n v="100007200"/>
    <n v="1.00004726302207E+16"/>
    <n v="100007200"/>
    <s v="success"/>
    <n v="70"/>
    <n v="100007199"/>
    <n v="100007200"/>
    <n v="200014399"/>
    <n v="100007200"/>
    <n v="2"/>
    <n v="1"/>
    <n v="1.5"/>
    <n v="35.647799999999997"/>
    <n v="6400460768"/>
    <m/>
    <m/>
    <m/>
    <s v="730 1556"/>
    <m/>
    <m/>
    <n v="58956149"/>
    <n v="0"/>
    <n v="39314401"/>
    <n v="58956149"/>
    <n v="98270550"/>
    <n v="29478074"/>
    <n v="0"/>
    <n v="19657200"/>
    <n v="29478074"/>
    <n v="49135275"/>
    <n v="41.219499999999996"/>
    <n v="20.486599999999999"/>
    <n v="10742.3"/>
    <n v="8435.6200000000008"/>
    <n v="7912"/>
    <n v="2867"/>
    <x v="3"/>
    <x v="1"/>
  </r>
  <r>
    <s v="istree_exp5_numerical_stability_vs_time/step10416.txt"/>
    <x v="3"/>
    <m/>
    <s v="reclaimer_debra"/>
    <s v="allocator_new"/>
    <s v="pool_none"/>
    <n v="4000"/>
    <n v="20"/>
    <n v="20"/>
    <n v="0"/>
    <n v="1"/>
    <n v="200000000"/>
    <n v="190"/>
    <n v="190"/>
    <n v="190"/>
    <n v="0"/>
    <s v="insertIfAbsent"/>
    <n v="1.00003208306271E+16"/>
    <n v="99997644"/>
    <n v="1.00003208306271E+16"/>
    <n v="99997644"/>
    <s v="success"/>
    <n v="72"/>
    <n v="99997643"/>
    <n v="99997644"/>
    <n v="199995287"/>
    <n v="99997644"/>
    <n v="2"/>
    <n v="1"/>
    <n v="1.5"/>
    <n v="37.2712"/>
    <n v="6399849184"/>
    <m/>
    <m/>
    <m/>
    <s v="732 2164"/>
    <m/>
    <m/>
    <n v="118194095"/>
    <n v="0"/>
    <n v="78818525"/>
    <n v="118194095"/>
    <n v="197012620"/>
    <n v="29548523"/>
    <n v="0"/>
    <n v="19704631"/>
    <n v="29548523"/>
    <n v="49253155"/>
    <n v="41.1614"/>
    <n v="20.6313"/>
    <n v="10717.3"/>
    <n v="8444.5300000000007"/>
    <n v="8226"/>
    <n v="2846"/>
    <x v="3"/>
    <x v="2"/>
  </r>
  <r>
    <s v="istree_exp5_numerical_stability_vs_time/step10417.txt"/>
    <x v="3"/>
    <m/>
    <s v="reclaimer_debra"/>
    <s v="allocator_new"/>
    <s v="pool_none"/>
    <n v="8000"/>
    <n v="20"/>
    <n v="20"/>
    <n v="0"/>
    <n v="1"/>
    <n v="200000000"/>
    <n v="190"/>
    <n v="190"/>
    <n v="190"/>
    <n v="0"/>
    <s v="insertIfAbsent"/>
    <n v="9999479638174980"/>
    <n v="99995945"/>
    <n v="9999479638174980"/>
    <n v="99995945"/>
    <s v="success"/>
    <n v="68"/>
    <n v="99995944"/>
    <n v="99995945"/>
    <n v="199991889"/>
    <n v="99995945"/>
    <n v="2"/>
    <n v="1"/>
    <n v="1.5"/>
    <n v="34.743600000000001"/>
    <n v="6399740448"/>
    <m/>
    <m/>
    <m/>
    <s v="724 3388"/>
    <m/>
    <m/>
    <n v="236849769"/>
    <n v="0"/>
    <n v="157897013"/>
    <n v="236849769"/>
    <n v="394746782"/>
    <n v="29606221"/>
    <n v="0"/>
    <n v="19737126"/>
    <n v="29606221"/>
    <n v="49343347"/>
    <n v="41.321199999999997"/>
    <n v="20.870100000000001"/>
    <n v="10700.2"/>
    <n v="8497.4500000000007"/>
    <n v="8795"/>
    <n v="2829"/>
    <x v="3"/>
    <x v="3"/>
  </r>
  <r>
    <s v="istree_exp5_numerical_stability_vs_time/step10418.txt"/>
    <x v="3"/>
    <m/>
    <s v="reclaimer_debra"/>
    <s v="allocator_new"/>
    <s v="pool_none"/>
    <n v="16000"/>
    <n v="20"/>
    <n v="20"/>
    <n v="0"/>
    <n v="1"/>
    <n v="200000000"/>
    <n v="190"/>
    <n v="190"/>
    <n v="190"/>
    <n v="0"/>
    <s v="insertIfAbsent"/>
    <n v="9999685722378100"/>
    <n v="99996513"/>
    <n v="9999685722378100"/>
    <n v="99996513"/>
    <s v="success"/>
    <n v="68"/>
    <n v="99996512"/>
    <n v="99996513"/>
    <n v="199993025"/>
    <n v="99996513"/>
    <n v="2"/>
    <n v="1"/>
    <n v="1.5"/>
    <n v="35.900799999999997"/>
    <n v="6399776800"/>
    <m/>
    <m/>
    <m/>
    <s v="734 5784"/>
    <m/>
    <m/>
    <n v="476945035"/>
    <n v="0"/>
    <n v="317947246"/>
    <n v="476945035"/>
    <n v="794892281"/>
    <n v="29809064"/>
    <n v="0"/>
    <n v="19871702"/>
    <n v="29809064"/>
    <n v="49680767"/>
    <n v="41.652099999999997"/>
    <n v="21.2151"/>
    <n v="10632.6"/>
    <n v="8595.01"/>
    <n v="9754"/>
    <n v="2846"/>
    <x v="3"/>
    <x v="4"/>
  </r>
  <r>
    <s v="istree_exp5_numerical_stability_vs_time/step10419.txt"/>
    <x v="3"/>
    <m/>
    <s v="reclaimer_debra"/>
    <s v="allocator_new"/>
    <s v="pool_none"/>
    <n v="32000"/>
    <n v="20"/>
    <n v="20"/>
    <n v="0"/>
    <n v="1"/>
    <n v="200000000"/>
    <n v="190"/>
    <n v="190"/>
    <n v="190"/>
    <n v="0"/>
    <s v="insertIfAbsent"/>
    <n v="9999305383593630"/>
    <n v="99988374"/>
    <n v="9999305383593630"/>
    <n v="99988374"/>
    <s v="success"/>
    <n v="68"/>
    <n v="99988373"/>
    <n v="99988374"/>
    <n v="199976747"/>
    <n v="99988374"/>
    <n v="2"/>
    <n v="1"/>
    <n v="1.5"/>
    <n v="35.208199999999998"/>
    <n v="6399255904"/>
    <m/>
    <m/>
    <m/>
    <s v="738 10502"/>
    <m/>
    <m/>
    <n v="962131075"/>
    <n v="0"/>
    <n v="641404468"/>
    <n v="962131075"/>
    <n v="1603535543"/>
    <n v="30066596"/>
    <n v="0"/>
    <n v="20043889"/>
    <n v="30066596"/>
    <n v="50110485"/>
    <n v="42.017800000000001"/>
    <n v="21.6907"/>
    <n v="10547.7"/>
    <n v="8706.1200000000008"/>
    <n v="11091"/>
    <n v="2837"/>
    <x v="3"/>
    <x v="5"/>
  </r>
  <r>
    <s v="istree_exp5_numerical_stability_vs_time/step10420.txt"/>
    <x v="3"/>
    <m/>
    <s v="reclaimer_debra"/>
    <s v="allocator_new"/>
    <s v="pool_none"/>
    <n v="64000"/>
    <n v="20"/>
    <n v="20"/>
    <n v="0"/>
    <n v="1"/>
    <n v="200000000"/>
    <n v="190"/>
    <n v="190"/>
    <n v="190"/>
    <n v="0"/>
    <s v="insertIfAbsent"/>
    <n v="9999424918700250"/>
    <n v="99998803"/>
    <n v="9999424918700250"/>
    <n v="99998803"/>
    <s v="success"/>
    <n v="68"/>
    <n v="99998802"/>
    <n v="99998803"/>
    <n v="199997605"/>
    <n v="99998803"/>
    <n v="2"/>
    <n v="1"/>
    <n v="1.5"/>
    <n v="35.641500000000001"/>
    <n v="6399923360"/>
    <m/>
    <m/>
    <m/>
    <s v="728 19760"/>
    <m/>
    <m/>
    <n v="1892817363"/>
    <n v="0"/>
    <n v="1261861381"/>
    <n v="1892817363"/>
    <n v="3154678744"/>
    <n v="29575271"/>
    <n v="0"/>
    <n v="19716584"/>
    <n v="29575271"/>
    <n v="49291855"/>
    <n v="42.4163"/>
    <n v="22.1859"/>
    <n v="10726.5"/>
    <n v="8845.7199999999993"/>
    <n v="12367"/>
    <n v="2846"/>
    <x v="3"/>
    <x v="6"/>
  </r>
  <r>
    <s v="istree_exp5_numerical_stability_vs_time/step10421.txt"/>
    <x v="0"/>
    <n v="72"/>
    <s v="reclaimer_debra"/>
    <s v="allocator_new"/>
    <s v="pool_none"/>
    <n v="1000"/>
    <n v="5"/>
    <n v="5"/>
    <n v="0"/>
    <n v="1"/>
    <n v="2000000"/>
    <n v="190"/>
    <n v="190"/>
    <n v="190"/>
    <n v="0"/>
    <s v="insertIfAbsent"/>
    <n v="999385720036"/>
    <n v="999432"/>
    <n v="999385720036"/>
    <n v="999432"/>
    <s v="success"/>
    <n v="6"/>
    <n v="33039"/>
    <n v="1031516"/>
    <n v="1064555"/>
    <n v="999432"/>
    <n v="32.221200000000003"/>
    <n v="0.96889599999999998"/>
    <n v="1.9388300000000001"/>
    <n v="3.00007"/>
    <n v="19147360"/>
    <s v="75 93845 45689 374921"/>
    <s v="40 93374 45537 374889"/>
    <n v="175320"/>
    <n v="1318"/>
    <m/>
    <m/>
    <n v="179613593"/>
    <n v="0"/>
    <n v="19966032"/>
    <n v="179613593"/>
    <n v="199579625"/>
    <n v="179613593"/>
    <n v="0"/>
    <n v="19966032"/>
    <n v="179613593"/>
    <n v="199579625"/>
    <n v="12.9224"/>
    <n v="3.15"/>
    <n v="2616.58"/>
    <n v="1785.9"/>
    <n v="1447"/>
    <n v="310"/>
    <x v="4"/>
    <x v="0"/>
  </r>
  <r>
    <s v="istree_exp5_numerical_stability_vs_time/step10422.txt"/>
    <x v="0"/>
    <n v="72"/>
    <s v="reclaimer_debra"/>
    <s v="allocator_new"/>
    <s v="pool_none"/>
    <n v="2000"/>
    <n v="5"/>
    <n v="5"/>
    <n v="0"/>
    <n v="1"/>
    <n v="2000000"/>
    <n v="190"/>
    <n v="190"/>
    <n v="190"/>
    <n v="0"/>
    <s v="insertIfAbsent"/>
    <n v="999631137606"/>
    <n v="999529"/>
    <n v="999631137606"/>
    <n v="999529"/>
    <s v="success"/>
    <n v="6"/>
    <n v="54029"/>
    <n v="1074663"/>
    <n v="1128692"/>
    <n v="999529"/>
    <n v="20.890499999999999"/>
    <n v="0.93008599999999997"/>
    <n v="1.8855599999999999"/>
    <n v="3.0439500000000002"/>
    <n v="21538608"/>
    <s v="126 185030 90483 739083"/>
    <s v="78 184116 90190 739036"/>
    <n v="334499"/>
    <n v="2576"/>
    <m/>
    <m/>
    <n v="354512814"/>
    <n v="0"/>
    <n v="39398724"/>
    <n v="354512814"/>
    <n v="393911538"/>
    <n v="177256407"/>
    <n v="0"/>
    <n v="19699362"/>
    <n v="177256407"/>
    <n v="196955769"/>
    <n v="12.8878"/>
    <n v="3.1368100000000001"/>
    <n v="2680.24"/>
    <n v="1846.93"/>
    <n v="1479"/>
    <n v="209"/>
    <x v="4"/>
    <x v="1"/>
  </r>
  <r>
    <s v="istree_exp5_numerical_stability_vs_time/step10423.txt"/>
    <x v="0"/>
    <n v="72"/>
    <s v="reclaimer_debra"/>
    <s v="allocator_new"/>
    <s v="pool_none"/>
    <n v="4000"/>
    <n v="5"/>
    <n v="5"/>
    <n v="0"/>
    <n v="1"/>
    <n v="2000000"/>
    <n v="190"/>
    <n v="190"/>
    <n v="190"/>
    <n v="0"/>
    <s v="insertIfAbsent"/>
    <n v="998893189423"/>
    <n v="999432"/>
    <n v="998893189423"/>
    <n v="999432"/>
    <s v="success"/>
    <n v="6"/>
    <n v="54180"/>
    <n v="1074366"/>
    <n v="1128546"/>
    <n v="999432"/>
    <n v="20.829599999999999"/>
    <n v="0.930253"/>
    <n v="1.8855900000000001"/>
    <n v="3.0442399999999998"/>
    <n v="21545024"/>
    <s v="248 372936 182262 1490568"/>
    <s v="158 371127 181618 1490463"/>
    <n v="673662"/>
    <n v="5204"/>
    <m/>
    <m/>
    <n v="714159904"/>
    <n v="0"/>
    <n v="79355473"/>
    <n v="714159904"/>
    <n v="793515377"/>
    <n v="178539976"/>
    <n v="0"/>
    <n v="19838868"/>
    <n v="178539976"/>
    <n v="198378844"/>
    <n v="12.907500000000001"/>
    <n v="3.15198"/>
    <n v="2664.13"/>
    <n v="1828.58"/>
    <n v="1504"/>
    <n v="216"/>
    <x v="4"/>
    <x v="2"/>
  </r>
  <r>
    <s v="istree_exp5_numerical_stability_vs_time/step10424.txt"/>
    <x v="0"/>
    <n v="72"/>
    <s v="reclaimer_debra"/>
    <s v="allocator_new"/>
    <s v="pool_none"/>
    <n v="8000"/>
    <n v="5"/>
    <n v="5"/>
    <n v="0"/>
    <n v="1"/>
    <n v="2000000"/>
    <n v="190"/>
    <n v="190"/>
    <n v="190"/>
    <n v="0"/>
    <s v="insertIfAbsent"/>
    <n v="1000565497643"/>
    <n v="1000597"/>
    <n v="1000565497643"/>
    <n v="1000597"/>
    <s v="success"/>
    <n v="6"/>
    <n v="55156"/>
    <n v="1077702"/>
    <n v="1132858"/>
    <n v="1000597"/>
    <n v="20.539200000000001"/>
    <n v="0.928454"/>
    <n v="1.8832500000000001"/>
    <n v="3.0462799999999999"/>
    <n v="21678608"/>
    <s v="554 747817 363778 2986382"/>
    <s v="318 744185 362584 2986145"/>
    <n v="1355001"/>
    <n v="10476"/>
    <m/>
    <m/>
    <n v="1432010940"/>
    <n v="0"/>
    <n v="159153218"/>
    <n v="1432010940"/>
    <n v="1591164158"/>
    <n v="179001367"/>
    <n v="0"/>
    <n v="19894152"/>
    <n v="179001367"/>
    <n v="198895519"/>
    <n v="12.9236"/>
    <n v="3.15666"/>
    <n v="2658.2"/>
    <n v="1827.76"/>
    <n v="1524"/>
    <n v="152"/>
    <x v="4"/>
    <x v="3"/>
  </r>
  <r>
    <s v="istree_exp5_numerical_stability_vs_time/step10425.txt"/>
    <x v="0"/>
    <n v="72"/>
    <s v="reclaimer_debra"/>
    <s v="allocator_new"/>
    <s v="pool_none"/>
    <n v="16000"/>
    <n v="5"/>
    <n v="5"/>
    <n v="0"/>
    <n v="1"/>
    <n v="2000000"/>
    <n v="190"/>
    <n v="190"/>
    <n v="190"/>
    <n v="0"/>
    <s v="insertIfAbsent"/>
    <n v="999187964358"/>
    <n v="999756"/>
    <n v="999187964358"/>
    <n v="999756"/>
    <s v="success"/>
    <n v="6"/>
    <n v="57163"/>
    <n v="1080862"/>
    <n v="1138025"/>
    <n v="999756"/>
    <n v="19.9084"/>
    <n v="0.92496199999999995"/>
    <n v="1.8785000000000001"/>
    <n v="3.0508700000000002"/>
    <n v="21893936"/>
    <s v="1143 1507876 733540 6022429"/>
    <s v="642 1500425 731125 6021983"/>
    <n v="2727909"/>
    <n v="21014"/>
    <m/>
    <m/>
    <n v="2887254546"/>
    <n v="0"/>
    <n v="320817471"/>
    <n v="2887254546"/>
    <n v="3208072017"/>
    <n v="180453409"/>
    <n v="0"/>
    <n v="20051091"/>
    <n v="180453409"/>
    <n v="200504501"/>
    <n v="12.8589"/>
    <n v="3.1476999999999999"/>
    <n v="2637.05"/>
    <n v="1812.96"/>
    <n v="1553"/>
    <n v="206"/>
    <x v="4"/>
    <x v="4"/>
  </r>
  <r>
    <s v="istree_exp5_numerical_stability_vs_time/step10426.txt"/>
    <x v="0"/>
    <n v="72"/>
    <s v="reclaimer_debra"/>
    <s v="allocator_new"/>
    <s v="pool_none"/>
    <n v="32000"/>
    <n v="5"/>
    <n v="5"/>
    <n v="0"/>
    <n v="1"/>
    <n v="2000000"/>
    <n v="190"/>
    <n v="190"/>
    <n v="190"/>
    <n v="0"/>
    <s v="insertIfAbsent"/>
    <n v="999098075841"/>
    <n v="999497"/>
    <n v="999098075841"/>
    <n v="999497"/>
    <s v="success"/>
    <n v="6"/>
    <n v="52306"/>
    <n v="1070983"/>
    <n v="1123289"/>
    <n v="999497"/>
    <n v="21.475300000000001"/>
    <n v="0.93325199999999997"/>
    <n v="1.8897999999999999"/>
    <n v="3.0404800000000001"/>
    <n v="21340032"/>
    <s v="2328 3002422 1457958 11985267"/>
    <s v="1278 2987829 1453095 11984365"/>
    <n v="5423760"/>
    <n v="41908"/>
    <m/>
    <m/>
    <n v="5746588492"/>
    <n v="0"/>
    <n v="638496691"/>
    <n v="5746588492"/>
    <n v="6385085183"/>
    <n v="179580890"/>
    <n v="0"/>
    <n v="19953021"/>
    <n v="179580890"/>
    <n v="199533911"/>
    <n v="12.9009"/>
    <n v="3.1568499999999999"/>
    <n v="2650.26"/>
    <n v="1823.29"/>
    <n v="1577"/>
    <n v="267"/>
    <x v="4"/>
    <x v="5"/>
  </r>
  <r>
    <s v="istree_exp5_numerical_stability_vs_time/step10427.txt"/>
    <x v="0"/>
    <n v="72"/>
    <s v="reclaimer_debra"/>
    <s v="allocator_new"/>
    <s v="pool_none"/>
    <n v="64000"/>
    <n v="5"/>
    <n v="5"/>
    <n v="0"/>
    <n v="1"/>
    <n v="2000000"/>
    <n v="190"/>
    <n v="190"/>
    <n v="190"/>
    <n v="0"/>
    <s v="insertIfAbsent"/>
    <n v="1000486948880"/>
    <n v="1000610"/>
    <n v="1000486948880"/>
    <n v="1000610"/>
    <s v="success"/>
    <n v="6"/>
    <n v="53782"/>
    <n v="1074651"/>
    <n v="1128433"/>
    <n v="1000610"/>
    <n v="20.9816"/>
    <n v="0.93110199999999999"/>
    <n v="1.88673"/>
    <n v="3.0432600000000001"/>
    <n v="21516704"/>
    <s v="4693 5998164 2918338 23958942"/>
    <s v="2554 5968771 2908927 23957111"/>
    <n v="10844747"/>
    <n v="83904"/>
    <m/>
    <m/>
    <n v="11483838409"/>
    <n v="0"/>
    <n v="1275993062"/>
    <n v="11483838409"/>
    <n v="12759831471"/>
    <n v="179434975"/>
    <n v="0"/>
    <n v="19937391"/>
    <n v="179434975"/>
    <n v="199372366"/>
    <n v="12.909700000000001"/>
    <n v="3.1500499999999998"/>
    <n v="2652.77"/>
    <n v="1825.05"/>
    <n v="1644"/>
    <n v="294"/>
    <x v="4"/>
    <x v="6"/>
  </r>
  <r>
    <s v="istree_exp5_numerical_stability_vs_time/step10428.txt"/>
    <x v="2"/>
    <n v="208"/>
    <s v="reclaimer_debra"/>
    <s v="allocator_new"/>
    <s v="pool_none"/>
    <n v="1000"/>
    <n v="5"/>
    <n v="5"/>
    <n v="0"/>
    <n v="1"/>
    <n v="2000000"/>
    <n v="190"/>
    <n v="190"/>
    <n v="190"/>
    <n v="0"/>
    <s v="insertIfAbsent"/>
    <n v="1001610420893"/>
    <n v="1000767"/>
    <n v="1001610420893"/>
    <n v="1000767"/>
    <s v="success"/>
    <n v="8"/>
    <n v="29586"/>
    <n v="195253"/>
    <n v="224839"/>
    <n v="1000767"/>
    <n v="7.5995100000000004"/>
    <n v="5.1254900000000001"/>
    <n v="5.4510399999999999"/>
    <n v="7"/>
    <n v="46766512"/>
    <m/>
    <m/>
    <m/>
    <s v="148 2294"/>
    <m/>
    <m/>
    <n v="295646536"/>
    <n v="0"/>
    <n v="32843012"/>
    <n v="295646536"/>
    <n v="328489548"/>
    <n v="295646536"/>
    <n v="0"/>
    <n v="32843012"/>
    <n v="295646536"/>
    <n v="328489548"/>
    <n v="11.0192"/>
    <n v="2.1722899999999998"/>
    <n v="1600.87"/>
    <n v="682.32399999999996"/>
    <n v="1186"/>
    <n v="296"/>
    <x v="4"/>
    <x v="0"/>
  </r>
  <r>
    <s v="istree_exp5_numerical_stability_vs_time/step10429.txt"/>
    <x v="2"/>
    <n v="208"/>
    <s v="reclaimer_debra"/>
    <s v="allocator_new"/>
    <s v="pool_none"/>
    <n v="2000"/>
    <n v="5"/>
    <n v="5"/>
    <n v="0"/>
    <n v="1"/>
    <n v="2000000"/>
    <n v="190"/>
    <n v="190"/>
    <n v="190"/>
    <n v="0"/>
    <s v="insertIfAbsent"/>
    <n v="1000510003741"/>
    <n v="1000981"/>
    <n v="1000510003741"/>
    <n v="1000981"/>
    <s v="success"/>
    <n v="8"/>
    <n v="31090"/>
    <n v="196689"/>
    <n v="227779"/>
    <n v="1000981"/>
    <n v="7.3264399999999998"/>
    <n v="5.0891599999999997"/>
    <n v="5.3945299999999996"/>
    <n v="7"/>
    <n v="47378032"/>
    <m/>
    <m/>
    <m/>
    <n v="4376"/>
    <m/>
    <m/>
    <n v="575811466"/>
    <n v="0"/>
    <n v="63965925"/>
    <n v="575811466"/>
    <n v="639777391"/>
    <n v="287905733"/>
    <n v="0"/>
    <n v="31982962"/>
    <n v="287905733"/>
    <n v="319888695"/>
    <n v="11.1059"/>
    <n v="2.2518199999999999"/>
    <n v="1639.44"/>
    <n v="711.83399999999995"/>
    <n v="1196"/>
    <n v="352"/>
    <x v="4"/>
    <x v="1"/>
  </r>
  <r>
    <s v="istree_exp5_numerical_stability_vs_time/step10430.txt"/>
    <x v="2"/>
    <n v="208"/>
    <s v="reclaimer_debra"/>
    <s v="allocator_new"/>
    <s v="pool_none"/>
    <n v="4000"/>
    <n v="5"/>
    <n v="5"/>
    <n v="0"/>
    <n v="1"/>
    <n v="2000000"/>
    <n v="190"/>
    <n v="190"/>
    <n v="190"/>
    <n v="0"/>
    <s v="insertIfAbsent"/>
    <n v="998969597593"/>
    <n v="999183"/>
    <n v="998969597593"/>
    <n v="999183"/>
    <s v="success"/>
    <n v="8"/>
    <n v="32410"/>
    <n v="195646"/>
    <n v="228056"/>
    <n v="999183"/>
    <n v="7.0365900000000003"/>
    <n v="5.1071"/>
    <n v="5.38131"/>
    <n v="7"/>
    <n v="47435648"/>
    <m/>
    <m/>
    <m/>
    <n v="8200"/>
    <m/>
    <m/>
    <n v="1110178759"/>
    <n v="0"/>
    <n v="123338647"/>
    <n v="1110178759"/>
    <n v="1233517406"/>
    <n v="277544689"/>
    <n v="0"/>
    <n v="30834661"/>
    <n v="277544689"/>
    <n v="308379351"/>
    <n v="11.3284"/>
    <n v="2.3062200000000002"/>
    <n v="1681.83"/>
    <n v="748.40099999999995"/>
    <n v="1197"/>
    <n v="304"/>
    <x v="4"/>
    <x v="2"/>
  </r>
  <r>
    <s v="istree_exp5_numerical_stability_vs_time/step10431.txt"/>
    <x v="2"/>
    <n v="208"/>
    <s v="reclaimer_debra"/>
    <s v="allocator_new"/>
    <s v="pool_none"/>
    <n v="8000"/>
    <n v="5"/>
    <n v="5"/>
    <n v="0"/>
    <n v="1"/>
    <n v="2000000"/>
    <n v="190"/>
    <n v="190"/>
    <n v="190"/>
    <n v="0"/>
    <s v="insertIfAbsent"/>
    <n v="999631957310"/>
    <n v="999613"/>
    <n v="999631957310"/>
    <n v="999613"/>
    <s v="success"/>
    <n v="8"/>
    <n v="33614"/>
    <n v="195214"/>
    <n v="228828"/>
    <n v="999613"/>
    <n v="6.8075200000000002"/>
    <n v="5.1205999999999996"/>
    <n v="5.3684000000000003"/>
    <n v="7"/>
    <n v="47596224"/>
    <m/>
    <m/>
    <m/>
    <n v="15930"/>
    <m/>
    <m/>
    <n v="2190962132"/>
    <n v="0"/>
    <n v="243462665"/>
    <n v="2190962132"/>
    <n v="2434424797"/>
    <n v="273870266"/>
    <n v="0"/>
    <n v="30432833"/>
    <n v="273870266"/>
    <n v="304303099"/>
    <n v="11.3626"/>
    <n v="2.3162400000000001"/>
    <n v="1696.55"/>
    <n v="761.976"/>
    <n v="1193"/>
    <n v="239"/>
    <x v="4"/>
    <x v="3"/>
  </r>
  <r>
    <s v="istree_exp5_numerical_stability_vs_time/step10432.txt"/>
    <x v="2"/>
    <n v="208"/>
    <s v="reclaimer_debra"/>
    <s v="allocator_new"/>
    <s v="pool_none"/>
    <n v="16000"/>
    <n v="5"/>
    <n v="5"/>
    <n v="0"/>
    <n v="1"/>
    <n v="2000000"/>
    <n v="190"/>
    <n v="190"/>
    <n v="190"/>
    <n v="0"/>
    <s v="insertIfAbsent"/>
    <n v="1000516627396"/>
    <n v="1000530"/>
    <n v="1000516627396"/>
    <n v="1000530"/>
    <s v="success"/>
    <n v="8"/>
    <n v="34402"/>
    <n v="195104"/>
    <n v="229506"/>
    <n v="1000530"/>
    <n v="6.6712999999999996"/>
    <n v="5.12819"/>
    <n v="5.3594900000000001"/>
    <n v="7"/>
    <n v="47737248"/>
    <m/>
    <m/>
    <m/>
    <n v="31022"/>
    <m/>
    <m/>
    <n v="4321607386"/>
    <n v="0"/>
    <n v="480196858"/>
    <n v="4321607386"/>
    <n v="4801804244"/>
    <n v="270100461"/>
    <n v="0"/>
    <n v="30012303"/>
    <n v="270100461"/>
    <n v="300112765"/>
    <n v="11.536300000000001"/>
    <n v="2.34179"/>
    <n v="1713.08"/>
    <n v="775.41300000000001"/>
    <n v="1205"/>
    <n v="332"/>
    <x v="4"/>
    <x v="4"/>
  </r>
  <r>
    <s v="istree_exp5_numerical_stability_vs_time/step10433.txt"/>
    <x v="2"/>
    <n v="208"/>
    <s v="reclaimer_debra"/>
    <s v="allocator_new"/>
    <s v="pool_none"/>
    <n v="32000"/>
    <n v="5"/>
    <n v="5"/>
    <n v="0"/>
    <n v="1"/>
    <n v="2000000"/>
    <n v="190"/>
    <n v="190"/>
    <n v="190"/>
    <n v="0"/>
    <s v="insertIfAbsent"/>
    <n v="999805700506"/>
    <n v="999809"/>
    <n v="999805700506"/>
    <n v="999809"/>
    <s v="success"/>
    <n v="8"/>
    <n v="35430"/>
    <n v="195025"/>
    <n v="230455"/>
    <n v="999809"/>
    <n v="6.5045200000000003"/>
    <n v="5.1265700000000001"/>
    <n v="5.3384099999999997"/>
    <n v="7"/>
    <n v="47934640"/>
    <m/>
    <m/>
    <m/>
    <n v="61390"/>
    <m/>
    <m/>
    <n v="8651121491"/>
    <n v="0"/>
    <n v="961204194"/>
    <n v="8651121491"/>
    <n v="9612325685"/>
    <n v="270347546"/>
    <n v="0"/>
    <n v="30037631"/>
    <n v="270347546"/>
    <n v="300385177"/>
    <n v="11.673299999999999"/>
    <n v="2.3663799999999999"/>
    <n v="1713.06"/>
    <n v="780.57899999999995"/>
    <n v="1219"/>
    <n v="247"/>
    <x v="4"/>
    <x v="5"/>
  </r>
  <r>
    <s v="istree_exp5_numerical_stability_vs_time/step10434.txt"/>
    <x v="2"/>
    <n v="208"/>
    <s v="reclaimer_debra"/>
    <s v="allocator_new"/>
    <s v="pool_none"/>
    <n v="64000"/>
    <n v="5"/>
    <n v="5"/>
    <n v="0"/>
    <n v="1"/>
    <n v="2000000"/>
    <n v="190"/>
    <n v="190"/>
    <n v="190"/>
    <n v="0"/>
    <s v="insertIfAbsent"/>
    <n v="1000310568019"/>
    <n v="1000773"/>
    <n v="1000310568019"/>
    <n v="1000773"/>
    <s v="success"/>
    <n v="8"/>
    <n v="36189"/>
    <n v="194841"/>
    <n v="231030"/>
    <n v="1000773"/>
    <n v="6.3839800000000002"/>
    <n v="5.1363599999999998"/>
    <n v="5.3317899999999998"/>
    <n v="7"/>
    <n v="48054240"/>
    <m/>
    <m/>
    <m/>
    <n v="120054"/>
    <m/>
    <m/>
    <n v="16977587347"/>
    <n v="0"/>
    <n v="1886457695"/>
    <n v="16977587347"/>
    <n v="18864045042"/>
    <n v="265274802"/>
    <n v="0"/>
    <n v="29475901"/>
    <n v="265274802"/>
    <n v="294750703"/>
    <n v="11.881"/>
    <n v="2.3820299999999999"/>
    <n v="1744.5"/>
    <n v="802.40899999999999"/>
    <n v="1239"/>
    <n v="234"/>
    <x v="4"/>
    <x v="6"/>
  </r>
  <r>
    <s v="istree_exp5_numerical_stability_vs_time/step10435.txt"/>
    <x v="1"/>
    <m/>
    <s v="reclaimer_debra"/>
    <s v="allocator_new"/>
    <s v="pool_none"/>
    <n v="1000"/>
    <n v="5"/>
    <n v="5"/>
    <n v="0"/>
    <n v="1"/>
    <n v="2000000"/>
    <n v="190"/>
    <n v="190"/>
    <n v="190"/>
    <n v="0"/>
    <s v="insertIfAbsent"/>
    <n v="999956457413"/>
    <n v="999418"/>
    <n v="999956457413"/>
    <n v="999418"/>
    <s v="success"/>
    <n v="25"/>
    <n v="685074"/>
    <n v="520209"/>
    <n v="1205283"/>
    <n v="999418"/>
    <n v="1.75935"/>
    <n v="1.92119"/>
    <n v="1.8291999999999999"/>
    <n v="19.888000000000002"/>
    <n v="67495848"/>
    <m/>
    <m/>
    <m/>
    <n v="1448"/>
    <m/>
    <m/>
    <n v="180905723"/>
    <n v="0"/>
    <n v="20101016"/>
    <n v="180905723"/>
    <n v="201006739"/>
    <n v="180905723"/>
    <n v="0"/>
    <n v="20101016"/>
    <n v="180905723"/>
    <n v="201006739"/>
    <n v="17.0108"/>
    <n v="3.1183999999999998"/>
    <n v="2613.66"/>
    <n v="1298.58"/>
    <n v="1185"/>
    <n v="338"/>
    <x v="4"/>
    <x v="0"/>
  </r>
  <r>
    <s v="istree_exp5_numerical_stability_vs_time/step10436.txt"/>
    <x v="1"/>
    <m/>
    <s v="reclaimer_debra"/>
    <s v="allocator_new"/>
    <s v="pool_none"/>
    <n v="2000"/>
    <n v="5"/>
    <n v="5"/>
    <n v="0"/>
    <n v="1"/>
    <n v="2000000"/>
    <n v="190"/>
    <n v="190"/>
    <n v="190"/>
    <n v="0"/>
    <s v="insertIfAbsent"/>
    <n v="998420981539"/>
    <n v="998553"/>
    <n v="998420981539"/>
    <n v="998553"/>
    <s v="success"/>
    <n v="25"/>
    <n v="685089"/>
    <n v="519704"/>
    <n v="1204793"/>
    <n v="998553"/>
    <n v="1.7585900000000001"/>
    <n v="1.9213899999999999"/>
    <n v="1.8288199999999999"/>
    <n v="19.8886"/>
    <n v="67468408"/>
    <m/>
    <m/>
    <m/>
    <s v="236 2692"/>
    <m/>
    <m/>
    <n v="354128808"/>
    <n v="0"/>
    <n v="39346874"/>
    <n v="354128808"/>
    <n v="393475682"/>
    <n v="177064404"/>
    <n v="0"/>
    <n v="19673437"/>
    <n v="177064404"/>
    <n v="196737841"/>
    <n v="17.2682"/>
    <n v="3.18757"/>
    <n v="2664.97"/>
    <n v="1340.23"/>
    <n v="1190"/>
    <n v="346"/>
    <x v="4"/>
    <x v="1"/>
  </r>
  <r>
    <s v="istree_exp5_numerical_stability_vs_time/step10437.txt"/>
    <x v="1"/>
    <m/>
    <s v="reclaimer_debra"/>
    <s v="allocator_new"/>
    <s v="pool_none"/>
    <n v="4000"/>
    <n v="5"/>
    <n v="5"/>
    <n v="0"/>
    <n v="1"/>
    <n v="2000000"/>
    <n v="190"/>
    <n v="190"/>
    <n v="190"/>
    <n v="0"/>
    <s v="insertIfAbsent"/>
    <n v="1000617950412"/>
    <n v="1000182"/>
    <n v="1000617950412"/>
    <n v="1000182"/>
    <s v="success"/>
    <n v="25"/>
    <n v="686063"/>
    <n v="520843"/>
    <n v="1206906"/>
    <n v="1000182"/>
    <n v="1.75918"/>
    <n v="1.92031"/>
    <n v="1.8287199999999999"/>
    <n v="19.818300000000001"/>
    <n v="67586736"/>
    <m/>
    <m/>
    <m/>
    <n v="4998"/>
    <m/>
    <m/>
    <n v="687415533"/>
    <n v="0"/>
    <n v="76387593"/>
    <n v="687415533"/>
    <n v="763803126"/>
    <n v="171853883"/>
    <n v="0"/>
    <n v="19096898"/>
    <n v="171853883"/>
    <n v="190950781"/>
    <n v="17.372199999999999"/>
    <n v="3.2702300000000002"/>
    <n v="2728.58"/>
    <n v="1397.12"/>
    <n v="1196"/>
    <n v="367"/>
    <x v="4"/>
    <x v="2"/>
  </r>
  <r>
    <s v="istree_exp5_numerical_stability_vs_time/step10438.txt"/>
    <x v="1"/>
    <m/>
    <s v="reclaimer_debra"/>
    <s v="allocator_new"/>
    <s v="pool_none"/>
    <n v="8000"/>
    <n v="5"/>
    <n v="5"/>
    <n v="0"/>
    <n v="1"/>
    <n v="2000000"/>
    <n v="190"/>
    <n v="190"/>
    <n v="190"/>
    <n v="0"/>
    <s v="insertIfAbsent"/>
    <n v="999965955530"/>
    <n v="999316"/>
    <n v="999965955530"/>
    <n v="999316"/>
    <s v="success"/>
    <n v="25"/>
    <n v="685710"/>
    <n v="519634"/>
    <n v="1205344"/>
    <n v="999316"/>
    <n v="1.7578"/>
    <n v="1.9231199999999999"/>
    <n v="1.82907"/>
    <n v="19.872199999999999"/>
    <n v="67499264"/>
    <m/>
    <m/>
    <m/>
    <n v="9434"/>
    <m/>
    <m/>
    <n v="1346873226"/>
    <n v="0"/>
    <n v="149660512"/>
    <n v="1346873226"/>
    <n v="1496533738"/>
    <n v="168359153"/>
    <n v="0"/>
    <n v="18707564"/>
    <n v="168359153"/>
    <n v="187066717"/>
    <n v="17.870799999999999"/>
    <n v="3.34544"/>
    <n v="2781.77"/>
    <n v="1457.9"/>
    <n v="1202"/>
    <n v="326"/>
    <x v="4"/>
    <x v="3"/>
  </r>
  <r>
    <s v="istree_exp5_numerical_stability_vs_time/step10439.txt"/>
    <x v="1"/>
    <m/>
    <s v="reclaimer_debra"/>
    <s v="allocator_new"/>
    <s v="pool_none"/>
    <n v="16000"/>
    <n v="5"/>
    <n v="5"/>
    <n v="0"/>
    <n v="1"/>
    <n v="2000000"/>
    <n v="190"/>
    <n v="190"/>
    <n v="190"/>
    <n v="0"/>
    <s v="insertIfAbsent"/>
    <n v="1000079544921"/>
    <n v="999821"/>
    <n v="1000079544921"/>
    <n v="999821"/>
    <s v="success"/>
    <n v="25"/>
    <n v="685839"/>
    <n v="520305"/>
    <n v="1206144"/>
    <n v="999821"/>
    <n v="1.75864"/>
    <n v="1.92161"/>
    <n v="1.82894"/>
    <n v="19.9024"/>
    <n v="67544064"/>
    <m/>
    <m/>
    <m/>
    <s v="234 18472"/>
    <m/>
    <m/>
    <n v="2641918225"/>
    <n v="0"/>
    <n v="293570588"/>
    <n v="2641918225"/>
    <n v="2935488813"/>
    <n v="165119889"/>
    <n v="0"/>
    <n v="18348161"/>
    <n v="165119889"/>
    <n v="183468050"/>
    <n v="18.317599999999999"/>
    <n v="3.4432499999999999"/>
    <n v="2832.53"/>
    <n v="1515.97"/>
    <n v="1217"/>
    <n v="361"/>
    <x v="4"/>
    <x v="4"/>
  </r>
  <r>
    <s v="istree_exp5_numerical_stability_vs_time/step10440.txt"/>
    <x v="1"/>
    <m/>
    <s v="reclaimer_debra"/>
    <s v="allocator_new"/>
    <s v="pool_none"/>
    <n v="32000"/>
    <n v="5"/>
    <n v="5"/>
    <n v="0"/>
    <n v="1"/>
    <n v="2000000"/>
    <n v="190"/>
    <n v="190"/>
    <n v="190"/>
    <n v="0"/>
    <s v="insertIfAbsent"/>
    <n v="1000415337807"/>
    <n v="1000976"/>
    <n v="1000415337807"/>
    <n v="1000976"/>
    <s v="success"/>
    <n v="25"/>
    <n v="686828"/>
    <n v="520899"/>
    <n v="1207727"/>
    <n v="1000976"/>
    <n v="1.75841"/>
    <n v="1.9216299999999999"/>
    <n v="1.82881"/>
    <n v="19.8995"/>
    <n v="67632712"/>
    <m/>
    <m/>
    <m/>
    <n v="35546"/>
    <m/>
    <m/>
    <n v="5183573217"/>
    <n v="0"/>
    <n v="575954630"/>
    <n v="5183573217"/>
    <n v="5759527847"/>
    <n v="161986663"/>
    <n v="0"/>
    <n v="17998582"/>
    <n v="161986663"/>
    <n v="179985245"/>
    <n v="18.9132"/>
    <n v="3.4911799999999999"/>
    <n v="2891.9"/>
    <n v="1570.87"/>
    <n v="1233"/>
    <n v="245"/>
    <x v="4"/>
    <x v="5"/>
  </r>
  <r>
    <s v="istree_exp5_numerical_stability_vs_time/step10441.txt"/>
    <x v="1"/>
    <m/>
    <s v="reclaimer_debra"/>
    <s v="allocator_new"/>
    <s v="pool_none"/>
    <n v="64000"/>
    <n v="5"/>
    <n v="5"/>
    <n v="0"/>
    <n v="1"/>
    <n v="2000000"/>
    <n v="190"/>
    <n v="190"/>
    <n v="190"/>
    <n v="0"/>
    <s v="insertIfAbsent"/>
    <n v="1000119446113"/>
    <n v="1000312"/>
    <n v="1000119446113"/>
    <n v="1000312"/>
    <s v="success"/>
    <n v="25"/>
    <n v="685713"/>
    <n v="520664"/>
    <n v="1206377"/>
    <n v="1000312"/>
    <n v="1.7593000000000001"/>
    <n v="1.9212199999999999"/>
    <n v="1.8291900000000001"/>
    <n v="19.812899999999999"/>
    <n v="67557112"/>
    <m/>
    <m/>
    <m/>
    <n v="70160"/>
    <m/>
    <m/>
    <n v="10257618212"/>
    <n v="0"/>
    <n v="1139720084"/>
    <n v="10257618212"/>
    <n v="11397338296"/>
    <n v="160275284"/>
    <n v="0"/>
    <n v="17808126"/>
    <n v="160275284"/>
    <n v="178083410"/>
    <n v="19.354900000000001"/>
    <n v="3.4761899999999999"/>
    <n v="2923.3"/>
    <n v="1604.42"/>
    <n v="1246"/>
    <n v="258"/>
    <x v="4"/>
    <x v="6"/>
  </r>
  <r>
    <s v="istree_exp5_numerical_stability_vs_time/step10442.txt"/>
    <x v="3"/>
    <m/>
    <s v="reclaimer_debra"/>
    <s v="allocator_new"/>
    <s v="pool_none"/>
    <n v="1000"/>
    <n v="5"/>
    <n v="5"/>
    <n v="0"/>
    <n v="1"/>
    <n v="2000000"/>
    <n v="190"/>
    <n v="190"/>
    <n v="190"/>
    <n v="0"/>
    <s v="insertIfAbsent"/>
    <n v="1001122516582"/>
    <n v="1000666"/>
    <n v="1001122516582"/>
    <n v="1000666"/>
    <s v="success"/>
    <n v="49"/>
    <n v="1000665"/>
    <n v="1000666"/>
    <n v="2001331"/>
    <n v="1000666"/>
    <n v="2"/>
    <n v="1"/>
    <n v="1.5"/>
    <n v="25.7804"/>
    <n v="64042592"/>
    <m/>
    <m/>
    <m/>
    <n v="1358"/>
    <m/>
    <m/>
    <n v="174507201"/>
    <n v="0"/>
    <n v="19396287"/>
    <n v="174507201"/>
    <n v="193903488"/>
    <n v="174507201"/>
    <n v="0"/>
    <n v="19396287"/>
    <n v="174507201"/>
    <n v="193903488"/>
    <n v="12.728300000000001"/>
    <n v="2.40299"/>
    <n v="2729"/>
    <n v="1743.97"/>
    <n v="1176"/>
    <n v="231"/>
    <x v="4"/>
    <x v="0"/>
  </r>
  <r>
    <s v="istree_exp5_numerical_stability_vs_time/step10443.txt"/>
    <x v="3"/>
    <m/>
    <s v="reclaimer_debra"/>
    <s v="allocator_new"/>
    <s v="pool_none"/>
    <n v="2000"/>
    <n v="5"/>
    <n v="5"/>
    <n v="0"/>
    <n v="1"/>
    <n v="2000000"/>
    <n v="190"/>
    <n v="190"/>
    <n v="190"/>
    <n v="0"/>
    <s v="insertIfAbsent"/>
    <n v="1000953507251"/>
    <n v="1001371"/>
    <n v="1000953507251"/>
    <n v="1001371"/>
    <s v="success"/>
    <n v="47"/>
    <n v="1001370"/>
    <n v="1001371"/>
    <n v="2002741"/>
    <n v="1001371"/>
    <n v="2"/>
    <n v="1"/>
    <n v="1.5"/>
    <n v="25.879100000000001"/>
    <n v="64087712"/>
    <m/>
    <m/>
    <m/>
    <n v="2498"/>
    <m/>
    <m/>
    <n v="346857176"/>
    <n v="0"/>
    <n v="38551077"/>
    <n v="346857176"/>
    <n v="385408253"/>
    <n v="173428588"/>
    <n v="0"/>
    <n v="19275538"/>
    <n v="173428588"/>
    <n v="192704126"/>
    <n v="12.8546"/>
    <n v="2.49377"/>
    <n v="2745.86"/>
    <n v="1771.5"/>
    <n v="1182"/>
    <n v="214"/>
    <x v="4"/>
    <x v="1"/>
  </r>
  <r>
    <s v="istree_exp5_numerical_stability_vs_time/step10444.txt"/>
    <x v="3"/>
    <m/>
    <s v="reclaimer_debra"/>
    <s v="allocator_new"/>
    <s v="pool_none"/>
    <n v="4000"/>
    <n v="5"/>
    <n v="5"/>
    <n v="0"/>
    <n v="1"/>
    <n v="2000000"/>
    <n v="190"/>
    <n v="190"/>
    <n v="190"/>
    <n v="0"/>
    <s v="insertIfAbsent"/>
    <n v="999072378544"/>
    <n v="998884"/>
    <n v="999072378544"/>
    <n v="998884"/>
    <s v="success"/>
    <n v="47"/>
    <n v="998883"/>
    <n v="998884"/>
    <n v="1997767"/>
    <n v="998884"/>
    <n v="2"/>
    <n v="1"/>
    <n v="1.5"/>
    <n v="26.183700000000002"/>
    <n v="63928544"/>
    <m/>
    <m/>
    <m/>
    <s v="168 4836"/>
    <m/>
    <m/>
    <n v="689943484"/>
    <n v="0"/>
    <n v="76643876"/>
    <n v="689943484"/>
    <n v="766587360"/>
    <n v="172485871"/>
    <n v="0"/>
    <n v="19160969"/>
    <n v="172485871"/>
    <n v="191646840"/>
    <n v="12.989599999999999"/>
    <n v="2.5930900000000001"/>
    <n v="2760.83"/>
    <n v="1790.99"/>
    <n v="1192"/>
    <n v="270"/>
    <x v="4"/>
    <x v="2"/>
  </r>
  <r>
    <s v="istree_exp5_numerical_stability_vs_time/step10445.txt"/>
    <x v="3"/>
    <m/>
    <s v="reclaimer_debra"/>
    <s v="allocator_new"/>
    <s v="pool_none"/>
    <n v="8000"/>
    <n v="5"/>
    <n v="5"/>
    <n v="0"/>
    <n v="1"/>
    <n v="2000000"/>
    <n v="190"/>
    <n v="190"/>
    <n v="190"/>
    <n v="0"/>
    <s v="insertIfAbsent"/>
    <n v="999216631999"/>
    <n v="999666"/>
    <n v="999216631999"/>
    <n v="999666"/>
    <s v="success"/>
    <n v="48"/>
    <n v="999665"/>
    <n v="999666"/>
    <n v="1999331"/>
    <n v="999666"/>
    <n v="2"/>
    <n v="1"/>
    <n v="1.5"/>
    <n v="26.300799999999999"/>
    <n v="63978592"/>
    <m/>
    <m/>
    <m/>
    <n v="9270"/>
    <m/>
    <m/>
    <n v="1354968145"/>
    <n v="0"/>
    <n v="150559933"/>
    <n v="1354968145"/>
    <n v="1505528078"/>
    <n v="169371018"/>
    <n v="0"/>
    <n v="18819991"/>
    <n v="169371018"/>
    <n v="188191009"/>
    <n v="13.311"/>
    <n v="2.6988400000000001"/>
    <n v="2812.3"/>
    <n v="1844.57"/>
    <n v="1206"/>
    <n v="209"/>
    <x v="4"/>
    <x v="3"/>
  </r>
  <r>
    <s v="istree_exp5_numerical_stability_vs_time/step10446.txt"/>
    <x v="3"/>
    <m/>
    <s v="reclaimer_debra"/>
    <s v="allocator_new"/>
    <s v="pool_none"/>
    <n v="16000"/>
    <n v="5"/>
    <n v="5"/>
    <n v="0"/>
    <n v="1"/>
    <n v="2000000"/>
    <n v="190"/>
    <n v="190"/>
    <n v="190"/>
    <n v="0"/>
    <s v="insertIfAbsent"/>
    <n v="1000111692708"/>
    <n v="1000031"/>
    <n v="1000111692708"/>
    <n v="1000031"/>
    <s v="success"/>
    <n v="45"/>
    <n v="1000030"/>
    <n v="1000031"/>
    <n v="2000061"/>
    <n v="1000031"/>
    <n v="2"/>
    <n v="1"/>
    <n v="1.5"/>
    <n v="25.3492"/>
    <n v="64001952"/>
    <m/>
    <m/>
    <m/>
    <n v="18262"/>
    <m/>
    <m/>
    <n v="2688605602"/>
    <n v="0"/>
    <n v="298729203"/>
    <n v="2688605602"/>
    <n v="2987334805"/>
    <n v="168037850"/>
    <n v="0"/>
    <n v="18670575"/>
    <n v="168037850"/>
    <n v="186708425"/>
    <n v="13.5868"/>
    <n v="2.7366299999999999"/>
    <n v="2834.69"/>
    <n v="1871.39"/>
    <n v="1221"/>
    <n v="228"/>
    <x v="4"/>
    <x v="4"/>
  </r>
  <r>
    <s v="istree_exp5_numerical_stability_vs_time/step10447.txt"/>
    <x v="3"/>
    <m/>
    <s v="reclaimer_debra"/>
    <s v="allocator_new"/>
    <s v="pool_none"/>
    <n v="32000"/>
    <n v="5"/>
    <n v="5"/>
    <n v="0"/>
    <n v="1"/>
    <n v="2000000"/>
    <n v="190"/>
    <n v="190"/>
    <n v="190"/>
    <n v="0"/>
    <s v="insertIfAbsent"/>
    <n v="998573934168"/>
    <n v="998471"/>
    <n v="998573934168"/>
    <n v="998471"/>
    <s v="success"/>
    <n v="47"/>
    <n v="998470"/>
    <n v="998471"/>
    <n v="1996941"/>
    <n v="998471"/>
    <n v="2"/>
    <n v="1"/>
    <n v="1.5"/>
    <n v="24.8459"/>
    <n v="63902112"/>
    <m/>
    <m/>
    <m/>
    <n v="36254"/>
    <m/>
    <m/>
    <n v="5380344219"/>
    <n v="0"/>
    <n v="597818404"/>
    <n v="5380344219"/>
    <n v="5978162623"/>
    <n v="168135756"/>
    <n v="0"/>
    <n v="18681825"/>
    <n v="168135756"/>
    <n v="186817581"/>
    <n v="13.7888"/>
    <n v="2.6832099999999999"/>
    <n v="2833.05"/>
    <n v="1865.86"/>
    <n v="1230"/>
    <n v="232"/>
    <x v="4"/>
    <x v="5"/>
  </r>
  <r>
    <s v="istree_exp5_numerical_stability_vs_time/step10448.txt"/>
    <x v="3"/>
    <m/>
    <s v="reclaimer_debra"/>
    <s v="allocator_new"/>
    <s v="pool_none"/>
    <n v="64000"/>
    <n v="5"/>
    <n v="5"/>
    <n v="0"/>
    <n v="1"/>
    <n v="2000000"/>
    <n v="190"/>
    <n v="190"/>
    <n v="190"/>
    <n v="0"/>
    <s v="insertIfAbsent"/>
    <n v="998391555180"/>
    <n v="999137"/>
    <n v="998391555180"/>
    <n v="999137"/>
    <s v="success"/>
    <n v="45"/>
    <n v="999136"/>
    <n v="999137"/>
    <n v="1998273"/>
    <n v="999137"/>
    <n v="2"/>
    <n v="1"/>
    <n v="1.5"/>
    <n v="25.185600000000001"/>
    <n v="63944736"/>
    <m/>
    <m/>
    <m/>
    <n v="73214"/>
    <m/>
    <m/>
    <n v="10865801174"/>
    <n v="0"/>
    <n v="1207282331"/>
    <n v="10865801174"/>
    <n v="12073083505"/>
    <n v="169778143"/>
    <n v="0"/>
    <n v="18863786"/>
    <n v="169778143"/>
    <n v="188641929"/>
    <n v="13.5852"/>
    <n v="2.61476"/>
    <n v="2804.93"/>
    <n v="1843.44"/>
    <n v="1226"/>
    <n v="297"/>
    <x v="4"/>
    <x v="6"/>
  </r>
  <r>
    <s v="istree_exp5_numerical_stability_vs_time/step10449.txt"/>
    <x v="0"/>
    <n v="72"/>
    <s v="reclaimer_debra"/>
    <s v="allocator_new"/>
    <s v="pool_none"/>
    <n v="1000"/>
    <n v="5"/>
    <n v="5"/>
    <n v="0"/>
    <n v="1"/>
    <n v="20000000"/>
    <n v="190"/>
    <n v="190"/>
    <n v="190"/>
    <n v="0"/>
    <s v="insertIfAbsent"/>
    <n v="100010697628922"/>
    <n v="10000874"/>
    <n v="100010697628922"/>
    <n v="10000874"/>
    <s v="success"/>
    <n v="7"/>
    <n v="1841880"/>
    <n v="11888490"/>
    <n v="13730370"/>
    <n v="10000874"/>
    <n v="7.4545399999999997"/>
    <n v="0.84122300000000005"/>
    <n v="1.72838"/>
    <n v="4.0432600000000001"/>
    <n v="337573472"/>
    <s v="4 9489 79886 2143908 5226"/>
    <s v="3 9489 79854 2143871 5226"/>
    <n v="22808"/>
    <n v="1050"/>
    <m/>
    <m/>
    <n v="147812150"/>
    <n v="0"/>
    <n v="16424294"/>
    <n v="147812150"/>
    <n v="164236444"/>
    <n v="147812150"/>
    <n v="0"/>
    <n v="16424294"/>
    <n v="147812150"/>
    <n v="164236444"/>
    <n v="19.043600000000001"/>
    <n v="8.3405500000000004"/>
    <n v="2945.21"/>
    <n v="2049.65"/>
    <n v="2772"/>
    <n v="394"/>
    <x v="5"/>
    <x v="0"/>
  </r>
  <r>
    <s v="istree_exp5_numerical_stability_vs_time/step10450.txt"/>
    <x v="0"/>
    <n v="72"/>
    <s v="reclaimer_debra"/>
    <s v="allocator_new"/>
    <s v="pool_none"/>
    <n v="2000"/>
    <n v="5"/>
    <n v="5"/>
    <n v="0"/>
    <n v="1"/>
    <n v="20000000"/>
    <n v="190"/>
    <n v="190"/>
    <n v="190"/>
    <n v="0"/>
    <s v="insertIfAbsent"/>
    <n v="100001110451283"/>
    <n v="10001926"/>
    <n v="100001110451283"/>
    <n v="10001926"/>
    <s v="success"/>
    <n v="7"/>
    <n v="1625828"/>
    <n v="11444348"/>
    <n v="13070176"/>
    <n v="10001926"/>
    <n v="8.0390899999999998"/>
    <n v="0.87396200000000002"/>
    <n v="1.76525"/>
    <n v="4.0000099999999996"/>
    <n v="313175792"/>
    <s v="11 22144 187075 4685083 11686"/>
    <s v="7 22142 187001 4685001 11686"/>
    <n v="50278"/>
    <n v="2254"/>
    <m/>
    <m/>
    <n v="314997645"/>
    <n v="0"/>
    <n v="34991912"/>
    <n v="314997645"/>
    <n v="349989557"/>
    <n v="157498822"/>
    <n v="0"/>
    <n v="17495956"/>
    <n v="157498822"/>
    <n v="174994778"/>
    <n v="19.201899999999998"/>
    <n v="8.5049799999999998"/>
    <n v="2877.99"/>
    <n v="1962.6"/>
    <n v="2832"/>
    <n v="390"/>
    <x v="5"/>
    <x v="1"/>
  </r>
  <r>
    <s v="istree_exp5_numerical_stability_vs_time/step10451.txt"/>
    <x v="0"/>
    <n v="72"/>
    <s v="reclaimer_debra"/>
    <s v="allocator_new"/>
    <s v="pool_none"/>
    <n v="4000"/>
    <n v="5"/>
    <n v="5"/>
    <n v="0"/>
    <n v="1"/>
    <n v="20000000"/>
    <n v="190"/>
    <n v="190"/>
    <n v="190"/>
    <n v="0"/>
    <s v="insertIfAbsent"/>
    <n v="100025174036674"/>
    <n v="10004198"/>
    <n v="100025174036674"/>
    <n v="10004198"/>
    <s v="success"/>
    <n v="7"/>
    <n v="1843467"/>
    <n v="11893889"/>
    <n v="13737356"/>
    <n v="10004198"/>
    <n v="7.4519099999999998"/>
    <n v="0.84112100000000001"/>
    <n v="1.7282500000000001"/>
    <n v="4.0435699999999999"/>
    <n v="337787200"/>
    <s v="20 44297 373144 9504684 23583"/>
    <s v="14 44285 373011 9504508 23583"/>
    <n v="104091"/>
    <n v="4658"/>
    <m/>
    <m/>
    <n v="643162589"/>
    <n v="0"/>
    <n v="71440489"/>
    <n v="643162589"/>
    <n v="714603078"/>
    <n v="160790647"/>
    <n v="0"/>
    <n v="17860122"/>
    <n v="160790647"/>
    <n v="178650769"/>
    <n v="19.148499999999999"/>
    <n v="8.5151900000000005"/>
    <n v="2857.94"/>
    <n v="1941.57"/>
    <n v="2862"/>
    <n v="385"/>
    <x v="5"/>
    <x v="2"/>
  </r>
  <r>
    <s v="istree_exp5_numerical_stability_vs_time/step10452.txt"/>
    <x v="0"/>
    <n v="72"/>
    <s v="reclaimer_debra"/>
    <s v="allocator_new"/>
    <s v="pool_none"/>
    <n v="8000"/>
    <n v="5"/>
    <n v="5"/>
    <n v="0"/>
    <n v="1"/>
    <n v="20000000"/>
    <n v="190"/>
    <n v="190"/>
    <n v="190"/>
    <n v="0"/>
    <s v="insertIfAbsent"/>
    <n v="100017093864604"/>
    <n v="10003631"/>
    <n v="100017093864604"/>
    <n v="10003631"/>
    <s v="success"/>
    <n v="7"/>
    <n v="1903949"/>
    <n v="12030478"/>
    <n v="13934427"/>
    <n v="10003631"/>
    <n v="7.3186999999999998"/>
    <n v="0.83152400000000004"/>
    <n v="1.71791"/>
    <n v="4.0556799999999997"/>
    <n v="344835216"/>
    <s v="43 85444 722417 18442506 46084"/>
    <s v="27 85428 722114 18442160 46084"/>
    <n v="198315"/>
    <n v="8936"/>
    <m/>
    <m/>
    <n v="1239468020"/>
    <n v="0"/>
    <n v="137728592"/>
    <n v="1239468020"/>
    <n v="1377196612"/>
    <n v="154933502"/>
    <n v="0"/>
    <n v="17216074"/>
    <n v="154933502"/>
    <n v="172149576"/>
    <n v="19.2776"/>
    <n v="8.5261399999999998"/>
    <n v="2992.62"/>
    <n v="2070.4299999999998"/>
    <n v="2865"/>
    <n v="454"/>
    <x v="5"/>
    <x v="3"/>
  </r>
  <r>
    <s v="istree_exp5_numerical_stability_vs_time/step10453.txt"/>
    <x v="0"/>
    <n v="72"/>
    <s v="reclaimer_debra"/>
    <s v="allocator_new"/>
    <s v="pool_none"/>
    <n v="16000"/>
    <n v="5"/>
    <n v="5"/>
    <n v="0"/>
    <n v="1"/>
    <n v="20000000"/>
    <n v="190"/>
    <n v="190"/>
    <n v="190"/>
    <n v="0"/>
    <s v="insertIfAbsent"/>
    <n v="100016927051698"/>
    <n v="10002134"/>
    <n v="100016927051698"/>
    <n v="10002134"/>
    <s v="success"/>
    <n v="7"/>
    <n v="1903700"/>
    <n v="12028264"/>
    <n v="13931964"/>
    <n v="10002134"/>
    <n v="7.3183600000000002"/>
    <n v="0.83155299999999999"/>
    <n v="1.71793"/>
    <n v="4.05565"/>
    <n v="344780048"/>
    <s v="105 180344 1523302 38515716 96429"/>
    <s v="57 180314 1522722 38515041 96429"/>
    <n v="423326"/>
    <n v="18812"/>
    <m/>
    <m/>
    <n v="2589982930"/>
    <n v="0"/>
    <n v="287743520"/>
    <n v="2589982930"/>
    <n v="2877726450"/>
    <n v="161873933"/>
    <n v="0"/>
    <n v="17983970"/>
    <n v="161873933"/>
    <n v="179857903"/>
    <n v="19.231999999999999"/>
    <n v="8.5536399999999997"/>
    <n v="2877.22"/>
    <n v="1960.01"/>
    <n v="2869"/>
    <n v="362"/>
    <x v="5"/>
    <x v="4"/>
  </r>
  <r>
    <s v="istree_exp5_numerical_stability_vs_time/step10454.txt"/>
    <x v="0"/>
    <n v="72"/>
    <s v="reclaimer_debra"/>
    <s v="allocator_new"/>
    <s v="pool_none"/>
    <n v="32000"/>
    <n v="5"/>
    <n v="5"/>
    <n v="0"/>
    <n v="1"/>
    <n v="20000000"/>
    <n v="190"/>
    <n v="190"/>
    <n v="190"/>
    <n v="0"/>
    <s v="insertIfAbsent"/>
    <n v="99956261025861"/>
    <n v="9997177"/>
    <n v="99956261025861"/>
    <n v="9997177"/>
    <s v="success"/>
    <n v="7"/>
    <n v="1765893"/>
    <n v="11738697"/>
    <n v="13504590"/>
    <n v="9997177"/>
    <n v="7.6474599999999997"/>
    <n v="0.85164300000000004"/>
    <n v="1.74028"/>
    <n v="4.0281500000000001"/>
    <n v="329108544"/>
    <s v="188 359407 3031338 76139502 190651"/>
    <s v="113 359339 3030078 76138163 190651"/>
    <n v="836940"/>
    <n v="37048"/>
    <m/>
    <m/>
    <n v="5117270104"/>
    <n v="0"/>
    <n v="568588136"/>
    <n v="5117270104"/>
    <n v="5685858240"/>
    <n v="159914690"/>
    <n v="0"/>
    <n v="17768379"/>
    <n v="159914690"/>
    <n v="177683070"/>
    <n v="19.304300000000001"/>
    <n v="8.5621200000000002"/>
    <n v="2919.77"/>
    <n v="1994.63"/>
    <n v="2870"/>
    <n v="414"/>
    <x v="5"/>
    <x v="5"/>
  </r>
  <r>
    <s v="istree_exp5_numerical_stability_vs_time/step10455.txt"/>
    <x v="0"/>
    <n v="72"/>
    <s v="reclaimer_debra"/>
    <s v="allocator_new"/>
    <s v="pool_none"/>
    <n v="64000"/>
    <n v="5"/>
    <n v="5"/>
    <n v="0"/>
    <n v="1"/>
    <n v="20000000"/>
    <n v="190"/>
    <n v="190"/>
    <n v="190"/>
    <n v="0"/>
    <s v="insertIfAbsent"/>
    <n v="99999438949769"/>
    <n v="9998930"/>
    <n v="99999438949769"/>
    <n v="9998930"/>
    <s v="success"/>
    <n v="7"/>
    <n v="1901794"/>
    <n v="12020478"/>
    <n v="13922272"/>
    <n v="9998930"/>
    <n v="7.3205999999999998"/>
    <n v="0.83182500000000004"/>
    <n v="1.7181999999999999"/>
    <n v="4.0553100000000004"/>
    <n v="344500448"/>
    <s v="397 730739 6163772 154932778 388088"/>
    <s v="231 730623 6161236 154929958 388086"/>
    <n v="1734864"/>
    <n v="75796"/>
    <m/>
    <m/>
    <n v="10417245289"/>
    <n v="0"/>
    <n v="1157472087"/>
    <n v="10417245289"/>
    <n v="11574717376"/>
    <n v="162769457"/>
    <n v="0"/>
    <n v="18085501"/>
    <n v="162769457"/>
    <n v="180854959"/>
    <n v="19.301500000000001"/>
    <n v="8.5694599999999994"/>
    <n v="2869.09"/>
    <n v="1945.63"/>
    <n v="2878"/>
    <n v="423"/>
    <x v="5"/>
    <x v="6"/>
  </r>
  <r>
    <s v="istree_exp5_numerical_stability_vs_time/step10456.txt"/>
    <x v="2"/>
    <n v="208"/>
    <s v="reclaimer_debra"/>
    <s v="allocator_new"/>
    <s v="pool_none"/>
    <n v="1000"/>
    <n v="5"/>
    <n v="5"/>
    <n v="0"/>
    <n v="1"/>
    <n v="20000000"/>
    <n v="190"/>
    <n v="190"/>
    <n v="190"/>
    <n v="0"/>
    <s v="insertIfAbsent"/>
    <n v="99969489182200"/>
    <n v="9998008"/>
    <n v="99969489182200"/>
    <n v="9998008"/>
    <s v="success"/>
    <n v="9"/>
    <n v="222979"/>
    <n v="1532821"/>
    <n v="1755800"/>
    <n v="9998008"/>
    <n v="7.8742799999999997"/>
    <n v="6.5226199999999999"/>
    <n v="6.6942700000000004"/>
    <n v="8"/>
    <n v="365206400"/>
    <m/>
    <m/>
    <m/>
    <n v="1938"/>
    <m/>
    <m/>
    <n v="192787006"/>
    <n v="0"/>
    <n v="21423304"/>
    <n v="192787006"/>
    <n v="214210310"/>
    <n v="192787006"/>
    <n v="0"/>
    <n v="21423304"/>
    <n v="192787006"/>
    <n v="214210310"/>
    <n v="17.885899999999999"/>
    <n v="6.0458499999999997"/>
    <n v="2435.3000000000002"/>
    <n v="1477.85"/>
    <n v="1689"/>
    <n v="932"/>
    <x v="5"/>
    <x v="0"/>
  </r>
  <r>
    <s v="istree_exp5_numerical_stability_vs_time/step10457.txt"/>
    <x v="2"/>
    <n v="208"/>
    <s v="reclaimer_debra"/>
    <s v="allocator_new"/>
    <s v="pool_none"/>
    <n v="2000"/>
    <n v="5"/>
    <n v="5"/>
    <n v="0"/>
    <n v="1"/>
    <n v="20000000"/>
    <n v="190"/>
    <n v="190"/>
    <n v="190"/>
    <n v="0"/>
    <s v="insertIfAbsent"/>
    <n v="100020321749257"/>
    <n v="10000530"/>
    <n v="100020321749257"/>
    <n v="10000530"/>
    <s v="success"/>
    <n v="9"/>
    <n v="239518"/>
    <n v="1645535"/>
    <n v="1885053"/>
    <n v="10000530"/>
    <n v="7.87019"/>
    <n v="6.0773700000000002"/>
    <n v="6.3051700000000004"/>
    <n v="8"/>
    <n v="392091024"/>
    <m/>
    <m/>
    <m/>
    <s v="550 3196"/>
    <m/>
    <m/>
    <n v="385201644"/>
    <n v="0"/>
    <n v="42796697"/>
    <n v="385201644"/>
    <n v="427998341"/>
    <n v="192600822"/>
    <n v="0"/>
    <n v="21398348"/>
    <n v="192600822"/>
    <n v="213999170"/>
    <n v="18.0367"/>
    <n v="6.1319900000000001"/>
    <n v="2448.5100000000002"/>
    <n v="1501.18"/>
    <n v="1718"/>
    <n v="907"/>
    <x v="5"/>
    <x v="1"/>
  </r>
  <r>
    <s v="istree_exp5_numerical_stability_vs_time/step10458.txt"/>
    <x v="2"/>
    <n v="208"/>
    <s v="reclaimer_debra"/>
    <s v="allocator_new"/>
    <s v="pool_none"/>
    <n v="4000"/>
    <n v="5"/>
    <n v="5"/>
    <n v="0"/>
    <n v="1"/>
    <n v="20000000"/>
    <n v="190"/>
    <n v="190"/>
    <n v="190"/>
    <n v="0"/>
    <s v="insertIfAbsent"/>
    <n v="99956376100162"/>
    <n v="9996340"/>
    <n v="99956376100162"/>
    <n v="9996340"/>
    <s v="success"/>
    <n v="9"/>
    <n v="257548"/>
    <n v="1764721"/>
    <n v="2022269"/>
    <n v="9996340"/>
    <n v="7.8520099999999999"/>
    <n v="5.6645399999999997"/>
    <n v="5.94313"/>
    <n v="8"/>
    <n v="420631952"/>
    <m/>
    <m/>
    <m/>
    <s v="638 5672"/>
    <m/>
    <m/>
    <n v="751141094"/>
    <n v="0"/>
    <n v="83462978"/>
    <n v="751141094"/>
    <n v="834604072"/>
    <n v="187785273"/>
    <n v="0"/>
    <n v="20865744"/>
    <n v="187785273"/>
    <n v="208651018"/>
    <n v="18.248100000000001"/>
    <n v="6.2469799999999998"/>
    <n v="2519.73"/>
    <n v="1569.43"/>
    <n v="1748"/>
    <n v="924"/>
    <x v="5"/>
    <x v="2"/>
  </r>
  <r>
    <s v="istree_exp5_numerical_stability_vs_time/step10459.txt"/>
    <x v="2"/>
    <n v="208"/>
    <s v="reclaimer_debra"/>
    <s v="allocator_new"/>
    <s v="pool_none"/>
    <n v="8000"/>
    <n v="5"/>
    <n v="5"/>
    <n v="0"/>
    <n v="1"/>
    <n v="20000000"/>
    <n v="190"/>
    <n v="190"/>
    <n v="190"/>
    <n v="0"/>
    <s v="insertIfAbsent"/>
    <n v="100002799729226"/>
    <n v="9999096"/>
    <n v="100002799729226"/>
    <n v="9999096"/>
    <s v="success"/>
    <n v="9"/>
    <n v="276324"/>
    <n v="1876522"/>
    <n v="2152846"/>
    <n v="9999096"/>
    <n v="7.7910199999999996"/>
    <n v="5.3285299999999998"/>
    <n v="5.64459"/>
    <n v="8"/>
    <n v="447791968"/>
    <m/>
    <m/>
    <m/>
    <s v="508 10462"/>
    <m/>
    <m/>
    <n v="1470261424"/>
    <n v="0"/>
    <n v="163361578"/>
    <n v="1470261424"/>
    <n v="1633623002"/>
    <n v="183782678"/>
    <n v="0"/>
    <n v="20420197"/>
    <n v="183782678"/>
    <n v="204202875"/>
    <n v="18.4815"/>
    <n v="6.3644999999999996"/>
    <n v="2573.16"/>
    <n v="1618.75"/>
    <n v="1787"/>
    <n v="856"/>
    <x v="5"/>
    <x v="3"/>
  </r>
  <r>
    <s v="istree_exp5_numerical_stability_vs_time/step10460.txt"/>
    <x v="2"/>
    <n v="208"/>
    <s v="reclaimer_debra"/>
    <s v="allocator_new"/>
    <s v="pool_none"/>
    <n v="16000"/>
    <n v="5"/>
    <n v="5"/>
    <n v="0"/>
    <n v="1"/>
    <n v="20000000"/>
    <n v="190"/>
    <n v="190"/>
    <n v="190"/>
    <n v="0"/>
    <s v="insertIfAbsent"/>
    <n v="99968159860819"/>
    <n v="9996719"/>
    <n v="99968159860819"/>
    <n v="9996719"/>
    <s v="success"/>
    <n v="9"/>
    <n v="294827"/>
    <n v="1950237"/>
    <n v="2245064"/>
    <n v="9996719"/>
    <n v="7.6148499999999997"/>
    <n v="5.1258999999999997"/>
    <n v="5.45275"/>
    <n v="8"/>
    <n v="466973312"/>
    <m/>
    <m/>
    <m/>
    <s v="608 20032"/>
    <m/>
    <m/>
    <n v="2896736812"/>
    <n v="0"/>
    <n v="321847200"/>
    <n v="2896736812"/>
    <n v="3218584012"/>
    <n v="181046050"/>
    <n v="0"/>
    <n v="20115450"/>
    <n v="181046050"/>
    <n v="201161500"/>
    <n v="18.6828"/>
    <n v="6.4917600000000002"/>
    <n v="2614.15"/>
    <n v="1656.87"/>
    <n v="1852"/>
    <n v="942"/>
    <x v="5"/>
    <x v="4"/>
  </r>
  <r>
    <s v="istree_exp5_numerical_stability_vs_time/step10461.txt"/>
    <x v="2"/>
    <n v="208"/>
    <s v="reclaimer_debra"/>
    <s v="allocator_new"/>
    <s v="pool_none"/>
    <n v="32000"/>
    <n v="5"/>
    <n v="5"/>
    <n v="0"/>
    <n v="1"/>
    <n v="20000000"/>
    <n v="190"/>
    <n v="190"/>
    <n v="190"/>
    <n v="0"/>
    <s v="insertIfAbsent"/>
    <n v="99963953319946"/>
    <n v="9997445"/>
    <n v="99963953319946"/>
    <n v="9997445"/>
    <s v="success"/>
    <n v="9"/>
    <n v="310905"/>
    <n v="1965338"/>
    <n v="2276243"/>
    <n v="9997445"/>
    <n v="7.3213499999999998"/>
    <n v="5.0868799999999998"/>
    <n v="5.39208"/>
    <n v="8"/>
    <n v="473458544"/>
    <m/>
    <m/>
    <m/>
    <s v="626 38752"/>
    <m/>
    <m/>
    <n v="5713244828"/>
    <n v="0"/>
    <n v="634830929"/>
    <n v="5713244828"/>
    <n v="6348075757"/>
    <n v="178538900"/>
    <n v="0"/>
    <n v="19838466"/>
    <n v="178538900"/>
    <n v="198377367"/>
    <n v="18.854900000000001"/>
    <n v="6.59483"/>
    <n v="2651.88"/>
    <n v="1690.96"/>
    <n v="1866"/>
    <n v="929"/>
    <x v="5"/>
    <x v="5"/>
  </r>
  <r>
    <s v="istree_exp5_numerical_stability_vs_time/step10462.txt"/>
    <x v="2"/>
    <n v="208"/>
    <s v="reclaimer_debra"/>
    <s v="allocator_new"/>
    <s v="pool_none"/>
    <n v="64000"/>
    <n v="5"/>
    <n v="5"/>
    <n v="0"/>
    <n v="1"/>
    <n v="20000000"/>
    <n v="190"/>
    <n v="190"/>
    <n v="190"/>
    <n v="0"/>
    <s v="insertIfAbsent"/>
    <n v="99942261947027"/>
    <n v="9999135"/>
    <n v="99942261947027"/>
    <n v="9999135"/>
    <s v="success"/>
    <n v="9"/>
    <n v="324570"/>
    <n v="1956188"/>
    <n v="2280758"/>
    <n v="9999135"/>
    <n v="7.0270099999999998"/>
    <n v="5.1115399999999998"/>
    <n v="5.3841299999999999"/>
    <n v="8"/>
    <n v="474397664"/>
    <m/>
    <m/>
    <m/>
    <s v="568 76550"/>
    <m/>
    <m/>
    <n v="11331431056"/>
    <n v="0"/>
    <n v="1259105822"/>
    <n v="11331431056"/>
    <n v="12590536878"/>
    <n v="177053610"/>
    <n v="0"/>
    <n v="19673528"/>
    <n v="177053610"/>
    <n v="196727138"/>
    <n v="19.0382"/>
    <n v="6.6657799999999998"/>
    <n v="2675.29"/>
    <n v="1714.25"/>
    <n v="1914"/>
    <n v="936"/>
    <x v="5"/>
    <x v="6"/>
  </r>
  <r>
    <s v="istree_exp5_numerical_stability_vs_time/step10463.txt"/>
    <x v="1"/>
    <m/>
    <s v="reclaimer_debra"/>
    <s v="allocator_new"/>
    <s v="pool_none"/>
    <n v="1000"/>
    <n v="5"/>
    <n v="5"/>
    <n v="0"/>
    <n v="1"/>
    <n v="20000000"/>
    <n v="190"/>
    <n v="190"/>
    <n v="190"/>
    <n v="0"/>
    <s v="insertIfAbsent"/>
    <n v="99994773984627"/>
    <n v="10000355"/>
    <n v="99994773984627"/>
    <n v="10000355"/>
    <s v="success"/>
    <n v="29"/>
    <n v="6198995"/>
    <n v="4680115"/>
    <n v="10879110"/>
    <n v="10000355"/>
    <n v="1.75498"/>
    <n v="2.1367799999999999"/>
    <n v="1.91923"/>
    <n v="22.910299999999999"/>
    <n v="609230160"/>
    <m/>
    <m/>
    <m/>
    <s v="150 808"/>
    <m/>
    <m/>
    <n v="97677931"/>
    <n v="0"/>
    <n v="10855599"/>
    <n v="97677931"/>
    <n v="108533530"/>
    <n v="97677931"/>
    <n v="0"/>
    <n v="10855599"/>
    <n v="97677931"/>
    <n v="108533530"/>
    <n v="29.2256"/>
    <n v="10.6205"/>
    <n v="4856.83"/>
    <n v="3416.57"/>
    <n v="1812"/>
    <n v="435"/>
    <x v="5"/>
    <x v="0"/>
  </r>
  <r>
    <s v="istree_exp5_numerical_stability_vs_time/step10464.txt"/>
    <x v="1"/>
    <m/>
    <s v="reclaimer_debra"/>
    <s v="allocator_new"/>
    <s v="pool_none"/>
    <n v="2000"/>
    <n v="5"/>
    <n v="5"/>
    <n v="0"/>
    <n v="1"/>
    <n v="20000000"/>
    <n v="190"/>
    <n v="190"/>
    <n v="190"/>
    <n v="0"/>
    <s v="insertIfAbsent"/>
    <n v="99989624167598"/>
    <n v="9999841"/>
    <n v="99989624167598"/>
    <n v="9999841"/>
    <s v="success"/>
    <n v="29"/>
    <n v="6479301"/>
    <n v="4902169"/>
    <n v="11381470"/>
    <n v="9999841"/>
    <n v="1.7565900000000001"/>
    <n v="2.0398800000000001"/>
    <n v="1.8786099999999999"/>
    <n v="23.080400000000001"/>
    <n v="637362320"/>
    <m/>
    <m/>
    <m/>
    <s v="166 1444"/>
    <m/>
    <m/>
    <n v="196704164"/>
    <n v="0"/>
    <n v="21855113"/>
    <n v="196704164"/>
    <n v="218559277"/>
    <n v="98352082"/>
    <n v="0"/>
    <n v="10927556"/>
    <n v="98352082"/>
    <n v="109279638"/>
    <n v="29.3443"/>
    <n v="10.7134"/>
    <n v="4831.82"/>
    <n v="3441.33"/>
    <n v="1844"/>
    <n v="427"/>
    <x v="5"/>
    <x v="1"/>
  </r>
  <r>
    <s v="istree_exp5_numerical_stability_vs_time/step10465.txt"/>
    <x v="1"/>
    <m/>
    <s v="reclaimer_debra"/>
    <s v="allocator_new"/>
    <s v="pool_none"/>
    <n v="4000"/>
    <n v="5"/>
    <n v="5"/>
    <n v="0"/>
    <n v="1"/>
    <n v="20000000"/>
    <n v="190"/>
    <n v="190"/>
    <n v="190"/>
    <n v="0"/>
    <s v="insertIfAbsent"/>
    <n v="100008677473864"/>
    <n v="10001099"/>
    <n v="100008677473864"/>
    <n v="10001099"/>
    <s v="success"/>
    <n v="29"/>
    <n v="6731820"/>
    <n v="5099946"/>
    <n v="11831766"/>
    <n v="10001099"/>
    <n v="1.75759"/>
    <n v="1.96102"/>
    <n v="1.84528"/>
    <n v="23.1952"/>
    <n v="662578896"/>
    <m/>
    <m/>
    <m/>
    <n v="2710"/>
    <m/>
    <m/>
    <n v="390244374"/>
    <n v="0"/>
    <n v="43356909"/>
    <n v="390244374"/>
    <n v="433601283"/>
    <n v="97561093"/>
    <n v="0"/>
    <n v="10839227"/>
    <n v="97561093"/>
    <n v="108400320"/>
    <n v="29.412700000000001"/>
    <n v="10.8124"/>
    <n v="4869.88"/>
    <n v="3473.67"/>
    <n v="1874"/>
    <n v="477"/>
    <x v="5"/>
    <x v="2"/>
  </r>
  <r>
    <s v="istree_exp5_numerical_stability_vs_time/step10466.txt"/>
    <x v="1"/>
    <m/>
    <s v="reclaimer_debra"/>
    <s v="allocator_new"/>
    <s v="pool_none"/>
    <n v="8000"/>
    <n v="5"/>
    <n v="5"/>
    <n v="0"/>
    <n v="1"/>
    <n v="20000000"/>
    <n v="190"/>
    <n v="190"/>
    <n v="190"/>
    <n v="0"/>
    <s v="insertIfAbsent"/>
    <n v="100016988015959"/>
    <n v="10001089"/>
    <n v="100016988015959"/>
    <n v="10001089"/>
    <s v="success"/>
    <n v="29"/>
    <n v="6842056"/>
    <n v="5189908"/>
    <n v="12031964"/>
    <n v="10001089"/>
    <n v="1.7585299999999999"/>
    <n v="1.92703"/>
    <n v="1.83121"/>
    <n v="23.254200000000001"/>
    <n v="673789984"/>
    <m/>
    <m/>
    <m/>
    <s v="166 5198"/>
    <m/>
    <m/>
    <n v="768712885"/>
    <n v="0"/>
    <n v="85416343"/>
    <n v="768712885"/>
    <n v="854129228"/>
    <n v="96089110"/>
    <n v="0"/>
    <n v="10677042"/>
    <n v="96089110"/>
    <n v="106766153"/>
    <n v="29.712599999999998"/>
    <n v="10.900700000000001"/>
    <n v="4945.03"/>
    <n v="3521.98"/>
    <n v="1892"/>
    <n v="449"/>
    <x v="5"/>
    <x v="3"/>
  </r>
  <r>
    <s v="istree_exp5_numerical_stability_vs_time/step10467.txt"/>
    <x v="1"/>
    <m/>
    <s v="reclaimer_debra"/>
    <s v="allocator_new"/>
    <s v="pool_none"/>
    <n v="16000"/>
    <n v="5"/>
    <n v="5"/>
    <n v="0"/>
    <n v="1"/>
    <n v="20000000"/>
    <n v="190"/>
    <n v="190"/>
    <n v="190"/>
    <n v="0"/>
    <s v="insertIfAbsent"/>
    <n v="99998483191040"/>
    <n v="9999501"/>
    <n v="99998483191040"/>
    <n v="9999501"/>
    <s v="success"/>
    <n v="29"/>
    <n v="6858187"/>
    <n v="5202727"/>
    <n v="12060914"/>
    <n v="9999501"/>
    <n v="1.7586200000000001"/>
    <n v="1.92197"/>
    <n v="1.82908"/>
    <n v="23.255199999999999"/>
    <n v="675411184"/>
    <m/>
    <m/>
    <m/>
    <s v="164 10138"/>
    <m/>
    <m/>
    <n v="1523771406"/>
    <n v="0"/>
    <n v="169287844"/>
    <n v="1523771406"/>
    <n v="1693059250"/>
    <n v="95235712"/>
    <n v="0"/>
    <n v="10580490"/>
    <n v="95235712"/>
    <n v="105816203"/>
    <n v="29.766500000000001"/>
    <n v="10.9915"/>
    <n v="4987.05"/>
    <n v="3532.17"/>
    <n v="1912"/>
    <n v="429"/>
    <x v="5"/>
    <x v="4"/>
  </r>
  <r>
    <s v="istree_exp5_numerical_stability_vs_time/step10468.txt"/>
    <x v="1"/>
    <m/>
    <s v="reclaimer_debra"/>
    <s v="allocator_new"/>
    <s v="pool_none"/>
    <n v="32000"/>
    <n v="5"/>
    <n v="5"/>
    <n v="0"/>
    <n v="1"/>
    <n v="20000000"/>
    <n v="190"/>
    <n v="190"/>
    <n v="190"/>
    <n v="0"/>
    <s v="insertIfAbsent"/>
    <n v="99988480955608"/>
    <n v="9998910"/>
    <n v="99988480955608"/>
    <n v="9998910"/>
    <s v="success"/>
    <n v="29"/>
    <n v="6857890"/>
    <n v="5203291"/>
    <n v="12061181"/>
    <n v="9998910"/>
    <n v="1.7587299999999999"/>
    <n v="1.9216500000000001"/>
    <n v="1.8290200000000001"/>
    <n v="23.247499999999999"/>
    <n v="675426136"/>
    <m/>
    <m/>
    <m/>
    <s v="168 19982"/>
    <m/>
    <m/>
    <n v="3046105795"/>
    <n v="0"/>
    <n v="338431975"/>
    <n v="3046105795"/>
    <n v="3384537770"/>
    <n v="95190806"/>
    <n v="0"/>
    <n v="10575999"/>
    <n v="95190806"/>
    <n v="105766805"/>
    <n v="29.950299999999999"/>
    <n v="11.081099999999999"/>
    <n v="4990.2700000000004"/>
    <n v="3581.48"/>
    <n v="1938"/>
    <n v="477"/>
    <x v="5"/>
    <x v="5"/>
  </r>
  <r>
    <s v="istree_exp5_numerical_stability_vs_time/step10469.txt"/>
    <x v="1"/>
    <m/>
    <s v="reclaimer_debra"/>
    <s v="allocator_new"/>
    <s v="pool_none"/>
    <n v="64000"/>
    <n v="5"/>
    <n v="5"/>
    <n v="0"/>
    <n v="1"/>
    <n v="20000000"/>
    <n v="190"/>
    <n v="190"/>
    <n v="190"/>
    <n v="0"/>
    <s v="insertIfAbsent"/>
    <n v="100002962831356"/>
    <n v="10000036"/>
    <n v="100002962831356"/>
    <n v="10000036"/>
    <s v="success"/>
    <n v="29"/>
    <n v="6857638"/>
    <n v="5202405"/>
    <n v="12060043"/>
    <n v="10000036"/>
    <n v="1.7586299999999999"/>
    <n v="1.9221900000000001"/>
    <n v="1.8291900000000001"/>
    <n v="23.300899999999999"/>
    <n v="675362408"/>
    <m/>
    <m/>
    <m/>
    <s v="164 39712"/>
    <m/>
    <m/>
    <n v="6071672048"/>
    <n v="0"/>
    <n v="674629194"/>
    <n v="6071672048"/>
    <n v="6746301242"/>
    <n v="94869875"/>
    <n v="0"/>
    <n v="10541081"/>
    <n v="94869875"/>
    <n v="105410956"/>
    <n v="30.139299999999999"/>
    <n v="11.178800000000001"/>
    <n v="5008.75"/>
    <n v="3603.33"/>
    <n v="1988"/>
    <n v="434"/>
    <x v="5"/>
    <x v="6"/>
  </r>
  <r>
    <s v="istree_exp5_numerical_stability_vs_time/step10470.txt"/>
    <x v="3"/>
    <m/>
    <s v="reclaimer_debra"/>
    <s v="allocator_new"/>
    <s v="pool_none"/>
    <n v="1000"/>
    <n v="5"/>
    <n v="5"/>
    <n v="0"/>
    <n v="1"/>
    <n v="20000000"/>
    <n v="190"/>
    <n v="190"/>
    <n v="190"/>
    <n v="0"/>
    <s v="insertIfAbsent"/>
    <n v="99983569994723"/>
    <n v="9998952"/>
    <n v="99983569994723"/>
    <n v="9998952"/>
    <s v="success"/>
    <n v="56"/>
    <n v="9998951"/>
    <n v="9998952"/>
    <n v="19997903"/>
    <n v="9998952"/>
    <n v="2"/>
    <n v="1"/>
    <n v="1.5"/>
    <n v="30.713000000000001"/>
    <n v="639932896"/>
    <m/>
    <m/>
    <m/>
    <n v="732"/>
    <m/>
    <m/>
    <n v="85786588"/>
    <n v="0"/>
    <n v="9524967"/>
    <n v="85786588"/>
    <n v="95311555"/>
    <n v="85786588"/>
    <n v="0"/>
    <n v="9524967"/>
    <n v="85786588"/>
    <n v="95311555"/>
    <n v="25.2148"/>
    <n v="9.9772800000000004"/>
    <n v="5516.05"/>
    <n v="4444.84"/>
    <n v="1760"/>
    <n v="406"/>
    <x v="5"/>
    <x v="0"/>
  </r>
  <r>
    <s v="istree_exp5_numerical_stability_vs_time/step10471.txt"/>
    <x v="3"/>
    <m/>
    <s v="reclaimer_debra"/>
    <s v="allocator_new"/>
    <s v="pool_none"/>
    <n v="2000"/>
    <n v="5"/>
    <n v="5"/>
    <n v="0"/>
    <n v="1"/>
    <n v="20000000"/>
    <n v="190"/>
    <n v="190"/>
    <n v="190"/>
    <n v="0"/>
    <s v="insertIfAbsent"/>
    <n v="100035581305556"/>
    <n v="10003037"/>
    <n v="100035581305556"/>
    <n v="10003037"/>
    <s v="success"/>
    <n v="59"/>
    <n v="10003036"/>
    <n v="10003037"/>
    <n v="20006073"/>
    <n v="10003037"/>
    <n v="2"/>
    <n v="1"/>
    <n v="1.5"/>
    <n v="30.9802"/>
    <n v="640194336"/>
    <m/>
    <m/>
    <m/>
    <s v="142 1286"/>
    <m/>
    <m/>
    <n v="172115492"/>
    <n v="0"/>
    <n v="19136214"/>
    <n v="172115492"/>
    <n v="191251706"/>
    <n v="86057746"/>
    <n v="0"/>
    <n v="9568107"/>
    <n v="86057746"/>
    <n v="95625853"/>
    <n v="25.383900000000001"/>
    <n v="10.129"/>
    <n v="5525.69"/>
    <n v="4462.3599999999997"/>
    <n v="1764"/>
    <n v="414"/>
    <x v="5"/>
    <x v="1"/>
  </r>
  <r>
    <s v="istree_exp5_numerical_stability_vs_time/step10472.txt"/>
    <x v="3"/>
    <m/>
    <s v="reclaimer_debra"/>
    <s v="allocator_new"/>
    <s v="pool_none"/>
    <n v="4000"/>
    <n v="5"/>
    <n v="5"/>
    <n v="0"/>
    <n v="1"/>
    <n v="20000000"/>
    <n v="190"/>
    <n v="190"/>
    <n v="190"/>
    <n v="0"/>
    <s v="insertIfAbsent"/>
    <n v="99958167715815"/>
    <n v="9995796"/>
    <n v="99958167715815"/>
    <n v="9995796"/>
    <s v="success"/>
    <n v="61"/>
    <n v="9995795"/>
    <n v="9995796"/>
    <n v="19991591"/>
    <n v="9995796"/>
    <n v="2"/>
    <n v="1"/>
    <n v="1.5"/>
    <n v="31.926100000000002"/>
    <n v="639730912"/>
    <m/>
    <m/>
    <m/>
    <s v="154 2366"/>
    <m/>
    <m/>
    <n v="342301799"/>
    <n v="0"/>
    <n v="38041305"/>
    <n v="342301799"/>
    <n v="380343104"/>
    <n v="85575449"/>
    <n v="0"/>
    <n v="9510326"/>
    <n v="85575449"/>
    <n v="95085776"/>
    <n v="25.6434"/>
    <n v="10.2774"/>
    <n v="5559.94"/>
    <n v="4503.97"/>
    <n v="1772"/>
    <n v="410"/>
    <x v="5"/>
    <x v="2"/>
  </r>
  <r>
    <s v="istree_exp5_numerical_stability_vs_time/step10473.txt"/>
    <x v="3"/>
    <m/>
    <s v="reclaimer_debra"/>
    <s v="allocator_new"/>
    <s v="pool_none"/>
    <n v="8000"/>
    <n v="5"/>
    <n v="5"/>
    <n v="0"/>
    <n v="1"/>
    <n v="20000000"/>
    <n v="190"/>
    <n v="190"/>
    <n v="190"/>
    <n v="0"/>
    <s v="insertIfAbsent"/>
    <n v="100027898784606"/>
    <n v="10003035"/>
    <n v="100027898784606"/>
    <n v="10003035"/>
    <s v="success"/>
    <n v="59"/>
    <n v="10003034"/>
    <n v="10003035"/>
    <n v="20006069"/>
    <n v="10003035"/>
    <n v="2"/>
    <n v="1"/>
    <n v="1.5"/>
    <n v="30.374400000000001"/>
    <n v="640194208"/>
    <m/>
    <m/>
    <m/>
    <s v="148 4530"/>
    <m/>
    <m/>
    <n v="679009384"/>
    <n v="0"/>
    <n v="75440501"/>
    <n v="679009384"/>
    <n v="754449885"/>
    <n v="84876173"/>
    <n v="0"/>
    <n v="9430062"/>
    <n v="84876173"/>
    <n v="94306235"/>
    <n v="25.805099999999999"/>
    <n v="10.3918"/>
    <n v="5602.01"/>
    <n v="4550.47"/>
    <n v="1789"/>
    <n v="427"/>
    <x v="5"/>
    <x v="3"/>
  </r>
  <r>
    <s v="istree_exp5_numerical_stability_vs_time/step10474.txt"/>
    <x v="3"/>
    <m/>
    <s v="reclaimer_debra"/>
    <s v="allocator_new"/>
    <s v="pool_none"/>
    <n v="16000"/>
    <n v="5"/>
    <n v="5"/>
    <n v="0"/>
    <n v="1"/>
    <n v="20000000"/>
    <n v="190"/>
    <n v="190"/>
    <n v="190"/>
    <n v="0"/>
    <s v="insertIfAbsent"/>
    <n v="100025272914853"/>
    <n v="10002363"/>
    <n v="100025272914853"/>
    <n v="10002363"/>
    <s v="success"/>
    <n v="59"/>
    <n v="10002362"/>
    <n v="10002363"/>
    <n v="20004725"/>
    <n v="10002363"/>
    <n v="2"/>
    <n v="1"/>
    <n v="1.5"/>
    <n v="31.057200000000002"/>
    <n v="640151200"/>
    <m/>
    <m/>
    <m/>
    <n v="8840"/>
    <m/>
    <m/>
    <n v="1351423945"/>
    <n v="0"/>
    <n v="150161669"/>
    <n v="1351423945"/>
    <n v="1501585614"/>
    <n v="84463996"/>
    <n v="0"/>
    <n v="9385104"/>
    <n v="84463996"/>
    <n v="93849100"/>
    <n v="26.0014"/>
    <n v="10.4367"/>
    <n v="5637.1"/>
    <n v="4589.9399999999996"/>
    <n v="1819"/>
    <n v="418"/>
    <x v="5"/>
    <x v="4"/>
  </r>
  <r>
    <s v="istree_exp5_numerical_stability_vs_time/step10475.txt"/>
    <x v="3"/>
    <m/>
    <s v="reclaimer_debra"/>
    <s v="allocator_new"/>
    <s v="pool_none"/>
    <n v="32000"/>
    <n v="5"/>
    <n v="5"/>
    <n v="0"/>
    <n v="1"/>
    <n v="20000000"/>
    <n v="190"/>
    <n v="190"/>
    <n v="190"/>
    <n v="0"/>
    <s v="insertIfAbsent"/>
    <n v="100014868731410"/>
    <n v="10000780"/>
    <n v="100014868731410"/>
    <n v="10000780"/>
    <s v="success"/>
    <n v="58"/>
    <n v="10000779"/>
    <n v="10000780"/>
    <n v="20001559"/>
    <n v="10000780"/>
    <n v="2"/>
    <n v="1"/>
    <n v="1.5"/>
    <n v="31.470300000000002"/>
    <n v="640049888"/>
    <m/>
    <m/>
    <m/>
    <n v="17516"/>
    <m/>
    <m/>
    <n v="2708031180"/>
    <n v="0"/>
    <n v="300905079"/>
    <n v="2708031180"/>
    <n v="3008936259"/>
    <n v="84625974"/>
    <n v="0"/>
    <n v="9403283"/>
    <n v="84625974"/>
    <n v="94029258"/>
    <n v="25.990200000000002"/>
    <n v="10.430099999999999"/>
    <n v="5627.06"/>
    <n v="4588.22"/>
    <n v="1876"/>
    <n v="407"/>
    <x v="5"/>
    <x v="5"/>
  </r>
  <r>
    <s v="istree_exp5_numerical_stability_vs_time/step10476.txt"/>
    <x v="3"/>
    <m/>
    <s v="reclaimer_debra"/>
    <s v="allocator_new"/>
    <s v="pool_none"/>
    <n v="64000"/>
    <n v="5"/>
    <n v="5"/>
    <n v="0"/>
    <n v="1"/>
    <n v="20000000"/>
    <n v="190"/>
    <n v="190"/>
    <n v="190"/>
    <n v="0"/>
    <s v="insertIfAbsent"/>
    <n v="100047299540673"/>
    <n v="10005163"/>
    <n v="100047299540673"/>
    <n v="10005163"/>
    <s v="success"/>
    <n v="59"/>
    <n v="10005162"/>
    <n v="10005163"/>
    <n v="20010325"/>
    <n v="10005163"/>
    <n v="2"/>
    <n v="1"/>
    <n v="1.5"/>
    <n v="30.525600000000001"/>
    <n v="640330400"/>
    <m/>
    <m/>
    <m/>
    <s v="152 34890"/>
    <m/>
    <m/>
    <n v="5426002896"/>
    <n v="0"/>
    <n v="602851770"/>
    <n v="5426002896"/>
    <n v="6028854666"/>
    <n v="84781295"/>
    <n v="0"/>
    <n v="9419558"/>
    <n v="84781295"/>
    <n v="94200854"/>
    <n v="25.969100000000001"/>
    <n v="10.369300000000001"/>
    <n v="5615.91"/>
    <n v="4575.58"/>
    <n v="1971"/>
    <n v="422"/>
    <x v="5"/>
    <x v="6"/>
  </r>
  <r>
    <s v="istree_exp5_numerical_stability_vs_time/step10477.txt"/>
    <x v="0"/>
    <n v="72"/>
    <s v="reclaimer_debra"/>
    <s v="allocator_new"/>
    <s v="pool_none"/>
    <n v="1000"/>
    <n v="5"/>
    <n v="5"/>
    <n v="0"/>
    <n v="1"/>
    <n v="200000000"/>
    <n v="190"/>
    <n v="190"/>
    <n v="190"/>
    <n v="0"/>
    <s v="insertIfAbsent"/>
    <n v="9999290138864380"/>
    <n v="99995116"/>
    <n v="9999290138864380"/>
    <n v="99995116"/>
    <s v="success"/>
    <n v="7"/>
    <n v="14128461"/>
    <n v="116415533"/>
    <n v="130543994"/>
    <n v="99995116"/>
    <n v="9.2397899999999993"/>
    <n v="0.85894999999999999"/>
    <n v="1.7659899999999999"/>
    <n v="4.0645800000000003"/>
    <n v="2995387856"/>
    <s v="0 0 7 607643 201491"/>
    <s v="0 0 7 607642 201491"/>
    <m/>
    <n v="1020"/>
    <m/>
    <m/>
    <n v="155100397"/>
    <n v="0"/>
    <n v="17232586"/>
    <n v="155100397"/>
    <n v="172332983"/>
    <n v="155100397"/>
    <n v="0"/>
    <n v="17232586"/>
    <n v="155100397"/>
    <n v="172332983"/>
    <n v="20.164300000000001"/>
    <n v="9.5081100000000003"/>
    <n v="3057.73"/>
    <n v="2277.73"/>
    <n v="7792"/>
    <n v="1090"/>
    <x v="6"/>
    <x v="0"/>
  </r>
  <r>
    <s v="istree_exp5_numerical_stability_vs_time/step10478.txt"/>
    <x v="0"/>
    <n v="72"/>
    <s v="reclaimer_debra"/>
    <s v="allocator_new"/>
    <s v="pool_none"/>
    <n v="2000"/>
    <n v="5"/>
    <n v="5"/>
    <n v="0"/>
    <n v="1"/>
    <n v="200000000"/>
    <n v="190"/>
    <n v="190"/>
    <n v="190"/>
    <n v="0"/>
    <s v="insertIfAbsent"/>
    <n v="9999428208529120"/>
    <n v="99999376"/>
    <n v="9999428208529120"/>
    <n v="99999376"/>
    <s v="success"/>
    <n v="7"/>
    <n v="14936506"/>
    <n v="118255029"/>
    <n v="133191535"/>
    <n v="99999376"/>
    <n v="8.9171800000000001"/>
    <n v="0.84562499999999996"/>
    <n v="1.7507900000000001"/>
    <n v="4.0817100000000002"/>
    <n v="3091374960"/>
    <s v="0 0 53250 2595547 492005"/>
    <s v="0 0 53250 2595541 492005"/>
    <n v="13"/>
    <n v="2086"/>
    <m/>
    <m/>
    <n v="310123623"/>
    <n v="0"/>
    <n v="34463894"/>
    <n v="310123623"/>
    <n v="344587517"/>
    <n v="155061811"/>
    <n v="0"/>
    <n v="17231947"/>
    <n v="155061811"/>
    <n v="172293758"/>
    <n v="20.389299999999999"/>
    <n v="9.7870600000000003"/>
    <n v="3058.32"/>
    <n v="2263.13"/>
    <n v="8186"/>
    <n v="1191"/>
    <x v="6"/>
    <x v="1"/>
  </r>
  <r>
    <s v="istree_exp5_numerical_stability_vs_time/step10479.txt"/>
    <x v="0"/>
    <n v="72"/>
    <s v="reclaimer_debra"/>
    <s v="allocator_new"/>
    <s v="pool_none"/>
    <n v="4000"/>
    <n v="5"/>
    <n v="5"/>
    <n v="0"/>
    <n v="1"/>
    <n v="200000000"/>
    <n v="190"/>
    <n v="190"/>
    <n v="190"/>
    <n v="0"/>
    <s v="insertIfAbsent"/>
    <n v="9999422913561380"/>
    <n v="99996526"/>
    <n v="9999422913561380"/>
    <n v="99996526"/>
    <s v="success"/>
    <n v="7"/>
    <n v="12636149"/>
    <n v="113283829"/>
    <n v="125919978"/>
    <n v="99996526"/>
    <n v="9.9650599999999994"/>
    <n v="0.88270800000000005"/>
    <n v="1.79413"/>
    <n v="4.0331799999999998"/>
    <n v="2824143488"/>
    <s v="1 10002 344446 3952283 715032"/>
    <s v="1 10001 344425 3952275 715032"/>
    <n v="18066"/>
    <n v="3446"/>
    <m/>
    <m/>
    <n v="514620527"/>
    <n v="0"/>
    <n v="57192262"/>
    <n v="514620527"/>
    <n v="571812789"/>
    <n v="128655131"/>
    <n v="0"/>
    <n v="14298065"/>
    <n v="128655131"/>
    <n v="142953197"/>
    <n v="21.843399999999999"/>
    <n v="10.805400000000001"/>
    <n v="3294.17"/>
    <n v="2424.0300000000002"/>
    <n v="13824"/>
    <n v="1121"/>
    <x v="6"/>
    <x v="2"/>
  </r>
  <r>
    <s v="istree_exp5_numerical_stability_vs_time/step10480.txt"/>
    <x v="0"/>
    <n v="72"/>
    <s v="reclaimer_debra"/>
    <s v="allocator_new"/>
    <s v="pool_none"/>
    <n v="8000"/>
    <n v="5"/>
    <n v="5"/>
    <n v="0"/>
    <n v="1"/>
    <n v="200000000"/>
    <n v="190"/>
    <n v="190"/>
    <n v="190"/>
    <n v="0"/>
    <s v="insertIfAbsent"/>
    <n v="9999289369593590"/>
    <n v="99997038"/>
    <n v="9999289369593590"/>
    <n v="99997038"/>
    <s v="success"/>
    <n v="7"/>
    <n v="14218932"/>
    <n v="116617873"/>
    <n v="130836805"/>
    <n v="99997038"/>
    <n v="9.2015899999999995"/>
    <n v="0.85747600000000002"/>
    <n v="1.7642899999999999"/>
    <n v="4.0665100000000001"/>
    <n v="3006020656"/>
    <s v="3 19998 688737 8461073 1548666"/>
    <s v="2 19998 688704 8461053 1548665"/>
    <n v="33522"/>
    <n v="6484"/>
    <m/>
    <m/>
    <n v="1063764600"/>
    <n v="0"/>
    <n v="118178578"/>
    <n v="1063764600"/>
    <n v="1181943178"/>
    <n v="132970575"/>
    <n v="0"/>
    <n v="14772322"/>
    <n v="132970575"/>
    <n v="147742897"/>
    <n v="21.938500000000001"/>
    <n v="10.9399"/>
    <n v="3341.55"/>
    <n v="2485.4"/>
    <n v="14241"/>
    <n v="1182"/>
    <x v="6"/>
    <x v="3"/>
  </r>
  <r>
    <s v="istree_exp5_numerical_stability_vs_time/step10481.txt"/>
    <x v="0"/>
    <n v="72"/>
    <s v="reclaimer_debra"/>
    <s v="allocator_new"/>
    <s v="pool_none"/>
    <n v="16000"/>
    <n v="5"/>
    <n v="5"/>
    <n v="0"/>
    <n v="1"/>
    <n v="200000000"/>
    <n v="190"/>
    <n v="190"/>
    <n v="190"/>
    <n v="0"/>
    <s v="insertIfAbsent"/>
    <n v="9999811135456650"/>
    <n v="99997984"/>
    <n v="9999811135456650"/>
    <n v="99997984"/>
    <s v="success"/>
    <n v="7"/>
    <n v="14952092"/>
    <n v="118285441"/>
    <n v="133237533"/>
    <n v="99997984"/>
    <n v="8.9109599999999993"/>
    <n v="0.84539600000000004"/>
    <n v="1.7505200000000001"/>
    <n v="4.0821899999999998"/>
    <n v="3093014240"/>
    <s v="8 39993 1412196 17908741 3126048"/>
    <s v="4 39993 1412139 17908705 3126048"/>
    <n v="64918"/>
    <n v="11428"/>
    <m/>
    <m/>
    <n v="2093715428"/>
    <n v="0"/>
    <n v="232634829"/>
    <n v="2093715428"/>
    <n v="2326350257"/>
    <n v="130857214"/>
    <n v="0"/>
    <n v="14539676"/>
    <n v="130857214"/>
    <n v="145396891"/>
    <n v="22.051200000000001"/>
    <n v="11.0923"/>
    <n v="3391.63"/>
    <n v="2522.89"/>
    <n v="14251"/>
    <n v="1090"/>
    <x v="6"/>
    <x v="4"/>
  </r>
  <r>
    <s v="istree_exp5_numerical_stability_vs_time/step10482.txt"/>
    <x v="0"/>
    <n v="72"/>
    <s v="reclaimer_debra"/>
    <s v="allocator_new"/>
    <s v="pool_none"/>
    <n v="32000"/>
    <n v="5"/>
    <n v="5"/>
    <n v="0"/>
    <n v="1"/>
    <n v="200000000"/>
    <n v="190"/>
    <n v="190"/>
    <n v="190"/>
    <n v="0"/>
    <s v="insertIfAbsent"/>
    <n v="9999908822961820"/>
    <n v="99991969"/>
    <n v="9999908822961820"/>
    <n v="99991969"/>
    <s v="success"/>
    <n v="7"/>
    <n v="11010044"/>
    <n v="109992055"/>
    <n v="121002099"/>
    <n v="99991969"/>
    <n v="10.9902"/>
    <n v="0.909084"/>
    <n v="1.82637"/>
    <n v="4"/>
    <n v="2640676384"/>
    <s v="18 89993 3095710 34980359 5991764"/>
    <s v="9 89989 3095579 34980280 5991755"/>
    <n v="147243"/>
    <n v="20044"/>
    <m/>
    <m/>
    <n v="4049465934"/>
    <n v="0"/>
    <n v="449972638"/>
    <n v="4049465934"/>
    <n v="4499438572"/>
    <n v="126545810"/>
    <n v="0"/>
    <n v="14061644"/>
    <n v="126545810"/>
    <n v="140607455"/>
    <n v="22.388999999999999"/>
    <n v="11.384499999999999"/>
    <n v="3476.12"/>
    <n v="2596.17"/>
    <n v="14283"/>
    <n v="1143"/>
    <x v="6"/>
    <x v="5"/>
  </r>
  <r>
    <s v="istree_exp5_numerical_stability_vs_time/step10483.txt"/>
    <x v="0"/>
    <n v="72"/>
    <s v="reclaimer_debra"/>
    <s v="allocator_new"/>
    <s v="pool_none"/>
    <n v="64000"/>
    <n v="5"/>
    <n v="5"/>
    <n v="0"/>
    <n v="1"/>
    <n v="200000000"/>
    <n v="190"/>
    <n v="190"/>
    <n v="190"/>
    <n v="0"/>
    <s v="insertIfAbsent"/>
    <n v="9999730931978410"/>
    <n v="99993054"/>
    <n v="9999730931978410"/>
    <n v="99993054"/>
    <s v="success"/>
    <n v="7"/>
    <n v="14485754"/>
    <n v="117239480"/>
    <n v="131725234"/>
    <n v="99993054"/>
    <n v="9.0934299999999997"/>
    <n v="0.85289599999999999"/>
    <n v="1.7591000000000001"/>
    <n v="4.0701999999999998"/>
    <n v="3038525168"/>
    <s v="28 170228 6094558 69645860 11924721"/>
    <s v="17 170222 6094281 69645697 11924705"/>
    <n v="270992"/>
    <n v="36492"/>
    <m/>
    <m/>
    <n v="8032152467"/>
    <n v="0"/>
    <n v="892486480"/>
    <n v="8032152467"/>
    <n v="8924638947"/>
    <n v="125502382"/>
    <n v="0"/>
    <n v="13945101"/>
    <n v="125502382"/>
    <n v="139447483"/>
    <n v="22.281099999999999"/>
    <n v="11.3893"/>
    <n v="3480.12"/>
    <n v="2601.5300000000002"/>
    <n v="14294"/>
    <n v="1148"/>
    <x v="6"/>
    <x v="6"/>
  </r>
  <r>
    <s v="istree_exp5_numerical_stability_vs_time/step10484.txt"/>
    <x v="2"/>
    <n v="208"/>
    <s v="reclaimer_debra"/>
    <s v="allocator_new"/>
    <s v="pool_none"/>
    <n v="1000"/>
    <n v="5"/>
    <n v="5"/>
    <n v="0"/>
    <n v="1"/>
    <n v="200000000"/>
    <n v="190"/>
    <n v="190"/>
    <n v="190"/>
    <n v="0"/>
    <s v="insertIfAbsent"/>
    <n v="1.000022623447E+16"/>
    <n v="100002875"/>
    <n v="1.000022623447E+16"/>
    <n v="100002875"/>
    <s v="success"/>
    <n v="10"/>
    <n v="1910597"/>
    <n v="13144374"/>
    <n v="15054971"/>
    <n v="100002875"/>
    <n v="7.8797199999999998"/>
    <n v="7.6080399999999999"/>
    <n v="7.6425200000000002"/>
    <n v="9"/>
    <n v="3131433968"/>
    <m/>
    <m/>
    <m/>
    <s v="3192 4060"/>
    <m/>
    <m/>
    <n v="131008100"/>
    <n v="0"/>
    <n v="14558501"/>
    <n v="131008100"/>
    <n v="145566601"/>
    <n v="131008100"/>
    <n v="0"/>
    <n v="14558501"/>
    <n v="131008100"/>
    <n v="145566601"/>
    <n v="24.421900000000001"/>
    <n v="10.6991"/>
    <n v="3616.91"/>
    <n v="2601.6999999999998"/>
    <n v="5230"/>
    <n v="6127"/>
    <x v="6"/>
    <x v="0"/>
  </r>
  <r>
    <s v="istree_exp5_numerical_stability_vs_time/step10485.txt"/>
    <x v="2"/>
    <n v="208"/>
    <s v="reclaimer_debra"/>
    <s v="allocator_new"/>
    <s v="pool_none"/>
    <n v="2000"/>
    <n v="5"/>
    <n v="5"/>
    <n v="0"/>
    <n v="1"/>
    <n v="200000000"/>
    <n v="190"/>
    <n v="190"/>
    <n v="190"/>
    <n v="0"/>
    <s v="insertIfAbsent"/>
    <n v="9999627917830380"/>
    <n v="100000191"/>
    <n v="9999627917830380"/>
    <n v="100000191"/>
    <s v="success"/>
    <n v="10"/>
    <n v="1953410"/>
    <n v="13439563"/>
    <n v="15392973"/>
    <n v="100000191"/>
    <n v="7.8800499999999998"/>
    <n v="7.4407300000000003"/>
    <n v="7.49648"/>
    <n v="9"/>
    <n v="3201738384"/>
    <m/>
    <m/>
    <m/>
    <s v="3086 4940"/>
    <m/>
    <m/>
    <n v="263169521"/>
    <n v="0"/>
    <n v="29228403"/>
    <n v="263169521"/>
    <n v="292397924"/>
    <n v="131584760"/>
    <n v="0"/>
    <n v="14614201"/>
    <n v="131584760"/>
    <n v="146198962"/>
    <n v="24.398800000000001"/>
    <n v="10.729699999999999"/>
    <n v="3606.83"/>
    <n v="2599.27"/>
    <n v="5322"/>
    <n v="5985"/>
    <x v="6"/>
    <x v="1"/>
  </r>
  <r>
    <s v="istree_exp5_numerical_stability_vs_time/step10486.txt"/>
    <x v="2"/>
    <n v="208"/>
    <s v="reclaimer_debra"/>
    <s v="allocator_new"/>
    <s v="pool_none"/>
    <n v="4000"/>
    <n v="5"/>
    <n v="5"/>
    <n v="0"/>
    <n v="1"/>
    <n v="200000000"/>
    <n v="190"/>
    <n v="190"/>
    <n v="190"/>
    <n v="0"/>
    <s v="insertIfAbsent"/>
    <n v="1.00000701482587E+16"/>
    <n v="99999785"/>
    <n v="1.00000701482587E+16"/>
    <n v="99999785"/>
    <s v="success"/>
    <n v="10"/>
    <n v="2019220"/>
    <n v="13891320"/>
    <n v="15910540"/>
    <n v="99999785"/>
    <n v="7.8795500000000001"/>
    <n v="7.1987199999999998"/>
    <n v="7.2851299999999997"/>
    <n v="9"/>
    <n v="3309392320"/>
    <m/>
    <m/>
    <m/>
    <s v="3198 6650"/>
    <m/>
    <m/>
    <n v="527703044"/>
    <n v="0"/>
    <n v="58632505"/>
    <n v="527703044"/>
    <n v="586335549"/>
    <n v="131925761"/>
    <n v="0"/>
    <n v="14658126"/>
    <n v="131925761"/>
    <n v="146583887"/>
    <n v="24.459"/>
    <n v="10.7796"/>
    <n v="3600.48"/>
    <n v="2604.8000000000002"/>
    <n v="5470"/>
    <n v="5992"/>
    <x v="6"/>
    <x v="2"/>
  </r>
  <r>
    <s v="istree_exp5_numerical_stability_vs_time/step10487.txt"/>
    <x v="2"/>
    <n v="208"/>
    <s v="reclaimer_debra"/>
    <s v="allocator_new"/>
    <s v="pool_none"/>
    <n v="8000"/>
    <n v="5"/>
    <n v="5"/>
    <n v="0"/>
    <n v="1"/>
    <n v="200000000"/>
    <n v="190"/>
    <n v="190"/>
    <n v="190"/>
    <n v="0"/>
    <s v="insertIfAbsent"/>
    <n v="1.00004022967149E+16"/>
    <n v="100009046"/>
    <n v="1.00004022967149E+16"/>
    <n v="100009046"/>
    <s v="success"/>
    <n v="10"/>
    <n v="2113532"/>
    <n v="14540167"/>
    <n v="16653699"/>
    <n v="100009046"/>
    <n v="7.8795599999999997"/>
    <n v="6.87812"/>
    <n v="7.0052199999999996"/>
    <n v="9"/>
    <n v="3463969392"/>
    <m/>
    <m/>
    <m/>
    <s v="3082 10072"/>
    <m/>
    <m/>
    <n v="1044564957"/>
    <n v="0"/>
    <n v="116082290"/>
    <n v="1044564957"/>
    <n v="1160647247"/>
    <n v="130570619"/>
    <n v="0"/>
    <n v="14510286"/>
    <n v="130570619"/>
    <n v="145080905"/>
    <n v="24.546099999999999"/>
    <n v="10.8217"/>
    <n v="3637.04"/>
    <n v="2636.99"/>
    <n v="5644"/>
    <n v="6017"/>
    <x v="6"/>
    <x v="3"/>
  </r>
  <r>
    <s v="istree_exp5_numerical_stability_vs_time/step10488.txt"/>
    <x v="2"/>
    <n v="208"/>
    <s v="reclaimer_debra"/>
    <s v="allocator_new"/>
    <s v="pool_none"/>
    <n v="16000"/>
    <n v="5"/>
    <n v="5"/>
    <n v="0"/>
    <n v="1"/>
    <n v="200000000"/>
    <n v="190"/>
    <n v="190"/>
    <n v="190"/>
    <n v="0"/>
    <s v="insertIfAbsent"/>
    <n v="9999586643536080"/>
    <n v="99997222"/>
    <n v="9999586643536080"/>
    <n v="99997222"/>
    <s v="success"/>
    <n v="11"/>
    <n v="2244592"/>
    <n v="15442149"/>
    <n v="17686741"/>
    <n v="99997222"/>
    <n v="7.8797100000000002"/>
    <n v="6.4756"/>
    <n v="6.6538000000000004"/>
    <n v="10"/>
    <n v="3678842128"/>
    <m/>
    <m/>
    <m/>
    <s v="3006 16800"/>
    <m/>
    <m/>
    <n v="2074002396"/>
    <n v="0"/>
    <n v="230460018"/>
    <n v="2074002396"/>
    <n v="2304462414"/>
    <n v="129625149"/>
    <n v="0"/>
    <n v="14403751"/>
    <n v="129625149"/>
    <n v="144028900"/>
    <n v="24.656700000000001"/>
    <n v="10.939299999999999"/>
    <n v="3665.68"/>
    <n v="2673.39"/>
    <n v="5954"/>
    <n v="5994"/>
    <x v="6"/>
    <x v="4"/>
  </r>
  <r>
    <s v="istree_exp5_numerical_stability_vs_time/step10489.txt"/>
    <x v="2"/>
    <n v="208"/>
    <s v="reclaimer_debra"/>
    <s v="allocator_new"/>
    <s v="pool_none"/>
    <n v="32000"/>
    <n v="5"/>
    <n v="5"/>
    <n v="0"/>
    <n v="1"/>
    <n v="200000000"/>
    <n v="190"/>
    <n v="190"/>
    <n v="190"/>
    <n v="0"/>
    <s v="insertIfAbsent"/>
    <n v="9999862796046220"/>
    <n v="100001381"/>
    <n v="9999862796046220"/>
    <n v="100001381"/>
    <s v="success"/>
    <n v="11"/>
    <n v="2410941"/>
    <n v="16566824"/>
    <n v="18977765"/>
    <n v="100001381"/>
    <n v="7.8715200000000003"/>
    <n v="6.0362400000000003"/>
    <n v="6.2694000000000001"/>
    <n v="10"/>
    <n v="3947375120"/>
    <m/>
    <m/>
    <m/>
    <s v="2976 29918"/>
    <m/>
    <m/>
    <n v="4113027357"/>
    <n v="0"/>
    <n v="456994130"/>
    <n v="4113027357"/>
    <n v="4570021487"/>
    <n v="128532104"/>
    <n v="0"/>
    <n v="14281066"/>
    <n v="128532104"/>
    <n v="142813171"/>
    <n v="24.785"/>
    <n v="11.070499999999999"/>
    <n v="3699.19"/>
    <n v="2709.36"/>
    <n v="6334"/>
    <n v="6004"/>
    <x v="6"/>
    <x v="5"/>
  </r>
  <r>
    <s v="istree_exp5_numerical_stability_vs_time/step10490.txt"/>
    <x v="2"/>
    <n v="208"/>
    <s v="reclaimer_debra"/>
    <s v="allocator_new"/>
    <s v="pool_none"/>
    <n v="64000"/>
    <n v="5"/>
    <n v="5"/>
    <n v="0"/>
    <n v="1"/>
    <n v="200000000"/>
    <n v="190"/>
    <n v="190"/>
    <n v="190"/>
    <n v="0"/>
    <s v="insertIfAbsent"/>
    <n v="1.00013557080051E+16"/>
    <n v="100010385"/>
    <n v="1.00013557080051E+16"/>
    <n v="100010385"/>
    <s v="success"/>
    <n v="11"/>
    <n v="2595576"/>
    <n v="17785240"/>
    <n v="20380816"/>
    <n v="100010385"/>
    <n v="7.8521400000000003"/>
    <n v="5.6232199999999999"/>
    <n v="5.9070799999999997"/>
    <n v="10"/>
    <n v="4239209728"/>
    <m/>
    <m/>
    <m/>
    <s v="3242 55814"/>
    <m/>
    <m/>
    <n v="8100860036"/>
    <n v="0"/>
    <n v="900064992"/>
    <n v="8100860036"/>
    <n v="9000925028"/>
    <n v="126575938"/>
    <n v="0"/>
    <n v="14063515"/>
    <n v="126575938"/>
    <n v="140639453"/>
    <n v="24.9574"/>
    <n v="11.2593"/>
    <n v="3756.6"/>
    <n v="2762.95"/>
    <n v="6788"/>
    <n v="6029"/>
    <x v="6"/>
    <x v="6"/>
  </r>
  <r>
    <s v="istree_exp5_numerical_stability_vs_time/step10491.txt"/>
    <x v="1"/>
    <m/>
    <s v="reclaimer_debra"/>
    <s v="allocator_new"/>
    <s v="pool_none"/>
    <n v="1000"/>
    <n v="5"/>
    <n v="5"/>
    <n v="0"/>
    <n v="1"/>
    <n v="200000000"/>
    <n v="190"/>
    <n v="190"/>
    <n v="190"/>
    <n v="0"/>
    <s v="insertIfAbsent"/>
    <n v="9999627641232440"/>
    <n v="99999297"/>
    <n v="9999627641232440"/>
    <n v="99999297"/>
    <s v="success"/>
    <n v="33"/>
    <n v="57526233"/>
    <n v="43177796"/>
    <n v="100704029"/>
    <n v="99999297"/>
    <n v="1.75058"/>
    <n v="2.3159900000000002"/>
    <n v="1.9930000000000001"/>
    <n v="26.0761"/>
    <n v="5639425624"/>
    <m/>
    <m/>
    <m/>
    <s v="776 1350"/>
    <m/>
    <m/>
    <n v="60324348"/>
    <n v="0"/>
    <n v="6702972"/>
    <n v="60324348"/>
    <n v="67027320"/>
    <n v="60324348"/>
    <n v="0"/>
    <n v="6702972"/>
    <n v="60324348"/>
    <n v="67027320"/>
    <n v="42.247300000000003"/>
    <n v="19.4069"/>
    <n v="7886.2"/>
    <n v="6344.6"/>
    <n v="7623"/>
    <n v="2773"/>
    <x v="6"/>
    <x v="0"/>
  </r>
  <r>
    <s v="istree_exp5_numerical_stability_vs_time/step10492.txt"/>
    <x v="1"/>
    <m/>
    <s v="reclaimer_debra"/>
    <s v="allocator_new"/>
    <s v="pool_none"/>
    <n v="2000"/>
    <n v="5"/>
    <n v="5"/>
    <n v="0"/>
    <n v="1"/>
    <n v="200000000"/>
    <n v="190"/>
    <n v="190"/>
    <n v="190"/>
    <n v="0"/>
    <s v="insertIfAbsent"/>
    <n v="1.00003675990701E+16"/>
    <n v="100000951"/>
    <n v="1.00003675990701E+16"/>
    <n v="100000951"/>
    <s v="success"/>
    <n v="33"/>
    <n v="57908589"/>
    <n v="43491103"/>
    <n v="101399692"/>
    <n v="100000951"/>
    <n v="1.7510300000000001"/>
    <n v="2.2993399999999999"/>
    <n v="1.98621"/>
    <n v="26.1509"/>
    <n v="5678382752"/>
    <m/>
    <m/>
    <m/>
    <s v="778 1740"/>
    <m/>
    <m/>
    <n v="122013721"/>
    <n v="0"/>
    <n v="13561254"/>
    <n v="122013721"/>
    <n v="135574975"/>
    <n v="61006860"/>
    <n v="0"/>
    <n v="6780627"/>
    <n v="61006860"/>
    <n v="67787487"/>
    <n v="41.726199999999999"/>
    <n v="19.558800000000002"/>
    <n v="7802.92"/>
    <n v="6317.26"/>
    <n v="7668"/>
    <n v="2785"/>
    <x v="6"/>
    <x v="1"/>
  </r>
  <r>
    <s v="istree_exp5_numerical_stability_vs_time/step10493.txt"/>
    <x v="1"/>
    <m/>
    <s v="reclaimer_debra"/>
    <s v="allocator_new"/>
    <s v="pool_none"/>
    <n v="4000"/>
    <n v="5"/>
    <n v="5"/>
    <n v="0"/>
    <n v="1"/>
    <n v="200000000"/>
    <n v="190"/>
    <n v="190"/>
    <n v="190"/>
    <n v="0"/>
    <s v="insertIfAbsent"/>
    <n v="9999812670191800"/>
    <n v="100003282"/>
    <n v="9999812670191800"/>
    <n v="100003282"/>
    <s v="success"/>
    <n v="33"/>
    <n v="58613409"/>
    <n v="44077302"/>
    <n v="102690711"/>
    <n v="100003282"/>
    <n v="1.752"/>
    <n v="2.2688199999999998"/>
    <n v="1.97383"/>
    <n v="26.173999999999999"/>
    <n v="5750679816"/>
    <m/>
    <m/>
    <m/>
    <s v="778 2522"/>
    <m/>
    <m/>
    <n v="242799611"/>
    <n v="0"/>
    <n v="26981972"/>
    <n v="242799611"/>
    <n v="269781583"/>
    <n v="60699902"/>
    <n v="0"/>
    <n v="6745493"/>
    <n v="60699902"/>
    <n v="67445395"/>
    <n v="41.5244"/>
    <n v="19.718399999999999"/>
    <n v="7842.16"/>
    <n v="6288.67"/>
    <n v="7752"/>
    <n v="2765"/>
    <x v="6"/>
    <x v="2"/>
  </r>
  <r>
    <s v="istree_exp5_numerical_stability_vs_time/step10494.txt"/>
    <x v="1"/>
    <m/>
    <s v="reclaimer_debra"/>
    <s v="allocator_new"/>
    <s v="pool_none"/>
    <n v="8000"/>
    <n v="5"/>
    <n v="5"/>
    <n v="0"/>
    <n v="1"/>
    <n v="200000000"/>
    <n v="190"/>
    <n v="190"/>
    <n v="190"/>
    <n v="0"/>
    <s v="insertIfAbsent"/>
    <n v="1.00011700478901E+16"/>
    <n v="100012100"/>
    <n v="1.00011700478901E+16"/>
    <n v="100012100"/>
    <s v="success"/>
    <n v="33"/>
    <n v="59908933"/>
    <n v="45129743"/>
    <n v="105038676"/>
    <n v="100012100"/>
    <n v="1.7533099999999999"/>
    <n v="2.2161"/>
    <n v="1.9521500000000001"/>
    <n v="26.224699999999999"/>
    <n v="5882165856"/>
    <m/>
    <m/>
    <m/>
    <s v="778 4088"/>
    <m/>
    <m/>
    <n v="487905218"/>
    <n v="0"/>
    <n v="54214813"/>
    <n v="487905218"/>
    <n v="542120031"/>
    <n v="60988152"/>
    <n v="0"/>
    <n v="6776851"/>
    <n v="60988152"/>
    <n v="67765003"/>
    <n v="41.509"/>
    <n v="19.883299999999998"/>
    <n v="7804.86"/>
    <n v="6261.96"/>
    <n v="7902"/>
    <n v="2746"/>
    <x v="6"/>
    <x v="3"/>
  </r>
  <r>
    <s v="istree_exp5_numerical_stability_vs_time/step10495.txt"/>
    <x v="1"/>
    <m/>
    <s v="reclaimer_debra"/>
    <s v="allocator_new"/>
    <s v="pool_none"/>
    <n v="16000"/>
    <n v="5"/>
    <n v="5"/>
    <n v="0"/>
    <n v="1"/>
    <n v="200000000"/>
    <n v="190"/>
    <n v="190"/>
    <n v="190"/>
    <n v="0"/>
    <s v="insertIfAbsent"/>
    <n v="9998956856253460"/>
    <n v="99990560"/>
    <n v="9998956856253460"/>
    <n v="99990560"/>
    <s v="success"/>
    <n v="33"/>
    <n v="61998607"/>
    <n v="46812017"/>
    <n v="108810624"/>
    <n v="99990560"/>
    <n v="1.75505"/>
    <n v="2.1360000000000001"/>
    <n v="1.9189400000000001"/>
    <n v="26.360700000000001"/>
    <n v="6093394944"/>
    <m/>
    <m/>
    <m/>
    <s v="778 7214"/>
    <m/>
    <m/>
    <n v="979662812"/>
    <n v="0"/>
    <n v="108855178"/>
    <n v="979662812"/>
    <n v="1088517990"/>
    <n v="61228925"/>
    <n v="0"/>
    <n v="6803448"/>
    <n v="61228925"/>
    <n v="68032374"/>
    <n v="41.7498"/>
    <n v="20.050699999999999"/>
    <n v="7775.1"/>
    <n v="6279.29"/>
    <n v="8147"/>
    <n v="2756"/>
    <x v="6"/>
    <x v="4"/>
  </r>
  <r>
    <s v="istree_exp5_numerical_stability_vs_time/step10496.txt"/>
    <x v="1"/>
    <m/>
    <s v="reclaimer_debra"/>
    <s v="allocator_new"/>
    <s v="pool_none"/>
    <n v="32000"/>
    <n v="5"/>
    <n v="5"/>
    <n v="0"/>
    <n v="1"/>
    <n v="200000000"/>
    <n v="190"/>
    <n v="190"/>
    <n v="190"/>
    <n v="0"/>
    <s v="insertIfAbsent"/>
    <n v="1.0000260871133E+16"/>
    <n v="99999268"/>
    <n v="1.0000260871133E+16"/>
    <n v="99999268"/>
    <s v="success"/>
    <n v="33"/>
    <n v="64784560"/>
    <n v="49011039"/>
    <n v="113795599"/>
    <n v="99999268"/>
    <n v="1.7565200000000001"/>
    <n v="2.04034"/>
    <n v="1.87876"/>
    <n v="26.445499999999999"/>
    <n v="6372553544"/>
    <m/>
    <m/>
    <m/>
    <s v="778 13436"/>
    <m/>
    <m/>
    <n v="1952988491"/>
    <n v="0"/>
    <n v="217003044"/>
    <n v="1952988491"/>
    <n v="2169991535"/>
    <n v="61030890"/>
    <n v="0"/>
    <n v="6781345"/>
    <n v="61030890"/>
    <n v="67812235"/>
    <n v="41.819600000000001"/>
    <n v="20.203299999999999"/>
    <n v="7800.65"/>
    <n v="6299.31"/>
    <n v="8470"/>
    <n v="2743"/>
    <x v="6"/>
    <x v="5"/>
  </r>
  <r>
    <s v="istree_exp5_numerical_stability_vs_time/step10497.txt"/>
    <x v="1"/>
    <m/>
    <s v="reclaimer_debra"/>
    <s v="allocator_new"/>
    <s v="pool_none"/>
    <n v="64000"/>
    <n v="5"/>
    <n v="5"/>
    <n v="0"/>
    <n v="1"/>
    <n v="200000000"/>
    <n v="190"/>
    <n v="190"/>
    <n v="190"/>
    <n v="0"/>
    <s v="insertIfAbsent"/>
    <n v="1.00002124101464E+16"/>
    <n v="100001546"/>
    <n v="1.00002124101464E+16"/>
    <n v="100001546"/>
    <s v="success"/>
    <n v="33"/>
    <n v="67266640"/>
    <n v="50971633"/>
    <n v="118238273"/>
    <n v="100001546"/>
    <n v="1.75776"/>
    <n v="1.96191"/>
    <n v="1.8457600000000001"/>
    <n v="26.633800000000001"/>
    <n v="6621343288"/>
    <m/>
    <m/>
    <m/>
    <s v="778 25740"/>
    <m/>
    <m/>
    <n v="3854251236"/>
    <n v="0"/>
    <n v="428240991"/>
    <n v="3854251236"/>
    <n v="4282492227"/>
    <n v="60222675"/>
    <n v="0"/>
    <n v="6691265"/>
    <n v="60222675"/>
    <n v="66913941"/>
    <n v="41.758299999999998"/>
    <n v="20.390899999999998"/>
    <n v="7905.31"/>
    <n v="6323.08"/>
    <n v="8757"/>
    <n v="2750"/>
    <x v="6"/>
    <x v="6"/>
  </r>
  <r>
    <s v="istree_exp5_numerical_stability_vs_time/step10498.txt"/>
    <x v="3"/>
    <m/>
    <s v="reclaimer_debra"/>
    <s v="allocator_new"/>
    <s v="pool_none"/>
    <n v="1000"/>
    <n v="5"/>
    <n v="5"/>
    <n v="0"/>
    <n v="1"/>
    <n v="200000000"/>
    <n v="190"/>
    <n v="190"/>
    <n v="190"/>
    <n v="0"/>
    <s v="insertIfAbsent"/>
    <n v="9999826888805500"/>
    <n v="100000734"/>
    <n v="9999826888805500"/>
    <n v="100000734"/>
    <s v="success"/>
    <n v="68"/>
    <n v="100000733"/>
    <n v="100000734"/>
    <n v="200001467"/>
    <n v="100000734"/>
    <n v="2"/>
    <n v="1"/>
    <n v="1.5"/>
    <n v="35.5503"/>
    <n v="6400046944"/>
    <m/>
    <m/>
    <m/>
    <s v="748 1268"/>
    <m/>
    <m/>
    <n v="52021224"/>
    <n v="0"/>
    <n v="5781932"/>
    <n v="52021224"/>
    <n v="57803156"/>
    <n v="52021224"/>
    <n v="0"/>
    <n v="5781932"/>
    <n v="52021224"/>
    <n v="57803156"/>
    <n v="38.367400000000004"/>
    <n v="18.9619"/>
    <n v="9152.98"/>
    <n v="7974.7"/>
    <n v="7580"/>
    <n v="2841"/>
    <x v="6"/>
    <x v="0"/>
  </r>
  <r>
    <s v="istree_exp5_numerical_stability_vs_time/step10499.txt"/>
    <x v="3"/>
    <m/>
    <s v="reclaimer_debra"/>
    <s v="allocator_new"/>
    <s v="pool_none"/>
    <n v="2000"/>
    <n v="5"/>
    <n v="5"/>
    <n v="0"/>
    <n v="1"/>
    <n v="200000000"/>
    <n v="190"/>
    <n v="190"/>
    <n v="190"/>
    <n v="0"/>
    <s v="insertIfAbsent"/>
    <n v="9999796667923720"/>
    <n v="99998766"/>
    <n v="9999796667923720"/>
    <n v="99998766"/>
    <s v="success"/>
    <n v="70"/>
    <n v="99998765"/>
    <n v="99998766"/>
    <n v="199997531"/>
    <n v="99998766"/>
    <n v="2"/>
    <n v="1"/>
    <n v="1.5"/>
    <n v="36.370899999999999"/>
    <n v="6399920992"/>
    <m/>
    <m/>
    <m/>
    <s v="734 1598"/>
    <m/>
    <m/>
    <n v="103958406"/>
    <n v="0"/>
    <n v="11546365"/>
    <n v="103958406"/>
    <n v="115504771"/>
    <n v="51979203"/>
    <n v="0"/>
    <n v="5773182"/>
    <n v="51979203"/>
    <n v="57752385"/>
    <n v="38.527099999999997"/>
    <n v="19.035699999999999"/>
    <n v="9161.11"/>
    <n v="7980.03"/>
    <n v="7582"/>
    <n v="2844"/>
    <x v="6"/>
    <x v="1"/>
  </r>
  <r>
    <s v="istree_exp5_numerical_stability_vs_time/step10500.txt"/>
    <x v="3"/>
    <m/>
    <s v="reclaimer_debra"/>
    <s v="allocator_new"/>
    <s v="pool_none"/>
    <n v="4000"/>
    <n v="5"/>
    <n v="5"/>
    <n v="0"/>
    <n v="1"/>
    <n v="200000000"/>
    <n v="190"/>
    <n v="190"/>
    <n v="190"/>
    <n v="0"/>
    <s v="insertIfAbsent"/>
    <n v="1.00005639240605E+16"/>
    <n v="100001792"/>
    <n v="1.00005639240605E+16"/>
    <n v="100001792"/>
    <s v="success"/>
    <n v="69"/>
    <n v="100001791"/>
    <n v="100001792"/>
    <n v="200003583"/>
    <n v="100001792"/>
    <n v="2"/>
    <n v="1"/>
    <n v="1.5"/>
    <n v="36.028500000000001"/>
    <n v="6400114656"/>
    <m/>
    <m/>
    <m/>
    <s v="734 2252"/>
    <m/>
    <m/>
    <n v="207766824"/>
    <n v="0"/>
    <n v="23082422"/>
    <n v="207766824"/>
    <n v="230849246"/>
    <n v="51941706"/>
    <n v="0"/>
    <n v="5770605"/>
    <n v="51941706"/>
    <n v="57712311"/>
    <n v="38.599699999999999"/>
    <n v="19.142600000000002"/>
    <n v="9168.2800000000007"/>
    <n v="7980.19"/>
    <n v="7588"/>
    <n v="2849"/>
    <x v="6"/>
    <x v="2"/>
  </r>
  <r>
    <s v="istree_exp5_numerical_stability_vs_time/step10501.txt"/>
    <x v="3"/>
    <m/>
    <s v="reclaimer_debra"/>
    <s v="allocator_new"/>
    <s v="pool_none"/>
    <n v="8000"/>
    <n v="5"/>
    <n v="5"/>
    <n v="0"/>
    <n v="1"/>
    <n v="200000000"/>
    <n v="190"/>
    <n v="190"/>
    <n v="190"/>
    <n v="0"/>
    <s v="insertIfAbsent"/>
    <n v="1.00003959461406E+16"/>
    <n v="100002833"/>
    <n v="1.00003959461406E+16"/>
    <n v="100002833"/>
    <s v="success"/>
    <n v="66"/>
    <n v="100002832"/>
    <n v="100002833"/>
    <n v="200005665"/>
    <n v="100002833"/>
    <n v="2"/>
    <n v="1"/>
    <n v="1.5"/>
    <n v="35.517600000000002"/>
    <n v="6400181280"/>
    <m/>
    <m/>
    <m/>
    <s v="738 3578"/>
    <m/>
    <m/>
    <n v="417218831"/>
    <n v="0"/>
    <n v="46359998"/>
    <n v="417218831"/>
    <n v="463578829"/>
    <n v="52152353"/>
    <n v="0"/>
    <n v="5794999"/>
    <n v="52152353"/>
    <n v="57947353"/>
    <n v="38.667499999999997"/>
    <n v="19.253499999999999"/>
    <n v="9131.5"/>
    <n v="7947.18"/>
    <n v="7597"/>
    <n v="2833"/>
    <x v="6"/>
    <x v="3"/>
  </r>
  <r>
    <s v="istree_exp5_numerical_stability_vs_time/step10502.txt"/>
    <x v="3"/>
    <m/>
    <s v="reclaimer_debra"/>
    <s v="allocator_new"/>
    <s v="pool_none"/>
    <n v="16000"/>
    <n v="5"/>
    <n v="5"/>
    <n v="0"/>
    <n v="1"/>
    <n v="200000000"/>
    <n v="190"/>
    <n v="190"/>
    <n v="190"/>
    <n v="0"/>
    <s v="insertIfAbsent"/>
    <n v="9999644799844130"/>
    <n v="99997612"/>
    <n v="9999644799844130"/>
    <n v="99997612"/>
    <s v="success"/>
    <n v="72"/>
    <n v="99997611"/>
    <n v="99997612"/>
    <n v="199995223"/>
    <n v="99997612"/>
    <n v="2"/>
    <n v="1"/>
    <n v="1.5"/>
    <n v="36.438899999999997"/>
    <n v="6399847136"/>
    <m/>
    <m/>
    <m/>
    <s v="734 6218"/>
    <m/>
    <m/>
    <n v="834528177"/>
    <n v="0"/>
    <n v="92726127"/>
    <n v="834528177"/>
    <n v="927254304"/>
    <n v="52158011"/>
    <n v="0"/>
    <n v="5795382"/>
    <n v="52158011"/>
    <n v="57953394"/>
    <n v="38.815199999999997"/>
    <n v="19.451499999999999"/>
    <n v="9130.65"/>
    <n v="7942.99"/>
    <n v="7616"/>
    <n v="2828"/>
    <x v="6"/>
    <x v="4"/>
  </r>
  <r>
    <s v="istree_exp5_numerical_stability_vs_time/step10503.txt"/>
    <x v="3"/>
    <m/>
    <s v="reclaimer_debra"/>
    <s v="allocator_new"/>
    <s v="pool_none"/>
    <n v="32000"/>
    <n v="5"/>
    <n v="5"/>
    <n v="0"/>
    <n v="1"/>
    <n v="200000000"/>
    <n v="190"/>
    <n v="190"/>
    <n v="190"/>
    <n v="0"/>
    <s v="insertIfAbsent"/>
    <n v="9999495024811690"/>
    <n v="99996938"/>
    <n v="9999495024811690"/>
    <n v="99996938"/>
    <s v="success"/>
    <n v="72"/>
    <n v="99996937"/>
    <n v="99996938"/>
    <n v="199993875"/>
    <n v="99996938"/>
    <n v="2"/>
    <n v="1"/>
    <n v="1.5"/>
    <n v="35.616399999999999"/>
    <n v="6399804000"/>
    <m/>
    <m/>
    <m/>
    <s v="736 11466"/>
    <m/>
    <m/>
    <n v="1665186096"/>
    <n v="0"/>
    <n v="185012451"/>
    <n v="1665186096"/>
    <n v="1850198547"/>
    <n v="52037065"/>
    <n v="0"/>
    <n v="5781639"/>
    <n v="52037065"/>
    <n v="57818704"/>
    <n v="38.930599999999998"/>
    <n v="19.668700000000001"/>
    <n v="9150.76"/>
    <n v="7958.93"/>
    <n v="7660"/>
    <n v="2852"/>
    <x v="6"/>
    <x v="5"/>
  </r>
  <r>
    <s v="istree_exp5_numerical_stability_vs_time/step10504.txt"/>
    <x v="3"/>
    <m/>
    <s v="reclaimer_debra"/>
    <s v="allocator_new"/>
    <s v="pool_none"/>
    <n v="64000"/>
    <n v="5"/>
    <n v="5"/>
    <n v="0"/>
    <n v="1"/>
    <n v="200000000"/>
    <n v="190"/>
    <n v="190"/>
    <n v="190"/>
    <n v="0"/>
    <s v="insertIfAbsent"/>
    <n v="1.00010868224992E+16"/>
    <n v="100007724"/>
    <n v="1.00010868224992E+16"/>
    <n v="100007724"/>
    <s v="success"/>
    <n v="66"/>
    <n v="100007723"/>
    <n v="100007724"/>
    <n v="200015447"/>
    <n v="100007724"/>
    <n v="2"/>
    <n v="1"/>
    <n v="1.5"/>
    <n v="35.397500000000001"/>
    <n v="6400494304"/>
    <m/>
    <m/>
    <m/>
    <s v="728 21952"/>
    <m/>
    <m/>
    <n v="3324815068"/>
    <n v="0"/>
    <n v="369455394"/>
    <n v="3324815068"/>
    <n v="3694270462"/>
    <n v="51950235"/>
    <n v="0"/>
    <n v="5772740"/>
    <n v="51950235"/>
    <n v="57722975"/>
    <n v="39.1096"/>
    <n v="19.858699999999999"/>
    <n v="9166.7800000000007"/>
    <n v="7985.05"/>
    <n v="7744"/>
    <n v="2830"/>
    <x v="6"/>
    <x v="6"/>
  </r>
  <r>
    <s v="istree_exp5_numerical_stability_vs_time/step10505.txt"/>
    <x v="0"/>
    <n v="72"/>
    <s v="reclaimer_debra"/>
    <s v="allocator_new"/>
    <s v="pool_none"/>
    <n v="1000"/>
    <n v="0.5"/>
    <n v="0.5"/>
    <n v="0"/>
    <n v="1"/>
    <n v="2000000"/>
    <n v="190"/>
    <n v="190"/>
    <n v="190"/>
    <n v="0"/>
    <s v="insertIfAbsent"/>
    <n v="999661881664"/>
    <n v="999599"/>
    <n v="999661881664"/>
    <n v="999599"/>
    <s v="success"/>
    <n v="6"/>
    <n v="40273"/>
    <n v="1046196"/>
    <n v="1086469"/>
    <n v="999599"/>
    <n v="26.977599999999999"/>
    <n v="0.955461"/>
    <n v="1.92004"/>
    <n v="3.01471"/>
    <n v="19962512"/>
    <s v="8 18778 9177 75411"/>
    <s v="8 18759 9169 75410"/>
    <n v="14705"/>
    <n v="2748"/>
    <m/>
    <m/>
    <n v="397488979"/>
    <n v="0"/>
    <n v="4017552"/>
    <n v="397488979"/>
    <n v="401506531"/>
    <n v="397488979"/>
    <n v="0"/>
    <n v="4017552"/>
    <n v="397488979"/>
    <n v="401506531"/>
    <n v="8.8558699999999995"/>
    <n v="0.41899799999999998"/>
    <n v="1301.43"/>
    <n v="568.27300000000002"/>
    <n v="1344"/>
    <n v="330"/>
    <x v="7"/>
    <x v="0"/>
  </r>
  <r>
    <s v="istree_exp5_numerical_stability_vs_time/step10506.txt"/>
    <x v="0"/>
    <n v="72"/>
    <s v="reclaimer_debra"/>
    <s v="allocator_new"/>
    <s v="pool_none"/>
    <n v="2000"/>
    <n v="0.5"/>
    <n v="0.5"/>
    <n v="0"/>
    <n v="1"/>
    <n v="2000000"/>
    <n v="190"/>
    <n v="190"/>
    <n v="190"/>
    <n v="0"/>
    <s v="insertIfAbsent"/>
    <n v="999799827795"/>
    <n v="999917"/>
    <n v="999799827795"/>
    <n v="999917"/>
    <s v="success"/>
    <n v="6"/>
    <n v="51112"/>
    <n v="1068553"/>
    <n v="1119665"/>
    <n v="999917"/>
    <n v="21.906099999999999"/>
    <n v="0.93576700000000002"/>
    <n v="1.8930499999999999"/>
    <n v="3.0372599999999998"/>
    <n v="21196832"/>
    <s v="17 37594 18131 151067"/>
    <s v="16 37554 18120 151065"/>
    <n v="25414"/>
    <n v="5488"/>
    <m/>
    <m/>
    <n v="798644011"/>
    <n v="0"/>
    <n v="8068937"/>
    <n v="798644011"/>
    <n v="806712948"/>
    <n v="399322005"/>
    <n v="0"/>
    <n v="4034468"/>
    <n v="399322005"/>
    <n v="403356474"/>
    <n v="8.7922100000000007"/>
    <n v="0.41811500000000001"/>
    <n v="1307.1500000000001"/>
    <n v="571.19000000000005"/>
    <n v="1364"/>
    <n v="321"/>
    <x v="7"/>
    <x v="1"/>
  </r>
  <r>
    <s v="istree_exp5_numerical_stability_vs_time/step10507.txt"/>
    <x v="0"/>
    <n v="72"/>
    <s v="reclaimer_debra"/>
    <s v="allocator_new"/>
    <s v="pool_none"/>
    <n v="4000"/>
    <n v="0.5"/>
    <n v="0.5"/>
    <n v="0"/>
    <n v="1"/>
    <n v="2000000"/>
    <n v="190"/>
    <n v="190"/>
    <n v="190"/>
    <n v="0"/>
    <s v="insertIfAbsent"/>
    <n v="999504085673"/>
    <n v="999305"/>
    <n v="999504085673"/>
    <n v="999305"/>
    <s v="success"/>
    <n v="6"/>
    <n v="54338"/>
    <n v="1074495"/>
    <n v="1128833"/>
    <n v="999305"/>
    <n v="20.7743"/>
    <n v="0.93002300000000004"/>
    <n v="1.8852500000000001"/>
    <n v="3.0445799999999998"/>
    <n v="21559952"/>
    <s v="34 75014 36587 300158"/>
    <s v="31 74952 36563 300156"/>
    <n v="43368"/>
    <n v="10846"/>
    <m/>
    <m/>
    <n v="1581195200"/>
    <n v="0"/>
    <n v="15973926"/>
    <n v="1581195200"/>
    <n v="1597169126"/>
    <n v="395298800"/>
    <n v="0"/>
    <n v="3993481"/>
    <n v="395298800"/>
    <n v="399292281"/>
    <n v="8.8061399999999992"/>
    <n v="0.41824699999999998"/>
    <n v="1317.65"/>
    <n v="588.30999999999995"/>
    <n v="1394"/>
    <n v="290"/>
    <x v="7"/>
    <x v="2"/>
  </r>
  <r>
    <s v="istree_exp5_numerical_stability_vs_time/step10508.txt"/>
    <x v="0"/>
    <n v="72"/>
    <s v="reclaimer_debra"/>
    <s v="allocator_new"/>
    <s v="pool_none"/>
    <n v="8000"/>
    <n v="0.5"/>
    <n v="0.5"/>
    <n v="0"/>
    <n v="1"/>
    <n v="2000000"/>
    <n v="190"/>
    <n v="190"/>
    <n v="190"/>
    <n v="0"/>
    <s v="insertIfAbsent"/>
    <n v="1000571962450"/>
    <n v="1000960"/>
    <n v="1000571962450"/>
    <n v="1000960"/>
    <s v="success"/>
    <n v="6"/>
    <n v="54318"/>
    <n v="1076101"/>
    <n v="1130419"/>
    <n v="1000960"/>
    <n v="20.8111"/>
    <n v="0.93017300000000003"/>
    <n v="1.88548"/>
    <n v="3.0444499999999999"/>
    <n v="21583568"/>
    <s v="71 147806 71725 590471"/>
    <s v="62 147704 71682 590467"/>
    <n v="77619"/>
    <n v="21428"/>
    <m/>
    <m/>
    <n v="3115141769"/>
    <n v="0"/>
    <n v="31465978"/>
    <n v="3115141769"/>
    <n v="3146607747"/>
    <n v="389392721"/>
    <n v="0"/>
    <n v="3933247"/>
    <n v="389392721"/>
    <n v="393325968"/>
    <n v="8.7916500000000006"/>
    <n v="0.42322500000000002"/>
    <n v="1336.43"/>
    <n v="606.30999999999995"/>
    <n v="1412"/>
    <n v="285"/>
    <x v="7"/>
    <x v="3"/>
  </r>
  <r>
    <s v="istree_exp5_numerical_stability_vs_time/step10509.txt"/>
    <x v="0"/>
    <n v="72"/>
    <s v="reclaimer_debra"/>
    <s v="allocator_new"/>
    <s v="pool_none"/>
    <n v="16000"/>
    <n v="0.5"/>
    <n v="0.5"/>
    <n v="0"/>
    <n v="1"/>
    <n v="2000000"/>
    <n v="190"/>
    <n v="190"/>
    <n v="190"/>
    <n v="0"/>
    <s v="insertIfAbsent"/>
    <n v="999915329056"/>
    <n v="999733"/>
    <n v="999915329056"/>
    <n v="999733"/>
    <s v="success"/>
    <n v="6"/>
    <n v="52768"/>
    <n v="1071817"/>
    <n v="1124585"/>
    <n v="999733"/>
    <n v="21.311900000000001"/>
    <n v="0.93274599999999996"/>
    <n v="1.8889800000000001"/>
    <n v="3.0408499999999998"/>
    <n v="21384464"/>
    <s v="147 293259 142733 1172246"/>
    <s v="125 293022 142648 1172230"/>
    <n v="148837"/>
    <n v="42930"/>
    <m/>
    <m/>
    <n v="6187514264"/>
    <n v="0"/>
    <n v="62511254"/>
    <n v="6187514264"/>
    <n v="6250025518"/>
    <n v="386719641"/>
    <n v="0"/>
    <n v="3906953"/>
    <n v="386719641"/>
    <n v="390626594"/>
    <n v="8.7867499999999996"/>
    <n v="0.422124"/>
    <n v="1343.4"/>
    <n v="604.67600000000004"/>
    <n v="1410"/>
    <n v="268"/>
    <x v="7"/>
    <x v="4"/>
  </r>
  <r>
    <s v="istree_exp5_numerical_stability_vs_time/step10510.txt"/>
    <x v="0"/>
    <n v="72"/>
    <s v="reclaimer_debra"/>
    <s v="allocator_new"/>
    <s v="pool_none"/>
    <n v="32000"/>
    <n v="0.5"/>
    <n v="0.5"/>
    <n v="0"/>
    <n v="1"/>
    <n v="2000000"/>
    <n v="190"/>
    <n v="190"/>
    <n v="190"/>
    <n v="0"/>
    <s v="insertIfAbsent"/>
    <n v="1000381266125"/>
    <n v="1000200"/>
    <n v="1000381266125"/>
    <n v="1000200"/>
    <s v="success"/>
    <n v="6"/>
    <n v="44347"/>
    <n v="1055138"/>
    <n v="1099485"/>
    <n v="1000200"/>
    <n v="24.7928"/>
    <n v="0.94793300000000003"/>
    <n v="1.9097"/>
    <n v="3.0230399999999999"/>
    <n v="20434336"/>
    <s v="272 584332 283439 2333167"/>
    <s v="249 583839 283294 2333131"/>
    <n v="283897"/>
    <n v="85220"/>
    <m/>
    <m/>
    <n v="12313861898"/>
    <n v="0"/>
    <n v="124391680"/>
    <n v="12313861898"/>
    <n v="12438253578"/>
    <n v="384808184"/>
    <n v="0"/>
    <n v="3887240"/>
    <n v="384808184"/>
    <n v="388695424"/>
    <n v="8.8083299999999998"/>
    <n v="0.42083700000000002"/>
    <n v="1350.07"/>
    <n v="611.94100000000003"/>
    <n v="1420"/>
    <n v="275"/>
    <x v="7"/>
    <x v="5"/>
  </r>
  <r>
    <s v="istree_exp5_numerical_stability_vs_time/step10511.txt"/>
    <x v="0"/>
    <n v="72"/>
    <s v="reclaimer_debra"/>
    <s v="allocator_new"/>
    <s v="pool_none"/>
    <n v="64000"/>
    <n v="0.5"/>
    <n v="0.5"/>
    <n v="0"/>
    <n v="1"/>
    <n v="2000000"/>
    <n v="190"/>
    <n v="190"/>
    <n v="190"/>
    <n v="0"/>
    <s v="insertIfAbsent"/>
    <n v="999256644425"/>
    <n v="999460"/>
    <n v="999256644425"/>
    <n v="999460"/>
    <s v="success"/>
    <n v="6"/>
    <n v="55871"/>
    <n v="1077504"/>
    <n v="1133375"/>
    <n v="999460"/>
    <n v="20.285599999999999"/>
    <n v="0.92757000000000001"/>
    <n v="1.88184"/>
    <n v="3.0478499999999999"/>
    <n v="21732128"/>
    <s v="551 1172696 567379 4685368"/>
    <s v="499 1171728 567061 4685307"/>
    <n v="557933"/>
    <n v="170240"/>
    <m/>
    <m/>
    <n v="24708661954"/>
    <n v="0"/>
    <n v="249585476"/>
    <n v="24708661954"/>
    <n v="24958247430"/>
    <n v="386072843"/>
    <n v="0"/>
    <n v="3899773"/>
    <n v="386072843"/>
    <n v="389972616"/>
    <n v="8.7683700000000009"/>
    <n v="0.42411100000000002"/>
    <n v="1344.92"/>
    <n v="606.52700000000004"/>
    <n v="1434"/>
    <n v="260"/>
    <x v="7"/>
    <x v="6"/>
  </r>
  <r>
    <s v="istree_exp5_numerical_stability_vs_time/step10512.txt"/>
    <x v="2"/>
    <n v="208"/>
    <s v="reclaimer_debra"/>
    <s v="allocator_new"/>
    <s v="pool_none"/>
    <n v="1000"/>
    <n v="0.5"/>
    <n v="0.5"/>
    <n v="0"/>
    <n v="1"/>
    <n v="2000000"/>
    <n v="190"/>
    <n v="190"/>
    <n v="190"/>
    <n v="0"/>
    <s v="insertIfAbsent"/>
    <n v="999982858513"/>
    <n v="1000213"/>
    <n v="999982858513"/>
    <n v="1000213"/>
    <s v="success"/>
    <n v="8"/>
    <n v="23798"/>
    <n v="163383"/>
    <n v="187181"/>
    <n v="1000213"/>
    <n v="7.8654099999999998"/>
    <n v="6.1218899999999996"/>
    <n v="6.3435600000000001"/>
    <n v="7"/>
    <n v="38933648"/>
    <m/>
    <m/>
    <m/>
    <n v="2996"/>
    <m/>
    <m/>
    <n v="397931031"/>
    <n v="0"/>
    <n v="4021028"/>
    <n v="397931031"/>
    <n v="401952059"/>
    <n v="397931031"/>
    <n v="0"/>
    <n v="4021028"/>
    <n v="397931031"/>
    <n v="401952059"/>
    <n v="9.3077299999999994"/>
    <n v="0.77384399999999998"/>
    <n v="1309.02"/>
    <n v="421.00599999999997"/>
    <n v="1163"/>
    <n v="308"/>
    <x v="7"/>
    <x v="0"/>
  </r>
  <r>
    <s v="istree_exp5_numerical_stability_vs_time/step10513.txt"/>
    <x v="2"/>
    <n v="208"/>
    <s v="reclaimer_debra"/>
    <s v="allocator_new"/>
    <s v="pool_none"/>
    <n v="2000"/>
    <n v="0.5"/>
    <n v="0.5"/>
    <n v="0"/>
    <n v="1"/>
    <n v="2000000"/>
    <n v="190"/>
    <n v="190"/>
    <n v="190"/>
    <n v="0"/>
    <s v="insertIfAbsent"/>
    <n v="1001027192687"/>
    <n v="1000253"/>
    <n v="1001027192687"/>
    <n v="1000253"/>
    <s v="success"/>
    <n v="8"/>
    <n v="25491"/>
    <n v="175160"/>
    <n v="200651"/>
    <n v="1000253"/>
    <n v="7.8714399999999998"/>
    <n v="5.7105100000000002"/>
    <n v="5.9850399999999997"/>
    <n v="7"/>
    <n v="41735408"/>
    <m/>
    <m/>
    <m/>
    <n v="5484"/>
    <m/>
    <m/>
    <n v="769061789"/>
    <n v="0"/>
    <n v="7764694"/>
    <n v="769061789"/>
    <n v="776826483"/>
    <n v="384530894"/>
    <n v="0"/>
    <n v="3882347"/>
    <n v="384530894"/>
    <n v="388413241"/>
    <n v="9.4679500000000001"/>
    <n v="0.87729699999999999"/>
    <n v="1345.16"/>
    <n v="453.85899999999998"/>
    <n v="1165"/>
    <n v="239"/>
    <x v="7"/>
    <x v="1"/>
  </r>
  <r>
    <s v="istree_exp5_numerical_stability_vs_time/step10514.txt"/>
    <x v="2"/>
    <n v="208"/>
    <s v="reclaimer_debra"/>
    <s v="allocator_new"/>
    <s v="pool_none"/>
    <n v="4000"/>
    <n v="0.5"/>
    <n v="0.5"/>
    <n v="0"/>
    <n v="1"/>
    <n v="2000000"/>
    <n v="190"/>
    <n v="190"/>
    <n v="190"/>
    <n v="0"/>
    <s v="insertIfAbsent"/>
    <n v="999836172646"/>
    <n v="1000600"/>
    <n v="999836172646"/>
    <n v="1000600"/>
    <s v="success"/>
    <n v="8"/>
    <n v="27413"/>
    <n v="186524"/>
    <n v="213937"/>
    <n v="1000600"/>
    <n v="7.8042199999999999"/>
    <n v="5.3644600000000002"/>
    <n v="5.6770800000000001"/>
    <n v="7"/>
    <n v="44498896"/>
    <m/>
    <m/>
    <m/>
    <n v="10396"/>
    <m/>
    <m/>
    <n v="1491171720"/>
    <n v="0"/>
    <n v="15065465"/>
    <n v="1491171720"/>
    <n v="1506237185"/>
    <n v="372792930"/>
    <n v="0"/>
    <n v="3766366"/>
    <n v="372792930"/>
    <n v="376559296"/>
    <n v="9.7986699999999995"/>
    <n v="1.0228200000000001"/>
    <n v="1372.53"/>
    <n v="485.471"/>
    <n v="1173"/>
    <n v="290"/>
    <x v="7"/>
    <x v="2"/>
  </r>
  <r>
    <s v="istree_exp5_numerical_stability_vs_time/step10515.txt"/>
    <x v="2"/>
    <n v="208"/>
    <s v="reclaimer_debra"/>
    <s v="allocator_new"/>
    <s v="pool_none"/>
    <n v="8000"/>
    <n v="0.5"/>
    <n v="0.5"/>
    <n v="0"/>
    <n v="1"/>
    <n v="2000000"/>
    <n v="190"/>
    <n v="190"/>
    <n v="190"/>
    <n v="0"/>
    <s v="insertIfAbsent"/>
    <n v="1000708556994"/>
    <n v="1000332"/>
    <n v="1000708556994"/>
    <n v="1000332"/>
    <s v="success"/>
    <n v="8"/>
    <n v="29287"/>
    <n v="194283"/>
    <n v="223570"/>
    <n v="1000332"/>
    <n v="7.6337599999999997"/>
    <n v="5.1488399999999999"/>
    <n v="5.4743599999999999"/>
    <n v="7"/>
    <n v="46502560"/>
    <m/>
    <m/>
    <m/>
    <n v="19966"/>
    <m/>
    <m/>
    <n v="2891010250"/>
    <n v="0"/>
    <n v="29205183"/>
    <n v="2891010250"/>
    <n v="2920215433"/>
    <n v="361376281"/>
    <n v="0"/>
    <n v="3650647"/>
    <n v="361376281"/>
    <n v="365026929"/>
    <n v="9.9412400000000005"/>
    <n v="1.1447400000000001"/>
    <n v="1405.2"/>
    <n v="511.02100000000002"/>
    <n v="1167"/>
    <n v="238"/>
    <x v="7"/>
    <x v="3"/>
  </r>
  <r>
    <s v="istree_exp5_numerical_stability_vs_time/step10516.txt"/>
    <x v="2"/>
    <n v="208"/>
    <s v="reclaimer_debra"/>
    <s v="allocator_new"/>
    <s v="pool_none"/>
    <n v="16000"/>
    <n v="0.5"/>
    <n v="0.5"/>
    <n v="0"/>
    <n v="1"/>
    <n v="2000000"/>
    <n v="190"/>
    <n v="190"/>
    <n v="190"/>
    <n v="0"/>
    <s v="insertIfAbsent"/>
    <n v="999687302507"/>
    <n v="1000231"/>
    <n v="999687302507"/>
    <n v="1000231"/>
    <s v="success"/>
    <n v="8"/>
    <n v="30925"/>
    <n v="196664"/>
    <n v="227589"/>
    <n v="1000231"/>
    <n v="7.3593900000000003"/>
    <n v="5.0859899999999998"/>
    <n v="5.3948999999999998"/>
    <n v="7"/>
    <n v="47338512"/>
    <m/>
    <m/>
    <m/>
    <n v="38172"/>
    <m/>
    <m/>
    <n v="5659319000"/>
    <n v="0"/>
    <n v="57156485"/>
    <n v="5659319000"/>
    <n v="5716475485"/>
    <n v="353707437"/>
    <n v="0"/>
    <n v="3572280"/>
    <n v="353707437"/>
    <n v="357279717"/>
    <n v="10.251200000000001"/>
    <n v="1.25641"/>
    <n v="1435.09"/>
    <n v="541.84299999999996"/>
    <n v="1179"/>
    <n v="310"/>
    <x v="7"/>
    <x v="4"/>
  </r>
  <r>
    <s v="istree_exp5_numerical_stability_vs_time/step10517.txt"/>
    <x v="2"/>
    <n v="208"/>
    <s v="reclaimer_debra"/>
    <s v="allocator_new"/>
    <s v="pool_none"/>
    <n v="32000"/>
    <n v="0.5"/>
    <n v="0.5"/>
    <n v="0"/>
    <n v="1"/>
    <n v="2000000"/>
    <n v="190"/>
    <n v="190"/>
    <n v="190"/>
    <n v="0"/>
    <s v="insertIfAbsent"/>
    <n v="1000553703692"/>
    <n v="1000362"/>
    <n v="1000553703692"/>
    <n v="1000362"/>
    <s v="success"/>
    <n v="8"/>
    <n v="32270"/>
    <n v="195758"/>
    <n v="228028"/>
    <n v="1000362"/>
    <n v="7.0662500000000001"/>
    <n v="5.1101999999999999"/>
    <n v="5.3870100000000001"/>
    <n v="7"/>
    <n v="47429824"/>
    <m/>
    <m/>
    <m/>
    <n v="75270"/>
    <m/>
    <m/>
    <n v="11149984675"/>
    <n v="0"/>
    <n v="112642440"/>
    <n v="11149984675"/>
    <n v="11262627115"/>
    <n v="348437021"/>
    <n v="0"/>
    <n v="3520076"/>
    <n v="348437021"/>
    <n v="351957097"/>
    <n v="10.371499999999999"/>
    <n v="1.3101499999999999"/>
    <n v="1454.98"/>
    <n v="552.04399999999998"/>
    <n v="1179"/>
    <n v="314"/>
    <x v="7"/>
    <x v="5"/>
  </r>
  <r>
    <s v="istree_exp5_numerical_stability_vs_time/step10518.txt"/>
    <x v="2"/>
    <n v="208"/>
    <s v="reclaimer_debra"/>
    <s v="allocator_new"/>
    <s v="pool_none"/>
    <n v="64000"/>
    <n v="0.5"/>
    <n v="0.5"/>
    <n v="0"/>
    <n v="1"/>
    <n v="2000000"/>
    <n v="190"/>
    <n v="190"/>
    <n v="190"/>
    <n v="0"/>
    <s v="insertIfAbsent"/>
    <n v="999947175074"/>
    <n v="999779"/>
    <n v="999947175074"/>
    <n v="999779"/>
    <s v="success"/>
    <n v="8"/>
    <n v="33324"/>
    <n v="195319"/>
    <n v="228643"/>
    <n v="999779"/>
    <n v="6.8612099999999998"/>
    <n v="5.1186999999999996"/>
    <n v="5.3726599999999998"/>
    <n v="7"/>
    <n v="47557744"/>
    <m/>
    <m/>
    <m/>
    <n v="150242"/>
    <m/>
    <m/>
    <n v="22334342436"/>
    <n v="0"/>
    <n v="225569494"/>
    <n v="22334342436"/>
    <n v="22559911930"/>
    <n v="348974100"/>
    <n v="0"/>
    <n v="3524523"/>
    <n v="348974100"/>
    <n v="352498623"/>
    <n v="10.4215"/>
    <n v="1.33979"/>
    <n v="1449.31"/>
    <n v="553.32500000000005"/>
    <n v="1175"/>
    <n v="326"/>
    <x v="7"/>
    <x v="6"/>
  </r>
  <r>
    <s v="istree_exp5_numerical_stability_vs_time/step10519.txt"/>
    <x v="1"/>
    <m/>
    <s v="reclaimer_debra"/>
    <s v="allocator_new"/>
    <s v="pool_none"/>
    <n v="1000"/>
    <n v="0.5"/>
    <n v="0.5"/>
    <n v="0"/>
    <n v="1"/>
    <n v="2000000"/>
    <n v="190"/>
    <n v="190"/>
    <n v="190"/>
    <n v="0"/>
    <s v="insertIfAbsent"/>
    <n v="999990179971"/>
    <n v="999941"/>
    <n v="999990179971"/>
    <n v="999941"/>
    <s v="success"/>
    <n v="25"/>
    <n v="649509"/>
    <n v="491234"/>
    <n v="1140743"/>
    <n v="999941"/>
    <n v="1.7563200000000001"/>
    <n v="2.0355699999999999"/>
    <n v="1.8765700000000001"/>
    <n v="19.710699999999999"/>
    <n v="63881608"/>
    <m/>
    <m/>
    <m/>
    <n v="1592"/>
    <m/>
    <m/>
    <n v="222756969"/>
    <n v="0"/>
    <n v="2249508"/>
    <n v="222756969"/>
    <n v="225006477"/>
    <n v="222756969"/>
    <n v="0"/>
    <n v="2249508"/>
    <n v="222756969"/>
    <n v="225006477"/>
    <n v="16.0992"/>
    <n v="2.4182000000000001"/>
    <n v="2347.98"/>
    <n v="1065.8"/>
    <n v="1177"/>
    <n v="254"/>
    <x v="7"/>
    <x v="0"/>
  </r>
  <r>
    <s v="istree_exp5_numerical_stability_vs_time/step10520.txt"/>
    <x v="1"/>
    <m/>
    <s v="reclaimer_debra"/>
    <s v="allocator_new"/>
    <s v="pool_none"/>
    <n v="2000"/>
    <n v="0.5"/>
    <n v="0.5"/>
    <n v="0"/>
    <n v="1"/>
    <n v="2000000"/>
    <n v="190"/>
    <n v="190"/>
    <n v="190"/>
    <n v="0"/>
    <s v="insertIfAbsent"/>
    <n v="1000959964129"/>
    <n v="1001042"/>
    <n v="1000959964129"/>
    <n v="1001042"/>
    <s v="success"/>
    <n v="25"/>
    <n v="673882"/>
    <n v="510540"/>
    <n v="1184422"/>
    <n v="1001042"/>
    <n v="1.7576099999999999"/>
    <n v="1.96075"/>
    <n v="1.84517"/>
    <n v="19.813600000000001"/>
    <n v="66327632"/>
    <m/>
    <m/>
    <m/>
    <n v="2930"/>
    <m/>
    <m/>
    <n v="434376906"/>
    <n v="0"/>
    <n v="4390544"/>
    <n v="434376906"/>
    <n v="438767450"/>
    <n v="217188453"/>
    <n v="0"/>
    <n v="2195272"/>
    <n v="217188453"/>
    <n v="219383725"/>
    <n v="16.188400000000001"/>
    <n v="2.5251000000000001"/>
    <n v="2390.14"/>
    <n v="1106.06"/>
    <n v="1179"/>
    <n v="328"/>
    <x v="7"/>
    <x v="1"/>
  </r>
  <r>
    <s v="istree_exp5_numerical_stability_vs_time/step10521.txt"/>
    <x v="1"/>
    <m/>
    <s v="reclaimer_debra"/>
    <s v="allocator_new"/>
    <s v="pool_none"/>
    <n v="4000"/>
    <n v="0.5"/>
    <n v="0.5"/>
    <n v="0"/>
    <n v="1"/>
    <n v="2000000"/>
    <n v="190"/>
    <n v="190"/>
    <n v="190"/>
    <n v="0"/>
    <s v="insertIfAbsent"/>
    <n v="999037000354"/>
    <n v="999008"/>
    <n v="999037000354"/>
    <n v="999008"/>
    <s v="success"/>
    <n v="25"/>
    <n v="683708"/>
    <n v="518689"/>
    <n v="1202397"/>
    <n v="999008"/>
    <n v="1.75864"/>
    <n v="1.9260299999999999"/>
    <n v="1.8308500000000001"/>
    <n v="19.8916"/>
    <n v="67334232"/>
    <m/>
    <m/>
    <m/>
    <s v="248 5612"/>
    <m/>
    <m/>
    <n v="845228286"/>
    <n v="0"/>
    <n v="8535632"/>
    <n v="845228286"/>
    <n v="853763918"/>
    <n v="211307071"/>
    <n v="0"/>
    <n v="2133908"/>
    <n v="211307071"/>
    <n v="213440979"/>
    <n v="16.395"/>
    <n v="2.6378499999999998"/>
    <n v="2434.66"/>
    <n v="1158.95"/>
    <n v="1181"/>
    <n v="367"/>
    <x v="7"/>
    <x v="2"/>
  </r>
  <r>
    <s v="istree_exp5_numerical_stability_vs_time/step10522.txt"/>
    <x v="1"/>
    <m/>
    <s v="reclaimer_debra"/>
    <s v="allocator_new"/>
    <s v="pool_none"/>
    <n v="8000"/>
    <n v="0.5"/>
    <n v="0.5"/>
    <n v="0"/>
    <n v="1"/>
    <n v="2000000"/>
    <n v="190"/>
    <n v="190"/>
    <n v="190"/>
    <n v="0"/>
    <s v="insertIfAbsent"/>
    <n v="1000363106229"/>
    <n v="1000070"/>
    <n v="1000363106229"/>
    <n v="1000070"/>
    <s v="success"/>
    <n v="25"/>
    <n v="685530"/>
    <n v="520557"/>
    <n v="1206087"/>
    <n v="1000070"/>
    <n v="1.75935"/>
    <n v="1.9211499999999999"/>
    <n v="1.8291900000000001"/>
    <n v="19.907800000000002"/>
    <n v="67540872"/>
    <m/>
    <m/>
    <m/>
    <n v="10798"/>
    <m/>
    <m/>
    <n v="1663100211"/>
    <n v="0"/>
    <n v="16793089"/>
    <n v="1663100211"/>
    <n v="1679893300"/>
    <n v="207887526"/>
    <n v="0"/>
    <n v="2099136"/>
    <n v="207887526"/>
    <n v="209986662"/>
    <n v="16.4621"/>
    <n v="2.7176"/>
    <n v="2463.04"/>
    <n v="1189.17"/>
    <n v="1182"/>
    <n v="358"/>
    <x v="7"/>
    <x v="3"/>
  </r>
  <r>
    <s v="istree_exp5_numerical_stability_vs_time/step10523.txt"/>
    <x v="1"/>
    <m/>
    <s v="reclaimer_debra"/>
    <s v="allocator_new"/>
    <s v="pool_none"/>
    <n v="16000"/>
    <n v="0.5"/>
    <n v="0.5"/>
    <n v="0"/>
    <n v="1"/>
    <n v="2000000"/>
    <n v="190"/>
    <n v="190"/>
    <n v="190"/>
    <n v="0"/>
    <s v="insertIfAbsent"/>
    <n v="999263579819"/>
    <n v="999683"/>
    <n v="999263579819"/>
    <n v="999683"/>
    <s v="success"/>
    <n v="25"/>
    <n v="685614"/>
    <n v="520101"/>
    <n v="1205715"/>
    <n v="999683"/>
    <n v="1.7585900000000001"/>
    <n v="1.9220900000000001"/>
    <n v="1.8291200000000001"/>
    <n v="19.856100000000001"/>
    <n v="67520040"/>
    <m/>
    <m/>
    <m/>
    <n v="20944"/>
    <m/>
    <m/>
    <n v="3281517471"/>
    <n v="0"/>
    <n v="33138841"/>
    <n v="3281517471"/>
    <n v="3314656312"/>
    <n v="205094841"/>
    <n v="0"/>
    <n v="2071177"/>
    <n v="205094841"/>
    <n v="207166019"/>
    <n v="16.6586"/>
    <n v="2.7847"/>
    <n v="2495.56"/>
    <n v="1223.54"/>
    <n v="1184"/>
    <n v="263"/>
    <x v="7"/>
    <x v="4"/>
  </r>
  <r>
    <s v="istree_exp5_numerical_stability_vs_time/step10524.txt"/>
    <x v="1"/>
    <m/>
    <s v="reclaimer_debra"/>
    <s v="allocator_new"/>
    <s v="pool_none"/>
    <n v="32000"/>
    <n v="0.5"/>
    <n v="0.5"/>
    <n v="0"/>
    <n v="1"/>
    <n v="2000000"/>
    <n v="190"/>
    <n v="190"/>
    <n v="190"/>
    <n v="0"/>
    <s v="insertIfAbsent"/>
    <n v="999947643836"/>
    <n v="1000216"/>
    <n v="999947643836"/>
    <n v="1000216"/>
    <s v="success"/>
    <n v="25"/>
    <n v="686170"/>
    <n v="520465"/>
    <n v="1206635"/>
    <n v="1000216"/>
    <n v="1.75851"/>
    <n v="1.92177"/>
    <n v="1.8289299999999999"/>
    <n v="19.897600000000001"/>
    <n v="67571560"/>
    <m/>
    <m/>
    <m/>
    <n v="41062"/>
    <m/>
    <m/>
    <n v="6421885963"/>
    <n v="0"/>
    <n v="64870518"/>
    <n v="6421885963"/>
    <n v="6486756481"/>
    <n v="200683936"/>
    <n v="0"/>
    <n v="2027203"/>
    <n v="200683936"/>
    <n v="202711140"/>
    <n v="16.8719"/>
    <n v="2.8734199999999999"/>
    <n v="2544.11"/>
    <n v="1244.07"/>
    <n v="1188"/>
    <n v="265"/>
    <x v="7"/>
    <x v="5"/>
  </r>
  <r>
    <s v="istree_exp5_numerical_stability_vs_time/step10525.txt"/>
    <x v="1"/>
    <m/>
    <s v="reclaimer_debra"/>
    <s v="allocator_new"/>
    <s v="pool_none"/>
    <n v="64000"/>
    <n v="0.5"/>
    <n v="0.5"/>
    <n v="0"/>
    <n v="1"/>
    <n v="2000000"/>
    <n v="190"/>
    <n v="190"/>
    <n v="190"/>
    <n v="0"/>
    <s v="insertIfAbsent"/>
    <n v="999656955565"/>
    <n v="1000226"/>
    <n v="999656955565"/>
    <n v="1000226"/>
    <s v="success"/>
    <n v="25"/>
    <n v="686193"/>
    <n v="520167"/>
    <n v="1206360"/>
    <n v="1000226"/>
    <n v="1.7580499999999999"/>
    <n v="1.92289"/>
    <n v="1.8291299999999999"/>
    <n v="19.9191"/>
    <n v="67556160"/>
    <m/>
    <m/>
    <m/>
    <n v="81010"/>
    <m/>
    <m/>
    <n v="12770197476"/>
    <n v="0"/>
    <n v="128980693"/>
    <n v="12770197476"/>
    <n v="12899178169"/>
    <n v="199534335"/>
    <n v="0"/>
    <n v="2015323"/>
    <n v="199534335"/>
    <n v="201549658"/>
    <n v="17.168500000000002"/>
    <n v="2.9596200000000001"/>
    <n v="2565.8200000000002"/>
    <n v="1292.79"/>
    <n v="1195"/>
    <n v="250"/>
    <x v="7"/>
    <x v="6"/>
  </r>
  <r>
    <s v="istree_exp5_numerical_stability_vs_time/step10526.txt"/>
    <x v="3"/>
    <m/>
    <s v="reclaimer_debra"/>
    <s v="allocator_new"/>
    <s v="pool_none"/>
    <n v="1000"/>
    <n v="0.5"/>
    <n v="0.5"/>
    <n v="0"/>
    <n v="1"/>
    <n v="2000000"/>
    <n v="190"/>
    <n v="190"/>
    <n v="190"/>
    <n v="0"/>
    <s v="insertIfAbsent"/>
    <n v="1001755101008"/>
    <n v="1001778"/>
    <n v="1001755101008"/>
    <n v="1001778"/>
    <s v="success"/>
    <n v="57"/>
    <n v="1001777"/>
    <n v="1001778"/>
    <n v="2003555"/>
    <n v="1001778"/>
    <n v="2"/>
    <n v="1"/>
    <n v="1.5"/>
    <n v="26.711500000000001"/>
    <n v="64113760"/>
    <m/>
    <m/>
    <m/>
    <n v="1508"/>
    <m/>
    <m/>
    <n v="206901110"/>
    <n v="0"/>
    <n v="2089519"/>
    <n v="206901110"/>
    <n v="208990629"/>
    <n v="206901110"/>
    <n v="0"/>
    <n v="2089519"/>
    <n v="206901110"/>
    <n v="208990629"/>
    <n v="12.0931"/>
    <n v="1.94564"/>
    <n v="2527.48"/>
    <n v="1572.91"/>
    <n v="1167"/>
    <n v="278"/>
    <x v="7"/>
    <x v="0"/>
  </r>
  <r>
    <s v="istree_exp5_numerical_stability_vs_time/step10527.txt"/>
    <x v="3"/>
    <m/>
    <s v="reclaimer_debra"/>
    <s v="allocator_new"/>
    <s v="pool_none"/>
    <n v="2000"/>
    <n v="0.5"/>
    <n v="0.5"/>
    <n v="0"/>
    <n v="1"/>
    <n v="2000000"/>
    <n v="190"/>
    <n v="190"/>
    <n v="190"/>
    <n v="0"/>
    <s v="insertIfAbsent"/>
    <n v="1000829393588"/>
    <n v="1000169"/>
    <n v="1000829393588"/>
    <n v="1000169"/>
    <s v="success"/>
    <n v="53"/>
    <n v="1000168"/>
    <n v="1000169"/>
    <n v="2000337"/>
    <n v="1000169"/>
    <n v="2"/>
    <n v="1"/>
    <n v="1.5"/>
    <n v="26.645399999999999"/>
    <n v="64010784"/>
    <m/>
    <m/>
    <m/>
    <n v="2828"/>
    <m/>
    <m/>
    <n v="414105847"/>
    <n v="0"/>
    <n v="4181739"/>
    <n v="414105847"/>
    <n v="418287586"/>
    <n v="207052923"/>
    <n v="0"/>
    <n v="2090869"/>
    <n v="207052923"/>
    <n v="209143793"/>
    <n v="12.1584"/>
    <n v="1.9998199999999999"/>
    <n v="2530.0500000000002"/>
    <n v="1583.51"/>
    <n v="1169"/>
    <n v="315"/>
    <x v="7"/>
    <x v="1"/>
  </r>
  <r>
    <s v="istree_exp5_numerical_stability_vs_time/step10528.txt"/>
    <x v="3"/>
    <m/>
    <s v="reclaimer_debra"/>
    <s v="allocator_new"/>
    <s v="pool_none"/>
    <n v="4000"/>
    <n v="0.5"/>
    <n v="0.5"/>
    <n v="0"/>
    <n v="1"/>
    <n v="2000000"/>
    <n v="190"/>
    <n v="190"/>
    <n v="190"/>
    <n v="0"/>
    <s v="insertIfAbsent"/>
    <n v="999992766109"/>
    <n v="1000009"/>
    <n v="999992766109"/>
    <n v="1000009"/>
    <s v="success"/>
    <n v="49"/>
    <n v="1000008"/>
    <n v="1000009"/>
    <n v="2000017"/>
    <n v="1000009"/>
    <n v="2"/>
    <n v="1"/>
    <n v="1.5"/>
    <n v="26.787299999999998"/>
    <n v="64000544"/>
    <m/>
    <m/>
    <m/>
    <n v="5214"/>
    <m/>
    <m/>
    <n v="814246656"/>
    <n v="0"/>
    <n v="8228317"/>
    <n v="814246656"/>
    <n v="822474973"/>
    <n v="203561664"/>
    <n v="0"/>
    <n v="2057079"/>
    <n v="203561664"/>
    <n v="205618743"/>
    <n v="12.3847"/>
    <n v="2.0699299999999998"/>
    <n v="2573"/>
    <n v="1619.62"/>
    <n v="1168"/>
    <n v="229"/>
    <x v="7"/>
    <x v="2"/>
  </r>
  <r>
    <s v="istree_exp5_numerical_stability_vs_time/step10529.txt"/>
    <x v="3"/>
    <m/>
    <s v="reclaimer_debra"/>
    <s v="allocator_new"/>
    <s v="pool_none"/>
    <n v="8000"/>
    <n v="0.5"/>
    <n v="0.5"/>
    <n v="0"/>
    <n v="1"/>
    <n v="2000000"/>
    <n v="190"/>
    <n v="190"/>
    <n v="190"/>
    <n v="0"/>
    <s v="insertIfAbsent"/>
    <n v="999712844617"/>
    <n v="999449"/>
    <n v="999712844617"/>
    <n v="999449"/>
    <s v="success"/>
    <n v="47"/>
    <n v="999448"/>
    <n v="999449"/>
    <n v="1998897"/>
    <n v="999449"/>
    <n v="2"/>
    <n v="1"/>
    <n v="1.5"/>
    <n v="25.602"/>
    <n v="63964704"/>
    <m/>
    <m/>
    <m/>
    <n v="10250"/>
    <m/>
    <m/>
    <n v="1622665741"/>
    <n v="0"/>
    <n v="16389042"/>
    <n v="1622665741"/>
    <n v="1639054783"/>
    <n v="202833217"/>
    <n v="0"/>
    <n v="2048630"/>
    <n v="202833217"/>
    <n v="204881847"/>
    <n v="12.3185"/>
    <n v="2.1213500000000001"/>
    <n v="2582.54"/>
    <n v="1643.77"/>
    <n v="1170"/>
    <n v="236"/>
    <x v="7"/>
    <x v="3"/>
  </r>
  <r>
    <s v="istree_exp5_numerical_stability_vs_time/step10530.txt"/>
    <x v="3"/>
    <m/>
    <s v="reclaimer_debra"/>
    <s v="allocator_new"/>
    <s v="pool_none"/>
    <n v="16000"/>
    <n v="0.5"/>
    <n v="0.5"/>
    <n v="0"/>
    <n v="1"/>
    <n v="2000000"/>
    <n v="190"/>
    <n v="190"/>
    <n v="190"/>
    <n v="0"/>
    <s v="insertIfAbsent"/>
    <n v="1000153995701"/>
    <n v="1000410"/>
    <n v="1000153995701"/>
    <n v="1000410"/>
    <s v="success"/>
    <n v="47"/>
    <n v="1000409"/>
    <n v="1000410"/>
    <n v="2000819"/>
    <n v="1000410"/>
    <n v="2"/>
    <n v="1"/>
    <n v="1.5"/>
    <n v="26.2531"/>
    <n v="64026208"/>
    <m/>
    <m/>
    <m/>
    <s v="222 20388"/>
    <m/>
    <m/>
    <n v="3248740243"/>
    <n v="0"/>
    <n v="32806415"/>
    <n v="3248740243"/>
    <n v="3281546658"/>
    <n v="203046265"/>
    <n v="0"/>
    <n v="2050400"/>
    <n v="203046265"/>
    <n v="205096666"/>
    <n v="12.313800000000001"/>
    <n v="2.1816499999999999"/>
    <n v="2580.17"/>
    <n v="1647.6"/>
    <n v="1173"/>
    <n v="284"/>
    <x v="7"/>
    <x v="4"/>
  </r>
  <r>
    <s v="istree_exp5_numerical_stability_vs_time/step10531.txt"/>
    <x v="3"/>
    <m/>
    <s v="reclaimer_debra"/>
    <s v="allocator_new"/>
    <s v="pool_none"/>
    <n v="32000"/>
    <n v="0.5"/>
    <n v="0.5"/>
    <n v="0"/>
    <n v="1"/>
    <n v="2000000"/>
    <n v="190"/>
    <n v="190"/>
    <n v="190"/>
    <n v="0"/>
    <s v="insertIfAbsent"/>
    <n v="1000914701943"/>
    <n v="1001024"/>
    <n v="1000914701943"/>
    <n v="1001024"/>
    <s v="success"/>
    <n v="48"/>
    <n v="1001023"/>
    <n v="1001024"/>
    <n v="2002047"/>
    <n v="1001024"/>
    <n v="2"/>
    <n v="1"/>
    <n v="1.5"/>
    <n v="25.789200000000001"/>
    <n v="64065504"/>
    <m/>
    <m/>
    <m/>
    <n v="40092"/>
    <m/>
    <m/>
    <n v="6443598282"/>
    <n v="0"/>
    <n v="65096886"/>
    <n v="6443598282"/>
    <n v="6508695168"/>
    <n v="201362446"/>
    <n v="0"/>
    <n v="2034277"/>
    <n v="201362446"/>
    <n v="203396724"/>
    <n v="12.405799999999999"/>
    <n v="2.2506300000000001"/>
    <n v="2601.87"/>
    <n v="1678.58"/>
    <n v="1180"/>
    <n v="226"/>
    <x v="7"/>
    <x v="5"/>
  </r>
  <r>
    <s v="istree_exp5_numerical_stability_vs_time/step10532.txt"/>
    <x v="3"/>
    <m/>
    <s v="reclaimer_debra"/>
    <s v="allocator_new"/>
    <s v="pool_none"/>
    <n v="64000"/>
    <n v="0.5"/>
    <n v="0.5"/>
    <n v="0"/>
    <n v="1"/>
    <n v="2000000"/>
    <n v="190"/>
    <n v="190"/>
    <n v="190"/>
    <n v="0"/>
    <s v="insertIfAbsent"/>
    <n v="999351807376"/>
    <n v="1000211"/>
    <n v="999351807376"/>
    <n v="1000211"/>
    <s v="success"/>
    <n v="48"/>
    <n v="1000210"/>
    <n v="1000211"/>
    <n v="2000421"/>
    <n v="1000211"/>
    <n v="2"/>
    <n v="1"/>
    <n v="1.5"/>
    <n v="26.637799999999999"/>
    <n v="64013472"/>
    <m/>
    <m/>
    <m/>
    <n v="78884"/>
    <m/>
    <m/>
    <n v="12754326125"/>
    <n v="0"/>
    <n v="128825198"/>
    <n v="12754326125"/>
    <n v="12883151323"/>
    <n v="199286345"/>
    <n v="0"/>
    <n v="2012893"/>
    <n v="199286345"/>
    <n v="201299239"/>
    <n v="12.4825"/>
    <n v="2.34917"/>
    <n v="2629"/>
    <n v="1704.39"/>
    <n v="1190"/>
    <n v="237"/>
    <x v="7"/>
    <x v="6"/>
  </r>
  <r>
    <s v="istree_exp5_numerical_stability_vs_time/step10533.txt"/>
    <x v="0"/>
    <n v="72"/>
    <s v="reclaimer_debra"/>
    <s v="allocator_new"/>
    <s v="pool_none"/>
    <n v="1000"/>
    <n v="0.5"/>
    <n v="0.5"/>
    <n v="0"/>
    <n v="1"/>
    <n v="20000000"/>
    <n v="190"/>
    <n v="190"/>
    <n v="190"/>
    <n v="0"/>
    <s v="insertIfAbsent"/>
    <n v="100014868120566"/>
    <n v="10000720"/>
    <n v="100014868120566"/>
    <n v="10000720"/>
    <s v="success"/>
    <n v="7"/>
    <n v="1902657"/>
    <n v="12024182"/>
    <n v="13926839"/>
    <n v="10000720"/>
    <n v="7.31968"/>
    <n v="0.83171700000000004"/>
    <n v="1.7180899999999999"/>
    <n v="4.0554300000000003"/>
    <n v="344629104"/>
    <s v="0 11 3799 353522 697"/>
    <s v="0 11 3799 353521 697"/>
    <n v="7"/>
    <n v="1642"/>
    <m/>
    <m/>
    <n v="260310902"/>
    <n v="0"/>
    <n v="2630028"/>
    <n v="260310902"/>
    <n v="262940930"/>
    <n v="260310902"/>
    <n v="0"/>
    <n v="2630028"/>
    <n v="260310902"/>
    <n v="262940930"/>
    <n v="15.903"/>
    <n v="6.4733799999999997"/>
    <n v="2009.06"/>
    <n v="1251.23"/>
    <n v="1915"/>
    <n v="389"/>
    <x v="1"/>
    <x v="0"/>
  </r>
  <r>
    <s v="istree_exp5_numerical_stability_vs_time/step10534.txt"/>
    <x v="0"/>
    <n v="72"/>
    <s v="reclaimer_debra"/>
    <s v="allocator_new"/>
    <s v="pool_none"/>
    <n v="2000"/>
    <n v="0.5"/>
    <n v="0.5"/>
    <n v="0"/>
    <n v="1"/>
    <n v="20000000"/>
    <n v="190"/>
    <n v="190"/>
    <n v="190"/>
    <n v="0"/>
    <s v="insertIfAbsent"/>
    <n v="99998325944855"/>
    <n v="10002811"/>
    <n v="99998325944855"/>
    <n v="10002811"/>
    <s v="success"/>
    <n v="7"/>
    <n v="1627859"/>
    <n v="11449186"/>
    <n v="13077045"/>
    <n v="10002811"/>
    <n v="8.0332799999999995"/>
    <n v="0.87366999999999995"/>
    <n v="1.76491"/>
    <n v="4.0004099999999996"/>
    <n v="313415680"/>
    <s v="1 3163 26820 669828 1714"/>
    <s v="1 3163 26818 669825 1714"/>
    <n v="1938"/>
    <n v="3068"/>
    <m/>
    <m/>
    <n v="495968646"/>
    <n v="0"/>
    <n v="5009362"/>
    <n v="495968646"/>
    <n v="500978008"/>
    <n v="247984323"/>
    <n v="0"/>
    <n v="2504681"/>
    <n v="247984323"/>
    <n v="250489004"/>
    <n v="16.165199999999999"/>
    <n v="6.5915999999999997"/>
    <n v="2061.8000000000002"/>
    <n v="1298.98"/>
    <n v="2601"/>
    <n v="368"/>
    <x v="1"/>
    <x v="1"/>
  </r>
  <r>
    <s v="istree_exp5_numerical_stability_vs_time/step10535.txt"/>
    <x v="0"/>
    <n v="72"/>
    <s v="reclaimer_debra"/>
    <s v="allocator_new"/>
    <s v="pool_none"/>
    <n v="4000"/>
    <n v="0.5"/>
    <n v="0.5"/>
    <n v="0"/>
    <n v="1"/>
    <n v="20000000"/>
    <n v="190"/>
    <n v="190"/>
    <n v="190"/>
    <n v="0"/>
    <s v="insertIfAbsent"/>
    <n v="100004425975388"/>
    <n v="9998304"/>
    <n v="100004425975388"/>
    <n v="9998304"/>
    <s v="success"/>
    <n v="7"/>
    <n v="1658247"/>
    <n v="11505847"/>
    <n v="13164094"/>
    <n v="9998304"/>
    <n v="7.9385599999999998"/>
    <n v="0.86897599999999997"/>
    <n v="1.7595099999999999"/>
    <n v="4.0064900000000003"/>
    <n v="316753296"/>
    <s v="2 6326 53550 1340410 3413"/>
    <s v="2 6326 53550 1340406 3413"/>
    <n v="5016"/>
    <n v="6272"/>
    <m/>
    <m/>
    <n v="1002810558"/>
    <n v="0"/>
    <n v="10134954"/>
    <n v="1002810558"/>
    <n v="1012945512"/>
    <n v="250702639"/>
    <n v="0"/>
    <n v="2533738"/>
    <n v="250702639"/>
    <n v="253236378"/>
    <n v="16.229700000000001"/>
    <n v="6.6110800000000003"/>
    <n v="2039.9"/>
    <n v="1267.94"/>
    <n v="2733"/>
    <n v="415"/>
    <x v="1"/>
    <x v="2"/>
  </r>
  <r>
    <s v="istree_exp5_numerical_stability_vs_time/step10536.txt"/>
    <x v="0"/>
    <n v="72"/>
    <s v="reclaimer_debra"/>
    <s v="allocator_new"/>
    <s v="pool_none"/>
    <n v="8000"/>
    <n v="0.5"/>
    <n v="0.5"/>
    <n v="0"/>
    <n v="1"/>
    <n v="20000000"/>
    <n v="190"/>
    <n v="190"/>
    <n v="190"/>
    <n v="0"/>
    <s v="insertIfAbsent"/>
    <n v="100002310797946"/>
    <n v="10001138"/>
    <n v="100002310797946"/>
    <n v="10001138"/>
    <s v="success"/>
    <n v="7"/>
    <n v="1665348"/>
    <n v="11522268"/>
    <n v="13187616"/>
    <n v="10001138"/>
    <n v="7.9188299999999998"/>
    <n v="0.86798299999999995"/>
    <n v="1.75837"/>
    <n v="4.0079099999999999"/>
    <n v="317584128"/>
    <s v="6 12652 107277 2679985 6727"/>
    <s v="4 12652 107271 2679975 6727"/>
    <n v="11160"/>
    <n v="12474"/>
    <m/>
    <m/>
    <n v="1996005182"/>
    <n v="0"/>
    <n v="20163695"/>
    <n v="1996005182"/>
    <n v="2016168877"/>
    <n v="249500647"/>
    <n v="0"/>
    <n v="2520461"/>
    <n v="249500647"/>
    <n v="252021109"/>
    <n v="16.208100000000002"/>
    <n v="6.6345000000000001"/>
    <n v="2063.04"/>
    <n v="1292.8499999999999"/>
    <n v="2778"/>
    <n v="398"/>
    <x v="1"/>
    <x v="3"/>
  </r>
  <r>
    <s v="istree_exp5_numerical_stability_vs_time/step10537.txt"/>
    <x v="0"/>
    <n v="72"/>
    <s v="reclaimer_debra"/>
    <s v="allocator_new"/>
    <s v="pool_none"/>
    <n v="16000"/>
    <n v="0.5"/>
    <n v="0.5"/>
    <n v="0"/>
    <n v="1"/>
    <n v="20000000"/>
    <n v="190"/>
    <n v="190"/>
    <n v="190"/>
    <n v="0"/>
    <s v="insertIfAbsent"/>
    <n v="99993399123946"/>
    <n v="9998293"/>
    <n v="99993399123946"/>
    <n v="9998293"/>
    <s v="success"/>
    <n v="7"/>
    <n v="1625841"/>
    <n v="11440716"/>
    <n v="13066557"/>
    <n v="9998293"/>
    <n v="8.0367999999999995"/>
    <n v="0.87392199999999998"/>
    <n v="1.76518"/>
    <n v="4.0000099999999996"/>
    <n v="313118720"/>
    <s v="9 25301 214097 5353148 13324"/>
    <s v="8 25301 214085 5353136 13324"/>
    <n v="18812"/>
    <n v="24736"/>
    <m/>
    <m/>
    <n v="3958686531"/>
    <n v="0"/>
    <n v="39996509"/>
    <n v="3958686531"/>
    <n v="3998683040"/>
    <n v="247417908"/>
    <n v="0"/>
    <n v="2499781"/>
    <n v="247417908"/>
    <n v="249917690"/>
    <n v="16.2986"/>
    <n v="6.6523000000000003"/>
    <n v="2086.3000000000002"/>
    <n v="1303.03"/>
    <n v="2767"/>
    <n v="356"/>
    <x v="1"/>
    <x v="4"/>
  </r>
  <r>
    <s v="istree_exp5_numerical_stability_vs_time/step10538.txt"/>
    <x v="0"/>
    <n v="72"/>
    <s v="reclaimer_debra"/>
    <s v="allocator_new"/>
    <s v="pool_none"/>
    <n v="32000"/>
    <n v="0.5"/>
    <n v="0.5"/>
    <n v="0"/>
    <n v="1"/>
    <n v="20000000"/>
    <n v="190"/>
    <n v="190"/>
    <n v="190"/>
    <n v="0"/>
    <s v="insertIfAbsent"/>
    <n v="100019445377203"/>
    <n v="9998928"/>
    <n v="100019445377203"/>
    <n v="9998928"/>
    <s v="success"/>
    <n v="7"/>
    <n v="1627561"/>
    <n v="11444755"/>
    <n v="13072316"/>
    <n v="9998928"/>
    <n v="8.0318400000000008"/>
    <n v="0.87366900000000003"/>
    <n v="1.7648900000000001"/>
    <n v="4.0003599999999997"/>
    <n v="313320944"/>
    <s v="17 50612 426594 10707179 26959"/>
    <s v="16 50611 426571 10707144 26959"/>
    <n v="37537"/>
    <n v="49540"/>
    <m/>
    <m/>
    <n v="7922051186"/>
    <n v="0"/>
    <n v="80015173"/>
    <n v="7922051186"/>
    <n v="8002066359"/>
    <n v="247564099"/>
    <n v="0"/>
    <n v="2500474"/>
    <n v="247564099"/>
    <n v="250064573"/>
    <n v="16.305800000000001"/>
    <n v="6.6648399999999999"/>
    <n v="2086.6999999999998"/>
    <n v="1312.21"/>
    <n v="2769"/>
    <n v="363"/>
    <x v="1"/>
    <x v="5"/>
  </r>
  <r>
    <s v="istree_exp5_numerical_stability_vs_time/step10539.txt"/>
    <x v="0"/>
    <n v="72"/>
    <s v="reclaimer_debra"/>
    <s v="allocator_new"/>
    <s v="pool_none"/>
    <n v="64000"/>
    <n v="0.5"/>
    <n v="0.5"/>
    <n v="0"/>
    <n v="1"/>
    <n v="20000000"/>
    <n v="190"/>
    <n v="190"/>
    <n v="190"/>
    <n v="0"/>
    <s v="insertIfAbsent"/>
    <n v="100023975486826"/>
    <n v="10002272"/>
    <n v="100023975486826"/>
    <n v="10002272"/>
    <s v="success"/>
    <n v="7"/>
    <n v="1665996"/>
    <n v="11525228"/>
    <n v="13191224"/>
    <n v="10002272"/>
    <n v="7.9179199999999996"/>
    <n v="0.86785900000000005"/>
    <n v="1.7582500000000001"/>
    <n v="4.0080400000000003"/>
    <n v="317683328"/>
    <s v="34 101219 853564 21419982 53824"/>
    <s v="32 101217 853507 21419920 53824"/>
    <n v="77193"/>
    <n v="97892"/>
    <m/>
    <m/>
    <n v="15855571118"/>
    <n v="0"/>
    <n v="160165877"/>
    <n v="15855571118"/>
    <n v="16015736995"/>
    <n v="247743298"/>
    <n v="0"/>
    <n v="2502591"/>
    <n v="247743298"/>
    <n v="250245890"/>
    <n v="16.344000000000001"/>
    <n v="6.6665700000000001"/>
    <n v="2086.7800000000002"/>
    <n v="1314.17"/>
    <n v="2774"/>
    <n v="476"/>
    <x v="1"/>
    <x v="6"/>
  </r>
  <r>
    <s v="istree_exp5_numerical_stability_vs_time/step10540.txt"/>
    <x v="2"/>
    <n v="208"/>
    <s v="reclaimer_debra"/>
    <s v="allocator_new"/>
    <s v="pool_none"/>
    <n v="1000"/>
    <n v="0.5"/>
    <n v="0.5"/>
    <n v="0"/>
    <n v="1"/>
    <n v="20000000"/>
    <n v="190"/>
    <n v="190"/>
    <n v="190"/>
    <n v="0"/>
    <s v="insertIfAbsent"/>
    <n v="99987747419978"/>
    <n v="9999657"/>
    <n v="99987747419978"/>
    <n v="9999657"/>
    <s v="success"/>
    <n v="9"/>
    <n v="194212"/>
    <n v="1334511"/>
    <n v="1528723"/>
    <n v="9999657"/>
    <n v="7.87141"/>
    <n v="7.4931200000000002"/>
    <n v="7.5411799999999998"/>
    <n v="8"/>
    <n v="317974384"/>
    <m/>
    <m/>
    <m/>
    <n v="2092"/>
    <m/>
    <m/>
    <n v="238049132"/>
    <n v="0"/>
    <n v="2405888"/>
    <n v="238049132"/>
    <n v="240455020"/>
    <n v="238049132"/>
    <n v="0"/>
    <n v="2405888"/>
    <n v="238049132"/>
    <n v="240455020"/>
    <n v="16.807400000000001"/>
    <n v="5.5767600000000002"/>
    <n v="2171.88"/>
    <n v="1257.78"/>
    <n v="1622"/>
    <n v="912"/>
    <x v="1"/>
    <x v="0"/>
  </r>
  <r>
    <s v="istree_exp5_numerical_stability_vs_time/step10541.txt"/>
    <x v="2"/>
    <n v="208"/>
    <s v="reclaimer_debra"/>
    <s v="allocator_new"/>
    <s v="pool_none"/>
    <n v="2000"/>
    <n v="0.5"/>
    <n v="0.5"/>
    <n v="0"/>
    <n v="1"/>
    <n v="20000000"/>
    <n v="190"/>
    <n v="190"/>
    <n v="190"/>
    <n v="0"/>
    <s v="insertIfAbsent"/>
    <n v="100009415404503"/>
    <n v="9999666"/>
    <n v="100009415404503"/>
    <n v="9999666"/>
    <s v="success"/>
    <n v="9"/>
    <n v="199479"/>
    <n v="1373997"/>
    <n v="1573476"/>
    <n v="9999666"/>
    <n v="7.8879299999999999"/>
    <n v="7.2777900000000004"/>
    <n v="7.3551399999999996"/>
    <n v="8"/>
    <n v="327283008"/>
    <m/>
    <m/>
    <m/>
    <n v="3582"/>
    <m/>
    <m/>
    <n v="476790040"/>
    <n v="0"/>
    <n v="4819297"/>
    <n v="476790040"/>
    <n v="481609337"/>
    <n v="238395020"/>
    <n v="0"/>
    <n v="2409648"/>
    <n v="238395020"/>
    <n v="240804668"/>
    <n v="16.8246"/>
    <n v="5.6114199999999999"/>
    <n v="2177.71"/>
    <n v="1263.3599999999999"/>
    <n v="1644"/>
    <n v="932"/>
    <x v="1"/>
    <x v="1"/>
  </r>
  <r>
    <s v="istree_exp5_numerical_stability_vs_time/step10542.txt"/>
    <x v="2"/>
    <n v="208"/>
    <s v="reclaimer_debra"/>
    <s v="allocator_new"/>
    <s v="pool_none"/>
    <n v="4000"/>
    <n v="0.5"/>
    <n v="0.5"/>
    <n v="0"/>
    <n v="1"/>
    <n v="20000000"/>
    <n v="190"/>
    <n v="190"/>
    <n v="190"/>
    <n v="0"/>
    <s v="insertIfAbsent"/>
    <n v="100003587253046"/>
    <n v="10001008"/>
    <n v="100003587253046"/>
    <n v="10001008"/>
    <s v="success"/>
    <n v="9"/>
    <n v="207991"/>
    <n v="1432179"/>
    <n v="1640170"/>
    <n v="10001008"/>
    <n v="7.8857699999999999"/>
    <n v="6.9830699999999997"/>
    <n v="7.0975400000000004"/>
    <n v="8"/>
    <n v="341155360"/>
    <m/>
    <m/>
    <m/>
    <n v="6452"/>
    <m/>
    <m/>
    <n v="941197252"/>
    <n v="0"/>
    <n v="9508911"/>
    <n v="941197252"/>
    <n v="950706163"/>
    <n v="235299313"/>
    <n v="0"/>
    <n v="2377227"/>
    <n v="235299313"/>
    <n v="237676540"/>
    <n v="16.914200000000001"/>
    <n v="5.6599599999999999"/>
    <n v="2209.09"/>
    <n v="1300.97"/>
    <n v="1642"/>
    <n v="945"/>
    <x v="1"/>
    <x v="2"/>
  </r>
  <r>
    <s v="istree_exp5_numerical_stability_vs_time/step10543.txt"/>
    <x v="2"/>
    <n v="208"/>
    <s v="reclaimer_debra"/>
    <s v="allocator_new"/>
    <s v="pool_none"/>
    <n v="8000"/>
    <n v="0.5"/>
    <n v="0.5"/>
    <n v="0"/>
    <n v="1"/>
    <n v="20000000"/>
    <n v="190"/>
    <n v="190"/>
    <n v="190"/>
    <n v="0"/>
    <s v="insertIfAbsent"/>
    <n v="99951062095146"/>
    <n v="9997847"/>
    <n v="99951062095146"/>
    <n v="9997847"/>
    <s v="success"/>
    <n v="9"/>
    <n v="220120"/>
    <n v="1514130"/>
    <n v="1734250"/>
    <n v="9997847"/>
    <n v="7.87866"/>
    <n v="6.6030300000000004"/>
    <n v="6.7649400000000002"/>
    <n v="8"/>
    <n v="360724000"/>
    <m/>
    <m/>
    <m/>
    <n v="12000"/>
    <m/>
    <m/>
    <n v="1858552016"/>
    <n v="0"/>
    <n v="18773091"/>
    <n v="1858552016"/>
    <n v="1877325107"/>
    <n v="232319002"/>
    <n v="0"/>
    <n v="2346636"/>
    <n v="232319002"/>
    <n v="234665638"/>
    <n v="17.0381"/>
    <n v="5.7214999999999998"/>
    <n v="2240.69"/>
    <n v="1330.23"/>
    <n v="1674"/>
    <n v="931"/>
    <x v="1"/>
    <x v="3"/>
  </r>
  <r>
    <s v="istree_exp5_numerical_stability_vs_time/step10544.txt"/>
    <x v="2"/>
    <n v="208"/>
    <s v="reclaimer_debra"/>
    <s v="allocator_new"/>
    <s v="pool_none"/>
    <n v="16000"/>
    <n v="0.5"/>
    <n v="0.5"/>
    <n v="0"/>
    <n v="1"/>
    <n v="20000000"/>
    <n v="190"/>
    <n v="190"/>
    <n v="190"/>
    <n v="0"/>
    <s v="insertIfAbsent"/>
    <n v="99996244913373"/>
    <n v="9997417"/>
    <n v="99996244913373"/>
    <n v="9997417"/>
    <s v="success"/>
    <n v="9"/>
    <n v="235641"/>
    <n v="1619213"/>
    <n v="1854854"/>
    <n v="9997417"/>
    <n v="7.8715200000000003"/>
    <n v="6.1742400000000002"/>
    <n v="6.3898700000000002"/>
    <n v="8"/>
    <n v="385809632"/>
    <m/>
    <m/>
    <m/>
    <n v="23146"/>
    <m/>
    <m/>
    <n v="3656890579"/>
    <n v="0"/>
    <n v="36942153"/>
    <n v="3656890579"/>
    <n v="3693832732"/>
    <n v="228555661"/>
    <n v="0"/>
    <n v="2308884"/>
    <n v="228555661"/>
    <n v="230864545"/>
    <n v="17.255400000000002"/>
    <n v="5.80579"/>
    <n v="2277.85"/>
    <n v="1362.37"/>
    <n v="1683"/>
    <n v="915"/>
    <x v="1"/>
    <x v="4"/>
  </r>
  <r>
    <s v="istree_exp5_numerical_stability_vs_time/step10545.txt"/>
    <x v="2"/>
    <n v="208"/>
    <s v="reclaimer_debra"/>
    <s v="allocator_new"/>
    <s v="pool_none"/>
    <n v="32000"/>
    <n v="0.5"/>
    <n v="0.5"/>
    <n v="0"/>
    <n v="1"/>
    <n v="20000000"/>
    <n v="190"/>
    <n v="190"/>
    <n v="190"/>
    <n v="0"/>
    <s v="insertIfAbsent"/>
    <n v="100037393783199"/>
    <n v="10003092"/>
    <n v="100037393783199"/>
    <n v="10003092"/>
    <s v="success"/>
    <n v="9"/>
    <n v="253513"/>
    <n v="1740531"/>
    <n v="1994044"/>
    <n v="10003092"/>
    <n v="7.8656499999999996"/>
    <n v="5.7471500000000004"/>
    <n v="6.0164900000000001"/>
    <n v="8"/>
    <n v="414761152"/>
    <m/>
    <m/>
    <m/>
    <s v="532 44880"/>
    <m/>
    <m/>
    <n v="7207824959"/>
    <n v="0"/>
    <n v="72817477"/>
    <n v="7207824959"/>
    <n v="7280642436"/>
    <n v="225244529"/>
    <n v="0"/>
    <n v="2275546"/>
    <n v="225244529"/>
    <n v="227520076"/>
    <n v="17.436800000000002"/>
    <n v="5.9238099999999996"/>
    <n v="2309.85"/>
    <n v="1396.97"/>
    <n v="1715"/>
    <n v="925"/>
    <x v="1"/>
    <x v="5"/>
  </r>
  <r>
    <s v="istree_exp5_numerical_stability_vs_time/step10546.txt"/>
    <x v="2"/>
    <n v="208"/>
    <s v="reclaimer_debra"/>
    <s v="allocator_new"/>
    <s v="pool_none"/>
    <n v="64000"/>
    <n v="0.5"/>
    <n v="0.5"/>
    <n v="0"/>
    <n v="1"/>
    <n v="20000000"/>
    <n v="190"/>
    <n v="190"/>
    <n v="190"/>
    <n v="0"/>
    <s v="insertIfAbsent"/>
    <n v="100004441042745"/>
    <n v="9999559"/>
    <n v="100004441042745"/>
    <n v="9999559"/>
    <s v="success"/>
    <n v="9"/>
    <n v="272974"/>
    <n v="1856625"/>
    <n v="2129599"/>
    <n v="9999559"/>
    <n v="7.8014700000000001"/>
    <n v="5.3858800000000002"/>
    <n v="5.6955099999999996"/>
    <n v="8"/>
    <n v="442956592"/>
    <m/>
    <m/>
    <m/>
    <n v="88080"/>
    <m/>
    <m/>
    <n v="14177140028"/>
    <n v="0"/>
    <n v="143211057"/>
    <n v="14177140028"/>
    <n v="14320351085"/>
    <n v="221517812"/>
    <n v="0"/>
    <n v="2237672"/>
    <n v="221517812"/>
    <n v="223755485"/>
    <n v="17.634899999999998"/>
    <n v="6.0493499999999996"/>
    <n v="2350.1"/>
    <n v="1426.36"/>
    <n v="1741"/>
    <n v="939"/>
    <x v="1"/>
    <x v="6"/>
  </r>
  <r>
    <s v="istree_exp5_numerical_stability_vs_time/step10547.txt"/>
    <x v="1"/>
    <m/>
    <s v="reclaimer_debra"/>
    <s v="allocator_new"/>
    <s v="pool_none"/>
    <n v="1000"/>
    <n v="0.5"/>
    <n v="0.5"/>
    <n v="0"/>
    <n v="1"/>
    <n v="20000000"/>
    <n v="190"/>
    <n v="190"/>
    <n v="190"/>
    <n v="0"/>
    <s v="insertIfAbsent"/>
    <n v="99983328128849"/>
    <n v="9999830"/>
    <n v="99983328128849"/>
    <n v="9999830"/>
    <s v="success"/>
    <n v="29"/>
    <n v="5778922"/>
    <n v="4339492"/>
    <n v="10118414"/>
    <n v="9999830"/>
    <n v="1.75092"/>
    <n v="2.3043800000000001"/>
    <n v="1.98828"/>
    <n v="22.713699999999999"/>
    <n v="566631184"/>
    <m/>
    <m/>
    <m/>
    <s v="164 836"/>
    <m/>
    <m/>
    <n v="112802099"/>
    <n v="0"/>
    <n v="1140104"/>
    <n v="112802099"/>
    <n v="113942203"/>
    <n v="112802099"/>
    <n v="0"/>
    <n v="1140104"/>
    <n v="112802099"/>
    <n v="113942203"/>
    <n v="28.744199999999999"/>
    <n v="10.4452"/>
    <n v="4612.3900000000003"/>
    <n v="3257.54"/>
    <n v="1762"/>
    <n v="425"/>
    <x v="1"/>
    <x v="0"/>
  </r>
  <r>
    <s v="istree_exp5_numerical_stability_vs_time/step10548.txt"/>
    <x v="1"/>
    <m/>
    <s v="reclaimer_debra"/>
    <s v="allocator_new"/>
    <s v="pool_none"/>
    <n v="2000"/>
    <n v="0.5"/>
    <n v="0.5"/>
    <n v="0"/>
    <n v="1"/>
    <n v="20000000"/>
    <n v="190"/>
    <n v="190"/>
    <n v="190"/>
    <n v="0"/>
    <s v="insertIfAbsent"/>
    <n v="99970882908005"/>
    <n v="10000263"/>
    <n v="99970882908005"/>
    <n v="10000263"/>
    <s v="success"/>
    <n v="29"/>
    <n v="5840242"/>
    <n v="4391122"/>
    <n v="10231364"/>
    <n v="10000263"/>
    <n v="1.75187"/>
    <n v="2.27738"/>
    <n v="1.9774099999999999"/>
    <n v="22.726099999999999"/>
    <n v="572956384"/>
    <m/>
    <m/>
    <m/>
    <s v="148 1520"/>
    <m/>
    <m/>
    <n v="226587722"/>
    <n v="0"/>
    <n v="2292641"/>
    <n v="226587722"/>
    <n v="228880363"/>
    <n v="113293861"/>
    <n v="0"/>
    <n v="1146320"/>
    <n v="113293861"/>
    <n v="114440181"/>
    <n v="28.627800000000001"/>
    <n v="10.574"/>
    <n v="4612.75"/>
    <n v="3191.55"/>
    <n v="1769"/>
    <n v="433"/>
    <x v="1"/>
    <x v="1"/>
  </r>
  <r>
    <s v="istree_exp5_numerical_stability_vs_time/step10549.txt"/>
    <x v="1"/>
    <m/>
    <s v="reclaimer_debra"/>
    <s v="allocator_new"/>
    <s v="pool_none"/>
    <n v="4000"/>
    <n v="0.5"/>
    <n v="0.5"/>
    <n v="0"/>
    <n v="1"/>
    <n v="20000000"/>
    <n v="190"/>
    <n v="190"/>
    <n v="190"/>
    <n v="0"/>
    <s v="insertIfAbsent"/>
    <n v="100007206514102"/>
    <n v="10000175"/>
    <n v="100007206514102"/>
    <n v="10000175"/>
    <s v="success"/>
    <n v="29"/>
    <n v="5953497"/>
    <n v="4483475"/>
    <n v="10436972"/>
    <n v="10000175"/>
    <n v="1.75308"/>
    <n v="2.2304499999999998"/>
    <n v="1.9581500000000001"/>
    <n v="22.805299999999999"/>
    <n v="584470432"/>
    <m/>
    <m/>
    <m/>
    <s v="168 2876"/>
    <m/>
    <m/>
    <n v="457570214"/>
    <n v="0"/>
    <n v="4618841"/>
    <n v="457570214"/>
    <n v="462189055"/>
    <n v="114392553"/>
    <n v="0"/>
    <n v="1154710"/>
    <n v="114392553"/>
    <n v="115547263"/>
    <n v="28.681899999999999"/>
    <n v="10.6592"/>
    <n v="4568.59"/>
    <n v="3206.53"/>
    <n v="1782"/>
    <n v="443"/>
    <x v="1"/>
    <x v="2"/>
  </r>
  <r>
    <s v="istree_exp5_numerical_stability_vs_time/step10550.txt"/>
    <x v="1"/>
    <m/>
    <s v="reclaimer_debra"/>
    <s v="allocator_new"/>
    <s v="pool_none"/>
    <n v="8000"/>
    <n v="0.5"/>
    <n v="0.5"/>
    <n v="0"/>
    <n v="1"/>
    <n v="20000000"/>
    <n v="190"/>
    <n v="190"/>
    <n v="190"/>
    <n v="0"/>
    <s v="insertIfAbsent"/>
    <n v="99996874012919"/>
    <n v="10000522"/>
    <n v="99996874012919"/>
    <n v="10000522"/>
    <s v="success"/>
    <n v="29"/>
    <n v="6140694"/>
    <n v="4634705"/>
    <n v="10775399"/>
    <n v="10000522"/>
    <n v="1.75475"/>
    <n v="2.1577500000000001"/>
    <n v="1.9280900000000001"/>
    <n v="22.873999999999999"/>
    <n v="603422344"/>
    <m/>
    <m/>
    <m/>
    <s v="164 5580"/>
    <m/>
    <m/>
    <n v="907186324"/>
    <n v="0"/>
    <n v="9158844"/>
    <n v="907186324"/>
    <n v="916345168"/>
    <n v="113398290"/>
    <n v="0"/>
    <n v="1144855"/>
    <n v="113398290"/>
    <n v="114543146"/>
    <n v="28.811599999999999"/>
    <n v="10.734999999999999"/>
    <n v="4608.72"/>
    <n v="3238.88"/>
    <n v="1805"/>
    <n v="432"/>
    <x v="1"/>
    <x v="3"/>
  </r>
  <r>
    <s v="istree_exp5_numerical_stability_vs_time/step10551.txt"/>
    <x v="1"/>
    <m/>
    <s v="reclaimer_debra"/>
    <s v="allocator_new"/>
    <s v="pool_none"/>
    <n v="16000"/>
    <n v="0.5"/>
    <n v="0.5"/>
    <n v="0"/>
    <n v="1"/>
    <n v="20000000"/>
    <n v="190"/>
    <n v="190"/>
    <n v="190"/>
    <n v="0"/>
    <s v="insertIfAbsent"/>
    <n v="100013870776004"/>
    <n v="10002028"/>
    <n v="100013870776004"/>
    <n v="10002028"/>
    <s v="success"/>
    <n v="29"/>
    <n v="6408870"/>
    <n v="4846163"/>
    <n v="11255033"/>
    <n v="10002028"/>
    <n v="1.7561599999999999"/>
    <n v="2.0639099999999999"/>
    <n v="1.8886700000000001"/>
    <n v="23.032499999999999"/>
    <n v="630281848"/>
    <m/>
    <m/>
    <m/>
    <s v="166 10984"/>
    <m/>
    <m/>
    <n v="1814303458"/>
    <n v="0"/>
    <n v="18314896"/>
    <n v="1814303458"/>
    <n v="1832618354"/>
    <n v="113393966"/>
    <n v="0"/>
    <n v="1144681"/>
    <n v="113393966"/>
    <n v="114538647"/>
    <n v="29.081299999999999"/>
    <n v="10.806800000000001"/>
    <n v="4605.9799999999996"/>
    <n v="3240.15"/>
    <n v="1836"/>
    <n v="431"/>
    <x v="1"/>
    <x v="4"/>
  </r>
  <r>
    <s v="istree_exp5_numerical_stability_vs_time/step10552.txt"/>
    <x v="1"/>
    <m/>
    <s v="reclaimer_debra"/>
    <s v="allocator_new"/>
    <s v="pool_none"/>
    <n v="32000"/>
    <n v="0.5"/>
    <n v="0.5"/>
    <n v="0"/>
    <n v="1"/>
    <n v="20000000"/>
    <n v="190"/>
    <n v="190"/>
    <n v="190"/>
    <n v="0"/>
    <s v="insertIfAbsent"/>
    <n v="99994951541371"/>
    <n v="9999016"/>
    <n v="99994951541371"/>
    <n v="9999016"/>
    <s v="success"/>
    <n v="29"/>
    <n v="6677394"/>
    <n v="5057711"/>
    <n v="11735105"/>
    <n v="9999016"/>
    <n v="1.7574399999999999"/>
    <n v="1.97698"/>
    <n v="1.85206"/>
    <n v="23.1936"/>
    <n v="657165880"/>
    <m/>
    <m/>
    <m/>
    <s v="168 21666"/>
    <m/>
    <m/>
    <n v="3600042785"/>
    <n v="0"/>
    <n v="36359328"/>
    <n v="3600042785"/>
    <n v="3636402113"/>
    <n v="112501337"/>
    <n v="0"/>
    <n v="1136229"/>
    <n v="112501337"/>
    <n v="113637566"/>
    <n v="28.9392"/>
    <n v="10.8947"/>
    <n v="4641.67"/>
    <n v="3262.42"/>
    <n v="1868"/>
    <n v="445"/>
    <x v="1"/>
    <x v="5"/>
  </r>
  <r>
    <s v="istree_exp5_numerical_stability_vs_time/step10553.txt"/>
    <x v="1"/>
    <m/>
    <s v="reclaimer_debra"/>
    <s v="allocator_new"/>
    <s v="pool_none"/>
    <n v="64000"/>
    <n v="0.5"/>
    <n v="0.5"/>
    <n v="0"/>
    <n v="1"/>
    <n v="20000000"/>
    <n v="190"/>
    <n v="190"/>
    <n v="190"/>
    <n v="0"/>
    <s v="insertIfAbsent"/>
    <n v="100021662388354"/>
    <n v="10000794"/>
    <n v="100021662388354"/>
    <n v="10000794"/>
    <s v="success"/>
    <n v="29"/>
    <n v="6828200"/>
    <n v="5178256"/>
    <n v="12006456"/>
    <n v="10000794"/>
    <n v="1.7583599999999999"/>
    <n v="1.9313100000000001"/>
    <n v="1.8329500000000001"/>
    <n v="23.2027"/>
    <n v="672361536"/>
    <m/>
    <m/>
    <m/>
    <n v="42846"/>
    <m/>
    <m/>
    <n v="7160918426"/>
    <n v="0"/>
    <n v="72329507"/>
    <n v="7160918426"/>
    <n v="7233247933"/>
    <n v="111889350"/>
    <n v="0"/>
    <n v="1130148"/>
    <n v="111889350"/>
    <n v="113019498"/>
    <n v="29.197700000000001"/>
    <n v="10.9908"/>
    <n v="4665.7299999999996"/>
    <n v="3291.88"/>
    <n v="1886"/>
    <n v="425"/>
    <x v="1"/>
    <x v="6"/>
  </r>
  <r>
    <s v="istree_exp5_numerical_stability_vs_time/step10554.txt"/>
    <x v="3"/>
    <m/>
    <s v="reclaimer_debra"/>
    <s v="allocator_new"/>
    <s v="pool_none"/>
    <n v="1000"/>
    <n v="0.5"/>
    <n v="0.5"/>
    <n v="0"/>
    <n v="1"/>
    <n v="20000000"/>
    <n v="190"/>
    <n v="190"/>
    <n v="190"/>
    <n v="0"/>
    <s v="insertIfAbsent"/>
    <n v="100000454554973"/>
    <n v="10001361"/>
    <n v="100000454554973"/>
    <n v="10001361"/>
    <s v="success"/>
    <n v="58"/>
    <n v="10001360"/>
    <n v="10001361"/>
    <n v="20002721"/>
    <n v="10001361"/>
    <n v="2"/>
    <n v="1"/>
    <n v="1.5"/>
    <n v="30.631799999999998"/>
    <n v="640087072"/>
    <m/>
    <m/>
    <m/>
    <s v="148 748"/>
    <m/>
    <m/>
    <n v="97520112"/>
    <n v="0"/>
    <n v="985618"/>
    <n v="97520112"/>
    <n v="98505730"/>
    <n v="97520112"/>
    <n v="0"/>
    <n v="985618"/>
    <n v="97520112"/>
    <n v="98505730"/>
    <n v="24.738800000000001"/>
    <n v="9.7728000000000002"/>
    <n v="5328.06"/>
    <n v="4299.16"/>
    <n v="1754"/>
    <n v="414"/>
    <x v="1"/>
    <x v="0"/>
  </r>
  <r>
    <s v="istree_exp5_numerical_stability_vs_time/step10555.txt"/>
    <x v="3"/>
    <m/>
    <s v="reclaimer_debra"/>
    <s v="allocator_new"/>
    <s v="pool_none"/>
    <n v="2000"/>
    <n v="0.5"/>
    <n v="0.5"/>
    <n v="0"/>
    <n v="1"/>
    <n v="20000000"/>
    <n v="190"/>
    <n v="190"/>
    <n v="190"/>
    <n v="0"/>
    <s v="insertIfAbsent"/>
    <n v="100008538536950"/>
    <n v="10001352"/>
    <n v="100008538536950"/>
    <n v="10001352"/>
    <s v="success"/>
    <n v="59"/>
    <n v="10001351"/>
    <n v="10001352"/>
    <n v="20002703"/>
    <n v="10001352"/>
    <n v="2"/>
    <n v="1"/>
    <n v="1.5"/>
    <n v="30.918700000000001"/>
    <n v="640086496"/>
    <m/>
    <m/>
    <m/>
    <s v="150 1328"/>
    <m/>
    <m/>
    <n v="197081565"/>
    <n v="0"/>
    <n v="1988103"/>
    <n v="197081565"/>
    <n v="199069668"/>
    <n v="98540782"/>
    <n v="0"/>
    <n v="994051"/>
    <n v="98540782"/>
    <n v="99534834"/>
    <n v="24.8019"/>
    <n v="9.9127500000000008"/>
    <n v="5303"/>
    <n v="4278.33"/>
    <n v="1754"/>
    <n v="419"/>
    <x v="1"/>
    <x v="1"/>
  </r>
  <r>
    <s v="istree_exp5_numerical_stability_vs_time/step10556.txt"/>
    <x v="3"/>
    <m/>
    <s v="reclaimer_debra"/>
    <s v="allocator_new"/>
    <s v="pool_none"/>
    <n v="4000"/>
    <n v="0.5"/>
    <n v="0.5"/>
    <n v="0"/>
    <n v="1"/>
    <n v="20000000"/>
    <n v="190"/>
    <n v="190"/>
    <n v="190"/>
    <n v="0"/>
    <s v="insertIfAbsent"/>
    <n v="100000564098111"/>
    <n v="10000209"/>
    <n v="100000564098111"/>
    <n v="10000209"/>
    <s v="success"/>
    <n v="61"/>
    <n v="10000208"/>
    <n v="10000209"/>
    <n v="20000417"/>
    <n v="10000209"/>
    <n v="2"/>
    <n v="1"/>
    <n v="1.5"/>
    <n v="30.986699999999999"/>
    <n v="640013344"/>
    <m/>
    <m/>
    <m/>
    <n v="2486"/>
    <m/>
    <m/>
    <n v="395929584"/>
    <n v="0"/>
    <n v="3998784"/>
    <n v="395929584"/>
    <n v="399928368"/>
    <n v="98982396"/>
    <n v="0"/>
    <n v="999696"/>
    <n v="98982396"/>
    <n v="99982092"/>
    <n v="24.8413"/>
    <n v="10.0291"/>
    <n v="5289.99"/>
    <n v="4271.04"/>
    <n v="1754"/>
    <n v="408"/>
    <x v="1"/>
    <x v="2"/>
  </r>
  <r>
    <s v="istree_exp5_numerical_stability_vs_time/step10557.txt"/>
    <x v="3"/>
    <m/>
    <s v="reclaimer_debra"/>
    <s v="allocator_new"/>
    <s v="pool_none"/>
    <n v="8000"/>
    <n v="0.5"/>
    <n v="0.5"/>
    <n v="0"/>
    <n v="1"/>
    <n v="20000000"/>
    <n v="190"/>
    <n v="190"/>
    <n v="190"/>
    <n v="0"/>
    <s v="insertIfAbsent"/>
    <n v="99975041629459"/>
    <n v="10000715"/>
    <n v="99975041629459"/>
    <n v="10000715"/>
    <s v="success"/>
    <n v="61"/>
    <n v="10000714"/>
    <n v="10000715"/>
    <n v="20001429"/>
    <n v="10000715"/>
    <n v="2"/>
    <n v="1"/>
    <n v="1.5"/>
    <n v="31.628"/>
    <n v="640045728"/>
    <m/>
    <m/>
    <m/>
    <s v="150 4828"/>
    <m/>
    <m/>
    <n v="796750651"/>
    <n v="0"/>
    <n v="8046924"/>
    <n v="796750651"/>
    <n v="804797575"/>
    <n v="99593831"/>
    <n v="0"/>
    <n v="1005865"/>
    <n v="99593831"/>
    <n v="100599696"/>
    <n v="24.980599999999999"/>
    <n v="10.1404"/>
    <n v="5254.32"/>
    <n v="4252.88"/>
    <n v="1754"/>
    <n v="417"/>
    <x v="1"/>
    <x v="3"/>
  </r>
  <r>
    <s v="istree_exp5_numerical_stability_vs_time/step10558.txt"/>
    <x v="3"/>
    <m/>
    <s v="reclaimer_debra"/>
    <s v="allocator_new"/>
    <s v="pool_none"/>
    <n v="16000"/>
    <n v="0.5"/>
    <n v="0.5"/>
    <n v="0"/>
    <n v="1"/>
    <n v="20000000"/>
    <n v="190"/>
    <n v="190"/>
    <n v="190"/>
    <n v="0"/>
    <s v="insertIfAbsent"/>
    <n v="100017058867169"/>
    <n v="10001623"/>
    <n v="100017058867169"/>
    <n v="10001623"/>
    <s v="success"/>
    <n v="60"/>
    <n v="10001622"/>
    <n v="10001623"/>
    <n v="20003245"/>
    <n v="10001623"/>
    <n v="2"/>
    <n v="1"/>
    <n v="1.5"/>
    <n v="30.857900000000001"/>
    <n v="640103840"/>
    <m/>
    <m/>
    <m/>
    <n v="9434"/>
    <m/>
    <m/>
    <n v="1583992825"/>
    <n v="0"/>
    <n v="16000806"/>
    <n v="1583992825"/>
    <n v="1599993631"/>
    <n v="98999551"/>
    <n v="0"/>
    <n v="1000050"/>
    <n v="98999551"/>
    <n v="99999601"/>
    <n v="25.234500000000001"/>
    <n v="10.2416"/>
    <n v="5288.19"/>
    <n v="4281.33"/>
    <n v="1758"/>
    <n v="410"/>
    <x v="1"/>
    <x v="4"/>
  </r>
  <r>
    <s v="istree_exp5_numerical_stability_vs_time/step10559.txt"/>
    <x v="3"/>
    <m/>
    <s v="reclaimer_debra"/>
    <s v="allocator_new"/>
    <s v="pool_none"/>
    <n v="32000"/>
    <n v="0.5"/>
    <n v="0.5"/>
    <n v="0"/>
    <n v="1"/>
    <n v="20000000"/>
    <n v="190"/>
    <n v="190"/>
    <n v="190"/>
    <n v="0"/>
    <s v="insertIfAbsent"/>
    <n v="100029814901760"/>
    <n v="10003006"/>
    <n v="100029814901760"/>
    <n v="10003006"/>
    <s v="success"/>
    <n v="57"/>
    <n v="10003005"/>
    <n v="10003006"/>
    <n v="20006011"/>
    <n v="10003006"/>
    <n v="2"/>
    <n v="1"/>
    <n v="1.5"/>
    <n v="31.027100000000001"/>
    <n v="640192352"/>
    <m/>
    <m/>
    <m/>
    <s v="152 18652"/>
    <m/>
    <m/>
    <n v="3163500190"/>
    <n v="0"/>
    <n v="31956747"/>
    <n v="3163500190"/>
    <n v="3195456937"/>
    <n v="98859380"/>
    <n v="0"/>
    <n v="998648"/>
    <n v="98859380"/>
    <n v="99858029"/>
    <n v="25.298200000000001"/>
    <n v="10.363899999999999"/>
    <n v="5295.68"/>
    <n v="4298.6899999999996"/>
    <n v="1759"/>
    <n v="433"/>
    <x v="1"/>
    <x v="5"/>
  </r>
  <r>
    <s v="istree_exp5_numerical_stability_vs_time/step10560.txt"/>
    <x v="3"/>
    <m/>
    <s v="reclaimer_debra"/>
    <s v="allocator_new"/>
    <s v="pool_none"/>
    <n v="64000"/>
    <n v="0.5"/>
    <n v="0.5"/>
    <n v="0"/>
    <n v="1"/>
    <n v="20000000"/>
    <n v="190"/>
    <n v="190"/>
    <n v="190"/>
    <n v="0"/>
    <s v="insertIfAbsent"/>
    <n v="99963981814562"/>
    <n v="9995925"/>
    <n v="99963981814562"/>
    <n v="9995925"/>
    <s v="success"/>
    <n v="62"/>
    <n v="9995924"/>
    <n v="9995925"/>
    <n v="19991849"/>
    <n v="9995925"/>
    <n v="2"/>
    <n v="1"/>
    <n v="1.5"/>
    <n v="30.6965"/>
    <n v="639739168"/>
    <m/>
    <m/>
    <m/>
    <s v="148 36844"/>
    <m/>
    <m/>
    <n v="6282394632"/>
    <n v="0"/>
    <n v="63449163"/>
    <n v="6282394632"/>
    <n v="6345843795"/>
    <n v="98162416"/>
    <n v="0"/>
    <n v="991393"/>
    <n v="98162416"/>
    <n v="99153809"/>
    <n v="25.5382"/>
    <n v="10.459300000000001"/>
    <n v="5334.23"/>
    <n v="4339.8599999999997"/>
    <n v="1769"/>
    <n v="409"/>
    <x v="1"/>
    <x v="6"/>
  </r>
  <r>
    <s v="istree_exp5_numerical_stability_vs_time/step10561.txt"/>
    <x v="0"/>
    <n v="72"/>
    <s v="reclaimer_debra"/>
    <s v="allocator_new"/>
    <s v="pool_none"/>
    <n v="1000"/>
    <n v="0.5"/>
    <n v="0.5"/>
    <n v="0"/>
    <n v="1"/>
    <n v="200000000"/>
    <n v="190"/>
    <n v="190"/>
    <n v="190"/>
    <n v="0"/>
    <s v="insertIfAbsent"/>
    <n v="9999318920333790"/>
    <n v="99999966"/>
    <n v="9999318920333790"/>
    <n v="99999966"/>
    <s v="success"/>
    <n v="7"/>
    <n v="11511680"/>
    <n v="111004966"/>
    <n v="122516646"/>
    <n v="99999966"/>
    <n v="10.642799999999999"/>
    <n v="0.90085999999999999"/>
    <n v="1.8162199999999999"/>
    <n v="4.0100800000000003"/>
    <n v="2697090656"/>
    <s v="0 0 0 1870 4913"/>
    <s v="0 0 0 1870 4913"/>
    <m/>
    <n v="1226"/>
    <m/>
    <m/>
    <n v="202025930"/>
    <n v="0"/>
    <n v="2040452"/>
    <n v="202025930"/>
    <n v="204066382"/>
    <n v="202025930"/>
    <n v="0"/>
    <n v="2040452"/>
    <n v="202025930"/>
    <n v="204066382"/>
    <n v="18.881799999999998"/>
    <n v="8.8285599999999995"/>
    <n v="2587.67"/>
    <n v="1859.13"/>
    <n v="7415"/>
    <n v="1144"/>
    <x v="8"/>
    <x v="0"/>
  </r>
  <r>
    <s v="istree_exp5_numerical_stability_vs_time/step10562.txt"/>
    <x v="0"/>
    <n v="72"/>
    <s v="reclaimer_debra"/>
    <s v="allocator_new"/>
    <s v="pool_none"/>
    <n v="2000"/>
    <n v="0.5"/>
    <n v="0.5"/>
    <n v="0"/>
    <n v="1"/>
    <n v="200000000"/>
    <n v="190"/>
    <n v="190"/>
    <n v="190"/>
    <n v="0"/>
    <s v="insertIfAbsent"/>
    <n v="9999508081026140"/>
    <n v="100001454"/>
    <n v="9999508081026140"/>
    <n v="100001454"/>
    <s v="success"/>
    <n v="7"/>
    <n v="11979660"/>
    <n v="111949401"/>
    <n v="123929061"/>
    <n v="100001454"/>
    <n v="10.345000000000001"/>
    <n v="0.89327400000000001"/>
    <n v="1.8069200000000001"/>
    <n v="4.0196199999999997"/>
    <n v="2749832928"/>
    <s v="0 0 0 13639 17722"/>
    <s v="0 0 0 13639 17722"/>
    <m/>
    <n v="2482"/>
    <m/>
    <m/>
    <n v="401525613"/>
    <n v="0"/>
    <n v="4056914"/>
    <n v="401525613"/>
    <n v="405582527"/>
    <n v="200762806"/>
    <n v="0"/>
    <n v="2028457"/>
    <n v="200762806"/>
    <n v="202791263"/>
    <n v="18.985900000000001"/>
    <n v="8.9149200000000004"/>
    <n v="2606.21"/>
    <n v="1865"/>
    <n v="7461"/>
    <n v="1142"/>
    <x v="8"/>
    <x v="1"/>
  </r>
  <r>
    <s v="istree_exp5_numerical_stability_vs_time/step10563.txt"/>
    <x v="0"/>
    <n v="72"/>
    <s v="reclaimer_debra"/>
    <s v="allocator_new"/>
    <s v="pool_none"/>
    <n v="4000"/>
    <n v="0.5"/>
    <n v="0.5"/>
    <n v="0"/>
    <n v="1"/>
    <n v="200000000"/>
    <n v="190"/>
    <n v="190"/>
    <n v="190"/>
    <n v="0"/>
    <s v="insertIfAbsent"/>
    <n v="9999658044892630"/>
    <n v="99998215"/>
    <n v="9999658044892630"/>
    <n v="99998215"/>
    <s v="success"/>
    <n v="7"/>
    <n v="12800461"/>
    <n v="113625535"/>
    <n v="126425996"/>
    <n v="99998215"/>
    <n v="9.8766800000000003"/>
    <n v="0.88006799999999996"/>
    <n v="1.7909600000000001"/>
    <n v="4.0365700000000002"/>
    <n v="2842899424"/>
    <s v="0 0 0 90129 60553"/>
    <s v="0 0 0 90129 60553"/>
    <m/>
    <n v="4914"/>
    <m/>
    <m/>
    <n v="796996100"/>
    <n v="0"/>
    <n v="8052022"/>
    <n v="796996100"/>
    <n v="805048122"/>
    <n v="199249025"/>
    <n v="0"/>
    <n v="2013005"/>
    <n v="199249025"/>
    <n v="201262030"/>
    <n v="19.091100000000001"/>
    <n v="9.0394000000000005"/>
    <n v="2624.96"/>
    <n v="1889.41"/>
    <n v="7567"/>
    <n v="1184"/>
    <x v="8"/>
    <x v="2"/>
  </r>
  <r>
    <s v="istree_exp5_numerical_stability_vs_time/step10564.txt"/>
    <x v="0"/>
    <n v="72"/>
    <s v="reclaimer_debra"/>
    <s v="allocator_new"/>
    <s v="pool_none"/>
    <n v="8000"/>
    <n v="0.5"/>
    <n v="0.5"/>
    <n v="0"/>
    <n v="1"/>
    <n v="200000000"/>
    <n v="190"/>
    <n v="190"/>
    <n v="190"/>
    <n v="0"/>
    <s v="insertIfAbsent"/>
    <n v="9999865592063200"/>
    <n v="99996087"/>
    <n v="9999865592063200"/>
    <n v="99996087"/>
    <s v="success"/>
    <n v="7"/>
    <n v="13989437"/>
    <n v="116118824"/>
    <n v="130108261"/>
    <n v="99996087"/>
    <n v="9.3004599999999993"/>
    <n v="0.86115299999999995"/>
    <n v="1.7685599999999999"/>
    <n v="4.0616099999999999"/>
    <n v="2979304752"/>
    <s v="0 0 2 511682 181234"/>
    <s v="0 0 2 511682 181234"/>
    <m/>
    <n v="9748"/>
    <m/>
    <m/>
    <n v="1584152198"/>
    <n v="0"/>
    <n v="16000852"/>
    <n v="1584152198"/>
    <n v="1600153050"/>
    <n v="198019024"/>
    <n v="0"/>
    <n v="2000106"/>
    <n v="198019024"/>
    <n v="200019131"/>
    <n v="19.241099999999999"/>
    <n v="9.23902"/>
    <n v="2641.02"/>
    <n v="1905.78"/>
    <n v="7755"/>
    <n v="1093"/>
    <x v="8"/>
    <x v="3"/>
  </r>
  <r>
    <s v="istree_exp5_numerical_stability_vs_time/step10565.txt"/>
    <x v="0"/>
    <n v="72"/>
    <s v="reclaimer_debra"/>
    <s v="allocator_new"/>
    <s v="pool_none"/>
    <n v="16000"/>
    <n v="0.5"/>
    <n v="0.5"/>
    <n v="0"/>
    <n v="1"/>
    <n v="200000000"/>
    <n v="190"/>
    <n v="190"/>
    <n v="190"/>
    <n v="0"/>
    <s v="insertIfAbsent"/>
    <n v="9999908409584080"/>
    <n v="99998151"/>
    <n v="9999908409584080"/>
    <n v="99998151"/>
    <s v="success"/>
    <n v="7"/>
    <n v="14945871"/>
    <n v="118265226"/>
    <n v="133211097"/>
    <n v="99998151"/>
    <n v="8.9129000000000005"/>
    <n v="0.84554099999999999"/>
    <n v="1.7506699999999999"/>
    <n v="4.0821399999999999"/>
    <n v="3092148288"/>
    <s v="0 0 23147 2207009 444701"/>
    <s v="0 0 23146 2207009 444701"/>
    <n v="1"/>
    <n v="19132"/>
    <m/>
    <m/>
    <n v="3117874915"/>
    <n v="0"/>
    <n v="31491006"/>
    <n v="3117874915"/>
    <n v="3149365921"/>
    <n v="194867182"/>
    <n v="0"/>
    <n v="1968187"/>
    <n v="194867182"/>
    <n v="196835370"/>
    <n v="19.299199999999999"/>
    <n v="9.4741499999999998"/>
    <n v="2682.96"/>
    <n v="1936.2"/>
    <n v="8099"/>
    <n v="1119"/>
    <x v="8"/>
    <x v="4"/>
  </r>
  <r>
    <s v="istree_exp5_numerical_stability_vs_time/step10566.txt"/>
    <x v="0"/>
    <n v="72"/>
    <s v="reclaimer_debra"/>
    <s v="allocator_new"/>
    <s v="pool_none"/>
    <n v="32000"/>
    <n v="0.5"/>
    <n v="0.5"/>
    <n v="0"/>
    <n v="1"/>
    <n v="200000000"/>
    <n v="190"/>
    <n v="190"/>
    <n v="190"/>
    <n v="0"/>
    <s v="insertIfAbsent"/>
    <n v="1.00006109750557E+16"/>
    <n v="100002983"/>
    <n v="1.00006109750557E+16"/>
    <n v="100002983"/>
    <s v="success"/>
    <n v="7"/>
    <n v="13329356"/>
    <n v="114723631"/>
    <n v="128052987"/>
    <n v="100002983"/>
    <n v="9.60684"/>
    <n v="0.87168599999999996"/>
    <n v="1.78095"/>
    <n v="4.0476299999999998"/>
    <n v="2903312592"/>
    <s v="2 10001 343649 4092806 768833"/>
    <s v="1 10000 343649 4092805 768833"/>
    <n v="4566"/>
    <n v="34552"/>
    <m/>
    <m/>
    <n v="6049173818"/>
    <n v="0"/>
    <n v="61105154"/>
    <n v="6049173818"/>
    <n v="6110278972"/>
    <n v="189036681"/>
    <n v="0"/>
    <n v="1909536"/>
    <n v="189036681"/>
    <n v="190946217"/>
    <n v="19.398299999999999"/>
    <n v="9.5637399999999992"/>
    <n v="2716.15"/>
    <n v="1969.77"/>
    <n v="13344"/>
    <n v="1130"/>
    <x v="8"/>
    <x v="5"/>
  </r>
  <r>
    <s v="istree_exp5_numerical_stability_vs_time/step10567.txt"/>
    <x v="0"/>
    <n v="72"/>
    <s v="reclaimer_debra"/>
    <s v="allocator_new"/>
    <s v="pool_none"/>
    <n v="64000"/>
    <n v="0.5"/>
    <n v="0.5"/>
    <n v="0"/>
    <n v="1"/>
    <n v="200000000"/>
    <n v="190"/>
    <n v="190"/>
    <n v="190"/>
    <n v="0"/>
    <s v="insertIfAbsent"/>
    <n v="1.00003204030278E+16"/>
    <n v="100000833"/>
    <n v="1.00003204030278E+16"/>
    <n v="100000833"/>
    <s v="success"/>
    <n v="7"/>
    <n v="14509615"/>
    <n v="117252856"/>
    <n v="131762471"/>
    <n v="100000833"/>
    <n v="9.0810499999999994"/>
    <n v="0.85286499999999998"/>
    <n v="1.75895"/>
    <n v="4.0727799999999998"/>
    <n v="3039934080"/>
    <s v="3 19994 688452 8780915 1606773"/>
    <s v="2 19994 688446 8780913 1606773"/>
    <n v="8820"/>
    <n v="63218"/>
    <m/>
    <m/>
    <n v="12025135279"/>
    <n v="0"/>
    <n v="121465935"/>
    <n v="12025135279"/>
    <n v="12146601214"/>
    <n v="187892738"/>
    <n v="0"/>
    <n v="1897905"/>
    <n v="187892738"/>
    <n v="189790643"/>
    <n v="19.433499999999999"/>
    <n v="9.6298100000000009"/>
    <n v="2734.49"/>
    <n v="1986.14"/>
    <n v="13841"/>
    <n v="1140"/>
    <x v="8"/>
    <x v="6"/>
  </r>
  <r>
    <s v="istree_exp5_numerical_stability_vs_time/step10568.txt"/>
    <x v="2"/>
    <n v="208"/>
    <s v="reclaimer_debra"/>
    <s v="allocator_new"/>
    <s v="pool_none"/>
    <n v="1000"/>
    <n v="0.5"/>
    <n v="0.5"/>
    <n v="0"/>
    <n v="1"/>
    <n v="200000000"/>
    <n v="190"/>
    <n v="190"/>
    <n v="190"/>
    <n v="0"/>
    <s v="insertIfAbsent"/>
    <n v="1.00004765996291E+16"/>
    <n v="100000777"/>
    <n v="1.00004765996291E+16"/>
    <n v="100000777"/>
    <s v="success"/>
    <n v="10"/>
    <n v="1861211"/>
    <n v="12804376"/>
    <n v="14665587"/>
    <n v="100000777"/>
    <n v="7.8795900000000003"/>
    <n v="7.8098900000000002"/>
    <n v="7.81874"/>
    <n v="9"/>
    <n v="3050442096"/>
    <m/>
    <m/>
    <m/>
    <s v="3040 4132"/>
    <m/>
    <m/>
    <n v="151928308"/>
    <n v="0"/>
    <n v="1537453"/>
    <n v="151928308"/>
    <n v="153465761"/>
    <n v="151928308"/>
    <n v="0"/>
    <n v="1537453"/>
    <n v="151928308"/>
    <n v="153465761"/>
    <n v="23.714400000000001"/>
    <n v="10.3771"/>
    <n v="3430.69"/>
    <n v="2451.81"/>
    <n v="5127"/>
    <n v="6042"/>
    <x v="8"/>
    <x v="0"/>
  </r>
  <r>
    <s v="istree_exp5_numerical_stability_vs_time/step10569.txt"/>
    <x v="2"/>
    <n v="208"/>
    <s v="reclaimer_debra"/>
    <s v="allocator_new"/>
    <s v="pool_none"/>
    <n v="2000"/>
    <n v="0.5"/>
    <n v="0.5"/>
    <n v="0"/>
    <n v="1"/>
    <n v="200000000"/>
    <n v="190"/>
    <n v="190"/>
    <n v="190"/>
    <n v="0"/>
    <s v="insertIfAbsent"/>
    <n v="1.00001229282436E+16"/>
    <n v="100001407"/>
    <n v="1.00001229282436E+16"/>
    <n v="100001407"/>
    <s v="success"/>
    <n v="10"/>
    <n v="1867863"/>
    <n v="12852745"/>
    <n v="14720608"/>
    <n v="100001407"/>
    <n v="7.8809899999999997"/>
    <n v="7.7805499999999999"/>
    <n v="7.7932899999999998"/>
    <n v="9"/>
    <n v="3061886464"/>
    <m/>
    <m/>
    <m/>
    <s v="2978 5034"/>
    <m/>
    <m/>
    <n v="306447703"/>
    <n v="0"/>
    <n v="3093495"/>
    <n v="306447703"/>
    <n v="309541198"/>
    <n v="153223851"/>
    <n v="0"/>
    <n v="1546747"/>
    <n v="153223851"/>
    <n v="154770599"/>
    <n v="23.662700000000001"/>
    <n v="10.4826"/>
    <n v="3408.71"/>
    <n v="2432.9299999999998"/>
    <n v="5154"/>
    <n v="6029"/>
    <x v="8"/>
    <x v="1"/>
  </r>
  <r>
    <s v="istree_exp5_numerical_stability_vs_time/step10570.txt"/>
    <x v="2"/>
    <n v="208"/>
    <s v="reclaimer_debra"/>
    <s v="allocator_new"/>
    <s v="pool_none"/>
    <n v="4000"/>
    <n v="0.5"/>
    <n v="0.5"/>
    <n v="0"/>
    <n v="1"/>
    <n v="200000000"/>
    <n v="190"/>
    <n v="190"/>
    <n v="190"/>
    <n v="0"/>
    <s v="insertIfAbsent"/>
    <n v="1.00001097974985E+16"/>
    <n v="99998957"/>
    <n v="1.00001097974985E+16"/>
    <n v="99998957"/>
    <s v="success"/>
    <n v="10"/>
    <n v="1880611"/>
    <n v="12939035"/>
    <n v="14819646"/>
    <n v="99998957"/>
    <n v="7.8802300000000001"/>
    <n v="7.7284699999999997"/>
    <n v="7.7477299999999998"/>
    <n v="9"/>
    <n v="3082486368"/>
    <m/>
    <m/>
    <m/>
    <s v="3130 6838"/>
    <m/>
    <m/>
    <n v="614390686"/>
    <n v="0"/>
    <n v="6209270"/>
    <n v="614390686"/>
    <n v="620599956"/>
    <n v="153597671"/>
    <n v="0"/>
    <n v="1552317"/>
    <n v="153597671"/>
    <n v="155149989"/>
    <n v="23.617999999999999"/>
    <n v="10.5236"/>
    <n v="3402.47"/>
    <n v="2432.37"/>
    <n v="5162"/>
    <n v="5983"/>
    <x v="8"/>
    <x v="2"/>
  </r>
  <r>
    <s v="istree_exp5_numerical_stability_vs_time/step10571.txt"/>
    <x v="2"/>
    <n v="208"/>
    <s v="reclaimer_debra"/>
    <s v="allocator_new"/>
    <s v="pool_none"/>
    <n v="8000"/>
    <n v="0.5"/>
    <n v="0.5"/>
    <n v="0"/>
    <n v="1"/>
    <n v="200000000"/>
    <n v="190"/>
    <n v="190"/>
    <n v="190"/>
    <n v="0"/>
    <s v="insertIfAbsent"/>
    <n v="1.00002791062504E+16"/>
    <n v="100001999"/>
    <n v="1.00002791062504E+16"/>
    <n v="100001999"/>
    <s v="success"/>
    <n v="10"/>
    <n v="1903530"/>
    <n v="13095647"/>
    <n v="14999177"/>
    <n v="100001999"/>
    <n v="7.8796600000000003"/>
    <n v="7.6362800000000002"/>
    <n v="7.6671699999999996"/>
    <n v="9"/>
    <n v="3119828816"/>
    <m/>
    <m/>
    <m/>
    <s v="3120 10404"/>
    <m/>
    <m/>
    <n v="1228828694"/>
    <n v="0"/>
    <n v="12410820"/>
    <n v="1228828694"/>
    <n v="1241239514"/>
    <n v="153603586"/>
    <n v="0"/>
    <n v="1551352"/>
    <n v="153603586"/>
    <n v="155154939"/>
    <n v="23.668199999999999"/>
    <n v="10.607100000000001"/>
    <n v="3401.95"/>
    <n v="2426.13"/>
    <n v="5200"/>
    <n v="5996"/>
    <x v="8"/>
    <x v="3"/>
  </r>
  <r>
    <s v="istree_exp5_numerical_stability_vs_time/step10572.txt"/>
    <x v="2"/>
    <n v="208"/>
    <s v="reclaimer_debra"/>
    <s v="allocator_new"/>
    <s v="pool_none"/>
    <n v="16000"/>
    <n v="0.5"/>
    <n v="0.5"/>
    <n v="0"/>
    <n v="1"/>
    <n v="200000000"/>
    <n v="190"/>
    <n v="190"/>
    <n v="190"/>
    <n v="0"/>
    <s v="insertIfAbsent"/>
    <n v="1.00001571508868E+16"/>
    <n v="99995990"/>
    <n v="1.00001571508868E+16"/>
    <n v="99995990"/>
    <s v="success"/>
    <n v="10"/>
    <n v="1941719"/>
    <n v="13355272"/>
    <n v="15296991"/>
    <n v="99995990"/>
    <n v="7.8780700000000001"/>
    <n v="7.4873799999999999"/>
    <n v="7.5369700000000002"/>
    <n v="9"/>
    <n v="3181774128"/>
    <m/>
    <m/>
    <m/>
    <s v="2964 17780"/>
    <m/>
    <m/>
    <n v="2453444501"/>
    <n v="0"/>
    <n v="24778897"/>
    <n v="2453444501"/>
    <n v="2478223398"/>
    <n v="153340281"/>
    <n v="0"/>
    <n v="1548681"/>
    <n v="153340281"/>
    <n v="154888962"/>
    <n v="23.678999999999998"/>
    <n v="10.6602"/>
    <n v="3408.19"/>
    <n v="2434.2399999999998"/>
    <n v="5263"/>
    <n v="6043"/>
    <x v="8"/>
    <x v="4"/>
  </r>
  <r>
    <s v="istree_exp5_numerical_stability_vs_time/step10573.txt"/>
    <x v="2"/>
    <n v="208"/>
    <s v="reclaimer_debra"/>
    <s v="allocator_new"/>
    <s v="pool_none"/>
    <n v="32000"/>
    <n v="0.5"/>
    <n v="0.5"/>
    <n v="0"/>
    <n v="1"/>
    <n v="200000000"/>
    <n v="190"/>
    <n v="190"/>
    <n v="190"/>
    <n v="0"/>
    <s v="insertIfAbsent"/>
    <n v="9999512700930760"/>
    <n v="100001208"/>
    <n v="9999512700930760"/>
    <n v="100001208"/>
    <s v="success"/>
    <n v="10"/>
    <n v="2002005"/>
    <n v="13768854"/>
    <n v="15770859"/>
    <n v="100001208"/>
    <n v="7.8775300000000001"/>
    <n v="7.2628599999999999"/>
    <n v="7.3408899999999999"/>
    <n v="9"/>
    <n v="3280338672"/>
    <m/>
    <m/>
    <m/>
    <s v="2938 32406"/>
    <m/>
    <m/>
    <n v="4931223259"/>
    <n v="0"/>
    <n v="49800800"/>
    <n v="4931223259"/>
    <n v="4981024059"/>
    <n v="154100726"/>
    <n v="0"/>
    <n v="1556275"/>
    <n v="154100726"/>
    <n v="155657001"/>
    <n v="23.744499999999999"/>
    <n v="10.7445"/>
    <n v="3391.38"/>
    <n v="2425.9"/>
    <n v="5362"/>
    <n v="6005"/>
    <x v="8"/>
    <x v="5"/>
  </r>
  <r>
    <s v="istree_exp5_numerical_stability_vs_time/step10574.txt"/>
    <x v="2"/>
    <n v="208"/>
    <s v="reclaimer_debra"/>
    <s v="allocator_new"/>
    <s v="pool_none"/>
    <n v="64000"/>
    <n v="0.5"/>
    <n v="0.5"/>
    <n v="0"/>
    <n v="1"/>
    <n v="200000000"/>
    <n v="190"/>
    <n v="190"/>
    <n v="190"/>
    <n v="0"/>
    <s v="insertIfAbsent"/>
    <n v="9998535702890330"/>
    <n v="99990398"/>
    <n v="9998535702890330"/>
    <n v="99990398"/>
    <s v="success"/>
    <n v="10"/>
    <n v="2088251"/>
    <n v="14367972"/>
    <n v="16456223"/>
    <n v="99990398"/>
    <n v="7.8803900000000002"/>
    <n v="6.9592599999999996"/>
    <n v="7.0761500000000002"/>
    <n v="9"/>
    <n v="3422894384"/>
    <m/>
    <m/>
    <m/>
    <s v="2944 61548"/>
    <m/>
    <m/>
    <n v="9814147443"/>
    <n v="0"/>
    <n v="99128746"/>
    <n v="9814147443"/>
    <n v="9913276189"/>
    <n v="153346053"/>
    <n v="0"/>
    <n v="1548886"/>
    <n v="153346053"/>
    <n v="154894940"/>
    <n v="23.814"/>
    <n v="10.861499999999999"/>
    <n v="3408.29"/>
    <n v="2440.0300000000002"/>
    <n v="5525"/>
    <n v="6044"/>
    <x v="8"/>
    <x v="6"/>
  </r>
  <r>
    <s v="istree_exp5_numerical_stability_vs_time/step10575.txt"/>
    <x v="1"/>
    <m/>
    <s v="reclaimer_debra"/>
    <s v="allocator_new"/>
    <s v="pool_none"/>
    <n v="1000"/>
    <n v="0.5"/>
    <n v="0.5"/>
    <n v="0"/>
    <n v="1"/>
    <n v="200000000"/>
    <n v="190"/>
    <n v="190"/>
    <n v="190"/>
    <n v="0"/>
    <s v="insertIfAbsent"/>
    <n v="1.00005111520937E+16"/>
    <n v="100000875"/>
    <n v="1.00005111520937E+16"/>
    <n v="100000875"/>
    <s v="success"/>
    <n v="33"/>
    <n v="57180472"/>
    <n v="42893218"/>
    <n v="100073690"/>
    <n v="100000875"/>
    <n v="1.75014"/>
    <n v="2.3313899999999999"/>
    <n v="1.9992700000000001"/>
    <n v="26.062799999999999"/>
    <n v="5604126640"/>
    <m/>
    <m/>
    <m/>
    <s v="770 1354"/>
    <m/>
    <m/>
    <n v="67758390"/>
    <n v="0"/>
    <n v="683331"/>
    <n v="67758390"/>
    <n v="68441721"/>
    <n v="67758390"/>
    <n v="0"/>
    <n v="683331"/>
    <n v="67758390"/>
    <n v="68441721"/>
    <n v="41.351999999999997"/>
    <n v="19.216899999999999"/>
    <n v="7726.84"/>
    <n v="6271.27"/>
    <n v="7581"/>
    <n v="2772"/>
    <x v="8"/>
    <x v="0"/>
  </r>
  <r>
    <s v="istree_exp5_numerical_stability_vs_time/step10576.txt"/>
    <x v="1"/>
    <m/>
    <s v="reclaimer_debra"/>
    <s v="allocator_new"/>
    <s v="pool_none"/>
    <n v="2000"/>
    <n v="0.5"/>
    <n v="0.5"/>
    <n v="0"/>
    <n v="1"/>
    <n v="200000000"/>
    <n v="190"/>
    <n v="190"/>
    <n v="190"/>
    <n v="0"/>
    <s v="insertIfAbsent"/>
    <n v="9999656302499060"/>
    <n v="99999577"/>
    <n v="9999656302499060"/>
    <n v="99999577"/>
    <s v="success"/>
    <n v="33"/>
    <n v="57223783"/>
    <n v="42922618"/>
    <n v="100146401"/>
    <n v="99999577"/>
    <n v="1.7500800000000001"/>
    <n v="2.3297599999999998"/>
    <n v="1.9985299999999999"/>
    <n v="26.150500000000001"/>
    <n v="5608198456"/>
    <m/>
    <m/>
    <m/>
    <s v="780 1754"/>
    <m/>
    <m/>
    <n v="136233501"/>
    <n v="0"/>
    <n v="1377015"/>
    <n v="136233501"/>
    <n v="137610516"/>
    <n v="68116750"/>
    <n v="0"/>
    <n v="688507"/>
    <n v="68116750"/>
    <n v="68805258"/>
    <n v="40.975900000000003"/>
    <n v="19.353400000000001"/>
    <n v="7688.2"/>
    <n v="6227.02"/>
    <n v="7583"/>
    <n v="2765"/>
    <x v="8"/>
    <x v="1"/>
  </r>
  <r>
    <s v="istree_exp5_numerical_stability_vs_time/step10577.txt"/>
    <x v="1"/>
    <m/>
    <s v="reclaimer_debra"/>
    <s v="allocator_new"/>
    <s v="pool_none"/>
    <n v="4000"/>
    <n v="0.5"/>
    <n v="0.5"/>
    <n v="0"/>
    <n v="1"/>
    <n v="200000000"/>
    <n v="190"/>
    <n v="190"/>
    <n v="190"/>
    <n v="0"/>
    <s v="insertIfAbsent"/>
    <n v="9999746285023070"/>
    <n v="99999057"/>
    <n v="9999746285023070"/>
    <n v="99999057"/>
    <s v="success"/>
    <n v="33"/>
    <n v="57303209"/>
    <n v="42990739"/>
    <n v="100293948"/>
    <n v="99999057"/>
    <n v="1.75023"/>
    <n v="2.32606"/>
    <n v="1.9970600000000001"/>
    <n v="26.087499999999999"/>
    <n v="5616461088"/>
    <m/>
    <m/>
    <m/>
    <s v="778 2554"/>
    <m/>
    <m/>
    <n v="273864367"/>
    <n v="0"/>
    <n v="2766699"/>
    <n v="273864367"/>
    <n v="276631066"/>
    <n v="68466091"/>
    <n v="0"/>
    <n v="691674"/>
    <n v="68466091"/>
    <n v="69157766"/>
    <n v="40.972700000000003"/>
    <n v="19.528500000000001"/>
    <n v="7648.75"/>
    <n v="6191.26"/>
    <n v="7595"/>
    <n v="2760"/>
    <x v="8"/>
    <x v="2"/>
  </r>
  <r>
    <s v="istree_exp5_numerical_stability_vs_time/step10578.txt"/>
    <x v="1"/>
    <m/>
    <s v="reclaimer_debra"/>
    <s v="allocator_new"/>
    <s v="pool_none"/>
    <n v="8000"/>
    <n v="0.5"/>
    <n v="0.5"/>
    <n v="0"/>
    <n v="1"/>
    <n v="200000000"/>
    <n v="190"/>
    <n v="190"/>
    <n v="190"/>
    <n v="0"/>
    <s v="insertIfAbsent"/>
    <n v="1.00008253865552E+16"/>
    <n v="100001911"/>
    <n v="1.00008253865552E+16"/>
    <n v="100001911"/>
    <s v="success"/>
    <n v="33"/>
    <n v="57464588"/>
    <n v="43123931"/>
    <n v="100588519"/>
    <n v="100001911"/>
    <n v="1.75044"/>
    <n v="2.31894"/>
    <n v="1.99417"/>
    <n v="26.1599"/>
    <n v="5632957064"/>
    <m/>
    <m/>
    <m/>
    <s v="778 4158"/>
    <m/>
    <m/>
    <n v="551148557"/>
    <n v="0"/>
    <n v="5565066"/>
    <n v="551148557"/>
    <n v="556713623"/>
    <n v="68893569"/>
    <n v="0"/>
    <n v="695633"/>
    <n v="68893569"/>
    <n v="69589202"/>
    <n v="41.156999999999996"/>
    <n v="19.719200000000001"/>
    <n v="7601.45"/>
    <n v="6150.38"/>
    <n v="7615"/>
    <n v="2755"/>
    <x v="8"/>
    <x v="3"/>
  </r>
  <r>
    <s v="istree_exp5_numerical_stability_vs_time/step10579.txt"/>
    <x v="1"/>
    <m/>
    <s v="reclaimer_debra"/>
    <s v="allocator_new"/>
    <s v="pool_none"/>
    <n v="16000"/>
    <n v="0.5"/>
    <n v="0.5"/>
    <n v="0"/>
    <n v="1"/>
    <n v="200000000"/>
    <n v="190"/>
    <n v="190"/>
    <n v="190"/>
    <n v="0"/>
    <s v="insertIfAbsent"/>
    <n v="1.00006265416344E+16"/>
    <n v="99997016"/>
    <n v="1.00006265416344E+16"/>
    <n v="99997016"/>
    <s v="success"/>
    <n v="33"/>
    <n v="57776115"/>
    <n v="43386115"/>
    <n v="101162230"/>
    <n v="99997016"/>
    <n v="1.7509399999999999"/>
    <n v="2.3048199999999999"/>
    <n v="1.98848"/>
    <n v="26.180199999999999"/>
    <n v="5665084880"/>
    <m/>
    <m/>
    <m/>
    <s v="772 7398"/>
    <m/>
    <m/>
    <n v="1110914141"/>
    <n v="0"/>
    <n v="11216066"/>
    <n v="1110914141"/>
    <n v="1122130207"/>
    <n v="69432133"/>
    <n v="0"/>
    <n v="701004"/>
    <n v="69432133"/>
    <n v="70133137"/>
    <n v="40.981900000000003"/>
    <n v="19.916"/>
    <n v="7543.1"/>
    <n v="6069.17"/>
    <n v="7651"/>
    <n v="2751"/>
    <x v="8"/>
    <x v="4"/>
  </r>
  <r>
    <s v="istree_exp5_numerical_stability_vs_time/step10580.txt"/>
    <x v="1"/>
    <m/>
    <s v="reclaimer_debra"/>
    <s v="allocator_new"/>
    <s v="pool_none"/>
    <n v="32000"/>
    <n v="0.5"/>
    <n v="0.5"/>
    <n v="0"/>
    <n v="1"/>
    <n v="200000000"/>
    <n v="190"/>
    <n v="190"/>
    <n v="190"/>
    <n v="0"/>
    <s v="insertIfAbsent"/>
    <n v="1.00004635467936E+16"/>
    <n v="100001870"/>
    <n v="1.00004635467936E+16"/>
    <n v="100001870"/>
    <s v="success"/>
    <n v="33"/>
    <n v="58377246"/>
    <n v="43879159"/>
    <n v="102256405"/>
    <n v="100001870"/>
    <n v="1.7516499999999999"/>
    <n v="2.2790300000000001"/>
    <n v="1.9779500000000001"/>
    <n v="26.101700000000001"/>
    <n v="5726358680"/>
    <m/>
    <m/>
    <m/>
    <s v="776 13848"/>
    <m/>
    <m/>
    <n v="2216214428"/>
    <n v="0"/>
    <n v="22391876"/>
    <n v="2216214428"/>
    <n v="2238606304"/>
    <n v="69256700"/>
    <n v="0"/>
    <n v="699746"/>
    <n v="69256700"/>
    <n v="69956447"/>
    <n v="41.4146"/>
    <n v="20.067900000000002"/>
    <n v="7560.9"/>
    <n v="6085.77"/>
    <n v="7720"/>
    <n v="2749"/>
    <x v="8"/>
    <x v="5"/>
  </r>
  <r>
    <s v="istree_exp5_numerical_stability_vs_time/step10581.txt"/>
    <x v="1"/>
    <m/>
    <s v="reclaimer_debra"/>
    <s v="allocator_new"/>
    <s v="pool_none"/>
    <n v="64000"/>
    <n v="0.5"/>
    <n v="0.5"/>
    <n v="0"/>
    <n v="1"/>
    <n v="200000000"/>
    <n v="190"/>
    <n v="190"/>
    <n v="190"/>
    <n v="0"/>
    <s v="insertIfAbsent"/>
    <n v="1.0001600317246E+16"/>
    <n v="100006604"/>
    <n v="1.0001600317246E+16"/>
    <n v="100006604"/>
    <s v="success"/>
    <n v="33"/>
    <n v="59474388"/>
    <n v="44779984"/>
    <n v="104254372"/>
    <n v="100006604"/>
    <n v="1.7529300000000001"/>
    <n v="2.2332900000000002"/>
    <n v="1.95926"/>
    <n v="26.192"/>
    <n v="5838244832"/>
    <m/>
    <m/>
    <m/>
    <s v="780 26864"/>
    <m/>
    <m/>
    <n v="4424509082"/>
    <n v="0"/>
    <n v="44696748"/>
    <n v="4424509082"/>
    <n v="4469205830"/>
    <n v="69132954"/>
    <n v="0"/>
    <n v="698386"/>
    <n v="69132954"/>
    <n v="69831341"/>
    <n v="41.6479"/>
    <n v="20.243200000000002"/>
    <n v="7574.1"/>
    <n v="6022.61"/>
    <n v="7852"/>
    <n v="2775"/>
    <x v="8"/>
    <x v="6"/>
  </r>
  <r>
    <s v="istree_exp5_numerical_stability_vs_time/step10582.txt"/>
    <x v="3"/>
    <m/>
    <s v="reclaimer_debra"/>
    <s v="allocator_new"/>
    <s v="pool_none"/>
    <n v="1000"/>
    <n v="0.5"/>
    <n v="0.5"/>
    <n v="0"/>
    <n v="1"/>
    <n v="200000000"/>
    <n v="190"/>
    <n v="190"/>
    <n v="190"/>
    <n v="0"/>
    <s v="insertIfAbsent"/>
    <n v="1.00000795976708E+16"/>
    <n v="99999537"/>
    <n v="1.00000795976708E+16"/>
    <n v="99999537"/>
    <s v="success"/>
    <n v="70"/>
    <n v="99999536"/>
    <n v="99999537"/>
    <n v="199999073"/>
    <n v="99999537"/>
    <n v="2"/>
    <n v="1"/>
    <n v="1.5"/>
    <n v="36.628100000000003"/>
    <n v="6399970336"/>
    <m/>
    <m/>
    <m/>
    <s v="732 1274"/>
    <m/>
    <m/>
    <n v="57825682"/>
    <n v="0"/>
    <n v="586316"/>
    <n v="57825682"/>
    <n v="58411998"/>
    <n v="57825682"/>
    <n v="0"/>
    <n v="586316"/>
    <n v="57825682"/>
    <n v="58411998"/>
    <n v="38.2241"/>
    <n v="18.834499999999998"/>
    <n v="9055.0400000000009"/>
    <n v="7923.56"/>
    <n v="7575"/>
    <n v="2860"/>
    <x v="8"/>
    <x v="0"/>
  </r>
  <r>
    <s v="istree_exp5_numerical_stability_vs_time/step10583.txt"/>
    <x v="3"/>
    <m/>
    <s v="reclaimer_debra"/>
    <s v="allocator_new"/>
    <s v="pool_none"/>
    <n v="2000"/>
    <n v="0.5"/>
    <n v="0.5"/>
    <n v="0"/>
    <n v="1"/>
    <n v="200000000"/>
    <n v="190"/>
    <n v="190"/>
    <n v="190"/>
    <n v="0"/>
    <s v="insertIfAbsent"/>
    <n v="9999493385879110"/>
    <n v="100000924"/>
    <n v="9999493385879110"/>
    <n v="100000924"/>
    <s v="success"/>
    <n v="73"/>
    <n v="100000923"/>
    <n v="100000924"/>
    <n v="200001847"/>
    <n v="100000924"/>
    <n v="2"/>
    <n v="1"/>
    <n v="1.5"/>
    <n v="34.932099999999998"/>
    <n v="6400059104"/>
    <m/>
    <m/>
    <m/>
    <s v="730 1602"/>
    <m/>
    <m/>
    <n v="115759405"/>
    <n v="0"/>
    <n v="1168979"/>
    <n v="115759405"/>
    <n v="116928384"/>
    <n v="57879702"/>
    <n v="0"/>
    <n v="584489"/>
    <n v="57879702"/>
    <n v="58464192"/>
    <n v="38.2119"/>
    <n v="18.8629"/>
    <n v="9049.4699999999993"/>
    <n v="7913.73"/>
    <n v="7575"/>
    <n v="2825"/>
    <x v="8"/>
    <x v="1"/>
  </r>
  <r>
    <s v="istree_exp5_numerical_stability_vs_time/step10584.txt"/>
    <x v="3"/>
    <m/>
    <s v="reclaimer_debra"/>
    <s v="allocator_new"/>
    <s v="pool_none"/>
    <n v="4000"/>
    <n v="0.5"/>
    <n v="0.5"/>
    <n v="0"/>
    <n v="1"/>
    <n v="200000000"/>
    <n v="190"/>
    <n v="190"/>
    <n v="190"/>
    <n v="0"/>
    <s v="insertIfAbsent"/>
    <n v="9999786738967410"/>
    <n v="100001369"/>
    <n v="9999786738967410"/>
    <n v="100001369"/>
    <s v="success"/>
    <n v="71"/>
    <n v="100001368"/>
    <n v="100001369"/>
    <n v="200002737"/>
    <n v="100001369"/>
    <n v="2"/>
    <n v="1"/>
    <n v="1.5"/>
    <n v="38.035600000000002"/>
    <n v="6400087584"/>
    <m/>
    <m/>
    <m/>
    <s v="736 2262"/>
    <m/>
    <m/>
    <n v="231156776"/>
    <n v="0"/>
    <n v="2333306"/>
    <n v="231156776"/>
    <n v="233490082"/>
    <n v="57789194"/>
    <n v="0"/>
    <n v="583326"/>
    <n v="57789194"/>
    <n v="58372520"/>
    <n v="38.272799999999997"/>
    <n v="18.963799999999999"/>
    <n v="9063.9500000000007"/>
    <n v="7918.76"/>
    <n v="7572"/>
    <n v="2835"/>
    <x v="8"/>
    <x v="2"/>
  </r>
  <r>
    <s v="istree_exp5_numerical_stability_vs_time/step10585.txt"/>
    <x v="3"/>
    <m/>
    <s v="reclaimer_debra"/>
    <s v="allocator_new"/>
    <s v="pool_none"/>
    <n v="8000"/>
    <n v="0.5"/>
    <n v="0.5"/>
    <n v="0"/>
    <n v="1"/>
    <n v="200000000"/>
    <n v="190"/>
    <n v="190"/>
    <n v="190"/>
    <n v="0"/>
    <s v="insertIfAbsent"/>
    <n v="9999698763488400"/>
    <n v="100000779"/>
    <n v="9999698763488400"/>
    <n v="100000779"/>
    <s v="success"/>
    <n v="73"/>
    <n v="100000778"/>
    <n v="100000779"/>
    <n v="200001557"/>
    <n v="100000779"/>
    <n v="2"/>
    <n v="1"/>
    <n v="1.5"/>
    <n v="35.5869"/>
    <n v="6400049824"/>
    <m/>
    <m/>
    <m/>
    <s v="738 3612"/>
    <m/>
    <m/>
    <n v="465067348"/>
    <n v="0"/>
    <n v="4695500"/>
    <n v="465067348"/>
    <n v="469762848"/>
    <n v="58133418"/>
    <n v="0"/>
    <n v="586937"/>
    <n v="58133418"/>
    <n v="58720356"/>
    <n v="38.295000000000002"/>
    <n v="19.0702"/>
    <n v="9009.94"/>
    <n v="7866.49"/>
    <n v="7576"/>
    <n v="2837"/>
    <x v="8"/>
    <x v="3"/>
  </r>
  <r>
    <s v="istree_exp5_numerical_stability_vs_time/step10586.txt"/>
    <x v="3"/>
    <m/>
    <s v="reclaimer_debra"/>
    <s v="allocator_new"/>
    <s v="pool_none"/>
    <n v="16000"/>
    <n v="0.5"/>
    <n v="0.5"/>
    <n v="0"/>
    <n v="1"/>
    <n v="200000000"/>
    <n v="190"/>
    <n v="190"/>
    <n v="190"/>
    <n v="0"/>
    <s v="insertIfAbsent"/>
    <n v="9999127557778600"/>
    <n v="99996173"/>
    <n v="9999127557778600"/>
    <n v="99996173"/>
    <s v="success"/>
    <n v="69"/>
    <n v="99996172"/>
    <n v="99996173"/>
    <n v="199992345"/>
    <n v="99996173"/>
    <n v="2"/>
    <n v="1"/>
    <n v="1.5"/>
    <n v="35.813299999999998"/>
    <n v="6399755040"/>
    <m/>
    <m/>
    <m/>
    <s v="742 6320"/>
    <m/>
    <m/>
    <n v="936432038"/>
    <n v="0"/>
    <n v="9460868"/>
    <n v="936432038"/>
    <n v="945892906"/>
    <n v="58527002"/>
    <n v="0"/>
    <n v="591304"/>
    <n v="58527002"/>
    <n v="59118306"/>
    <n v="38.283299999999997"/>
    <n v="19.212700000000002"/>
    <n v="8950.93"/>
    <n v="7805.03"/>
    <n v="7577"/>
    <n v="2834"/>
    <x v="8"/>
    <x v="4"/>
  </r>
  <r>
    <s v="istree_exp5_numerical_stability_vs_time/step10587.txt"/>
    <x v="3"/>
    <m/>
    <s v="reclaimer_debra"/>
    <s v="allocator_new"/>
    <s v="pool_none"/>
    <n v="32000"/>
    <n v="0.5"/>
    <n v="0.5"/>
    <n v="0"/>
    <n v="1"/>
    <n v="200000000"/>
    <n v="190"/>
    <n v="190"/>
    <n v="190"/>
    <n v="0"/>
    <s v="insertIfAbsent"/>
    <n v="9999563123764580"/>
    <n v="100001347"/>
    <n v="9999563123764580"/>
    <n v="100001347"/>
    <s v="success"/>
    <n v="72"/>
    <n v="100001346"/>
    <n v="100001347"/>
    <n v="200002693"/>
    <n v="100001347"/>
    <n v="2"/>
    <n v="1"/>
    <n v="1.5"/>
    <n v="37.2575"/>
    <n v="6400086176"/>
    <m/>
    <m/>
    <m/>
    <s v="726 11752"/>
    <m/>
    <m/>
    <n v="1879231445"/>
    <n v="0"/>
    <n v="18985213"/>
    <n v="1879231445"/>
    <n v="1898216658"/>
    <n v="58725982"/>
    <n v="0"/>
    <n v="593287"/>
    <n v="58725982"/>
    <n v="59319270"/>
    <n v="38.349600000000002"/>
    <n v="19.3628"/>
    <n v="8919.67"/>
    <n v="7762.62"/>
    <n v="7580"/>
    <n v="2858"/>
    <x v="8"/>
    <x v="5"/>
  </r>
  <r>
    <s v="istree_exp5_numerical_stability_vs_time/step10588.txt"/>
    <x v="3"/>
    <m/>
    <s v="reclaimer_debra"/>
    <s v="allocator_new"/>
    <s v="pool_none"/>
    <n v="64000"/>
    <n v="0.5"/>
    <n v="0.5"/>
    <n v="0"/>
    <n v="1"/>
    <n v="200000000"/>
    <n v="190"/>
    <n v="190"/>
    <n v="190"/>
    <n v="0"/>
    <s v="insertIfAbsent"/>
    <n v="9999865830836380"/>
    <n v="100000733"/>
    <n v="9999865830836380"/>
    <n v="100000733"/>
    <s v="success"/>
    <n v="69"/>
    <n v="100000732"/>
    <n v="100000733"/>
    <n v="200001465"/>
    <n v="100000733"/>
    <n v="2"/>
    <n v="1"/>
    <n v="1.5"/>
    <n v="35.487400000000001"/>
    <n v="6400046880"/>
    <m/>
    <m/>
    <m/>
    <s v="738 22672"/>
    <m/>
    <m/>
    <n v="3775914196"/>
    <n v="0"/>
    <n v="38137155"/>
    <n v="3775914196"/>
    <n v="3814051351"/>
    <n v="58998659"/>
    <n v="0"/>
    <n v="595893"/>
    <n v="58998659"/>
    <n v="59594552"/>
    <n v="38.567399999999999"/>
    <n v="19.572900000000001"/>
    <n v="8878.27"/>
    <n v="7730.61"/>
    <n v="7583"/>
    <n v="2841"/>
    <x v="8"/>
    <x v="6"/>
  </r>
  <r>
    <s v="istree_exp5_numerical_stability_vs_time/step10589.txt"/>
    <x v="0"/>
    <n v="72"/>
    <s v="reclaimer_debra"/>
    <s v="allocator_new"/>
    <s v="pool_none"/>
    <n v="1000"/>
    <n v="0"/>
    <n v="0"/>
    <n v="0"/>
    <n v="1"/>
    <n v="2000000"/>
    <n v="190"/>
    <n v="190"/>
    <n v="190"/>
    <n v="0"/>
    <s v="insertIfAbsent"/>
    <n v="1000141615705"/>
    <n v="1000001"/>
    <n v="1000141615705"/>
    <n v="1000001"/>
    <s v="success"/>
    <n v="5"/>
    <n v="33035"/>
    <n v="1032033"/>
    <n v="1065068"/>
    <n v="1000001"/>
    <n v="32.240600000000001"/>
    <n v="0.96896199999999999"/>
    <n v="1.9389099999999999"/>
    <n v="3"/>
    <n v="19155312"/>
    <m/>
    <m/>
    <m/>
    <n v="3476"/>
    <m/>
    <m/>
    <n v="502311271"/>
    <n v="0"/>
    <n v="0"/>
    <n v="502311271"/>
    <n v="502311271"/>
    <n v="502311271"/>
    <n v="0"/>
    <n v="0"/>
    <n v="502311271"/>
    <n v="502311271"/>
    <n v="8.5355799999999995"/>
    <n v="9.0569800000000006E-2"/>
    <n v="1043.55"/>
    <n v="323.87799999999999"/>
    <n v="1213"/>
    <n v="351"/>
    <x v="9"/>
    <x v="0"/>
  </r>
  <r>
    <s v="istree_exp5_numerical_stability_vs_time/step10590.txt"/>
    <x v="0"/>
    <n v="72"/>
    <s v="reclaimer_debra"/>
    <s v="allocator_new"/>
    <s v="pool_none"/>
    <n v="2000"/>
    <n v="0"/>
    <n v="0"/>
    <n v="0"/>
    <n v="1"/>
    <n v="2000000"/>
    <n v="190"/>
    <n v="190"/>
    <n v="190"/>
    <n v="0"/>
    <s v="insertIfAbsent"/>
    <n v="999633646866"/>
    <n v="1000001"/>
    <n v="999633646866"/>
    <n v="1000001"/>
    <s v="success"/>
    <n v="5"/>
    <n v="33035"/>
    <n v="1032033"/>
    <n v="1065068"/>
    <n v="1000001"/>
    <n v="32.240600000000001"/>
    <n v="0.96896199999999999"/>
    <n v="1.9389099999999999"/>
    <n v="3"/>
    <n v="19155312"/>
    <m/>
    <m/>
    <m/>
    <n v="7080"/>
    <m/>
    <m/>
    <n v="1023700952"/>
    <n v="0"/>
    <n v="0"/>
    <n v="1023700952"/>
    <n v="1023700952"/>
    <n v="511850476"/>
    <n v="0"/>
    <n v="0"/>
    <n v="511850476"/>
    <n v="511850476"/>
    <n v="8.2718500000000006"/>
    <n v="8.9000899999999994E-2"/>
    <n v="1028.0999999999999"/>
    <n v="307.36399999999998"/>
    <n v="1212"/>
    <n v="333"/>
    <x v="9"/>
    <x v="1"/>
  </r>
  <r>
    <s v="istree_exp5_numerical_stability_vs_time/step10591.txt"/>
    <x v="0"/>
    <n v="72"/>
    <s v="reclaimer_debra"/>
    <s v="allocator_new"/>
    <s v="pool_none"/>
    <n v="4000"/>
    <n v="0"/>
    <n v="0"/>
    <n v="0"/>
    <n v="1"/>
    <n v="2000000"/>
    <n v="190"/>
    <n v="190"/>
    <n v="190"/>
    <n v="0"/>
    <s v="insertIfAbsent"/>
    <n v="1000067950791"/>
    <n v="1000001"/>
    <n v="1000067950791"/>
    <n v="1000001"/>
    <s v="success"/>
    <n v="5"/>
    <n v="33035"/>
    <n v="1032033"/>
    <n v="1065068"/>
    <n v="1000001"/>
    <n v="32.240600000000001"/>
    <n v="0.96896199999999999"/>
    <n v="1.9389099999999999"/>
    <n v="3"/>
    <n v="19155312"/>
    <m/>
    <m/>
    <m/>
    <n v="13960"/>
    <m/>
    <m/>
    <n v="1979285269"/>
    <n v="0"/>
    <n v="0"/>
    <n v="1979285269"/>
    <n v="1979285269"/>
    <n v="494821317"/>
    <n v="0"/>
    <n v="0"/>
    <n v="494821317"/>
    <n v="494821317"/>
    <n v="8.2992399999999993"/>
    <n v="9.1852100000000006E-2"/>
    <n v="1056.6300000000001"/>
    <n v="323.92200000000003"/>
    <n v="1214"/>
    <n v="305"/>
    <x v="9"/>
    <x v="2"/>
  </r>
  <r>
    <s v="istree_exp5_numerical_stability_vs_time/step10592.txt"/>
    <x v="0"/>
    <n v="72"/>
    <s v="reclaimer_debra"/>
    <s v="allocator_new"/>
    <s v="pool_none"/>
    <n v="8000"/>
    <n v="0"/>
    <n v="0"/>
    <n v="0"/>
    <n v="1"/>
    <n v="2000000"/>
    <n v="190"/>
    <n v="190"/>
    <n v="190"/>
    <n v="0"/>
    <s v="insertIfAbsent"/>
    <n v="1000432079023"/>
    <n v="1000001"/>
    <n v="1000432079023"/>
    <n v="1000001"/>
    <s v="success"/>
    <n v="5"/>
    <n v="33035"/>
    <n v="1032033"/>
    <n v="1065068"/>
    <n v="1000001"/>
    <n v="32.240600000000001"/>
    <n v="0.96896199999999999"/>
    <n v="1.9389099999999999"/>
    <n v="3"/>
    <n v="19155312"/>
    <m/>
    <m/>
    <m/>
    <n v="27090"/>
    <m/>
    <m/>
    <n v="3940544250"/>
    <n v="0"/>
    <n v="0"/>
    <n v="3940544250"/>
    <n v="3940544250"/>
    <n v="492568031"/>
    <n v="0"/>
    <n v="0"/>
    <n v="492568031"/>
    <n v="492568031"/>
    <n v="8.4054599999999997"/>
    <n v="0.104046"/>
    <n v="1058.6500000000001"/>
    <n v="342.69799999999998"/>
    <n v="1217"/>
    <n v="113"/>
    <x v="9"/>
    <x v="3"/>
  </r>
  <r>
    <s v="istree_exp5_numerical_stability_vs_time/step10593.txt"/>
    <x v="0"/>
    <n v="72"/>
    <s v="reclaimer_debra"/>
    <s v="allocator_new"/>
    <s v="pool_none"/>
    <n v="16000"/>
    <n v="0"/>
    <n v="0"/>
    <n v="0"/>
    <n v="1"/>
    <n v="2000000"/>
    <n v="190"/>
    <n v="190"/>
    <n v="190"/>
    <n v="0"/>
    <s v="insertIfAbsent"/>
    <n v="1000466059866"/>
    <n v="1000001"/>
    <n v="1000466059866"/>
    <n v="1000001"/>
    <s v="success"/>
    <n v="5"/>
    <n v="33035"/>
    <n v="1032033"/>
    <n v="1065068"/>
    <n v="1000001"/>
    <n v="32.240600000000001"/>
    <n v="0.96896199999999999"/>
    <n v="1.9389099999999999"/>
    <n v="3"/>
    <n v="19155312"/>
    <m/>
    <m/>
    <m/>
    <n v="54626"/>
    <m/>
    <m/>
    <n v="7804200156"/>
    <n v="0"/>
    <n v="0"/>
    <n v="7804200156"/>
    <n v="7804200156"/>
    <n v="487762509"/>
    <n v="0"/>
    <n v="0"/>
    <n v="487762509"/>
    <n v="487762509"/>
    <n v="8.5750299999999999"/>
    <n v="9.58233E-2"/>
    <n v="1068.3499999999999"/>
    <n v="343.86599999999999"/>
    <n v="1218"/>
    <n v="129"/>
    <x v="9"/>
    <x v="4"/>
  </r>
  <r>
    <s v="istree_exp5_numerical_stability_vs_time/step10594.txt"/>
    <x v="0"/>
    <n v="72"/>
    <s v="reclaimer_debra"/>
    <s v="allocator_new"/>
    <s v="pool_none"/>
    <n v="32000"/>
    <n v="0"/>
    <n v="0"/>
    <n v="0"/>
    <n v="1"/>
    <n v="2000000"/>
    <n v="190"/>
    <n v="190"/>
    <n v="190"/>
    <n v="0"/>
    <s v="insertIfAbsent"/>
    <n v="1000500013749"/>
    <n v="1000001"/>
    <n v="1000500013749"/>
    <n v="1000001"/>
    <s v="success"/>
    <n v="5"/>
    <n v="33035"/>
    <n v="1032033"/>
    <n v="1065068"/>
    <n v="1000001"/>
    <n v="32.240600000000001"/>
    <n v="0.96896199999999999"/>
    <n v="1.9389099999999999"/>
    <n v="3"/>
    <n v="19155312"/>
    <m/>
    <m/>
    <m/>
    <n v="106454"/>
    <m/>
    <m/>
    <n v="15342400148"/>
    <n v="0"/>
    <n v="0"/>
    <n v="15342400148"/>
    <n v="15342400148"/>
    <n v="479450004"/>
    <n v="0"/>
    <n v="0"/>
    <n v="479450004"/>
    <n v="479450004"/>
    <n v="8.5028299999999994"/>
    <n v="9.71133E-2"/>
    <n v="1086.55"/>
    <n v="354.72699999999998"/>
    <n v="1213"/>
    <n v="181"/>
    <x v="9"/>
    <x v="5"/>
  </r>
  <r>
    <s v="istree_exp5_numerical_stability_vs_time/step10595.txt"/>
    <x v="0"/>
    <n v="72"/>
    <s v="reclaimer_debra"/>
    <s v="allocator_new"/>
    <s v="pool_none"/>
    <n v="64000"/>
    <n v="0"/>
    <n v="0"/>
    <n v="0"/>
    <n v="1"/>
    <n v="2000000"/>
    <n v="190"/>
    <n v="190"/>
    <n v="190"/>
    <n v="0"/>
    <s v="insertIfAbsent"/>
    <n v="1000007641719"/>
    <n v="1000001"/>
    <n v="1000007641719"/>
    <n v="1000001"/>
    <s v="success"/>
    <n v="5"/>
    <n v="33035"/>
    <n v="1032033"/>
    <n v="1065068"/>
    <n v="1000001"/>
    <n v="32.240600000000001"/>
    <n v="0.96896199999999999"/>
    <n v="1.9389099999999999"/>
    <n v="3"/>
    <n v="19155312"/>
    <m/>
    <m/>
    <m/>
    <n v="214260"/>
    <m/>
    <m/>
    <n v="30955488813"/>
    <n v="0"/>
    <n v="0"/>
    <n v="30955488813"/>
    <n v="30955488813"/>
    <n v="483679512"/>
    <n v="0"/>
    <n v="0"/>
    <n v="483679512"/>
    <n v="483679512"/>
    <n v="8.4371299999999998"/>
    <n v="9.3053200000000003E-2"/>
    <n v="1074.68"/>
    <n v="341.07100000000003"/>
    <n v="1218"/>
    <n v="302"/>
    <x v="9"/>
    <x v="6"/>
  </r>
  <r>
    <s v="istree_exp5_numerical_stability_vs_time/step10596.txt"/>
    <x v="2"/>
    <n v="208"/>
    <s v="reclaimer_debra"/>
    <s v="allocator_new"/>
    <s v="pool_none"/>
    <n v="1000"/>
    <n v="0"/>
    <n v="0"/>
    <n v="0"/>
    <n v="1"/>
    <n v="2000000"/>
    <n v="190"/>
    <n v="190"/>
    <n v="190"/>
    <n v="0"/>
    <s v="insertIfAbsent"/>
    <n v="1000055820695"/>
    <n v="1000000"/>
    <n v="1000055820695"/>
    <n v="1000000"/>
    <s v="success"/>
    <n v="8"/>
    <n v="18601"/>
    <n v="127806"/>
    <n v="146407"/>
    <n v="1000000"/>
    <n v="7.8709199999999999"/>
    <n v="7.8243600000000004"/>
    <n v="7.8302699999999996"/>
    <n v="7"/>
    <n v="30452656"/>
    <m/>
    <m/>
    <m/>
    <n v="3264"/>
    <m/>
    <m/>
    <n v="430714338"/>
    <n v="0"/>
    <n v="0"/>
    <n v="430714338"/>
    <n v="430714338"/>
    <n v="430714338"/>
    <n v="0"/>
    <n v="0"/>
    <n v="430714338"/>
    <n v="430714338"/>
    <n v="8.7009399999999992"/>
    <n v="0.37407800000000002"/>
    <n v="1226.8800000000001"/>
    <n v="351.25400000000002"/>
    <n v="1158"/>
    <n v="321"/>
    <x v="9"/>
    <x v="0"/>
  </r>
  <r>
    <s v="istree_exp5_numerical_stability_vs_time/step10597.txt"/>
    <x v="2"/>
    <n v="208"/>
    <s v="reclaimer_debra"/>
    <s v="allocator_new"/>
    <s v="pool_none"/>
    <n v="2000"/>
    <n v="0"/>
    <n v="0"/>
    <n v="0"/>
    <n v="1"/>
    <n v="2000000"/>
    <n v="190"/>
    <n v="190"/>
    <n v="190"/>
    <n v="0"/>
    <s v="insertIfAbsent"/>
    <n v="1000080086452"/>
    <n v="1000000"/>
    <n v="1000080086452"/>
    <n v="1000000"/>
    <s v="success"/>
    <n v="8"/>
    <n v="18558"/>
    <n v="127597"/>
    <n v="146155"/>
    <n v="1000000"/>
    <n v="7.8755800000000002"/>
    <n v="7.8371700000000004"/>
    <n v="7.8420500000000004"/>
    <n v="7"/>
    <n v="30400240"/>
    <m/>
    <m/>
    <m/>
    <n v="6152"/>
    <m/>
    <m/>
    <n v="848850812"/>
    <n v="0"/>
    <n v="0"/>
    <n v="848850812"/>
    <n v="848850812"/>
    <n v="424425406"/>
    <n v="0"/>
    <n v="0"/>
    <n v="424425406"/>
    <n v="424425406"/>
    <n v="8.7185600000000001"/>
    <n v="0.37451299999999998"/>
    <n v="1231.47"/>
    <n v="354.553"/>
    <n v="1158"/>
    <n v="318"/>
    <x v="9"/>
    <x v="1"/>
  </r>
  <r>
    <s v="istree_exp5_numerical_stability_vs_time/step10598.txt"/>
    <x v="2"/>
    <n v="208"/>
    <s v="reclaimer_debra"/>
    <s v="allocator_new"/>
    <s v="pool_none"/>
    <n v="4000"/>
    <n v="0"/>
    <n v="0"/>
    <n v="0"/>
    <n v="1"/>
    <n v="2000000"/>
    <n v="190"/>
    <n v="190"/>
    <n v="190"/>
    <n v="0"/>
    <s v="insertIfAbsent"/>
    <n v="1000210087873"/>
    <n v="1000000"/>
    <n v="1000210087873"/>
    <n v="1000000"/>
    <s v="success"/>
    <n v="8"/>
    <n v="18543"/>
    <n v="127499"/>
    <n v="146042"/>
    <n v="1000000"/>
    <n v="7.8758600000000003"/>
    <n v="7.8432000000000004"/>
    <n v="7.8473499999999996"/>
    <n v="7"/>
    <n v="30376736"/>
    <m/>
    <m/>
    <m/>
    <n v="11990"/>
    <m/>
    <m/>
    <n v="1673449289"/>
    <n v="0"/>
    <n v="0"/>
    <n v="1673449289"/>
    <n v="1673449289"/>
    <n v="418362322"/>
    <n v="0"/>
    <n v="0"/>
    <n v="418362322"/>
    <n v="418362322"/>
    <n v="8.5949899999999992"/>
    <n v="0.36651299999999998"/>
    <n v="1233.5999999999999"/>
    <n v="352.34500000000003"/>
    <n v="1149"/>
    <n v="244"/>
    <x v="9"/>
    <x v="2"/>
  </r>
  <r>
    <s v="istree_exp5_numerical_stability_vs_time/step10599.txt"/>
    <x v="2"/>
    <n v="208"/>
    <s v="reclaimer_debra"/>
    <s v="allocator_new"/>
    <s v="pool_none"/>
    <n v="8000"/>
    <n v="0"/>
    <n v="0"/>
    <n v="0"/>
    <n v="1"/>
    <n v="2000000"/>
    <n v="190"/>
    <n v="190"/>
    <n v="190"/>
    <n v="0"/>
    <s v="insertIfAbsent"/>
    <n v="999447783555"/>
    <n v="1000000"/>
    <n v="999447783555"/>
    <n v="1000000"/>
    <s v="success"/>
    <n v="8"/>
    <n v="18538"/>
    <n v="127615"/>
    <n v="146153"/>
    <n v="1000000"/>
    <n v="7.8839699999999997"/>
    <n v="7.8360700000000003"/>
    <n v="7.8421399999999997"/>
    <n v="7"/>
    <n v="30399824"/>
    <m/>
    <m/>
    <m/>
    <n v="23438"/>
    <m/>
    <m/>
    <n v="3304891212"/>
    <n v="0"/>
    <n v="0"/>
    <n v="3304891212"/>
    <n v="3304891212"/>
    <n v="413111401"/>
    <n v="0"/>
    <n v="0"/>
    <n v="413111401"/>
    <n v="413111401"/>
    <n v="8.6224600000000002"/>
    <n v="0.36893500000000001"/>
    <n v="1241.1099999999999"/>
    <n v="358.70499999999998"/>
    <n v="1151"/>
    <n v="233"/>
    <x v="9"/>
    <x v="3"/>
  </r>
  <r>
    <s v="istree_exp5_numerical_stability_vs_time/step10600.txt"/>
    <x v="2"/>
    <n v="208"/>
    <s v="reclaimer_debra"/>
    <s v="allocator_new"/>
    <s v="pool_none"/>
    <n v="16000"/>
    <n v="0"/>
    <n v="0"/>
    <n v="0"/>
    <n v="1"/>
    <n v="2000000"/>
    <n v="190"/>
    <n v="190"/>
    <n v="190"/>
    <n v="0"/>
    <s v="insertIfAbsent"/>
    <n v="1000491566867"/>
    <n v="1000000"/>
    <n v="1000491566867"/>
    <n v="1000000"/>
    <s v="success"/>
    <n v="8"/>
    <n v="18539"/>
    <n v="127707"/>
    <n v="146246"/>
    <n v="1000000"/>
    <n v="7.88856"/>
    <n v="7.8304200000000002"/>
    <n v="7.83779"/>
    <n v="7"/>
    <n v="30419168"/>
    <m/>
    <m/>
    <m/>
    <n v="46112"/>
    <m/>
    <m/>
    <n v="6543219369"/>
    <n v="0"/>
    <n v="0"/>
    <n v="6543219369"/>
    <n v="6543219369"/>
    <n v="408951210"/>
    <n v="0"/>
    <n v="0"/>
    <n v="408951210"/>
    <n v="408951210"/>
    <n v="8.6184200000000004"/>
    <n v="0.37251400000000001"/>
    <n v="1247.6300000000001"/>
    <n v="362.44200000000001"/>
    <n v="1151"/>
    <n v="229"/>
    <x v="9"/>
    <x v="4"/>
  </r>
  <r>
    <s v="istree_exp5_numerical_stability_vs_time/step10601.txt"/>
    <x v="2"/>
    <n v="208"/>
    <s v="reclaimer_debra"/>
    <s v="allocator_new"/>
    <s v="pool_none"/>
    <n v="32000"/>
    <n v="0"/>
    <n v="0"/>
    <n v="0"/>
    <n v="1"/>
    <n v="2000000"/>
    <n v="190"/>
    <n v="190"/>
    <n v="190"/>
    <n v="0"/>
    <s v="insertIfAbsent"/>
    <n v="1000260787132"/>
    <n v="1000000"/>
    <n v="1000260787132"/>
    <n v="1000000"/>
    <s v="success"/>
    <n v="8"/>
    <n v="18446"/>
    <n v="127445"/>
    <n v="145891"/>
    <n v="1000000"/>
    <n v="7.90909"/>
    <n v="7.8465199999999999"/>
    <n v="7.8544299999999998"/>
    <n v="7"/>
    <n v="30345328"/>
    <m/>
    <m/>
    <m/>
    <s v="182 92022"/>
    <m/>
    <m/>
    <n v="13074095689"/>
    <n v="0"/>
    <n v="0"/>
    <n v="13074095689"/>
    <n v="13074095689"/>
    <n v="408565490"/>
    <n v="0"/>
    <n v="0"/>
    <n v="408565490"/>
    <n v="408565490"/>
    <n v="8.6626600000000007"/>
    <n v="0.37110799999999999"/>
    <n v="1249.31"/>
    <n v="367.59500000000003"/>
    <n v="1154"/>
    <n v="325"/>
    <x v="9"/>
    <x v="5"/>
  </r>
  <r>
    <s v="istree_exp5_numerical_stability_vs_time/step10602.txt"/>
    <x v="2"/>
    <n v="208"/>
    <s v="reclaimer_debra"/>
    <s v="allocator_new"/>
    <s v="pool_none"/>
    <n v="64000"/>
    <n v="0"/>
    <n v="0"/>
    <n v="0"/>
    <n v="1"/>
    <n v="2000000"/>
    <n v="190"/>
    <n v="190"/>
    <n v="190"/>
    <n v="0"/>
    <s v="insertIfAbsent"/>
    <n v="999725012786"/>
    <n v="1000000"/>
    <n v="999725012786"/>
    <n v="1000000"/>
    <s v="success"/>
    <n v="8"/>
    <n v="18507"/>
    <n v="127525"/>
    <n v="146032"/>
    <n v="1000000"/>
    <n v="7.8906400000000003"/>
    <n v="7.8415999999999997"/>
    <n v="7.84781"/>
    <n v="7"/>
    <n v="30374656"/>
    <m/>
    <m/>
    <m/>
    <n v="185580"/>
    <m/>
    <m/>
    <n v="26176332668"/>
    <n v="0"/>
    <n v="0"/>
    <n v="26176332668"/>
    <n v="26176332668"/>
    <n v="409005197"/>
    <n v="0"/>
    <n v="0"/>
    <n v="409005197"/>
    <n v="409005197"/>
    <n v="8.6572499999999994"/>
    <n v="0.372168"/>
    <n v="1246.51"/>
    <n v="362.36200000000002"/>
    <n v="1153"/>
    <n v="303"/>
    <x v="9"/>
    <x v="6"/>
  </r>
  <r>
    <s v="istree_exp5_numerical_stability_vs_time/step10603.txt"/>
    <x v="1"/>
    <m/>
    <s v="reclaimer_debra"/>
    <s v="allocator_new"/>
    <s v="pool_none"/>
    <n v="1000"/>
    <n v="0"/>
    <n v="0"/>
    <n v="0"/>
    <n v="1"/>
    <n v="2000000"/>
    <n v="190"/>
    <n v="190"/>
    <n v="190"/>
    <n v="0"/>
    <s v="insertIfAbsent"/>
    <n v="1000090384692"/>
    <n v="1000000"/>
    <n v="1000090384692"/>
    <n v="1000000"/>
    <s v="success"/>
    <n v="25"/>
    <n v="571282"/>
    <n v="428719"/>
    <n v="1000001"/>
    <n v="1000000"/>
    <n v="1.7504500000000001"/>
    <n v="2.3325300000000002"/>
    <n v="2"/>
    <n v="19.302299999999999"/>
    <n v="56000056"/>
    <m/>
    <m/>
    <m/>
    <n v="1714"/>
    <m/>
    <m/>
    <n v="233191929"/>
    <n v="0"/>
    <n v="0"/>
    <n v="233191929"/>
    <n v="233191929"/>
    <n v="233191929"/>
    <n v="0"/>
    <n v="0"/>
    <n v="233191929"/>
    <n v="233191929"/>
    <n v="15.692399999999999"/>
    <n v="2.1160899999999998"/>
    <n v="2266.44"/>
    <n v="987.42399999999998"/>
    <n v="1166"/>
    <n v="349"/>
    <x v="9"/>
    <x v="0"/>
  </r>
  <r>
    <s v="istree_exp5_numerical_stability_vs_time/step10604.txt"/>
    <x v="1"/>
    <m/>
    <s v="reclaimer_debra"/>
    <s v="allocator_new"/>
    <s v="pool_none"/>
    <n v="2000"/>
    <n v="0"/>
    <n v="0"/>
    <n v="0"/>
    <n v="1"/>
    <n v="2000000"/>
    <n v="190"/>
    <n v="190"/>
    <n v="190"/>
    <n v="0"/>
    <s v="insertIfAbsent"/>
    <n v="1000755073456"/>
    <n v="1000000"/>
    <n v="1000755073456"/>
    <n v="1000000"/>
    <s v="success"/>
    <n v="25"/>
    <n v="571548"/>
    <n v="428453"/>
    <n v="1000001"/>
    <n v="1000000"/>
    <n v="1.7496400000000001"/>
    <n v="2.3339799999999999"/>
    <n v="2"/>
    <n v="19.308399999999999"/>
    <n v="56000056"/>
    <m/>
    <m/>
    <m/>
    <n v="3138"/>
    <m/>
    <m/>
    <n v="457728353"/>
    <n v="0"/>
    <n v="0"/>
    <n v="457728353"/>
    <n v="457728353"/>
    <n v="228864176"/>
    <n v="0"/>
    <n v="0"/>
    <n v="228864176"/>
    <n v="228864176"/>
    <n v="15.710599999999999"/>
    <n v="2.0965600000000002"/>
    <n v="2285.63"/>
    <n v="993.11"/>
    <n v="1166"/>
    <n v="355"/>
    <x v="9"/>
    <x v="1"/>
  </r>
  <r>
    <s v="istree_exp5_numerical_stability_vs_time/step10605.txt"/>
    <x v="1"/>
    <m/>
    <s v="reclaimer_debra"/>
    <s v="allocator_new"/>
    <s v="pool_none"/>
    <n v="4000"/>
    <n v="0"/>
    <n v="0"/>
    <n v="0"/>
    <n v="1"/>
    <n v="2000000"/>
    <n v="190"/>
    <n v="190"/>
    <n v="190"/>
    <n v="0"/>
    <s v="insertIfAbsent"/>
    <n v="999650081840"/>
    <n v="1000000"/>
    <n v="999650081840"/>
    <n v="1000000"/>
    <s v="success"/>
    <n v="25"/>
    <n v="571497"/>
    <n v="428504"/>
    <n v="1000001"/>
    <n v="1000000"/>
    <n v="1.74979"/>
    <n v="2.3336999999999999"/>
    <n v="2"/>
    <n v="19.294"/>
    <n v="56000056"/>
    <m/>
    <m/>
    <m/>
    <n v="5856"/>
    <m/>
    <m/>
    <n v="896906614"/>
    <n v="0"/>
    <n v="0"/>
    <n v="896906614"/>
    <n v="896906614"/>
    <n v="224226653"/>
    <n v="0"/>
    <n v="0"/>
    <n v="224226653"/>
    <n v="224226653"/>
    <n v="15.7348"/>
    <n v="2.1093899999999999"/>
    <n v="2308.41"/>
    <n v="1027.99"/>
    <n v="1166"/>
    <n v="230"/>
    <x v="9"/>
    <x v="2"/>
  </r>
  <r>
    <s v="istree_exp5_numerical_stability_vs_time/step10606.txt"/>
    <x v="1"/>
    <m/>
    <s v="reclaimer_debra"/>
    <s v="allocator_new"/>
    <s v="pool_none"/>
    <n v="8000"/>
    <n v="0"/>
    <n v="0"/>
    <n v="0"/>
    <n v="1"/>
    <n v="2000000"/>
    <n v="190"/>
    <n v="190"/>
    <n v="190"/>
    <n v="0"/>
    <s v="insertIfAbsent"/>
    <n v="1000546347357"/>
    <n v="1000000"/>
    <n v="1000546347357"/>
    <n v="1000000"/>
    <s v="success"/>
    <n v="25"/>
    <n v="571488"/>
    <n v="428513"/>
    <n v="1000001"/>
    <n v="1000000"/>
    <n v="1.7498199999999999"/>
    <n v="2.33365"/>
    <n v="2"/>
    <n v="19.325700000000001"/>
    <n v="56000056"/>
    <m/>
    <m/>
    <m/>
    <n v="11506"/>
    <m/>
    <m/>
    <n v="1777500300"/>
    <n v="0"/>
    <n v="0"/>
    <n v="1777500300"/>
    <n v="1777500300"/>
    <n v="222187537"/>
    <n v="0"/>
    <n v="0"/>
    <n v="222187537"/>
    <n v="222187537"/>
    <n v="15.6797"/>
    <n v="2.1152799999999998"/>
    <n v="2315.83"/>
    <n v="1033.54"/>
    <n v="1166"/>
    <n v="320"/>
    <x v="9"/>
    <x v="3"/>
  </r>
  <r>
    <s v="istree_exp5_numerical_stability_vs_time/step10607.txt"/>
    <x v="1"/>
    <m/>
    <s v="reclaimer_debra"/>
    <s v="allocator_new"/>
    <s v="pool_none"/>
    <n v="16000"/>
    <n v="0"/>
    <n v="0"/>
    <n v="0"/>
    <n v="1"/>
    <n v="2000000"/>
    <n v="190"/>
    <n v="190"/>
    <n v="190"/>
    <n v="0"/>
    <s v="insertIfAbsent"/>
    <n v="999889465801"/>
    <n v="1000000"/>
    <n v="999889465801"/>
    <n v="1000000"/>
    <s v="success"/>
    <n v="25"/>
    <n v="571664"/>
    <n v="428337"/>
    <n v="1000001"/>
    <n v="1000000"/>
    <n v="1.7492799999999999"/>
    <n v="2.3346100000000001"/>
    <n v="2"/>
    <n v="19.340699999999998"/>
    <n v="56000056"/>
    <m/>
    <m/>
    <m/>
    <n v="22754"/>
    <m/>
    <m/>
    <n v="3497034649"/>
    <n v="0"/>
    <n v="0"/>
    <n v="3497034649"/>
    <n v="3497034649"/>
    <n v="218564665"/>
    <n v="0"/>
    <n v="0"/>
    <n v="218564665"/>
    <n v="218564665"/>
    <n v="15.6981"/>
    <n v="2.1238199999999998"/>
    <n v="2342.11"/>
    <n v="1035.46"/>
    <n v="1166"/>
    <n v="246"/>
    <x v="9"/>
    <x v="4"/>
  </r>
  <r>
    <s v="istree_exp5_numerical_stability_vs_time/step10608.txt"/>
    <x v="1"/>
    <m/>
    <s v="reclaimer_debra"/>
    <s v="allocator_new"/>
    <s v="pool_none"/>
    <n v="32000"/>
    <n v="0"/>
    <n v="0"/>
    <n v="0"/>
    <n v="1"/>
    <n v="2000000"/>
    <n v="190"/>
    <n v="190"/>
    <n v="190"/>
    <n v="0"/>
    <s v="insertIfAbsent"/>
    <n v="999485976590"/>
    <n v="1000000"/>
    <n v="999485976590"/>
    <n v="1000000"/>
    <s v="success"/>
    <n v="25"/>
    <n v="571341"/>
    <n v="428660"/>
    <n v="1000001"/>
    <n v="1000000"/>
    <n v="1.75027"/>
    <n v="2.3328500000000001"/>
    <n v="2"/>
    <n v="19.303699999999999"/>
    <n v="56000056"/>
    <m/>
    <m/>
    <m/>
    <n v="44654"/>
    <m/>
    <m/>
    <n v="7037275373"/>
    <n v="0"/>
    <n v="0"/>
    <n v="7037275373"/>
    <n v="7037275373"/>
    <n v="219914855"/>
    <n v="0"/>
    <n v="0"/>
    <n v="219914855"/>
    <n v="219914855"/>
    <n v="15.7401"/>
    <n v="2.11138"/>
    <n v="2329.16"/>
    <n v="1046.08"/>
    <n v="1166"/>
    <n v="253"/>
    <x v="9"/>
    <x v="5"/>
  </r>
  <r>
    <s v="istree_exp5_numerical_stability_vs_time/step10609.txt"/>
    <x v="1"/>
    <m/>
    <s v="reclaimer_debra"/>
    <s v="allocator_new"/>
    <s v="pool_none"/>
    <n v="64000"/>
    <n v="0"/>
    <n v="0"/>
    <n v="0"/>
    <n v="1"/>
    <n v="2000000"/>
    <n v="190"/>
    <n v="190"/>
    <n v="190"/>
    <n v="0"/>
    <s v="insertIfAbsent"/>
    <n v="1000305543598"/>
    <n v="1000000"/>
    <n v="1000305543598"/>
    <n v="1000000"/>
    <s v="success"/>
    <n v="25"/>
    <n v="571540"/>
    <n v="428461"/>
    <n v="1000001"/>
    <n v="1000000"/>
    <n v="1.74966"/>
    <n v="2.3339300000000001"/>
    <n v="2"/>
    <n v="19.335000000000001"/>
    <n v="56000056"/>
    <m/>
    <m/>
    <m/>
    <n v="89766"/>
    <m/>
    <m/>
    <n v="14070520356"/>
    <n v="0"/>
    <n v="0"/>
    <n v="14070520356"/>
    <n v="14070520356"/>
    <n v="219851880"/>
    <n v="0"/>
    <n v="0"/>
    <n v="219851880"/>
    <n v="219851880"/>
    <n v="15.724299999999999"/>
    <n v="2.0995699999999999"/>
    <n v="2326.21"/>
    <n v="1042.06"/>
    <n v="1166"/>
    <n v="228"/>
    <x v="9"/>
    <x v="6"/>
  </r>
  <r>
    <s v="istree_exp5_numerical_stability_vs_time/step10610.txt"/>
    <x v="3"/>
    <m/>
    <s v="reclaimer_debra"/>
    <s v="allocator_new"/>
    <s v="pool_none"/>
    <n v="1000"/>
    <n v="0"/>
    <n v="0"/>
    <n v="0"/>
    <n v="1"/>
    <n v="2000000"/>
    <n v="190"/>
    <n v="190"/>
    <n v="190"/>
    <n v="0"/>
    <s v="insertIfAbsent"/>
    <n v="1000072605529"/>
    <n v="1000000"/>
    <n v="1000072605529"/>
    <n v="1000000"/>
    <s v="success"/>
    <n v="52"/>
    <n v="999999"/>
    <n v="1000000"/>
    <n v="1999999"/>
    <n v="1000000"/>
    <n v="2"/>
    <n v="1"/>
    <n v="1.5"/>
    <n v="27.41"/>
    <n v="63999968"/>
    <m/>
    <m/>
    <m/>
    <n v="1484"/>
    <m/>
    <m/>
    <n v="214949086"/>
    <n v="0"/>
    <n v="0"/>
    <n v="214949086"/>
    <n v="214949086"/>
    <n v="214949086"/>
    <n v="0"/>
    <n v="0"/>
    <n v="214949086"/>
    <n v="214949086"/>
    <n v="11.896000000000001"/>
    <n v="1.8021400000000001"/>
    <n v="2459.09"/>
    <n v="1507.45"/>
    <n v="1166"/>
    <n v="233"/>
    <x v="9"/>
    <x v="0"/>
  </r>
  <r>
    <s v="istree_exp5_numerical_stability_vs_time/step10611.txt"/>
    <x v="3"/>
    <m/>
    <s v="reclaimer_debra"/>
    <s v="allocator_new"/>
    <s v="pool_none"/>
    <n v="2000"/>
    <n v="0"/>
    <n v="0"/>
    <n v="0"/>
    <n v="1"/>
    <n v="2000000"/>
    <n v="190"/>
    <n v="190"/>
    <n v="190"/>
    <n v="0"/>
    <s v="insertIfAbsent"/>
    <n v="999923442187"/>
    <n v="1000000"/>
    <n v="999923442187"/>
    <n v="1000000"/>
    <s v="success"/>
    <n v="50"/>
    <n v="999999"/>
    <n v="1000000"/>
    <n v="1999999"/>
    <n v="1000000"/>
    <n v="2"/>
    <n v="1"/>
    <n v="1.5"/>
    <n v="26.248200000000001"/>
    <n v="63999968"/>
    <m/>
    <m/>
    <m/>
    <n v="2842"/>
    <m/>
    <m/>
    <n v="432917948"/>
    <n v="0"/>
    <n v="0"/>
    <n v="432917948"/>
    <n v="432917948"/>
    <n v="216458974"/>
    <n v="0"/>
    <n v="0"/>
    <n v="216458974"/>
    <n v="216458974"/>
    <n v="11.823399999999999"/>
    <n v="1.80362"/>
    <n v="2443.65"/>
    <n v="1490.86"/>
    <n v="1166"/>
    <n v="245"/>
    <x v="9"/>
    <x v="1"/>
  </r>
  <r>
    <s v="istree_exp5_numerical_stability_vs_time/step10612.txt"/>
    <x v="3"/>
    <m/>
    <s v="reclaimer_debra"/>
    <s v="allocator_new"/>
    <s v="pool_none"/>
    <n v="4000"/>
    <n v="0"/>
    <n v="0"/>
    <n v="0"/>
    <n v="1"/>
    <n v="2000000"/>
    <n v="190"/>
    <n v="190"/>
    <n v="190"/>
    <n v="0"/>
    <s v="insertIfAbsent"/>
    <n v="1000790077757"/>
    <n v="1000000"/>
    <n v="1000790077757"/>
    <n v="1000000"/>
    <s v="success"/>
    <n v="50"/>
    <n v="999999"/>
    <n v="1000000"/>
    <n v="1999999"/>
    <n v="1000000"/>
    <n v="2"/>
    <n v="1"/>
    <n v="1.5"/>
    <n v="26.270099999999999"/>
    <n v="63999968"/>
    <m/>
    <m/>
    <m/>
    <n v="5520"/>
    <m/>
    <m/>
    <n v="869536790"/>
    <n v="0"/>
    <n v="0"/>
    <n v="869536790"/>
    <n v="869536790"/>
    <n v="217384197"/>
    <n v="0"/>
    <n v="0"/>
    <n v="217384197"/>
    <n v="217384197"/>
    <n v="11.8148"/>
    <n v="1.7956799999999999"/>
    <n v="2433.7600000000002"/>
    <n v="1488.26"/>
    <n v="1167"/>
    <n v="234"/>
    <x v="9"/>
    <x v="2"/>
  </r>
  <r>
    <s v="istree_exp5_numerical_stability_vs_time/step10613.txt"/>
    <x v="3"/>
    <m/>
    <s v="reclaimer_debra"/>
    <s v="allocator_new"/>
    <s v="pool_none"/>
    <n v="8000"/>
    <n v="0"/>
    <n v="0"/>
    <n v="0"/>
    <n v="1"/>
    <n v="2000000"/>
    <n v="190"/>
    <n v="190"/>
    <n v="190"/>
    <n v="0"/>
    <s v="insertIfAbsent"/>
    <n v="1000081512777"/>
    <n v="1000000"/>
    <n v="1000081512777"/>
    <n v="1000000"/>
    <s v="success"/>
    <n v="49"/>
    <n v="999999"/>
    <n v="1000000"/>
    <n v="1999999"/>
    <n v="1000000"/>
    <n v="2"/>
    <n v="1"/>
    <n v="1.5"/>
    <n v="26.7408"/>
    <n v="63999968"/>
    <m/>
    <m/>
    <m/>
    <n v="10764"/>
    <m/>
    <m/>
    <n v="1727962129"/>
    <n v="0"/>
    <n v="0"/>
    <n v="1727962129"/>
    <n v="1727962129"/>
    <n v="215995266"/>
    <n v="0"/>
    <n v="0"/>
    <n v="215995266"/>
    <n v="215995266"/>
    <n v="11.8705"/>
    <n v="1.8086800000000001"/>
    <n v="2449.96"/>
    <n v="1503.99"/>
    <n v="1166"/>
    <n v="211"/>
    <x v="9"/>
    <x v="3"/>
  </r>
  <r>
    <s v="istree_exp5_numerical_stability_vs_time/step10614.txt"/>
    <x v="3"/>
    <m/>
    <s v="reclaimer_debra"/>
    <s v="allocator_new"/>
    <s v="pool_none"/>
    <n v="16000"/>
    <n v="0"/>
    <n v="0"/>
    <n v="0"/>
    <n v="1"/>
    <n v="2000000"/>
    <n v="190"/>
    <n v="190"/>
    <n v="190"/>
    <n v="0"/>
    <s v="insertIfAbsent"/>
    <n v="1000086494879"/>
    <n v="1000000"/>
    <n v="1000086494879"/>
    <n v="1000000"/>
    <s v="success"/>
    <n v="51"/>
    <n v="999999"/>
    <n v="1000000"/>
    <n v="1999999"/>
    <n v="1000000"/>
    <n v="2"/>
    <n v="1"/>
    <n v="1.5"/>
    <n v="25.857299999999999"/>
    <n v="63999968"/>
    <m/>
    <m/>
    <m/>
    <n v="21460"/>
    <m/>
    <m/>
    <n v="3454629699"/>
    <n v="0"/>
    <n v="0"/>
    <n v="3454629699"/>
    <n v="3454629699"/>
    <n v="215914356"/>
    <n v="0"/>
    <n v="0"/>
    <n v="215914356"/>
    <n v="215914356"/>
    <n v="11.882400000000001"/>
    <n v="1.80487"/>
    <n v="2450.4899999999998"/>
    <n v="1501.43"/>
    <n v="1167"/>
    <n v="266"/>
    <x v="9"/>
    <x v="4"/>
  </r>
  <r>
    <s v="istree_exp5_numerical_stability_vs_time/step10615.txt"/>
    <x v="3"/>
    <m/>
    <s v="reclaimer_debra"/>
    <s v="allocator_new"/>
    <s v="pool_none"/>
    <n v="32000"/>
    <n v="0"/>
    <n v="0"/>
    <n v="0"/>
    <n v="1"/>
    <n v="2000000"/>
    <n v="190"/>
    <n v="190"/>
    <n v="190"/>
    <n v="0"/>
    <s v="insertIfAbsent"/>
    <n v="1000074311242"/>
    <n v="1000000"/>
    <n v="1000074311242"/>
    <n v="1000000"/>
    <s v="success"/>
    <n v="49"/>
    <n v="999999"/>
    <n v="1000000"/>
    <n v="1999999"/>
    <n v="1000000"/>
    <n v="2"/>
    <n v="1"/>
    <n v="1.5"/>
    <n v="26.273499999999999"/>
    <n v="63999968"/>
    <m/>
    <m/>
    <m/>
    <n v="43006"/>
    <m/>
    <m/>
    <n v="6921309702"/>
    <n v="0"/>
    <n v="0"/>
    <n v="6921309702"/>
    <n v="6921309702"/>
    <n v="216290928"/>
    <n v="0"/>
    <n v="0"/>
    <n v="216290928"/>
    <n v="216290928"/>
    <n v="11.8812"/>
    <n v="1.80609"/>
    <n v="2446.4"/>
    <n v="1499.59"/>
    <n v="1166"/>
    <n v="210"/>
    <x v="9"/>
    <x v="5"/>
  </r>
  <r>
    <s v="istree_exp5_numerical_stability_vs_time/step10616.txt"/>
    <x v="3"/>
    <m/>
    <s v="reclaimer_debra"/>
    <s v="allocator_new"/>
    <s v="pool_none"/>
    <n v="64000"/>
    <n v="0"/>
    <n v="0"/>
    <n v="0"/>
    <n v="1"/>
    <n v="2000000"/>
    <n v="190"/>
    <n v="190"/>
    <n v="190"/>
    <n v="0"/>
    <s v="insertIfAbsent"/>
    <n v="1000745168278"/>
    <n v="1000000"/>
    <n v="1000745168278"/>
    <n v="1000000"/>
    <s v="success"/>
    <n v="50"/>
    <n v="999999"/>
    <n v="1000000"/>
    <n v="1999999"/>
    <n v="1000000"/>
    <n v="2"/>
    <n v="1"/>
    <n v="1.5"/>
    <n v="26.164999999999999"/>
    <n v="63999968"/>
    <m/>
    <m/>
    <m/>
    <n v="85528"/>
    <m/>
    <m/>
    <n v="13877916665"/>
    <n v="0"/>
    <n v="0"/>
    <n v="13877916665"/>
    <n v="13877916665"/>
    <n v="216842447"/>
    <n v="0"/>
    <n v="0"/>
    <n v="216842447"/>
    <n v="216842447"/>
    <n v="11.896100000000001"/>
    <n v="1.79678"/>
    <n v="2440.3000000000002"/>
    <n v="1495.13"/>
    <n v="1166"/>
    <n v="236"/>
    <x v="9"/>
    <x v="6"/>
  </r>
  <r>
    <s v="istree_exp5_numerical_stability_vs_time/step10617.txt"/>
    <x v="0"/>
    <n v="72"/>
    <s v="reclaimer_debra"/>
    <s v="allocator_new"/>
    <s v="pool_none"/>
    <n v="1000"/>
    <n v="0"/>
    <n v="0"/>
    <n v="0"/>
    <n v="1"/>
    <n v="20000000"/>
    <n v="190"/>
    <n v="190"/>
    <n v="190"/>
    <n v="0"/>
    <s v="insertIfAbsent"/>
    <n v="100009432894794"/>
    <n v="10000001"/>
    <n v="100009432894794"/>
    <n v="10000001"/>
    <s v="success"/>
    <n v="6"/>
    <n v="1625784"/>
    <n v="11442329"/>
    <n v="13068113"/>
    <n v="10000001"/>
    <n v="8.0380400000000005"/>
    <n v="0.87394799999999995"/>
    <n v="1.76522"/>
    <n v="4"/>
    <n v="313139968"/>
    <m/>
    <m/>
    <m/>
    <n v="1794"/>
    <m/>
    <m/>
    <n v="284095838"/>
    <n v="0"/>
    <n v="0"/>
    <n v="284095838"/>
    <n v="284095838"/>
    <n v="284095838"/>
    <n v="0"/>
    <n v="0"/>
    <n v="284095838"/>
    <n v="284095838"/>
    <n v="15.3766"/>
    <n v="6.2061200000000003"/>
    <n v="1857"/>
    <n v="1083.5899999999999"/>
    <n v="1848"/>
    <n v="425"/>
    <x v="10"/>
    <x v="0"/>
  </r>
  <r>
    <s v="istree_exp5_numerical_stability_vs_time/step10618.txt"/>
    <x v="0"/>
    <n v="72"/>
    <s v="reclaimer_debra"/>
    <s v="allocator_new"/>
    <s v="pool_none"/>
    <n v="2000"/>
    <n v="0"/>
    <n v="0"/>
    <n v="0"/>
    <n v="1"/>
    <n v="20000000"/>
    <n v="190"/>
    <n v="190"/>
    <n v="190"/>
    <n v="0"/>
    <s v="insertIfAbsent"/>
    <n v="99997152101397"/>
    <n v="10000001"/>
    <n v="99997152101397"/>
    <n v="10000001"/>
    <s v="success"/>
    <n v="6"/>
    <n v="1625784"/>
    <n v="11442329"/>
    <n v="13068113"/>
    <n v="10000001"/>
    <n v="8.0380400000000005"/>
    <n v="0.87394799999999995"/>
    <n v="1.76522"/>
    <n v="4"/>
    <n v="313139968"/>
    <m/>
    <m/>
    <m/>
    <n v="3664"/>
    <m/>
    <m/>
    <n v="570910991"/>
    <n v="0"/>
    <n v="0"/>
    <n v="570910991"/>
    <n v="570910991"/>
    <n v="285455495"/>
    <n v="0"/>
    <n v="0"/>
    <n v="285455495"/>
    <n v="285455495"/>
    <n v="15.396699999999999"/>
    <n v="6.2218900000000001"/>
    <n v="1849.63"/>
    <n v="1077.6500000000001"/>
    <n v="1848"/>
    <n v="379"/>
    <x v="10"/>
    <x v="1"/>
  </r>
  <r>
    <s v="istree_exp5_numerical_stability_vs_time/step10619.txt"/>
    <x v="0"/>
    <n v="72"/>
    <s v="reclaimer_debra"/>
    <s v="allocator_new"/>
    <s v="pool_none"/>
    <n v="4000"/>
    <n v="0"/>
    <n v="0"/>
    <n v="0"/>
    <n v="1"/>
    <n v="20000000"/>
    <n v="190"/>
    <n v="190"/>
    <n v="190"/>
    <n v="0"/>
    <s v="insertIfAbsent"/>
    <n v="100002885858319"/>
    <n v="10000001"/>
    <n v="100002885858319"/>
    <n v="10000001"/>
    <s v="success"/>
    <n v="6"/>
    <n v="1625784"/>
    <n v="11442329"/>
    <n v="13068113"/>
    <n v="10000001"/>
    <n v="8.0380400000000005"/>
    <n v="0.87394799999999995"/>
    <n v="1.76522"/>
    <n v="4"/>
    <n v="313139968"/>
    <m/>
    <m/>
    <m/>
    <n v="7224"/>
    <m/>
    <m/>
    <n v="1127763038"/>
    <n v="0"/>
    <n v="0"/>
    <n v="1127763038"/>
    <n v="1127763038"/>
    <n v="281940759"/>
    <n v="0"/>
    <n v="0"/>
    <n v="281940759"/>
    <n v="281940759"/>
    <n v="15.537100000000001"/>
    <n v="6.2403700000000004"/>
    <n v="1869.18"/>
    <n v="1103.48"/>
    <n v="1847"/>
    <n v="376"/>
    <x v="10"/>
    <x v="2"/>
  </r>
  <r>
    <s v="istree_exp5_numerical_stability_vs_time/step10620.txt"/>
    <x v="0"/>
    <n v="72"/>
    <s v="reclaimer_debra"/>
    <s v="allocator_new"/>
    <s v="pool_none"/>
    <n v="8000"/>
    <n v="0"/>
    <n v="0"/>
    <n v="0"/>
    <n v="1"/>
    <n v="20000000"/>
    <n v="190"/>
    <n v="190"/>
    <n v="190"/>
    <n v="0"/>
    <s v="insertIfAbsent"/>
    <n v="99998461993075"/>
    <n v="10000001"/>
    <n v="99998461993075"/>
    <n v="10000001"/>
    <s v="success"/>
    <n v="6"/>
    <n v="1625784"/>
    <n v="11442329"/>
    <n v="13068113"/>
    <n v="10000001"/>
    <n v="8.0380400000000005"/>
    <n v="0.87394799999999995"/>
    <n v="1.76522"/>
    <n v="4"/>
    <n v="313139968"/>
    <m/>
    <m/>
    <m/>
    <n v="14228"/>
    <m/>
    <m/>
    <n v="2238517716"/>
    <n v="0"/>
    <n v="0"/>
    <n v="2238517716"/>
    <n v="2238517716"/>
    <n v="279814714"/>
    <n v="0"/>
    <n v="0"/>
    <n v="279814714"/>
    <n v="279814714"/>
    <n v="15.398999999999999"/>
    <n v="6.2429199999999998"/>
    <n v="1880.91"/>
    <n v="1109.31"/>
    <n v="1849"/>
    <n v="434"/>
    <x v="10"/>
    <x v="3"/>
  </r>
  <r>
    <s v="istree_exp5_numerical_stability_vs_time/step10621.txt"/>
    <x v="0"/>
    <n v="72"/>
    <s v="reclaimer_debra"/>
    <s v="allocator_new"/>
    <s v="pool_none"/>
    <n v="16000"/>
    <n v="0"/>
    <n v="0"/>
    <n v="0"/>
    <n v="1"/>
    <n v="20000000"/>
    <n v="190"/>
    <n v="190"/>
    <n v="190"/>
    <n v="0"/>
    <s v="insertIfAbsent"/>
    <n v="99998131053346"/>
    <n v="10000001"/>
    <n v="99998131053346"/>
    <n v="10000001"/>
    <s v="success"/>
    <n v="6"/>
    <n v="1625784"/>
    <n v="11442329"/>
    <n v="13068113"/>
    <n v="10000001"/>
    <n v="8.0380400000000005"/>
    <n v="0.87394799999999995"/>
    <n v="1.76522"/>
    <n v="4"/>
    <n v="313139968"/>
    <m/>
    <m/>
    <m/>
    <n v="28640"/>
    <m/>
    <m/>
    <n v="4470125037"/>
    <n v="0"/>
    <n v="0"/>
    <n v="4470125037"/>
    <n v="4470125037"/>
    <n v="279382814"/>
    <n v="0"/>
    <n v="0"/>
    <n v="279382814"/>
    <n v="279382814"/>
    <n v="15.3917"/>
    <n v="6.2451600000000003"/>
    <n v="1883.51"/>
    <n v="1110.43"/>
    <n v="1851"/>
    <n v="468"/>
    <x v="10"/>
    <x v="4"/>
  </r>
  <r>
    <s v="istree_exp5_numerical_stability_vs_time/step10622.txt"/>
    <x v="0"/>
    <n v="72"/>
    <s v="reclaimer_debra"/>
    <s v="allocator_new"/>
    <s v="pool_none"/>
    <n v="32000"/>
    <n v="0"/>
    <n v="0"/>
    <n v="0"/>
    <n v="1"/>
    <n v="20000000"/>
    <n v="190"/>
    <n v="190"/>
    <n v="190"/>
    <n v="0"/>
    <s v="insertIfAbsent"/>
    <n v="99991082486770"/>
    <n v="10000001"/>
    <n v="99991082486770"/>
    <n v="10000001"/>
    <s v="success"/>
    <n v="6"/>
    <n v="1625784"/>
    <n v="11442329"/>
    <n v="13068113"/>
    <n v="10000001"/>
    <n v="8.0380400000000005"/>
    <n v="0.87394799999999995"/>
    <n v="1.76522"/>
    <n v="4"/>
    <n v="313139968"/>
    <m/>
    <m/>
    <m/>
    <n v="57222"/>
    <m/>
    <m/>
    <n v="8917210377"/>
    <n v="0"/>
    <n v="0"/>
    <n v="8917210377"/>
    <n v="8917210377"/>
    <n v="278662824"/>
    <n v="0"/>
    <n v="0"/>
    <n v="278662824"/>
    <n v="278662824"/>
    <n v="15.3789"/>
    <n v="6.2495399999999997"/>
    <n v="1888.04"/>
    <n v="1112.05"/>
    <n v="1849"/>
    <n v="370"/>
    <x v="10"/>
    <x v="5"/>
  </r>
  <r>
    <s v="istree_exp5_numerical_stability_vs_time/step10623.txt"/>
    <x v="0"/>
    <n v="72"/>
    <s v="reclaimer_debra"/>
    <s v="allocator_new"/>
    <s v="pool_none"/>
    <n v="64000"/>
    <n v="0"/>
    <n v="0"/>
    <n v="0"/>
    <n v="1"/>
    <n v="20000000"/>
    <n v="190"/>
    <n v="190"/>
    <n v="190"/>
    <n v="0"/>
    <s v="insertIfAbsent"/>
    <n v="99996337015405"/>
    <n v="10000001"/>
    <n v="99996337015405"/>
    <n v="10000001"/>
    <s v="success"/>
    <n v="6"/>
    <n v="1625784"/>
    <n v="11442329"/>
    <n v="13068113"/>
    <n v="10000001"/>
    <n v="8.0380400000000005"/>
    <n v="0.87394799999999995"/>
    <n v="1.76522"/>
    <n v="4"/>
    <n v="313139968"/>
    <m/>
    <m/>
    <m/>
    <n v="114030"/>
    <m/>
    <m/>
    <n v="17770642415"/>
    <n v="0"/>
    <n v="0"/>
    <n v="17770642415"/>
    <n v="17770642415"/>
    <n v="277666287"/>
    <n v="0"/>
    <n v="0"/>
    <n v="277666287"/>
    <n v="277666287"/>
    <n v="15.512499999999999"/>
    <n v="6.2549599999999996"/>
    <n v="1894.93"/>
    <n v="1122.79"/>
    <n v="1849"/>
    <n v="425"/>
    <x v="10"/>
    <x v="6"/>
  </r>
  <r>
    <s v="istree_exp5_numerical_stability_vs_time/step10624.txt"/>
    <x v="2"/>
    <n v="208"/>
    <s v="reclaimer_debra"/>
    <s v="allocator_new"/>
    <s v="pool_none"/>
    <n v="1000"/>
    <n v="0"/>
    <n v="0"/>
    <n v="0"/>
    <n v="1"/>
    <n v="20000000"/>
    <n v="190"/>
    <n v="190"/>
    <n v="190"/>
    <n v="0"/>
    <s v="insertIfAbsent"/>
    <n v="99966682415233"/>
    <n v="10000000"/>
    <n v="99966682415233"/>
    <n v="10000000"/>
    <s v="success"/>
    <n v="9"/>
    <n v="185344"/>
    <n v="1276111"/>
    <n v="1461455"/>
    <n v="10000000"/>
    <n v="7.8850899999999999"/>
    <n v="7.8363100000000001"/>
    <n v="7.8425000000000002"/>
    <n v="8"/>
    <n v="303982640"/>
    <m/>
    <m/>
    <m/>
    <s v="632 2134"/>
    <m/>
    <m/>
    <n v="244443094"/>
    <n v="0"/>
    <n v="0"/>
    <n v="244443094"/>
    <n v="244443094"/>
    <n v="244443094"/>
    <n v="0"/>
    <n v="0"/>
    <n v="244443094"/>
    <n v="244443094"/>
    <n v="16.511099999999999"/>
    <n v="5.51004"/>
    <n v="2129.4"/>
    <n v="1214.8499999999999"/>
    <n v="1594"/>
    <n v="911"/>
    <x v="10"/>
    <x v="0"/>
  </r>
  <r>
    <s v="istree_exp5_numerical_stability_vs_time/step10625.txt"/>
    <x v="2"/>
    <n v="208"/>
    <s v="reclaimer_debra"/>
    <s v="allocator_new"/>
    <s v="pool_none"/>
    <n v="2000"/>
    <n v="0"/>
    <n v="0"/>
    <n v="0"/>
    <n v="1"/>
    <n v="20000000"/>
    <n v="190"/>
    <n v="190"/>
    <n v="190"/>
    <n v="0"/>
    <s v="insertIfAbsent"/>
    <n v="100005082579711"/>
    <n v="10000000"/>
    <n v="100005082579711"/>
    <n v="10000000"/>
    <s v="success"/>
    <n v="9"/>
    <n v="185720"/>
    <n v="1276195"/>
    <n v="1461915"/>
    <n v="10000000"/>
    <n v="7.8716100000000004"/>
    <n v="7.8357900000000003"/>
    <n v="7.8403400000000003"/>
    <n v="8"/>
    <n v="304078320"/>
    <m/>
    <m/>
    <m/>
    <n v="3570"/>
    <m/>
    <m/>
    <n v="494426622"/>
    <n v="0"/>
    <n v="0"/>
    <n v="494426622"/>
    <n v="494426622"/>
    <n v="247213311"/>
    <n v="0"/>
    <n v="0"/>
    <n v="247213311"/>
    <n v="247213311"/>
    <n v="16.516300000000001"/>
    <n v="5.5487700000000002"/>
    <n v="2122.29"/>
    <n v="1213.42"/>
    <n v="1589"/>
    <n v="892"/>
    <x v="10"/>
    <x v="1"/>
  </r>
  <r>
    <s v="istree_exp5_numerical_stability_vs_time/step10626.txt"/>
    <x v="2"/>
    <n v="208"/>
    <s v="reclaimer_debra"/>
    <s v="allocator_new"/>
    <s v="pool_none"/>
    <n v="4000"/>
    <n v="0"/>
    <n v="0"/>
    <n v="0"/>
    <n v="1"/>
    <n v="20000000"/>
    <n v="190"/>
    <n v="190"/>
    <n v="190"/>
    <n v="0"/>
    <s v="insertIfAbsent"/>
    <n v="99992984408425"/>
    <n v="10000000"/>
    <n v="99992984408425"/>
    <n v="10000000"/>
    <s v="success"/>
    <n v="9"/>
    <n v="185280"/>
    <n v="1275273"/>
    <n v="1460553"/>
    <n v="10000000"/>
    <n v="7.8829500000000001"/>
    <n v="7.8414599999999997"/>
    <n v="7.8467200000000004"/>
    <n v="8"/>
    <n v="303795024"/>
    <m/>
    <m/>
    <m/>
    <n v="6590"/>
    <m/>
    <m/>
    <n v="975775098"/>
    <n v="0"/>
    <n v="0"/>
    <n v="975775098"/>
    <n v="975775098"/>
    <n v="243943774"/>
    <n v="0"/>
    <n v="0"/>
    <n v="243943774"/>
    <n v="243943774"/>
    <n v="16.5609"/>
    <n v="5.5565300000000004"/>
    <n v="2146.83"/>
    <n v="1234.78"/>
    <n v="1585"/>
    <n v="885"/>
    <x v="10"/>
    <x v="2"/>
  </r>
  <r>
    <s v="istree_exp5_numerical_stability_vs_time/step10627.txt"/>
    <x v="2"/>
    <n v="208"/>
    <s v="reclaimer_debra"/>
    <s v="allocator_new"/>
    <s v="pool_none"/>
    <n v="8000"/>
    <n v="0"/>
    <n v="0"/>
    <n v="0"/>
    <n v="1"/>
    <n v="20000000"/>
    <n v="190"/>
    <n v="190"/>
    <n v="190"/>
    <n v="0"/>
    <s v="insertIfAbsent"/>
    <n v="100029728768985"/>
    <n v="10000000"/>
    <n v="100029728768985"/>
    <n v="10000000"/>
    <s v="success"/>
    <n v="9"/>
    <n v="185441"/>
    <n v="1275770"/>
    <n v="1461211"/>
    <n v="10000000"/>
    <n v="7.8796499999999998"/>
    <n v="7.8384"/>
    <n v="7.8436399999999997"/>
    <n v="8"/>
    <n v="303931888"/>
    <m/>
    <m/>
    <m/>
    <s v="644 12552"/>
    <m/>
    <m/>
    <n v="1944865976"/>
    <n v="0"/>
    <n v="0"/>
    <n v="1944865976"/>
    <n v="1944865976"/>
    <n v="243108247"/>
    <n v="0"/>
    <n v="0"/>
    <n v="243108247"/>
    <n v="243108247"/>
    <n v="16.562200000000001"/>
    <n v="5.57613"/>
    <n v="2159.85"/>
    <n v="1249.2"/>
    <n v="1613"/>
    <n v="1020"/>
    <x v="10"/>
    <x v="3"/>
  </r>
  <r>
    <s v="istree_exp5_numerical_stability_vs_time/step10628.txt"/>
    <x v="2"/>
    <n v="208"/>
    <s v="reclaimer_debra"/>
    <s v="allocator_new"/>
    <s v="pool_none"/>
    <n v="16000"/>
    <n v="0"/>
    <n v="0"/>
    <n v="0"/>
    <n v="1"/>
    <n v="20000000"/>
    <n v="190"/>
    <n v="190"/>
    <n v="190"/>
    <n v="0"/>
    <s v="insertIfAbsent"/>
    <n v="100001696492151"/>
    <n v="10000000"/>
    <n v="100001696492151"/>
    <n v="10000000"/>
    <s v="success"/>
    <n v="9"/>
    <n v="185224"/>
    <n v="1275893"/>
    <n v="1461117"/>
    <n v="10000000"/>
    <n v="7.8883799999999997"/>
    <n v="7.83765"/>
    <n v="7.8440799999999999"/>
    <n v="8"/>
    <n v="303912336"/>
    <m/>
    <m/>
    <m/>
    <n v="24270"/>
    <m/>
    <m/>
    <n v="3866236124"/>
    <n v="0"/>
    <n v="0"/>
    <n v="3866236124"/>
    <n v="3866236124"/>
    <n v="241639757"/>
    <n v="0"/>
    <n v="0"/>
    <n v="241639757"/>
    <n v="241639757"/>
    <n v="16.521999999999998"/>
    <n v="5.5577500000000004"/>
    <n v="2172.91"/>
    <n v="1259.4000000000001"/>
    <n v="1596"/>
    <n v="926"/>
    <x v="10"/>
    <x v="4"/>
  </r>
  <r>
    <s v="istree_exp5_numerical_stability_vs_time/step10629.txt"/>
    <x v="2"/>
    <n v="208"/>
    <s v="reclaimer_debra"/>
    <s v="allocator_new"/>
    <s v="pool_none"/>
    <n v="32000"/>
    <n v="0"/>
    <n v="0"/>
    <n v="0"/>
    <n v="1"/>
    <n v="20000000"/>
    <n v="190"/>
    <n v="190"/>
    <n v="190"/>
    <n v="0"/>
    <s v="insertIfAbsent"/>
    <n v="100012090827496"/>
    <n v="10000000"/>
    <n v="100012090827496"/>
    <n v="10000000"/>
    <s v="success"/>
    <n v="9"/>
    <n v="185237"/>
    <n v="1275860"/>
    <n v="1461097"/>
    <n v="10000000"/>
    <n v="7.8877199999999998"/>
    <n v="7.8378500000000004"/>
    <n v="7.8441700000000001"/>
    <n v="8"/>
    <n v="303908176"/>
    <m/>
    <m/>
    <m/>
    <s v="538 47846"/>
    <m/>
    <m/>
    <n v="7752318947"/>
    <n v="0"/>
    <n v="0"/>
    <n v="7752318947"/>
    <n v="7752318947"/>
    <n v="242259967"/>
    <n v="0"/>
    <n v="0"/>
    <n v="242259967"/>
    <n v="242259967"/>
    <n v="16.517199999999999"/>
    <n v="5.5617599999999996"/>
    <n v="2167.0100000000002"/>
    <n v="1259.52"/>
    <n v="1584"/>
    <n v="965"/>
    <x v="10"/>
    <x v="5"/>
  </r>
  <r>
    <s v="istree_exp5_numerical_stability_vs_time/step10630.txt"/>
    <x v="2"/>
    <n v="208"/>
    <s v="reclaimer_debra"/>
    <s v="allocator_new"/>
    <s v="pool_none"/>
    <n v="64000"/>
    <n v="0"/>
    <n v="0"/>
    <n v="0"/>
    <n v="1"/>
    <n v="20000000"/>
    <n v="190"/>
    <n v="190"/>
    <n v="190"/>
    <n v="0"/>
    <s v="insertIfAbsent"/>
    <n v="99999993494391"/>
    <n v="10000000"/>
    <n v="99999993494391"/>
    <n v="10000000"/>
    <s v="success"/>
    <n v="9"/>
    <n v="185233"/>
    <n v="1275522"/>
    <n v="1460755"/>
    <n v="10000000"/>
    <n v="7.8860400000000004"/>
    <n v="7.8399299999999998"/>
    <n v="7.8457699999999999"/>
    <n v="8"/>
    <n v="303837040"/>
    <m/>
    <m/>
    <m/>
    <n v="94930"/>
    <m/>
    <m/>
    <n v="15479108781"/>
    <n v="0"/>
    <n v="0"/>
    <n v="15479108781"/>
    <n v="15479108781"/>
    <n v="241861074"/>
    <n v="0"/>
    <n v="0"/>
    <n v="241861074"/>
    <n v="241861074"/>
    <n v="16.494900000000001"/>
    <n v="5.5662000000000003"/>
    <n v="2171.02"/>
    <n v="1259.52"/>
    <n v="1598"/>
    <n v="902"/>
    <x v="10"/>
    <x v="6"/>
  </r>
  <r>
    <s v="istree_exp5_numerical_stability_vs_time/step10631.txt"/>
    <x v="1"/>
    <m/>
    <s v="reclaimer_debra"/>
    <s v="allocator_new"/>
    <s v="pool_none"/>
    <n v="1000"/>
    <n v="0"/>
    <n v="0"/>
    <n v="0"/>
    <n v="1"/>
    <n v="20000000"/>
    <n v="190"/>
    <n v="190"/>
    <n v="190"/>
    <n v="0"/>
    <s v="insertIfAbsent"/>
    <n v="99995505424123"/>
    <n v="10000000"/>
    <n v="99995505424123"/>
    <n v="10000000"/>
    <s v="success"/>
    <n v="29"/>
    <n v="5714744"/>
    <n v="4285257"/>
    <n v="10000001"/>
    <n v="10000000"/>
    <n v="1.74986"/>
    <n v="2.33358"/>
    <n v="2"/>
    <n v="22.761700000000001"/>
    <n v="560000056"/>
    <m/>
    <m/>
    <m/>
    <s v="168 844"/>
    <m/>
    <m/>
    <n v="115510816"/>
    <n v="0"/>
    <n v="0"/>
    <n v="115510816"/>
    <n v="115510816"/>
    <n v="115510816"/>
    <n v="0"/>
    <n v="0"/>
    <n v="115510816"/>
    <n v="115510816"/>
    <n v="28.352499999999999"/>
    <n v="10.4184"/>
    <n v="4558.91"/>
    <n v="3208.42"/>
    <n v="1754"/>
    <n v="439"/>
    <x v="10"/>
    <x v="0"/>
  </r>
  <r>
    <s v="istree_exp5_numerical_stability_vs_time/step10632.txt"/>
    <x v="1"/>
    <m/>
    <s v="reclaimer_debra"/>
    <s v="allocator_new"/>
    <s v="pool_none"/>
    <n v="2000"/>
    <n v="0"/>
    <n v="0"/>
    <n v="0"/>
    <n v="1"/>
    <n v="20000000"/>
    <n v="190"/>
    <n v="190"/>
    <n v="190"/>
    <n v="0"/>
    <s v="insertIfAbsent"/>
    <n v="99988709145109"/>
    <n v="10000000"/>
    <n v="99988709145109"/>
    <n v="10000000"/>
    <s v="success"/>
    <n v="29"/>
    <n v="5714525"/>
    <n v="4285476"/>
    <n v="10000001"/>
    <n v="10000000"/>
    <n v="1.74993"/>
    <n v="2.3334600000000001"/>
    <n v="2"/>
    <n v="22.7136"/>
    <n v="560000056"/>
    <m/>
    <m/>
    <m/>
    <s v="170 1534"/>
    <m/>
    <m/>
    <n v="232138083"/>
    <n v="0"/>
    <n v="0"/>
    <n v="232138083"/>
    <n v="232138083"/>
    <n v="116069041"/>
    <n v="0"/>
    <n v="0"/>
    <n v="116069041"/>
    <n v="116069041"/>
    <n v="28.4605"/>
    <n v="10.5259"/>
    <n v="4537.7700000000004"/>
    <n v="3180.6"/>
    <n v="1754"/>
    <n v="436"/>
    <x v="10"/>
    <x v="1"/>
  </r>
  <r>
    <s v="istree_exp5_numerical_stability_vs_time/step10633.txt"/>
    <x v="1"/>
    <m/>
    <s v="reclaimer_debra"/>
    <s v="allocator_new"/>
    <s v="pool_none"/>
    <n v="4000"/>
    <n v="0"/>
    <n v="0"/>
    <n v="0"/>
    <n v="1"/>
    <n v="20000000"/>
    <n v="190"/>
    <n v="190"/>
    <n v="190"/>
    <n v="0"/>
    <s v="insertIfAbsent"/>
    <n v="99990892515236"/>
    <n v="10000000"/>
    <n v="99990892515236"/>
    <n v="10000000"/>
    <s v="success"/>
    <n v="29"/>
    <n v="5714215"/>
    <n v="4285786"/>
    <n v="10000001"/>
    <n v="10000000"/>
    <n v="1.7500199999999999"/>
    <n v="2.3332899999999999"/>
    <n v="2"/>
    <n v="22.689399999999999"/>
    <n v="560000056"/>
    <m/>
    <m/>
    <m/>
    <n v="2902"/>
    <m/>
    <m/>
    <n v="459711123"/>
    <n v="0"/>
    <n v="0"/>
    <n v="459711123"/>
    <n v="459711123"/>
    <n v="114927780"/>
    <n v="0"/>
    <n v="0"/>
    <n v="114927780"/>
    <n v="114927780"/>
    <n v="28.552900000000001"/>
    <n v="10.6084"/>
    <n v="4591.87"/>
    <n v="3158.02"/>
    <n v="1753"/>
    <n v="432"/>
    <x v="10"/>
    <x v="2"/>
  </r>
  <r>
    <s v="istree_exp5_numerical_stability_vs_time/step10634.txt"/>
    <x v="1"/>
    <m/>
    <s v="reclaimer_debra"/>
    <s v="allocator_new"/>
    <s v="pool_none"/>
    <n v="8000"/>
    <n v="0"/>
    <n v="0"/>
    <n v="0"/>
    <n v="1"/>
    <n v="20000000"/>
    <n v="190"/>
    <n v="190"/>
    <n v="190"/>
    <n v="0"/>
    <s v="insertIfAbsent"/>
    <n v="99997344998659"/>
    <n v="10000000"/>
    <n v="99997344998659"/>
    <n v="10000000"/>
    <s v="success"/>
    <n v="29"/>
    <n v="5714657"/>
    <n v="4285344"/>
    <n v="10000001"/>
    <n v="10000000"/>
    <n v="1.7498899999999999"/>
    <n v="2.3335300000000001"/>
    <n v="2"/>
    <n v="22.671299999999999"/>
    <n v="560000056"/>
    <m/>
    <m/>
    <m/>
    <n v="5644"/>
    <m/>
    <m/>
    <n v="928120072"/>
    <n v="0"/>
    <n v="0"/>
    <n v="928120072"/>
    <n v="928120072"/>
    <n v="116015009"/>
    <n v="0"/>
    <n v="0"/>
    <n v="116015009"/>
    <n v="116015009"/>
    <n v="28.7622"/>
    <n v="10.674200000000001"/>
    <n v="4547.8"/>
    <n v="3182.67"/>
    <n v="1754"/>
    <n v="435"/>
    <x v="10"/>
    <x v="3"/>
  </r>
  <r>
    <s v="istree_exp5_numerical_stability_vs_time/step10635.txt"/>
    <x v="1"/>
    <m/>
    <s v="reclaimer_debra"/>
    <s v="allocator_new"/>
    <s v="pool_none"/>
    <n v="16000"/>
    <n v="0"/>
    <n v="0"/>
    <n v="0"/>
    <n v="1"/>
    <n v="20000000"/>
    <n v="190"/>
    <n v="190"/>
    <n v="190"/>
    <n v="0"/>
    <s v="insertIfAbsent"/>
    <n v="99992606539428"/>
    <n v="10000000"/>
    <n v="99992606539428"/>
    <n v="10000000"/>
    <s v="success"/>
    <n v="29"/>
    <n v="5713755"/>
    <n v="4286246"/>
    <n v="10000001"/>
    <n v="10000000"/>
    <n v="1.7501599999999999"/>
    <n v="2.33304"/>
    <n v="2"/>
    <n v="22.764500000000002"/>
    <n v="560000056"/>
    <m/>
    <m/>
    <m/>
    <s v="166 11218"/>
    <m/>
    <m/>
    <n v="1871881212"/>
    <n v="0"/>
    <n v="0"/>
    <n v="1871881212"/>
    <n v="1871881212"/>
    <n v="116992575"/>
    <n v="0"/>
    <n v="0"/>
    <n v="116992575"/>
    <n v="116992575"/>
    <n v="28.371099999999998"/>
    <n v="10.7187"/>
    <n v="4507.1000000000004"/>
    <n v="3140.89"/>
    <n v="1754"/>
    <n v="445"/>
    <x v="10"/>
    <x v="4"/>
  </r>
  <r>
    <s v="istree_exp5_numerical_stability_vs_time/step10636.txt"/>
    <x v="1"/>
    <m/>
    <s v="reclaimer_debra"/>
    <s v="allocator_new"/>
    <s v="pool_none"/>
    <n v="32000"/>
    <n v="0"/>
    <n v="0"/>
    <n v="0"/>
    <n v="1"/>
    <n v="20000000"/>
    <n v="190"/>
    <n v="190"/>
    <n v="190"/>
    <n v="0"/>
    <s v="insertIfAbsent"/>
    <n v="99996349286856"/>
    <n v="10000000"/>
    <n v="99996349286856"/>
    <n v="10000000"/>
    <s v="success"/>
    <n v="29"/>
    <n v="5715249"/>
    <n v="4284752"/>
    <n v="10000001"/>
    <n v="10000000"/>
    <n v="1.7497100000000001"/>
    <n v="2.33386"/>
    <n v="2"/>
    <n v="22.7089"/>
    <n v="560000056"/>
    <m/>
    <m/>
    <m/>
    <s v="170 22324"/>
    <m/>
    <m/>
    <n v="3742170528"/>
    <n v="0"/>
    <n v="0"/>
    <n v="3742170528"/>
    <n v="3742170528"/>
    <n v="116942829"/>
    <n v="0"/>
    <n v="0"/>
    <n v="116942829"/>
    <n v="116942829"/>
    <n v="28.5501"/>
    <n v="10.739599999999999"/>
    <n v="4507.95"/>
    <n v="3147.36"/>
    <n v="1754"/>
    <n v="441"/>
    <x v="10"/>
    <x v="5"/>
  </r>
  <r>
    <s v="istree_exp5_numerical_stability_vs_time/step10637.txt"/>
    <x v="1"/>
    <m/>
    <s v="reclaimer_debra"/>
    <s v="allocator_new"/>
    <s v="pool_none"/>
    <n v="64000"/>
    <n v="0"/>
    <n v="0"/>
    <n v="0"/>
    <n v="1"/>
    <n v="20000000"/>
    <n v="190"/>
    <n v="190"/>
    <n v="190"/>
    <n v="0"/>
    <s v="insertIfAbsent"/>
    <n v="100020982662103"/>
    <n v="10000000"/>
    <n v="100020982662103"/>
    <n v="10000000"/>
    <s v="success"/>
    <n v="29"/>
    <n v="5713548"/>
    <n v="4286453"/>
    <n v="10000001"/>
    <n v="10000000"/>
    <n v="1.75023"/>
    <n v="2.3329300000000002"/>
    <n v="2"/>
    <n v="22.675799999999999"/>
    <n v="560000056"/>
    <m/>
    <m/>
    <m/>
    <s v="166 44298"/>
    <m/>
    <m/>
    <n v="7483392616"/>
    <n v="0"/>
    <n v="0"/>
    <n v="7483392616"/>
    <n v="7483392616"/>
    <n v="116928009"/>
    <n v="0"/>
    <n v="0"/>
    <n v="116928009"/>
    <n v="116928009"/>
    <n v="28.470700000000001"/>
    <n v="10.7555"/>
    <n v="4508.08"/>
    <n v="3146.49"/>
    <n v="1754"/>
    <n v="440"/>
    <x v="10"/>
    <x v="6"/>
  </r>
  <r>
    <s v="istree_exp5_numerical_stability_vs_time/step10638.txt"/>
    <x v="3"/>
    <m/>
    <s v="reclaimer_debra"/>
    <s v="allocator_new"/>
    <s v="pool_none"/>
    <n v="1000"/>
    <n v="0"/>
    <n v="0"/>
    <n v="0"/>
    <n v="1"/>
    <n v="20000000"/>
    <n v="190"/>
    <n v="190"/>
    <n v="190"/>
    <n v="0"/>
    <s v="insertIfAbsent"/>
    <n v="99990862161843"/>
    <n v="10000000"/>
    <n v="99990862161843"/>
    <n v="10000000"/>
    <s v="success"/>
    <n v="64"/>
    <n v="9999999"/>
    <n v="10000000"/>
    <n v="19999999"/>
    <n v="10000000"/>
    <n v="2"/>
    <n v="1"/>
    <n v="1.5"/>
    <n v="31.43"/>
    <n v="639999968"/>
    <m/>
    <m/>
    <m/>
    <s v="146 758"/>
    <m/>
    <m/>
    <n v="99085777"/>
    <n v="0"/>
    <n v="0"/>
    <n v="99085777"/>
    <n v="99085777"/>
    <n v="99085777"/>
    <n v="0"/>
    <n v="0"/>
    <n v="99085777"/>
    <n v="99085777"/>
    <n v="24.564399999999999"/>
    <n v="9.7507599999999996"/>
    <n v="5307.83"/>
    <n v="4280.3"/>
    <n v="1753"/>
    <n v="434"/>
    <x v="10"/>
    <x v="0"/>
  </r>
  <r>
    <s v="istree_exp5_numerical_stability_vs_time/step10639.txt"/>
    <x v="3"/>
    <m/>
    <s v="reclaimer_debra"/>
    <s v="allocator_new"/>
    <s v="pool_none"/>
    <n v="2000"/>
    <n v="0"/>
    <n v="0"/>
    <n v="0"/>
    <n v="1"/>
    <n v="20000000"/>
    <n v="190"/>
    <n v="190"/>
    <n v="190"/>
    <n v="0"/>
    <s v="insertIfAbsent"/>
    <n v="100001583707651"/>
    <n v="10000000"/>
    <n v="100001583707651"/>
    <n v="10000000"/>
    <s v="success"/>
    <n v="63"/>
    <n v="9999999"/>
    <n v="10000000"/>
    <n v="19999999"/>
    <n v="10000000"/>
    <n v="2"/>
    <n v="1"/>
    <n v="1.5"/>
    <n v="32.098500000000001"/>
    <n v="639999968"/>
    <m/>
    <m/>
    <m/>
    <s v="154 1330"/>
    <m/>
    <m/>
    <n v="200080232"/>
    <n v="0"/>
    <n v="0"/>
    <n v="200080232"/>
    <n v="200080232"/>
    <n v="100040116"/>
    <n v="0"/>
    <n v="0"/>
    <n v="100040116"/>
    <n v="100040116"/>
    <n v="24.6267"/>
    <n v="9.8684200000000004"/>
    <n v="5263.06"/>
    <n v="4241.4399999999996"/>
    <n v="1753"/>
    <n v="404"/>
    <x v="10"/>
    <x v="1"/>
  </r>
  <r>
    <s v="istree_exp5_numerical_stability_vs_time/step10640.txt"/>
    <x v="3"/>
    <m/>
    <s v="reclaimer_debra"/>
    <s v="allocator_new"/>
    <s v="pool_none"/>
    <n v="4000"/>
    <n v="0"/>
    <n v="0"/>
    <n v="0"/>
    <n v="1"/>
    <n v="20000000"/>
    <n v="190"/>
    <n v="190"/>
    <n v="190"/>
    <n v="0"/>
    <s v="insertIfAbsent"/>
    <n v="99992284505350"/>
    <n v="10000000"/>
    <n v="99992284505350"/>
    <n v="10000000"/>
    <s v="success"/>
    <n v="59"/>
    <n v="9999999"/>
    <n v="10000000"/>
    <n v="19999999"/>
    <n v="10000000"/>
    <n v="2"/>
    <n v="1"/>
    <n v="1.5"/>
    <n v="30.997800000000002"/>
    <n v="639999968"/>
    <m/>
    <m/>
    <m/>
    <s v="142 2520"/>
    <m/>
    <m/>
    <n v="405355633"/>
    <n v="0"/>
    <n v="0"/>
    <n v="405355633"/>
    <n v="405355633"/>
    <n v="101338908"/>
    <n v="0"/>
    <n v="0"/>
    <n v="101338908"/>
    <n v="101338908"/>
    <n v="24.708400000000001"/>
    <n v="9.9653100000000006"/>
    <n v="5214.0200000000004"/>
    <n v="4204.87"/>
    <n v="1752"/>
    <n v="403"/>
    <x v="10"/>
    <x v="2"/>
  </r>
  <r>
    <s v="istree_exp5_numerical_stability_vs_time/step10641.txt"/>
    <x v="3"/>
    <m/>
    <s v="reclaimer_debra"/>
    <s v="allocator_new"/>
    <s v="pool_none"/>
    <n v="8000"/>
    <n v="0"/>
    <n v="0"/>
    <n v="0"/>
    <n v="1"/>
    <n v="20000000"/>
    <n v="190"/>
    <n v="190"/>
    <n v="190"/>
    <n v="0"/>
    <s v="insertIfAbsent"/>
    <n v="100023612875406"/>
    <n v="10000000"/>
    <n v="100023612875406"/>
    <n v="10000000"/>
    <s v="success"/>
    <n v="57"/>
    <n v="9999999"/>
    <n v="10000000"/>
    <n v="19999999"/>
    <n v="10000000"/>
    <n v="2"/>
    <n v="1"/>
    <n v="1.5"/>
    <n v="30.376100000000001"/>
    <n v="639999968"/>
    <m/>
    <m/>
    <m/>
    <s v="154 4896"/>
    <m/>
    <m/>
    <n v="816060169"/>
    <n v="0"/>
    <n v="0"/>
    <n v="816060169"/>
    <n v="816060169"/>
    <n v="102007521"/>
    <n v="0"/>
    <n v="0"/>
    <n v="102007521"/>
    <n v="102007521"/>
    <n v="24.7822"/>
    <n v="10.0364"/>
    <n v="5179.32"/>
    <n v="4177.78"/>
    <n v="1754"/>
    <n v="412"/>
    <x v="10"/>
    <x v="3"/>
  </r>
  <r>
    <s v="istree_exp5_numerical_stability_vs_time/step10642.txt"/>
    <x v="3"/>
    <m/>
    <s v="reclaimer_debra"/>
    <s v="allocator_new"/>
    <s v="pool_none"/>
    <n v="16000"/>
    <n v="0"/>
    <n v="0"/>
    <n v="0"/>
    <n v="1"/>
    <n v="20000000"/>
    <n v="190"/>
    <n v="190"/>
    <n v="190"/>
    <n v="0"/>
    <s v="insertIfAbsent"/>
    <n v="99999187568718"/>
    <n v="10000000"/>
    <n v="99999187568718"/>
    <n v="10000000"/>
    <s v="success"/>
    <n v="60"/>
    <n v="9999999"/>
    <n v="10000000"/>
    <n v="19999999"/>
    <n v="10000000"/>
    <n v="2"/>
    <n v="1"/>
    <n v="1.5"/>
    <n v="31.840599999999998"/>
    <n v="639999968"/>
    <m/>
    <m/>
    <m/>
    <s v="154 9678"/>
    <m/>
    <m/>
    <n v="1638409155"/>
    <n v="0"/>
    <n v="0"/>
    <n v="1638409155"/>
    <n v="1638409155"/>
    <n v="102400572"/>
    <n v="0"/>
    <n v="0"/>
    <n v="102400572"/>
    <n v="102400572"/>
    <n v="24.717600000000001"/>
    <n v="10.0824"/>
    <n v="5164.53"/>
    <n v="4166.3900000000003"/>
    <n v="1754"/>
    <n v="423"/>
    <x v="10"/>
    <x v="4"/>
  </r>
  <r>
    <s v="istree_exp5_numerical_stability_vs_time/step10643.txt"/>
    <x v="3"/>
    <m/>
    <s v="reclaimer_debra"/>
    <s v="allocator_new"/>
    <s v="pool_none"/>
    <n v="32000"/>
    <n v="0"/>
    <n v="0"/>
    <n v="0"/>
    <n v="1"/>
    <n v="20000000"/>
    <n v="190"/>
    <n v="190"/>
    <n v="190"/>
    <n v="0"/>
    <s v="insertIfAbsent"/>
    <n v="99999632542588"/>
    <n v="10000000"/>
    <n v="99999632542588"/>
    <n v="10000000"/>
    <s v="success"/>
    <n v="60"/>
    <n v="9999999"/>
    <n v="10000000"/>
    <n v="19999999"/>
    <n v="10000000"/>
    <n v="2"/>
    <n v="1"/>
    <n v="1.5"/>
    <n v="32.133600000000001"/>
    <n v="639999968"/>
    <m/>
    <m/>
    <m/>
    <s v="152 19180"/>
    <m/>
    <m/>
    <n v="3277415765"/>
    <n v="0"/>
    <n v="0"/>
    <n v="3277415765"/>
    <n v="3277415765"/>
    <n v="102419242"/>
    <n v="0"/>
    <n v="0"/>
    <n v="102419242"/>
    <n v="102419242"/>
    <n v="24.6877"/>
    <n v="10.0928"/>
    <n v="5163.5200000000004"/>
    <n v="4162.4799999999996"/>
    <n v="1754"/>
    <n v="427"/>
    <x v="10"/>
    <x v="5"/>
  </r>
  <r>
    <s v="istree_exp5_numerical_stability_vs_time/step10644.txt"/>
    <x v="3"/>
    <m/>
    <s v="reclaimer_debra"/>
    <s v="allocator_new"/>
    <s v="pool_none"/>
    <n v="64000"/>
    <n v="0"/>
    <n v="0"/>
    <n v="0"/>
    <n v="1"/>
    <n v="20000000"/>
    <n v="190"/>
    <n v="190"/>
    <n v="190"/>
    <n v="0"/>
    <s v="insertIfAbsent"/>
    <n v="100000815274083"/>
    <n v="10000000"/>
    <n v="100000815274083"/>
    <n v="10000000"/>
    <s v="success"/>
    <n v="58"/>
    <n v="9999999"/>
    <n v="10000000"/>
    <n v="19999999"/>
    <n v="10000000"/>
    <n v="2"/>
    <n v="1"/>
    <n v="1.5"/>
    <n v="30.819400000000002"/>
    <n v="639999968"/>
    <m/>
    <m/>
    <m/>
    <n v="38210"/>
    <m/>
    <m/>
    <n v="6563583443"/>
    <n v="0"/>
    <n v="0"/>
    <n v="6563583443"/>
    <n v="6563583443"/>
    <n v="102555991"/>
    <n v="0"/>
    <n v="0"/>
    <n v="102555991"/>
    <n v="102555991"/>
    <n v="24.7897"/>
    <n v="10.120200000000001"/>
    <n v="5157.01"/>
    <n v="4164.54"/>
    <n v="1755"/>
    <n v="417"/>
    <x v="10"/>
    <x v="6"/>
  </r>
  <r>
    <s v="istree_exp5_numerical_stability_vs_time/step10645.txt"/>
    <x v="0"/>
    <n v="72"/>
    <s v="reclaimer_debra"/>
    <s v="allocator_new"/>
    <s v="pool_none"/>
    <n v="1000"/>
    <n v="0"/>
    <n v="0"/>
    <n v="0"/>
    <n v="1"/>
    <n v="200000000"/>
    <n v="190"/>
    <n v="190"/>
    <n v="190"/>
    <n v="0"/>
    <s v="insertIfAbsent"/>
    <n v="9999528056860430"/>
    <n v="100000001"/>
    <n v="9999528056860430"/>
    <n v="100000001"/>
    <s v="success"/>
    <n v="6"/>
    <n v="11011103"/>
    <n v="110001001"/>
    <n v="121012104"/>
    <n v="100000001"/>
    <n v="10.99"/>
    <n v="0.90908299999999997"/>
    <n v="1.82636"/>
    <n v="4"/>
    <n v="2640904240"/>
    <m/>
    <m/>
    <m/>
    <n v="1264"/>
    <m/>
    <m/>
    <n v="206027873"/>
    <n v="0"/>
    <n v="0"/>
    <n v="206027873"/>
    <n v="206027873"/>
    <n v="206027873"/>
    <n v="0"/>
    <n v="0"/>
    <n v="206027873"/>
    <n v="206027873"/>
    <n v="18.7516"/>
    <n v="8.73536"/>
    <n v="2565.7600000000002"/>
    <n v="1818.42"/>
    <n v="7354"/>
    <n v="1090"/>
    <x v="11"/>
    <x v="0"/>
  </r>
  <r>
    <s v="istree_exp5_numerical_stability_vs_time/step10646.txt"/>
    <x v="0"/>
    <n v="72"/>
    <s v="reclaimer_debra"/>
    <s v="allocator_new"/>
    <s v="pool_none"/>
    <n v="2000"/>
    <n v="0"/>
    <n v="0"/>
    <n v="0"/>
    <n v="1"/>
    <n v="200000000"/>
    <n v="190"/>
    <n v="190"/>
    <n v="190"/>
    <n v="0"/>
    <s v="insertIfAbsent"/>
    <n v="1.00001881630019E+16"/>
    <n v="100000001"/>
    <n v="1.00001881630019E+16"/>
    <n v="100000001"/>
    <s v="success"/>
    <n v="6"/>
    <n v="11011103"/>
    <n v="110001001"/>
    <n v="121012104"/>
    <n v="100000001"/>
    <n v="10.99"/>
    <n v="0.90908299999999997"/>
    <n v="1.82636"/>
    <n v="4"/>
    <n v="2640904240"/>
    <m/>
    <m/>
    <m/>
    <n v="2516"/>
    <m/>
    <m/>
    <n v="412641850"/>
    <n v="0"/>
    <n v="0"/>
    <n v="412641850"/>
    <n v="412641850"/>
    <n v="206320925"/>
    <n v="0"/>
    <n v="0"/>
    <n v="206320925"/>
    <n v="206320925"/>
    <n v="18.794799999999999"/>
    <n v="8.7971699999999995"/>
    <n v="2561.75"/>
    <n v="1813.18"/>
    <n v="7351"/>
    <n v="1142"/>
    <x v="11"/>
    <x v="1"/>
  </r>
  <r>
    <s v="istree_exp5_numerical_stability_vs_time/step10647.txt"/>
    <x v="0"/>
    <n v="72"/>
    <s v="reclaimer_debra"/>
    <s v="allocator_new"/>
    <s v="pool_none"/>
    <n v="4000"/>
    <n v="0"/>
    <n v="0"/>
    <n v="0"/>
    <n v="1"/>
    <n v="200000000"/>
    <n v="190"/>
    <n v="190"/>
    <n v="190"/>
    <n v="0"/>
    <s v="insertIfAbsent"/>
    <n v="9999835650452900"/>
    <n v="100000001"/>
    <n v="9999835650452900"/>
    <n v="100000001"/>
    <s v="success"/>
    <n v="6"/>
    <n v="11011103"/>
    <n v="110001001"/>
    <n v="121012104"/>
    <n v="100000001"/>
    <n v="10.99"/>
    <n v="0.90908299999999997"/>
    <n v="1.82636"/>
    <n v="4"/>
    <n v="2640904240"/>
    <m/>
    <m/>
    <m/>
    <n v="5044"/>
    <m/>
    <m/>
    <n v="823353897"/>
    <n v="0"/>
    <n v="0"/>
    <n v="823353897"/>
    <n v="823353897"/>
    <n v="205838474"/>
    <n v="0"/>
    <n v="0"/>
    <n v="205838474"/>
    <n v="205838474"/>
    <n v="18.6739"/>
    <n v="8.8868600000000004"/>
    <n v="2566.8200000000002"/>
    <n v="1814.48"/>
    <n v="7351"/>
    <n v="1169"/>
    <x v="11"/>
    <x v="2"/>
  </r>
  <r>
    <s v="istree_exp5_numerical_stability_vs_time/step10648.txt"/>
    <x v="0"/>
    <n v="72"/>
    <s v="reclaimer_debra"/>
    <s v="allocator_new"/>
    <s v="pool_none"/>
    <n v="8000"/>
    <n v="0"/>
    <n v="0"/>
    <n v="0"/>
    <n v="1"/>
    <n v="200000000"/>
    <n v="190"/>
    <n v="190"/>
    <n v="190"/>
    <n v="0"/>
    <s v="insertIfAbsent"/>
    <n v="9999720129737350"/>
    <n v="100000001"/>
    <n v="9999720129737350"/>
    <n v="100000001"/>
    <s v="success"/>
    <n v="6"/>
    <n v="11011103"/>
    <n v="110001001"/>
    <n v="121012104"/>
    <n v="100000001"/>
    <n v="10.99"/>
    <n v="0.90908299999999997"/>
    <n v="1.82636"/>
    <n v="4"/>
    <n v="2640904240"/>
    <m/>
    <m/>
    <m/>
    <n v="10028"/>
    <m/>
    <m/>
    <n v="1652347217"/>
    <n v="0"/>
    <n v="0"/>
    <n v="1652347217"/>
    <n v="1652347217"/>
    <n v="206543402"/>
    <n v="0"/>
    <n v="0"/>
    <n v="206543402"/>
    <n v="206543402"/>
    <n v="18.7105"/>
    <n v="8.9982500000000005"/>
    <n v="2556.37"/>
    <n v="1812.2"/>
    <n v="7355"/>
    <n v="1140"/>
    <x v="11"/>
    <x v="3"/>
  </r>
  <r>
    <s v="istree_exp5_numerical_stability_vs_time/step10649.txt"/>
    <x v="0"/>
    <n v="72"/>
    <s v="reclaimer_debra"/>
    <s v="allocator_new"/>
    <s v="pool_none"/>
    <n v="16000"/>
    <n v="0"/>
    <n v="0"/>
    <n v="0"/>
    <n v="1"/>
    <n v="200000000"/>
    <n v="190"/>
    <n v="190"/>
    <n v="190"/>
    <n v="0"/>
    <s v="insertIfAbsent"/>
    <n v="1.00006539861754E+16"/>
    <n v="100000001"/>
    <n v="1.00006539861754E+16"/>
    <n v="100000001"/>
    <s v="success"/>
    <n v="6"/>
    <n v="11011103"/>
    <n v="110001001"/>
    <n v="121012104"/>
    <n v="100000001"/>
    <n v="10.99"/>
    <n v="0.90908299999999997"/>
    <n v="1.82636"/>
    <n v="4"/>
    <n v="2640904240"/>
    <m/>
    <m/>
    <m/>
    <n v="19864"/>
    <m/>
    <m/>
    <n v="3280050803"/>
    <n v="0"/>
    <n v="0"/>
    <n v="3280050803"/>
    <n v="3280050803"/>
    <n v="205003175"/>
    <n v="0"/>
    <n v="0"/>
    <n v="205003175"/>
    <n v="205003175"/>
    <n v="18.8019"/>
    <n v="9.1527999999999992"/>
    <n v="2574.4699999999998"/>
    <n v="1818.13"/>
    <n v="7353"/>
    <n v="1112"/>
    <x v="11"/>
    <x v="4"/>
  </r>
  <r>
    <s v="istree_exp5_numerical_stability_vs_time/step10650.txt"/>
    <x v="0"/>
    <n v="72"/>
    <s v="reclaimer_debra"/>
    <s v="allocator_new"/>
    <s v="pool_none"/>
    <n v="32000"/>
    <n v="0"/>
    <n v="0"/>
    <n v="0"/>
    <n v="1"/>
    <n v="200000000"/>
    <n v="190"/>
    <n v="190"/>
    <n v="190"/>
    <n v="0"/>
    <s v="insertIfAbsent"/>
    <n v="1.00006527151239E+16"/>
    <n v="100000001"/>
    <n v="1.00006527151239E+16"/>
    <n v="100000001"/>
    <s v="success"/>
    <n v="6"/>
    <n v="11011103"/>
    <n v="110001001"/>
    <n v="121012104"/>
    <n v="100000001"/>
    <n v="10.99"/>
    <n v="0.90908299999999997"/>
    <n v="1.82636"/>
    <n v="4"/>
    <n v="2640904240"/>
    <m/>
    <m/>
    <m/>
    <n v="40150"/>
    <m/>
    <m/>
    <n v="6614041645"/>
    <n v="0"/>
    <n v="0"/>
    <n v="6614041645"/>
    <n v="6614041645"/>
    <n v="206688801"/>
    <n v="0"/>
    <n v="0"/>
    <n v="206688801"/>
    <n v="206688801"/>
    <n v="18.802600000000002"/>
    <n v="9.2717100000000006"/>
    <n v="2552.4499999999998"/>
    <n v="1801.44"/>
    <n v="7355"/>
    <n v="1189"/>
    <x v="11"/>
    <x v="5"/>
  </r>
  <r>
    <s v="istree_exp5_numerical_stability_vs_time/step10651.txt"/>
    <x v="0"/>
    <n v="72"/>
    <s v="reclaimer_debra"/>
    <s v="allocator_new"/>
    <s v="pool_none"/>
    <n v="64000"/>
    <n v="0"/>
    <n v="0"/>
    <n v="0"/>
    <n v="1"/>
    <n v="200000000"/>
    <n v="190"/>
    <n v="190"/>
    <n v="190"/>
    <n v="0"/>
    <s v="insertIfAbsent"/>
    <n v="9999746499900190"/>
    <n v="100000001"/>
    <n v="9999746499900190"/>
    <n v="100000001"/>
    <s v="success"/>
    <n v="6"/>
    <n v="11011103"/>
    <n v="110001001"/>
    <n v="121012104"/>
    <n v="100000001"/>
    <n v="10.99"/>
    <n v="0.90908299999999997"/>
    <n v="1.82636"/>
    <n v="4"/>
    <n v="2640904240"/>
    <m/>
    <m/>
    <m/>
    <n v="81294"/>
    <m/>
    <m/>
    <n v="13241121500"/>
    <n v="0"/>
    <n v="0"/>
    <n v="13241121500"/>
    <n v="13241121500"/>
    <n v="206892523"/>
    <n v="0"/>
    <n v="0"/>
    <n v="206892523"/>
    <n v="206892523"/>
    <n v="18.739899999999999"/>
    <n v="9.3409300000000002"/>
    <n v="2550.89"/>
    <n v="1789.52"/>
    <n v="7350"/>
    <n v="1114"/>
    <x v="11"/>
    <x v="6"/>
  </r>
  <r>
    <s v="istree_exp5_numerical_stability_vs_time/step10652.txt"/>
    <x v="2"/>
    <n v="208"/>
    <s v="reclaimer_debra"/>
    <s v="allocator_new"/>
    <s v="pool_none"/>
    <n v="1000"/>
    <n v="0"/>
    <n v="0"/>
    <n v="0"/>
    <n v="1"/>
    <n v="200000000"/>
    <n v="190"/>
    <n v="190"/>
    <n v="190"/>
    <n v="0"/>
    <s v="insertIfAbsent"/>
    <n v="1.00000074067803E+16"/>
    <n v="100000000"/>
    <n v="1.00000074067803E+16"/>
    <n v="100000000"/>
    <s v="success"/>
    <n v="10"/>
    <n v="1854190"/>
    <n v="12757999"/>
    <n v="14612189"/>
    <n v="100000000"/>
    <n v="7.88063"/>
    <n v="7.8382199999999997"/>
    <n v="7.8436000000000003"/>
    <n v="9"/>
    <n v="3039335312"/>
    <m/>
    <m/>
    <m/>
    <s v="3192 4124"/>
    <m/>
    <m/>
    <n v="154762987"/>
    <n v="0"/>
    <n v="0"/>
    <n v="154762987"/>
    <n v="154762987"/>
    <n v="154762987"/>
    <n v="0"/>
    <n v="0"/>
    <n v="154762987"/>
    <n v="154762987"/>
    <n v="23.485499999999998"/>
    <n v="10.3376"/>
    <n v="3404.33"/>
    <n v="2421.3000000000002"/>
    <n v="5124"/>
    <n v="6032"/>
    <x v="11"/>
    <x v="0"/>
  </r>
  <r>
    <s v="istree_exp5_numerical_stability_vs_time/step10653.txt"/>
    <x v="2"/>
    <n v="208"/>
    <s v="reclaimer_debra"/>
    <s v="allocator_new"/>
    <s v="pool_none"/>
    <n v="2000"/>
    <n v="0"/>
    <n v="0"/>
    <n v="0"/>
    <n v="1"/>
    <n v="200000000"/>
    <n v="190"/>
    <n v="190"/>
    <n v="190"/>
    <n v="0"/>
    <s v="insertIfAbsent"/>
    <n v="1.00003232198415E+16"/>
    <n v="100000000"/>
    <n v="1.00003232198415E+16"/>
    <n v="100000000"/>
    <s v="success"/>
    <n v="10"/>
    <n v="1853889"/>
    <n v="12757990"/>
    <n v="14611879"/>
    <n v="100000000"/>
    <n v="7.8817399999999997"/>
    <n v="7.8382300000000003"/>
    <n v="7.84375"/>
    <n v="9"/>
    <n v="3039270832"/>
    <m/>
    <m/>
    <m/>
    <s v="2998 5008"/>
    <m/>
    <m/>
    <n v="312472151"/>
    <n v="0"/>
    <n v="0"/>
    <n v="312472151"/>
    <n v="312472151"/>
    <n v="156236075"/>
    <n v="0"/>
    <n v="0"/>
    <n v="156236075"/>
    <n v="156236075"/>
    <n v="23.428699999999999"/>
    <n v="10.4206"/>
    <n v="3378.26"/>
    <n v="2396.9"/>
    <n v="5127"/>
    <n v="6037"/>
    <x v="11"/>
    <x v="1"/>
  </r>
  <r>
    <s v="istree_exp5_numerical_stability_vs_time/step10654.txt"/>
    <x v="2"/>
    <n v="208"/>
    <s v="reclaimer_debra"/>
    <s v="allocator_new"/>
    <s v="pool_none"/>
    <n v="4000"/>
    <n v="0"/>
    <n v="0"/>
    <n v="0"/>
    <n v="1"/>
    <n v="200000000"/>
    <n v="190"/>
    <n v="190"/>
    <n v="190"/>
    <n v="0"/>
    <s v="insertIfAbsent"/>
    <n v="9999468372854640"/>
    <n v="100000000"/>
    <n v="9999468372854640"/>
    <n v="100000000"/>
    <s v="success"/>
    <n v="10"/>
    <n v="1854416"/>
    <n v="12757893"/>
    <n v="14612309"/>
    <n v="100000000"/>
    <n v="7.87974"/>
    <n v="7.8382800000000001"/>
    <n v="7.8435499999999996"/>
    <n v="9"/>
    <n v="3039360272"/>
    <m/>
    <m/>
    <m/>
    <s v="3046 6986"/>
    <m/>
    <m/>
    <n v="625949574"/>
    <n v="0"/>
    <n v="0"/>
    <n v="625949574"/>
    <n v="625949574"/>
    <n v="156487393"/>
    <n v="0"/>
    <n v="0"/>
    <n v="156487393"/>
    <n v="156487393"/>
    <n v="23.413399999999999"/>
    <n v="10.4665"/>
    <n v="3372.84"/>
    <n v="2395.59"/>
    <n v="5126"/>
    <n v="6114"/>
    <x v="11"/>
    <x v="2"/>
  </r>
  <r>
    <s v="istree_exp5_numerical_stability_vs_time/step10655.txt"/>
    <x v="2"/>
    <n v="208"/>
    <s v="reclaimer_debra"/>
    <s v="allocator_new"/>
    <s v="pool_none"/>
    <n v="8000"/>
    <n v="0"/>
    <n v="0"/>
    <n v="0"/>
    <n v="1"/>
    <n v="200000000"/>
    <n v="190"/>
    <n v="190"/>
    <n v="190"/>
    <n v="0"/>
    <s v="insertIfAbsent"/>
    <n v="1.00000924143963E+16"/>
    <n v="100000000"/>
    <n v="1.00000924143963E+16"/>
    <n v="100000000"/>
    <s v="success"/>
    <n v="10"/>
    <n v="1854064"/>
    <n v="12758103"/>
    <n v="14612167"/>
    <n v="100000000"/>
    <n v="7.8811600000000004"/>
    <n v="7.8381600000000002"/>
    <n v="7.84361"/>
    <n v="9"/>
    <n v="3039330736"/>
    <m/>
    <m/>
    <m/>
    <s v="3074 10686"/>
    <m/>
    <m/>
    <n v="1258176654"/>
    <n v="0"/>
    <n v="0"/>
    <n v="1258176654"/>
    <n v="1258176654"/>
    <n v="157272081"/>
    <n v="0"/>
    <n v="0"/>
    <n v="157272081"/>
    <n v="157272081"/>
    <n v="23.422000000000001"/>
    <n v="10.573700000000001"/>
    <n v="3356.73"/>
    <n v="2375.7199999999998"/>
    <n v="5107"/>
    <n v="6046"/>
    <x v="11"/>
    <x v="3"/>
  </r>
  <r>
    <s v="istree_exp5_numerical_stability_vs_time/step10656.txt"/>
    <x v="2"/>
    <n v="208"/>
    <s v="reclaimer_debra"/>
    <s v="allocator_new"/>
    <s v="pool_none"/>
    <n v="16000"/>
    <n v="0"/>
    <n v="0"/>
    <n v="0"/>
    <n v="1"/>
    <n v="200000000"/>
    <n v="190"/>
    <n v="190"/>
    <n v="190"/>
    <n v="0"/>
    <s v="insertIfAbsent"/>
    <n v="1.00002929061459E+16"/>
    <n v="100000000"/>
    <n v="1.00002929061459E+16"/>
    <n v="100000000"/>
    <s v="success"/>
    <n v="10"/>
    <n v="1853849"/>
    <n v="12757277"/>
    <n v="14611126"/>
    <n v="100000000"/>
    <n v="7.8815099999999996"/>
    <n v="7.83866"/>
    <n v="7.8441000000000001"/>
    <n v="9"/>
    <n v="3039114208"/>
    <m/>
    <m/>
    <m/>
    <s v="2968 18034"/>
    <m/>
    <m/>
    <n v="2525262221"/>
    <n v="0"/>
    <n v="0"/>
    <n v="2525262221"/>
    <n v="2525262221"/>
    <n v="157828888"/>
    <n v="0"/>
    <n v="0"/>
    <n v="157828888"/>
    <n v="157828888"/>
    <n v="23.386099999999999"/>
    <n v="10.680899999999999"/>
    <n v="3343.97"/>
    <n v="2366.2800000000002"/>
    <n v="5138"/>
    <n v="6031"/>
    <x v="11"/>
    <x v="4"/>
  </r>
  <r>
    <s v="istree_exp5_numerical_stability_vs_time/step10657.txt"/>
    <x v="2"/>
    <n v="208"/>
    <s v="reclaimer_debra"/>
    <s v="allocator_new"/>
    <s v="pool_none"/>
    <n v="32000"/>
    <n v="0"/>
    <n v="0"/>
    <n v="0"/>
    <n v="1"/>
    <n v="200000000"/>
    <n v="190"/>
    <n v="190"/>
    <n v="190"/>
    <n v="0"/>
    <s v="insertIfAbsent"/>
    <n v="1.0000756506812E+16"/>
    <n v="100000000"/>
    <n v="1.0000756506812E+16"/>
    <n v="100000000"/>
    <s v="success"/>
    <n v="10"/>
    <n v="1853934"/>
    <n v="12756476"/>
    <n v="14610410"/>
    <n v="100000000"/>
    <n v="7.8807600000000004"/>
    <n v="7.8391599999999997"/>
    <n v="7.84443"/>
    <n v="9"/>
    <n v="3038965280"/>
    <m/>
    <m/>
    <m/>
    <s v="3038 33184"/>
    <m/>
    <m/>
    <n v="5071074920"/>
    <n v="0"/>
    <n v="0"/>
    <n v="5071074920"/>
    <n v="5071074920"/>
    <n v="158471091"/>
    <n v="0"/>
    <n v="0"/>
    <n v="158471091"/>
    <n v="158471091"/>
    <n v="23.382100000000001"/>
    <n v="10.795199999999999"/>
    <n v="3329.3"/>
    <n v="2355.98"/>
    <n v="5125"/>
    <n v="6078"/>
    <x v="11"/>
    <x v="5"/>
  </r>
  <r>
    <s v="istree_exp5_numerical_stability_vs_time/step10658.txt"/>
    <x v="2"/>
    <n v="208"/>
    <s v="reclaimer_debra"/>
    <s v="allocator_new"/>
    <s v="pool_none"/>
    <n v="64000"/>
    <n v="0"/>
    <n v="0"/>
    <n v="0"/>
    <n v="1"/>
    <n v="200000000"/>
    <n v="190"/>
    <n v="190"/>
    <n v="190"/>
    <n v="0"/>
    <s v="insertIfAbsent"/>
    <n v="1.0000340587964E+16"/>
    <n v="100000000"/>
    <n v="1.0000340587964E+16"/>
    <n v="100000000"/>
    <s v="success"/>
    <n v="10"/>
    <n v="1853667"/>
    <n v="12756517"/>
    <n v="14610184"/>
    <n v="100000000"/>
    <n v="7.8817700000000004"/>
    <n v="7.8391299999999999"/>
    <n v="7.8445400000000003"/>
    <n v="9"/>
    <n v="3038918272"/>
    <m/>
    <m/>
    <m/>
    <s v="3112 63534"/>
    <m/>
    <m/>
    <n v="10217225861"/>
    <n v="0"/>
    <n v="0"/>
    <n v="10217225861"/>
    <n v="10217225861"/>
    <n v="159644154"/>
    <n v="0"/>
    <n v="0"/>
    <n v="159644154"/>
    <n v="159644154"/>
    <n v="23.386700000000001"/>
    <n v="10.9133"/>
    <n v="3304.12"/>
    <n v="2332.04"/>
    <n v="5132"/>
    <n v="6149"/>
    <x v="11"/>
    <x v="6"/>
  </r>
  <r>
    <s v="istree_exp5_numerical_stability_vs_time/step10659.txt"/>
    <x v="1"/>
    <m/>
    <s v="reclaimer_debra"/>
    <s v="allocator_new"/>
    <s v="pool_none"/>
    <n v="1000"/>
    <n v="0"/>
    <n v="0"/>
    <n v="0"/>
    <n v="1"/>
    <n v="200000000"/>
    <n v="190"/>
    <n v="190"/>
    <n v="190"/>
    <n v="0"/>
    <s v="insertIfAbsent"/>
    <n v="1.00001678651464E+16"/>
    <n v="100000000"/>
    <n v="1.00001678651464E+16"/>
    <n v="100000000"/>
    <s v="success"/>
    <n v="33"/>
    <n v="57143063"/>
    <n v="42856938"/>
    <n v="100000001"/>
    <n v="100000000"/>
    <n v="1.7499899999999999"/>
    <n v="2.3333400000000002"/>
    <n v="2"/>
    <n v="26.092400000000001"/>
    <n v="5600000056"/>
    <m/>
    <m/>
    <m/>
    <s v="774 1358"/>
    <m/>
    <m/>
    <n v="68529102"/>
    <n v="0"/>
    <n v="0"/>
    <n v="68529102"/>
    <n v="68529102"/>
    <n v="68529102"/>
    <n v="0"/>
    <n v="0"/>
    <n v="68529102"/>
    <n v="68529102"/>
    <n v="40.714799999999997"/>
    <n v="19.1555"/>
    <n v="7714.03"/>
    <n v="6194.01"/>
    <n v="7573"/>
    <n v="2754"/>
    <x v="11"/>
    <x v="0"/>
  </r>
  <r>
    <s v="istree_exp5_numerical_stability_vs_time/step10660.txt"/>
    <x v="1"/>
    <m/>
    <s v="reclaimer_debra"/>
    <s v="allocator_new"/>
    <s v="pool_none"/>
    <n v="2000"/>
    <n v="0"/>
    <n v="0"/>
    <n v="0"/>
    <n v="1"/>
    <n v="200000000"/>
    <n v="190"/>
    <n v="190"/>
    <n v="190"/>
    <n v="0"/>
    <s v="insertIfAbsent"/>
    <n v="9999894964098550"/>
    <n v="100000000"/>
    <n v="9999894964098550"/>
    <n v="100000000"/>
    <s v="success"/>
    <n v="33"/>
    <n v="57142065"/>
    <n v="42857936"/>
    <n v="100000001"/>
    <n v="100000000"/>
    <n v="1.7500199999999999"/>
    <n v="2.3332899999999999"/>
    <n v="2"/>
    <n v="26.061"/>
    <n v="5600000056"/>
    <m/>
    <m/>
    <m/>
    <s v="776 1752"/>
    <m/>
    <m/>
    <n v="136478630"/>
    <n v="0"/>
    <n v="0"/>
    <n v="136478630"/>
    <n v="136478630"/>
    <n v="68239315"/>
    <n v="0"/>
    <n v="0"/>
    <n v="68239315"/>
    <n v="68239315"/>
    <n v="41.536299999999997"/>
    <n v="19.301200000000001"/>
    <n v="7751.08"/>
    <n v="6216.36"/>
    <n v="7576"/>
    <n v="2770"/>
    <x v="11"/>
    <x v="1"/>
  </r>
  <r>
    <s v="istree_exp5_numerical_stability_vs_time/step10661.txt"/>
    <x v="1"/>
    <m/>
    <s v="reclaimer_debra"/>
    <s v="allocator_new"/>
    <s v="pool_none"/>
    <n v="4000"/>
    <n v="0"/>
    <n v="0"/>
    <n v="0"/>
    <n v="1"/>
    <n v="200000000"/>
    <n v="190"/>
    <n v="190"/>
    <n v="190"/>
    <n v="0"/>
    <s v="insertIfAbsent"/>
    <n v="1.00002232648237E+16"/>
    <n v="100000000"/>
    <n v="1.00002232648237E+16"/>
    <n v="100000000"/>
    <s v="success"/>
    <n v="33"/>
    <n v="57145312"/>
    <n v="42854689"/>
    <n v="100000001"/>
    <n v="100000000"/>
    <n v="1.7499199999999999"/>
    <n v="2.3334700000000002"/>
    <n v="2"/>
    <n v="26.073499999999999"/>
    <n v="5600000056"/>
    <m/>
    <m/>
    <m/>
    <s v="774 2560"/>
    <m/>
    <m/>
    <n v="278129082"/>
    <n v="0"/>
    <n v="0"/>
    <n v="278129082"/>
    <n v="278129082"/>
    <n v="69532270"/>
    <n v="0"/>
    <n v="0"/>
    <n v="69532270"/>
    <n v="69532270"/>
    <n v="40.784500000000001"/>
    <n v="19.467300000000002"/>
    <n v="7607.08"/>
    <n v="6151.6"/>
    <n v="7574"/>
    <n v="2739"/>
    <x v="11"/>
    <x v="2"/>
  </r>
  <r>
    <s v="istree_exp5_numerical_stability_vs_time/step10662.txt"/>
    <x v="1"/>
    <m/>
    <s v="reclaimer_debra"/>
    <s v="allocator_new"/>
    <s v="pool_none"/>
    <n v="8000"/>
    <n v="0"/>
    <n v="0"/>
    <n v="0"/>
    <n v="1"/>
    <n v="200000000"/>
    <n v="190"/>
    <n v="190"/>
    <n v="190"/>
    <n v="0"/>
    <s v="insertIfAbsent"/>
    <n v="1.00003119574937E+16"/>
    <n v="100000000"/>
    <n v="1.00003119574937E+16"/>
    <n v="100000000"/>
    <s v="success"/>
    <n v="33"/>
    <n v="57142325"/>
    <n v="42857676"/>
    <n v="100000001"/>
    <n v="100000000"/>
    <n v="1.7500199999999999"/>
    <n v="2.3332999999999999"/>
    <n v="2"/>
    <n v="26.060099999999998"/>
    <n v="5600000056"/>
    <m/>
    <m/>
    <m/>
    <s v="778 4160"/>
    <m/>
    <m/>
    <n v="556764512"/>
    <n v="0"/>
    <n v="0"/>
    <n v="556764512"/>
    <n v="556764512"/>
    <n v="69595564"/>
    <n v="0"/>
    <n v="0"/>
    <n v="69595564"/>
    <n v="69595564"/>
    <n v="41.418999999999997"/>
    <n v="19.6709"/>
    <n v="7600.35"/>
    <n v="6133.04"/>
    <n v="7576"/>
    <n v="2755"/>
    <x v="11"/>
    <x v="3"/>
  </r>
  <r>
    <s v="istree_exp5_numerical_stability_vs_time/step10663.txt"/>
    <x v="1"/>
    <m/>
    <s v="reclaimer_debra"/>
    <s v="allocator_new"/>
    <s v="pool_none"/>
    <n v="16000"/>
    <n v="0"/>
    <n v="0"/>
    <n v="0"/>
    <n v="1"/>
    <n v="200000000"/>
    <n v="190"/>
    <n v="190"/>
    <n v="190"/>
    <n v="0"/>
    <s v="insertIfAbsent"/>
    <n v="1.000005802813E+16"/>
    <n v="100000000"/>
    <n v="1.000005802813E+16"/>
    <n v="100000000"/>
    <s v="success"/>
    <n v="33"/>
    <n v="57144790"/>
    <n v="42855211"/>
    <n v="100000001"/>
    <n v="100000000"/>
    <n v="1.7499400000000001"/>
    <n v="2.33344"/>
    <n v="2"/>
    <n v="26.076000000000001"/>
    <n v="5600000056"/>
    <m/>
    <m/>
    <m/>
    <s v="776 7412"/>
    <m/>
    <m/>
    <n v="1113172612"/>
    <n v="0"/>
    <n v="0"/>
    <n v="1113172612"/>
    <n v="1113172612"/>
    <n v="69573288"/>
    <n v="0"/>
    <n v="0"/>
    <n v="69573288"/>
    <n v="69573288"/>
    <n v="41.545299999999997"/>
    <n v="19.841899999999999"/>
    <n v="7602"/>
    <n v="6058.02"/>
    <n v="7575"/>
    <n v="2753"/>
    <x v="11"/>
    <x v="4"/>
  </r>
  <r>
    <s v="istree_exp5_numerical_stability_vs_time/step10664.txt"/>
    <x v="1"/>
    <m/>
    <s v="reclaimer_debra"/>
    <s v="allocator_new"/>
    <s v="pool_none"/>
    <n v="32000"/>
    <n v="0"/>
    <n v="0"/>
    <n v="0"/>
    <n v="1"/>
    <n v="200000000"/>
    <n v="190"/>
    <n v="190"/>
    <n v="190"/>
    <n v="0"/>
    <s v="insertIfAbsent"/>
    <n v="9999727867293240"/>
    <n v="100000000"/>
    <n v="9999727867293240"/>
    <n v="100000000"/>
    <s v="success"/>
    <n v="32"/>
    <n v="57145008"/>
    <n v="42854993"/>
    <n v="100000001"/>
    <n v="100000000"/>
    <n v="1.74993"/>
    <n v="2.33345"/>
    <n v="2"/>
    <n v="26.031700000000001"/>
    <n v="5600000056"/>
    <m/>
    <m/>
    <m/>
    <s v="780 13982"/>
    <m/>
    <m/>
    <n v="2261764953"/>
    <n v="0"/>
    <n v="0"/>
    <n v="2261764953"/>
    <n v="2261764953"/>
    <n v="70680154"/>
    <n v="0"/>
    <n v="0"/>
    <n v="70680154"/>
    <n v="70680154"/>
    <n v="40.950000000000003"/>
    <n v="20.058499999999999"/>
    <n v="7481.99"/>
    <n v="6006.84"/>
    <n v="7576"/>
    <n v="2769"/>
    <x v="11"/>
    <x v="5"/>
  </r>
  <r>
    <s v="istree_exp5_numerical_stability_vs_time/step10665.txt"/>
    <x v="1"/>
    <m/>
    <s v="reclaimer_debra"/>
    <s v="allocator_new"/>
    <s v="pool_none"/>
    <n v="64000"/>
    <n v="0"/>
    <n v="0"/>
    <n v="0"/>
    <n v="1"/>
    <n v="200000000"/>
    <n v="190"/>
    <n v="190"/>
    <n v="190"/>
    <n v="0"/>
    <s v="insertIfAbsent"/>
    <n v="9999839974766910"/>
    <n v="100000000"/>
    <n v="9999839974766910"/>
    <n v="100000000"/>
    <s v="success"/>
    <n v="33"/>
    <n v="57144286"/>
    <n v="42855715"/>
    <n v="100000001"/>
    <n v="100000000"/>
    <n v="1.74996"/>
    <n v="2.3334100000000002"/>
    <n v="2"/>
    <n v="26.068300000000001"/>
    <n v="5600000056"/>
    <m/>
    <m/>
    <m/>
    <s v="778 27174"/>
    <m/>
    <m/>
    <n v="4546253651"/>
    <n v="0"/>
    <n v="0"/>
    <n v="4546253651"/>
    <n v="4546253651"/>
    <n v="71035213"/>
    <n v="0"/>
    <n v="0"/>
    <n v="71035213"/>
    <n v="71035213"/>
    <n v="41.1252"/>
    <n v="20.224699999999999"/>
    <n v="7444.56"/>
    <n v="5968.11"/>
    <n v="7576"/>
    <n v="2754"/>
    <x v="11"/>
    <x v="6"/>
  </r>
  <r>
    <s v="istree_exp5_numerical_stability_vs_time/step10666.txt"/>
    <x v="3"/>
    <m/>
    <s v="reclaimer_debra"/>
    <s v="allocator_new"/>
    <s v="pool_none"/>
    <n v="1000"/>
    <n v="0"/>
    <n v="0"/>
    <n v="0"/>
    <n v="1"/>
    <n v="200000000"/>
    <n v="190"/>
    <n v="190"/>
    <n v="190"/>
    <n v="0"/>
    <s v="insertIfAbsent"/>
    <n v="9999676750842670"/>
    <n v="100000000"/>
    <n v="9999676750842670"/>
    <n v="100000000"/>
    <s v="success"/>
    <n v="70"/>
    <n v="99999999"/>
    <n v="100000000"/>
    <n v="199999999"/>
    <n v="100000000"/>
    <n v="2"/>
    <n v="1"/>
    <n v="1.5"/>
    <n v="35.641500000000001"/>
    <n v="6399999968"/>
    <m/>
    <m/>
    <m/>
    <s v="746 1274"/>
    <m/>
    <m/>
    <n v="58625304"/>
    <n v="0"/>
    <n v="0"/>
    <n v="58625304"/>
    <n v="58625304"/>
    <n v="58625304"/>
    <n v="0"/>
    <n v="0"/>
    <n v="58625304"/>
    <n v="58625304"/>
    <n v="38.059899999999999"/>
    <n v="18.7761"/>
    <n v="9022.9699999999993"/>
    <n v="7902.66"/>
    <n v="7574"/>
    <n v="2822"/>
    <x v="11"/>
    <x v="0"/>
  </r>
  <r>
    <s v="istree_exp5_numerical_stability_vs_time/step10667.txt"/>
    <x v="3"/>
    <m/>
    <s v="reclaimer_debra"/>
    <s v="allocator_new"/>
    <s v="pool_none"/>
    <n v="2000"/>
    <n v="0"/>
    <n v="0"/>
    <n v="0"/>
    <n v="1"/>
    <n v="200000000"/>
    <n v="190"/>
    <n v="190"/>
    <n v="190"/>
    <n v="0"/>
    <s v="insertIfAbsent"/>
    <n v="1.00003700350985E+16"/>
    <n v="100000000"/>
    <n v="1.00003700350985E+16"/>
    <n v="100000000"/>
    <s v="success"/>
    <n v="68"/>
    <n v="99999999"/>
    <n v="100000000"/>
    <n v="199999999"/>
    <n v="100000000"/>
    <n v="2"/>
    <n v="1"/>
    <n v="1.5"/>
    <n v="35.705300000000001"/>
    <n v="6399999968"/>
    <m/>
    <m/>
    <m/>
    <s v="738 1608"/>
    <m/>
    <m/>
    <n v="116814848"/>
    <n v="0"/>
    <n v="0"/>
    <n v="116814848"/>
    <n v="116814848"/>
    <n v="58407424"/>
    <n v="0"/>
    <n v="0"/>
    <n v="58407424"/>
    <n v="58407424"/>
    <n v="38.094200000000001"/>
    <n v="18.848400000000002"/>
    <n v="9059.2199999999993"/>
    <n v="7921.06"/>
    <n v="7573"/>
    <n v="2845"/>
    <x v="11"/>
    <x v="1"/>
  </r>
  <r>
    <s v="istree_exp5_numerical_stability_vs_time/step10668.txt"/>
    <x v="3"/>
    <m/>
    <s v="reclaimer_debra"/>
    <s v="allocator_new"/>
    <s v="pool_none"/>
    <n v="4000"/>
    <n v="0"/>
    <n v="0"/>
    <n v="0"/>
    <n v="1"/>
    <n v="200000000"/>
    <n v="190"/>
    <n v="190"/>
    <n v="190"/>
    <n v="0"/>
    <s v="insertIfAbsent"/>
    <n v="1.00002715103093E+16"/>
    <n v="100000000"/>
    <n v="1.00002715103093E+16"/>
    <n v="100000000"/>
    <s v="success"/>
    <n v="70"/>
    <n v="99999999"/>
    <n v="100000000"/>
    <n v="199999999"/>
    <n v="100000000"/>
    <n v="2"/>
    <n v="1"/>
    <n v="1.5"/>
    <n v="36.396000000000001"/>
    <n v="6399999968"/>
    <m/>
    <m/>
    <m/>
    <s v="740 2272"/>
    <m/>
    <m/>
    <n v="233875679"/>
    <n v="0"/>
    <n v="0"/>
    <n v="233875679"/>
    <n v="233875679"/>
    <n v="58468919"/>
    <n v="0"/>
    <n v="0"/>
    <n v="58468919"/>
    <n v="58468919"/>
    <n v="38.249099999999999"/>
    <n v="18.918199999999999"/>
    <n v="9048.8700000000008"/>
    <n v="7900.42"/>
    <n v="7575"/>
    <n v="2849"/>
    <x v="11"/>
    <x v="2"/>
  </r>
  <r>
    <s v="istree_exp5_numerical_stability_vs_time/step10669.txt"/>
    <x v="3"/>
    <m/>
    <s v="reclaimer_debra"/>
    <s v="allocator_new"/>
    <s v="pool_none"/>
    <n v="8000"/>
    <n v="0"/>
    <n v="0"/>
    <n v="0"/>
    <n v="1"/>
    <n v="200000000"/>
    <n v="190"/>
    <n v="190"/>
    <n v="190"/>
    <n v="0"/>
    <s v="insertIfAbsent"/>
    <n v="1.00001006489179E+16"/>
    <n v="100000000"/>
    <n v="1.00001006489179E+16"/>
    <n v="100000000"/>
    <s v="success"/>
    <n v="75"/>
    <n v="99999999"/>
    <n v="100000000"/>
    <n v="199999999"/>
    <n v="100000000"/>
    <n v="2"/>
    <n v="1"/>
    <n v="1.5"/>
    <n v="37.104300000000002"/>
    <n v="6399999968"/>
    <m/>
    <m/>
    <m/>
    <s v="732 3616"/>
    <m/>
    <m/>
    <n v="470250150"/>
    <n v="0"/>
    <n v="0"/>
    <n v="470250150"/>
    <n v="470250150"/>
    <n v="58781268"/>
    <n v="0"/>
    <n v="0"/>
    <n v="58781268"/>
    <n v="58781268"/>
    <n v="38.136200000000002"/>
    <n v="19.009499999999999"/>
    <n v="9002.1299999999992"/>
    <n v="7846.57"/>
    <n v="7573"/>
    <n v="2854"/>
    <x v="11"/>
    <x v="3"/>
  </r>
  <r>
    <s v="istree_exp5_numerical_stability_vs_time/step10670.txt"/>
    <x v="3"/>
    <m/>
    <s v="reclaimer_debra"/>
    <s v="allocator_new"/>
    <s v="pool_none"/>
    <n v="16000"/>
    <n v="0"/>
    <n v="0"/>
    <n v="0"/>
    <n v="1"/>
    <n v="200000000"/>
    <n v="190"/>
    <n v="190"/>
    <n v="190"/>
    <n v="0"/>
    <s v="insertIfAbsent"/>
    <n v="9999593459788070"/>
    <n v="100000000"/>
    <n v="9999593459788070"/>
    <n v="100000000"/>
    <s v="success"/>
    <n v="69"/>
    <n v="99999999"/>
    <n v="100000000"/>
    <n v="199999999"/>
    <n v="100000000"/>
    <n v="2"/>
    <n v="1"/>
    <n v="1.5"/>
    <n v="37.009900000000002"/>
    <n v="6399999968"/>
    <m/>
    <m/>
    <m/>
    <s v="726 6324"/>
    <m/>
    <m/>
    <n v="946708433"/>
    <n v="0"/>
    <n v="0"/>
    <n v="946708433"/>
    <n v="946708433"/>
    <n v="59169277"/>
    <n v="0"/>
    <n v="0"/>
    <n v="59169277"/>
    <n v="59169277"/>
    <n v="38.2102"/>
    <n v="19.164999999999999"/>
    <n v="8942.5400000000009"/>
    <n v="7788"/>
    <n v="7575"/>
    <n v="2865"/>
    <x v="11"/>
    <x v="4"/>
  </r>
  <r>
    <s v="istree_exp5_numerical_stability_vs_time/step10671.txt"/>
    <x v="3"/>
    <m/>
    <s v="reclaimer_debra"/>
    <s v="allocator_new"/>
    <s v="pool_none"/>
    <n v="32000"/>
    <n v="0"/>
    <n v="0"/>
    <n v="0"/>
    <n v="1"/>
    <n v="200000000"/>
    <n v="190"/>
    <n v="190"/>
    <n v="190"/>
    <n v="0"/>
    <s v="insertIfAbsent"/>
    <n v="9999113010362260"/>
    <n v="100000000"/>
    <n v="9999113010362260"/>
    <n v="100000000"/>
    <s v="success"/>
    <n v="77"/>
    <n v="99999999"/>
    <n v="100000000"/>
    <n v="199999999"/>
    <n v="100000000"/>
    <n v="2"/>
    <n v="1"/>
    <n v="1.5"/>
    <n v="37.1006"/>
    <n v="6399999968"/>
    <m/>
    <m/>
    <m/>
    <s v="938 11780"/>
    <m/>
    <m/>
    <n v="1905272029"/>
    <n v="0"/>
    <n v="0"/>
    <n v="1905272029"/>
    <n v="1905272029"/>
    <n v="59539750"/>
    <n v="0"/>
    <n v="0"/>
    <n v="59539750"/>
    <n v="59539750"/>
    <n v="38.166699999999999"/>
    <n v="19.313800000000001"/>
    <n v="8886.09"/>
    <n v="7731.26"/>
    <n v="7576"/>
    <n v="2874"/>
    <x v="11"/>
    <x v="5"/>
  </r>
  <r>
    <s v="istree_exp5_numerical_stability_vs_time/step10672.txt"/>
    <x v="3"/>
    <m/>
    <s v="reclaimer_debra"/>
    <s v="allocator_new"/>
    <s v="pool_none"/>
    <n v="64000"/>
    <n v="0"/>
    <n v="0"/>
    <n v="0"/>
    <n v="1"/>
    <n v="200000000"/>
    <n v="190"/>
    <n v="190"/>
    <n v="190"/>
    <n v="0"/>
    <s v="insertIfAbsent"/>
    <n v="9999448117701530"/>
    <n v="100000000"/>
    <n v="9999448117701530"/>
    <n v="100000000"/>
    <s v="success"/>
    <n v="71"/>
    <n v="99999999"/>
    <n v="100000000"/>
    <n v="199999999"/>
    <n v="100000000"/>
    <n v="2"/>
    <n v="1"/>
    <n v="1.5"/>
    <n v="35.401499999999999"/>
    <n v="6399999968"/>
    <m/>
    <m/>
    <m/>
    <s v="732 22838"/>
    <m/>
    <m/>
    <n v="3849371850"/>
    <n v="0"/>
    <n v="0"/>
    <n v="3849371850"/>
    <n v="3849371850"/>
    <n v="60146435"/>
    <n v="0"/>
    <n v="0"/>
    <n v="60146435"/>
    <n v="60146435"/>
    <n v="38.262900000000002"/>
    <n v="19.480899999999998"/>
    <n v="8796.23"/>
    <n v="7649.42"/>
    <n v="7576"/>
    <n v="2853"/>
    <x v="11"/>
    <x v="6"/>
  </r>
  <r>
    <m/>
    <x v="4"/>
    <m/>
    <m/>
    <m/>
    <m/>
    <m/>
    <m/>
    <m/>
    <m/>
    <m/>
    <m/>
    <m/>
    <m/>
    <m/>
    <m/>
    <m/>
    <m/>
    <m/>
    <m/>
    <m/>
    <m/>
    <m/>
    <m/>
    <m/>
    <m/>
    <m/>
    <m/>
    <m/>
    <m/>
    <m/>
    <m/>
    <m/>
    <m/>
    <m/>
    <m/>
    <m/>
    <m/>
    <m/>
    <m/>
    <m/>
    <m/>
    <m/>
    <m/>
    <m/>
    <m/>
    <m/>
    <m/>
    <m/>
    <m/>
    <m/>
    <m/>
    <m/>
    <m/>
    <x v="12"/>
    <x v="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510"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10">
  <location ref="AC52:AJ57" firstHeaderRow="1" firstDataRow="2" firstDataCol="1" rowPageCount="1" colPageCount="1"/>
  <pivotFields count="56">
    <pivotField showAll="0" defaultSubtotal="0"/>
    <pivotField axis="axisRow" showAll="0" defaultSubtotal="0">
      <items count="5">
        <item x="4"/>
        <item n="NM" x="3"/>
        <item n="BCCO" x="1"/>
        <item n="ABTree" x="2"/>
        <item n="ISTree"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sortType="descending" defaultSubtotal="0">
      <items count="13">
        <item x="12"/>
        <item x="3"/>
        <item x="0"/>
        <item x="2"/>
        <item x="6"/>
        <item x="5"/>
        <item x="4"/>
        <item x="8"/>
        <item x="1"/>
        <item x="7"/>
        <item x="11"/>
        <item x="10"/>
        <item x="9"/>
      </items>
    </pivotField>
    <pivotField axis="axisCol" showAll="0" defaultSubtotal="0">
      <items count="8">
        <item x="7"/>
        <item x="0"/>
        <item x="1"/>
        <item x="2"/>
        <item x="3"/>
        <item x="4"/>
        <item x="5"/>
        <item x="6"/>
      </items>
    </pivotField>
  </pivotFields>
  <rowFields count="1">
    <field x="1"/>
  </rowFields>
  <rowItems count="4">
    <i>
      <x v="1"/>
    </i>
    <i>
      <x v="2"/>
    </i>
    <i>
      <x v="3"/>
    </i>
    <i>
      <x v="4"/>
    </i>
  </rowItems>
  <colFields count="1">
    <field x="55"/>
  </colFields>
  <colItems count="7">
    <i>
      <x v="1"/>
    </i>
    <i>
      <x v="2"/>
    </i>
    <i>
      <x v="3"/>
    </i>
    <i>
      <x v="4"/>
    </i>
    <i>
      <x v="5"/>
    </i>
    <i>
      <x v="6"/>
    </i>
    <i>
      <x v="7"/>
    </i>
  </colItems>
  <pageFields count="1">
    <pageField fld="54" item="12" hier="-1"/>
  </pageFields>
  <dataFields count="1">
    <dataField name="Max of total_throughput" fld="47" subtotal="max" baseField="1" baseItem="1" numFmtId="1"/>
  </dataFields>
  <formats count="2">
    <format dxfId="4">
      <pivotArea outline="0" collapsedLevelsAreSubtotals="1" fieldPosition="0"/>
    </format>
    <format dxfId="5">
      <pivotArea outline="0" collapsedLevelsAreSubtotals="1" fieldPosition="0"/>
    </format>
  </formats>
  <chartFormats count="9">
    <chartFormat chart="7" format="1" series="1">
      <pivotArea type="data" outline="0" fieldPosition="0">
        <references count="2">
          <reference field="4294967294" count="1" selected="0">
            <x v="0"/>
          </reference>
          <reference field="1" count="1" selected="0">
            <x v="4"/>
          </reference>
        </references>
      </pivotArea>
    </chartFormat>
    <chartFormat chart="9" format="4" series="1">
      <pivotArea type="data" outline="0" fieldPosition="0">
        <references count="2">
          <reference field="4294967294" count="1" selected="0">
            <x v="0"/>
          </reference>
          <reference field="55" count="1" selected="0">
            <x v="1"/>
          </reference>
        </references>
      </pivotArea>
    </chartFormat>
    <chartFormat chart="9" format="5" series="1">
      <pivotArea type="data" outline="0" fieldPosition="0">
        <references count="2">
          <reference field="4294967294" count="1" selected="0">
            <x v="0"/>
          </reference>
          <reference field="55" count="1" selected="0">
            <x v="2"/>
          </reference>
        </references>
      </pivotArea>
    </chartFormat>
    <chartFormat chart="9" format="6" series="1">
      <pivotArea type="data" outline="0" fieldPosition="0">
        <references count="2">
          <reference field="4294967294" count="1" selected="0">
            <x v="0"/>
          </reference>
          <reference field="55" count="1" selected="0">
            <x v="3"/>
          </reference>
        </references>
      </pivotArea>
    </chartFormat>
    <chartFormat chart="9" format="7" series="1">
      <pivotArea type="data" outline="0" fieldPosition="0">
        <references count="2">
          <reference field="4294967294" count="1" selected="0">
            <x v="0"/>
          </reference>
          <reference field="55" count="1" selected="0">
            <x v="4"/>
          </reference>
        </references>
      </pivotArea>
    </chartFormat>
    <chartFormat chart="9" format="8" series="1">
      <pivotArea type="data" outline="0" fieldPosition="0">
        <references count="2">
          <reference field="4294967294" count="1" selected="0">
            <x v="0"/>
          </reference>
          <reference field="55" count="1" selected="0">
            <x v="5"/>
          </reference>
        </references>
      </pivotArea>
    </chartFormat>
    <chartFormat chart="9" format="9" series="1">
      <pivotArea type="data" outline="0" fieldPosition="0">
        <references count="2">
          <reference field="4294967294" count="1" selected="0">
            <x v="0"/>
          </reference>
          <reference field="55" count="1" selected="0">
            <x v="6"/>
          </reference>
        </references>
      </pivotArea>
    </chartFormat>
    <chartFormat chart="9" format="10" series="1">
      <pivotArea type="data" outline="0" fieldPosition="0">
        <references count="2">
          <reference field="4294967294" count="1" selected="0">
            <x v="0"/>
          </reference>
          <reference field="55" count="1" selected="0">
            <x v="7"/>
          </reference>
        </references>
      </pivotArea>
    </chartFormat>
    <chartFormat chart="9" format="11" series="1">
      <pivotArea type="data" outline="0" fieldPosition="0">
        <references count="2">
          <reference field="4294967294" count="1" selected="0">
            <x v="0"/>
          </reference>
          <reference field="55"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510"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10">
  <location ref="A52:H57" firstHeaderRow="1" firstDataRow="2" firstDataCol="1" rowPageCount="1" colPageCount="1"/>
  <pivotFields count="56">
    <pivotField showAll="0" defaultSubtotal="0"/>
    <pivotField axis="axisRow" showAll="0" defaultSubtotal="0">
      <items count="5">
        <item x="4"/>
        <item n="NM" x="3"/>
        <item n="BCCO" x="1"/>
        <item n="ABTree" x="2"/>
        <item n="ISTree"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sortType="descending" defaultSubtotal="0">
      <items count="13">
        <item x="12"/>
        <item x="3"/>
        <item x="0"/>
        <item x="2"/>
        <item x="6"/>
        <item x="5"/>
        <item x="4"/>
        <item x="8"/>
        <item x="1"/>
        <item x="7"/>
        <item x="11"/>
        <item x="10"/>
        <item x="9"/>
      </items>
    </pivotField>
    <pivotField axis="axisCol" showAll="0" defaultSubtotal="0">
      <items count="8">
        <item x="7"/>
        <item x="0"/>
        <item x="1"/>
        <item x="2"/>
        <item x="3"/>
        <item x="4"/>
        <item x="5"/>
        <item x="6"/>
      </items>
    </pivotField>
  </pivotFields>
  <rowFields count="1">
    <field x="1"/>
  </rowFields>
  <rowItems count="4">
    <i>
      <x v="1"/>
    </i>
    <i>
      <x v="2"/>
    </i>
    <i>
      <x v="3"/>
    </i>
    <i>
      <x v="4"/>
    </i>
  </rowItems>
  <colFields count="1">
    <field x="55"/>
  </colFields>
  <colItems count="7">
    <i>
      <x v="1"/>
    </i>
    <i>
      <x v="2"/>
    </i>
    <i>
      <x v="3"/>
    </i>
    <i>
      <x v="4"/>
    </i>
    <i>
      <x v="5"/>
    </i>
    <i>
      <x v="6"/>
    </i>
    <i>
      <x v="7"/>
    </i>
  </colItems>
  <pageFields count="1">
    <pageField fld="54" item="12" hier="-1"/>
  </pageFields>
  <dataFields count="1">
    <dataField name="Min of total_throughput" fld="47" subtotal="min" baseField="1" baseItem="1" numFmtId="1"/>
  </dataFields>
  <formats count="6">
    <format dxfId="6">
      <pivotArea outline="0" collapsedLevelsAreSubtotals="1" fieldPosition="0"/>
    </format>
    <format dxfId="7">
      <pivotArea outline="0" collapsedLevelsAreSubtotals="1" fieldPosition="0"/>
    </format>
    <format dxfId="3">
      <pivotArea type="origin" dataOnly="0" labelOnly="1" outline="0" fieldPosition="0"/>
    </format>
    <format dxfId="2">
      <pivotArea type="origin" dataOnly="0" labelOnly="1" outline="0" fieldPosition="0"/>
    </format>
    <format dxfId="1">
      <pivotArea type="origin" dataOnly="0" labelOnly="1" outline="0" fieldPosition="0"/>
    </format>
    <format dxfId="0">
      <pivotArea type="origin" dataOnly="0" labelOnly="1" outline="0" fieldPosition="0"/>
    </format>
  </formats>
  <chartFormats count="9">
    <chartFormat chart="7" format="1" series="1">
      <pivotArea type="data" outline="0" fieldPosition="0">
        <references count="2">
          <reference field="4294967294" count="1" selected="0">
            <x v="0"/>
          </reference>
          <reference field="1" count="1" selected="0">
            <x v="4"/>
          </reference>
        </references>
      </pivotArea>
    </chartFormat>
    <chartFormat chart="9" format="4" series="1">
      <pivotArea type="data" outline="0" fieldPosition="0">
        <references count="2">
          <reference field="4294967294" count="1" selected="0">
            <x v="0"/>
          </reference>
          <reference field="55" count="1" selected="0">
            <x v="1"/>
          </reference>
        </references>
      </pivotArea>
    </chartFormat>
    <chartFormat chart="9" format="5" series="1">
      <pivotArea type="data" outline="0" fieldPosition="0">
        <references count="2">
          <reference field="4294967294" count="1" selected="0">
            <x v="0"/>
          </reference>
          <reference field="55" count="1" selected="0">
            <x v="2"/>
          </reference>
        </references>
      </pivotArea>
    </chartFormat>
    <chartFormat chart="9" format="6" series="1">
      <pivotArea type="data" outline="0" fieldPosition="0">
        <references count="2">
          <reference field="4294967294" count="1" selected="0">
            <x v="0"/>
          </reference>
          <reference field="55" count="1" selected="0">
            <x v="3"/>
          </reference>
        </references>
      </pivotArea>
    </chartFormat>
    <chartFormat chart="9" format="7" series="1">
      <pivotArea type="data" outline="0" fieldPosition="0">
        <references count="2">
          <reference field="4294967294" count="1" selected="0">
            <x v="0"/>
          </reference>
          <reference field="55" count="1" selected="0">
            <x v="4"/>
          </reference>
        </references>
      </pivotArea>
    </chartFormat>
    <chartFormat chart="9" format="8" series="1">
      <pivotArea type="data" outline="0" fieldPosition="0">
        <references count="2">
          <reference field="4294967294" count="1" selected="0">
            <x v="0"/>
          </reference>
          <reference field="55" count="1" selected="0">
            <x v="5"/>
          </reference>
        </references>
      </pivotArea>
    </chartFormat>
    <chartFormat chart="9" format="9" series="1">
      <pivotArea type="data" outline="0" fieldPosition="0">
        <references count="2">
          <reference field="4294967294" count="1" selected="0">
            <x v="0"/>
          </reference>
          <reference field="55" count="1" selected="0">
            <x v="6"/>
          </reference>
        </references>
      </pivotArea>
    </chartFormat>
    <chartFormat chart="9" format="10" series="1">
      <pivotArea type="data" outline="0" fieldPosition="0">
        <references count="2">
          <reference field="4294967294" count="1" selected="0">
            <x v="0"/>
          </reference>
          <reference field="55" count="1" selected="0">
            <x v="7"/>
          </reference>
        </references>
      </pivotArea>
    </chartFormat>
    <chartFormat chart="9" format="11" series="1">
      <pivotArea type="data" outline="0" fieldPosition="0">
        <references count="2">
          <reference field="4294967294" count="1" selected="0">
            <x v="0"/>
          </reference>
          <reference field="55"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Main" cacheId="510"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10">
  <location ref="A4:H9" firstHeaderRow="1" firstDataRow="2" firstDataCol="1" rowPageCount="1" colPageCount="1"/>
  <pivotFields count="56">
    <pivotField showAll="0" defaultSubtotal="0"/>
    <pivotField axis="axisRow" showAll="0" defaultSubtotal="0">
      <items count="5">
        <item x="4"/>
        <item n="NM" x="3"/>
        <item n="BCCO" x="1"/>
        <item n="ABTree" x="2"/>
        <item n="ISTree"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sortType="descending" defaultSubtotal="0">
      <items count="13">
        <item x="12"/>
        <item x="3"/>
        <item x="0"/>
        <item x="2"/>
        <item x="6"/>
        <item x="5"/>
        <item x="4"/>
        <item x="8"/>
        <item x="1"/>
        <item x="7"/>
        <item x="11"/>
        <item x="10"/>
        <item x="9"/>
      </items>
    </pivotField>
    <pivotField axis="axisCol" showAll="0" defaultSubtotal="0">
      <items count="8">
        <item x="7"/>
        <item x="0"/>
        <item x="1"/>
        <item x="2"/>
        <item x="3"/>
        <item x="4"/>
        <item x="5"/>
        <item x="6"/>
      </items>
    </pivotField>
  </pivotFields>
  <rowFields count="1">
    <field x="1"/>
  </rowFields>
  <rowItems count="4">
    <i>
      <x v="1"/>
    </i>
    <i>
      <x v="2"/>
    </i>
    <i>
      <x v="3"/>
    </i>
    <i>
      <x v="4"/>
    </i>
  </rowItems>
  <colFields count="1">
    <field x="55"/>
  </colFields>
  <colItems count="7">
    <i>
      <x v="1"/>
    </i>
    <i>
      <x v="2"/>
    </i>
    <i>
      <x v="3"/>
    </i>
    <i>
      <x v="4"/>
    </i>
    <i>
      <x v="5"/>
    </i>
    <i>
      <x v="6"/>
    </i>
    <i>
      <x v="7"/>
    </i>
  </colItems>
  <pageFields count="1">
    <pageField fld="54" item="12" hier="-1"/>
  </pageFields>
  <dataFields count="1">
    <dataField name="Average of total_throughput" fld="47" subtotal="average" baseField="13" baseItem="0" numFmtId="1"/>
  </dataFields>
  <formats count="2">
    <format dxfId="9">
      <pivotArea outline="0" collapsedLevelsAreSubtotals="1" fieldPosition="0"/>
    </format>
    <format dxfId="8">
      <pivotArea outline="0" collapsedLevelsAreSubtotals="1" fieldPosition="0"/>
    </format>
  </formats>
  <chartFormats count="9">
    <chartFormat chart="7" format="1" series="1">
      <pivotArea type="data" outline="0" fieldPosition="0">
        <references count="2">
          <reference field="4294967294" count="1" selected="0">
            <x v="0"/>
          </reference>
          <reference field="1" count="1" selected="0">
            <x v="4"/>
          </reference>
        </references>
      </pivotArea>
    </chartFormat>
    <chartFormat chart="9" format="13" series="1">
      <pivotArea type="data" outline="0" fieldPosition="0">
        <references count="2">
          <reference field="4294967294" count="1" selected="0">
            <x v="0"/>
          </reference>
          <reference field="55" count="1" selected="0">
            <x v="1"/>
          </reference>
        </references>
      </pivotArea>
    </chartFormat>
    <chartFormat chart="9" format="14" series="1">
      <pivotArea type="data" outline="0" fieldPosition="0">
        <references count="2">
          <reference field="4294967294" count="1" selected="0">
            <x v="0"/>
          </reference>
          <reference field="55" count="1" selected="0">
            <x v="2"/>
          </reference>
        </references>
      </pivotArea>
    </chartFormat>
    <chartFormat chart="9" format="15" series="1">
      <pivotArea type="data" outline="0" fieldPosition="0">
        <references count="2">
          <reference field="4294967294" count="1" selected="0">
            <x v="0"/>
          </reference>
          <reference field="55" count="1" selected="0">
            <x v="3"/>
          </reference>
        </references>
      </pivotArea>
    </chartFormat>
    <chartFormat chart="9" format="16" series="1">
      <pivotArea type="data" outline="0" fieldPosition="0">
        <references count="2">
          <reference field="4294967294" count="1" selected="0">
            <x v="0"/>
          </reference>
          <reference field="55" count="1" selected="0">
            <x v="4"/>
          </reference>
        </references>
      </pivotArea>
    </chartFormat>
    <chartFormat chart="9" format="17" series="1">
      <pivotArea type="data" outline="0" fieldPosition="0">
        <references count="2">
          <reference field="4294967294" count="1" selected="0">
            <x v="0"/>
          </reference>
          <reference field="55" count="1" selected="0">
            <x v="5"/>
          </reference>
        </references>
      </pivotArea>
    </chartFormat>
    <chartFormat chart="9" format="18" series="1">
      <pivotArea type="data" outline="0" fieldPosition="0">
        <references count="2">
          <reference field="4294967294" count="1" selected="0">
            <x v="0"/>
          </reference>
          <reference field="55" count="1" selected="0">
            <x v="6"/>
          </reference>
        </references>
      </pivotArea>
    </chartFormat>
    <chartFormat chart="9" format="19" series="1">
      <pivotArea type="data" outline="0" fieldPosition="0">
        <references count="2">
          <reference field="4294967294" count="1" selected="0">
            <x v="0"/>
          </reference>
          <reference field="55" count="1" selected="0">
            <x v="7"/>
          </reference>
        </references>
      </pivotArea>
    </chartFormat>
    <chartFormat chart="9" format="20" series="1">
      <pivotArea type="data" outline="0" fieldPosition="0">
        <references count="2">
          <reference field="4294967294" count="1" selected="0">
            <x v="0"/>
          </reference>
          <reference field="55"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3" growShrinkType="overwriteClear" connectionId="2" autoFormatId="0" applyNumberFormats="0" applyBorderFormats="0" applyFontFormats="1" applyPatternFormats="1" applyAlignmentFormats="0" applyWidthHeightFormats="0"/>
</file>

<file path=xl/queryTables/queryTable2.xml><?xml version="1.0" encoding="utf-8"?>
<queryTable xmlns="http://schemas.openxmlformats.org/spreadsheetml/2006/main" name="ExternalData_12" growShrinkType="overwriteClear" connectionId="1" autoFormatId="0" applyNumberFormats="0" applyBorderFormats="0" applyFontFormats="1" applyPatternFormats="1" applyAlignmentFormats="0" applyWidthHeightFormats="0"/>
</file>

<file path=xl/queryTables/queryTable3.xml><?xml version="1.0" encoding="utf-8"?>
<queryTable xmlns="http://schemas.openxmlformats.org/spreadsheetml/2006/main" name="ExternalData_11" growShrinkType="overwriteClear" connectionId="3" autoFormatId="0"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849DB8"/>
      </a:dk1>
      <a:lt1>
        <a:sysClr val="window" lastClr="2D3640"/>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queryTable" Target="../queryTables/queryTable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drawing" Target="../drawings/drawing2.xml"/><Relationship Id="rId4"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heetViews>
  <sheetFormatPr defaultRowHeight="14.6"/>
  <cols>
    <col min="1" max="1" width="8.23046875" customWidth="1"/>
    <col min="5" max="5" width="8.69140625" customWidth="1"/>
    <col min="7" max="7" width="8.69140625" customWidth="1"/>
  </cols>
  <sheetData>
    <row r="1" spans="1:3" s="5" customFormat="1" ht="20.6">
      <c r="A1" s="4" t="s">
        <v>1</v>
      </c>
    </row>
    <row r="2" spans="1:3" s="5" customFormat="1" ht="20.6">
      <c r="A2" s="4">
        <v>1</v>
      </c>
      <c r="B2" s="5" t="s">
        <v>17</v>
      </c>
    </row>
    <row r="3" spans="1:3" s="5" customFormat="1" ht="20.6">
      <c r="A3" s="4">
        <v>2</v>
      </c>
      <c r="B3" s="5" t="s">
        <v>6</v>
      </c>
    </row>
    <row r="4" spans="1:3" s="5" customFormat="1" ht="20.6">
      <c r="A4" s="4"/>
      <c r="B4" s="5" t="s">
        <v>5</v>
      </c>
    </row>
    <row r="5" spans="1:3" s="5" customFormat="1" ht="20.6">
      <c r="B5" s="5" t="s">
        <v>9</v>
      </c>
    </row>
    <row r="6" spans="1:3" s="5" customFormat="1" ht="20.6">
      <c r="B6" s="5" t="s">
        <v>10</v>
      </c>
    </row>
    <row r="7" spans="1:3" s="5" customFormat="1" ht="20.6">
      <c r="A7" s="5">
        <v>3</v>
      </c>
      <c r="B7" s="5" t="s">
        <v>11</v>
      </c>
    </row>
    <row r="8" spans="1:3" s="5" customFormat="1" ht="20.6">
      <c r="A8" s="4"/>
      <c r="B8" s="5" t="s">
        <v>12</v>
      </c>
    </row>
    <row r="9" spans="1:3" s="5" customFormat="1" ht="20.6">
      <c r="A9" s="4"/>
      <c r="B9" s="5" t="s">
        <v>13</v>
      </c>
      <c r="C9"/>
    </row>
    <row r="10" spans="1:3" ht="20.6">
      <c r="B10" s="5" t="s">
        <v>14</v>
      </c>
    </row>
    <row r="11" spans="1:3" ht="20.6">
      <c r="B11" s="5" t="s">
        <v>15</v>
      </c>
    </row>
    <row r="12" spans="1:3" ht="20.6">
      <c r="A12" s="4">
        <v>4</v>
      </c>
      <c r="B12" s="5" t="s">
        <v>2</v>
      </c>
    </row>
    <row r="13" spans="1:3" ht="20.6">
      <c r="B13" s="5" t="s">
        <v>3</v>
      </c>
    </row>
    <row r="14" spans="1:3" ht="20.6">
      <c r="A14" s="4"/>
      <c r="B14" s="5" t="s">
        <v>4</v>
      </c>
    </row>
    <row r="16" spans="1:3" ht="20.6">
      <c r="B16" s="5" t="s">
        <v>16</v>
      </c>
    </row>
    <row r="17" spans="2:2" ht="20.6">
      <c r="B17" s="5" t="s">
        <v>7</v>
      </c>
    </row>
    <row r="20" spans="2:2">
      <c r="B20" s="2"/>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D757"/>
  <sheetViews>
    <sheetView workbookViewId="0"/>
  </sheetViews>
  <sheetFormatPr defaultRowHeight="14.6"/>
  <cols>
    <col min="1" max="1" width="47.23046875" bestFit="1" customWidth="1"/>
    <col min="2" max="2" width="19.765625" bestFit="1" customWidth="1"/>
    <col min="3" max="3" width="9.07421875" customWidth="1"/>
    <col min="4" max="4" width="14.3828125" bestFit="1" customWidth="1"/>
    <col min="5" max="5" width="12.53515625" customWidth="1"/>
    <col min="6" max="6" width="9.765625" customWidth="1"/>
    <col min="7" max="7" width="14.3046875" bestFit="1" customWidth="1"/>
    <col min="8" max="8" width="3.84375" bestFit="1" customWidth="1"/>
    <col min="9" max="9" width="3.921875" bestFit="1" customWidth="1"/>
    <col min="10" max="10" width="3.3046875" bestFit="1" customWidth="1"/>
    <col min="11" max="11" width="6.69140625" bestFit="1" customWidth="1"/>
    <col min="12" max="12" width="8.84375" bestFit="1" customWidth="1"/>
    <col min="13" max="13" width="15.765625" customWidth="1"/>
    <col min="14" max="14" width="14.84375" customWidth="1"/>
    <col min="15" max="15" width="14.765625" customWidth="1"/>
    <col min="16" max="16" width="11.921875" customWidth="1"/>
    <col min="17" max="17" width="12.4609375" customWidth="1"/>
    <col min="18" max="18" width="19.07421875" bestFit="1" customWidth="1"/>
    <col min="19" max="19" width="15.69140625" customWidth="1"/>
    <col min="20" max="20" width="11.84375" bestFit="1" customWidth="1"/>
    <col min="21" max="21" width="8.84375" bestFit="1" customWidth="1"/>
    <col min="22" max="22" width="13.07421875" customWidth="1"/>
    <col min="23" max="23" width="15.3828125" customWidth="1"/>
    <col min="24" max="24" width="21.3046875" customWidth="1"/>
    <col min="25" max="25" width="19.4609375" customWidth="1"/>
    <col min="26" max="26" width="19.23046875" customWidth="1"/>
    <col min="27" max="27" width="17.765625" bestFit="1" customWidth="1"/>
    <col min="28" max="28" width="25.4609375" bestFit="1" customWidth="1"/>
    <col min="29" max="29" width="24.3828125" bestFit="1" customWidth="1"/>
    <col min="30" max="30" width="18.84375" customWidth="1"/>
    <col min="31" max="31" width="21.15234375" customWidth="1"/>
    <col min="32" max="32" width="19.3046875" bestFit="1" customWidth="1"/>
    <col min="33" max="33" width="37.15234375" bestFit="1" customWidth="1"/>
    <col min="34" max="34" width="42.3046875" customWidth="1"/>
    <col min="35" max="35" width="26.15234375" customWidth="1"/>
    <col min="36" max="36" width="35.765625" customWidth="1"/>
    <col min="37" max="37" width="29.61328125" customWidth="1"/>
    <col min="38" max="38" width="23.4609375" customWidth="1"/>
    <col min="39" max="39" width="11.84375" bestFit="1" customWidth="1"/>
    <col min="40" max="40" width="7.4609375" customWidth="1"/>
    <col min="41" max="41" width="12.3046875" customWidth="1"/>
    <col min="42" max="43" width="11.84375" bestFit="1" customWidth="1"/>
    <col min="44" max="44" width="14.61328125" bestFit="1" customWidth="1"/>
    <col min="45" max="45" width="13.15234375" bestFit="1" customWidth="1"/>
    <col min="46" max="46" width="17.3046875" bestFit="1" customWidth="1"/>
    <col min="47" max="47" width="16.15234375" bestFit="1" customWidth="1"/>
    <col min="48" max="48" width="15.23046875" customWidth="1"/>
    <col min="49" max="50" width="12.15234375" bestFit="1" customWidth="1"/>
    <col min="51" max="51" width="13.07421875" bestFit="1" customWidth="1"/>
    <col min="52" max="52" width="12.3046875" bestFit="1" customWidth="1"/>
    <col min="53" max="53" width="14.765625" bestFit="1" customWidth="1"/>
    <col min="54" max="54" width="16.3828125" bestFit="1" customWidth="1"/>
  </cols>
  <sheetData>
    <row r="1" spans="1:56">
      <c r="A1" t="s">
        <v>19</v>
      </c>
      <c r="B1" t="s">
        <v>20</v>
      </c>
      <c r="C1" t="s">
        <v>21</v>
      </c>
      <c r="D1" t="s">
        <v>22</v>
      </c>
      <c r="E1" t="s">
        <v>23</v>
      </c>
      <c r="F1" t="s">
        <v>24</v>
      </c>
      <c r="G1" t="s">
        <v>25</v>
      </c>
      <c r="H1" t="s">
        <v>26</v>
      </c>
      <c r="I1" t="s">
        <v>27</v>
      </c>
      <c r="J1" t="s">
        <v>28</v>
      </c>
      <c r="K1" t="s">
        <v>29</v>
      </c>
      <c r="L1" t="s">
        <v>30</v>
      </c>
      <c r="M1" t="s">
        <v>31</v>
      </c>
      <c r="N1" t="s">
        <v>32</v>
      </c>
      <c r="O1" t="s">
        <v>33</v>
      </c>
      <c r="P1" t="s">
        <v>34</v>
      </c>
      <c r="Q1" t="s">
        <v>35</v>
      </c>
      <c r="R1" t="s">
        <v>67</v>
      </c>
      <c r="S1" t="s">
        <v>68</v>
      </c>
      <c r="T1" t="s">
        <v>45</v>
      </c>
      <c r="U1" t="s">
        <v>69</v>
      </c>
      <c r="V1" t="s">
        <v>70</v>
      </c>
      <c r="W1" t="s">
        <v>36</v>
      </c>
      <c r="X1" t="s">
        <v>37</v>
      </c>
      <c r="Y1" t="s">
        <v>38</v>
      </c>
      <c r="Z1" t="s">
        <v>39</v>
      </c>
      <c r="AA1" t="s">
        <v>40</v>
      </c>
      <c r="AB1" t="s">
        <v>41</v>
      </c>
      <c r="AC1" t="s">
        <v>42</v>
      </c>
      <c r="AD1" t="s">
        <v>43</v>
      </c>
      <c r="AE1" t="s">
        <v>44</v>
      </c>
      <c r="AF1" t="s">
        <v>74</v>
      </c>
      <c r="AG1" t="s">
        <v>75</v>
      </c>
      <c r="AH1" t="s">
        <v>76</v>
      </c>
      <c r="AI1" t="s">
        <v>77</v>
      </c>
      <c r="AJ1" t="s">
        <v>78</v>
      </c>
      <c r="AK1" t="s">
        <v>79</v>
      </c>
      <c r="AL1" t="s">
        <v>80</v>
      </c>
      <c r="AM1" t="s">
        <v>46</v>
      </c>
      <c r="AN1" t="s">
        <v>47</v>
      </c>
      <c r="AO1" t="s">
        <v>48</v>
      </c>
      <c r="AP1" t="s">
        <v>49</v>
      </c>
      <c r="AQ1" t="s">
        <v>50</v>
      </c>
      <c r="AR1" t="s">
        <v>51</v>
      </c>
      <c r="AS1" t="s">
        <v>52</v>
      </c>
      <c r="AT1" t="s">
        <v>53</v>
      </c>
      <c r="AU1" t="s">
        <v>54</v>
      </c>
      <c r="AV1" t="s">
        <v>55</v>
      </c>
      <c r="AW1" t="s">
        <v>56</v>
      </c>
      <c r="AX1" t="s">
        <v>57</v>
      </c>
      <c r="AY1" t="s">
        <v>58</v>
      </c>
      <c r="AZ1" t="s">
        <v>81</v>
      </c>
      <c r="BA1" t="s">
        <v>72</v>
      </c>
      <c r="BB1" t="s">
        <v>73</v>
      </c>
      <c r="BC1" t="s">
        <v>65</v>
      </c>
      <c r="BD1" t="s">
        <v>82</v>
      </c>
    </row>
    <row r="2" spans="1:56">
      <c r="A2" t="s">
        <v>83</v>
      </c>
      <c r="B2" t="s">
        <v>63</v>
      </c>
      <c r="C2">
        <v>72</v>
      </c>
      <c r="D2" t="s">
        <v>64</v>
      </c>
      <c r="E2" t="s">
        <v>59</v>
      </c>
      <c r="F2" t="s">
        <v>60</v>
      </c>
      <c r="G2">
        <v>1000</v>
      </c>
      <c r="H2">
        <v>20</v>
      </c>
      <c r="I2">
        <v>20</v>
      </c>
      <c r="J2">
        <v>0</v>
      </c>
      <c r="K2">
        <v>1</v>
      </c>
      <c r="L2">
        <v>20000000</v>
      </c>
      <c r="M2">
        <v>190</v>
      </c>
      <c r="N2">
        <v>190</v>
      </c>
      <c r="O2">
        <v>190</v>
      </c>
      <c r="P2">
        <v>0</v>
      </c>
      <c r="Q2" t="s">
        <v>61</v>
      </c>
      <c r="R2">
        <v>99994827517479</v>
      </c>
      <c r="S2">
        <v>10000265</v>
      </c>
      <c r="T2">
        <v>99994827517479</v>
      </c>
      <c r="U2">
        <v>10000265</v>
      </c>
      <c r="V2" t="s">
        <v>71</v>
      </c>
      <c r="W2">
        <v>7</v>
      </c>
      <c r="X2">
        <v>1705040</v>
      </c>
      <c r="Y2">
        <v>11602812</v>
      </c>
      <c r="Z2">
        <v>13307852</v>
      </c>
      <c r="AA2">
        <v>10000265</v>
      </c>
      <c r="AB2">
        <v>7.8050100000000002</v>
      </c>
      <c r="AC2">
        <v>0.86188299999999995</v>
      </c>
      <c r="AD2">
        <v>1.75146</v>
      </c>
      <c r="AE2">
        <v>4.0158500000000004</v>
      </c>
      <c r="AF2">
        <v>322048304</v>
      </c>
      <c r="AG2" t="s">
        <v>84</v>
      </c>
      <c r="AH2" t="s">
        <v>85</v>
      </c>
      <c r="AI2">
        <v>88902</v>
      </c>
      <c r="AJ2">
        <v>672</v>
      </c>
      <c r="AM2">
        <v>53033146</v>
      </c>
      <c r="AN2">
        <v>0</v>
      </c>
      <c r="AO2">
        <v>35361427</v>
      </c>
      <c r="AP2">
        <v>53033146</v>
      </c>
      <c r="AQ2">
        <v>88394573</v>
      </c>
      <c r="AR2">
        <v>53033146</v>
      </c>
      <c r="AS2">
        <v>0</v>
      </c>
      <c r="AT2">
        <v>35361427</v>
      </c>
      <c r="AU2">
        <v>53033146</v>
      </c>
      <c r="AV2">
        <v>88394573</v>
      </c>
      <c r="AW2">
        <v>28.523700000000002</v>
      </c>
      <c r="AX2">
        <v>15.0518</v>
      </c>
      <c r="AY2">
        <v>5081.71</v>
      </c>
      <c r="AZ2">
        <v>3458.1</v>
      </c>
      <c r="BA2">
        <v>2852</v>
      </c>
      <c r="BB2">
        <v>451</v>
      </c>
      <c r="BC2" t="str">
        <f>"u="&amp;(H2+I2)&amp;"%, k=2x10^"&amp;LOG10(L2/2)</f>
        <v>u=40%, k=2x10^7</v>
      </c>
      <c r="BD2">
        <f>G2/1000</f>
        <v>1</v>
      </c>
    </row>
    <row r="3" spans="1:56">
      <c r="A3" t="s">
        <v>86</v>
      </c>
      <c r="B3" t="s">
        <v>63</v>
      </c>
      <c r="C3">
        <v>72</v>
      </c>
      <c r="D3" t="s">
        <v>64</v>
      </c>
      <c r="E3" t="s">
        <v>59</v>
      </c>
      <c r="F3" t="s">
        <v>60</v>
      </c>
      <c r="G3">
        <v>2000</v>
      </c>
      <c r="H3">
        <v>20</v>
      </c>
      <c r="I3">
        <v>20</v>
      </c>
      <c r="J3">
        <v>0</v>
      </c>
      <c r="K3">
        <v>1</v>
      </c>
      <c r="L3">
        <v>20000000</v>
      </c>
      <c r="M3">
        <v>190</v>
      </c>
      <c r="N3">
        <v>190</v>
      </c>
      <c r="O3">
        <v>190</v>
      </c>
      <c r="P3">
        <v>0</v>
      </c>
      <c r="Q3" t="s">
        <v>61</v>
      </c>
      <c r="R3">
        <v>99986882809813</v>
      </c>
      <c r="S3">
        <v>10000723</v>
      </c>
      <c r="T3">
        <v>99986882809813</v>
      </c>
      <c r="U3">
        <v>10000723</v>
      </c>
      <c r="V3" t="s">
        <v>71</v>
      </c>
      <c r="W3">
        <v>7</v>
      </c>
      <c r="X3">
        <v>1690519</v>
      </c>
      <c r="Y3">
        <v>11573533</v>
      </c>
      <c r="Z3">
        <v>13264052</v>
      </c>
      <c r="AA3">
        <v>10000723</v>
      </c>
      <c r="AB3">
        <v>7.8461400000000001</v>
      </c>
      <c r="AC3">
        <v>0.86410299999999995</v>
      </c>
      <c r="AD3">
        <v>1.75397</v>
      </c>
      <c r="AE3">
        <v>4.01295</v>
      </c>
      <c r="AF3">
        <v>320418096</v>
      </c>
      <c r="AG3" t="s">
        <v>87</v>
      </c>
      <c r="AH3" t="s">
        <v>88</v>
      </c>
      <c r="AI3">
        <v>189736</v>
      </c>
      <c r="AJ3">
        <v>1406</v>
      </c>
      <c r="AM3">
        <v>112924981</v>
      </c>
      <c r="AN3">
        <v>0</v>
      </c>
      <c r="AO3">
        <v>75267979</v>
      </c>
      <c r="AP3">
        <v>112924981</v>
      </c>
      <c r="AQ3">
        <v>188192960</v>
      </c>
      <c r="AR3">
        <v>56462490</v>
      </c>
      <c r="AS3">
        <v>0</v>
      </c>
      <c r="AT3">
        <v>37633989</v>
      </c>
      <c r="AU3">
        <v>56462490</v>
      </c>
      <c r="AV3">
        <v>94096480</v>
      </c>
      <c r="AW3">
        <v>28.564399999999999</v>
      </c>
      <c r="AX3">
        <v>15.2094</v>
      </c>
      <c r="AY3">
        <v>5223.17</v>
      </c>
      <c r="AZ3">
        <v>3588.47</v>
      </c>
      <c r="BA3">
        <v>2894</v>
      </c>
      <c r="BB3">
        <v>342</v>
      </c>
      <c r="BC3" t="str">
        <f t="shared" ref="BC3:BC46" si="0">"u="&amp;(H3+I3)&amp;"%, k=2x10^"&amp;LOG10(L3/2)</f>
        <v>u=40%, k=2x10^7</v>
      </c>
      <c r="BD3">
        <f t="shared" ref="BD3:BD46" si="1">G3/1000</f>
        <v>2</v>
      </c>
    </row>
    <row r="4" spans="1:56">
      <c r="A4" t="s">
        <v>89</v>
      </c>
      <c r="B4" t="s">
        <v>63</v>
      </c>
      <c r="C4">
        <v>72</v>
      </c>
      <c r="D4" t="s">
        <v>64</v>
      </c>
      <c r="E4" t="s">
        <v>59</v>
      </c>
      <c r="F4" t="s">
        <v>60</v>
      </c>
      <c r="G4">
        <v>4000</v>
      </c>
      <c r="H4">
        <v>20</v>
      </c>
      <c r="I4">
        <v>20</v>
      </c>
      <c r="J4">
        <v>0</v>
      </c>
      <c r="K4">
        <v>1</v>
      </c>
      <c r="L4">
        <v>20000000</v>
      </c>
      <c r="M4">
        <v>190</v>
      </c>
      <c r="N4">
        <v>190</v>
      </c>
      <c r="O4">
        <v>190</v>
      </c>
      <c r="P4">
        <v>0</v>
      </c>
      <c r="Q4" t="s">
        <v>61</v>
      </c>
      <c r="R4">
        <v>99976261773222</v>
      </c>
      <c r="S4">
        <v>9998293</v>
      </c>
      <c r="T4">
        <v>99976261773222</v>
      </c>
      <c r="U4">
        <v>9998293</v>
      </c>
      <c r="V4" t="s">
        <v>71</v>
      </c>
      <c r="W4">
        <v>7</v>
      </c>
      <c r="X4">
        <v>1884213</v>
      </c>
      <c r="Y4">
        <v>11987463</v>
      </c>
      <c r="Z4">
        <v>13871676</v>
      </c>
      <c r="AA4">
        <v>9998293</v>
      </c>
      <c r="AB4">
        <v>7.36205</v>
      </c>
      <c r="AC4">
        <v>0.83406199999999997</v>
      </c>
      <c r="AD4">
        <v>1.7207699999999999</v>
      </c>
      <c r="AE4">
        <v>4.0516100000000002</v>
      </c>
      <c r="AF4">
        <v>342572032</v>
      </c>
      <c r="AG4" t="s">
        <v>90</v>
      </c>
      <c r="AH4" t="s">
        <v>91</v>
      </c>
      <c r="AI4">
        <v>380074</v>
      </c>
      <c r="AJ4">
        <v>2912</v>
      </c>
      <c r="AM4">
        <v>229667698</v>
      </c>
      <c r="AN4">
        <v>0</v>
      </c>
      <c r="AO4">
        <v>153119865</v>
      </c>
      <c r="AP4">
        <v>229667698</v>
      </c>
      <c r="AQ4">
        <v>382787563</v>
      </c>
      <c r="AR4">
        <v>57416924</v>
      </c>
      <c r="AS4">
        <v>0</v>
      </c>
      <c r="AT4">
        <v>38279966</v>
      </c>
      <c r="AU4">
        <v>57416924</v>
      </c>
      <c r="AV4">
        <v>95696890</v>
      </c>
      <c r="AW4">
        <v>28.471900000000002</v>
      </c>
      <c r="AX4">
        <v>15.1676</v>
      </c>
      <c r="AY4">
        <v>5234.6899999999996</v>
      </c>
      <c r="AZ4">
        <v>3591.81</v>
      </c>
      <c r="BA4">
        <v>2910</v>
      </c>
      <c r="BB4">
        <v>445</v>
      </c>
      <c r="BC4" t="str">
        <f t="shared" si="0"/>
        <v>u=40%, k=2x10^7</v>
      </c>
      <c r="BD4">
        <f t="shared" si="1"/>
        <v>4</v>
      </c>
    </row>
    <row r="5" spans="1:56">
      <c r="A5" t="s">
        <v>92</v>
      </c>
      <c r="B5" t="s">
        <v>63</v>
      </c>
      <c r="C5">
        <v>72</v>
      </c>
      <c r="D5" t="s">
        <v>64</v>
      </c>
      <c r="E5" t="s">
        <v>59</v>
      </c>
      <c r="F5" t="s">
        <v>60</v>
      </c>
      <c r="G5">
        <v>8000</v>
      </c>
      <c r="H5">
        <v>20</v>
      </c>
      <c r="I5">
        <v>20</v>
      </c>
      <c r="J5">
        <v>0</v>
      </c>
      <c r="K5">
        <v>1</v>
      </c>
      <c r="L5">
        <v>20000000</v>
      </c>
      <c r="M5">
        <v>190</v>
      </c>
      <c r="N5">
        <v>190</v>
      </c>
      <c r="O5">
        <v>190</v>
      </c>
      <c r="P5">
        <v>0</v>
      </c>
      <c r="Q5" t="s">
        <v>61</v>
      </c>
      <c r="R5">
        <v>100031136960372</v>
      </c>
      <c r="S5">
        <v>10000894</v>
      </c>
      <c r="T5">
        <v>100031136960372</v>
      </c>
      <c r="U5">
        <v>10000894</v>
      </c>
      <c r="V5" t="s">
        <v>71</v>
      </c>
      <c r="W5">
        <v>7</v>
      </c>
      <c r="X5">
        <v>1845861</v>
      </c>
      <c r="Y5">
        <v>11912212</v>
      </c>
      <c r="Z5">
        <v>13758073</v>
      </c>
      <c r="AA5">
        <v>10000894</v>
      </c>
      <c r="AB5">
        <v>7.4534700000000003</v>
      </c>
      <c r="AC5">
        <v>0.83955000000000002</v>
      </c>
      <c r="AD5">
        <v>1.7269099999999999</v>
      </c>
      <c r="AE5">
        <v>4.0438400000000003</v>
      </c>
      <c r="AF5">
        <v>338297472</v>
      </c>
      <c r="AG5" t="s">
        <v>93</v>
      </c>
      <c r="AH5" t="s">
        <v>94</v>
      </c>
      <c r="AI5">
        <v>775739</v>
      </c>
      <c r="AJ5">
        <v>5898</v>
      </c>
      <c r="AM5">
        <v>462502064</v>
      </c>
      <c r="AN5">
        <v>0</v>
      </c>
      <c r="AO5">
        <v>308321754</v>
      </c>
      <c r="AP5">
        <v>462502064</v>
      </c>
      <c r="AQ5">
        <v>770823818</v>
      </c>
      <c r="AR5">
        <v>57812758</v>
      </c>
      <c r="AS5">
        <v>0</v>
      </c>
      <c r="AT5">
        <v>38540219</v>
      </c>
      <c r="AU5">
        <v>57812758</v>
      </c>
      <c r="AV5">
        <v>96352977</v>
      </c>
      <c r="AW5">
        <v>28.5276</v>
      </c>
      <c r="AX5">
        <v>15.2387</v>
      </c>
      <c r="AY5">
        <v>5274.36</v>
      </c>
      <c r="AZ5">
        <v>3627.64</v>
      </c>
      <c r="BA5">
        <v>2927</v>
      </c>
      <c r="BB5">
        <v>386</v>
      </c>
      <c r="BC5" t="str">
        <f t="shared" si="0"/>
        <v>u=40%, k=2x10^7</v>
      </c>
      <c r="BD5">
        <f t="shared" si="1"/>
        <v>8</v>
      </c>
    </row>
    <row r="6" spans="1:56">
      <c r="A6" t="s">
        <v>95</v>
      </c>
      <c r="B6" t="s">
        <v>63</v>
      </c>
      <c r="C6">
        <v>72</v>
      </c>
      <c r="D6" t="s">
        <v>64</v>
      </c>
      <c r="E6" t="s">
        <v>59</v>
      </c>
      <c r="F6" t="s">
        <v>60</v>
      </c>
      <c r="G6">
        <v>16000</v>
      </c>
      <c r="H6">
        <v>20</v>
      </c>
      <c r="I6">
        <v>20</v>
      </c>
      <c r="J6">
        <v>0</v>
      </c>
      <c r="K6">
        <v>1</v>
      </c>
      <c r="L6">
        <v>20000000</v>
      </c>
      <c r="M6">
        <v>190</v>
      </c>
      <c r="N6">
        <v>190</v>
      </c>
      <c r="O6">
        <v>190</v>
      </c>
      <c r="P6">
        <v>0</v>
      </c>
      <c r="Q6" t="s">
        <v>61</v>
      </c>
      <c r="R6">
        <v>99977363344333</v>
      </c>
      <c r="S6">
        <v>9997861</v>
      </c>
      <c r="T6">
        <v>99977363344333</v>
      </c>
      <c r="U6">
        <v>9997861</v>
      </c>
      <c r="V6" t="s">
        <v>71</v>
      </c>
      <c r="W6">
        <v>7</v>
      </c>
      <c r="X6">
        <v>1789929</v>
      </c>
      <c r="Y6">
        <v>11790761</v>
      </c>
      <c r="Z6">
        <v>13580690</v>
      </c>
      <c r="AA6">
        <v>9997861</v>
      </c>
      <c r="AB6">
        <v>7.5872799999999998</v>
      </c>
      <c r="AC6">
        <v>0.84794000000000003</v>
      </c>
      <c r="AD6">
        <v>1.7361800000000001</v>
      </c>
      <c r="AE6">
        <v>4.0329300000000003</v>
      </c>
      <c r="AF6">
        <v>331870288</v>
      </c>
      <c r="AG6" t="s">
        <v>96</v>
      </c>
      <c r="AH6" t="s">
        <v>97</v>
      </c>
      <c r="AI6">
        <v>1557639</v>
      </c>
      <c r="AJ6">
        <v>11846</v>
      </c>
      <c r="AM6">
        <v>927918603</v>
      </c>
      <c r="AN6">
        <v>0</v>
      </c>
      <c r="AO6">
        <v>618610027</v>
      </c>
      <c r="AP6">
        <v>927918603</v>
      </c>
      <c r="AQ6">
        <v>1546528630</v>
      </c>
      <c r="AR6">
        <v>57994912</v>
      </c>
      <c r="AS6">
        <v>0</v>
      </c>
      <c r="AT6">
        <v>38663126</v>
      </c>
      <c r="AU6">
        <v>57994912</v>
      </c>
      <c r="AV6">
        <v>96658039</v>
      </c>
      <c r="AW6">
        <v>28.596299999999999</v>
      </c>
      <c r="AX6">
        <v>15.284000000000001</v>
      </c>
      <c r="AY6">
        <v>5286.38</v>
      </c>
      <c r="AZ6">
        <v>3635.32</v>
      </c>
      <c r="BA6">
        <v>2929</v>
      </c>
      <c r="BB6">
        <v>378</v>
      </c>
      <c r="BC6" t="str">
        <f t="shared" si="0"/>
        <v>u=40%, k=2x10^7</v>
      </c>
      <c r="BD6">
        <f t="shared" si="1"/>
        <v>16</v>
      </c>
    </row>
    <row r="7" spans="1:56">
      <c r="A7" t="s">
        <v>98</v>
      </c>
      <c r="B7" t="s">
        <v>63</v>
      </c>
      <c r="C7">
        <v>72</v>
      </c>
      <c r="D7" t="s">
        <v>64</v>
      </c>
      <c r="E7" t="s">
        <v>59</v>
      </c>
      <c r="F7" t="s">
        <v>60</v>
      </c>
      <c r="G7">
        <v>32000</v>
      </c>
      <c r="H7">
        <v>20</v>
      </c>
      <c r="I7">
        <v>20</v>
      </c>
      <c r="J7">
        <v>0</v>
      </c>
      <c r="K7">
        <v>1</v>
      </c>
      <c r="L7">
        <v>20000000</v>
      </c>
      <c r="M7">
        <v>190</v>
      </c>
      <c r="N7">
        <v>190</v>
      </c>
      <c r="O7">
        <v>190</v>
      </c>
      <c r="P7">
        <v>0</v>
      </c>
      <c r="Q7" t="s">
        <v>61</v>
      </c>
      <c r="R7">
        <v>99972816447581</v>
      </c>
      <c r="S7">
        <v>9998815</v>
      </c>
      <c r="T7">
        <v>99972816447581</v>
      </c>
      <c r="U7">
        <v>9998815</v>
      </c>
      <c r="V7" t="s">
        <v>71</v>
      </c>
      <c r="W7">
        <v>7</v>
      </c>
      <c r="X7">
        <v>1887855</v>
      </c>
      <c r="Y7">
        <v>11995989</v>
      </c>
      <c r="Z7">
        <v>13883844</v>
      </c>
      <c r="AA7">
        <v>9998815</v>
      </c>
      <c r="AB7">
        <v>7.3543000000000003</v>
      </c>
      <c r="AC7">
        <v>0.83351299999999995</v>
      </c>
      <c r="AD7">
        <v>1.72018</v>
      </c>
      <c r="AE7">
        <v>4.0523899999999999</v>
      </c>
      <c r="AF7">
        <v>343001168</v>
      </c>
      <c r="AG7" t="s">
        <v>99</v>
      </c>
      <c r="AH7" t="s">
        <v>100</v>
      </c>
      <c r="AI7">
        <v>3126340</v>
      </c>
      <c r="AJ7">
        <v>23648</v>
      </c>
      <c r="AM7">
        <v>1856979707</v>
      </c>
      <c r="AN7">
        <v>0</v>
      </c>
      <c r="AO7">
        <v>1238006668</v>
      </c>
      <c r="AP7">
        <v>1856979707</v>
      </c>
      <c r="AQ7">
        <v>3094986375</v>
      </c>
      <c r="AR7">
        <v>58030615</v>
      </c>
      <c r="AS7">
        <v>0</v>
      </c>
      <c r="AT7">
        <v>38687708</v>
      </c>
      <c r="AU7">
        <v>58030615</v>
      </c>
      <c r="AV7">
        <v>96718324</v>
      </c>
      <c r="AW7">
        <v>28.6357</v>
      </c>
      <c r="AX7">
        <v>15.304600000000001</v>
      </c>
      <c r="AY7">
        <v>5297.81</v>
      </c>
      <c r="AZ7">
        <v>3651.56</v>
      </c>
      <c r="BA7">
        <v>2939</v>
      </c>
      <c r="BB7">
        <v>436</v>
      </c>
      <c r="BC7" t="str">
        <f t="shared" si="0"/>
        <v>u=40%, k=2x10^7</v>
      </c>
      <c r="BD7">
        <f t="shared" si="1"/>
        <v>32</v>
      </c>
    </row>
    <row r="8" spans="1:56">
      <c r="A8" t="s">
        <v>101</v>
      </c>
      <c r="B8" t="s">
        <v>63</v>
      </c>
      <c r="C8">
        <v>72</v>
      </c>
      <c r="D8" t="s">
        <v>64</v>
      </c>
      <c r="E8" t="s">
        <v>59</v>
      </c>
      <c r="F8" t="s">
        <v>60</v>
      </c>
      <c r="G8">
        <v>64000</v>
      </c>
      <c r="H8">
        <v>20</v>
      </c>
      <c r="I8">
        <v>20</v>
      </c>
      <c r="J8">
        <v>0</v>
      </c>
      <c r="K8">
        <v>1</v>
      </c>
      <c r="L8">
        <v>20000000</v>
      </c>
      <c r="M8">
        <v>190</v>
      </c>
      <c r="N8">
        <v>190</v>
      </c>
      <c r="O8">
        <v>190</v>
      </c>
      <c r="P8">
        <v>0</v>
      </c>
      <c r="Q8" t="s">
        <v>61</v>
      </c>
      <c r="R8">
        <v>99993133890336</v>
      </c>
      <c r="S8">
        <v>9999668</v>
      </c>
      <c r="T8">
        <v>99993133890336</v>
      </c>
      <c r="U8">
        <v>9999668</v>
      </c>
      <c r="V8" t="s">
        <v>71</v>
      </c>
      <c r="W8">
        <v>7</v>
      </c>
      <c r="X8">
        <v>1897634</v>
      </c>
      <c r="Y8">
        <v>12017128</v>
      </c>
      <c r="Z8">
        <v>13914762</v>
      </c>
      <c r="AA8">
        <v>9999668</v>
      </c>
      <c r="AB8">
        <v>7.3326900000000004</v>
      </c>
      <c r="AC8">
        <v>0.83211800000000002</v>
      </c>
      <c r="AD8">
        <v>1.7186399999999999</v>
      </c>
      <c r="AE8">
        <v>4.0542499999999997</v>
      </c>
      <c r="AF8">
        <v>344120176</v>
      </c>
      <c r="AG8" t="s">
        <v>102</v>
      </c>
      <c r="AH8" t="s">
        <v>103</v>
      </c>
      <c r="AI8">
        <v>6227875</v>
      </c>
      <c r="AJ8">
        <v>47284</v>
      </c>
      <c r="AM8">
        <v>3701441456</v>
      </c>
      <c r="AN8">
        <v>0</v>
      </c>
      <c r="AO8">
        <v>2467648164</v>
      </c>
      <c r="AP8">
        <v>3701441456</v>
      </c>
      <c r="AQ8">
        <v>6169089620</v>
      </c>
      <c r="AR8">
        <v>57835022</v>
      </c>
      <c r="AS8">
        <v>0</v>
      </c>
      <c r="AT8">
        <v>38557002</v>
      </c>
      <c r="AU8">
        <v>57835022</v>
      </c>
      <c r="AV8">
        <v>96392025</v>
      </c>
      <c r="AW8">
        <v>28.629799999999999</v>
      </c>
      <c r="AX8">
        <v>15.308199999999999</v>
      </c>
      <c r="AY8">
        <v>5321.82</v>
      </c>
      <c r="AZ8">
        <v>3666.44</v>
      </c>
      <c r="BA8">
        <v>2961</v>
      </c>
      <c r="BB8">
        <v>367</v>
      </c>
      <c r="BC8" t="str">
        <f t="shared" si="0"/>
        <v>u=40%, k=2x10^7</v>
      </c>
      <c r="BD8">
        <f t="shared" si="1"/>
        <v>64</v>
      </c>
    </row>
    <row r="9" spans="1:56">
      <c r="A9" t="s">
        <v>104</v>
      </c>
      <c r="B9" t="s">
        <v>105</v>
      </c>
      <c r="D9" t="s">
        <v>64</v>
      </c>
      <c r="E9" t="s">
        <v>59</v>
      </c>
      <c r="F9" t="s">
        <v>60</v>
      </c>
      <c r="G9">
        <v>1000</v>
      </c>
      <c r="H9">
        <v>20</v>
      </c>
      <c r="I9">
        <v>20</v>
      </c>
      <c r="J9">
        <v>0</v>
      </c>
      <c r="K9">
        <v>1</v>
      </c>
      <c r="L9">
        <v>20000000</v>
      </c>
      <c r="M9">
        <v>190</v>
      </c>
      <c r="N9">
        <v>190</v>
      </c>
      <c r="O9">
        <v>190</v>
      </c>
      <c r="P9">
        <v>0</v>
      </c>
      <c r="Q9" t="s">
        <v>61</v>
      </c>
      <c r="R9">
        <v>99976803464800</v>
      </c>
      <c r="S9">
        <v>9997576</v>
      </c>
      <c r="T9">
        <v>99976803464800</v>
      </c>
      <c r="U9">
        <v>9997576</v>
      </c>
      <c r="V9" t="s">
        <v>71</v>
      </c>
      <c r="W9">
        <v>29</v>
      </c>
      <c r="X9">
        <v>6695328</v>
      </c>
      <c r="Y9">
        <v>5072744</v>
      </c>
      <c r="Z9">
        <v>11768072</v>
      </c>
      <c r="AA9">
        <v>9997576</v>
      </c>
      <c r="AB9">
        <v>1.7576499999999999</v>
      </c>
      <c r="AC9">
        <v>1.9708399999999999</v>
      </c>
      <c r="AD9">
        <v>1.84955</v>
      </c>
      <c r="AE9">
        <v>23.1858</v>
      </c>
      <c r="AF9">
        <v>659012032</v>
      </c>
      <c r="AJ9" t="s">
        <v>106</v>
      </c>
      <c r="AM9">
        <v>57830389</v>
      </c>
      <c r="AN9">
        <v>0</v>
      </c>
      <c r="AO9">
        <v>38551503</v>
      </c>
      <c r="AP9">
        <v>57830389</v>
      </c>
      <c r="AQ9">
        <v>96381892</v>
      </c>
      <c r="AR9">
        <v>57830389</v>
      </c>
      <c r="AS9">
        <v>0</v>
      </c>
      <c r="AT9">
        <v>38551503</v>
      </c>
      <c r="AU9">
        <v>57830389</v>
      </c>
      <c r="AV9">
        <v>96381892</v>
      </c>
      <c r="AW9">
        <v>31.627500000000001</v>
      </c>
      <c r="AX9">
        <v>11.5001</v>
      </c>
      <c r="AY9">
        <v>5425.5</v>
      </c>
      <c r="AZ9">
        <v>3830.75</v>
      </c>
      <c r="BA9">
        <v>1953</v>
      </c>
      <c r="BB9">
        <v>438</v>
      </c>
      <c r="BC9" t="str">
        <f t="shared" si="0"/>
        <v>u=40%, k=2x10^7</v>
      </c>
      <c r="BD9">
        <f t="shared" si="1"/>
        <v>1</v>
      </c>
    </row>
    <row r="10" spans="1:56">
      <c r="A10" t="s">
        <v>107</v>
      </c>
      <c r="B10" t="s">
        <v>105</v>
      </c>
      <c r="D10" t="s">
        <v>64</v>
      </c>
      <c r="E10" t="s">
        <v>59</v>
      </c>
      <c r="F10" t="s">
        <v>60</v>
      </c>
      <c r="G10">
        <v>2000</v>
      </c>
      <c r="H10">
        <v>20</v>
      </c>
      <c r="I10">
        <v>20</v>
      </c>
      <c r="J10">
        <v>0</v>
      </c>
      <c r="K10">
        <v>1</v>
      </c>
      <c r="L10">
        <v>20000000</v>
      </c>
      <c r="M10">
        <v>190</v>
      </c>
      <c r="N10">
        <v>190</v>
      </c>
      <c r="O10">
        <v>190</v>
      </c>
      <c r="P10">
        <v>0</v>
      </c>
      <c r="Q10" t="s">
        <v>61</v>
      </c>
      <c r="R10">
        <v>100069101498184</v>
      </c>
      <c r="S10">
        <v>10006057</v>
      </c>
      <c r="T10">
        <v>100069101498184</v>
      </c>
      <c r="U10">
        <v>10006057</v>
      </c>
      <c r="V10" t="s">
        <v>71</v>
      </c>
      <c r="W10">
        <v>29</v>
      </c>
      <c r="X10">
        <v>6838399</v>
      </c>
      <c r="Y10">
        <v>5185720</v>
      </c>
      <c r="Z10">
        <v>12024119</v>
      </c>
      <c r="AA10">
        <v>10006057</v>
      </c>
      <c r="AB10">
        <v>1.7583200000000001</v>
      </c>
      <c r="AC10">
        <v>1.92954</v>
      </c>
      <c r="AD10">
        <v>1.8321700000000001</v>
      </c>
      <c r="AE10">
        <v>23.2559</v>
      </c>
      <c r="AF10">
        <v>673350664</v>
      </c>
      <c r="AJ10">
        <v>1296</v>
      </c>
      <c r="AM10">
        <v>115096921</v>
      </c>
      <c r="AN10">
        <v>0</v>
      </c>
      <c r="AO10">
        <v>76728499</v>
      </c>
      <c r="AP10">
        <v>115096921</v>
      </c>
      <c r="AQ10">
        <v>191825420</v>
      </c>
      <c r="AR10">
        <v>57548460</v>
      </c>
      <c r="AS10">
        <v>0</v>
      </c>
      <c r="AT10">
        <v>38364249</v>
      </c>
      <c r="AU10">
        <v>57548460</v>
      </c>
      <c r="AV10">
        <v>95912710</v>
      </c>
      <c r="AW10">
        <v>31.488199999999999</v>
      </c>
      <c r="AX10">
        <v>11.6419</v>
      </c>
      <c r="AY10">
        <v>5494.43</v>
      </c>
      <c r="AZ10">
        <v>3896.16</v>
      </c>
      <c r="BA10">
        <v>2059</v>
      </c>
      <c r="BB10">
        <v>434</v>
      </c>
      <c r="BC10" t="str">
        <f t="shared" si="0"/>
        <v>u=40%, k=2x10^7</v>
      </c>
      <c r="BD10">
        <f t="shared" si="1"/>
        <v>2</v>
      </c>
    </row>
    <row r="11" spans="1:56">
      <c r="A11" t="s">
        <v>108</v>
      </c>
      <c r="B11" t="s">
        <v>105</v>
      </c>
      <c r="D11" t="s">
        <v>64</v>
      </c>
      <c r="E11" t="s">
        <v>59</v>
      </c>
      <c r="F11" t="s">
        <v>60</v>
      </c>
      <c r="G11">
        <v>4000</v>
      </c>
      <c r="H11">
        <v>20</v>
      </c>
      <c r="I11">
        <v>20</v>
      </c>
      <c r="J11">
        <v>0</v>
      </c>
      <c r="K11">
        <v>1</v>
      </c>
      <c r="L11">
        <v>20000000</v>
      </c>
      <c r="M11">
        <v>190</v>
      </c>
      <c r="N11">
        <v>190</v>
      </c>
      <c r="O11">
        <v>190</v>
      </c>
      <c r="P11">
        <v>0</v>
      </c>
      <c r="Q11" t="s">
        <v>61</v>
      </c>
      <c r="R11">
        <v>100009682063206</v>
      </c>
      <c r="S11">
        <v>10000068</v>
      </c>
      <c r="T11">
        <v>100009682063206</v>
      </c>
      <c r="U11">
        <v>10000068</v>
      </c>
      <c r="V11" t="s">
        <v>71</v>
      </c>
      <c r="W11">
        <v>30</v>
      </c>
      <c r="X11">
        <v>6857918</v>
      </c>
      <c r="Y11">
        <v>5202884</v>
      </c>
      <c r="Z11">
        <v>12060802</v>
      </c>
      <c r="AA11">
        <v>10000068</v>
      </c>
      <c r="AB11">
        <v>1.75867</v>
      </c>
      <c r="AC11">
        <v>1.9220200000000001</v>
      </c>
      <c r="AD11">
        <v>1.82914</v>
      </c>
      <c r="AE11">
        <v>23.2879</v>
      </c>
      <c r="AF11">
        <v>675404912</v>
      </c>
      <c r="AJ11" t="s">
        <v>109</v>
      </c>
      <c r="AM11">
        <v>228400727</v>
      </c>
      <c r="AN11">
        <v>0</v>
      </c>
      <c r="AO11">
        <v>152243782</v>
      </c>
      <c r="AP11">
        <v>228400727</v>
      </c>
      <c r="AQ11">
        <v>380644509</v>
      </c>
      <c r="AR11">
        <v>57100181</v>
      </c>
      <c r="AS11">
        <v>0</v>
      </c>
      <c r="AT11">
        <v>38060945</v>
      </c>
      <c r="AU11">
        <v>57100181</v>
      </c>
      <c r="AV11">
        <v>95161127</v>
      </c>
      <c r="AW11">
        <v>31.967400000000001</v>
      </c>
      <c r="AX11">
        <v>11.7797</v>
      </c>
      <c r="AY11">
        <v>5543.82</v>
      </c>
      <c r="AZ11">
        <v>3953.54</v>
      </c>
      <c r="BA11">
        <v>2194</v>
      </c>
      <c r="BB11">
        <v>422</v>
      </c>
      <c r="BC11" t="str">
        <f t="shared" si="0"/>
        <v>u=40%, k=2x10^7</v>
      </c>
      <c r="BD11">
        <f t="shared" si="1"/>
        <v>4</v>
      </c>
    </row>
    <row r="12" spans="1:56">
      <c r="A12" t="s">
        <v>110</v>
      </c>
      <c r="B12" t="s">
        <v>105</v>
      </c>
      <c r="D12" t="s">
        <v>64</v>
      </c>
      <c r="E12" t="s">
        <v>59</v>
      </c>
      <c r="F12" t="s">
        <v>60</v>
      </c>
      <c r="G12">
        <v>8000</v>
      </c>
      <c r="H12">
        <v>20</v>
      </c>
      <c r="I12">
        <v>20</v>
      </c>
      <c r="J12">
        <v>0</v>
      </c>
      <c r="K12">
        <v>1</v>
      </c>
      <c r="L12">
        <v>20000000</v>
      </c>
      <c r="M12">
        <v>190</v>
      </c>
      <c r="N12">
        <v>190</v>
      </c>
      <c r="O12">
        <v>190</v>
      </c>
      <c r="P12">
        <v>0</v>
      </c>
      <c r="Q12" t="s">
        <v>61</v>
      </c>
      <c r="R12">
        <v>100015141549283</v>
      </c>
      <c r="S12">
        <v>10000185</v>
      </c>
      <c r="T12">
        <v>100015141549283</v>
      </c>
      <c r="U12">
        <v>10000185</v>
      </c>
      <c r="V12" t="s">
        <v>71</v>
      </c>
      <c r="W12">
        <v>29</v>
      </c>
      <c r="X12">
        <v>6857058</v>
      </c>
      <c r="Y12">
        <v>5201397</v>
      </c>
      <c r="Z12">
        <v>12058455</v>
      </c>
      <c r="AA12">
        <v>10000185</v>
      </c>
      <c r="AB12">
        <v>1.7585500000000001</v>
      </c>
      <c r="AC12">
        <v>1.9226000000000001</v>
      </c>
      <c r="AD12">
        <v>1.82931</v>
      </c>
      <c r="AE12">
        <v>23.2834</v>
      </c>
      <c r="AF12">
        <v>675273480</v>
      </c>
      <c r="AJ12">
        <v>4602</v>
      </c>
      <c r="AM12">
        <v>448573162</v>
      </c>
      <c r="AN12">
        <v>0</v>
      </c>
      <c r="AO12">
        <v>299041313</v>
      </c>
      <c r="AP12">
        <v>448573162</v>
      </c>
      <c r="AQ12">
        <v>747614475</v>
      </c>
      <c r="AR12">
        <v>56071645</v>
      </c>
      <c r="AS12">
        <v>0</v>
      </c>
      <c r="AT12">
        <v>37380164</v>
      </c>
      <c r="AU12">
        <v>56071645</v>
      </c>
      <c r="AV12">
        <v>93451809</v>
      </c>
      <c r="AW12">
        <v>32.044400000000003</v>
      </c>
      <c r="AX12">
        <v>11.947900000000001</v>
      </c>
      <c r="AY12">
        <v>5648.91</v>
      </c>
      <c r="AZ12">
        <v>4029.1</v>
      </c>
      <c r="BA12">
        <v>2341</v>
      </c>
      <c r="BB12">
        <v>442</v>
      </c>
      <c r="BC12" t="str">
        <f t="shared" si="0"/>
        <v>u=40%, k=2x10^7</v>
      </c>
      <c r="BD12">
        <f t="shared" si="1"/>
        <v>8</v>
      </c>
    </row>
    <row r="13" spans="1:56">
      <c r="A13" t="s">
        <v>111</v>
      </c>
      <c r="B13" t="s">
        <v>105</v>
      </c>
      <c r="D13" t="s">
        <v>64</v>
      </c>
      <c r="E13" t="s">
        <v>59</v>
      </c>
      <c r="F13" t="s">
        <v>60</v>
      </c>
      <c r="G13">
        <v>16000</v>
      </c>
      <c r="H13">
        <v>20</v>
      </c>
      <c r="I13">
        <v>20</v>
      </c>
      <c r="J13">
        <v>0</v>
      </c>
      <c r="K13">
        <v>1</v>
      </c>
      <c r="L13">
        <v>20000000</v>
      </c>
      <c r="M13">
        <v>190</v>
      </c>
      <c r="N13">
        <v>190</v>
      </c>
      <c r="O13">
        <v>190</v>
      </c>
      <c r="P13">
        <v>0</v>
      </c>
      <c r="Q13" t="s">
        <v>61</v>
      </c>
      <c r="R13">
        <v>99995929172155</v>
      </c>
      <c r="S13">
        <v>10001156</v>
      </c>
      <c r="T13">
        <v>99995929172155</v>
      </c>
      <c r="U13">
        <v>10001156</v>
      </c>
      <c r="V13" t="s">
        <v>71</v>
      </c>
      <c r="W13">
        <v>29</v>
      </c>
      <c r="X13">
        <v>6858235</v>
      </c>
      <c r="Y13">
        <v>5203496</v>
      </c>
      <c r="Z13">
        <v>12061731</v>
      </c>
      <c r="AA13">
        <v>10001156</v>
      </c>
      <c r="AB13">
        <v>1.7587200000000001</v>
      </c>
      <c r="AC13">
        <v>1.92201</v>
      </c>
      <c r="AD13">
        <v>1.8291599999999999</v>
      </c>
      <c r="AE13">
        <v>23.230899999999998</v>
      </c>
      <c r="AF13">
        <v>675456936</v>
      </c>
      <c r="AJ13">
        <v>8926</v>
      </c>
      <c r="AM13">
        <v>885312908</v>
      </c>
      <c r="AN13">
        <v>0</v>
      </c>
      <c r="AO13">
        <v>590214101</v>
      </c>
      <c r="AP13">
        <v>885312908</v>
      </c>
      <c r="AQ13">
        <v>1475527009</v>
      </c>
      <c r="AR13">
        <v>55332056</v>
      </c>
      <c r="AS13">
        <v>0</v>
      </c>
      <c r="AT13">
        <v>36888381</v>
      </c>
      <c r="AU13">
        <v>55332056</v>
      </c>
      <c r="AV13">
        <v>92220438</v>
      </c>
      <c r="AW13">
        <v>32.392800000000001</v>
      </c>
      <c r="AX13">
        <v>12.124599999999999</v>
      </c>
      <c r="AY13">
        <v>5722.18</v>
      </c>
      <c r="AZ13">
        <v>4085.58</v>
      </c>
      <c r="BA13">
        <v>2455</v>
      </c>
      <c r="BB13">
        <v>435</v>
      </c>
      <c r="BC13" t="str">
        <f t="shared" si="0"/>
        <v>u=40%, k=2x10^7</v>
      </c>
      <c r="BD13">
        <f t="shared" si="1"/>
        <v>16</v>
      </c>
    </row>
    <row r="14" spans="1:56">
      <c r="A14" t="s">
        <v>112</v>
      </c>
      <c r="B14" t="s">
        <v>105</v>
      </c>
      <c r="D14" t="s">
        <v>64</v>
      </c>
      <c r="E14" t="s">
        <v>59</v>
      </c>
      <c r="F14" t="s">
        <v>60</v>
      </c>
      <c r="G14">
        <v>32000</v>
      </c>
      <c r="H14">
        <v>20</v>
      </c>
      <c r="I14">
        <v>20</v>
      </c>
      <c r="J14">
        <v>0</v>
      </c>
      <c r="K14">
        <v>1</v>
      </c>
      <c r="L14">
        <v>20000000</v>
      </c>
      <c r="M14">
        <v>190</v>
      </c>
      <c r="N14">
        <v>190</v>
      </c>
      <c r="O14">
        <v>190</v>
      </c>
      <c r="P14">
        <v>0</v>
      </c>
      <c r="Q14" t="s">
        <v>61</v>
      </c>
      <c r="R14">
        <v>99980713773591</v>
      </c>
      <c r="S14">
        <v>9998252</v>
      </c>
      <c r="T14">
        <v>99980713773591</v>
      </c>
      <c r="U14">
        <v>9998252</v>
      </c>
      <c r="V14" t="s">
        <v>71</v>
      </c>
      <c r="W14">
        <v>29</v>
      </c>
      <c r="X14">
        <v>6856128</v>
      </c>
      <c r="Y14">
        <v>5201930</v>
      </c>
      <c r="Z14">
        <v>12058058</v>
      </c>
      <c r="AA14">
        <v>9998252</v>
      </c>
      <c r="AB14">
        <v>1.7587299999999999</v>
      </c>
      <c r="AC14">
        <v>1.9220299999999999</v>
      </c>
      <c r="AD14">
        <v>1.82918</v>
      </c>
      <c r="AE14">
        <v>23.297000000000001</v>
      </c>
      <c r="AF14">
        <v>675251248</v>
      </c>
      <c r="AJ14" t="s">
        <v>113</v>
      </c>
      <c r="AM14">
        <v>1757849489</v>
      </c>
      <c r="AN14">
        <v>0</v>
      </c>
      <c r="AO14">
        <v>1171834955</v>
      </c>
      <c r="AP14">
        <v>1757849489</v>
      </c>
      <c r="AQ14">
        <v>2929684444</v>
      </c>
      <c r="AR14">
        <v>54932796</v>
      </c>
      <c r="AS14">
        <v>0</v>
      </c>
      <c r="AT14">
        <v>36619842</v>
      </c>
      <c r="AU14">
        <v>54932796</v>
      </c>
      <c r="AV14">
        <v>91552638</v>
      </c>
      <c r="AW14">
        <v>32.777200000000001</v>
      </c>
      <c r="AX14">
        <v>12.305199999999999</v>
      </c>
      <c r="AY14">
        <v>5768.61</v>
      </c>
      <c r="AZ14">
        <v>4156.05</v>
      </c>
      <c r="BA14">
        <v>2512</v>
      </c>
      <c r="BB14">
        <v>429</v>
      </c>
      <c r="BC14" t="str">
        <f t="shared" si="0"/>
        <v>u=40%, k=2x10^7</v>
      </c>
      <c r="BD14">
        <f t="shared" si="1"/>
        <v>32</v>
      </c>
    </row>
    <row r="15" spans="1:56">
      <c r="A15" t="s">
        <v>114</v>
      </c>
      <c r="B15" t="s">
        <v>105</v>
      </c>
      <c r="D15" t="s">
        <v>64</v>
      </c>
      <c r="E15" t="s">
        <v>59</v>
      </c>
      <c r="F15" t="s">
        <v>60</v>
      </c>
      <c r="G15">
        <v>64000</v>
      </c>
      <c r="H15">
        <v>20</v>
      </c>
      <c r="I15">
        <v>20</v>
      </c>
      <c r="J15">
        <v>0</v>
      </c>
      <c r="K15">
        <v>1</v>
      </c>
      <c r="L15">
        <v>20000000</v>
      </c>
      <c r="M15">
        <v>190</v>
      </c>
      <c r="N15">
        <v>190</v>
      </c>
      <c r="O15">
        <v>190</v>
      </c>
      <c r="P15">
        <v>0</v>
      </c>
      <c r="Q15" t="s">
        <v>61</v>
      </c>
      <c r="R15">
        <v>99988174846441</v>
      </c>
      <c r="S15">
        <v>10000268</v>
      </c>
      <c r="T15">
        <v>99988174846441</v>
      </c>
      <c r="U15">
        <v>10000268</v>
      </c>
      <c r="V15" t="s">
        <v>71</v>
      </c>
      <c r="W15">
        <v>29</v>
      </c>
      <c r="X15">
        <v>6857697</v>
      </c>
      <c r="Y15">
        <v>5202296</v>
      </c>
      <c r="Z15">
        <v>12059993</v>
      </c>
      <c r="AA15">
        <v>10000268</v>
      </c>
      <c r="AB15">
        <v>1.75861</v>
      </c>
      <c r="AC15">
        <v>1.92228</v>
      </c>
      <c r="AD15">
        <v>1.82921</v>
      </c>
      <c r="AE15">
        <v>23.1831</v>
      </c>
      <c r="AF15">
        <v>675359608</v>
      </c>
      <c r="AJ15" t="s">
        <v>115</v>
      </c>
      <c r="AM15">
        <v>3477077642</v>
      </c>
      <c r="AN15">
        <v>0</v>
      </c>
      <c r="AO15">
        <v>2318070958</v>
      </c>
      <c r="AP15">
        <v>3477077642</v>
      </c>
      <c r="AQ15">
        <v>5795148600</v>
      </c>
      <c r="AR15">
        <v>54329338</v>
      </c>
      <c r="AS15">
        <v>0</v>
      </c>
      <c r="AT15">
        <v>36219858</v>
      </c>
      <c r="AU15">
        <v>54329338</v>
      </c>
      <c r="AV15">
        <v>90549196</v>
      </c>
      <c r="AW15">
        <v>33.140500000000003</v>
      </c>
      <c r="AX15">
        <v>12.439</v>
      </c>
      <c r="AY15">
        <v>5831.2</v>
      </c>
      <c r="AZ15">
        <v>4172.25</v>
      </c>
      <c r="BA15">
        <v>2531</v>
      </c>
      <c r="BB15">
        <v>440</v>
      </c>
      <c r="BC15" t="str">
        <f t="shared" si="0"/>
        <v>u=40%, k=2x10^7</v>
      </c>
      <c r="BD15">
        <f t="shared" si="1"/>
        <v>64</v>
      </c>
    </row>
    <row r="16" spans="1:56">
      <c r="A16" t="s">
        <v>116</v>
      </c>
      <c r="B16" t="s">
        <v>63</v>
      </c>
      <c r="C16">
        <v>72</v>
      </c>
      <c r="D16" t="s">
        <v>64</v>
      </c>
      <c r="E16" t="s">
        <v>59</v>
      </c>
      <c r="F16" t="s">
        <v>60</v>
      </c>
      <c r="G16">
        <v>1000</v>
      </c>
      <c r="H16">
        <v>0.5</v>
      </c>
      <c r="I16">
        <v>0.5</v>
      </c>
      <c r="J16">
        <v>0</v>
      </c>
      <c r="K16">
        <v>1</v>
      </c>
      <c r="L16">
        <v>20000000</v>
      </c>
      <c r="M16">
        <v>190</v>
      </c>
      <c r="N16">
        <v>190</v>
      </c>
      <c r="O16">
        <v>190</v>
      </c>
      <c r="P16">
        <v>0</v>
      </c>
      <c r="Q16" t="s">
        <v>61</v>
      </c>
      <c r="R16">
        <v>100004450361732</v>
      </c>
      <c r="S16">
        <v>9998713</v>
      </c>
      <c r="T16">
        <v>100004450361732</v>
      </c>
      <c r="U16">
        <v>9998713</v>
      </c>
      <c r="V16" t="s">
        <v>71</v>
      </c>
      <c r="W16">
        <v>7</v>
      </c>
      <c r="X16">
        <v>1901877</v>
      </c>
      <c r="Y16">
        <v>12022433</v>
      </c>
      <c r="Z16">
        <v>13924310</v>
      </c>
      <c r="AA16">
        <v>9998713</v>
      </c>
      <c r="AB16">
        <v>7.3213499999999998</v>
      </c>
      <c r="AC16">
        <v>0.83167100000000005</v>
      </c>
      <c r="AD16">
        <v>1.7180800000000001</v>
      </c>
      <c r="AE16">
        <v>4.0552599999999996</v>
      </c>
      <c r="AF16">
        <v>344541312</v>
      </c>
      <c r="AG16" t="s">
        <v>117</v>
      </c>
      <c r="AH16" t="s">
        <v>117</v>
      </c>
      <c r="AI16">
        <v>11</v>
      </c>
      <c r="AJ16">
        <v>1670</v>
      </c>
      <c r="AM16">
        <v>264492865</v>
      </c>
      <c r="AN16">
        <v>0</v>
      </c>
      <c r="AO16">
        <v>2670296</v>
      </c>
      <c r="AP16">
        <v>264492865</v>
      </c>
      <c r="AQ16">
        <v>267163161</v>
      </c>
      <c r="AR16">
        <v>264492865</v>
      </c>
      <c r="AS16">
        <v>0</v>
      </c>
      <c r="AT16">
        <v>2670296</v>
      </c>
      <c r="AU16">
        <v>264492865</v>
      </c>
      <c r="AV16">
        <v>267163161</v>
      </c>
      <c r="AW16">
        <v>15.9283</v>
      </c>
      <c r="AX16">
        <v>6.4747199999999996</v>
      </c>
      <c r="AY16">
        <v>1977.15</v>
      </c>
      <c r="AZ16">
        <v>1210.42</v>
      </c>
      <c r="BA16">
        <v>1915</v>
      </c>
      <c r="BB16">
        <v>365</v>
      </c>
      <c r="BC16" t="str">
        <f t="shared" si="0"/>
        <v>u=1%, k=2x10^7</v>
      </c>
      <c r="BD16">
        <f t="shared" si="1"/>
        <v>1</v>
      </c>
    </row>
    <row r="17" spans="1:56">
      <c r="A17" t="s">
        <v>118</v>
      </c>
      <c r="B17" t="s">
        <v>63</v>
      </c>
      <c r="C17">
        <v>72</v>
      </c>
      <c r="D17" t="s">
        <v>64</v>
      </c>
      <c r="E17" t="s">
        <v>59</v>
      </c>
      <c r="F17" t="s">
        <v>60</v>
      </c>
      <c r="G17">
        <v>2000</v>
      </c>
      <c r="H17">
        <v>0.5</v>
      </c>
      <c r="I17">
        <v>0.5</v>
      </c>
      <c r="J17">
        <v>0</v>
      </c>
      <c r="K17">
        <v>1</v>
      </c>
      <c r="L17">
        <v>20000000</v>
      </c>
      <c r="M17">
        <v>190</v>
      </c>
      <c r="N17">
        <v>190</v>
      </c>
      <c r="O17">
        <v>190</v>
      </c>
      <c r="P17">
        <v>0</v>
      </c>
      <c r="Q17" t="s">
        <v>61</v>
      </c>
      <c r="R17">
        <v>100008572143870</v>
      </c>
      <c r="S17">
        <v>10001237</v>
      </c>
      <c r="T17">
        <v>100008572143870</v>
      </c>
      <c r="U17">
        <v>10001237</v>
      </c>
      <c r="V17" t="s">
        <v>71</v>
      </c>
      <c r="W17">
        <v>7</v>
      </c>
      <c r="X17">
        <v>1646770</v>
      </c>
      <c r="Y17">
        <v>11485757</v>
      </c>
      <c r="Z17">
        <v>13132527</v>
      </c>
      <c r="AA17">
        <v>10001237</v>
      </c>
      <c r="AB17">
        <v>7.9747199999999996</v>
      </c>
      <c r="AC17">
        <v>0.87075100000000005</v>
      </c>
      <c r="AD17">
        <v>1.76156</v>
      </c>
      <c r="AE17">
        <v>4.0042</v>
      </c>
      <c r="AF17">
        <v>315513696</v>
      </c>
      <c r="AG17" t="s">
        <v>119</v>
      </c>
      <c r="AH17" t="s">
        <v>120</v>
      </c>
      <c r="AI17">
        <v>2212</v>
      </c>
      <c r="AJ17">
        <v>3140</v>
      </c>
      <c r="AM17">
        <v>503772496</v>
      </c>
      <c r="AN17">
        <v>0</v>
      </c>
      <c r="AO17">
        <v>5088744</v>
      </c>
      <c r="AP17">
        <v>503772496</v>
      </c>
      <c r="AQ17">
        <v>508861240</v>
      </c>
      <c r="AR17">
        <v>251886248</v>
      </c>
      <c r="AS17">
        <v>0</v>
      </c>
      <c r="AT17">
        <v>2544372</v>
      </c>
      <c r="AU17">
        <v>251886248</v>
      </c>
      <c r="AV17">
        <v>254430620</v>
      </c>
      <c r="AW17">
        <v>16.213200000000001</v>
      </c>
      <c r="AX17">
        <v>6.5886699999999996</v>
      </c>
      <c r="AY17">
        <v>2021.61</v>
      </c>
      <c r="AZ17">
        <v>1261.5</v>
      </c>
      <c r="BA17">
        <v>2600</v>
      </c>
      <c r="BB17">
        <v>358</v>
      </c>
      <c r="BC17" t="str">
        <f t="shared" si="0"/>
        <v>u=1%, k=2x10^7</v>
      </c>
      <c r="BD17">
        <f t="shared" si="1"/>
        <v>2</v>
      </c>
    </row>
    <row r="18" spans="1:56">
      <c r="A18" t="s">
        <v>121</v>
      </c>
      <c r="B18" t="s">
        <v>63</v>
      </c>
      <c r="C18">
        <v>72</v>
      </c>
      <c r="D18" t="s">
        <v>64</v>
      </c>
      <c r="E18" t="s">
        <v>59</v>
      </c>
      <c r="F18" t="s">
        <v>60</v>
      </c>
      <c r="G18">
        <v>4000</v>
      </c>
      <c r="H18">
        <v>0.5</v>
      </c>
      <c r="I18">
        <v>0.5</v>
      </c>
      <c r="J18">
        <v>0</v>
      </c>
      <c r="K18">
        <v>1</v>
      </c>
      <c r="L18">
        <v>20000000</v>
      </c>
      <c r="M18">
        <v>190</v>
      </c>
      <c r="N18">
        <v>190</v>
      </c>
      <c r="O18">
        <v>190</v>
      </c>
      <c r="P18">
        <v>0</v>
      </c>
      <c r="Q18" t="s">
        <v>61</v>
      </c>
      <c r="R18">
        <v>99999214876747</v>
      </c>
      <c r="S18">
        <v>10000194</v>
      </c>
      <c r="T18">
        <v>99999214876747</v>
      </c>
      <c r="U18">
        <v>10000194</v>
      </c>
      <c r="V18" t="s">
        <v>71</v>
      </c>
      <c r="W18">
        <v>7</v>
      </c>
      <c r="X18">
        <v>1625831</v>
      </c>
      <c r="Y18">
        <v>11442616</v>
      </c>
      <c r="Z18">
        <v>13068447</v>
      </c>
      <c r="AA18">
        <v>10000194</v>
      </c>
      <c r="AB18">
        <v>8.0380099999999999</v>
      </c>
      <c r="AC18">
        <v>0.87394300000000003</v>
      </c>
      <c r="AD18">
        <v>1.76522</v>
      </c>
      <c r="AE18">
        <v>4.0000099999999996</v>
      </c>
      <c r="AF18">
        <v>313148320</v>
      </c>
      <c r="AG18" t="s">
        <v>122</v>
      </c>
      <c r="AH18" t="s">
        <v>123</v>
      </c>
      <c r="AI18">
        <v>5168</v>
      </c>
      <c r="AJ18">
        <v>6144</v>
      </c>
      <c r="AM18">
        <v>989203389</v>
      </c>
      <c r="AN18">
        <v>0</v>
      </c>
      <c r="AO18">
        <v>9995530</v>
      </c>
      <c r="AP18">
        <v>989203389</v>
      </c>
      <c r="AQ18">
        <v>999198919</v>
      </c>
      <c r="AR18">
        <v>247300847</v>
      </c>
      <c r="AS18">
        <v>0</v>
      </c>
      <c r="AT18">
        <v>2498882</v>
      </c>
      <c r="AU18">
        <v>247300847</v>
      </c>
      <c r="AV18">
        <v>249799729</v>
      </c>
      <c r="AW18">
        <v>16.273199999999999</v>
      </c>
      <c r="AX18">
        <v>6.6117600000000003</v>
      </c>
      <c r="AY18">
        <v>2068.69</v>
      </c>
      <c r="AZ18">
        <v>1301.05</v>
      </c>
      <c r="BA18">
        <v>2735</v>
      </c>
      <c r="BB18">
        <v>412</v>
      </c>
      <c r="BC18" t="str">
        <f t="shared" si="0"/>
        <v>u=1%, k=2x10^7</v>
      </c>
      <c r="BD18">
        <f t="shared" si="1"/>
        <v>4</v>
      </c>
    </row>
    <row r="19" spans="1:56">
      <c r="A19" t="s">
        <v>124</v>
      </c>
      <c r="B19" t="s">
        <v>63</v>
      </c>
      <c r="C19">
        <v>72</v>
      </c>
      <c r="D19" t="s">
        <v>64</v>
      </c>
      <c r="E19" t="s">
        <v>59</v>
      </c>
      <c r="F19" t="s">
        <v>60</v>
      </c>
      <c r="G19">
        <v>8000</v>
      </c>
      <c r="H19">
        <v>0.5</v>
      </c>
      <c r="I19">
        <v>0.5</v>
      </c>
      <c r="J19">
        <v>0</v>
      </c>
      <c r="K19">
        <v>1</v>
      </c>
      <c r="L19">
        <v>20000000</v>
      </c>
      <c r="M19">
        <v>190</v>
      </c>
      <c r="N19">
        <v>190</v>
      </c>
      <c r="O19">
        <v>190</v>
      </c>
      <c r="P19">
        <v>0</v>
      </c>
      <c r="Q19" t="s">
        <v>61</v>
      </c>
      <c r="R19">
        <v>99967026804737</v>
      </c>
      <c r="S19">
        <v>9996811</v>
      </c>
      <c r="T19">
        <v>99967026804737</v>
      </c>
      <c r="U19">
        <v>9996811</v>
      </c>
      <c r="V19" t="s">
        <v>71</v>
      </c>
      <c r="W19">
        <v>7</v>
      </c>
      <c r="X19">
        <v>1655378</v>
      </c>
      <c r="Y19">
        <v>11499042</v>
      </c>
      <c r="Z19">
        <v>13154420</v>
      </c>
      <c r="AA19">
        <v>9996811</v>
      </c>
      <c r="AB19">
        <v>7.9464800000000002</v>
      </c>
      <c r="AC19">
        <v>0.86936000000000002</v>
      </c>
      <c r="AD19">
        <v>1.75996</v>
      </c>
      <c r="AE19">
        <v>4.0060200000000004</v>
      </c>
      <c r="AF19">
        <v>316414928</v>
      </c>
      <c r="AG19" t="s">
        <v>125</v>
      </c>
      <c r="AH19" t="s">
        <v>126</v>
      </c>
      <c r="AI19">
        <v>9778</v>
      </c>
      <c r="AJ19">
        <v>12522</v>
      </c>
      <c r="AM19">
        <v>1992378457</v>
      </c>
      <c r="AN19">
        <v>0</v>
      </c>
      <c r="AO19">
        <v>20119981</v>
      </c>
      <c r="AP19">
        <v>1992378457</v>
      </c>
      <c r="AQ19">
        <v>2012498438</v>
      </c>
      <c r="AR19">
        <v>249047307</v>
      </c>
      <c r="AS19">
        <v>0</v>
      </c>
      <c r="AT19">
        <v>2514997</v>
      </c>
      <c r="AU19">
        <v>249047307</v>
      </c>
      <c r="AV19">
        <v>251562304</v>
      </c>
      <c r="AW19">
        <v>16.297699999999999</v>
      </c>
      <c r="AX19">
        <v>6.6344099999999999</v>
      </c>
      <c r="AY19">
        <v>2064.88</v>
      </c>
      <c r="AZ19">
        <v>1285.77</v>
      </c>
      <c r="BA19">
        <v>2783</v>
      </c>
      <c r="BB19">
        <v>399</v>
      </c>
      <c r="BC19" t="str">
        <f t="shared" si="0"/>
        <v>u=1%, k=2x10^7</v>
      </c>
      <c r="BD19">
        <f t="shared" si="1"/>
        <v>8</v>
      </c>
    </row>
    <row r="20" spans="1:56">
      <c r="A20" t="s">
        <v>127</v>
      </c>
      <c r="B20" t="s">
        <v>63</v>
      </c>
      <c r="C20">
        <v>72</v>
      </c>
      <c r="D20" t="s">
        <v>64</v>
      </c>
      <c r="E20" t="s">
        <v>59</v>
      </c>
      <c r="F20" t="s">
        <v>60</v>
      </c>
      <c r="G20">
        <v>16000</v>
      </c>
      <c r="H20">
        <v>0.5</v>
      </c>
      <c r="I20">
        <v>0.5</v>
      </c>
      <c r="J20">
        <v>0</v>
      </c>
      <c r="K20">
        <v>1</v>
      </c>
      <c r="L20">
        <v>20000000</v>
      </c>
      <c r="M20">
        <v>190</v>
      </c>
      <c r="N20">
        <v>190</v>
      </c>
      <c r="O20">
        <v>190</v>
      </c>
      <c r="P20">
        <v>0</v>
      </c>
      <c r="Q20" t="s">
        <v>61</v>
      </c>
      <c r="R20">
        <v>100022778580258</v>
      </c>
      <c r="S20">
        <v>10003354</v>
      </c>
      <c r="T20">
        <v>100022778580258</v>
      </c>
      <c r="U20">
        <v>10003354</v>
      </c>
      <c r="V20" t="s">
        <v>71</v>
      </c>
      <c r="W20">
        <v>7</v>
      </c>
      <c r="X20">
        <v>1642730</v>
      </c>
      <c r="Y20">
        <v>11479716</v>
      </c>
      <c r="Z20">
        <v>13122446</v>
      </c>
      <c r="AA20">
        <v>10003354</v>
      </c>
      <c r="AB20">
        <v>7.9881900000000003</v>
      </c>
      <c r="AC20">
        <v>0.871394</v>
      </c>
      <c r="AD20">
        <v>1.76231</v>
      </c>
      <c r="AE20">
        <v>4.0033899999999996</v>
      </c>
      <c r="AF20">
        <v>315093840</v>
      </c>
      <c r="AG20" t="s">
        <v>128</v>
      </c>
      <c r="AH20" t="s">
        <v>129</v>
      </c>
      <c r="AI20">
        <v>19652</v>
      </c>
      <c r="AJ20">
        <v>24646</v>
      </c>
      <c r="AM20">
        <v>3965613755</v>
      </c>
      <c r="AN20">
        <v>0</v>
      </c>
      <c r="AO20">
        <v>40061871</v>
      </c>
      <c r="AP20">
        <v>3965613755</v>
      </c>
      <c r="AQ20">
        <v>4005675626</v>
      </c>
      <c r="AR20">
        <v>247850859</v>
      </c>
      <c r="AS20">
        <v>0</v>
      </c>
      <c r="AT20">
        <v>2503866</v>
      </c>
      <c r="AU20">
        <v>247850859</v>
      </c>
      <c r="AV20">
        <v>250354726</v>
      </c>
      <c r="AW20">
        <v>16.331099999999999</v>
      </c>
      <c r="AX20">
        <v>6.64954</v>
      </c>
      <c r="AY20">
        <v>2082.58</v>
      </c>
      <c r="AZ20">
        <v>1308.67</v>
      </c>
      <c r="BA20">
        <v>2770</v>
      </c>
      <c r="BB20">
        <v>413</v>
      </c>
      <c r="BC20" t="str">
        <f t="shared" si="0"/>
        <v>u=1%, k=2x10^7</v>
      </c>
      <c r="BD20">
        <f t="shared" si="1"/>
        <v>16</v>
      </c>
    </row>
    <row r="21" spans="1:56">
      <c r="A21" t="s">
        <v>130</v>
      </c>
      <c r="B21" t="s">
        <v>63</v>
      </c>
      <c r="C21">
        <v>72</v>
      </c>
      <c r="D21" t="s">
        <v>64</v>
      </c>
      <c r="E21" t="s">
        <v>59</v>
      </c>
      <c r="F21" t="s">
        <v>60</v>
      </c>
      <c r="G21">
        <v>32000</v>
      </c>
      <c r="H21">
        <v>0.5</v>
      </c>
      <c r="I21">
        <v>0.5</v>
      </c>
      <c r="J21">
        <v>0</v>
      </c>
      <c r="K21">
        <v>1</v>
      </c>
      <c r="L21">
        <v>20000000</v>
      </c>
      <c r="M21">
        <v>190</v>
      </c>
      <c r="N21">
        <v>190</v>
      </c>
      <c r="O21">
        <v>190</v>
      </c>
      <c r="P21">
        <v>0</v>
      </c>
      <c r="Q21" t="s">
        <v>61</v>
      </c>
      <c r="R21">
        <v>100003122963526</v>
      </c>
      <c r="S21">
        <v>9999658</v>
      </c>
      <c r="T21">
        <v>100003122963526</v>
      </c>
      <c r="U21">
        <v>9999658</v>
      </c>
      <c r="V21" t="s">
        <v>71</v>
      </c>
      <c r="W21">
        <v>7</v>
      </c>
      <c r="X21">
        <v>1629368</v>
      </c>
      <c r="Y21">
        <v>11449239</v>
      </c>
      <c r="Z21">
        <v>13078607</v>
      </c>
      <c r="AA21">
        <v>9999658</v>
      </c>
      <c r="AB21">
        <v>8.0267999999999997</v>
      </c>
      <c r="AC21">
        <v>0.87339100000000003</v>
      </c>
      <c r="AD21">
        <v>1.76458</v>
      </c>
      <c r="AE21">
        <v>4.0007200000000003</v>
      </c>
      <c r="AF21">
        <v>313537248</v>
      </c>
      <c r="AG21" t="s">
        <v>131</v>
      </c>
      <c r="AH21" t="s">
        <v>132</v>
      </c>
      <c r="AI21">
        <v>38110</v>
      </c>
      <c r="AJ21">
        <v>49220</v>
      </c>
      <c r="AM21">
        <v>7922095330</v>
      </c>
      <c r="AN21">
        <v>0</v>
      </c>
      <c r="AO21">
        <v>80013042</v>
      </c>
      <c r="AP21">
        <v>7922095330</v>
      </c>
      <c r="AQ21">
        <v>8002108372</v>
      </c>
      <c r="AR21">
        <v>247565479</v>
      </c>
      <c r="AS21">
        <v>0</v>
      </c>
      <c r="AT21">
        <v>2500407</v>
      </c>
      <c r="AU21">
        <v>247565479</v>
      </c>
      <c r="AV21">
        <v>250065886</v>
      </c>
      <c r="AW21">
        <v>16.369499999999999</v>
      </c>
      <c r="AX21">
        <v>6.6597400000000002</v>
      </c>
      <c r="AY21">
        <v>2087.9</v>
      </c>
      <c r="AZ21">
        <v>1312.2</v>
      </c>
      <c r="BA21">
        <v>2774</v>
      </c>
      <c r="BB21">
        <v>355</v>
      </c>
      <c r="BC21" t="str">
        <f t="shared" si="0"/>
        <v>u=1%, k=2x10^7</v>
      </c>
      <c r="BD21">
        <f t="shared" si="1"/>
        <v>32</v>
      </c>
    </row>
    <row r="22" spans="1:56">
      <c r="A22" t="s">
        <v>133</v>
      </c>
      <c r="B22" t="s">
        <v>63</v>
      </c>
      <c r="C22">
        <v>72</v>
      </c>
      <c r="D22" t="s">
        <v>64</v>
      </c>
      <c r="E22" t="s">
        <v>59</v>
      </c>
      <c r="F22" t="s">
        <v>60</v>
      </c>
      <c r="G22">
        <v>64000</v>
      </c>
      <c r="H22">
        <v>0.5</v>
      </c>
      <c r="I22">
        <v>0.5</v>
      </c>
      <c r="J22">
        <v>0</v>
      </c>
      <c r="K22">
        <v>1</v>
      </c>
      <c r="L22">
        <v>20000000</v>
      </c>
      <c r="M22">
        <v>190</v>
      </c>
      <c r="N22">
        <v>190</v>
      </c>
      <c r="O22">
        <v>190</v>
      </c>
      <c r="P22">
        <v>0</v>
      </c>
      <c r="Q22" t="s">
        <v>61</v>
      </c>
      <c r="R22">
        <v>100005131715058</v>
      </c>
      <c r="S22">
        <v>10001160</v>
      </c>
      <c r="T22">
        <v>100005131715058</v>
      </c>
      <c r="U22">
        <v>10001160</v>
      </c>
      <c r="V22" t="s">
        <v>71</v>
      </c>
      <c r="W22">
        <v>7</v>
      </c>
      <c r="X22">
        <v>1629584</v>
      </c>
      <c r="Y22">
        <v>11450879</v>
      </c>
      <c r="Z22">
        <v>13080463</v>
      </c>
      <c r="AA22">
        <v>10001160</v>
      </c>
      <c r="AB22">
        <v>8.0268700000000006</v>
      </c>
      <c r="AC22">
        <v>0.87339699999999998</v>
      </c>
      <c r="AD22">
        <v>1.7645900000000001</v>
      </c>
      <c r="AE22">
        <v>4.0007599999999996</v>
      </c>
      <c r="AF22">
        <v>313580768</v>
      </c>
      <c r="AG22" t="s">
        <v>134</v>
      </c>
      <c r="AH22" t="s">
        <v>135</v>
      </c>
      <c r="AI22">
        <v>74581</v>
      </c>
      <c r="AJ22">
        <v>98474</v>
      </c>
      <c r="AM22">
        <v>15843034042</v>
      </c>
      <c r="AN22">
        <v>0</v>
      </c>
      <c r="AO22">
        <v>160014905</v>
      </c>
      <c r="AP22">
        <v>15843034042</v>
      </c>
      <c r="AQ22">
        <v>16003048947</v>
      </c>
      <c r="AR22">
        <v>247547406</v>
      </c>
      <c r="AS22">
        <v>0</v>
      </c>
      <c r="AT22">
        <v>2500232</v>
      </c>
      <c r="AU22">
        <v>247547406</v>
      </c>
      <c r="AV22">
        <v>250047639</v>
      </c>
      <c r="AW22">
        <v>16.374500000000001</v>
      </c>
      <c r="AX22">
        <v>6.6691000000000003</v>
      </c>
      <c r="AY22">
        <v>2088.77</v>
      </c>
      <c r="AZ22">
        <v>1317.47</v>
      </c>
      <c r="BA22">
        <v>2769</v>
      </c>
      <c r="BB22">
        <v>400</v>
      </c>
      <c r="BC22" t="str">
        <f t="shared" si="0"/>
        <v>u=1%, k=2x10^7</v>
      </c>
      <c r="BD22">
        <f t="shared" si="1"/>
        <v>64</v>
      </c>
    </row>
    <row r="23" spans="1:56">
      <c r="A23" t="s">
        <v>136</v>
      </c>
      <c r="B23" t="s">
        <v>105</v>
      </c>
      <c r="D23" t="s">
        <v>64</v>
      </c>
      <c r="E23" t="s">
        <v>59</v>
      </c>
      <c r="F23" t="s">
        <v>60</v>
      </c>
      <c r="G23">
        <v>1000</v>
      </c>
      <c r="H23">
        <v>0.5</v>
      </c>
      <c r="I23">
        <v>0.5</v>
      </c>
      <c r="J23">
        <v>0</v>
      </c>
      <c r="K23">
        <v>1</v>
      </c>
      <c r="L23">
        <v>20000000</v>
      </c>
      <c r="M23">
        <v>190</v>
      </c>
      <c r="N23">
        <v>190</v>
      </c>
      <c r="O23">
        <v>190</v>
      </c>
      <c r="P23">
        <v>0</v>
      </c>
      <c r="Q23" t="s">
        <v>61</v>
      </c>
      <c r="R23">
        <v>99994358562355</v>
      </c>
      <c r="S23">
        <v>10000443</v>
      </c>
      <c r="T23">
        <v>99994358562355</v>
      </c>
      <c r="U23">
        <v>10000443</v>
      </c>
      <c r="V23" t="s">
        <v>71</v>
      </c>
      <c r="W23">
        <v>29</v>
      </c>
      <c r="X23">
        <v>5778657</v>
      </c>
      <c r="Y23">
        <v>4340629</v>
      </c>
      <c r="Z23">
        <v>10119286</v>
      </c>
      <c r="AA23">
        <v>10000443</v>
      </c>
      <c r="AB23">
        <v>1.75115</v>
      </c>
      <c r="AC23">
        <v>2.3039200000000002</v>
      </c>
      <c r="AD23">
        <v>1.9882599999999999</v>
      </c>
      <c r="AE23">
        <v>22.732800000000001</v>
      </c>
      <c r="AF23">
        <v>566680016</v>
      </c>
      <c r="AJ23" t="s">
        <v>137</v>
      </c>
      <c r="AM23">
        <v>112915004</v>
      </c>
      <c r="AN23">
        <v>0</v>
      </c>
      <c r="AO23">
        <v>1141343</v>
      </c>
      <c r="AP23">
        <v>112915004</v>
      </c>
      <c r="AQ23">
        <v>114056347</v>
      </c>
      <c r="AR23">
        <v>112915004</v>
      </c>
      <c r="AS23">
        <v>0</v>
      </c>
      <c r="AT23">
        <v>1141343</v>
      </c>
      <c r="AU23">
        <v>112915004</v>
      </c>
      <c r="AV23">
        <v>114056347</v>
      </c>
      <c r="AW23">
        <v>28.722999999999999</v>
      </c>
      <c r="AX23">
        <v>10.457800000000001</v>
      </c>
      <c r="AY23">
        <v>4584.2299999999996</v>
      </c>
      <c r="AZ23">
        <v>3230.88</v>
      </c>
      <c r="BA23">
        <v>1761</v>
      </c>
      <c r="BB23">
        <v>431</v>
      </c>
      <c r="BC23" t="str">
        <f t="shared" si="0"/>
        <v>u=1%, k=2x10^7</v>
      </c>
      <c r="BD23">
        <f t="shared" si="1"/>
        <v>1</v>
      </c>
    </row>
    <row r="24" spans="1:56">
      <c r="A24" t="s">
        <v>138</v>
      </c>
      <c r="B24" t="s">
        <v>105</v>
      </c>
      <c r="D24" t="s">
        <v>64</v>
      </c>
      <c r="E24" t="s">
        <v>59</v>
      </c>
      <c r="F24" t="s">
        <v>60</v>
      </c>
      <c r="G24">
        <v>2000</v>
      </c>
      <c r="H24">
        <v>0.5</v>
      </c>
      <c r="I24">
        <v>0.5</v>
      </c>
      <c r="J24">
        <v>0</v>
      </c>
      <c r="K24">
        <v>1</v>
      </c>
      <c r="L24">
        <v>20000000</v>
      </c>
      <c r="M24">
        <v>190</v>
      </c>
      <c r="N24">
        <v>190</v>
      </c>
      <c r="O24">
        <v>190</v>
      </c>
      <c r="P24">
        <v>0</v>
      </c>
      <c r="Q24" t="s">
        <v>61</v>
      </c>
      <c r="R24">
        <v>100014976805535</v>
      </c>
      <c r="S24">
        <v>9999800</v>
      </c>
      <c r="T24">
        <v>100014976805535</v>
      </c>
      <c r="U24">
        <v>9999800</v>
      </c>
      <c r="V24" t="s">
        <v>71</v>
      </c>
      <c r="W24">
        <v>29</v>
      </c>
      <c r="X24">
        <v>5840886</v>
      </c>
      <c r="Y24">
        <v>4391086</v>
      </c>
      <c r="Z24">
        <v>10231972</v>
      </c>
      <c r="AA24">
        <v>9999800</v>
      </c>
      <c r="AB24">
        <v>1.7517799999999999</v>
      </c>
      <c r="AC24">
        <v>2.2772999999999999</v>
      </c>
      <c r="AD24">
        <v>1.9773099999999999</v>
      </c>
      <c r="AE24">
        <v>22.748999999999999</v>
      </c>
      <c r="AF24">
        <v>572990432</v>
      </c>
      <c r="AJ24" t="s">
        <v>139</v>
      </c>
      <c r="AM24">
        <v>227859525</v>
      </c>
      <c r="AN24">
        <v>0</v>
      </c>
      <c r="AO24">
        <v>2301809</v>
      </c>
      <c r="AP24">
        <v>227859525</v>
      </c>
      <c r="AQ24">
        <v>230161334</v>
      </c>
      <c r="AR24">
        <v>113929762</v>
      </c>
      <c r="AS24">
        <v>0</v>
      </c>
      <c r="AT24">
        <v>1150904</v>
      </c>
      <c r="AU24">
        <v>113929762</v>
      </c>
      <c r="AV24">
        <v>115080667</v>
      </c>
      <c r="AW24">
        <v>28.970199999999998</v>
      </c>
      <c r="AX24">
        <v>10.5589</v>
      </c>
      <c r="AY24">
        <v>4584.72</v>
      </c>
      <c r="AZ24">
        <v>3224.38</v>
      </c>
      <c r="BA24">
        <v>1768</v>
      </c>
      <c r="BB24">
        <v>426</v>
      </c>
      <c r="BC24" t="str">
        <f t="shared" si="0"/>
        <v>u=1%, k=2x10^7</v>
      </c>
      <c r="BD24">
        <f t="shared" si="1"/>
        <v>2</v>
      </c>
    </row>
    <row r="25" spans="1:56">
      <c r="A25" t="s">
        <v>140</v>
      </c>
      <c r="B25" t="s">
        <v>105</v>
      </c>
      <c r="D25" t="s">
        <v>64</v>
      </c>
      <c r="E25" t="s">
        <v>59</v>
      </c>
      <c r="F25" t="s">
        <v>60</v>
      </c>
      <c r="G25">
        <v>4000</v>
      </c>
      <c r="H25">
        <v>0.5</v>
      </c>
      <c r="I25">
        <v>0.5</v>
      </c>
      <c r="J25">
        <v>0</v>
      </c>
      <c r="K25">
        <v>1</v>
      </c>
      <c r="L25">
        <v>20000000</v>
      </c>
      <c r="M25">
        <v>190</v>
      </c>
      <c r="N25">
        <v>190</v>
      </c>
      <c r="O25">
        <v>190</v>
      </c>
      <c r="P25">
        <v>0</v>
      </c>
      <c r="Q25" t="s">
        <v>61</v>
      </c>
      <c r="R25">
        <v>100010800900582</v>
      </c>
      <c r="S25">
        <v>10000293</v>
      </c>
      <c r="T25">
        <v>100010800900582</v>
      </c>
      <c r="U25">
        <v>10000293</v>
      </c>
      <c r="V25" t="s">
        <v>71</v>
      </c>
      <c r="W25">
        <v>29</v>
      </c>
      <c r="X25">
        <v>5951716</v>
      </c>
      <c r="Y25">
        <v>4481156</v>
      </c>
      <c r="Z25">
        <v>10432872</v>
      </c>
      <c r="AA25">
        <v>10000293</v>
      </c>
      <c r="AB25">
        <v>1.75292</v>
      </c>
      <c r="AC25">
        <v>2.23163</v>
      </c>
      <c r="AD25">
        <v>1.9585399999999999</v>
      </c>
      <c r="AE25">
        <v>22.851299999999998</v>
      </c>
      <c r="AF25">
        <v>584240832</v>
      </c>
      <c r="AJ25">
        <v>2876</v>
      </c>
      <c r="AM25">
        <v>450592324</v>
      </c>
      <c r="AN25">
        <v>0</v>
      </c>
      <c r="AO25">
        <v>4554568</v>
      </c>
      <c r="AP25">
        <v>450592324</v>
      </c>
      <c r="AQ25">
        <v>455146892</v>
      </c>
      <c r="AR25">
        <v>112648081</v>
      </c>
      <c r="AS25">
        <v>0</v>
      </c>
      <c r="AT25">
        <v>1138642</v>
      </c>
      <c r="AU25">
        <v>112648081</v>
      </c>
      <c r="AV25">
        <v>113786723</v>
      </c>
      <c r="AW25">
        <v>28.949400000000001</v>
      </c>
      <c r="AX25">
        <v>10.654500000000001</v>
      </c>
      <c r="AY25">
        <v>4637.93</v>
      </c>
      <c r="AZ25">
        <v>3217.6</v>
      </c>
      <c r="BA25">
        <v>1782</v>
      </c>
      <c r="BB25">
        <v>519</v>
      </c>
      <c r="BC25" t="str">
        <f t="shared" si="0"/>
        <v>u=1%, k=2x10^7</v>
      </c>
      <c r="BD25">
        <f t="shared" si="1"/>
        <v>4</v>
      </c>
    </row>
    <row r="26" spans="1:56">
      <c r="A26" t="s">
        <v>141</v>
      </c>
      <c r="B26" t="s">
        <v>105</v>
      </c>
      <c r="D26" t="s">
        <v>64</v>
      </c>
      <c r="E26" t="s">
        <v>59</v>
      </c>
      <c r="F26" t="s">
        <v>60</v>
      </c>
      <c r="G26">
        <v>8000</v>
      </c>
      <c r="H26">
        <v>0.5</v>
      </c>
      <c r="I26">
        <v>0.5</v>
      </c>
      <c r="J26">
        <v>0</v>
      </c>
      <c r="K26">
        <v>1</v>
      </c>
      <c r="L26">
        <v>20000000</v>
      </c>
      <c r="M26">
        <v>190</v>
      </c>
      <c r="N26">
        <v>190</v>
      </c>
      <c r="O26">
        <v>190</v>
      </c>
      <c r="P26">
        <v>0</v>
      </c>
      <c r="Q26" t="s">
        <v>61</v>
      </c>
      <c r="R26">
        <v>100001799431532</v>
      </c>
      <c r="S26">
        <v>10000676</v>
      </c>
      <c r="T26">
        <v>100001799431532</v>
      </c>
      <c r="U26">
        <v>10000676</v>
      </c>
      <c r="V26" t="s">
        <v>71</v>
      </c>
      <c r="W26">
        <v>29</v>
      </c>
      <c r="X26">
        <v>6141072</v>
      </c>
      <c r="Y26">
        <v>4633741</v>
      </c>
      <c r="Z26">
        <v>10774813</v>
      </c>
      <c r="AA26">
        <v>10000676</v>
      </c>
      <c r="AB26">
        <v>1.7545500000000001</v>
      </c>
      <c r="AC26">
        <v>2.1582300000000001</v>
      </c>
      <c r="AD26">
        <v>1.92815</v>
      </c>
      <c r="AE26">
        <v>22.896699999999999</v>
      </c>
      <c r="AF26">
        <v>603389528</v>
      </c>
      <c r="AJ26" t="s">
        <v>142</v>
      </c>
      <c r="AM26">
        <v>906920836</v>
      </c>
      <c r="AN26">
        <v>0</v>
      </c>
      <c r="AO26">
        <v>9157792</v>
      </c>
      <c r="AP26">
        <v>906920836</v>
      </c>
      <c r="AQ26">
        <v>916078628</v>
      </c>
      <c r="AR26">
        <v>113365104</v>
      </c>
      <c r="AS26">
        <v>0</v>
      </c>
      <c r="AT26">
        <v>1144724</v>
      </c>
      <c r="AU26">
        <v>113365104</v>
      </c>
      <c r="AV26">
        <v>114509828</v>
      </c>
      <c r="AW26">
        <v>28.756900000000002</v>
      </c>
      <c r="AX26">
        <v>10.726000000000001</v>
      </c>
      <c r="AY26">
        <v>4606.67</v>
      </c>
      <c r="AZ26">
        <v>3235.25</v>
      </c>
      <c r="BA26">
        <v>1804</v>
      </c>
      <c r="BB26">
        <v>429</v>
      </c>
      <c r="BC26" t="str">
        <f t="shared" si="0"/>
        <v>u=1%, k=2x10^7</v>
      </c>
      <c r="BD26">
        <f t="shared" si="1"/>
        <v>8</v>
      </c>
    </row>
    <row r="27" spans="1:56">
      <c r="A27" t="s">
        <v>143</v>
      </c>
      <c r="B27" t="s">
        <v>105</v>
      </c>
      <c r="D27" t="s">
        <v>64</v>
      </c>
      <c r="E27" t="s">
        <v>59</v>
      </c>
      <c r="F27" t="s">
        <v>60</v>
      </c>
      <c r="G27">
        <v>16000</v>
      </c>
      <c r="H27">
        <v>0.5</v>
      </c>
      <c r="I27">
        <v>0.5</v>
      </c>
      <c r="J27">
        <v>0</v>
      </c>
      <c r="K27">
        <v>1</v>
      </c>
      <c r="L27">
        <v>20000000</v>
      </c>
      <c r="M27">
        <v>190</v>
      </c>
      <c r="N27">
        <v>190</v>
      </c>
      <c r="O27">
        <v>190</v>
      </c>
      <c r="P27">
        <v>0</v>
      </c>
      <c r="Q27" t="s">
        <v>61</v>
      </c>
      <c r="R27">
        <v>99997895663594</v>
      </c>
      <c r="S27">
        <v>10000154</v>
      </c>
      <c r="T27">
        <v>99997895663594</v>
      </c>
      <c r="U27">
        <v>10000154</v>
      </c>
      <c r="V27" t="s">
        <v>71</v>
      </c>
      <c r="W27">
        <v>29</v>
      </c>
      <c r="X27">
        <v>6408503</v>
      </c>
      <c r="Y27">
        <v>4844569</v>
      </c>
      <c r="Z27">
        <v>11253072</v>
      </c>
      <c r="AA27">
        <v>10000154</v>
      </c>
      <c r="AB27">
        <v>1.75596</v>
      </c>
      <c r="AC27">
        <v>2.0642</v>
      </c>
      <c r="AD27">
        <v>1.88866</v>
      </c>
      <c r="AE27">
        <v>23.022200000000002</v>
      </c>
      <c r="AF27">
        <v>630172032</v>
      </c>
      <c r="AJ27" t="s">
        <v>144</v>
      </c>
      <c r="AM27">
        <v>1815112611</v>
      </c>
      <c r="AN27">
        <v>0</v>
      </c>
      <c r="AO27">
        <v>18341800</v>
      </c>
      <c r="AP27">
        <v>1815112611</v>
      </c>
      <c r="AQ27">
        <v>1833454411</v>
      </c>
      <c r="AR27">
        <v>113444538</v>
      </c>
      <c r="AS27">
        <v>0</v>
      </c>
      <c r="AT27">
        <v>1146362</v>
      </c>
      <c r="AU27">
        <v>113444538</v>
      </c>
      <c r="AV27">
        <v>114590900</v>
      </c>
      <c r="AW27">
        <v>28.706</v>
      </c>
      <c r="AX27">
        <v>10.8188</v>
      </c>
      <c r="AY27">
        <v>4603.83</v>
      </c>
      <c r="AZ27">
        <v>3237.85</v>
      </c>
      <c r="BA27">
        <v>1836</v>
      </c>
      <c r="BB27">
        <v>437</v>
      </c>
      <c r="BC27" t="str">
        <f t="shared" si="0"/>
        <v>u=1%, k=2x10^7</v>
      </c>
      <c r="BD27">
        <f t="shared" si="1"/>
        <v>16</v>
      </c>
    </row>
    <row r="28" spans="1:56">
      <c r="A28" t="s">
        <v>145</v>
      </c>
      <c r="B28" t="s">
        <v>105</v>
      </c>
      <c r="D28" t="s">
        <v>64</v>
      </c>
      <c r="E28" t="s">
        <v>59</v>
      </c>
      <c r="F28" t="s">
        <v>60</v>
      </c>
      <c r="G28">
        <v>32000</v>
      </c>
      <c r="H28">
        <v>0.5</v>
      </c>
      <c r="I28">
        <v>0.5</v>
      </c>
      <c r="J28">
        <v>0</v>
      </c>
      <c r="K28">
        <v>1</v>
      </c>
      <c r="L28">
        <v>20000000</v>
      </c>
      <c r="M28">
        <v>190</v>
      </c>
      <c r="N28">
        <v>190</v>
      </c>
      <c r="O28">
        <v>190</v>
      </c>
      <c r="P28">
        <v>0</v>
      </c>
      <c r="Q28" t="s">
        <v>61</v>
      </c>
      <c r="R28">
        <v>99981731977691</v>
      </c>
      <c r="S28">
        <v>9998345</v>
      </c>
      <c r="T28">
        <v>99981731977691</v>
      </c>
      <c r="U28">
        <v>9998345</v>
      </c>
      <c r="V28" t="s">
        <v>71</v>
      </c>
      <c r="W28">
        <v>29</v>
      </c>
      <c r="X28">
        <v>6677103</v>
      </c>
      <c r="Y28">
        <v>5057290</v>
      </c>
      <c r="Z28">
        <v>11734393</v>
      </c>
      <c r="AA28">
        <v>9998345</v>
      </c>
      <c r="AB28">
        <v>1.7574099999999999</v>
      </c>
      <c r="AC28">
        <v>1.97702</v>
      </c>
      <c r="AD28">
        <v>1.85205</v>
      </c>
      <c r="AE28">
        <v>23.189399999999999</v>
      </c>
      <c r="AF28">
        <v>657126008</v>
      </c>
      <c r="AJ28" t="s">
        <v>146</v>
      </c>
      <c r="AM28">
        <v>3597360925</v>
      </c>
      <c r="AN28">
        <v>0</v>
      </c>
      <c r="AO28">
        <v>36338908</v>
      </c>
      <c r="AP28">
        <v>3597360925</v>
      </c>
      <c r="AQ28">
        <v>3633699833</v>
      </c>
      <c r="AR28">
        <v>112417528</v>
      </c>
      <c r="AS28">
        <v>0</v>
      </c>
      <c r="AT28">
        <v>1135590</v>
      </c>
      <c r="AU28">
        <v>112417528</v>
      </c>
      <c r="AV28">
        <v>113553119</v>
      </c>
      <c r="AW28">
        <v>29.118600000000001</v>
      </c>
      <c r="AX28">
        <v>10.902699999999999</v>
      </c>
      <c r="AY28">
        <v>4643.59</v>
      </c>
      <c r="AZ28">
        <v>3276.45</v>
      </c>
      <c r="BA28">
        <v>1867</v>
      </c>
      <c r="BB28">
        <v>437</v>
      </c>
      <c r="BC28" t="str">
        <f t="shared" si="0"/>
        <v>u=1%, k=2x10^7</v>
      </c>
      <c r="BD28">
        <f t="shared" si="1"/>
        <v>32</v>
      </c>
    </row>
    <row r="29" spans="1:56">
      <c r="A29" t="s">
        <v>147</v>
      </c>
      <c r="B29" t="s">
        <v>105</v>
      </c>
      <c r="D29" t="s">
        <v>64</v>
      </c>
      <c r="E29" t="s">
        <v>59</v>
      </c>
      <c r="F29" t="s">
        <v>60</v>
      </c>
      <c r="G29">
        <v>64000</v>
      </c>
      <c r="H29">
        <v>0.5</v>
      </c>
      <c r="I29">
        <v>0.5</v>
      </c>
      <c r="J29">
        <v>0</v>
      </c>
      <c r="K29">
        <v>1</v>
      </c>
      <c r="L29">
        <v>20000000</v>
      </c>
      <c r="M29">
        <v>190</v>
      </c>
      <c r="N29">
        <v>190</v>
      </c>
      <c r="O29">
        <v>190</v>
      </c>
      <c r="P29">
        <v>0</v>
      </c>
      <c r="Q29" t="s">
        <v>61</v>
      </c>
      <c r="R29">
        <v>100008956020404</v>
      </c>
      <c r="S29">
        <v>10000105</v>
      </c>
      <c r="T29">
        <v>100008956020404</v>
      </c>
      <c r="U29">
        <v>10000105</v>
      </c>
      <c r="V29" t="s">
        <v>71</v>
      </c>
      <c r="W29">
        <v>29</v>
      </c>
      <c r="X29">
        <v>6827090</v>
      </c>
      <c r="Y29">
        <v>5178373</v>
      </c>
      <c r="Z29">
        <v>12005463</v>
      </c>
      <c r="AA29">
        <v>10000105</v>
      </c>
      <c r="AB29">
        <v>1.7585</v>
      </c>
      <c r="AC29">
        <v>1.93113</v>
      </c>
      <c r="AD29">
        <v>1.8329599999999999</v>
      </c>
      <c r="AE29">
        <v>23.2256</v>
      </c>
      <c r="AF29">
        <v>672305928</v>
      </c>
      <c r="AJ29" t="s">
        <v>148</v>
      </c>
      <c r="AM29">
        <v>7163079646</v>
      </c>
      <c r="AN29">
        <v>0</v>
      </c>
      <c r="AO29">
        <v>72342994</v>
      </c>
      <c r="AP29">
        <v>7163079646</v>
      </c>
      <c r="AQ29">
        <v>7235422640</v>
      </c>
      <c r="AR29">
        <v>111923119</v>
      </c>
      <c r="AS29">
        <v>0</v>
      </c>
      <c r="AT29">
        <v>1130359</v>
      </c>
      <c r="AU29">
        <v>111923119</v>
      </c>
      <c r="AV29">
        <v>113053478</v>
      </c>
      <c r="AW29">
        <v>29.105499999999999</v>
      </c>
      <c r="AX29">
        <v>10.995699999999999</v>
      </c>
      <c r="AY29">
        <v>4663.5</v>
      </c>
      <c r="AZ29">
        <v>3285.81</v>
      </c>
      <c r="BA29">
        <v>1886</v>
      </c>
      <c r="BB29">
        <v>432</v>
      </c>
      <c r="BC29" t="str">
        <f t="shared" si="0"/>
        <v>u=1%, k=2x10^7</v>
      </c>
      <c r="BD29">
        <f t="shared" si="1"/>
        <v>64</v>
      </c>
    </row>
    <row r="30" spans="1:56">
      <c r="A30" t="s">
        <v>149</v>
      </c>
      <c r="B30" t="s">
        <v>63</v>
      </c>
      <c r="C30">
        <v>72</v>
      </c>
      <c r="D30" t="s">
        <v>64</v>
      </c>
      <c r="E30" t="s">
        <v>59</v>
      </c>
      <c r="F30" t="s">
        <v>60</v>
      </c>
      <c r="G30">
        <v>1000</v>
      </c>
      <c r="H30">
        <v>20</v>
      </c>
      <c r="I30">
        <v>20</v>
      </c>
      <c r="J30">
        <v>0</v>
      </c>
      <c r="K30">
        <v>1</v>
      </c>
      <c r="L30">
        <v>20000000</v>
      </c>
      <c r="M30">
        <v>190</v>
      </c>
      <c r="N30">
        <v>190</v>
      </c>
      <c r="O30">
        <v>190</v>
      </c>
      <c r="P30">
        <v>0</v>
      </c>
      <c r="Q30" t="s">
        <v>61</v>
      </c>
      <c r="R30">
        <v>100014204708887</v>
      </c>
      <c r="S30">
        <v>10001250</v>
      </c>
      <c r="T30">
        <v>100014204708887</v>
      </c>
      <c r="U30">
        <v>10001250</v>
      </c>
      <c r="V30" t="s">
        <v>71</v>
      </c>
      <c r="W30">
        <v>7</v>
      </c>
      <c r="X30">
        <v>1894922</v>
      </c>
      <c r="Y30">
        <v>12005106</v>
      </c>
      <c r="Z30">
        <v>13900028</v>
      </c>
      <c r="AA30">
        <v>10001250</v>
      </c>
      <c r="AB30">
        <v>7.3354100000000004</v>
      </c>
      <c r="AC30">
        <v>0.83308300000000002</v>
      </c>
      <c r="AD30">
        <v>1.7195100000000001</v>
      </c>
      <c r="AE30">
        <v>4.0539399999999999</v>
      </c>
      <c r="AF30">
        <v>343698784</v>
      </c>
      <c r="AG30" t="s">
        <v>150</v>
      </c>
      <c r="AH30" t="s">
        <v>151</v>
      </c>
      <c r="AI30">
        <v>90839</v>
      </c>
      <c r="AJ30">
        <v>704</v>
      </c>
      <c r="AM30">
        <v>55977885</v>
      </c>
      <c r="AN30">
        <v>0</v>
      </c>
      <c r="AO30">
        <v>37311229</v>
      </c>
      <c r="AP30">
        <v>55977885</v>
      </c>
      <c r="AQ30">
        <v>93289114</v>
      </c>
      <c r="AR30">
        <v>55977885</v>
      </c>
      <c r="AS30">
        <v>0</v>
      </c>
      <c r="AT30">
        <v>37311229</v>
      </c>
      <c r="AU30">
        <v>55977885</v>
      </c>
      <c r="AV30">
        <v>93289114</v>
      </c>
      <c r="AW30">
        <v>28.089300000000001</v>
      </c>
      <c r="AX30">
        <v>14.7736</v>
      </c>
      <c r="AY30">
        <v>5034.84</v>
      </c>
      <c r="AZ30">
        <v>3468.26</v>
      </c>
      <c r="BA30">
        <v>2849</v>
      </c>
      <c r="BB30">
        <v>380</v>
      </c>
      <c r="BC30" t="str">
        <f t="shared" si="0"/>
        <v>u=40%, k=2x10^7</v>
      </c>
      <c r="BD30">
        <f t="shared" si="1"/>
        <v>1</v>
      </c>
    </row>
    <row r="31" spans="1:56">
      <c r="A31" t="s">
        <v>152</v>
      </c>
      <c r="B31" t="s">
        <v>63</v>
      </c>
      <c r="C31">
        <v>72</v>
      </c>
      <c r="D31" t="s">
        <v>64</v>
      </c>
      <c r="E31" t="s">
        <v>59</v>
      </c>
      <c r="F31" t="s">
        <v>60</v>
      </c>
      <c r="G31">
        <v>2000</v>
      </c>
      <c r="H31">
        <v>20</v>
      </c>
      <c r="I31">
        <v>20</v>
      </c>
      <c r="J31">
        <v>0</v>
      </c>
      <c r="K31">
        <v>1</v>
      </c>
      <c r="L31">
        <v>20000000</v>
      </c>
      <c r="M31">
        <v>190</v>
      </c>
      <c r="N31">
        <v>190</v>
      </c>
      <c r="O31">
        <v>190</v>
      </c>
      <c r="P31">
        <v>0</v>
      </c>
      <c r="Q31" t="s">
        <v>61</v>
      </c>
      <c r="R31">
        <v>100000415032806</v>
      </c>
      <c r="S31">
        <v>10000472</v>
      </c>
      <c r="T31">
        <v>100000415032806</v>
      </c>
      <c r="U31">
        <v>10000472</v>
      </c>
      <c r="V31" t="s">
        <v>71</v>
      </c>
      <c r="W31">
        <v>7</v>
      </c>
      <c r="X31">
        <v>1682965</v>
      </c>
      <c r="Y31">
        <v>11558276</v>
      </c>
      <c r="Z31">
        <v>13241241</v>
      </c>
      <c r="AA31">
        <v>10000472</v>
      </c>
      <c r="AB31">
        <v>7.8678100000000004</v>
      </c>
      <c r="AC31">
        <v>0.86522200000000005</v>
      </c>
      <c r="AD31">
        <v>1.75525</v>
      </c>
      <c r="AE31">
        <v>4.0114400000000003</v>
      </c>
      <c r="AF31">
        <v>319569632</v>
      </c>
      <c r="AG31" t="s">
        <v>153</v>
      </c>
      <c r="AH31" t="s">
        <v>154</v>
      </c>
      <c r="AI31">
        <v>190611</v>
      </c>
      <c r="AJ31">
        <v>1438</v>
      </c>
      <c r="AM31">
        <v>112877316</v>
      </c>
      <c r="AN31">
        <v>0</v>
      </c>
      <c r="AO31">
        <v>75260764</v>
      </c>
      <c r="AP31">
        <v>112877316</v>
      </c>
      <c r="AQ31">
        <v>188138080</v>
      </c>
      <c r="AR31">
        <v>56438658</v>
      </c>
      <c r="AS31">
        <v>0</v>
      </c>
      <c r="AT31">
        <v>37630382</v>
      </c>
      <c r="AU31">
        <v>56438658</v>
      </c>
      <c r="AV31">
        <v>94069040</v>
      </c>
      <c r="AW31">
        <v>28.570699999999999</v>
      </c>
      <c r="AX31">
        <v>15.203799999999999</v>
      </c>
      <c r="AY31">
        <v>5221.59</v>
      </c>
      <c r="AZ31">
        <v>3582.69</v>
      </c>
      <c r="BA31">
        <v>2880</v>
      </c>
      <c r="BB31">
        <v>348</v>
      </c>
      <c r="BC31" t="str">
        <f t="shared" si="0"/>
        <v>u=40%, k=2x10^7</v>
      </c>
      <c r="BD31">
        <f t="shared" si="1"/>
        <v>2</v>
      </c>
    </row>
    <row r="32" spans="1:56">
      <c r="A32" t="s">
        <v>155</v>
      </c>
      <c r="B32" t="s">
        <v>63</v>
      </c>
      <c r="C32">
        <v>72</v>
      </c>
      <c r="D32" t="s">
        <v>64</v>
      </c>
      <c r="E32" t="s">
        <v>59</v>
      </c>
      <c r="F32" t="s">
        <v>60</v>
      </c>
      <c r="G32">
        <v>4000</v>
      </c>
      <c r="H32">
        <v>20</v>
      </c>
      <c r="I32">
        <v>20</v>
      </c>
      <c r="J32">
        <v>0</v>
      </c>
      <c r="K32">
        <v>1</v>
      </c>
      <c r="L32">
        <v>20000000</v>
      </c>
      <c r="M32">
        <v>190</v>
      </c>
      <c r="N32">
        <v>190</v>
      </c>
      <c r="O32">
        <v>190</v>
      </c>
      <c r="P32">
        <v>0</v>
      </c>
      <c r="Q32" t="s">
        <v>61</v>
      </c>
      <c r="R32">
        <v>99964283666637</v>
      </c>
      <c r="S32">
        <v>9999529</v>
      </c>
      <c r="T32">
        <v>99964283666637</v>
      </c>
      <c r="U32">
        <v>9999529</v>
      </c>
      <c r="V32" t="s">
        <v>71</v>
      </c>
      <c r="W32">
        <v>7</v>
      </c>
      <c r="X32">
        <v>1732478</v>
      </c>
      <c r="Y32">
        <v>11665695</v>
      </c>
      <c r="Z32">
        <v>13398173</v>
      </c>
      <c r="AA32">
        <v>9999529</v>
      </c>
      <c r="AB32">
        <v>7.73353</v>
      </c>
      <c r="AC32">
        <v>0.85717399999999999</v>
      </c>
      <c r="AD32">
        <v>1.74634</v>
      </c>
      <c r="AE32">
        <v>4.02189</v>
      </c>
      <c r="AF32">
        <v>325254176</v>
      </c>
      <c r="AG32" t="s">
        <v>156</v>
      </c>
      <c r="AH32" t="s">
        <v>157</v>
      </c>
      <c r="AI32">
        <v>392360</v>
      </c>
      <c r="AJ32">
        <v>2944</v>
      </c>
      <c r="AM32">
        <v>231022380</v>
      </c>
      <c r="AN32">
        <v>0</v>
      </c>
      <c r="AO32">
        <v>154034186</v>
      </c>
      <c r="AP32">
        <v>231022380</v>
      </c>
      <c r="AQ32">
        <v>385056566</v>
      </c>
      <c r="AR32">
        <v>57755595</v>
      </c>
      <c r="AS32">
        <v>0</v>
      </c>
      <c r="AT32">
        <v>38508546</v>
      </c>
      <c r="AU32">
        <v>57755595</v>
      </c>
      <c r="AV32">
        <v>96264141</v>
      </c>
      <c r="AW32">
        <v>28.543199999999999</v>
      </c>
      <c r="AX32">
        <v>15.2174</v>
      </c>
      <c r="AY32">
        <v>5229.4799999999996</v>
      </c>
      <c r="AZ32">
        <v>3600.99</v>
      </c>
      <c r="BA32">
        <v>2909</v>
      </c>
      <c r="BB32">
        <v>359</v>
      </c>
      <c r="BC32" t="str">
        <f t="shared" si="0"/>
        <v>u=40%, k=2x10^7</v>
      </c>
      <c r="BD32">
        <f t="shared" si="1"/>
        <v>4</v>
      </c>
    </row>
    <row r="33" spans="1:56">
      <c r="A33" t="s">
        <v>158</v>
      </c>
      <c r="B33" t="s">
        <v>63</v>
      </c>
      <c r="C33">
        <v>72</v>
      </c>
      <c r="D33" t="s">
        <v>64</v>
      </c>
      <c r="E33" t="s">
        <v>59</v>
      </c>
      <c r="F33" t="s">
        <v>60</v>
      </c>
      <c r="G33">
        <v>8000</v>
      </c>
      <c r="H33">
        <v>20</v>
      </c>
      <c r="I33">
        <v>20</v>
      </c>
      <c r="J33">
        <v>0</v>
      </c>
      <c r="K33">
        <v>1</v>
      </c>
      <c r="L33">
        <v>20000000</v>
      </c>
      <c r="M33">
        <v>190</v>
      </c>
      <c r="N33">
        <v>190</v>
      </c>
      <c r="O33">
        <v>190</v>
      </c>
      <c r="P33">
        <v>0</v>
      </c>
      <c r="Q33" t="s">
        <v>61</v>
      </c>
      <c r="R33">
        <v>99980318123951</v>
      </c>
      <c r="S33">
        <v>9998372</v>
      </c>
      <c r="T33">
        <v>99980318123951</v>
      </c>
      <c r="U33">
        <v>9998372</v>
      </c>
      <c r="V33" t="s">
        <v>71</v>
      </c>
      <c r="W33">
        <v>7</v>
      </c>
      <c r="X33">
        <v>1839459</v>
      </c>
      <c r="Y33">
        <v>11895301</v>
      </c>
      <c r="Z33">
        <v>13734760</v>
      </c>
      <c r="AA33">
        <v>9998372</v>
      </c>
      <c r="AB33">
        <v>7.4667399999999997</v>
      </c>
      <c r="AC33">
        <v>0.84053100000000003</v>
      </c>
      <c r="AD33">
        <v>1.7279599999999999</v>
      </c>
      <c r="AE33">
        <v>4.0426099999999998</v>
      </c>
      <c r="AF33">
        <v>337513344</v>
      </c>
      <c r="AG33" t="s">
        <v>159</v>
      </c>
      <c r="AH33" t="s">
        <v>160</v>
      </c>
      <c r="AI33">
        <v>771002</v>
      </c>
      <c r="AJ33">
        <v>5902</v>
      </c>
      <c r="AM33">
        <v>462537027</v>
      </c>
      <c r="AN33">
        <v>0</v>
      </c>
      <c r="AO33">
        <v>308374438</v>
      </c>
      <c r="AP33">
        <v>462537027</v>
      </c>
      <c r="AQ33">
        <v>770911465</v>
      </c>
      <c r="AR33">
        <v>57817128</v>
      </c>
      <c r="AS33">
        <v>0</v>
      </c>
      <c r="AT33">
        <v>38546804</v>
      </c>
      <c r="AU33">
        <v>57817128</v>
      </c>
      <c r="AV33">
        <v>96363933</v>
      </c>
      <c r="AW33">
        <v>28.578199999999999</v>
      </c>
      <c r="AX33">
        <v>15.243399999999999</v>
      </c>
      <c r="AY33">
        <v>5272.6</v>
      </c>
      <c r="AZ33">
        <v>3628.62</v>
      </c>
      <c r="BA33">
        <v>2920</v>
      </c>
      <c r="BB33">
        <v>392</v>
      </c>
      <c r="BC33" t="str">
        <f t="shared" si="0"/>
        <v>u=40%, k=2x10^7</v>
      </c>
      <c r="BD33">
        <f t="shared" si="1"/>
        <v>8</v>
      </c>
    </row>
    <row r="34" spans="1:56">
      <c r="A34" t="s">
        <v>161</v>
      </c>
      <c r="B34" t="s">
        <v>63</v>
      </c>
      <c r="C34">
        <v>72</v>
      </c>
      <c r="D34" t="s">
        <v>64</v>
      </c>
      <c r="E34" t="s">
        <v>59</v>
      </c>
      <c r="F34" t="s">
        <v>60</v>
      </c>
      <c r="G34">
        <v>16000</v>
      </c>
      <c r="H34">
        <v>20</v>
      </c>
      <c r="I34">
        <v>20</v>
      </c>
      <c r="J34">
        <v>0</v>
      </c>
      <c r="K34">
        <v>1</v>
      </c>
      <c r="L34">
        <v>20000000</v>
      </c>
      <c r="M34">
        <v>190</v>
      </c>
      <c r="N34">
        <v>190</v>
      </c>
      <c r="O34">
        <v>190</v>
      </c>
      <c r="P34">
        <v>0</v>
      </c>
      <c r="Q34" t="s">
        <v>61</v>
      </c>
      <c r="R34">
        <v>100011541905466</v>
      </c>
      <c r="S34">
        <v>9997818</v>
      </c>
      <c r="T34">
        <v>100011541905466</v>
      </c>
      <c r="U34">
        <v>9997818</v>
      </c>
      <c r="V34" t="s">
        <v>71</v>
      </c>
      <c r="W34">
        <v>7</v>
      </c>
      <c r="X34">
        <v>1734120</v>
      </c>
      <c r="Y34">
        <v>11668340</v>
      </c>
      <c r="Z34">
        <v>13402460</v>
      </c>
      <c r="AA34">
        <v>9997818</v>
      </c>
      <c r="AB34">
        <v>7.7286799999999998</v>
      </c>
      <c r="AC34">
        <v>0.85683299999999996</v>
      </c>
      <c r="AD34">
        <v>1.74597</v>
      </c>
      <c r="AE34">
        <v>4.0221299999999998</v>
      </c>
      <c r="AF34">
        <v>325430032</v>
      </c>
      <c r="AG34" t="s">
        <v>162</v>
      </c>
      <c r="AH34" t="s">
        <v>163</v>
      </c>
      <c r="AI34">
        <v>1574960</v>
      </c>
      <c r="AJ34">
        <v>11816</v>
      </c>
      <c r="AM34">
        <v>928275499</v>
      </c>
      <c r="AN34">
        <v>0</v>
      </c>
      <c r="AO34">
        <v>618858076</v>
      </c>
      <c r="AP34">
        <v>928275499</v>
      </c>
      <c r="AQ34">
        <v>1547133575</v>
      </c>
      <c r="AR34">
        <v>58017218</v>
      </c>
      <c r="AS34">
        <v>0</v>
      </c>
      <c r="AT34">
        <v>38678629</v>
      </c>
      <c r="AU34">
        <v>58017218</v>
      </c>
      <c r="AV34">
        <v>96695848</v>
      </c>
      <c r="AW34">
        <v>28.596</v>
      </c>
      <c r="AX34">
        <v>15.2967</v>
      </c>
      <c r="AY34">
        <v>5283.83</v>
      </c>
      <c r="AZ34">
        <v>3645.92</v>
      </c>
      <c r="BA34">
        <v>2930</v>
      </c>
      <c r="BB34">
        <v>428</v>
      </c>
      <c r="BC34" t="str">
        <f t="shared" si="0"/>
        <v>u=40%, k=2x10^7</v>
      </c>
      <c r="BD34">
        <f t="shared" si="1"/>
        <v>16</v>
      </c>
    </row>
    <row r="35" spans="1:56">
      <c r="A35" t="s">
        <v>164</v>
      </c>
      <c r="B35" t="s">
        <v>63</v>
      </c>
      <c r="C35">
        <v>72</v>
      </c>
      <c r="D35" t="s">
        <v>64</v>
      </c>
      <c r="E35" t="s">
        <v>59</v>
      </c>
      <c r="F35" t="s">
        <v>60</v>
      </c>
      <c r="G35">
        <v>32000</v>
      </c>
      <c r="H35">
        <v>20</v>
      </c>
      <c r="I35">
        <v>20</v>
      </c>
      <c r="J35">
        <v>0</v>
      </c>
      <c r="K35">
        <v>1</v>
      </c>
      <c r="L35">
        <v>20000000</v>
      </c>
      <c r="M35">
        <v>190</v>
      </c>
      <c r="N35">
        <v>190</v>
      </c>
      <c r="O35">
        <v>190</v>
      </c>
      <c r="P35">
        <v>0</v>
      </c>
      <c r="Q35" t="s">
        <v>61</v>
      </c>
      <c r="R35">
        <v>100010116648679</v>
      </c>
      <c r="S35">
        <v>10002016</v>
      </c>
      <c r="T35">
        <v>100010116648679</v>
      </c>
      <c r="U35">
        <v>10002016</v>
      </c>
      <c r="V35" t="s">
        <v>71</v>
      </c>
      <c r="W35">
        <v>7</v>
      </c>
      <c r="X35">
        <v>1625833</v>
      </c>
      <c r="Y35">
        <v>11444433</v>
      </c>
      <c r="Z35">
        <v>13070266</v>
      </c>
      <c r="AA35">
        <v>10002016</v>
      </c>
      <c r="AB35">
        <v>8.0391200000000005</v>
      </c>
      <c r="AC35">
        <v>0.87396300000000005</v>
      </c>
      <c r="AD35">
        <v>1.76525</v>
      </c>
      <c r="AE35">
        <v>4.0000099999999996</v>
      </c>
      <c r="AF35">
        <v>313177552</v>
      </c>
      <c r="AG35" t="s">
        <v>165</v>
      </c>
      <c r="AH35" t="s">
        <v>166</v>
      </c>
      <c r="AI35">
        <v>3115458</v>
      </c>
      <c r="AJ35">
        <v>23664</v>
      </c>
      <c r="AM35">
        <v>1852472851</v>
      </c>
      <c r="AN35">
        <v>0</v>
      </c>
      <c r="AO35">
        <v>1234898598</v>
      </c>
      <c r="AP35">
        <v>1852472851</v>
      </c>
      <c r="AQ35">
        <v>3087371449</v>
      </c>
      <c r="AR35">
        <v>57889776</v>
      </c>
      <c r="AS35">
        <v>0</v>
      </c>
      <c r="AT35">
        <v>38590581</v>
      </c>
      <c r="AU35">
        <v>57889776</v>
      </c>
      <c r="AV35">
        <v>96480357</v>
      </c>
      <c r="AW35">
        <v>28.655200000000001</v>
      </c>
      <c r="AX35">
        <v>15.315</v>
      </c>
      <c r="AY35">
        <v>5312.27</v>
      </c>
      <c r="AZ35">
        <v>3657.97</v>
      </c>
      <c r="BA35">
        <v>2945</v>
      </c>
      <c r="BB35">
        <v>403</v>
      </c>
      <c r="BC35" t="str">
        <f t="shared" si="0"/>
        <v>u=40%, k=2x10^7</v>
      </c>
      <c r="BD35">
        <f t="shared" si="1"/>
        <v>32</v>
      </c>
    </row>
    <row r="36" spans="1:56">
      <c r="A36" t="s">
        <v>167</v>
      </c>
      <c r="B36" t="s">
        <v>63</v>
      </c>
      <c r="C36">
        <v>72</v>
      </c>
      <c r="D36" t="s">
        <v>64</v>
      </c>
      <c r="E36" t="s">
        <v>59</v>
      </c>
      <c r="F36" t="s">
        <v>60</v>
      </c>
      <c r="G36">
        <v>64000</v>
      </c>
      <c r="H36">
        <v>20</v>
      </c>
      <c r="I36">
        <v>20</v>
      </c>
      <c r="J36">
        <v>0</v>
      </c>
      <c r="K36">
        <v>1</v>
      </c>
      <c r="L36">
        <v>20000000</v>
      </c>
      <c r="M36">
        <v>190</v>
      </c>
      <c r="N36">
        <v>190</v>
      </c>
      <c r="O36">
        <v>190</v>
      </c>
      <c r="P36">
        <v>0</v>
      </c>
      <c r="Q36" t="s">
        <v>61</v>
      </c>
      <c r="R36">
        <v>100015990633544</v>
      </c>
      <c r="S36">
        <v>10000903</v>
      </c>
      <c r="T36">
        <v>100015990633544</v>
      </c>
      <c r="U36">
        <v>10000903</v>
      </c>
      <c r="V36" t="s">
        <v>71</v>
      </c>
      <c r="W36">
        <v>7</v>
      </c>
      <c r="X36">
        <v>1886371</v>
      </c>
      <c r="Y36">
        <v>11995753</v>
      </c>
      <c r="Z36">
        <v>13882124</v>
      </c>
      <c r="AA36">
        <v>10000903</v>
      </c>
      <c r="AB36">
        <v>7.3591699999999998</v>
      </c>
      <c r="AC36">
        <v>0.833704</v>
      </c>
      <c r="AD36">
        <v>1.7204200000000001</v>
      </c>
      <c r="AE36">
        <v>4.0519800000000004</v>
      </c>
      <c r="AF36">
        <v>342878128</v>
      </c>
      <c r="AG36" t="s">
        <v>168</v>
      </c>
      <c r="AH36" t="s">
        <v>169</v>
      </c>
      <c r="AI36">
        <v>6187726</v>
      </c>
      <c r="AJ36">
        <v>47264</v>
      </c>
      <c r="AM36">
        <v>3701924103</v>
      </c>
      <c r="AN36">
        <v>0</v>
      </c>
      <c r="AO36">
        <v>2467882664</v>
      </c>
      <c r="AP36">
        <v>3701924103</v>
      </c>
      <c r="AQ36">
        <v>6169806767</v>
      </c>
      <c r="AR36">
        <v>57842564</v>
      </c>
      <c r="AS36">
        <v>0</v>
      </c>
      <c r="AT36">
        <v>38560666</v>
      </c>
      <c r="AU36">
        <v>57842564</v>
      </c>
      <c r="AV36">
        <v>96403230</v>
      </c>
      <c r="AW36">
        <v>28.677900000000001</v>
      </c>
      <c r="AX36">
        <v>15.31</v>
      </c>
      <c r="AY36">
        <v>5323.05</v>
      </c>
      <c r="AZ36">
        <v>3670.98</v>
      </c>
      <c r="BA36">
        <v>2961</v>
      </c>
      <c r="BB36">
        <v>393</v>
      </c>
      <c r="BC36" t="str">
        <f t="shared" si="0"/>
        <v>u=40%, k=2x10^7</v>
      </c>
      <c r="BD36">
        <f t="shared" si="1"/>
        <v>64</v>
      </c>
    </row>
    <row r="37" spans="1:56">
      <c r="A37" t="s">
        <v>170</v>
      </c>
      <c r="B37" t="s">
        <v>105</v>
      </c>
      <c r="D37" t="s">
        <v>64</v>
      </c>
      <c r="E37" t="s">
        <v>59</v>
      </c>
      <c r="F37" t="s">
        <v>60</v>
      </c>
      <c r="G37">
        <v>1000</v>
      </c>
      <c r="H37">
        <v>20</v>
      </c>
      <c r="I37">
        <v>20</v>
      </c>
      <c r="J37">
        <v>0</v>
      </c>
      <c r="K37">
        <v>1</v>
      </c>
      <c r="L37">
        <v>20000000</v>
      </c>
      <c r="M37">
        <v>190</v>
      </c>
      <c r="N37">
        <v>190</v>
      </c>
      <c r="O37">
        <v>190</v>
      </c>
      <c r="P37">
        <v>0</v>
      </c>
      <c r="Q37" t="s">
        <v>61</v>
      </c>
      <c r="R37">
        <v>100014965746868</v>
      </c>
      <c r="S37">
        <v>10002047</v>
      </c>
      <c r="T37">
        <v>100014965746868</v>
      </c>
      <c r="U37">
        <v>10002047</v>
      </c>
      <c r="V37" t="s">
        <v>71</v>
      </c>
      <c r="W37">
        <v>29</v>
      </c>
      <c r="X37">
        <v>6697467</v>
      </c>
      <c r="Y37">
        <v>5073532</v>
      </c>
      <c r="Z37">
        <v>11770999</v>
      </c>
      <c r="AA37">
        <v>10002047</v>
      </c>
      <c r="AB37">
        <v>1.75753</v>
      </c>
      <c r="AC37">
        <v>1.97142</v>
      </c>
      <c r="AD37">
        <v>1.84972</v>
      </c>
      <c r="AE37">
        <v>23.1694</v>
      </c>
      <c r="AF37">
        <v>659175944</v>
      </c>
      <c r="AJ37" t="s">
        <v>171</v>
      </c>
      <c r="AM37">
        <v>57872706</v>
      </c>
      <c r="AN37">
        <v>0</v>
      </c>
      <c r="AO37">
        <v>38574663</v>
      </c>
      <c r="AP37">
        <v>57872706</v>
      </c>
      <c r="AQ37">
        <v>96447369</v>
      </c>
      <c r="AR37">
        <v>57872706</v>
      </c>
      <c r="AS37">
        <v>0</v>
      </c>
      <c r="AT37">
        <v>38574663</v>
      </c>
      <c r="AU37">
        <v>57872706</v>
      </c>
      <c r="AV37">
        <v>96447369</v>
      </c>
      <c r="AW37">
        <v>31.401299999999999</v>
      </c>
      <c r="AX37">
        <v>11.5093</v>
      </c>
      <c r="AY37">
        <v>5432.59</v>
      </c>
      <c r="AZ37">
        <v>3815.61</v>
      </c>
      <c r="BA37">
        <v>1953</v>
      </c>
      <c r="BB37">
        <v>427</v>
      </c>
      <c r="BC37" t="str">
        <f t="shared" si="0"/>
        <v>u=40%, k=2x10^7</v>
      </c>
      <c r="BD37">
        <f t="shared" si="1"/>
        <v>1</v>
      </c>
    </row>
    <row r="38" spans="1:56">
      <c r="A38" t="s">
        <v>172</v>
      </c>
      <c r="B38" t="s">
        <v>105</v>
      </c>
      <c r="D38" t="s">
        <v>64</v>
      </c>
      <c r="E38" t="s">
        <v>59</v>
      </c>
      <c r="F38" t="s">
        <v>60</v>
      </c>
      <c r="G38">
        <v>2000</v>
      </c>
      <c r="H38">
        <v>20</v>
      </c>
      <c r="I38">
        <v>20</v>
      </c>
      <c r="J38">
        <v>0</v>
      </c>
      <c r="K38">
        <v>1</v>
      </c>
      <c r="L38">
        <v>20000000</v>
      </c>
      <c r="M38">
        <v>190</v>
      </c>
      <c r="N38">
        <v>190</v>
      </c>
      <c r="O38">
        <v>190</v>
      </c>
      <c r="P38">
        <v>0</v>
      </c>
      <c r="Q38" t="s">
        <v>61</v>
      </c>
      <c r="R38">
        <v>100019666825977</v>
      </c>
      <c r="S38">
        <v>10001160</v>
      </c>
      <c r="T38">
        <v>100019666825977</v>
      </c>
      <c r="U38">
        <v>10001160</v>
      </c>
      <c r="V38" t="s">
        <v>71</v>
      </c>
      <c r="W38">
        <v>29</v>
      </c>
      <c r="X38">
        <v>6835444</v>
      </c>
      <c r="Y38">
        <v>5183312</v>
      </c>
      <c r="Z38">
        <v>12018756</v>
      </c>
      <c r="AA38">
        <v>10001160</v>
      </c>
      <c r="AB38">
        <v>1.7583</v>
      </c>
      <c r="AC38">
        <v>1.9294899999999999</v>
      </c>
      <c r="AD38">
        <v>1.83213</v>
      </c>
      <c r="AE38">
        <v>23.256900000000002</v>
      </c>
      <c r="AF38">
        <v>673050336</v>
      </c>
      <c r="AJ38" t="s">
        <v>173</v>
      </c>
      <c r="AM38">
        <v>115210770</v>
      </c>
      <c r="AN38">
        <v>0</v>
      </c>
      <c r="AO38">
        <v>76803215</v>
      </c>
      <c r="AP38">
        <v>115210770</v>
      </c>
      <c r="AQ38">
        <v>192013985</v>
      </c>
      <c r="AR38">
        <v>57605385</v>
      </c>
      <c r="AS38">
        <v>0</v>
      </c>
      <c r="AT38">
        <v>38401607</v>
      </c>
      <c r="AU38">
        <v>57605385</v>
      </c>
      <c r="AV38">
        <v>96006992</v>
      </c>
      <c r="AW38">
        <v>31.506399999999999</v>
      </c>
      <c r="AX38">
        <v>11.653700000000001</v>
      </c>
      <c r="AY38">
        <v>5492.01</v>
      </c>
      <c r="AZ38">
        <v>3884.63</v>
      </c>
      <c r="BA38">
        <v>2059</v>
      </c>
      <c r="BB38">
        <v>429</v>
      </c>
      <c r="BC38" t="str">
        <f t="shared" si="0"/>
        <v>u=40%, k=2x10^7</v>
      </c>
      <c r="BD38">
        <f t="shared" si="1"/>
        <v>2</v>
      </c>
    </row>
    <row r="39" spans="1:56">
      <c r="A39" t="s">
        <v>174</v>
      </c>
      <c r="B39" t="s">
        <v>105</v>
      </c>
      <c r="D39" t="s">
        <v>64</v>
      </c>
      <c r="E39" t="s">
        <v>59</v>
      </c>
      <c r="F39" t="s">
        <v>60</v>
      </c>
      <c r="G39">
        <v>4000</v>
      </c>
      <c r="H39">
        <v>20</v>
      </c>
      <c r="I39">
        <v>20</v>
      </c>
      <c r="J39">
        <v>0</v>
      </c>
      <c r="K39">
        <v>1</v>
      </c>
      <c r="L39">
        <v>20000000</v>
      </c>
      <c r="M39">
        <v>190</v>
      </c>
      <c r="N39">
        <v>190</v>
      </c>
      <c r="O39">
        <v>190</v>
      </c>
      <c r="P39">
        <v>0</v>
      </c>
      <c r="Q39" t="s">
        <v>61</v>
      </c>
      <c r="R39">
        <v>99972187284734</v>
      </c>
      <c r="S39">
        <v>9998732</v>
      </c>
      <c r="T39">
        <v>99972187284734</v>
      </c>
      <c r="U39">
        <v>9998732</v>
      </c>
      <c r="V39" t="s">
        <v>71</v>
      </c>
      <c r="W39">
        <v>29</v>
      </c>
      <c r="X39">
        <v>6857525</v>
      </c>
      <c r="Y39">
        <v>5203246</v>
      </c>
      <c r="Z39">
        <v>12060771</v>
      </c>
      <c r="AA39">
        <v>9998732</v>
      </c>
      <c r="AB39">
        <v>1.7587600000000001</v>
      </c>
      <c r="AC39">
        <v>1.9216299999999999</v>
      </c>
      <c r="AD39">
        <v>1.8290299999999999</v>
      </c>
      <c r="AE39">
        <v>23.2835</v>
      </c>
      <c r="AF39">
        <v>675403176</v>
      </c>
      <c r="AJ39" t="s">
        <v>175</v>
      </c>
      <c r="AM39">
        <v>227393245</v>
      </c>
      <c r="AN39">
        <v>0</v>
      </c>
      <c r="AO39">
        <v>151598901</v>
      </c>
      <c r="AP39">
        <v>227393245</v>
      </c>
      <c r="AQ39">
        <v>378992146</v>
      </c>
      <c r="AR39">
        <v>56848311</v>
      </c>
      <c r="AS39">
        <v>0</v>
      </c>
      <c r="AT39">
        <v>37899725</v>
      </c>
      <c r="AU39">
        <v>56848311</v>
      </c>
      <c r="AV39">
        <v>94748036</v>
      </c>
      <c r="AW39">
        <v>32.210500000000003</v>
      </c>
      <c r="AX39">
        <v>11.7845</v>
      </c>
      <c r="AY39">
        <v>5572.4</v>
      </c>
      <c r="AZ39">
        <v>3979.69</v>
      </c>
      <c r="BA39">
        <v>2192</v>
      </c>
      <c r="BB39">
        <v>433</v>
      </c>
      <c r="BC39" t="str">
        <f t="shared" si="0"/>
        <v>u=40%, k=2x10^7</v>
      </c>
      <c r="BD39">
        <f t="shared" si="1"/>
        <v>4</v>
      </c>
    </row>
    <row r="40" spans="1:56">
      <c r="A40" t="s">
        <v>176</v>
      </c>
      <c r="B40" t="s">
        <v>105</v>
      </c>
      <c r="D40" t="s">
        <v>64</v>
      </c>
      <c r="E40" t="s">
        <v>59</v>
      </c>
      <c r="F40" t="s">
        <v>60</v>
      </c>
      <c r="G40">
        <v>8000</v>
      </c>
      <c r="H40">
        <v>20</v>
      </c>
      <c r="I40">
        <v>20</v>
      </c>
      <c r="J40">
        <v>0</v>
      </c>
      <c r="K40">
        <v>1</v>
      </c>
      <c r="L40">
        <v>20000000</v>
      </c>
      <c r="M40">
        <v>190</v>
      </c>
      <c r="N40">
        <v>190</v>
      </c>
      <c r="O40">
        <v>190</v>
      </c>
      <c r="P40">
        <v>0</v>
      </c>
      <c r="Q40" t="s">
        <v>61</v>
      </c>
      <c r="R40">
        <v>100034669499869</v>
      </c>
      <c r="S40">
        <v>10000806</v>
      </c>
      <c r="T40">
        <v>100034669499869</v>
      </c>
      <c r="U40">
        <v>10000806</v>
      </c>
      <c r="V40" t="s">
        <v>71</v>
      </c>
      <c r="W40">
        <v>29</v>
      </c>
      <c r="X40">
        <v>6857733</v>
      </c>
      <c r="Y40">
        <v>5202195</v>
      </c>
      <c r="Z40">
        <v>12059928</v>
      </c>
      <c r="AA40">
        <v>10000806</v>
      </c>
      <c r="AB40">
        <v>1.7585900000000001</v>
      </c>
      <c r="AC40">
        <v>1.92242</v>
      </c>
      <c r="AD40">
        <v>1.8292600000000001</v>
      </c>
      <c r="AE40">
        <v>23.2684</v>
      </c>
      <c r="AF40">
        <v>675355968</v>
      </c>
      <c r="AJ40" t="s">
        <v>177</v>
      </c>
      <c r="AM40">
        <v>451401712</v>
      </c>
      <c r="AN40">
        <v>0</v>
      </c>
      <c r="AO40">
        <v>300939234</v>
      </c>
      <c r="AP40">
        <v>451401712</v>
      </c>
      <c r="AQ40">
        <v>752340946</v>
      </c>
      <c r="AR40">
        <v>56425214</v>
      </c>
      <c r="AS40">
        <v>0</v>
      </c>
      <c r="AT40">
        <v>37617404</v>
      </c>
      <c r="AU40">
        <v>56425214</v>
      </c>
      <c r="AV40">
        <v>94042618</v>
      </c>
      <c r="AW40">
        <v>32.004300000000001</v>
      </c>
      <c r="AX40">
        <v>11.9541</v>
      </c>
      <c r="AY40">
        <v>5612.01</v>
      </c>
      <c r="AZ40">
        <v>4023.75</v>
      </c>
      <c r="BA40">
        <v>2345</v>
      </c>
      <c r="BB40">
        <v>427</v>
      </c>
      <c r="BC40" t="str">
        <f t="shared" si="0"/>
        <v>u=40%, k=2x10^7</v>
      </c>
      <c r="BD40">
        <f t="shared" si="1"/>
        <v>8</v>
      </c>
    </row>
    <row r="41" spans="1:56">
      <c r="A41" t="s">
        <v>178</v>
      </c>
      <c r="B41" t="s">
        <v>105</v>
      </c>
      <c r="D41" t="s">
        <v>64</v>
      </c>
      <c r="E41" t="s">
        <v>59</v>
      </c>
      <c r="F41" t="s">
        <v>60</v>
      </c>
      <c r="G41">
        <v>16000</v>
      </c>
      <c r="H41">
        <v>20</v>
      </c>
      <c r="I41">
        <v>20</v>
      </c>
      <c r="J41">
        <v>0</v>
      </c>
      <c r="K41">
        <v>1</v>
      </c>
      <c r="L41">
        <v>20000000</v>
      </c>
      <c r="M41">
        <v>190</v>
      </c>
      <c r="N41">
        <v>190</v>
      </c>
      <c r="O41">
        <v>190</v>
      </c>
      <c r="P41">
        <v>0</v>
      </c>
      <c r="Q41" t="s">
        <v>61</v>
      </c>
      <c r="R41">
        <v>100004166665346</v>
      </c>
      <c r="S41">
        <v>10002755</v>
      </c>
      <c r="T41">
        <v>100004166665346</v>
      </c>
      <c r="U41">
        <v>10002755</v>
      </c>
      <c r="V41" t="s">
        <v>71</v>
      </c>
      <c r="W41">
        <v>29</v>
      </c>
      <c r="X41">
        <v>6860175</v>
      </c>
      <c r="Y41">
        <v>5203432</v>
      </c>
      <c r="Z41">
        <v>12063607</v>
      </c>
      <c r="AA41">
        <v>10002755</v>
      </c>
      <c r="AB41">
        <v>1.7585</v>
      </c>
      <c r="AC41">
        <v>1.9223399999999999</v>
      </c>
      <c r="AD41">
        <v>1.82917</v>
      </c>
      <c r="AE41">
        <v>23.248699999999999</v>
      </c>
      <c r="AF41">
        <v>675561992</v>
      </c>
      <c r="AJ41" t="s">
        <v>179</v>
      </c>
      <c r="AM41">
        <v>888002778</v>
      </c>
      <c r="AN41">
        <v>0</v>
      </c>
      <c r="AO41">
        <v>591964536</v>
      </c>
      <c r="AP41">
        <v>888002778</v>
      </c>
      <c r="AQ41">
        <v>1479967314</v>
      </c>
      <c r="AR41">
        <v>55500173</v>
      </c>
      <c r="AS41">
        <v>0</v>
      </c>
      <c r="AT41">
        <v>36997783</v>
      </c>
      <c r="AU41">
        <v>55500173</v>
      </c>
      <c r="AV41">
        <v>92497957</v>
      </c>
      <c r="AW41">
        <v>32.450699999999998</v>
      </c>
      <c r="AX41">
        <v>12.1379</v>
      </c>
      <c r="AY41">
        <v>5710.04</v>
      </c>
      <c r="AZ41">
        <v>4107.79</v>
      </c>
      <c r="BA41">
        <v>2459</v>
      </c>
      <c r="BB41">
        <v>457</v>
      </c>
      <c r="BC41" t="str">
        <f t="shared" si="0"/>
        <v>u=40%, k=2x10^7</v>
      </c>
      <c r="BD41">
        <f t="shared" si="1"/>
        <v>16</v>
      </c>
    </row>
    <row r="42" spans="1:56">
      <c r="A42" t="s">
        <v>180</v>
      </c>
      <c r="B42" t="s">
        <v>105</v>
      </c>
      <c r="D42" t="s">
        <v>64</v>
      </c>
      <c r="E42" t="s">
        <v>59</v>
      </c>
      <c r="F42" t="s">
        <v>60</v>
      </c>
      <c r="G42">
        <v>32000</v>
      </c>
      <c r="H42">
        <v>20</v>
      </c>
      <c r="I42">
        <v>20</v>
      </c>
      <c r="J42">
        <v>0</v>
      </c>
      <c r="K42">
        <v>1</v>
      </c>
      <c r="L42">
        <v>20000000</v>
      </c>
      <c r="M42">
        <v>190</v>
      </c>
      <c r="N42">
        <v>190</v>
      </c>
      <c r="O42">
        <v>190</v>
      </c>
      <c r="P42">
        <v>0</v>
      </c>
      <c r="Q42" t="s">
        <v>61</v>
      </c>
      <c r="R42">
        <v>100014888483260</v>
      </c>
      <c r="S42">
        <v>10000164</v>
      </c>
      <c r="T42">
        <v>100014888483260</v>
      </c>
      <c r="U42">
        <v>10000164</v>
      </c>
      <c r="V42" t="s">
        <v>71</v>
      </c>
      <c r="W42">
        <v>29</v>
      </c>
      <c r="X42">
        <v>6858391</v>
      </c>
      <c r="Y42">
        <v>5204447</v>
      </c>
      <c r="Z42">
        <v>12062838</v>
      </c>
      <c r="AA42">
        <v>10000164</v>
      </c>
      <c r="AB42">
        <v>1.75884</v>
      </c>
      <c r="AC42">
        <v>1.92147</v>
      </c>
      <c r="AD42">
        <v>1.82901</v>
      </c>
      <c r="AE42">
        <v>23.282</v>
      </c>
      <c r="AF42">
        <v>675518928</v>
      </c>
      <c r="AJ42">
        <v>17464</v>
      </c>
      <c r="AM42">
        <v>1757221260</v>
      </c>
      <c r="AN42">
        <v>0</v>
      </c>
      <c r="AO42">
        <v>1171560413</v>
      </c>
      <c r="AP42">
        <v>1757221260</v>
      </c>
      <c r="AQ42">
        <v>2928781673</v>
      </c>
      <c r="AR42">
        <v>54913164</v>
      </c>
      <c r="AS42">
        <v>0</v>
      </c>
      <c r="AT42">
        <v>36611262</v>
      </c>
      <c r="AU42">
        <v>54913164</v>
      </c>
      <c r="AV42">
        <v>91524427</v>
      </c>
      <c r="AW42">
        <v>33.185099999999998</v>
      </c>
      <c r="AX42">
        <v>12.294499999999999</v>
      </c>
      <c r="AY42">
        <v>5771.56</v>
      </c>
      <c r="AZ42">
        <v>4154.55</v>
      </c>
      <c r="BA42">
        <v>2511</v>
      </c>
      <c r="BB42">
        <v>450</v>
      </c>
      <c r="BC42" t="str">
        <f t="shared" si="0"/>
        <v>u=40%, k=2x10^7</v>
      </c>
      <c r="BD42">
        <f t="shared" si="1"/>
        <v>32</v>
      </c>
    </row>
    <row r="43" spans="1:56">
      <c r="A43" t="s">
        <v>181</v>
      </c>
      <c r="B43" t="s">
        <v>105</v>
      </c>
      <c r="D43" t="s">
        <v>64</v>
      </c>
      <c r="E43" t="s">
        <v>59</v>
      </c>
      <c r="F43" t="s">
        <v>60</v>
      </c>
      <c r="G43">
        <v>64000</v>
      </c>
      <c r="H43">
        <v>20</v>
      </c>
      <c r="I43">
        <v>20</v>
      </c>
      <c r="J43">
        <v>0</v>
      </c>
      <c r="K43">
        <v>1</v>
      </c>
      <c r="L43">
        <v>20000000</v>
      </c>
      <c r="M43">
        <v>190</v>
      </c>
      <c r="N43">
        <v>190</v>
      </c>
      <c r="O43">
        <v>190</v>
      </c>
      <c r="P43">
        <v>0</v>
      </c>
      <c r="Q43" t="s">
        <v>61</v>
      </c>
      <c r="R43">
        <v>100067774164102</v>
      </c>
      <c r="S43">
        <v>10005051</v>
      </c>
      <c r="T43">
        <v>100067774164102</v>
      </c>
      <c r="U43">
        <v>10005051</v>
      </c>
      <c r="V43" t="s">
        <v>71</v>
      </c>
      <c r="W43">
        <v>29</v>
      </c>
      <c r="X43">
        <v>6861369</v>
      </c>
      <c r="Y43">
        <v>5204217</v>
      </c>
      <c r="Z43">
        <v>12065586</v>
      </c>
      <c r="AA43">
        <v>10005051</v>
      </c>
      <c r="AB43">
        <v>1.75848</v>
      </c>
      <c r="AC43">
        <v>1.92249</v>
      </c>
      <c r="AD43">
        <v>1.8292200000000001</v>
      </c>
      <c r="AE43">
        <v>23.2044</v>
      </c>
      <c r="AF43">
        <v>675672816</v>
      </c>
      <c r="AJ43" t="s">
        <v>182</v>
      </c>
      <c r="AM43">
        <v>3495817991</v>
      </c>
      <c r="AN43">
        <v>0</v>
      </c>
      <c r="AO43">
        <v>2330558513</v>
      </c>
      <c r="AP43">
        <v>3495817991</v>
      </c>
      <c r="AQ43">
        <v>5826376504</v>
      </c>
      <c r="AR43">
        <v>54622156</v>
      </c>
      <c r="AS43">
        <v>0</v>
      </c>
      <c r="AT43">
        <v>36414976</v>
      </c>
      <c r="AU43">
        <v>54622156</v>
      </c>
      <c r="AV43">
        <v>91037132</v>
      </c>
      <c r="AW43">
        <v>33.1404</v>
      </c>
      <c r="AX43">
        <v>12.432399999999999</v>
      </c>
      <c r="AY43">
        <v>5803.4</v>
      </c>
      <c r="AZ43">
        <v>4182</v>
      </c>
      <c r="BA43">
        <v>2531</v>
      </c>
      <c r="BB43">
        <v>440</v>
      </c>
      <c r="BC43" t="str">
        <f t="shared" si="0"/>
        <v>u=40%, k=2x10^7</v>
      </c>
      <c r="BD43">
        <f t="shared" si="1"/>
        <v>64</v>
      </c>
    </row>
    <row r="44" spans="1:56">
      <c r="A44" t="s">
        <v>183</v>
      </c>
      <c r="B44" t="s">
        <v>63</v>
      </c>
      <c r="C44">
        <v>72</v>
      </c>
      <c r="D44" t="s">
        <v>64</v>
      </c>
      <c r="E44" t="s">
        <v>59</v>
      </c>
      <c r="F44" t="s">
        <v>60</v>
      </c>
      <c r="G44">
        <v>1000</v>
      </c>
      <c r="H44">
        <v>0.5</v>
      </c>
      <c r="I44">
        <v>0.5</v>
      </c>
      <c r="J44">
        <v>0</v>
      </c>
      <c r="K44">
        <v>1</v>
      </c>
      <c r="L44">
        <v>20000000</v>
      </c>
      <c r="M44">
        <v>190</v>
      </c>
      <c r="N44">
        <v>190</v>
      </c>
      <c r="O44">
        <v>190</v>
      </c>
      <c r="P44">
        <v>0</v>
      </c>
      <c r="Q44" t="s">
        <v>61</v>
      </c>
      <c r="R44">
        <v>99998159463364</v>
      </c>
      <c r="S44">
        <v>10000883</v>
      </c>
      <c r="T44">
        <v>99998159463364</v>
      </c>
      <c r="U44">
        <v>10000883</v>
      </c>
      <c r="V44" t="s">
        <v>71</v>
      </c>
      <c r="W44">
        <v>7</v>
      </c>
      <c r="X44">
        <v>1903154</v>
      </c>
      <c r="Y44">
        <v>12025371</v>
      </c>
      <c r="Z44">
        <v>13928525</v>
      </c>
      <c r="AA44">
        <v>10000883</v>
      </c>
      <c r="AB44">
        <v>7.3186499999999999</v>
      </c>
      <c r="AC44">
        <v>0.83164899999999997</v>
      </c>
      <c r="AD44">
        <v>1.71801</v>
      </c>
      <c r="AE44">
        <v>4.0555000000000003</v>
      </c>
      <c r="AF44">
        <v>344689376</v>
      </c>
      <c r="AG44" t="s">
        <v>184</v>
      </c>
      <c r="AH44" t="s">
        <v>184</v>
      </c>
      <c r="AI44">
        <v>6</v>
      </c>
      <c r="AJ44">
        <v>1664</v>
      </c>
      <c r="AM44">
        <v>264045566</v>
      </c>
      <c r="AN44">
        <v>0</v>
      </c>
      <c r="AO44">
        <v>2667247</v>
      </c>
      <c r="AP44">
        <v>264045566</v>
      </c>
      <c r="AQ44">
        <v>266712813</v>
      </c>
      <c r="AR44">
        <v>264045566</v>
      </c>
      <c r="AS44">
        <v>0</v>
      </c>
      <c r="AT44">
        <v>2667247</v>
      </c>
      <c r="AU44">
        <v>264045566</v>
      </c>
      <c r="AV44">
        <v>266712813</v>
      </c>
      <c r="AW44">
        <v>15.9292</v>
      </c>
      <c r="AX44">
        <v>6.4836999999999998</v>
      </c>
      <c r="AY44">
        <v>1979.93</v>
      </c>
      <c r="AZ44">
        <v>1222.58</v>
      </c>
      <c r="BA44">
        <v>1916</v>
      </c>
      <c r="BB44">
        <v>369</v>
      </c>
      <c r="BC44" t="str">
        <f t="shared" si="0"/>
        <v>u=1%, k=2x10^7</v>
      </c>
      <c r="BD44">
        <f t="shared" si="1"/>
        <v>1</v>
      </c>
    </row>
    <row r="45" spans="1:56">
      <c r="A45" t="s">
        <v>185</v>
      </c>
      <c r="B45" t="s">
        <v>63</v>
      </c>
      <c r="C45">
        <v>72</v>
      </c>
      <c r="D45" t="s">
        <v>64</v>
      </c>
      <c r="E45" t="s">
        <v>59</v>
      </c>
      <c r="F45" t="s">
        <v>60</v>
      </c>
      <c r="G45">
        <v>2000</v>
      </c>
      <c r="H45">
        <v>0.5</v>
      </c>
      <c r="I45">
        <v>0.5</v>
      </c>
      <c r="J45">
        <v>0</v>
      </c>
      <c r="K45">
        <v>1</v>
      </c>
      <c r="L45">
        <v>20000000</v>
      </c>
      <c r="M45">
        <v>190</v>
      </c>
      <c r="N45">
        <v>190</v>
      </c>
      <c r="O45">
        <v>190</v>
      </c>
      <c r="P45">
        <v>0</v>
      </c>
      <c r="Q45" t="s">
        <v>61</v>
      </c>
      <c r="R45">
        <v>100028986580250</v>
      </c>
      <c r="S45">
        <v>10002827</v>
      </c>
      <c r="T45">
        <v>100028986580250</v>
      </c>
      <c r="U45">
        <v>10002827</v>
      </c>
      <c r="V45" t="s">
        <v>71</v>
      </c>
      <c r="W45">
        <v>7</v>
      </c>
      <c r="X45">
        <v>1659390</v>
      </c>
      <c r="Y45">
        <v>11512751</v>
      </c>
      <c r="Z45">
        <v>13172141</v>
      </c>
      <c r="AA45">
        <v>10002827</v>
      </c>
      <c r="AB45">
        <v>7.9379400000000002</v>
      </c>
      <c r="AC45">
        <v>0.86884799999999995</v>
      </c>
      <c r="AD45">
        <v>1.75939</v>
      </c>
      <c r="AE45">
        <v>4.0067199999999996</v>
      </c>
      <c r="AF45">
        <v>316955216</v>
      </c>
      <c r="AG45" t="s">
        <v>186</v>
      </c>
      <c r="AH45" t="s">
        <v>187</v>
      </c>
      <c r="AI45">
        <v>2584</v>
      </c>
      <c r="AJ45">
        <v>3132</v>
      </c>
      <c r="AM45">
        <v>508569913</v>
      </c>
      <c r="AN45">
        <v>0</v>
      </c>
      <c r="AO45">
        <v>5141593</v>
      </c>
      <c r="AP45">
        <v>508569913</v>
      </c>
      <c r="AQ45">
        <v>513711506</v>
      </c>
      <c r="AR45">
        <v>254284956</v>
      </c>
      <c r="AS45">
        <v>0</v>
      </c>
      <c r="AT45">
        <v>2570796</v>
      </c>
      <c r="AU45">
        <v>254284956</v>
      </c>
      <c r="AV45">
        <v>256855753</v>
      </c>
      <c r="AW45">
        <v>16.1431</v>
      </c>
      <c r="AX45">
        <v>6.5848800000000001</v>
      </c>
      <c r="AY45">
        <v>2001.99</v>
      </c>
      <c r="AZ45">
        <v>1240.3499999999999</v>
      </c>
      <c r="BA45">
        <v>2596</v>
      </c>
      <c r="BB45">
        <v>397</v>
      </c>
      <c r="BC45" t="str">
        <f t="shared" si="0"/>
        <v>u=1%, k=2x10^7</v>
      </c>
      <c r="BD45">
        <f t="shared" si="1"/>
        <v>2</v>
      </c>
    </row>
    <row r="46" spans="1:56">
      <c r="A46" t="s">
        <v>188</v>
      </c>
      <c r="B46" t="s">
        <v>63</v>
      </c>
      <c r="C46">
        <v>72</v>
      </c>
      <c r="D46" t="s">
        <v>64</v>
      </c>
      <c r="E46" t="s">
        <v>59</v>
      </c>
      <c r="F46" t="s">
        <v>60</v>
      </c>
      <c r="G46">
        <v>4000</v>
      </c>
      <c r="H46">
        <v>0.5</v>
      </c>
      <c r="I46">
        <v>0.5</v>
      </c>
      <c r="J46">
        <v>0</v>
      </c>
      <c r="K46">
        <v>1</v>
      </c>
      <c r="L46">
        <v>20000000</v>
      </c>
      <c r="M46">
        <v>190</v>
      </c>
      <c r="N46">
        <v>190</v>
      </c>
      <c r="O46">
        <v>190</v>
      </c>
      <c r="P46">
        <v>0</v>
      </c>
      <c r="Q46" t="s">
        <v>61</v>
      </c>
      <c r="R46">
        <v>99982725658371</v>
      </c>
      <c r="S46">
        <v>9998836</v>
      </c>
      <c r="T46">
        <v>99982725658371</v>
      </c>
      <c r="U46">
        <v>9998836</v>
      </c>
      <c r="V46" t="s">
        <v>71</v>
      </c>
      <c r="W46">
        <v>7</v>
      </c>
      <c r="X46">
        <v>1641720</v>
      </c>
      <c r="Y46">
        <v>11473081</v>
      </c>
      <c r="Z46">
        <v>13114801</v>
      </c>
      <c r="AA46">
        <v>9998836</v>
      </c>
      <c r="AB46">
        <v>7.9884500000000003</v>
      </c>
      <c r="AC46">
        <v>0.87150399999999995</v>
      </c>
      <c r="AD46">
        <v>1.76241</v>
      </c>
      <c r="AE46">
        <v>4.00319</v>
      </c>
      <c r="AF46">
        <v>314906880</v>
      </c>
      <c r="AG46" t="s">
        <v>189</v>
      </c>
      <c r="AH46" t="s">
        <v>190</v>
      </c>
      <c r="AI46">
        <v>5280</v>
      </c>
      <c r="AJ46">
        <v>6198</v>
      </c>
      <c r="AM46">
        <v>995640567</v>
      </c>
      <c r="AN46">
        <v>0</v>
      </c>
      <c r="AO46">
        <v>10060465</v>
      </c>
      <c r="AP46">
        <v>995640567</v>
      </c>
      <c r="AQ46">
        <v>1005701032</v>
      </c>
      <c r="AR46">
        <v>248910141</v>
      </c>
      <c r="AS46">
        <v>0</v>
      </c>
      <c r="AT46">
        <v>2515116</v>
      </c>
      <c r="AU46">
        <v>248910141</v>
      </c>
      <c r="AV46">
        <v>251425258</v>
      </c>
      <c r="AW46">
        <v>16.2437</v>
      </c>
      <c r="AX46">
        <v>6.6146000000000003</v>
      </c>
      <c r="AY46">
        <v>2049.27</v>
      </c>
      <c r="AZ46">
        <v>1276.73</v>
      </c>
      <c r="BA46">
        <v>2734</v>
      </c>
      <c r="BB46">
        <v>406</v>
      </c>
      <c r="BC46" t="str">
        <f t="shared" si="0"/>
        <v>u=1%, k=2x10^7</v>
      </c>
      <c r="BD46">
        <f t="shared" si="1"/>
        <v>4</v>
      </c>
    </row>
    <row r="47" spans="1:56">
      <c r="A47" t="s">
        <v>191</v>
      </c>
      <c r="B47" t="s">
        <v>63</v>
      </c>
      <c r="C47">
        <v>72</v>
      </c>
      <c r="D47" t="s">
        <v>64</v>
      </c>
      <c r="E47" t="s">
        <v>59</v>
      </c>
      <c r="F47" t="s">
        <v>60</v>
      </c>
      <c r="G47">
        <v>8000</v>
      </c>
      <c r="H47">
        <v>0.5</v>
      </c>
      <c r="I47">
        <v>0.5</v>
      </c>
      <c r="J47">
        <v>0</v>
      </c>
      <c r="K47">
        <v>1</v>
      </c>
      <c r="L47">
        <v>20000000</v>
      </c>
      <c r="M47">
        <v>190</v>
      </c>
      <c r="N47">
        <v>190</v>
      </c>
      <c r="O47">
        <v>190</v>
      </c>
      <c r="P47">
        <v>0</v>
      </c>
      <c r="Q47" t="s">
        <v>61</v>
      </c>
      <c r="R47">
        <v>99963073237890</v>
      </c>
      <c r="S47">
        <v>9997351</v>
      </c>
      <c r="T47">
        <v>99963073237890</v>
      </c>
      <c r="U47">
        <v>9997351</v>
      </c>
      <c r="V47" t="s">
        <v>71</v>
      </c>
      <c r="W47">
        <v>7</v>
      </c>
      <c r="X47">
        <v>1647170</v>
      </c>
      <c r="Y47">
        <v>11483310</v>
      </c>
      <c r="Z47">
        <v>13130480</v>
      </c>
      <c r="AA47">
        <v>9997351</v>
      </c>
      <c r="AB47">
        <v>7.9715400000000001</v>
      </c>
      <c r="AC47">
        <v>0.87059799999999998</v>
      </c>
      <c r="AD47">
        <v>1.76139</v>
      </c>
      <c r="AE47">
        <v>4.0043800000000003</v>
      </c>
      <c r="AF47">
        <v>315506544</v>
      </c>
      <c r="AG47" t="s">
        <v>192</v>
      </c>
      <c r="AH47" t="s">
        <v>193</v>
      </c>
      <c r="AI47">
        <v>9848</v>
      </c>
      <c r="AJ47">
        <v>12364</v>
      </c>
      <c r="AM47">
        <v>1988369360</v>
      </c>
      <c r="AN47">
        <v>0</v>
      </c>
      <c r="AO47">
        <v>20086196</v>
      </c>
      <c r="AP47">
        <v>1988369360</v>
      </c>
      <c r="AQ47">
        <v>2008455556</v>
      </c>
      <c r="AR47">
        <v>248546170</v>
      </c>
      <c r="AS47">
        <v>0</v>
      </c>
      <c r="AT47">
        <v>2510774</v>
      </c>
      <c r="AU47">
        <v>248546170</v>
      </c>
      <c r="AV47">
        <v>251056944</v>
      </c>
      <c r="AW47">
        <v>16.2212</v>
      </c>
      <c r="AX47">
        <v>6.6342800000000004</v>
      </c>
      <c r="AY47">
        <v>2069.0300000000002</v>
      </c>
      <c r="AZ47">
        <v>1291.54</v>
      </c>
      <c r="BA47">
        <v>2782</v>
      </c>
      <c r="BB47">
        <v>385</v>
      </c>
      <c r="BC47" t="str">
        <f t="shared" ref="BC47:BC85" si="2">"u="&amp;(H47+I47)&amp;"%, k=2x10^"&amp;LOG10(L47/2)</f>
        <v>u=1%, k=2x10^7</v>
      </c>
      <c r="BD47">
        <f t="shared" ref="BD47:BD85" si="3">G47/1000</f>
        <v>8</v>
      </c>
    </row>
    <row r="48" spans="1:56">
      <c r="A48" t="s">
        <v>194</v>
      </c>
      <c r="B48" t="s">
        <v>63</v>
      </c>
      <c r="C48">
        <v>72</v>
      </c>
      <c r="D48" t="s">
        <v>64</v>
      </c>
      <c r="E48" t="s">
        <v>59</v>
      </c>
      <c r="F48" t="s">
        <v>60</v>
      </c>
      <c r="G48">
        <v>16000</v>
      </c>
      <c r="H48">
        <v>0.5</v>
      </c>
      <c r="I48">
        <v>0.5</v>
      </c>
      <c r="J48">
        <v>0</v>
      </c>
      <c r="K48">
        <v>1</v>
      </c>
      <c r="L48">
        <v>20000000</v>
      </c>
      <c r="M48">
        <v>190</v>
      </c>
      <c r="N48">
        <v>190</v>
      </c>
      <c r="O48">
        <v>190</v>
      </c>
      <c r="P48">
        <v>0</v>
      </c>
      <c r="Q48" t="s">
        <v>61</v>
      </c>
      <c r="R48">
        <v>99947681666817</v>
      </c>
      <c r="S48">
        <v>9994827</v>
      </c>
      <c r="T48">
        <v>99947681666817</v>
      </c>
      <c r="U48">
        <v>9994827</v>
      </c>
      <c r="V48" t="s">
        <v>71</v>
      </c>
      <c r="W48">
        <v>7</v>
      </c>
      <c r="X48">
        <v>1829631</v>
      </c>
      <c r="Y48">
        <v>11862801</v>
      </c>
      <c r="Z48">
        <v>13692432</v>
      </c>
      <c r="AA48">
        <v>9994827</v>
      </c>
      <c r="AB48">
        <v>7.4837100000000003</v>
      </c>
      <c r="AC48">
        <v>0.84253500000000003</v>
      </c>
      <c r="AD48">
        <v>1.7299500000000001</v>
      </c>
      <c r="AE48">
        <v>4.0417199999999998</v>
      </c>
      <c r="AF48">
        <v>336182608</v>
      </c>
      <c r="AG48" t="s">
        <v>195</v>
      </c>
      <c r="AH48" t="s">
        <v>196</v>
      </c>
      <c r="AI48">
        <v>18461</v>
      </c>
      <c r="AJ48">
        <v>24528</v>
      </c>
      <c r="AM48">
        <v>3954547788</v>
      </c>
      <c r="AN48">
        <v>0</v>
      </c>
      <c r="AO48">
        <v>39953810</v>
      </c>
      <c r="AP48">
        <v>3954547788</v>
      </c>
      <c r="AQ48">
        <v>3994501598</v>
      </c>
      <c r="AR48">
        <v>247159236</v>
      </c>
      <c r="AS48">
        <v>0</v>
      </c>
      <c r="AT48">
        <v>2497113</v>
      </c>
      <c r="AU48">
        <v>247159236</v>
      </c>
      <c r="AV48">
        <v>249656349</v>
      </c>
      <c r="AW48">
        <v>16.325399999999998</v>
      </c>
      <c r="AX48">
        <v>6.6433799999999996</v>
      </c>
      <c r="AY48">
        <v>2087.69</v>
      </c>
      <c r="AZ48">
        <v>1313.37</v>
      </c>
      <c r="BA48">
        <v>2731</v>
      </c>
      <c r="BB48">
        <v>416</v>
      </c>
      <c r="BC48" t="str">
        <f t="shared" si="2"/>
        <v>u=1%, k=2x10^7</v>
      </c>
      <c r="BD48">
        <f t="shared" si="3"/>
        <v>16</v>
      </c>
    </row>
    <row r="49" spans="1:56">
      <c r="A49" t="s">
        <v>197</v>
      </c>
      <c r="B49" t="s">
        <v>63</v>
      </c>
      <c r="C49">
        <v>72</v>
      </c>
      <c r="D49" t="s">
        <v>64</v>
      </c>
      <c r="E49" t="s">
        <v>59</v>
      </c>
      <c r="F49" t="s">
        <v>60</v>
      </c>
      <c r="G49">
        <v>32000</v>
      </c>
      <c r="H49">
        <v>0.5</v>
      </c>
      <c r="I49">
        <v>0.5</v>
      </c>
      <c r="J49">
        <v>0</v>
      </c>
      <c r="K49">
        <v>1</v>
      </c>
      <c r="L49">
        <v>20000000</v>
      </c>
      <c r="M49">
        <v>190</v>
      </c>
      <c r="N49">
        <v>190</v>
      </c>
      <c r="O49">
        <v>190</v>
      </c>
      <c r="P49">
        <v>0</v>
      </c>
      <c r="Q49" t="s">
        <v>61</v>
      </c>
      <c r="R49">
        <v>99999475089589</v>
      </c>
      <c r="S49">
        <v>10000383</v>
      </c>
      <c r="T49">
        <v>99999475089589</v>
      </c>
      <c r="U49">
        <v>10000383</v>
      </c>
      <c r="V49" t="s">
        <v>71</v>
      </c>
      <c r="W49">
        <v>7</v>
      </c>
      <c r="X49">
        <v>1697094</v>
      </c>
      <c r="Y49">
        <v>11586364</v>
      </c>
      <c r="Z49">
        <v>13283458</v>
      </c>
      <c r="AA49">
        <v>10000383</v>
      </c>
      <c r="AB49">
        <v>7.8271800000000002</v>
      </c>
      <c r="AC49">
        <v>0.86311700000000002</v>
      </c>
      <c r="AD49">
        <v>1.75284</v>
      </c>
      <c r="AE49">
        <v>4.0142600000000002</v>
      </c>
      <c r="AF49">
        <v>321149440</v>
      </c>
      <c r="AG49" t="s">
        <v>198</v>
      </c>
      <c r="AH49" t="s">
        <v>199</v>
      </c>
      <c r="AI49">
        <v>37849</v>
      </c>
      <c r="AJ49">
        <v>49672</v>
      </c>
      <c r="AM49">
        <v>7954788171</v>
      </c>
      <c r="AN49">
        <v>0</v>
      </c>
      <c r="AO49">
        <v>80343432</v>
      </c>
      <c r="AP49">
        <v>7954788171</v>
      </c>
      <c r="AQ49">
        <v>8035131603</v>
      </c>
      <c r="AR49">
        <v>248587130</v>
      </c>
      <c r="AS49">
        <v>0</v>
      </c>
      <c r="AT49">
        <v>2510732</v>
      </c>
      <c r="AU49">
        <v>248587130</v>
      </c>
      <c r="AV49">
        <v>251097862</v>
      </c>
      <c r="AW49">
        <v>16.327500000000001</v>
      </c>
      <c r="AX49">
        <v>6.6603300000000001</v>
      </c>
      <c r="AY49">
        <v>2079.17</v>
      </c>
      <c r="AZ49">
        <v>1305.53</v>
      </c>
      <c r="BA49">
        <v>2770</v>
      </c>
      <c r="BB49">
        <v>427</v>
      </c>
      <c r="BC49" t="str">
        <f t="shared" si="2"/>
        <v>u=1%, k=2x10^7</v>
      </c>
      <c r="BD49">
        <f t="shared" si="3"/>
        <v>32</v>
      </c>
    </row>
    <row r="50" spans="1:56">
      <c r="A50" t="s">
        <v>200</v>
      </c>
      <c r="B50" t="s">
        <v>63</v>
      </c>
      <c r="C50">
        <v>72</v>
      </c>
      <c r="D50" t="s">
        <v>64</v>
      </c>
      <c r="E50" t="s">
        <v>59</v>
      </c>
      <c r="F50" t="s">
        <v>60</v>
      </c>
      <c r="G50">
        <v>64000</v>
      </c>
      <c r="H50">
        <v>0.5</v>
      </c>
      <c r="I50">
        <v>0.5</v>
      </c>
      <c r="J50">
        <v>0</v>
      </c>
      <c r="K50">
        <v>1</v>
      </c>
      <c r="L50">
        <v>20000000</v>
      </c>
      <c r="M50">
        <v>190</v>
      </c>
      <c r="N50">
        <v>190</v>
      </c>
      <c r="O50">
        <v>190</v>
      </c>
      <c r="P50">
        <v>0</v>
      </c>
      <c r="Q50" t="s">
        <v>61</v>
      </c>
      <c r="R50">
        <v>100031023042845</v>
      </c>
      <c r="S50">
        <v>10000648</v>
      </c>
      <c r="T50">
        <v>100031023042845</v>
      </c>
      <c r="U50">
        <v>10000648</v>
      </c>
      <c r="V50" t="s">
        <v>71</v>
      </c>
      <c r="W50">
        <v>7</v>
      </c>
      <c r="X50">
        <v>1685228</v>
      </c>
      <c r="Y50">
        <v>11562413</v>
      </c>
      <c r="Z50">
        <v>13247641</v>
      </c>
      <c r="AA50">
        <v>10000648</v>
      </c>
      <c r="AB50">
        <v>7.86104</v>
      </c>
      <c r="AC50">
        <v>0.864927</v>
      </c>
      <c r="AD50">
        <v>1.7548999999999999</v>
      </c>
      <c r="AE50">
        <v>4.0118900000000002</v>
      </c>
      <c r="AF50">
        <v>319816896</v>
      </c>
      <c r="AG50" t="s">
        <v>201</v>
      </c>
      <c r="AH50" t="s">
        <v>202</v>
      </c>
      <c r="AI50">
        <v>75233</v>
      </c>
      <c r="AJ50">
        <v>99156</v>
      </c>
      <c r="AM50">
        <v>15862871639</v>
      </c>
      <c r="AN50">
        <v>0</v>
      </c>
      <c r="AO50">
        <v>160238071</v>
      </c>
      <c r="AP50">
        <v>15862871639</v>
      </c>
      <c r="AQ50">
        <v>16023109710</v>
      </c>
      <c r="AR50">
        <v>247857369</v>
      </c>
      <c r="AS50">
        <v>0</v>
      </c>
      <c r="AT50">
        <v>2503719</v>
      </c>
      <c r="AU50">
        <v>247857369</v>
      </c>
      <c r="AV50">
        <v>250361089</v>
      </c>
      <c r="AW50">
        <v>16.3644</v>
      </c>
      <c r="AX50">
        <v>6.6663500000000004</v>
      </c>
      <c r="AY50">
        <v>2086.08</v>
      </c>
      <c r="AZ50">
        <v>1313.47</v>
      </c>
      <c r="BA50">
        <v>2774</v>
      </c>
      <c r="BB50">
        <v>343</v>
      </c>
      <c r="BC50" t="str">
        <f t="shared" si="2"/>
        <v>u=1%, k=2x10^7</v>
      </c>
      <c r="BD50">
        <f t="shared" si="3"/>
        <v>64</v>
      </c>
    </row>
    <row r="51" spans="1:56">
      <c r="A51" t="s">
        <v>203</v>
      </c>
      <c r="B51" t="s">
        <v>105</v>
      </c>
      <c r="D51" t="s">
        <v>64</v>
      </c>
      <c r="E51" t="s">
        <v>59</v>
      </c>
      <c r="F51" t="s">
        <v>60</v>
      </c>
      <c r="G51">
        <v>1000</v>
      </c>
      <c r="H51">
        <v>0.5</v>
      </c>
      <c r="I51">
        <v>0.5</v>
      </c>
      <c r="J51">
        <v>0</v>
      </c>
      <c r="K51">
        <v>1</v>
      </c>
      <c r="L51">
        <v>20000000</v>
      </c>
      <c r="M51">
        <v>190</v>
      </c>
      <c r="N51">
        <v>190</v>
      </c>
      <c r="O51">
        <v>190</v>
      </c>
      <c r="P51">
        <v>0</v>
      </c>
      <c r="Q51" t="s">
        <v>61</v>
      </c>
      <c r="R51">
        <v>100012211489050</v>
      </c>
      <c r="S51">
        <v>10001194</v>
      </c>
      <c r="T51">
        <v>100012211489050</v>
      </c>
      <c r="U51">
        <v>10001194</v>
      </c>
      <c r="V51" t="s">
        <v>71</v>
      </c>
      <c r="W51">
        <v>29</v>
      </c>
      <c r="X51">
        <v>5779739</v>
      </c>
      <c r="Y51">
        <v>4339102</v>
      </c>
      <c r="Z51">
        <v>10118841</v>
      </c>
      <c r="AA51">
        <v>10001194</v>
      </c>
      <c r="AB51">
        <v>1.75074</v>
      </c>
      <c r="AC51">
        <v>2.3048999999999999</v>
      </c>
      <c r="AD51">
        <v>1.98837</v>
      </c>
      <c r="AE51">
        <v>22.7013</v>
      </c>
      <c r="AF51">
        <v>566655096</v>
      </c>
      <c r="AJ51">
        <v>836</v>
      </c>
      <c r="AM51">
        <v>112769055</v>
      </c>
      <c r="AN51">
        <v>0</v>
      </c>
      <c r="AO51">
        <v>1139961</v>
      </c>
      <c r="AP51">
        <v>112769055</v>
      </c>
      <c r="AQ51">
        <v>113909016</v>
      </c>
      <c r="AR51">
        <v>112769055</v>
      </c>
      <c r="AS51">
        <v>0</v>
      </c>
      <c r="AT51">
        <v>1139961</v>
      </c>
      <c r="AU51">
        <v>112769055</v>
      </c>
      <c r="AV51">
        <v>113909016</v>
      </c>
      <c r="AW51">
        <v>28.665099999999999</v>
      </c>
      <c r="AX51">
        <v>10.4587</v>
      </c>
      <c r="AY51">
        <v>4603.08</v>
      </c>
      <c r="AZ51">
        <v>3248.04</v>
      </c>
      <c r="BA51">
        <v>1762</v>
      </c>
      <c r="BB51">
        <v>433</v>
      </c>
      <c r="BC51" t="str">
        <f t="shared" si="2"/>
        <v>u=1%, k=2x10^7</v>
      </c>
      <c r="BD51">
        <f t="shared" si="3"/>
        <v>1</v>
      </c>
    </row>
    <row r="52" spans="1:56">
      <c r="A52" t="s">
        <v>204</v>
      </c>
      <c r="B52" t="s">
        <v>105</v>
      </c>
      <c r="D52" t="s">
        <v>64</v>
      </c>
      <c r="E52" t="s">
        <v>59</v>
      </c>
      <c r="F52" t="s">
        <v>60</v>
      </c>
      <c r="G52">
        <v>2000</v>
      </c>
      <c r="H52">
        <v>0.5</v>
      </c>
      <c r="I52">
        <v>0.5</v>
      </c>
      <c r="J52">
        <v>0</v>
      </c>
      <c r="K52">
        <v>1</v>
      </c>
      <c r="L52">
        <v>20000000</v>
      </c>
      <c r="M52">
        <v>190</v>
      </c>
      <c r="N52">
        <v>190</v>
      </c>
      <c r="O52">
        <v>190</v>
      </c>
      <c r="P52">
        <v>0</v>
      </c>
      <c r="Q52" t="s">
        <v>61</v>
      </c>
      <c r="R52">
        <v>100031613149026</v>
      </c>
      <c r="S52">
        <v>10000673</v>
      </c>
      <c r="T52">
        <v>100031613149026</v>
      </c>
      <c r="U52">
        <v>10000673</v>
      </c>
      <c r="V52" t="s">
        <v>71</v>
      </c>
      <c r="W52">
        <v>29</v>
      </c>
      <c r="X52">
        <v>5842552</v>
      </c>
      <c r="Y52">
        <v>4390440</v>
      </c>
      <c r="Z52">
        <v>10232992</v>
      </c>
      <c r="AA52">
        <v>10000673</v>
      </c>
      <c r="AB52">
        <v>1.75146</v>
      </c>
      <c r="AC52">
        <v>2.2778299999999998</v>
      </c>
      <c r="AD52">
        <v>1.9773000000000001</v>
      </c>
      <c r="AE52">
        <v>22.7621</v>
      </c>
      <c r="AF52">
        <v>573047552</v>
      </c>
      <c r="AJ52" t="s">
        <v>205</v>
      </c>
      <c r="AM52">
        <v>228539748</v>
      </c>
      <c r="AN52">
        <v>0</v>
      </c>
      <c r="AO52">
        <v>2307483</v>
      </c>
      <c r="AP52">
        <v>228539748</v>
      </c>
      <c r="AQ52">
        <v>230847231</v>
      </c>
      <c r="AR52">
        <v>114269874</v>
      </c>
      <c r="AS52">
        <v>0</v>
      </c>
      <c r="AT52">
        <v>1153741</v>
      </c>
      <c r="AU52">
        <v>114269874</v>
      </c>
      <c r="AV52">
        <v>115423615</v>
      </c>
      <c r="AW52">
        <v>28.585899999999999</v>
      </c>
      <c r="AX52">
        <v>10.5718</v>
      </c>
      <c r="AY52">
        <v>4569.5200000000004</v>
      </c>
      <c r="AZ52">
        <v>3215</v>
      </c>
      <c r="BA52">
        <v>1770</v>
      </c>
      <c r="BB52">
        <v>453</v>
      </c>
      <c r="BC52" t="str">
        <f t="shared" si="2"/>
        <v>u=1%, k=2x10^7</v>
      </c>
      <c r="BD52">
        <f t="shared" si="3"/>
        <v>2</v>
      </c>
    </row>
    <row r="53" spans="1:56">
      <c r="A53" t="s">
        <v>206</v>
      </c>
      <c r="B53" t="s">
        <v>105</v>
      </c>
      <c r="D53" t="s">
        <v>64</v>
      </c>
      <c r="E53" t="s">
        <v>59</v>
      </c>
      <c r="F53" t="s">
        <v>60</v>
      </c>
      <c r="G53">
        <v>4000</v>
      </c>
      <c r="H53">
        <v>0.5</v>
      </c>
      <c r="I53">
        <v>0.5</v>
      </c>
      <c r="J53">
        <v>0</v>
      </c>
      <c r="K53">
        <v>1</v>
      </c>
      <c r="L53">
        <v>20000000</v>
      </c>
      <c r="M53">
        <v>190</v>
      </c>
      <c r="N53">
        <v>190</v>
      </c>
      <c r="O53">
        <v>190</v>
      </c>
      <c r="P53">
        <v>0</v>
      </c>
      <c r="Q53" t="s">
        <v>61</v>
      </c>
      <c r="R53">
        <v>99991022118329</v>
      </c>
      <c r="S53">
        <v>9998743</v>
      </c>
      <c r="T53">
        <v>99991022118329</v>
      </c>
      <c r="U53">
        <v>9998743</v>
      </c>
      <c r="V53" t="s">
        <v>71</v>
      </c>
      <c r="W53">
        <v>29</v>
      </c>
      <c r="X53">
        <v>5952731</v>
      </c>
      <c r="Y53">
        <v>4482292</v>
      </c>
      <c r="Z53">
        <v>10435023</v>
      </c>
      <c r="AA53">
        <v>9998743</v>
      </c>
      <c r="AB53">
        <v>1.75298</v>
      </c>
      <c r="AC53">
        <v>2.2307199999999998</v>
      </c>
      <c r="AD53">
        <v>1.9581900000000001</v>
      </c>
      <c r="AE53">
        <v>22.790099999999999</v>
      </c>
      <c r="AF53">
        <v>584361288</v>
      </c>
      <c r="AJ53" t="s">
        <v>207</v>
      </c>
      <c r="AM53">
        <v>456763699</v>
      </c>
      <c r="AN53">
        <v>0</v>
      </c>
      <c r="AO53">
        <v>4611323</v>
      </c>
      <c r="AP53">
        <v>456763699</v>
      </c>
      <c r="AQ53">
        <v>461375022</v>
      </c>
      <c r="AR53">
        <v>114190924</v>
      </c>
      <c r="AS53">
        <v>0</v>
      </c>
      <c r="AT53">
        <v>1152830</v>
      </c>
      <c r="AU53">
        <v>114190924</v>
      </c>
      <c r="AV53">
        <v>115343755</v>
      </c>
      <c r="AW53">
        <v>28.6814</v>
      </c>
      <c r="AX53">
        <v>10.649699999999999</v>
      </c>
      <c r="AY53">
        <v>4581.7299999999996</v>
      </c>
      <c r="AZ53">
        <v>3207.87</v>
      </c>
      <c r="BA53">
        <v>1782</v>
      </c>
      <c r="BB53">
        <v>445</v>
      </c>
      <c r="BC53" t="str">
        <f t="shared" si="2"/>
        <v>u=1%, k=2x10^7</v>
      </c>
      <c r="BD53">
        <f t="shared" si="3"/>
        <v>4</v>
      </c>
    </row>
    <row r="54" spans="1:56">
      <c r="A54" t="s">
        <v>208</v>
      </c>
      <c r="B54" t="s">
        <v>105</v>
      </c>
      <c r="D54" t="s">
        <v>64</v>
      </c>
      <c r="E54" t="s">
        <v>59</v>
      </c>
      <c r="F54" t="s">
        <v>60</v>
      </c>
      <c r="G54">
        <v>8000</v>
      </c>
      <c r="H54">
        <v>0.5</v>
      </c>
      <c r="I54">
        <v>0.5</v>
      </c>
      <c r="J54">
        <v>0</v>
      </c>
      <c r="K54">
        <v>1</v>
      </c>
      <c r="L54">
        <v>20000000</v>
      </c>
      <c r="M54">
        <v>190</v>
      </c>
      <c r="N54">
        <v>190</v>
      </c>
      <c r="O54">
        <v>190</v>
      </c>
      <c r="P54">
        <v>0</v>
      </c>
      <c r="Q54" t="s">
        <v>61</v>
      </c>
      <c r="R54">
        <v>100032659352433</v>
      </c>
      <c r="S54">
        <v>10000536</v>
      </c>
      <c r="T54">
        <v>100032659352433</v>
      </c>
      <c r="U54">
        <v>10000536</v>
      </c>
      <c r="V54" t="s">
        <v>71</v>
      </c>
      <c r="W54">
        <v>29</v>
      </c>
      <c r="X54">
        <v>6141346</v>
      </c>
      <c r="Y54">
        <v>4633779</v>
      </c>
      <c r="Z54">
        <v>10775125</v>
      </c>
      <c r="AA54">
        <v>10000536</v>
      </c>
      <c r="AB54">
        <v>1.7545200000000001</v>
      </c>
      <c r="AC54">
        <v>2.1581800000000002</v>
      </c>
      <c r="AD54">
        <v>1.92811</v>
      </c>
      <c r="AE54">
        <v>22.865200000000002</v>
      </c>
      <c r="AF54">
        <v>603407000</v>
      </c>
      <c r="AJ54" t="s">
        <v>209</v>
      </c>
      <c r="AM54">
        <v>908481616</v>
      </c>
      <c r="AN54">
        <v>0</v>
      </c>
      <c r="AO54">
        <v>9177305</v>
      </c>
      <c r="AP54">
        <v>908481616</v>
      </c>
      <c r="AQ54">
        <v>917658921</v>
      </c>
      <c r="AR54">
        <v>113560202</v>
      </c>
      <c r="AS54">
        <v>0</v>
      </c>
      <c r="AT54">
        <v>1147163</v>
      </c>
      <c r="AU54">
        <v>113560202</v>
      </c>
      <c r="AV54">
        <v>114707365</v>
      </c>
      <c r="AW54">
        <v>28.727599999999999</v>
      </c>
      <c r="AX54">
        <v>10.7377</v>
      </c>
      <c r="AY54">
        <v>4603.1000000000004</v>
      </c>
      <c r="AZ54">
        <v>3236.79</v>
      </c>
      <c r="BA54">
        <v>1804</v>
      </c>
      <c r="BB54">
        <v>447</v>
      </c>
      <c r="BC54" t="str">
        <f t="shared" si="2"/>
        <v>u=1%, k=2x10^7</v>
      </c>
      <c r="BD54">
        <f t="shared" si="3"/>
        <v>8</v>
      </c>
    </row>
    <row r="55" spans="1:56">
      <c r="A55" t="s">
        <v>210</v>
      </c>
      <c r="B55" t="s">
        <v>105</v>
      </c>
      <c r="D55" t="s">
        <v>64</v>
      </c>
      <c r="E55" t="s">
        <v>59</v>
      </c>
      <c r="F55" t="s">
        <v>60</v>
      </c>
      <c r="G55">
        <v>16000</v>
      </c>
      <c r="H55">
        <v>0.5</v>
      </c>
      <c r="I55">
        <v>0.5</v>
      </c>
      <c r="J55">
        <v>0</v>
      </c>
      <c r="K55">
        <v>1</v>
      </c>
      <c r="L55">
        <v>20000000</v>
      </c>
      <c r="M55">
        <v>190</v>
      </c>
      <c r="N55">
        <v>190</v>
      </c>
      <c r="O55">
        <v>190</v>
      </c>
      <c r="P55">
        <v>0</v>
      </c>
      <c r="Q55" t="s">
        <v>61</v>
      </c>
      <c r="R55">
        <v>99992133803743</v>
      </c>
      <c r="S55">
        <v>9999536</v>
      </c>
      <c r="T55">
        <v>99992133803743</v>
      </c>
      <c r="U55">
        <v>9999536</v>
      </c>
      <c r="V55" t="s">
        <v>71</v>
      </c>
      <c r="W55">
        <v>29</v>
      </c>
      <c r="X55">
        <v>6406833</v>
      </c>
      <c r="Y55">
        <v>4844197</v>
      </c>
      <c r="Z55">
        <v>11251030</v>
      </c>
      <c r="AA55">
        <v>9999536</v>
      </c>
      <c r="AB55">
        <v>1.7561</v>
      </c>
      <c r="AC55">
        <v>2.0642299999999998</v>
      </c>
      <c r="AD55">
        <v>1.8887700000000001</v>
      </c>
      <c r="AE55">
        <v>23.1084</v>
      </c>
      <c r="AF55">
        <v>630057680</v>
      </c>
      <c r="AJ55" t="s">
        <v>211</v>
      </c>
      <c r="AM55">
        <v>1808291232</v>
      </c>
      <c r="AN55">
        <v>0</v>
      </c>
      <c r="AO55">
        <v>18264415</v>
      </c>
      <c r="AP55">
        <v>1808291232</v>
      </c>
      <c r="AQ55">
        <v>1826555647</v>
      </c>
      <c r="AR55">
        <v>113018202</v>
      </c>
      <c r="AS55">
        <v>0</v>
      </c>
      <c r="AT55">
        <v>1141525</v>
      </c>
      <c r="AU55">
        <v>113018202</v>
      </c>
      <c r="AV55">
        <v>114159727</v>
      </c>
      <c r="AW55">
        <v>29.032599999999999</v>
      </c>
      <c r="AX55">
        <v>10.811400000000001</v>
      </c>
      <c r="AY55">
        <v>4620.95</v>
      </c>
      <c r="AZ55">
        <v>3255.2</v>
      </c>
      <c r="BA55">
        <v>1836</v>
      </c>
      <c r="BB55">
        <v>431</v>
      </c>
      <c r="BC55" t="str">
        <f t="shared" si="2"/>
        <v>u=1%, k=2x10^7</v>
      </c>
      <c r="BD55">
        <f t="shared" si="3"/>
        <v>16</v>
      </c>
    </row>
    <row r="56" spans="1:56">
      <c r="A56" t="s">
        <v>212</v>
      </c>
      <c r="B56" t="s">
        <v>105</v>
      </c>
      <c r="D56" t="s">
        <v>64</v>
      </c>
      <c r="E56" t="s">
        <v>59</v>
      </c>
      <c r="F56" t="s">
        <v>60</v>
      </c>
      <c r="G56">
        <v>32000</v>
      </c>
      <c r="H56">
        <v>0.5</v>
      </c>
      <c r="I56">
        <v>0.5</v>
      </c>
      <c r="J56">
        <v>0</v>
      </c>
      <c r="K56">
        <v>1</v>
      </c>
      <c r="L56">
        <v>20000000</v>
      </c>
      <c r="M56">
        <v>190</v>
      </c>
      <c r="N56">
        <v>190</v>
      </c>
      <c r="O56">
        <v>190</v>
      </c>
      <c r="P56">
        <v>0</v>
      </c>
      <c r="Q56" t="s">
        <v>61</v>
      </c>
      <c r="R56">
        <v>100031129123917</v>
      </c>
      <c r="S56">
        <v>10001850</v>
      </c>
      <c r="T56">
        <v>100031129123917</v>
      </c>
      <c r="U56">
        <v>10001850</v>
      </c>
      <c r="V56" t="s">
        <v>71</v>
      </c>
      <c r="W56">
        <v>29</v>
      </c>
      <c r="X56">
        <v>6678876</v>
      </c>
      <c r="Y56">
        <v>5059069</v>
      </c>
      <c r="Z56">
        <v>11737945</v>
      </c>
      <c r="AA56">
        <v>10001850</v>
      </c>
      <c r="AB56">
        <v>1.7574700000000001</v>
      </c>
      <c r="AC56">
        <v>1.9770099999999999</v>
      </c>
      <c r="AD56">
        <v>1.8521000000000001</v>
      </c>
      <c r="AE56">
        <v>23.172499999999999</v>
      </c>
      <c r="AF56">
        <v>657324920</v>
      </c>
      <c r="AJ56" t="s">
        <v>213</v>
      </c>
      <c r="AM56">
        <v>3598133473</v>
      </c>
      <c r="AN56">
        <v>0</v>
      </c>
      <c r="AO56">
        <v>36341605</v>
      </c>
      <c r="AP56">
        <v>3598133473</v>
      </c>
      <c r="AQ56">
        <v>3634475078</v>
      </c>
      <c r="AR56">
        <v>112441671</v>
      </c>
      <c r="AS56">
        <v>0</v>
      </c>
      <c r="AT56">
        <v>1135675</v>
      </c>
      <c r="AU56">
        <v>112441671</v>
      </c>
      <c r="AV56">
        <v>113577346</v>
      </c>
      <c r="AW56">
        <v>29.376799999999999</v>
      </c>
      <c r="AX56">
        <v>10.910600000000001</v>
      </c>
      <c r="AY56">
        <v>4643.8500000000004</v>
      </c>
      <c r="AZ56">
        <v>3276.52</v>
      </c>
      <c r="BA56">
        <v>1867</v>
      </c>
      <c r="BB56">
        <v>433</v>
      </c>
      <c r="BC56" t="str">
        <f t="shared" si="2"/>
        <v>u=1%, k=2x10^7</v>
      </c>
      <c r="BD56">
        <f t="shared" si="3"/>
        <v>32</v>
      </c>
    </row>
    <row r="57" spans="1:56">
      <c r="A57" t="s">
        <v>214</v>
      </c>
      <c r="B57" t="s">
        <v>105</v>
      </c>
      <c r="D57" t="s">
        <v>64</v>
      </c>
      <c r="E57" t="s">
        <v>59</v>
      </c>
      <c r="F57" t="s">
        <v>60</v>
      </c>
      <c r="G57">
        <v>64000</v>
      </c>
      <c r="H57">
        <v>0.5</v>
      </c>
      <c r="I57">
        <v>0.5</v>
      </c>
      <c r="J57">
        <v>0</v>
      </c>
      <c r="K57">
        <v>1</v>
      </c>
      <c r="L57">
        <v>20000000</v>
      </c>
      <c r="M57">
        <v>190</v>
      </c>
      <c r="N57">
        <v>190</v>
      </c>
      <c r="O57">
        <v>190</v>
      </c>
      <c r="P57">
        <v>0</v>
      </c>
      <c r="Q57" t="s">
        <v>61</v>
      </c>
      <c r="R57">
        <v>100001437009600</v>
      </c>
      <c r="S57">
        <v>9998446</v>
      </c>
      <c r="T57">
        <v>100001437009600</v>
      </c>
      <c r="U57">
        <v>9998446</v>
      </c>
      <c r="V57" t="s">
        <v>71</v>
      </c>
      <c r="W57">
        <v>29</v>
      </c>
      <c r="X57">
        <v>6829855</v>
      </c>
      <c r="Y57">
        <v>5178099</v>
      </c>
      <c r="Z57">
        <v>12007954</v>
      </c>
      <c r="AA57">
        <v>9998446</v>
      </c>
      <c r="AB57">
        <v>1.7581599999999999</v>
      </c>
      <c r="AC57">
        <v>1.9309099999999999</v>
      </c>
      <c r="AD57">
        <v>1.8326499999999999</v>
      </c>
      <c r="AE57">
        <v>23.234100000000002</v>
      </c>
      <c r="AF57">
        <v>672445424</v>
      </c>
      <c r="AJ57" t="s">
        <v>215</v>
      </c>
      <c r="AM57">
        <v>7141470289</v>
      </c>
      <c r="AN57">
        <v>0</v>
      </c>
      <c r="AO57">
        <v>72135622</v>
      </c>
      <c r="AP57">
        <v>7141470289</v>
      </c>
      <c r="AQ57">
        <v>7213605911</v>
      </c>
      <c r="AR57">
        <v>111585473</v>
      </c>
      <c r="AS57">
        <v>0</v>
      </c>
      <c r="AT57">
        <v>1127119</v>
      </c>
      <c r="AU57">
        <v>111585473</v>
      </c>
      <c r="AV57">
        <v>112712592</v>
      </c>
      <c r="AW57">
        <v>29.082699999999999</v>
      </c>
      <c r="AX57">
        <v>10.997999999999999</v>
      </c>
      <c r="AY57">
        <v>4676.92</v>
      </c>
      <c r="AZ57">
        <v>3304.24</v>
      </c>
      <c r="BA57">
        <v>1886</v>
      </c>
      <c r="BB57">
        <v>442</v>
      </c>
      <c r="BC57" t="str">
        <f t="shared" si="2"/>
        <v>u=1%, k=2x10^7</v>
      </c>
      <c r="BD57">
        <f t="shared" si="3"/>
        <v>64</v>
      </c>
    </row>
    <row r="58" spans="1:56">
      <c r="A58" t="s">
        <v>216</v>
      </c>
      <c r="B58" t="s">
        <v>63</v>
      </c>
      <c r="C58">
        <v>72</v>
      </c>
      <c r="D58" t="s">
        <v>64</v>
      </c>
      <c r="E58" t="s">
        <v>59</v>
      </c>
      <c r="F58" t="s">
        <v>60</v>
      </c>
      <c r="G58">
        <v>1000</v>
      </c>
      <c r="H58">
        <v>20</v>
      </c>
      <c r="I58">
        <v>20</v>
      </c>
      <c r="J58">
        <v>0</v>
      </c>
      <c r="K58">
        <v>1</v>
      </c>
      <c r="L58">
        <v>20000000</v>
      </c>
      <c r="M58">
        <v>190</v>
      </c>
      <c r="N58">
        <v>190</v>
      </c>
      <c r="O58">
        <v>190</v>
      </c>
      <c r="P58">
        <v>0</v>
      </c>
      <c r="Q58" t="s">
        <v>61</v>
      </c>
      <c r="R58">
        <v>100016599489269</v>
      </c>
      <c r="S58">
        <v>10000607</v>
      </c>
      <c r="T58">
        <v>100016599489269</v>
      </c>
      <c r="U58">
        <v>10000607</v>
      </c>
      <c r="V58" t="s">
        <v>71</v>
      </c>
      <c r="W58">
        <v>7</v>
      </c>
      <c r="X58">
        <v>1844924</v>
      </c>
      <c r="Y58">
        <v>11894262</v>
      </c>
      <c r="Z58">
        <v>13739186</v>
      </c>
      <c r="AA58">
        <v>10000607</v>
      </c>
      <c r="AB58">
        <v>7.4470200000000002</v>
      </c>
      <c r="AC58">
        <v>0.84079300000000001</v>
      </c>
      <c r="AD58">
        <v>1.7278899999999999</v>
      </c>
      <c r="AE58">
        <v>4.0438799999999997</v>
      </c>
      <c r="AF58">
        <v>337909872</v>
      </c>
      <c r="AG58" t="s">
        <v>217</v>
      </c>
      <c r="AH58" t="s">
        <v>218</v>
      </c>
      <c r="AI58">
        <v>88579</v>
      </c>
      <c r="AJ58">
        <v>696</v>
      </c>
      <c r="AM58">
        <v>54708443</v>
      </c>
      <c r="AN58">
        <v>0</v>
      </c>
      <c r="AO58">
        <v>36467320</v>
      </c>
      <c r="AP58">
        <v>54708443</v>
      </c>
      <c r="AQ58">
        <v>91175763</v>
      </c>
      <c r="AR58">
        <v>54708443</v>
      </c>
      <c r="AS58">
        <v>0</v>
      </c>
      <c r="AT58">
        <v>36467320</v>
      </c>
      <c r="AU58">
        <v>54708443</v>
      </c>
      <c r="AV58">
        <v>91175763</v>
      </c>
      <c r="AW58">
        <v>28.2011</v>
      </c>
      <c r="AX58">
        <v>14.885199999999999</v>
      </c>
      <c r="AY58">
        <v>5113.84</v>
      </c>
      <c r="AZ58">
        <v>3496.96</v>
      </c>
      <c r="BA58">
        <v>2848</v>
      </c>
      <c r="BB58">
        <v>345</v>
      </c>
      <c r="BC58" t="str">
        <f t="shared" si="2"/>
        <v>u=40%, k=2x10^7</v>
      </c>
      <c r="BD58">
        <f t="shared" si="3"/>
        <v>1</v>
      </c>
    </row>
    <row r="59" spans="1:56">
      <c r="A59" t="s">
        <v>219</v>
      </c>
      <c r="B59" t="s">
        <v>63</v>
      </c>
      <c r="C59">
        <v>72</v>
      </c>
      <c r="D59" t="s">
        <v>64</v>
      </c>
      <c r="E59" t="s">
        <v>59</v>
      </c>
      <c r="F59" t="s">
        <v>60</v>
      </c>
      <c r="G59">
        <v>2000</v>
      </c>
      <c r="H59">
        <v>20</v>
      </c>
      <c r="I59">
        <v>20</v>
      </c>
      <c r="J59">
        <v>0</v>
      </c>
      <c r="K59">
        <v>1</v>
      </c>
      <c r="L59">
        <v>20000000</v>
      </c>
      <c r="M59">
        <v>190</v>
      </c>
      <c r="N59">
        <v>190</v>
      </c>
      <c r="O59">
        <v>190</v>
      </c>
      <c r="P59">
        <v>0</v>
      </c>
      <c r="Q59" t="s">
        <v>61</v>
      </c>
      <c r="R59">
        <v>99962456587998</v>
      </c>
      <c r="S59">
        <v>9998076</v>
      </c>
      <c r="T59">
        <v>99962456587998</v>
      </c>
      <c r="U59">
        <v>9998076</v>
      </c>
      <c r="V59" t="s">
        <v>71</v>
      </c>
      <c r="W59">
        <v>7</v>
      </c>
      <c r="X59">
        <v>1769233</v>
      </c>
      <c r="Y59">
        <v>11737906</v>
      </c>
      <c r="Z59">
        <v>13507139</v>
      </c>
      <c r="AA59">
        <v>9998076</v>
      </c>
      <c r="AB59">
        <v>7.6344599999999998</v>
      </c>
      <c r="AC59">
        <v>0.85177700000000001</v>
      </c>
      <c r="AD59">
        <v>1.74021</v>
      </c>
      <c r="AE59">
        <v>4.0294699999999999</v>
      </c>
      <c r="AF59">
        <v>329347664</v>
      </c>
      <c r="AG59" t="s">
        <v>220</v>
      </c>
      <c r="AH59" t="s">
        <v>221</v>
      </c>
      <c r="AI59">
        <v>186882</v>
      </c>
      <c r="AJ59">
        <v>1410</v>
      </c>
      <c r="AM59">
        <v>111603747</v>
      </c>
      <c r="AN59">
        <v>0</v>
      </c>
      <c r="AO59">
        <v>74408542</v>
      </c>
      <c r="AP59">
        <v>111603747</v>
      </c>
      <c r="AQ59">
        <v>186012289</v>
      </c>
      <c r="AR59">
        <v>55801873</v>
      </c>
      <c r="AS59">
        <v>0</v>
      </c>
      <c r="AT59">
        <v>37204271</v>
      </c>
      <c r="AU59">
        <v>55801873</v>
      </c>
      <c r="AV59">
        <v>93006144</v>
      </c>
      <c r="AW59">
        <v>28.438400000000001</v>
      </c>
      <c r="AX59">
        <v>15.086399999999999</v>
      </c>
      <c r="AY59">
        <v>5185.8599999999997</v>
      </c>
      <c r="AZ59">
        <v>3560.21</v>
      </c>
      <c r="BA59">
        <v>2879</v>
      </c>
      <c r="BB59">
        <v>376</v>
      </c>
      <c r="BC59" t="str">
        <f t="shared" si="2"/>
        <v>u=40%, k=2x10^7</v>
      </c>
      <c r="BD59">
        <f t="shared" si="3"/>
        <v>2</v>
      </c>
    </row>
    <row r="60" spans="1:56">
      <c r="A60" t="s">
        <v>222</v>
      </c>
      <c r="B60" t="s">
        <v>63</v>
      </c>
      <c r="C60">
        <v>72</v>
      </c>
      <c r="D60" t="s">
        <v>64</v>
      </c>
      <c r="E60" t="s">
        <v>59</v>
      </c>
      <c r="F60" t="s">
        <v>60</v>
      </c>
      <c r="G60">
        <v>4000</v>
      </c>
      <c r="H60">
        <v>20</v>
      </c>
      <c r="I60">
        <v>20</v>
      </c>
      <c r="J60">
        <v>0</v>
      </c>
      <c r="K60">
        <v>1</v>
      </c>
      <c r="L60">
        <v>20000000</v>
      </c>
      <c r="M60">
        <v>190</v>
      </c>
      <c r="N60">
        <v>190</v>
      </c>
      <c r="O60">
        <v>190</v>
      </c>
      <c r="P60">
        <v>0</v>
      </c>
      <c r="Q60" t="s">
        <v>61</v>
      </c>
      <c r="R60">
        <v>99957611099651</v>
      </c>
      <c r="S60">
        <v>9996539</v>
      </c>
      <c r="T60">
        <v>99957611099651</v>
      </c>
      <c r="U60">
        <v>9996539</v>
      </c>
      <c r="V60" t="s">
        <v>71</v>
      </c>
      <c r="W60">
        <v>7</v>
      </c>
      <c r="X60">
        <v>1856212</v>
      </c>
      <c r="Y60">
        <v>11929507</v>
      </c>
      <c r="Z60">
        <v>13785719</v>
      </c>
      <c r="AA60">
        <v>9996539</v>
      </c>
      <c r="AB60">
        <v>7.4268000000000001</v>
      </c>
      <c r="AC60">
        <v>0.83796700000000002</v>
      </c>
      <c r="AD60">
        <v>1.7251399999999999</v>
      </c>
      <c r="AE60">
        <v>4.0460500000000001</v>
      </c>
      <c r="AF60">
        <v>339403632</v>
      </c>
      <c r="AG60" t="s">
        <v>223</v>
      </c>
      <c r="AH60" t="s">
        <v>224</v>
      </c>
      <c r="AI60">
        <v>382270</v>
      </c>
      <c r="AJ60">
        <v>2922</v>
      </c>
      <c r="AM60">
        <v>229889199</v>
      </c>
      <c r="AN60">
        <v>0</v>
      </c>
      <c r="AO60">
        <v>153280356</v>
      </c>
      <c r="AP60">
        <v>229889199</v>
      </c>
      <c r="AQ60">
        <v>383169555</v>
      </c>
      <c r="AR60">
        <v>57472299</v>
      </c>
      <c r="AS60">
        <v>0</v>
      </c>
      <c r="AT60">
        <v>38320089</v>
      </c>
      <c r="AU60">
        <v>57472299</v>
      </c>
      <c r="AV60">
        <v>95792388</v>
      </c>
      <c r="AW60">
        <v>28.482800000000001</v>
      </c>
      <c r="AX60">
        <v>15.17</v>
      </c>
      <c r="AY60">
        <v>5249.85</v>
      </c>
      <c r="AZ60">
        <v>3600.74</v>
      </c>
      <c r="BA60">
        <v>2913</v>
      </c>
      <c r="BB60">
        <v>373</v>
      </c>
      <c r="BC60" t="str">
        <f t="shared" si="2"/>
        <v>u=40%, k=2x10^7</v>
      </c>
      <c r="BD60">
        <f t="shared" si="3"/>
        <v>4</v>
      </c>
    </row>
    <row r="61" spans="1:56">
      <c r="A61" t="s">
        <v>225</v>
      </c>
      <c r="B61" t="s">
        <v>63</v>
      </c>
      <c r="C61">
        <v>72</v>
      </c>
      <c r="D61" t="s">
        <v>64</v>
      </c>
      <c r="E61" t="s">
        <v>59</v>
      </c>
      <c r="F61" t="s">
        <v>60</v>
      </c>
      <c r="G61">
        <v>8000</v>
      </c>
      <c r="H61">
        <v>20</v>
      </c>
      <c r="I61">
        <v>20</v>
      </c>
      <c r="J61">
        <v>0</v>
      </c>
      <c r="K61">
        <v>1</v>
      </c>
      <c r="L61">
        <v>20000000</v>
      </c>
      <c r="M61">
        <v>190</v>
      </c>
      <c r="N61">
        <v>190</v>
      </c>
      <c r="O61">
        <v>190</v>
      </c>
      <c r="P61">
        <v>0</v>
      </c>
      <c r="Q61" t="s">
        <v>61</v>
      </c>
      <c r="R61">
        <v>99972177904792</v>
      </c>
      <c r="S61">
        <v>9997102</v>
      </c>
      <c r="T61">
        <v>99972177904792</v>
      </c>
      <c r="U61">
        <v>9997102</v>
      </c>
      <c r="V61" t="s">
        <v>71</v>
      </c>
      <c r="W61">
        <v>7</v>
      </c>
      <c r="X61">
        <v>1696914</v>
      </c>
      <c r="Y61">
        <v>11583435</v>
      </c>
      <c r="Z61">
        <v>13280349</v>
      </c>
      <c r="AA61">
        <v>9997102</v>
      </c>
      <c r="AB61">
        <v>7.8261799999999999</v>
      </c>
      <c r="AC61">
        <v>0.86305200000000004</v>
      </c>
      <c r="AD61">
        <v>1.7527699999999999</v>
      </c>
      <c r="AE61">
        <v>4.0143300000000002</v>
      </c>
      <c r="AF61">
        <v>321088192</v>
      </c>
      <c r="AG61" t="s">
        <v>226</v>
      </c>
      <c r="AH61" t="s">
        <v>227</v>
      </c>
      <c r="AI61">
        <v>764345</v>
      </c>
      <c r="AJ61">
        <v>5818</v>
      </c>
      <c r="AM61">
        <v>457866445</v>
      </c>
      <c r="AN61">
        <v>0</v>
      </c>
      <c r="AO61">
        <v>305284482</v>
      </c>
      <c r="AP61">
        <v>457866445</v>
      </c>
      <c r="AQ61">
        <v>763150927</v>
      </c>
      <c r="AR61">
        <v>57233305</v>
      </c>
      <c r="AS61">
        <v>0</v>
      </c>
      <c r="AT61">
        <v>38160560</v>
      </c>
      <c r="AU61">
        <v>57233305</v>
      </c>
      <c r="AV61">
        <v>95393865</v>
      </c>
      <c r="AW61">
        <v>28.628699999999998</v>
      </c>
      <c r="AX61">
        <v>15.2944</v>
      </c>
      <c r="AY61">
        <v>5337.77</v>
      </c>
      <c r="AZ61">
        <v>3681.68</v>
      </c>
      <c r="BA61">
        <v>2921</v>
      </c>
      <c r="BB61">
        <v>440</v>
      </c>
      <c r="BC61" t="str">
        <f t="shared" si="2"/>
        <v>u=40%, k=2x10^7</v>
      </c>
      <c r="BD61">
        <f t="shared" si="3"/>
        <v>8</v>
      </c>
    </row>
    <row r="62" spans="1:56">
      <c r="A62" t="s">
        <v>228</v>
      </c>
      <c r="B62" t="s">
        <v>63</v>
      </c>
      <c r="C62">
        <v>72</v>
      </c>
      <c r="D62" t="s">
        <v>64</v>
      </c>
      <c r="E62" t="s">
        <v>59</v>
      </c>
      <c r="F62" t="s">
        <v>60</v>
      </c>
      <c r="G62">
        <v>16000</v>
      </c>
      <c r="H62">
        <v>20</v>
      </c>
      <c r="I62">
        <v>20</v>
      </c>
      <c r="J62">
        <v>0</v>
      </c>
      <c r="K62">
        <v>1</v>
      </c>
      <c r="L62">
        <v>20000000</v>
      </c>
      <c r="M62">
        <v>190</v>
      </c>
      <c r="N62">
        <v>190</v>
      </c>
      <c r="O62">
        <v>190</v>
      </c>
      <c r="P62">
        <v>0</v>
      </c>
      <c r="Q62" t="s">
        <v>61</v>
      </c>
      <c r="R62">
        <v>100025602530740</v>
      </c>
      <c r="S62">
        <v>10003624</v>
      </c>
      <c r="T62">
        <v>100025602530740</v>
      </c>
      <c r="U62">
        <v>10003624</v>
      </c>
      <c r="V62" t="s">
        <v>71</v>
      </c>
      <c r="W62">
        <v>7</v>
      </c>
      <c r="X62">
        <v>1770294</v>
      </c>
      <c r="Y62">
        <v>11752978</v>
      </c>
      <c r="Z62">
        <v>13523272</v>
      </c>
      <c r="AA62">
        <v>10003624</v>
      </c>
      <c r="AB62">
        <v>7.6390000000000002</v>
      </c>
      <c r="AC62">
        <v>0.85115700000000005</v>
      </c>
      <c r="AD62">
        <v>1.73973</v>
      </c>
      <c r="AE62">
        <v>4.0287800000000002</v>
      </c>
      <c r="AF62">
        <v>329688784</v>
      </c>
      <c r="AG62" t="s">
        <v>229</v>
      </c>
      <c r="AH62" t="s">
        <v>230</v>
      </c>
      <c r="AI62">
        <v>1558306</v>
      </c>
      <c r="AJ62">
        <v>11824</v>
      </c>
      <c r="AM62">
        <v>927990100</v>
      </c>
      <c r="AN62">
        <v>0</v>
      </c>
      <c r="AO62">
        <v>618620688</v>
      </c>
      <c r="AP62">
        <v>927990100</v>
      </c>
      <c r="AQ62">
        <v>1546610788</v>
      </c>
      <c r="AR62">
        <v>57999381</v>
      </c>
      <c r="AS62">
        <v>0</v>
      </c>
      <c r="AT62">
        <v>38663793</v>
      </c>
      <c r="AU62">
        <v>57999381</v>
      </c>
      <c r="AV62">
        <v>96663174</v>
      </c>
      <c r="AW62">
        <v>28.640899999999998</v>
      </c>
      <c r="AX62">
        <v>15.288600000000001</v>
      </c>
      <c r="AY62">
        <v>5289.83</v>
      </c>
      <c r="AZ62">
        <v>3638.97</v>
      </c>
      <c r="BA62">
        <v>2933</v>
      </c>
      <c r="BB62">
        <v>282</v>
      </c>
      <c r="BC62" t="str">
        <f t="shared" si="2"/>
        <v>u=40%, k=2x10^7</v>
      </c>
      <c r="BD62">
        <f t="shared" si="3"/>
        <v>16</v>
      </c>
    </row>
    <row r="63" spans="1:56">
      <c r="A63" t="s">
        <v>231</v>
      </c>
      <c r="B63" t="s">
        <v>63</v>
      </c>
      <c r="C63">
        <v>72</v>
      </c>
      <c r="D63" t="s">
        <v>64</v>
      </c>
      <c r="E63" t="s">
        <v>59</v>
      </c>
      <c r="F63" t="s">
        <v>60</v>
      </c>
      <c r="G63">
        <v>32000</v>
      </c>
      <c r="H63">
        <v>20</v>
      </c>
      <c r="I63">
        <v>20</v>
      </c>
      <c r="J63">
        <v>0</v>
      </c>
      <c r="K63">
        <v>1</v>
      </c>
      <c r="L63">
        <v>20000000</v>
      </c>
      <c r="M63">
        <v>190</v>
      </c>
      <c r="N63">
        <v>190</v>
      </c>
      <c r="O63">
        <v>190</v>
      </c>
      <c r="P63">
        <v>0</v>
      </c>
      <c r="Q63" t="s">
        <v>61</v>
      </c>
      <c r="R63">
        <v>100005163935481</v>
      </c>
      <c r="S63">
        <v>9999131</v>
      </c>
      <c r="T63">
        <v>100005163935481</v>
      </c>
      <c r="U63">
        <v>9999131</v>
      </c>
      <c r="V63" t="s">
        <v>71</v>
      </c>
      <c r="W63">
        <v>7</v>
      </c>
      <c r="X63">
        <v>1773651</v>
      </c>
      <c r="Y63">
        <v>11755998</v>
      </c>
      <c r="Z63">
        <v>13529649</v>
      </c>
      <c r="AA63">
        <v>9999131</v>
      </c>
      <c r="AB63">
        <v>7.6281299999999996</v>
      </c>
      <c r="AC63">
        <v>0.85055599999999998</v>
      </c>
      <c r="AD63">
        <v>1.73905</v>
      </c>
      <c r="AE63">
        <v>4.02963</v>
      </c>
      <c r="AF63">
        <v>330007024</v>
      </c>
      <c r="AG63" t="s">
        <v>232</v>
      </c>
      <c r="AH63" t="s">
        <v>233</v>
      </c>
      <c r="AI63">
        <v>3124900</v>
      </c>
      <c r="AJ63">
        <v>23664</v>
      </c>
      <c r="AM63">
        <v>1857841499</v>
      </c>
      <c r="AN63">
        <v>0</v>
      </c>
      <c r="AO63">
        <v>1238590424</v>
      </c>
      <c r="AP63">
        <v>1857841499</v>
      </c>
      <c r="AQ63">
        <v>3096431923</v>
      </c>
      <c r="AR63">
        <v>58057546</v>
      </c>
      <c r="AS63">
        <v>0</v>
      </c>
      <c r="AT63">
        <v>38705950</v>
      </c>
      <c r="AU63">
        <v>58057546</v>
      </c>
      <c r="AV63">
        <v>96763497</v>
      </c>
      <c r="AW63">
        <v>28.6252</v>
      </c>
      <c r="AX63">
        <v>15.3012</v>
      </c>
      <c r="AY63">
        <v>5294.06</v>
      </c>
      <c r="AZ63">
        <v>3641.61</v>
      </c>
      <c r="BA63">
        <v>2942</v>
      </c>
      <c r="BB63">
        <v>446</v>
      </c>
      <c r="BC63" t="str">
        <f t="shared" si="2"/>
        <v>u=40%, k=2x10^7</v>
      </c>
      <c r="BD63">
        <f t="shared" si="3"/>
        <v>32</v>
      </c>
    </row>
    <row r="64" spans="1:56">
      <c r="A64" t="s">
        <v>234</v>
      </c>
      <c r="B64" t="s">
        <v>63</v>
      </c>
      <c r="C64">
        <v>72</v>
      </c>
      <c r="D64" t="s">
        <v>64</v>
      </c>
      <c r="E64" t="s">
        <v>59</v>
      </c>
      <c r="F64" t="s">
        <v>60</v>
      </c>
      <c r="G64">
        <v>64000</v>
      </c>
      <c r="H64">
        <v>20</v>
      </c>
      <c r="I64">
        <v>20</v>
      </c>
      <c r="J64">
        <v>0</v>
      </c>
      <c r="K64">
        <v>1</v>
      </c>
      <c r="L64">
        <v>20000000</v>
      </c>
      <c r="M64">
        <v>190</v>
      </c>
      <c r="N64">
        <v>190</v>
      </c>
      <c r="O64">
        <v>190</v>
      </c>
      <c r="P64">
        <v>0</v>
      </c>
      <c r="Q64" t="s">
        <v>61</v>
      </c>
      <c r="R64">
        <v>99952239207329</v>
      </c>
      <c r="S64">
        <v>9997068</v>
      </c>
      <c r="T64">
        <v>99952239207329</v>
      </c>
      <c r="U64">
        <v>9997068</v>
      </c>
      <c r="V64" t="s">
        <v>71</v>
      </c>
      <c r="W64">
        <v>7</v>
      </c>
      <c r="X64">
        <v>1777793</v>
      </c>
      <c r="Y64">
        <v>11749622</v>
      </c>
      <c r="Z64">
        <v>13527415</v>
      </c>
      <c r="AA64">
        <v>9997068</v>
      </c>
      <c r="AB64">
        <v>7.6091100000000003</v>
      </c>
      <c r="AC64">
        <v>0.85084199999999999</v>
      </c>
      <c r="AD64">
        <v>1.73902</v>
      </c>
      <c r="AE64">
        <v>4.0305200000000001</v>
      </c>
      <c r="AF64">
        <v>330218816</v>
      </c>
      <c r="AG64" t="s">
        <v>235</v>
      </c>
      <c r="AH64" t="s">
        <v>236</v>
      </c>
      <c r="AI64">
        <v>6276586</v>
      </c>
      <c r="AJ64">
        <v>47334</v>
      </c>
      <c r="AM64">
        <v>3720943886</v>
      </c>
      <c r="AN64">
        <v>0</v>
      </c>
      <c r="AO64">
        <v>2480647580</v>
      </c>
      <c r="AP64">
        <v>3720943886</v>
      </c>
      <c r="AQ64">
        <v>6201591466</v>
      </c>
      <c r="AR64">
        <v>58139748</v>
      </c>
      <c r="AS64">
        <v>0</v>
      </c>
      <c r="AT64">
        <v>38760118</v>
      </c>
      <c r="AU64">
        <v>58139748</v>
      </c>
      <c r="AV64">
        <v>96899866</v>
      </c>
      <c r="AW64">
        <v>28.6404</v>
      </c>
      <c r="AX64">
        <v>15.317399999999999</v>
      </c>
      <c r="AY64">
        <v>5300.28</v>
      </c>
      <c r="AZ64">
        <v>3657.47</v>
      </c>
      <c r="BA64">
        <v>2962</v>
      </c>
      <c r="BB64">
        <v>398</v>
      </c>
      <c r="BC64" t="str">
        <f t="shared" si="2"/>
        <v>u=40%, k=2x10^7</v>
      </c>
      <c r="BD64">
        <f t="shared" si="3"/>
        <v>64</v>
      </c>
    </row>
    <row r="65" spans="1:56">
      <c r="A65" t="s">
        <v>237</v>
      </c>
      <c r="B65" t="s">
        <v>105</v>
      </c>
      <c r="D65" t="s">
        <v>64</v>
      </c>
      <c r="E65" t="s">
        <v>59</v>
      </c>
      <c r="F65" t="s">
        <v>60</v>
      </c>
      <c r="G65">
        <v>1000</v>
      </c>
      <c r="H65">
        <v>20</v>
      </c>
      <c r="I65">
        <v>20</v>
      </c>
      <c r="J65">
        <v>0</v>
      </c>
      <c r="K65">
        <v>1</v>
      </c>
      <c r="L65">
        <v>20000000</v>
      </c>
      <c r="M65">
        <v>190</v>
      </c>
      <c r="N65">
        <v>190</v>
      </c>
      <c r="O65">
        <v>190</v>
      </c>
      <c r="P65">
        <v>0</v>
      </c>
      <c r="Q65" t="s">
        <v>61</v>
      </c>
      <c r="R65">
        <v>99981837849922</v>
      </c>
      <c r="S65">
        <v>9996846</v>
      </c>
      <c r="T65">
        <v>99981837849922</v>
      </c>
      <c r="U65">
        <v>9996846</v>
      </c>
      <c r="V65" t="s">
        <v>71</v>
      </c>
      <c r="W65">
        <v>29</v>
      </c>
      <c r="X65">
        <v>6690137</v>
      </c>
      <c r="Y65">
        <v>5069198</v>
      </c>
      <c r="Z65">
        <v>11759335</v>
      </c>
      <c r="AA65">
        <v>9996846</v>
      </c>
      <c r="AB65">
        <v>1.7577100000000001</v>
      </c>
      <c r="AC65">
        <v>1.9720800000000001</v>
      </c>
      <c r="AD65">
        <v>1.85012</v>
      </c>
      <c r="AE65">
        <v>23.203199999999999</v>
      </c>
      <c r="AF65">
        <v>658522760</v>
      </c>
      <c r="AJ65" t="s">
        <v>238</v>
      </c>
      <c r="AM65">
        <v>57717558</v>
      </c>
      <c r="AN65">
        <v>0</v>
      </c>
      <c r="AO65">
        <v>38467976</v>
      </c>
      <c r="AP65">
        <v>57717558</v>
      </c>
      <c r="AQ65">
        <v>96185534</v>
      </c>
      <c r="AR65">
        <v>57717558</v>
      </c>
      <c r="AS65">
        <v>0</v>
      </c>
      <c r="AT65">
        <v>38467976</v>
      </c>
      <c r="AU65">
        <v>57717558</v>
      </c>
      <c r="AV65">
        <v>96185534</v>
      </c>
      <c r="AW65">
        <v>31.25</v>
      </c>
      <c r="AX65">
        <v>11.5029</v>
      </c>
      <c r="AY65">
        <v>5439.67</v>
      </c>
      <c r="AZ65">
        <v>3827.49</v>
      </c>
      <c r="BA65">
        <v>1951</v>
      </c>
      <c r="BB65">
        <v>429</v>
      </c>
      <c r="BC65" t="str">
        <f t="shared" si="2"/>
        <v>u=40%, k=2x10^7</v>
      </c>
      <c r="BD65">
        <f t="shared" si="3"/>
        <v>1</v>
      </c>
    </row>
    <row r="66" spans="1:56">
      <c r="A66" t="s">
        <v>239</v>
      </c>
      <c r="B66" t="s">
        <v>105</v>
      </c>
      <c r="D66" t="s">
        <v>64</v>
      </c>
      <c r="E66" t="s">
        <v>59</v>
      </c>
      <c r="F66" t="s">
        <v>60</v>
      </c>
      <c r="G66">
        <v>2000</v>
      </c>
      <c r="H66">
        <v>20</v>
      </c>
      <c r="I66">
        <v>20</v>
      </c>
      <c r="J66">
        <v>0</v>
      </c>
      <c r="K66">
        <v>1</v>
      </c>
      <c r="L66">
        <v>20000000</v>
      </c>
      <c r="M66">
        <v>190</v>
      </c>
      <c r="N66">
        <v>190</v>
      </c>
      <c r="O66">
        <v>190</v>
      </c>
      <c r="P66">
        <v>0</v>
      </c>
      <c r="Q66" t="s">
        <v>61</v>
      </c>
      <c r="R66">
        <v>99963776613071</v>
      </c>
      <c r="S66">
        <v>9997966</v>
      </c>
      <c r="T66">
        <v>99963776613071</v>
      </c>
      <c r="U66">
        <v>9997966</v>
      </c>
      <c r="V66" t="s">
        <v>71</v>
      </c>
      <c r="W66">
        <v>29</v>
      </c>
      <c r="X66">
        <v>6835304</v>
      </c>
      <c r="Y66">
        <v>5183100</v>
      </c>
      <c r="Z66">
        <v>12018404</v>
      </c>
      <c r="AA66">
        <v>9997966</v>
      </c>
      <c r="AB66">
        <v>1.7582800000000001</v>
      </c>
      <c r="AC66">
        <v>1.9289499999999999</v>
      </c>
      <c r="AD66">
        <v>1.83189</v>
      </c>
      <c r="AE66">
        <v>23.246500000000001</v>
      </c>
      <c r="AF66">
        <v>673030624</v>
      </c>
      <c r="AJ66" t="s">
        <v>240</v>
      </c>
      <c r="AM66">
        <v>114957104</v>
      </c>
      <c r="AN66">
        <v>0</v>
      </c>
      <c r="AO66">
        <v>76647318</v>
      </c>
      <c r="AP66">
        <v>114957104</v>
      </c>
      <c r="AQ66">
        <v>191604422</v>
      </c>
      <c r="AR66">
        <v>57478552</v>
      </c>
      <c r="AS66">
        <v>0</v>
      </c>
      <c r="AT66">
        <v>38323659</v>
      </c>
      <c r="AU66">
        <v>57478552</v>
      </c>
      <c r="AV66">
        <v>95802211</v>
      </c>
      <c r="AW66">
        <v>31.622</v>
      </c>
      <c r="AX66">
        <v>11.6569</v>
      </c>
      <c r="AY66">
        <v>5489.81</v>
      </c>
      <c r="AZ66">
        <v>3885.41</v>
      </c>
      <c r="BA66">
        <v>2058</v>
      </c>
      <c r="BB66">
        <v>431</v>
      </c>
      <c r="BC66" t="str">
        <f t="shared" si="2"/>
        <v>u=40%, k=2x10^7</v>
      </c>
      <c r="BD66">
        <f t="shared" si="3"/>
        <v>2</v>
      </c>
    </row>
    <row r="67" spans="1:56">
      <c r="A67" t="s">
        <v>241</v>
      </c>
      <c r="B67" t="s">
        <v>105</v>
      </c>
      <c r="D67" t="s">
        <v>64</v>
      </c>
      <c r="E67" t="s">
        <v>59</v>
      </c>
      <c r="F67" t="s">
        <v>60</v>
      </c>
      <c r="G67">
        <v>4000</v>
      </c>
      <c r="H67">
        <v>20</v>
      </c>
      <c r="I67">
        <v>20</v>
      </c>
      <c r="J67">
        <v>0</v>
      </c>
      <c r="K67">
        <v>1</v>
      </c>
      <c r="L67">
        <v>20000000</v>
      </c>
      <c r="M67">
        <v>190</v>
      </c>
      <c r="N67">
        <v>190</v>
      </c>
      <c r="O67">
        <v>190</v>
      </c>
      <c r="P67">
        <v>0</v>
      </c>
      <c r="Q67" t="s">
        <v>61</v>
      </c>
      <c r="R67">
        <v>100011308176816</v>
      </c>
      <c r="S67">
        <v>9999568</v>
      </c>
      <c r="T67">
        <v>100011308176816</v>
      </c>
      <c r="U67">
        <v>9999568</v>
      </c>
      <c r="V67" t="s">
        <v>71</v>
      </c>
      <c r="W67">
        <v>29</v>
      </c>
      <c r="X67">
        <v>6857374</v>
      </c>
      <c r="Y67">
        <v>5201793</v>
      </c>
      <c r="Z67">
        <v>12059167</v>
      </c>
      <c r="AA67">
        <v>9999568</v>
      </c>
      <c r="AB67">
        <v>1.75857</v>
      </c>
      <c r="AC67">
        <v>1.9223300000000001</v>
      </c>
      <c r="AD67">
        <v>1.82921</v>
      </c>
      <c r="AE67">
        <v>23.259899999999998</v>
      </c>
      <c r="AF67">
        <v>675313352</v>
      </c>
      <c r="AJ67" t="s">
        <v>242</v>
      </c>
      <c r="AM67">
        <v>228384520</v>
      </c>
      <c r="AN67">
        <v>0</v>
      </c>
      <c r="AO67">
        <v>152259809</v>
      </c>
      <c r="AP67">
        <v>228384520</v>
      </c>
      <c r="AQ67">
        <v>380644329</v>
      </c>
      <c r="AR67">
        <v>57096130</v>
      </c>
      <c r="AS67">
        <v>0</v>
      </c>
      <c r="AT67">
        <v>38064952</v>
      </c>
      <c r="AU67">
        <v>57096130</v>
      </c>
      <c r="AV67">
        <v>95161082</v>
      </c>
      <c r="AW67">
        <v>31.7315</v>
      </c>
      <c r="AX67">
        <v>11.789099999999999</v>
      </c>
      <c r="AY67">
        <v>5548.22</v>
      </c>
      <c r="AZ67">
        <v>3957.71</v>
      </c>
      <c r="BA67">
        <v>2194</v>
      </c>
      <c r="BB67">
        <v>461</v>
      </c>
      <c r="BC67" t="str">
        <f t="shared" si="2"/>
        <v>u=40%, k=2x10^7</v>
      </c>
      <c r="BD67">
        <f t="shared" si="3"/>
        <v>4</v>
      </c>
    </row>
    <row r="68" spans="1:56">
      <c r="A68" t="s">
        <v>243</v>
      </c>
      <c r="B68" t="s">
        <v>105</v>
      </c>
      <c r="D68" t="s">
        <v>64</v>
      </c>
      <c r="E68" t="s">
        <v>59</v>
      </c>
      <c r="F68" t="s">
        <v>60</v>
      </c>
      <c r="G68">
        <v>8000</v>
      </c>
      <c r="H68">
        <v>20</v>
      </c>
      <c r="I68">
        <v>20</v>
      </c>
      <c r="J68">
        <v>0</v>
      </c>
      <c r="K68">
        <v>1</v>
      </c>
      <c r="L68">
        <v>20000000</v>
      </c>
      <c r="M68">
        <v>190</v>
      </c>
      <c r="N68">
        <v>190</v>
      </c>
      <c r="O68">
        <v>190</v>
      </c>
      <c r="P68">
        <v>0</v>
      </c>
      <c r="Q68" t="s">
        <v>61</v>
      </c>
      <c r="R68">
        <v>99976366375823</v>
      </c>
      <c r="S68">
        <v>9997842</v>
      </c>
      <c r="T68">
        <v>99976366375823</v>
      </c>
      <c r="U68">
        <v>9997842</v>
      </c>
      <c r="V68" t="s">
        <v>71</v>
      </c>
      <c r="W68">
        <v>29</v>
      </c>
      <c r="X68">
        <v>6856377</v>
      </c>
      <c r="Y68">
        <v>5205485</v>
      </c>
      <c r="Z68">
        <v>12061862</v>
      </c>
      <c r="AA68">
        <v>9997842</v>
      </c>
      <c r="AB68">
        <v>1.75922</v>
      </c>
      <c r="AC68">
        <v>1.9206399999999999</v>
      </c>
      <c r="AD68">
        <v>1.8288800000000001</v>
      </c>
      <c r="AE68">
        <v>23.259499999999999</v>
      </c>
      <c r="AF68">
        <v>675464272</v>
      </c>
      <c r="AJ68" t="s">
        <v>244</v>
      </c>
      <c r="AM68">
        <v>450155171</v>
      </c>
      <c r="AN68">
        <v>0</v>
      </c>
      <c r="AO68">
        <v>300064990</v>
      </c>
      <c r="AP68">
        <v>450155171</v>
      </c>
      <c r="AQ68">
        <v>750220161</v>
      </c>
      <c r="AR68">
        <v>56269396</v>
      </c>
      <c r="AS68">
        <v>0</v>
      </c>
      <c r="AT68">
        <v>37508123</v>
      </c>
      <c r="AU68">
        <v>56269396</v>
      </c>
      <c r="AV68">
        <v>93777520</v>
      </c>
      <c r="AW68">
        <v>32.131599999999999</v>
      </c>
      <c r="AX68">
        <v>11.9438</v>
      </c>
      <c r="AY68">
        <v>5629.98</v>
      </c>
      <c r="AZ68">
        <v>4032.89</v>
      </c>
      <c r="BA68">
        <v>2343</v>
      </c>
      <c r="BB68">
        <v>444</v>
      </c>
      <c r="BC68" t="str">
        <f t="shared" si="2"/>
        <v>u=40%, k=2x10^7</v>
      </c>
      <c r="BD68">
        <f t="shared" si="3"/>
        <v>8</v>
      </c>
    </row>
    <row r="69" spans="1:56">
      <c r="A69" t="s">
        <v>245</v>
      </c>
      <c r="B69" t="s">
        <v>105</v>
      </c>
      <c r="D69" t="s">
        <v>64</v>
      </c>
      <c r="E69" t="s">
        <v>59</v>
      </c>
      <c r="F69" t="s">
        <v>60</v>
      </c>
      <c r="G69">
        <v>16000</v>
      </c>
      <c r="H69">
        <v>20</v>
      </c>
      <c r="I69">
        <v>20</v>
      </c>
      <c r="J69">
        <v>0</v>
      </c>
      <c r="K69">
        <v>1</v>
      </c>
      <c r="L69">
        <v>20000000</v>
      </c>
      <c r="M69">
        <v>190</v>
      </c>
      <c r="N69">
        <v>190</v>
      </c>
      <c r="O69">
        <v>190</v>
      </c>
      <c r="P69">
        <v>0</v>
      </c>
      <c r="Q69" t="s">
        <v>61</v>
      </c>
      <c r="R69">
        <v>100014516116184</v>
      </c>
      <c r="S69">
        <v>10000475</v>
      </c>
      <c r="T69">
        <v>100014516116184</v>
      </c>
      <c r="U69">
        <v>10000475</v>
      </c>
      <c r="V69" t="s">
        <v>71</v>
      </c>
      <c r="W69">
        <v>29</v>
      </c>
      <c r="X69">
        <v>6858712</v>
      </c>
      <c r="Y69">
        <v>5202446</v>
      </c>
      <c r="Z69">
        <v>12061158</v>
      </c>
      <c r="AA69">
        <v>10000475</v>
      </c>
      <c r="AB69">
        <v>1.7585200000000001</v>
      </c>
      <c r="AC69">
        <v>1.9222600000000001</v>
      </c>
      <c r="AD69">
        <v>1.8291500000000001</v>
      </c>
      <c r="AE69">
        <v>23.223500000000001</v>
      </c>
      <c r="AF69">
        <v>675424848</v>
      </c>
      <c r="AJ69" t="s">
        <v>246</v>
      </c>
      <c r="AM69">
        <v>891408273</v>
      </c>
      <c r="AN69">
        <v>0</v>
      </c>
      <c r="AO69">
        <v>594266413</v>
      </c>
      <c r="AP69">
        <v>891408273</v>
      </c>
      <c r="AQ69">
        <v>1485674686</v>
      </c>
      <c r="AR69">
        <v>55713017</v>
      </c>
      <c r="AS69">
        <v>0</v>
      </c>
      <c r="AT69">
        <v>37141650</v>
      </c>
      <c r="AU69">
        <v>55713017</v>
      </c>
      <c r="AV69">
        <v>92854667</v>
      </c>
      <c r="AW69">
        <v>32.494300000000003</v>
      </c>
      <c r="AX69">
        <v>12.1349</v>
      </c>
      <c r="AY69">
        <v>5686.43</v>
      </c>
      <c r="AZ69">
        <v>4085.36</v>
      </c>
      <c r="BA69">
        <v>2458</v>
      </c>
      <c r="BB69">
        <v>429</v>
      </c>
      <c r="BC69" t="str">
        <f t="shared" si="2"/>
        <v>u=40%, k=2x10^7</v>
      </c>
      <c r="BD69">
        <f t="shared" si="3"/>
        <v>16</v>
      </c>
    </row>
    <row r="70" spans="1:56">
      <c r="A70" t="s">
        <v>247</v>
      </c>
      <c r="B70" t="s">
        <v>105</v>
      </c>
      <c r="D70" t="s">
        <v>64</v>
      </c>
      <c r="E70" t="s">
        <v>59</v>
      </c>
      <c r="F70" t="s">
        <v>60</v>
      </c>
      <c r="G70">
        <v>32000</v>
      </c>
      <c r="H70">
        <v>20</v>
      </c>
      <c r="I70">
        <v>20</v>
      </c>
      <c r="J70">
        <v>0</v>
      </c>
      <c r="K70">
        <v>1</v>
      </c>
      <c r="L70">
        <v>20000000</v>
      </c>
      <c r="M70">
        <v>190</v>
      </c>
      <c r="N70">
        <v>190</v>
      </c>
      <c r="O70">
        <v>190</v>
      </c>
      <c r="P70">
        <v>0</v>
      </c>
      <c r="Q70" t="s">
        <v>61</v>
      </c>
      <c r="R70">
        <v>99993643123182</v>
      </c>
      <c r="S70">
        <v>10001465</v>
      </c>
      <c r="T70">
        <v>99993643123182</v>
      </c>
      <c r="U70">
        <v>10001465</v>
      </c>
      <c r="V70" t="s">
        <v>71</v>
      </c>
      <c r="W70">
        <v>29</v>
      </c>
      <c r="X70">
        <v>6860421</v>
      </c>
      <c r="Y70">
        <v>5203244</v>
      </c>
      <c r="Z70">
        <v>12063665</v>
      </c>
      <c r="AA70">
        <v>10001465</v>
      </c>
      <c r="AB70">
        <v>1.75844</v>
      </c>
      <c r="AC70">
        <v>1.9221600000000001</v>
      </c>
      <c r="AD70">
        <v>1.8290599999999999</v>
      </c>
      <c r="AE70">
        <v>23.2254</v>
      </c>
      <c r="AF70">
        <v>675565240</v>
      </c>
      <c r="AJ70">
        <v>17490</v>
      </c>
      <c r="AM70">
        <v>1752577459</v>
      </c>
      <c r="AN70">
        <v>0</v>
      </c>
      <c r="AO70">
        <v>1168358186</v>
      </c>
      <c r="AP70">
        <v>1752577459</v>
      </c>
      <c r="AQ70">
        <v>2920935645</v>
      </c>
      <c r="AR70">
        <v>54768045</v>
      </c>
      <c r="AS70">
        <v>0</v>
      </c>
      <c r="AT70">
        <v>36511193</v>
      </c>
      <c r="AU70">
        <v>54768045</v>
      </c>
      <c r="AV70">
        <v>91279238</v>
      </c>
      <c r="AW70">
        <v>32.929900000000004</v>
      </c>
      <c r="AX70">
        <v>12.2941</v>
      </c>
      <c r="AY70">
        <v>5786.55</v>
      </c>
      <c r="AZ70">
        <v>4141.4399999999996</v>
      </c>
      <c r="BA70">
        <v>2510</v>
      </c>
      <c r="BB70">
        <v>443</v>
      </c>
      <c r="BC70" t="str">
        <f t="shared" si="2"/>
        <v>u=40%, k=2x10^7</v>
      </c>
      <c r="BD70">
        <f t="shared" si="3"/>
        <v>32</v>
      </c>
    </row>
    <row r="71" spans="1:56">
      <c r="A71" t="s">
        <v>248</v>
      </c>
      <c r="B71" t="s">
        <v>105</v>
      </c>
      <c r="D71" t="s">
        <v>64</v>
      </c>
      <c r="E71" t="s">
        <v>59</v>
      </c>
      <c r="F71" t="s">
        <v>60</v>
      </c>
      <c r="G71">
        <v>64000</v>
      </c>
      <c r="H71">
        <v>20</v>
      </c>
      <c r="I71">
        <v>20</v>
      </c>
      <c r="J71">
        <v>0</v>
      </c>
      <c r="K71">
        <v>1</v>
      </c>
      <c r="L71">
        <v>20000000</v>
      </c>
      <c r="M71">
        <v>190</v>
      </c>
      <c r="N71">
        <v>190</v>
      </c>
      <c r="O71">
        <v>190</v>
      </c>
      <c r="P71">
        <v>0</v>
      </c>
      <c r="Q71" t="s">
        <v>61</v>
      </c>
      <c r="R71">
        <v>100035579292592</v>
      </c>
      <c r="S71">
        <v>10003312</v>
      </c>
      <c r="T71">
        <v>100035579292592</v>
      </c>
      <c r="U71">
        <v>10003312</v>
      </c>
      <c r="V71" t="s">
        <v>71</v>
      </c>
      <c r="W71">
        <v>29</v>
      </c>
      <c r="X71">
        <v>6859173</v>
      </c>
      <c r="Y71">
        <v>5203308</v>
      </c>
      <c r="Z71">
        <v>12062481</v>
      </c>
      <c r="AA71">
        <v>10003312</v>
      </c>
      <c r="AB71">
        <v>1.7585900000000001</v>
      </c>
      <c r="AC71">
        <v>1.92249</v>
      </c>
      <c r="AD71">
        <v>1.8292900000000001</v>
      </c>
      <c r="AE71">
        <v>23.268999999999998</v>
      </c>
      <c r="AF71">
        <v>675498936</v>
      </c>
      <c r="AJ71" t="s">
        <v>249</v>
      </c>
      <c r="AM71">
        <v>3486576581</v>
      </c>
      <c r="AN71">
        <v>0</v>
      </c>
      <c r="AO71">
        <v>2324388985</v>
      </c>
      <c r="AP71">
        <v>3486576581</v>
      </c>
      <c r="AQ71">
        <v>5810965566</v>
      </c>
      <c r="AR71">
        <v>54477759</v>
      </c>
      <c r="AS71">
        <v>0</v>
      </c>
      <c r="AT71">
        <v>36318577</v>
      </c>
      <c r="AU71">
        <v>54477759</v>
      </c>
      <c r="AV71">
        <v>90796336</v>
      </c>
      <c r="AW71">
        <v>33.216000000000001</v>
      </c>
      <c r="AX71">
        <v>12.4275</v>
      </c>
      <c r="AY71">
        <v>5819.62</v>
      </c>
      <c r="AZ71">
        <v>4196.62</v>
      </c>
      <c r="BA71">
        <v>2534</v>
      </c>
      <c r="BB71">
        <v>420</v>
      </c>
      <c r="BC71" t="str">
        <f t="shared" si="2"/>
        <v>u=40%, k=2x10^7</v>
      </c>
      <c r="BD71">
        <f t="shared" si="3"/>
        <v>64</v>
      </c>
    </row>
    <row r="72" spans="1:56">
      <c r="A72" t="s">
        <v>250</v>
      </c>
      <c r="B72" t="s">
        <v>63</v>
      </c>
      <c r="C72">
        <v>72</v>
      </c>
      <c r="D72" t="s">
        <v>64</v>
      </c>
      <c r="E72" t="s">
        <v>59</v>
      </c>
      <c r="F72" t="s">
        <v>60</v>
      </c>
      <c r="G72">
        <v>1000</v>
      </c>
      <c r="H72">
        <v>0.5</v>
      </c>
      <c r="I72">
        <v>0.5</v>
      </c>
      <c r="J72">
        <v>0</v>
      </c>
      <c r="K72">
        <v>1</v>
      </c>
      <c r="L72">
        <v>20000000</v>
      </c>
      <c r="M72">
        <v>190</v>
      </c>
      <c r="N72">
        <v>190</v>
      </c>
      <c r="O72">
        <v>190</v>
      </c>
      <c r="P72">
        <v>0</v>
      </c>
      <c r="Q72" t="s">
        <v>61</v>
      </c>
      <c r="R72">
        <v>99995854525913</v>
      </c>
      <c r="S72">
        <v>10001564</v>
      </c>
      <c r="T72">
        <v>99995854525913</v>
      </c>
      <c r="U72">
        <v>10001564</v>
      </c>
      <c r="V72" t="s">
        <v>71</v>
      </c>
      <c r="W72">
        <v>7</v>
      </c>
      <c r="X72">
        <v>1903250</v>
      </c>
      <c r="Y72">
        <v>12026251</v>
      </c>
      <c r="Z72">
        <v>13929501</v>
      </c>
      <c r="AA72">
        <v>10001564</v>
      </c>
      <c r="AB72">
        <v>7.3188000000000004</v>
      </c>
      <c r="AC72">
        <v>0.83164400000000005</v>
      </c>
      <c r="AD72">
        <v>1.71801</v>
      </c>
      <c r="AE72">
        <v>4.0555399999999997</v>
      </c>
      <c r="AF72">
        <v>344709952</v>
      </c>
      <c r="AG72" t="s">
        <v>251</v>
      </c>
      <c r="AH72" t="s">
        <v>251</v>
      </c>
      <c r="AI72">
        <v>6</v>
      </c>
      <c r="AJ72">
        <v>1636</v>
      </c>
      <c r="AM72">
        <v>261400174</v>
      </c>
      <c r="AN72">
        <v>0</v>
      </c>
      <c r="AO72">
        <v>2641109</v>
      </c>
      <c r="AP72">
        <v>261400174</v>
      </c>
      <c r="AQ72">
        <v>264041283</v>
      </c>
      <c r="AR72">
        <v>261400174</v>
      </c>
      <c r="AS72">
        <v>0</v>
      </c>
      <c r="AT72">
        <v>2641109</v>
      </c>
      <c r="AU72">
        <v>261400174</v>
      </c>
      <c r="AV72">
        <v>264041283</v>
      </c>
      <c r="AW72">
        <v>15.982100000000001</v>
      </c>
      <c r="AX72">
        <v>6.4802200000000001</v>
      </c>
      <c r="AY72">
        <v>1988.89</v>
      </c>
      <c r="AZ72">
        <v>1232.33</v>
      </c>
      <c r="BA72">
        <v>1915</v>
      </c>
      <c r="BB72">
        <v>456</v>
      </c>
      <c r="BC72" t="str">
        <f t="shared" si="2"/>
        <v>u=1%, k=2x10^7</v>
      </c>
      <c r="BD72">
        <f t="shared" si="3"/>
        <v>1</v>
      </c>
    </row>
    <row r="73" spans="1:56">
      <c r="A73" t="s">
        <v>252</v>
      </c>
      <c r="B73" t="s">
        <v>63</v>
      </c>
      <c r="C73">
        <v>72</v>
      </c>
      <c r="D73" t="s">
        <v>64</v>
      </c>
      <c r="E73" t="s">
        <v>59</v>
      </c>
      <c r="F73" t="s">
        <v>60</v>
      </c>
      <c r="G73">
        <v>2000</v>
      </c>
      <c r="H73">
        <v>0.5</v>
      </c>
      <c r="I73">
        <v>0.5</v>
      </c>
      <c r="J73">
        <v>0</v>
      </c>
      <c r="K73">
        <v>1</v>
      </c>
      <c r="L73">
        <v>20000000</v>
      </c>
      <c r="M73">
        <v>190</v>
      </c>
      <c r="N73">
        <v>190</v>
      </c>
      <c r="O73">
        <v>190</v>
      </c>
      <c r="P73">
        <v>0</v>
      </c>
      <c r="Q73" t="s">
        <v>61</v>
      </c>
      <c r="R73">
        <v>99999646836806</v>
      </c>
      <c r="S73">
        <v>10000726</v>
      </c>
      <c r="T73">
        <v>99999646836806</v>
      </c>
      <c r="U73">
        <v>10000726</v>
      </c>
      <c r="V73" t="s">
        <v>71</v>
      </c>
      <c r="W73">
        <v>7</v>
      </c>
      <c r="X73">
        <v>1645723</v>
      </c>
      <c r="Y73">
        <v>11483118</v>
      </c>
      <c r="Z73">
        <v>13128841</v>
      </c>
      <c r="AA73">
        <v>10000726</v>
      </c>
      <c r="AB73">
        <v>7.9775499999999999</v>
      </c>
      <c r="AC73">
        <v>0.87090699999999999</v>
      </c>
      <c r="AD73">
        <v>1.7617400000000001</v>
      </c>
      <c r="AE73">
        <v>4.0039899999999999</v>
      </c>
      <c r="AF73">
        <v>315387728</v>
      </c>
      <c r="AG73" t="s">
        <v>253</v>
      </c>
      <c r="AH73" t="s">
        <v>254</v>
      </c>
      <c r="AI73">
        <v>2711</v>
      </c>
      <c r="AJ73">
        <v>3080</v>
      </c>
      <c r="AM73">
        <v>503786141</v>
      </c>
      <c r="AN73">
        <v>0</v>
      </c>
      <c r="AO73">
        <v>5088141</v>
      </c>
      <c r="AP73">
        <v>503786141</v>
      </c>
      <c r="AQ73">
        <v>508874282</v>
      </c>
      <c r="AR73">
        <v>251893070</v>
      </c>
      <c r="AS73">
        <v>0</v>
      </c>
      <c r="AT73">
        <v>2544070</v>
      </c>
      <c r="AU73">
        <v>251893070</v>
      </c>
      <c r="AV73">
        <v>254437141</v>
      </c>
      <c r="AW73">
        <v>16.1584</v>
      </c>
      <c r="AX73">
        <v>6.5845799999999999</v>
      </c>
      <c r="AY73">
        <v>2021.72</v>
      </c>
      <c r="AZ73">
        <v>1260.93</v>
      </c>
      <c r="BA73">
        <v>2602</v>
      </c>
      <c r="BB73">
        <v>367</v>
      </c>
      <c r="BC73" t="str">
        <f t="shared" si="2"/>
        <v>u=1%, k=2x10^7</v>
      </c>
      <c r="BD73">
        <f t="shared" si="3"/>
        <v>2</v>
      </c>
    </row>
    <row r="74" spans="1:56">
      <c r="A74" t="s">
        <v>255</v>
      </c>
      <c r="B74" t="s">
        <v>63</v>
      </c>
      <c r="C74">
        <v>72</v>
      </c>
      <c r="D74" t="s">
        <v>64</v>
      </c>
      <c r="E74" t="s">
        <v>59</v>
      </c>
      <c r="F74" t="s">
        <v>60</v>
      </c>
      <c r="G74">
        <v>4000</v>
      </c>
      <c r="H74">
        <v>0.5</v>
      </c>
      <c r="I74">
        <v>0.5</v>
      </c>
      <c r="J74">
        <v>0</v>
      </c>
      <c r="K74">
        <v>1</v>
      </c>
      <c r="L74">
        <v>20000000</v>
      </c>
      <c r="M74">
        <v>190</v>
      </c>
      <c r="N74">
        <v>190</v>
      </c>
      <c r="O74">
        <v>190</v>
      </c>
      <c r="P74">
        <v>0</v>
      </c>
      <c r="Q74" t="s">
        <v>61</v>
      </c>
      <c r="R74">
        <v>99975182398884</v>
      </c>
      <c r="S74">
        <v>9998637</v>
      </c>
      <c r="T74">
        <v>99975182398884</v>
      </c>
      <c r="U74">
        <v>9998637</v>
      </c>
      <c r="V74" t="s">
        <v>71</v>
      </c>
      <c r="W74">
        <v>7</v>
      </c>
      <c r="X74">
        <v>1657608</v>
      </c>
      <c r="Y74">
        <v>11504830</v>
      </c>
      <c r="Z74">
        <v>13162438</v>
      </c>
      <c r="AA74">
        <v>9998637</v>
      </c>
      <c r="AB74">
        <v>7.94062</v>
      </c>
      <c r="AC74">
        <v>0.86908200000000002</v>
      </c>
      <c r="AD74">
        <v>1.75963</v>
      </c>
      <c r="AE74">
        <v>4.0063700000000004</v>
      </c>
      <c r="AF74">
        <v>316685904</v>
      </c>
      <c r="AG74" t="s">
        <v>256</v>
      </c>
      <c r="AH74" t="s">
        <v>257</v>
      </c>
      <c r="AI74">
        <v>5917</v>
      </c>
      <c r="AJ74">
        <v>6268</v>
      </c>
      <c r="AM74">
        <v>1002369409</v>
      </c>
      <c r="AN74">
        <v>0</v>
      </c>
      <c r="AO74">
        <v>10129984</v>
      </c>
      <c r="AP74">
        <v>1002369409</v>
      </c>
      <c r="AQ74">
        <v>1012499393</v>
      </c>
      <c r="AR74">
        <v>250592352</v>
      </c>
      <c r="AS74">
        <v>0</v>
      </c>
      <c r="AT74">
        <v>2532496</v>
      </c>
      <c r="AU74">
        <v>250592352</v>
      </c>
      <c r="AV74">
        <v>253124848</v>
      </c>
      <c r="AW74">
        <v>16.225000000000001</v>
      </c>
      <c r="AX74">
        <v>6.60588</v>
      </c>
      <c r="AY74">
        <v>2037.4</v>
      </c>
      <c r="AZ74">
        <v>1264.3499999999999</v>
      </c>
      <c r="BA74">
        <v>2733</v>
      </c>
      <c r="BB74">
        <v>442</v>
      </c>
      <c r="BC74" t="str">
        <f t="shared" si="2"/>
        <v>u=1%, k=2x10^7</v>
      </c>
      <c r="BD74">
        <f t="shared" si="3"/>
        <v>4</v>
      </c>
    </row>
    <row r="75" spans="1:56">
      <c r="A75" t="s">
        <v>258</v>
      </c>
      <c r="B75" t="s">
        <v>63</v>
      </c>
      <c r="C75">
        <v>72</v>
      </c>
      <c r="D75" t="s">
        <v>64</v>
      </c>
      <c r="E75" t="s">
        <v>59</v>
      </c>
      <c r="F75" t="s">
        <v>60</v>
      </c>
      <c r="G75">
        <v>8000</v>
      </c>
      <c r="H75">
        <v>0.5</v>
      </c>
      <c r="I75">
        <v>0.5</v>
      </c>
      <c r="J75">
        <v>0</v>
      </c>
      <c r="K75">
        <v>1</v>
      </c>
      <c r="L75">
        <v>20000000</v>
      </c>
      <c r="M75">
        <v>190</v>
      </c>
      <c r="N75">
        <v>190</v>
      </c>
      <c r="O75">
        <v>190</v>
      </c>
      <c r="P75">
        <v>0</v>
      </c>
      <c r="Q75" t="s">
        <v>61</v>
      </c>
      <c r="R75">
        <v>99999860076018</v>
      </c>
      <c r="S75">
        <v>10000450</v>
      </c>
      <c r="T75">
        <v>99999860076018</v>
      </c>
      <c r="U75">
        <v>10000450</v>
      </c>
      <c r="V75" t="s">
        <v>71</v>
      </c>
      <c r="W75">
        <v>7</v>
      </c>
      <c r="X75">
        <v>1630185</v>
      </c>
      <c r="Y75">
        <v>11451661</v>
      </c>
      <c r="Z75">
        <v>13081846</v>
      </c>
      <c r="AA75">
        <v>10000450</v>
      </c>
      <c r="AB75">
        <v>8.0247600000000006</v>
      </c>
      <c r="AC75">
        <v>0.87327500000000002</v>
      </c>
      <c r="AD75">
        <v>1.7644500000000001</v>
      </c>
      <c r="AE75">
        <v>4.0008800000000004</v>
      </c>
      <c r="AF75">
        <v>313641360</v>
      </c>
      <c r="AG75" t="s">
        <v>259</v>
      </c>
      <c r="AH75" t="s">
        <v>260</v>
      </c>
      <c r="AI75">
        <v>9931</v>
      </c>
      <c r="AJ75">
        <v>12412</v>
      </c>
      <c r="AM75">
        <v>1981544227</v>
      </c>
      <c r="AN75">
        <v>0</v>
      </c>
      <c r="AO75">
        <v>20016587</v>
      </c>
      <c r="AP75">
        <v>1981544227</v>
      </c>
      <c r="AQ75">
        <v>2001560814</v>
      </c>
      <c r="AR75">
        <v>247693028</v>
      </c>
      <c r="AS75">
        <v>0</v>
      </c>
      <c r="AT75">
        <v>2502073</v>
      </c>
      <c r="AU75">
        <v>247693028</v>
      </c>
      <c r="AV75">
        <v>250195101</v>
      </c>
      <c r="AW75">
        <v>16.244900000000001</v>
      </c>
      <c r="AX75">
        <v>6.6363500000000002</v>
      </c>
      <c r="AY75">
        <v>2078.42</v>
      </c>
      <c r="AZ75">
        <v>1296.5999999999999</v>
      </c>
      <c r="BA75">
        <v>2776</v>
      </c>
      <c r="BB75">
        <v>393</v>
      </c>
      <c r="BC75" t="str">
        <f t="shared" si="2"/>
        <v>u=1%, k=2x10^7</v>
      </c>
      <c r="BD75">
        <f t="shared" si="3"/>
        <v>8</v>
      </c>
    </row>
    <row r="76" spans="1:56">
      <c r="A76" t="s">
        <v>261</v>
      </c>
      <c r="B76" t="s">
        <v>63</v>
      </c>
      <c r="C76">
        <v>72</v>
      </c>
      <c r="D76" t="s">
        <v>64</v>
      </c>
      <c r="E76" t="s">
        <v>59</v>
      </c>
      <c r="F76" t="s">
        <v>60</v>
      </c>
      <c r="G76">
        <v>16000</v>
      </c>
      <c r="H76">
        <v>0.5</v>
      </c>
      <c r="I76">
        <v>0.5</v>
      </c>
      <c r="J76">
        <v>0</v>
      </c>
      <c r="K76">
        <v>1</v>
      </c>
      <c r="L76">
        <v>20000000</v>
      </c>
      <c r="M76">
        <v>190</v>
      </c>
      <c r="N76">
        <v>190</v>
      </c>
      <c r="O76">
        <v>190</v>
      </c>
      <c r="P76">
        <v>0</v>
      </c>
      <c r="Q76" t="s">
        <v>61</v>
      </c>
      <c r="R76">
        <v>100008478433037</v>
      </c>
      <c r="S76">
        <v>10000004</v>
      </c>
      <c r="T76">
        <v>100008478433037</v>
      </c>
      <c r="U76">
        <v>10000004</v>
      </c>
      <c r="V76" t="s">
        <v>71</v>
      </c>
      <c r="W76">
        <v>7</v>
      </c>
      <c r="X76">
        <v>1634035</v>
      </c>
      <c r="Y76">
        <v>11458590</v>
      </c>
      <c r="Z76">
        <v>13092625</v>
      </c>
      <c r="AA76">
        <v>10000004</v>
      </c>
      <c r="AB76">
        <v>8.0124499999999994</v>
      </c>
      <c r="AC76">
        <v>0.87270800000000004</v>
      </c>
      <c r="AD76">
        <v>1.76379</v>
      </c>
      <c r="AE76">
        <v>4.0016499999999997</v>
      </c>
      <c r="AF76">
        <v>314060224</v>
      </c>
      <c r="AG76" t="s">
        <v>262</v>
      </c>
      <c r="AH76" t="s">
        <v>263</v>
      </c>
      <c r="AI76">
        <v>19586</v>
      </c>
      <c r="AJ76">
        <v>24564</v>
      </c>
      <c r="AM76">
        <v>3962073820</v>
      </c>
      <c r="AN76">
        <v>0</v>
      </c>
      <c r="AO76">
        <v>40019021</v>
      </c>
      <c r="AP76">
        <v>3962073820</v>
      </c>
      <c r="AQ76">
        <v>4002092841</v>
      </c>
      <c r="AR76">
        <v>247629613</v>
      </c>
      <c r="AS76">
        <v>0</v>
      </c>
      <c r="AT76">
        <v>2501188</v>
      </c>
      <c r="AU76">
        <v>247629613</v>
      </c>
      <c r="AV76">
        <v>250130802</v>
      </c>
      <c r="AW76">
        <v>16.286200000000001</v>
      </c>
      <c r="AX76">
        <v>6.65435</v>
      </c>
      <c r="AY76">
        <v>2083.56</v>
      </c>
      <c r="AZ76">
        <v>1305.8499999999999</v>
      </c>
      <c r="BA76">
        <v>2772</v>
      </c>
      <c r="BB76">
        <v>412</v>
      </c>
      <c r="BC76" t="str">
        <f t="shared" si="2"/>
        <v>u=1%, k=2x10^7</v>
      </c>
      <c r="BD76">
        <f t="shared" si="3"/>
        <v>16</v>
      </c>
    </row>
    <row r="77" spans="1:56">
      <c r="A77" t="s">
        <v>264</v>
      </c>
      <c r="B77" t="s">
        <v>63</v>
      </c>
      <c r="C77">
        <v>72</v>
      </c>
      <c r="D77" t="s">
        <v>64</v>
      </c>
      <c r="E77" t="s">
        <v>59</v>
      </c>
      <c r="F77" t="s">
        <v>60</v>
      </c>
      <c r="G77">
        <v>32000</v>
      </c>
      <c r="H77">
        <v>0.5</v>
      </c>
      <c r="I77">
        <v>0.5</v>
      </c>
      <c r="J77">
        <v>0</v>
      </c>
      <c r="K77">
        <v>1</v>
      </c>
      <c r="L77">
        <v>20000000</v>
      </c>
      <c r="M77">
        <v>190</v>
      </c>
      <c r="N77">
        <v>190</v>
      </c>
      <c r="O77">
        <v>190</v>
      </c>
      <c r="P77">
        <v>0</v>
      </c>
      <c r="Q77" t="s">
        <v>61</v>
      </c>
      <c r="R77">
        <v>100005268698771</v>
      </c>
      <c r="S77">
        <v>9999155</v>
      </c>
      <c r="T77">
        <v>100005268698771</v>
      </c>
      <c r="U77">
        <v>9999155</v>
      </c>
      <c r="V77" t="s">
        <v>71</v>
      </c>
      <c r="W77">
        <v>7</v>
      </c>
      <c r="X77">
        <v>1741521</v>
      </c>
      <c r="Y77">
        <v>11685844</v>
      </c>
      <c r="Z77">
        <v>13427365</v>
      </c>
      <c r="AA77">
        <v>9999155</v>
      </c>
      <c r="AB77">
        <v>7.71014</v>
      </c>
      <c r="AC77">
        <v>0.85566399999999998</v>
      </c>
      <c r="AD77">
        <v>1.74468</v>
      </c>
      <c r="AE77">
        <v>4.02346</v>
      </c>
      <c r="AF77">
        <v>326305264</v>
      </c>
      <c r="AG77" t="s">
        <v>265</v>
      </c>
      <c r="AH77" t="s">
        <v>266</v>
      </c>
      <c r="AI77">
        <v>38174</v>
      </c>
      <c r="AJ77">
        <v>48154</v>
      </c>
      <c r="AM77">
        <v>7808557895</v>
      </c>
      <c r="AN77">
        <v>0</v>
      </c>
      <c r="AO77">
        <v>78879176</v>
      </c>
      <c r="AP77">
        <v>7808557895</v>
      </c>
      <c r="AQ77">
        <v>7887437071</v>
      </c>
      <c r="AR77">
        <v>244017434</v>
      </c>
      <c r="AS77">
        <v>0</v>
      </c>
      <c r="AT77">
        <v>2464974</v>
      </c>
      <c r="AU77">
        <v>244017434</v>
      </c>
      <c r="AV77">
        <v>246482408</v>
      </c>
      <c r="AW77">
        <v>16.375</v>
      </c>
      <c r="AX77">
        <v>6.6587899999999998</v>
      </c>
      <c r="AY77">
        <v>2118.88</v>
      </c>
      <c r="AZ77">
        <v>1344.94</v>
      </c>
      <c r="BA77">
        <v>2737</v>
      </c>
      <c r="BB77">
        <v>435</v>
      </c>
      <c r="BC77" t="str">
        <f t="shared" si="2"/>
        <v>u=1%, k=2x10^7</v>
      </c>
      <c r="BD77">
        <f t="shared" si="3"/>
        <v>32</v>
      </c>
    </row>
    <row r="78" spans="1:56">
      <c r="A78" t="s">
        <v>267</v>
      </c>
      <c r="B78" t="s">
        <v>63</v>
      </c>
      <c r="C78">
        <v>72</v>
      </c>
      <c r="D78" t="s">
        <v>64</v>
      </c>
      <c r="E78" t="s">
        <v>59</v>
      </c>
      <c r="F78" t="s">
        <v>60</v>
      </c>
      <c r="G78">
        <v>64000</v>
      </c>
      <c r="H78">
        <v>0.5</v>
      </c>
      <c r="I78">
        <v>0.5</v>
      </c>
      <c r="J78">
        <v>0</v>
      </c>
      <c r="K78">
        <v>1</v>
      </c>
      <c r="L78">
        <v>20000000</v>
      </c>
      <c r="M78">
        <v>190</v>
      </c>
      <c r="N78">
        <v>190</v>
      </c>
      <c r="O78">
        <v>190</v>
      </c>
      <c r="P78">
        <v>0</v>
      </c>
      <c r="Q78" t="s">
        <v>61</v>
      </c>
      <c r="R78">
        <v>100012678809309</v>
      </c>
      <c r="S78">
        <v>9999409</v>
      </c>
      <c r="T78">
        <v>100012678809309</v>
      </c>
      <c r="U78">
        <v>9999409</v>
      </c>
      <c r="V78" t="s">
        <v>71</v>
      </c>
      <c r="W78">
        <v>7</v>
      </c>
      <c r="X78">
        <v>1814729</v>
      </c>
      <c r="Y78">
        <v>11835202</v>
      </c>
      <c r="Z78">
        <v>13649931</v>
      </c>
      <c r="AA78">
        <v>9999409</v>
      </c>
      <c r="AB78">
        <v>7.5217499999999999</v>
      </c>
      <c r="AC78">
        <v>0.84488700000000005</v>
      </c>
      <c r="AD78">
        <v>1.7325600000000001</v>
      </c>
      <c r="AE78">
        <v>4.0386600000000001</v>
      </c>
      <c r="AF78">
        <v>334546688</v>
      </c>
      <c r="AG78" t="s">
        <v>268</v>
      </c>
      <c r="AH78" t="s">
        <v>269</v>
      </c>
      <c r="AI78">
        <v>73415</v>
      </c>
      <c r="AJ78">
        <v>98932</v>
      </c>
      <c r="AM78">
        <v>15819750846</v>
      </c>
      <c r="AN78">
        <v>0</v>
      </c>
      <c r="AO78">
        <v>159797973</v>
      </c>
      <c r="AP78">
        <v>15819750846</v>
      </c>
      <c r="AQ78">
        <v>15979548819</v>
      </c>
      <c r="AR78">
        <v>247183606</v>
      </c>
      <c r="AS78">
        <v>0</v>
      </c>
      <c r="AT78">
        <v>2496843</v>
      </c>
      <c r="AU78">
        <v>247183606</v>
      </c>
      <c r="AV78">
        <v>249680450</v>
      </c>
      <c r="AW78">
        <v>16.343599999999999</v>
      </c>
      <c r="AX78">
        <v>6.6655100000000003</v>
      </c>
      <c r="AY78">
        <v>2092.2199999999998</v>
      </c>
      <c r="AZ78">
        <v>1315.57</v>
      </c>
      <c r="BA78">
        <v>2730</v>
      </c>
      <c r="BB78">
        <v>393</v>
      </c>
      <c r="BC78" t="str">
        <f t="shared" si="2"/>
        <v>u=1%, k=2x10^7</v>
      </c>
      <c r="BD78">
        <f t="shared" si="3"/>
        <v>64</v>
      </c>
    </row>
    <row r="79" spans="1:56">
      <c r="A79" t="s">
        <v>270</v>
      </c>
      <c r="B79" t="s">
        <v>105</v>
      </c>
      <c r="D79" t="s">
        <v>64</v>
      </c>
      <c r="E79" t="s">
        <v>59</v>
      </c>
      <c r="F79" t="s">
        <v>60</v>
      </c>
      <c r="G79">
        <v>1000</v>
      </c>
      <c r="H79">
        <v>0.5</v>
      </c>
      <c r="I79">
        <v>0.5</v>
      </c>
      <c r="J79">
        <v>0</v>
      </c>
      <c r="K79">
        <v>1</v>
      </c>
      <c r="L79">
        <v>20000000</v>
      </c>
      <c r="M79">
        <v>190</v>
      </c>
      <c r="N79">
        <v>190</v>
      </c>
      <c r="O79">
        <v>190</v>
      </c>
      <c r="P79">
        <v>0</v>
      </c>
      <c r="Q79" t="s">
        <v>61</v>
      </c>
      <c r="R79">
        <v>100013508537799</v>
      </c>
      <c r="S79">
        <v>10000307</v>
      </c>
      <c r="T79">
        <v>100013508537799</v>
      </c>
      <c r="U79">
        <v>10000307</v>
      </c>
      <c r="V79" t="s">
        <v>71</v>
      </c>
      <c r="W79">
        <v>29</v>
      </c>
      <c r="X79">
        <v>5778167</v>
      </c>
      <c r="Y79">
        <v>4339949</v>
      </c>
      <c r="Z79">
        <v>10118116</v>
      </c>
      <c r="AA79">
        <v>10000307</v>
      </c>
      <c r="AB79">
        <v>1.75109</v>
      </c>
      <c r="AC79">
        <v>2.3042500000000001</v>
      </c>
      <c r="AD79">
        <v>1.9883599999999999</v>
      </c>
      <c r="AE79">
        <v>22.717099999999999</v>
      </c>
      <c r="AF79">
        <v>566614496</v>
      </c>
      <c r="AJ79" t="s">
        <v>271</v>
      </c>
      <c r="AM79">
        <v>112572250</v>
      </c>
      <c r="AN79">
        <v>0</v>
      </c>
      <c r="AO79">
        <v>1136454</v>
      </c>
      <c r="AP79">
        <v>112572250</v>
      </c>
      <c r="AQ79">
        <v>113708704</v>
      </c>
      <c r="AR79">
        <v>112572250</v>
      </c>
      <c r="AS79">
        <v>0</v>
      </c>
      <c r="AT79">
        <v>1136454</v>
      </c>
      <c r="AU79">
        <v>112572250</v>
      </c>
      <c r="AV79">
        <v>113708704</v>
      </c>
      <c r="AW79">
        <v>28.741299999999999</v>
      </c>
      <c r="AX79">
        <v>10.460100000000001</v>
      </c>
      <c r="AY79">
        <v>4592.4799999999996</v>
      </c>
      <c r="AZ79">
        <v>3239.27</v>
      </c>
      <c r="BA79">
        <v>1762</v>
      </c>
      <c r="BB79">
        <v>438</v>
      </c>
      <c r="BC79" t="str">
        <f t="shared" si="2"/>
        <v>u=1%, k=2x10^7</v>
      </c>
      <c r="BD79">
        <f t="shared" si="3"/>
        <v>1</v>
      </c>
    </row>
    <row r="80" spans="1:56">
      <c r="A80" t="s">
        <v>272</v>
      </c>
      <c r="B80" t="s">
        <v>105</v>
      </c>
      <c r="D80" t="s">
        <v>64</v>
      </c>
      <c r="E80" t="s">
        <v>59</v>
      </c>
      <c r="F80" t="s">
        <v>60</v>
      </c>
      <c r="G80">
        <v>2000</v>
      </c>
      <c r="H80">
        <v>0.5</v>
      </c>
      <c r="I80">
        <v>0.5</v>
      </c>
      <c r="J80">
        <v>0</v>
      </c>
      <c r="K80">
        <v>1</v>
      </c>
      <c r="L80">
        <v>20000000</v>
      </c>
      <c r="M80">
        <v>190</v>
      </c>
      <c r="N80">
        <v>190</v>
      </c>
      <c r="O80">
        <v>190</v>
      </c>
      <c r="P80">
        <v>0</v>
      </c>
      <c r="Q80" t="s">
        <v>61</v>
      </c>
      <c r="R80">
        <v>99989833520703</v>
      </c>
      <c r="S80">
        <v>9999653</v>
      </c>
      <c r="T80">
        <v>99989833520703</v>
      </c>
      <c r="U80">
        <v>9999653</v>
      </c>
      <c r="V80" t="s">
        <v>71</v>
      </c>
      <c r="W80">
        <v>29</v>
      </c>
      <c r="X80">
        <v>5841151</v>
      </c>
      <c r="Y80">
        <v>4390407</v>
      </c>
      <c r="Z80">
        <v>10231558</v>
      </c>
      <c r="AA80">
        <v>9999653</v>
      </c>
      <c r="AB80">
        <v>1.75163</v>
      </c>
      <c r="AC80">
        <v>2.2776100000000001</v>
      </c>
      <c r="AD80">
        <v>1.97733</v>
      </c>
      <c r="AE80">
        <v>22.732600000000001</v>
      </c>
      <c r="AF80">
        <v>572967248</v>
      </c>
      <c r="AJ80" t="s">
        <v>273</v>
      </c>
      <c r="AM80">
        <v>228488277</v>
      </c>
      <c r="AN80">
        <v>0</v>
      </c>
      <c r="AO80">
        <v>2310186</v>
      </c>
      <c r="AP80">
        <v>228488277</v>
      </c>
      <c r="AQ80">
        <v>230798463</v>
      </c>
      <c r="AR80">
        <v>114244138</v>
      </c>
      <c r="AS80">
        <v>0</v>
      </c>
      <c r="AT80">
        <v>1155093</v>
      </c>
      <c r="AU80">
        <v>114244138</v>
      </c>
      <c r="AV80">
        <v>115399231</v>
      </c>
      <c r="AW80">
        <v>28.533200000000001</v>
      </c>
      <c r="AX80">
        <v>10.5588</v>
      </c>
      <c r="AY80">
        <v>4565.59</v>
      </c>
      <c r="AZ80">
        <v>3207.44</v>
      </c>
      <c r="BA80">
        <v>1769</v>
      </c>
      <c r="BB80">
        <v>428</v>
      </c>
      <c r="BC80" t="str">
        <f t="shared" si="2"/>
        <v>u=1%, k=2x10^7</v>
      </c>
      <c r="BD80">
        <f t="shared" si="3"/>
        <v>2</v>
      </c>
    </row>
    <row r="81" spans="1:56">
      <c r="A81" t="s">
        <v>274</v>
      </c>
      <c r="B81" t="s">
        <v>105</v>
      </c>
      <c r="D81" t="s">
        <v>64</v>
      </c>
      <c r="E81" t="s">
        <v>59</v>
      </c>
      <c r="F81" t="s">
        <v>60</v>
      </c>
      <c r="G81">
        <v>4000</v>
      </c>
      <c r="H81">
        <v>0.5</v>
      </c>
      <c r="I81">
        <v>0.5</v>
      </c>
      <c r="J81">
        <v>0</v>
      </c>
      <c r="K81">
        <v>1</v>
      </c>
      <c r="L81">
        <v>20000000</v>
      </c>
      <c r="M81">
        <v>190</v>
      </c>
      <c r="N81">
        <v>190</v>
      </c>
      <c r="O81">
        <v>190</v>
      </c>
      <c r="P81">
        <v>0</v>
      </c>
      <c r="Q81" t="s">
        <v>61</v>
      </c>
      <c r="R81">
        <v>100019246618708</v>
      </c>
      <c r="S81">
        <v>10000375</v>
      </c>
      <c r="T81">
        <v>100019246618708</v>
      </c>
      <c r="U81">
        <v>10000375</v>
      </c>
      <c r="V81" t="s">
        <v>71</v>
      </c>
      <c r="W81">
        <v>29</v>
      </c>
      <c r="X81">
        <v>5954250</v>
      </c>
      <c r="Y81">
        <v>4482801</v>
      </c>
      <c r="Z81">
        <v>10437051</v>
      </c>
      <c r="AA81">
        <v>10000375</v>
      </c>
      <c r="AB81">
        <v>1.7528699999999999</v>
      </c>
      <c r="AC81">
        <v>2.2308300000000001</v>
      </c>
      <c r="AD81">
        <v>1.9581599999999999</v>
      </c>
      <c r="AE81">
        <v>22.821400000000001</v>
      </c>
      <c r="AF81">
        <v>584474856</v>
      </c>
      <c r="AJ81">
        <v>2886</v>
      </c>
      <c r="AM81">
        <v>456230628</v>
      </c>
      <c r="AN81">
        <v>0</v>
      </c>
      <c r="AO81">
        <v>4608343</v>
      </c>
      <c r="AP81">
        <v>456230628</v>
      </c>
      <c r="AQ81">
        <v>460838971</v>
      </c>
      <c r="AR81">
        <v>114057657</v>
      </c>
      <c r="AS81">
        <v>0</v>
      </c>
      <c r="AT81">
        <v>1152085</v>
      </c>
      <c r="AU81">
        <v>114057657</v>
      </c>
      <c r="AV81">
        <v>115209742</v>
      </c>
      <c r="AW81">
        <v>28.785399999999999</v>
      </c>
      <c r="AX81">
        <v>10.655099999999999</v>
      </c>
      <c r="AY81">
        <v>4581.03</v>
      </c>
      <c r="AZ81">
        <v>3219.91</v>
      </c>
      <c r="BA81">
        <v>1783</v>
      </c>
      <c r="BB81">
        <v>430</v>
      </c>
      <c r="BC81" t="str">
        <f t="shared" si="2"/>
        <v>u=1%, k=2x10^7</v>
      </c>
      <c r="BD81">
        <f t="shared" si="3"/>
        <v>4</v>
      </c>
    </row>
    <row r="82" spans="1:56">
      <c r="A82" t="s">
        <v>275</v>
      </c>
      <c r="B82" t="s">
        <v>105</v>
      </c>
      <c r="D82" t="s">
        <v>64</v>
      </c>
      <c r="E82" t="s">
        <v>59</v>
      </c>
      <c r="F82" t="s">
        <v>60</v>
      </c>
      <c r="G82">
        <v>8000</v>
      </c>
      <c r="H82">
        <v>0.5</v>
      </c>
      <c r="I82">
        <v>0.5</v>
      </c>
      <c r="J82">
        <v>0</v>
      </c>
      <c r="K82">
        <v>1</v>
      </c>
      <c r="L82">
        <v>20000000</v>
      </c>
      <c r="M82">
        <v>190</v>
      </c>
      <c r="N82">
        <v>190</v>
      </c>
      <c r="O82">
        <v>190</v>
      </c>
      <c r="P82">
        <v>0</v>
      </c>
      <c r="Q82" t="s">
        <v>61</v>
      </c>
      <c r="R82">
        <v>100003185683658</v>
      </c>
      <c r="S82">
        <v>10000060</v>
      </c>
      <c r="T82">
        <v>100003185683658</v>
      </c>
      <c r="U82">
        <v>10000060</v>
      </c>
      <c r="V82" t="s">
        <v>71</v>
      </c>
      <c r="W82">
        <v>29</v>
      </c>
      <c r="X82">
        <v>6142546</v>
      </c>
      <c r="Y82">
        <v>4635262</v>
      </c>
      <c r="Z82">
        <v>10777808</v>
      </c>
      <c r="AA82">
        <v>10000060</v>
      </c>
      <c r="AB82">
        <v>1.7546200000000001</v>
      </c>
      <c r="AC82">
        <v>2.1573899999999999</v>
      </c>
      <c r="AD82">
        <v>1.92784</v>
      </c>
      <c r="AE82">
        <v>22.9682</v>
      </c>
      <c r="AF82">
        <v>603557248</v>
      </c>
      <c r="AJ82" t="s">
        <v>276</v>
      </c>
      <c r="AM82">
        <v>912225235</v>
      </c>
      <c r="AN82">
        <v>0</v>
      </c>
      <c r="AO82">
        <v>9213137</v>
      </c>
      <c r="AP82">
        <v>912225235</v>
      </c>
      <c r="AQ82">
        <v>921438372</v>
      </c>
      <c r="AR82">
        <v>114028154</v>
      </c>
      <c r="AS82">
        <v>0</v>
      </c>
      <c r="AT82">
        <v>1151642</v>
      </c>
      <c r="AU82">
        <v>114028154</v>
      </c>
      <c r="AV82">
        <v>115179796</v>
      </c>
      <c r="AW82">
        <v>28.715399999999999</v>
      </c>
      <c r="AX82">
        <v>10.7296</v>
      </c>
      <c r="AY82">
        <v>4581.74</v>
      </c>
      <c r="AZ82">
        <v>3222.42</v>
      </c>
      <c r="BA82">
        <v>1805</v>
      </c>
      <c r="BB82">
        <v>424</v>
      </c>
      <c r="BC82" t="str">
        <f t="shared" si="2"/>
        <v>u=1%, k=2x10^7</v>
      </c>
      <c r="BD82">
        <f t="shared" si="3"/>
        <v>8</v>
      </c>
    </row>
    <row r="83" spans="1:56">
      <c r="A83" t="s">
        <v>277</v>
      </c>
      <c r="B83" t="s">
        <v>105</v>
      </c>
      <c r="D83" t="s">
        <v>64</v>
      </c>
      <c r="E83" t="s">
        <v>59</v>
      </c>
      <c r="F83" t="s">
        <v>60</v>
      </c>
      <c r="G83">
        <v>16000</v>
      </c>
      <c r="H83">
        <v>0.5</v>
      </c>
      <c r="I83">
        <v>0.5</v>
      </c>
      <c r="J83">
        <v>0</v>
      </c>
      <c r="K83">
        <v>1</v>
      </c>
      <c r="L83">
        <v>20000000</v>
      </c>
      <c r="M83">
        <v>190</v>
      </c>
      <c r="N83">
        <v>190</v>
      </c>
      <c r="O83">
        <v>190</v>
      </c>
      <c r="P83">
        <v>0</v>
      </c>
      <c r="Q83" t="s">
        <v>61</v>
      </c>
      <c r="R83">
        <v>100037555543846</v>
      </c>
      <c r="S83">
        <v>10003584</v>
      </c>
      <c r="T83">
        <v>100037555543846</v>
      </c>
      <c r="U83">
        <v>10003584</v>
      </c>
      <c r="V83" t="s">
        <v>71</v>
      </c>
      <c r="W83">
        <v>29</v>
      </c>
      <c r="X83">
        <v>6407530</v>
      </c>
      <c r="Y83">
        <v>4842908</v>
      </c>
      <c r="Z83">
        <v>11250438</v>
      </c>
      <c r="AA83">
        <v>10003584</v>
      </c>
      <c r="AB83">
        <v>1.7558199999999999</v>
      </c>
      <c r="AC83">
        <v>2.06562</v>
      </c>
      <c r="AD83">
        <v>1.88917</v>
      </c>
      <c r="AE83">
        <v>23.059100000000001</v>
      </c>
      <c r="AF83">
        <v>630024528</v>
      </c>
      <c r="AJ83" t="s">
        <v>278</v>
      </c>
      <c r="AM83">
        <v>1801314298</v>
      </c>
      <c r="AN83">
        <v>0</v>
      </c>
      <c r="AO83">
        <v>18203575</v>
      </c>
      <c r="AP83">
        <v>1801314298</v>
      </c>
      <c r="AQ83">
        <v>1819517873</v>
      </c>
      <c r="AR83">
        <v>112582143</v>
      </c>
      <c r="AS83">
        <v>0</v>
      </c>
      <c r="AT83">
        <v>1137723</v>
      </c>
      <c r="AU83">
        <v>112582143</v>
      </c>
      <c r="AV83">
        <v>113719867</v>
      </c>
      <c r="AW83">
        <v>29.043800000000001</v>
      </c>
      <c r="AX83">
        <v>10.804500000000001</v>
      </c>
      <c r="AY83">
        <v>4638.49</v>
      </c>
      <c r="AZ83">
        <v>3260.03</v>
      </c>
      <c r="BA83">
        <v>1835</v>
      </c>
      <c r="BB83">
        <v>436</v>
      </c>
      <c r="BC83" t="str">
        <f t="shared" si="2"/>
        <v>u=1%, k=2x10^7</v>
      </c>
      <c r="BD83">
        <f t="shared" si="3"/>
        <v>16</v>
      </c>
    </row>
    <row r="84" spans="1:56">
      <c r="A84" t="s">
        <v>279</v>
      </c>
      <c r="B84" t="s">
        <v>105</v>
      </c>
      <c r="D84" t="s">
        <v>64</v>
      </c>
      <c r="E84" t="s">
        <v>59</v>
      </c>
      <c r="F84" t="s">
        <v>60</v>
      </c>
      <c r="G84">
        <v>32000</v>
      </c>
      <c r="H84">
        <v>0.5</v>
      </c>
      <c r="I84">
        <v>0.5</v>
      </c>
      <c r="J84">
        <v>0</v>
      </c>
      <c r="K84">
        <v>1</v>
      </c>
      <c r="L84">
        <v>20000000</v>
      </c>
      <c r="M84">
        <v>190</v>
      </c>
      <c r="N84">
        <v>190</v>
      </c>
      <c r="O84">
        <v>190</v>
      </c>
      <c r="P84">
        <v>0</v>
      </c>
      <c r="Q84" t="s">
        <v>61</v>
      </c>
      <c r="R84">
        <v>99981162415626</v>
      </c>
      <c r="S84">
        <v>9997968</v>
      </c>
      <c r="T84">
        <v>99981162415626</v>
      </c>
      <c r="U84">
        <v>9997968</v>
      </c>
      <c r="V84" t="s">
        <v>71</v>
      </c>
      <c r="W84">
        <v>29</v>
      </c>
      <c r="X84">
        <v>6672081</v>
      </c>
      <c r="Y84">
        <v>5053963</v>
      </c>
      <c r="Z84">
        <v>11726044</v>
      </c>
      <c r="AA84">
        <v>9997968</v>
      </c>
      <c r="AB84">
        <v>1.7574799999999999</v>
      </c>
      <c r="AC84">
        <v>1.97824</v>
      </c>
      <c r="AD84">
        <v>1.85263</v>
      </c>
      <c r="AE84">
        <v>23.194099999999999</v>
      </c>
      <c r="AF84">
        <v>656658464</v>
      </c>
      <c r="AJ84" t="s">
        <v>280</v>
      </c>
      <c r="AM84">
        <v>3556693722</v>
      </c>
      <c r="AN84">
        <v>0</v>
      </c>
      <c r="AO84">
        <v>35927024</v>
      </c>
      <c r="AP84">
        <v>3556693722</v>
      </c>
      <c r="AQ84">
        <v>3592620746</v>
      </c>
      <c r="AR84">
        <v>111146678</v>
      </c>
      <c r="AS84">
        <v>0</v>
      </c>
      <c r="AT84">
        <v>1122719</v>
      </c>
      <c r="AU84">
        <v>111146678</v>
      </c>
      <c r="AV84">
        <v>112269398</v>
      </c>
      <c r="AW84">
        <v>28.905799999999999</v>
      </c>
      <c r="AX84">
        <v>10.895300000000001</v>
      </c>
      <c r="AY84">
        <v>4694.78</v>
      </c>
      <c r="AZ84">
        <v>3259.48</v>
      </c>
      <c r="BA84">
        <v>1866</v>
      </c>
      <c r="BB84">
        <v>445</v>
      </c>
      <c r="BC84" t="str">
        <f t="shared" si="2"/>
        <v>u=1%, k=2x10^7</v>
      </c>
      <c r="BD84">
        <f t="shared" si="3"/>
        <v>32</v>
      </c>
    </row>
    <row r="85" spans="1:56">
      <c r="A85" t="s">
        <v>281</v>
      </c>
      <c r="B85" t="s">
        <v>105</v>
      </c>
      <c r="D85" t="s">
        <v>64</v>
      </c>
      <c r="E85" t="s">
        <v>59</v>
      </c>
      <c r="F85" t="s">
        <v>60</v>
      </c>
      <c r="G85">
        <v>64000</v>
      </c>
      <c r="H85">
        <v>0.5</v>
      </c>
      <c r="I85">
        <v>0.5</v>
      </c>
      <c r="J85">
        <v>0</v>
      </c>
      <c r="K85">
        <v>1</v>
      </c>
      <c r="L85">
        <v>20000000</v>
      </c>
      <c r="M85">
        <v>190</v>
      </c>
      <c r="N85">
        <v>190</v>
      </c>
      <c r="O85">
        <v>190</v>
      </c>
      <c r="P85">
        <v>0</v>
      </c>
      <c r="Q85" t="s">
        <v>61</v>
      </c>
      <c r="R85">
        <v>99944026226360</v>
      </c>
      <c r="S85">
        <v>9995950</v>
      </c>
      <c r="T85">
        <v>99944026226360</v>
      </c>
      <c r="U85">
        <v>9995950</v>
      </c>
      <c r="V85" t="s">
        <v>71</v>
      </c>
      <c r="W85">
        <v>29</v>
      </c>
      <c r="X85">
        <v>6824929</v>
      </c>
      <c r="Y85">
        <v>5176475</v>
      </c>
      <c r="Z85">
        <v>12001404</v>
      </c>
      <c r="AA85">
        <v>9995950</v>
      </c>
      <c r="AB85">
        <v>1.75847</v>
      </c>
      <c r="AC85">
        <v>1.93103</v>
      </c>
      <c r="AD85">
        <v>1.8329</v>
      </c>
      <c r="AE85">
        <v>23.254000000000001</v>
      </c>
      <c r="AF85">
        <v>672078624</v>
      </c>
      <c r="AJ85" t="s">
        <v>282</v>
      </c>
      <c r="AM85">
        <v>7163550547</v>
      </c>
      <c r="AN85">
        <v>0</v>
      </c>
      <c r="AO85">
        <v>72347318</v>
      </c>
      <c r="AP85">
        <v>7163550547</v>
      </c>
      <c r="AQ85">
        <v>7235897865</v>
      </c>
      <c r="AR85">
        <v>111930477</v>
      </c>
      <c r="AS85">
        <v>0</v>
      </c>
      <c r="AT85">
        <v>1130426</v>
      </c>
      <c r="AU85">
        <v>111930477</v>
      </c>
      <c r="AV85">
        <v>113060904</v>
      </c>
      <c r="AW85">
        <v>29.0001</v>
      </c>
      <c r="AX85">
        <v>10.9948</v>
      </c>
      <c r="AY85">
        <v>4663.42</v>
      </c>
      <c r="AZ85">
        <v>3291.06</v>
      </c>
      <c r="BA85">
        <v>1885</v>
      </c>
      <c r="BB85">
        <v>440</v>
      </c>
      <c r="BC85" t="str">
        <f t="shared" si="2"/>
        <v>u=1%, k=2x10^7</v>
      </c>
      <c r="BD85">
        <f t="shared" si="3"/>
        <v>64</v>
      </c>
    </row>
    <row r="86" spans="1:56">
      <c r="A86" t="s">
        <v>83</v>
      </c>
      <c r="B86" t="s">
        <v>63</v>
      </c>
      <c r="C86">
        <v>72</v>
      </c>
      <c r="D86" t="s">
        <v>64</v>
      </c>
      <c r="E86" t="s">
        <v>59</v>
      </c>
      <c r="F86" t="s">
        <v>60</v>
      </c>
      <c r="G86">
        <v>1000</v>
      </c>
      <c r="H86">
        <v>20</v>
      </c>
      <c r="I86">
        <v>20</v>
      </c>
      <c r="J86">
        <v>0</v>
      </c>
      <c r="K86">
        <v>1</v>
      </c>
      <c r="L86">
        <v>2000000</v>
      </c>
      <c r="M86">
        <v>190</v>
      </c>
      <c r="N86">
        <v>190</v>
      </c>
      <c r="O86">
        <v>190</v>
      </c>
      <c r="P86">
        <v>0</v>
      </c>
      <c r="Q86" t="s">
        <v>61</v>
      </c>
      <c r="R86">
        <v>1000507762173</v>
      </c>
      <c r="S86">
        <v>1000119</v>
      </c>
      <c r="T86">
        <v>1000507762173</v>
      </c>
      <c r="U86">
        <v>1000119</v>
      </c>
      <c r="V86" t="s">
        <v>71</v>
      </c>
      <c r="W86">
        <v>6</v>
      </c>
      <c r="X86">
        <v>54558</v>
      </c>
      <c r="Y86">
        <v>1075143</v>
      </c>
      <c r="Z86">
        <v>1129701</v>
      </c>
      <c r="AA86">
        <v>1000119</v>
      </c>
      <c r="AB86">
        <v>20.706399999999999</v>
      </c>
      <c r="AC86">
        <v>0.93022000000000005</v>
      </c>
      <c r="AD86">
        <v>1.8853</v>
      </c>
      <c r="AE86">
        <v>3.0448900000000001</v>
      </c>
      <c r="AF86">
        <v>21586672</v>
      </c>
      <c r="AG86" t="s">
        <v>286</v>
      </c>
      <c r="AH86" t="s">
        <v>287</v>
      </c>
      <c r="AI86">
        <v>777433</v>
      </c>
      <c r="AJ86">
        <v>680</v>
      </c>
      <c r="AM86">
        <v>56627326</v>
      </c>
      <c r="AN86">
        <v>0</v>
      </c>
      <c r="AO86">
        <v>37754537</v>
      </c>
      <c r="AP86">
        <v>56627326</v>
      </c>
      <c r="AQ86">
        <v>94381863</v>
      </c>
      <c r="AR86">
        <v>56627326</v>
      </c>
      <c r="AS86">
        <v>0</v>
      </c>
      <c r="AT86">
        <v>37754537</v>
      </c>
      <c r="AU86">
        <v>56627326</v>
      </c>
      <c r="AV86">
        <v>94381863</v>
      </c>
      <c r="AW86">
        <v>25.0579</v>
      </c>
      <c r="AX86">
        <v>11.851599999999999</v>
      </c>
      <c r="AY86">
        <v>5542.17</v>
      </c>
      <c r="AZ86">
        <v>4264.05</v>
      </c>
      <c r="BA86">
        <v>1560</v>
      </c>
      <c r="BB86">
        <v>345</v>
      </c>
      <c r="BC86" t="str">
        <f t="shared" ref="BC86:BC149" si="4">"u="&amp;(H86+I86)&amp;"%, k=2x10^"&amp;LOG10(L86/2)</f>
        <v>u=40%, k=2x10^6</v>
      </c>
      <c r="BD86">
        <f t="shared" ref="BD86:BD149" si="5">G86/1000</f>
        <v>1</v>
      </c>
    </row>
    <row r="87" spans="1:56">
      <c r="A87" t="s">
        <v>86</v>
      </c>
      <c r="B87" t="s">
        <v>63</v>
      </c>
      <c r="C87">
        <v>72</v>
      </c>
      <c r="D87" t="s">
        <v>64</v>
      </c>
      <c r="E87" t="s">
        <v>59</v>
      </c>
      <c r="F87" t="s">
        <v>60</v>
      </c>
      <c r="G87">
        <v>2000</v>
      </c>
      <c r="H87">
        <v>20</v>
      </c>
      <c r="I87">
        <v>20</v>
      </c>
      <c r="J87">
        <v>0</v>
      </c>
      <c r="K87">
        <v>1</v>
      </c>
      <c r="L87">
        <v>2000000</v>
      </c>
      <c r="M87">
        <v>190</v>
      </c>
      <c r="N87">
        <v>190</v>
      </c>
      <c r="O87">
        <v>190</v>
      </c>
      <c r="P87">
        <v>0</v>
      </c>
      <c r="Q87" t="s">
        <v>61</v>
      </c>
      <c r="R87">
        <v>1000383846321</v>
      </c>
      <c r="S87">
        <v>1000493</v>
      </c>
      <c r="T87">
        <v>1000383846321</v>
      </c>
      <c r="U87">
        <v>1000493</v>
      </c>
      <c r="V87" t="s">
        <v>71</v>
      </c>
      <c r="W87">
        <v>6</v>
      </c>
      <c r="X87">
        <v>52960</v>
      </c>
      <c r="Y87">
        <v>1073164</v>
      </c>
      <c r="Z87">
        <v>1126124</v>
      </c>
      <c r="AA87">
        <v>1000493</v>
      </c>
      <c r="AB87">
        <v>21.2637</v>
      </c>
      <c r="AC87">
        <v>0.93228299999999997</v>
      </c>
      <c r="AD87">
        <v>1.8884399999999999</v>
      </c>
      <c r="AE87">
        <v>3.0417200000000002</v>
      </c>
      <c r="AF87">
        <v>21427840</v>
      </c>
      <c r="AG87" t="s">
        <v>288</v>
      </c>
      <c r="AH87" t="s">
        <v>289</v>
      </c>
      <c r="AI87">
        <v>1563034</v>
      </c>
      <c r="AJ87">
        <v>1360</v>
      </c>
      <c r="AM87">
        <v>113467095</v>
      </c>
      <c r="AN87">
        <v>0</v>
      </c>
      <c r="AO87">
        <v>75657148</v>
      </c>
      <c r="AP87">
        <v>113467095</v>
      </c>
      <c r="AQ87">
        <v>189124243</v>
      </c>
      <c r="AR87">
        <v>56733547</v>
      </c>
      <c r="AS87">
        <v>0</v>
      </c>
      <c r="AT87">
        <v>37828574</v>
      </c>
      <c r="AU87">
        <v>56733547</v>
      </c>
      <c r="AV87">
        <v>94562121</v>
      </c>
      <c r="AW87">
        <v>25.075500000000002</v>
      </c>
      <c r="AX87">
        <v>11.873200000000001</v>
      </c>
      <c r="AY87">
        <v>5568.44</v>
      </c>
      <c r="AZ87">
        <v>4294.8599999999997</v>
      </c>
      <c r="BA87">
        <v>1597</v>
      </c>
      <c r="BB87">
        <v>276</v>
      </c>
      <c r="BC87" t="str">
        <f t="shared" si="4"/>
        <v>u=40%, k=2x10^6</v>
      </c>
      <c r="BD87">
        <f t="shared" si="5"/>
        <v>2</v>
      </c>
    </row>
    <row r="88" spans="1:56">
      <c r="A88" t="s">
        <v>89</v>
      </c>
      <c r="B88" t="s">
        <v>63</v>
      </c>
      <c r="C88">
        <v>72</v>
      </c>
      <c r="D88" t="s">
        <v>64</v>
      </c>
      <c r="E88" t="s">
        <v>59</v>
      </c>
      <c r="F88" t="s">
        <v>60</v>
      </c>
      <c r="G88">
        <v>4000</v>
      </c>
      <c r="H88">
        <v>20</v>
      </c>
      <c r="I88">
        <v>20</v>
      </c>
      <c r="J88">
        <v>0</v>
      </c>
      <c r="K88">
        <v>1</v>
      </c>
      <c r="L88">
        <v>2000000</v>
      </c>
      <c r="M88">
        <v>190</v>
      </c>
      <c r="N88">
        <v>190</v>
      </c>
      <c r="O88">
        <v>190</v>
      </c>
      <c r="P88">
        <v>0</v>
      </c>
      <c r="Q88" t="s">
        <v>61</v>
      </c>
      <c r="R88">
        <v>1000122821853</v>
      </c>
      <c r="S88">
        <v>1000429</v>
      </c>
      <c r="T88">
        <v>1000122821853</v>
      </c>
      <c r="U88">
        <v>1000429</v>
      </c>
      <c r="V88" t="s">
        <v>71</v>
      </c>
      <c r="W88">
        <v>6</v>
      </c>
      <c r="X88">
        <v>52617</v>
      </c>
      <c r="Y88">
        <v>1072221</v>
      </c>
      <c r="Z88">
        <v>1124838</v>
      </c>
      <c r="AA88">
        <v>1000429</v>
      </c>
      <c r="AB88">
        <v>21.377800000000001</v>
      </c>
      <c r="AC88">
        <v>0.93304399999999998</v>
      </c>
      <c r="AD88">
        <v>1.8894</v>
      </c>
      <c r="AE88">
        <v>3.0409000000000002</v>
      </c>
      <c r="AF88">
        <v>21383584</v>
      </c>
      <c r="AG88" t="s">
        <v>290</v>
      </c>
      <c r="AH88" t="s">
        <v>291</v>
      </c>
      <c r="AI88">
        <v>3113546</v>
      </c>
      <c r="AJ88">
        <v>2714</v>
      </c>
      <c r="AM88">
        <v>227410779</v>
      </c>
      <c r="AN88">
        <v>0</v>
      </c>
      <c r="AO88">
        <v>151596310</v>
      </c>
      <c r="AP88">
        <v>227410779</v>
      </c>
      <c r="AQ88">
        <v>379007089</v>
      </c>
      <c r="AR88">
        <v>56852694</v>
      </c>
      <c r="AS88">
        <v>0</v>
      </c>
      <c r="AT88">
        <v>37899077</v>
      </c>
      <c r="AU88">
        <v>56852694</v>
      </c>
      <c r="AV88">
        <v>94751772</v>
      </c>
      <c r="AW88">
        <v>25.030999999999999</v>
      </c>
      <c r="AX88">
        <v>11.9077</v>
      </c>
      <c r="AY88">
        <v>5567.73</v>
      </c>
      <c r="AZ88">
        <v>4290.67</v>
      </c>
      <c r="BA88">
        <v>1662</v>
      </c>
      <c r="BB88">
        <v>270</v>
      </c>
      <c r="BC88" t="str">
        <f t="shared" si="4"/>
        <v>u=40%, k=2x10^6</v>
      </c>
      <c r="BD88">
        <f t="shared" si="5"/>
        <v>4</v>
      </c>
    </row>
    <row r="89" spans="1:56">
      <c r="A89" t="s">
        <v>92</v>
      </c>
      <c r="B89" t="s">
        <v>63</v>
      </c>
      <c r="C89">
        <v>72</v>
      </c>
      <c r="D89" t="s">
        <v>64</v>
      </c>
      <c r="E89" t="s">
        <v>59</v>
      </c>
      <c r="F89" t="s">
        <v>60</v>
      </c>
      <c r="G89">
        <v>8000</v>
      </c>
      <c r="H89">
        <v>20</v>
      </c>
      <c r="I89">
        <v>20</v>
      </c>
      <c r="J89">
        <v>0</v>
      </c>
      <c r="K89">
        <v>1</v>
      </c>
      <c r="L89">
        <v>2000000</v>
      </c>
      <c r="M89">
        <v>190</v>
      </c>
      <c r="N89">
        <v>190</v>
      </c>
      <c r="O89">
        <v>190</v>
      </c>
      <c r="P89">
        <v>0</v>
      </c>
      <c r="Q89" t="s">
        <v>61</v>
      </c>
      <c r="R89">
        <v>1001151784075</v>
      </c>
      <c r="S89">
        <v>1000580</v>
      </c>
      <c r="T89">
        <v>1001151784075</v>
      </c>
      <c r="U89">
        <v>1000580</v>
      </c>
      <c r="V89" t="s">
        <v>71</v>
      </c>
      <c r="W89">
        <v>6</v>
      </c>
      <c r="X89">
        <v>33075</v>
      </c>
      <c r="Y89">
        <v>1032704</v>
      </c>
      <c r="Z89">
        <v>1065779</v>
      </c>
      <c r="AA89">
        <v>1000580</v>
      </c>
      <c r="AB89">
        <v>32.223100000000002</v>
      </c>
      <c r="AC89">
        <v>0.968893</v>
      </c>
      <c r="AD89">
        <v>1.9388300000000001</v>
      </c>
      <c r="AE89">
        <v>3.0000800000000001</v>
      </c>
      <c r="AF89">
        <v>19169248</v>
      </c>
      <c r="AG89" t="s">
        <v>292</v>
      </c>
      <c r="AH89" t="s">
        <v>293</v>
      </c>
      <c r="AI89">
        <v>6214859</v>
      </c>
      <c r="AJ89">
        <v>5432</v>
      </c>
      <c r="AM89">
        <v>454023419</v>
      </c>
      <c r="AN89">
        <v>0</v>
      </c>
      <c r="AO89">
        <v>302679183</v>
      </c>
      <c r="AP89">
        <v>454023419</v>
      </c>
      <c r="AQ89">
        <v>756702602</v>
      </c>
      <c r="AR89">
        <v>56752927</v>
      </c>
      <c r="AS89">
        <v>0</v>
      </c>
      <c r="AT89">
        <v>37834897</v>
      </c>
      <c r="AU89">
        <v>56752927</v>
      </c>
      <c r="AV89">
        <v>94587825</v>
      </c>
      <c r="AW89">
        <v>25.0564</v>
      </c>
      <c r="AX89">
        <v>11.894600000000001</v>
      </c>
      <c r="AY89">
        <v>5588.13</v>
      </c>
      <c r="AZ89">
        <v>4304.55</v>
      </c>
      <c r="BA89">
        <v>1663</v>
      </c>
      <c r="BB89">
        <v>320</v>
      </c>
      <c r="BC89" t="str">
        <f t="shared" si="4"/>
        <v>u=40%, k=2x10^6</v>
      </c>
      <c r="BD89">
        <f t="shared" si="5"/>
        <v>8</v>
      </c>
    </row>
    <row r="90" spans="1:56">
      <c r="A90" t="s">
        <v>95</v>
      </c>
      <c r="B90" t="s">
        <v>63</v>
      </c>
      <c r="C90">
        <v>72</v>
      </c>
      <c r="D90" t="s">
        <v>64</v>
      </c>
      <c r="E90" t="s">
        <v>59</v>
      </c>
      <c r="F90" t="s">
        <v>60</v>
      </c>
      <c r="G90">
        <v>16000</v>
      </c>
      <c r="H90">
        <v>20</v>
      </c>
      <c r="I90">
        <v>20</v>
      </c>
      <c r="J90">
        <v>0</v>
      </c>
      <c r="K90">
        <v>1</v>
      </c>
      <c r="L90">
        <v>2000000</v>
      </c>
      <c r="M90">
        <v>190</v>
      </c>
      <c r="N90">
        <v>190</v>
      </c>
      <c r="O90">
        <v>190</v>
      </c>
      <c r="P90">
        <v>0</v>
      </c>
      <c r="Q90" t="s">
        <v>61</v>
      </c>
      <c r="R90">
        <v>999847593667</v>
      </c>
      <c r="S90">
        <v>999651</v>
      </c>
      <c r="T90">
        <v>999847593667</v>
      </c>
      <c r="U90">
        <v>999651</v>
      </c>
      <c r="V90" t="s">
        <v>71</v>
      </c>
      <c r="W90">
        <v>6</v>
      </c>
      <c r="X90">
        <v>55211</v>
      </c>
      <c r="Y90">
        <v>1077187</v>
      </c>
      <c r="Z90">
        <v>1132398</v>
      </c>
      <c r="AA90">
        <v>999651</v>
      </c>
      <c r="AB90">
        <v>20.510400000000001</v>
      </c>
      <c r="AC90">
        <v>0.92801999999999996</v>
      </c>
      <c r="AD90">
        <v>1.8827700000000001</v>
      </c>
      <c r="AE90">
        <v>3.0464500000000001</v>
      </c>
      <c r="AF90">
        <v>21674112</v>
      </c>
      <c r="AG90" t="s">
        <v>294</v>
      </c>
      <c r="AH90" t="s">
        <v>295</v>
      </c>
      <c r="AI90">
        <v>12451636</v>
      </c>
      <c r="AJ90">
        <v>10884</v>
      </c>
      <c r="AM90">
        <v>908499560</v>
      </c>
      <c r="AN90">
        <v>0</v>
      </c>
      <c r="AO90">
        <v>605607319</v>
      </c>
      <c r="AP90">
        <v>908499560</v>
      </c>
      <c r="AQ90">
        <v>1514106879</v>
      </c>
      <c r="AR90">
        <v>56781222</v>
      </c>
      <c r="AS90">
        <v>0</v>
      </c>
      <c r="AT90">
        <v>37850457</v>
      </c>
      <c r="AU90">
        <v>56781222</v>
      </c>
      <c r="AV90">
        <v>94631679</v>
      </c>
      <c r="AW90">
        <v>25.1023</v>
      </c>
      <c r="AX90">
        <v>11.907500000000001</v>
      </c>
      <c r="AY90">
        <v>5586.9</v>
      </c>
      <c r="AZ90">
        <v>4305.7</v>
      </c>
      <c r="BA90">
        <v>1702</v>
      </c>
      <c r="BB90">
        <v>321</v>
      </c>
      <c r="BC90" t="str">
        <f t="shared" si="4"/>
        <v>u=40%, k=2x10^6</v>
      </c>
      <c r="BD90">
        <f t="shared" si="5"/>
        <v>16</v>
      </c>
    </row>
    <row r="91" spans="1:56">
      <c r="A91" t="s">
        <v>98</v>
      </c>
      <c r="B91" t="s">
        <v>63</v>
      </c>
      <c r="C91">
        <v>72</v>
      </c>
      <c r="D91" t="s">
        <v>64</v>
      </c>
      <c r="E91" t="s">
        <v>59</v>
      </c>
      <c r="F91" t="s">
        <v>60</v>
      </c>
      <c r="G91">
        <v>32000</v>
      </c>
      <c r="H91">
        <v>20</v>
      </c>
      <c r="I91">
        <v>20</v>
      </c>
      <c r="J91">
        <v>0</v>
      </c>
      <c r="K91">
        <v>1</v>
      </c>
      <c r="L91">
        <v>2000000</v>
      </c>
      <c r="M91">
        <v>190</v>
      </c>
      <c r="N91">
        <v>190</v>
      </c>
      <c r="O91">
        <v>190</v>
      </c>
      <c r="P91">
        <v>0</v>
      </c>
      <c r="Q91" t="s">
        <v>61</v>
      </c>
      <c r="R91">
        <v>999329865879</v>
      </c>
      <c r="S91">
        <v>999162</v>
      </c>
      <c r="T91">
        <v>999329865879</v>
      </c>
      <c r="U91">
        <v>999162</v>
      </c>
      <c r="V91" t="s">
        <v>71</v>
      </c>
      <c r="W91">
        <v>6</v>
      </c>
      <c r="X91">
        <v>57650</v>
      </c>
      <c r="Y91">
        <v>1081924</v>
      </c>
      <c r="Z91">
        <v>1139574</v>
      </c>
      <c r="AA91">
        <v>999162</v>
      </c>
      <c r="AB91">
        <v>19.767099999999999</v>
      </c>
      <c r="AC91">
        <v>0.92350500000000002</v>
      </c>
      <c r="AD91">
        <v>1.87679</v>
      </c>
      <c r="AE91">
        <v>3.0518999999999998</v>
      </c>
      <c r="AF91">
        <v>21950480</v>
      </c>
      <c r="AG91" t="s">
        <v>296</v>
      </c>
      <c r="AH91" t="s">
        <v>297</v>
      </c>
      <c r="AI91">
        <v>24974787</v>
      </c>
      <c r="AJ91">
        <v>21784</v>
      </c>
      <c r="AM91">
        <v>1818483801</v>
      </c>
      <c r="AN91">
        <v>0</v>
      </c>
      <c r="AO91">
        <v>1212334713</v>
      </c>
      <c r="AP91">
        <v>1818483801</v>
      </c>
      <c r="AQ91">
        <v>3030818514</v>
      </c>
      <c r="AR91">
        <v>56827618</v>
      </c>
      <c r="AS91">
        <v>0</v>
      </c>
      <c r="AT91">
        <v>37885459</v>
      </c>
      <c r="AU91">
        <v>56827618</v>
      </c>
      <c r="AV91">
        <v>94713078</v>
      </c>
      <c r="AW91">
        <v>25.052600000000002</v>
      </c>
      <c r="AX91">
        <v>11.902799999999999</v>
      </c>
      <c r="AY91">
        <v>5582.73</v>
      </c>
      <c r="AZ91">
        <v>4299.53</v>
      </c>
      <c r="BA91">
        <v>1760</v>
      </c>
      <c r="BB91">
        <v>310</v>
      </c>
      <c r="BC91" t="str">
        <f t="shared" si="4"/>
        <v>u=40%, k=2x10^6</v>
      </c>
      <c r="BD91">
        <f t="shared" si="5"/>
        <v>32</v>
      </c>
    </row>
    <row r="92" spans="1:56">
      <c r="A92" t="s">
        <v>101</v>
      </c>
      <c r="B92" t="s">
        <v>63</v>
      </c>
      <c r="C92">
        <v>72</v>
      </c>
      <c r="D92" t="s">
        <v>64</v>
      </c>
      <c r="E92" t="s">
        <v>59</v>
      </c>
      <c r="F92" t="s">
        <v>60</v>
      </c>
      <c r="G92">
        <v>64000</v>
      </c>
      <c r="H92">
        <v>20</v>
      </c>
      <c r="I92">
        <v>20</v>
      </c>
      <c r="J92">
        <v>0</v>
      </c>
      <c r="K92">
        <v>1</v>
      </c>
      <c r="L92">
        <v>2000000</v>
      </c>
      <c r="M92">
        <v>190</v>
      </c>
      <c r="N92">
        <v>190</v>
      </c>
      <c r="O92">
        <v>190</v>
      </c>
      <c r="P92">
        <v>0</v>
      </c>
      <c r="Q92" t="s">
        <v>61</v>
      </c>
      <c r="R92">
        <v>1000822359163</v>
      </c>
      <c r="S92">
        <v>1000808</v>
      </c>
      <c r="T92">
        <v>1000822359163</v>
      </c>
      <c r="U92">
        <v>1000808</v>
      </c>
      <c r="V92" t="s">
        <v>71</v>
      </c>
      <c r="W92">
        <v>6</v>
      </c>
      <c r="X92">
        <v>33087</v>
      </c>
      <c r="Y92">
        <v>1032941</v>
      </c>
      <c r="Z92">
        <v>1066028</v>
      </c>
      <c r="AA92">
        <v>1000808</v>
      </c>
      <c r="AB92">
        <v>32.218899999999998</v>
      </c>
      <c r="AC92">
        <v>0.96889199999999998</v>
      </c>
      <c r="AD92">
        <v>1.93882</v>
      </c>
      <c r="AE92">
        <v>3.0001000000000002</v>
      </c>
      <c r="AF92">
        <v>19174000</v>
      </c>
      <c r="AG92" t="s">
        <v>298</v>
      </c>
      <c r="AH92" t="s">
        <v>299</v>
      </c>
      <c r="AI92">
        <v>50026131</v>
      </c>
      <c r="AJ92">
        <v>43484</v>
      </c>
      <c r="AM92">
        <v>3632985006</v>
      </c>
      <c r="AN92">
        <v>0</v>
      </c>
      <c r="AO92">
        <v>2421997493</v>
      </c>
      <c r="AP92">
        <v>3632985006</v>
      </c>
      <c r="AQ92">
        <v>6054982499</v>
      </c>
      <c r="AR92">
        <v>56765390</v>
      </c>
      <c r="AS92">
        <v>0</v>
      </c>
      <c r="AT92">
        <v>37843710</v>
      </c>
      <c r="AU92">
        <v>56765390</v>
      </c>
      <c r="AV92">
        <v>94609101</v>
      </c>
      <c r="AW92">
        <v>25.051300000000001</v>
      </c>
      <c r="AX92">
        <v>11.901199999999999</v>
      </c>
      <c r="AY92">
        <v>5589.1</v>
      </c>
      <c r="AZ92">
        <v>4310.4399999999996</v>
      </c>
      <c r="BA92">
        <v>1870</v>
      </c>
      <c r="BB92">
        <v>328</v>
      </c>
      <c r="BC92" t="str">
        <f t="shared" si="4"/>
        <v>u=40%, k=2x10^6</v>
      </c>
      <c r="BD92">
        <f t="shared" si="5"/>
        <v>64</v>
      </c>
    </row>
    <row r="93" spans="1:56">
      <c r="A93" t="s">
        <v>104</v>
      </c>
      <c r="B93" t="s">
        <v>300</v>
      </c>
      <c r="C93">
        <v>208</v>
      </c>
      <c r="D93" t="s">
        <v>64</v>
      </c>
      <c r="E93" t="s">
        <v>59</v>
      </c>
      <c r="F93" t="s">
        <v>60</v>
      </c>
      <c r="G93">
        <v>1000</v>
      </c>
      <c r="H93">
        <v>20</v>
      </c>
      <c r="I93">
        <v>20</v>
      </c>
      <c r="J93">
        <v>0</v>
      </c>
      <c r="K93">
        <v>1</v>
      </c>
      <c r="L93">
        <v>2000000</v>
      </c>
      <c r="M93">
        <v>190</v>
      </c>
      <c r="N93">
        <v>190</v>
      </c>
      <c r="O93">
        <v>190</v>
      </c>
      <c r="P93">
        <v>0</v>
      </c>
      <c r="Q93" t="s">
        <v>61</v>
      </c>
      <c r="R93">
        <v>1001404501421</v>
      </c>
      <c r="S93">
        <v>1000923</v>
      </c>
      <c r="T93">
        <v>1001404501421</v>
      </c>
      <c r="U93">
        <v>1000923</v>
      </c>
      <c r="V93" t="s">
        <v>71</v>
      </c>
      <c r="W93">
        <v>8</v>
      </c>
      <c r="X93">
        <v>30686</v>
      </c>
      <c r="Y93">
        <v>196491</v>
      </c>
      <c r="Z93">
        <v>227177</v>
      </c>
      <c r="AA93">
        <v>1000923</v>
      </c>
      <c r="AB93">
        <v>7.4032799999999996</v>
      </c>
      <c r="AC93">
        <v>5.0939899999999998</v>
      </c>
      <c r="AD93">
        <v>5.4059200000000001</v>
      </c>
      <c r="AE93">
        <v>7</v>
      </c>
      <c r="AF93">
        <v>47252816</v>
      </c>
      <c r="AJ93">
        <v>1554</v>
      </c>
      <c r="AM93">
        <v>73987258</v>
      </c>
      <c r="AN93">
        <v>0</v>
      </c>
      <c r="AO93">
        <v>49330321</v>
      </c>
      <c r="AP93">
        <v>73987258</v>
      </c>
      <c r="AQ93">
        <v>123317579</v>
      </c>
      <c r="AR93">
        <v>73987258</v>
      </c>
      <c r="AS93">
        <v>0</v>
      </c>
      <c r="AT93">
        <v>49330321</v>
      </c>
      <c r="AU93">
        <v>73987258</v>
      </c>
      <c r="AV93">
        <v>123317579</v>
      </c>
      <c r="AW93">
        <v>15.5715</v>
      </c>
      <c r="AX93">
        <v>5.7613700000000003</v>
      </c>
      <c r="AY93">
        <v>3835.7</v>
      </c>
      <c r="AZ93">
        <v>1649.04</v>
      </c>
      <c r="BA93">
        <v>1258</v>
      </c>
      <c r="BB93">
        <v>235</v>
      </c>
      <c r="BC93" t="str">
        <f t="shared" si="4"/>
        <v>u=40%, k=2x10^6</v>
      </c>
      <c r="BD93">
        <f t="shared" si="5"/>
        <v>1</v>
      </c>
    </row>
    <row r="94" spans="1:56">
      <c r="A94" t="s">
        <v>107</v>
      </c>
      <c r="B94" t="s">
        <v>300</v>
      </c>
      <c r="C94">
        <v>208</v>
      </c>
      <c r="D94" t="s">
        <v>64</v>
      </c>
      <c r="E94" t="s">
        <v>59</v>
      </c>
      <c r="F94" t="s">
        <v>60</v>
      </c>
      <c r="G94">
        <v>2000</v>
      </c>
      <c r="H94">
        <v>20</v>
      </c>
      <c r="I94">
        <v>20</v>
      </c>
      <c r="J94">
        <v>0</v>
      </c>
      <c r="K94">
        <v>1</v>
      </c>
      <c r="L94">
        <v>2000000</v>
      </c>
      <c r="M94">
        <v>190</v>
      </c>
      <c r="N94">
        <v>190</v>
      </c>
      <c r="O94">
        <v>190</v>
      </c>
      <c r="P94">
        <v>0</v>
      </c>
      <c r="Q94" t="s">
        <v>61</v>
      </c>
      <c r="R94">
        <v>1001152464196</v>
      </c>
      <c r="S94">
        <v>1001192</v>
      </c>
      <c r="T94">
        <v>1001152464196</v>
      </c>
      <c r="U94">
        <v>1001192</v>
      </c>
      <c r="V94" t="s">
        <v>71</v>
      </c>
      <c r="W94">
        <v>8</v>
      </c>
      <c r="X94">
        <v>31991</v>
      </c>
      <c r="Y94">
        <v>196116</v>
      </c>
      <c r="Z94">
        <v>228107</v>
      </c>
      <c r="AA94">
        <v>1001192</v>
      </c>
      <c r="AB94">
        <v>7.13035</v>
      </c>
      <c r="AC94">
        <v>5.1051000000000002</v>
      </c>
      <c r="AD94">
        <v>5.3891299999999998</v>
      </c>
      <c r="AE94">
        <v>7</v>
      </c>
      <c r="AF94">
        <v>47446256</v>
      </c>
      <c r="AJ94">
        <v>2970</v>
      </c>
      <c r="AM94">
        <v>145244485</v>
      </c>
      <c r="AN94">
        <v>0</v>
      </c>
      <c r="AO94">
        <v>96829458</v>
      </c>
      <c r="AP94">
        <v>145244485</v>
      </c>
      <c r="AQ94">
        <v>242073943</v>
      </c>
      <c r="AR94">
        <v>72622242</v>
      </c>
      <c r="AS94">
        <v>0</v>
      </c>
      <c r="AT94">
        <v>48414729</v>
      </c>
      <c r="AU94">
        <v>72622242</v>
      </c>
      <c r="AV94">
        <v>121036971</v>
      </c>
      <c r="AW94">
        <v>15.757099999999999</v>
      </c>
      <c r="AX94">
        <v>5.8031199999999998</v>
      </c>
      <c r="AY94">
        <v>3867.64</v>
      </c>
      <c r="AZ94">
        <v>1670.95</v>
      </c>
      <c r="BA94">
        <v>1275</v>
      </c>
      <c r="BB94">
        <v>296</v>
      </c>
      <c r="BC94" t="str">
        <f t="shared" si="4"/>
        <v>u=40%, k=2x10^6</v>
      </c>
      <c r="BD94">
        <f t="shared" si="5"/>
        <v>2</v>
      </c>
    </row>
    <row r="95" spans="1:56">
      <c r="A95" t="s">
        <v>108</v>
      </c>
      <c r="B95" t="s">
        <v>300</v>
      </c>
      <c r="C95">
        <v>208</v>
      </c>
      <c r="D95" t="s">
        <v>64</v>
      </c>
      <c r="E95" t="s">
        <v>59</v>
      </c>
      <c r="F95" t="s">
        <v>60</v>
      </c>
      <c r="G95">
        <v>4000</v>
      </c>
      <c r="H95">
        <v>20</v>
      </c>
      <c r="I95">
        <v>20</v>
      </c>
      <c r="J95">
        <v>0</v>
      </c>
      <c r="K95">
        <v>1</v>
      </c>
      <c r="L95">
        <v>2000000</v>
      </c>
      <c r="M95">
        <v>190</v>
      </c>
      <c r="N95">
        <v>190</v>
      </c>
      <c r="O95">
        <v>190</v>
      </c>
      <c r="P95">
        <v>0</v>
      </c>
      <c r="Q95" t="s">
        <v>61</v>
      </c>
      <c r="R95">
        <v>1000455224502</v>
      </c>
      <c r="S95">
        <v>1000643</v>
      </c>
      <c r="T95">
        <v>1000455224502</v>
      </c>
      <c r="U95">
        <v>1000643</v>
      </c>
      <c r="V95" t="s">
        <v>71</v>
      </c>
      <c r="W95">
        <v>8</v>
      </c>
      <c r="X95">
        <v>33258</v>
      </c>
      <c r="Y95">
        <v>195247</v>
      </c>
      <c r="Z95">
        <v>228505</v>
      </c>
      <c r="AA95">
        <v>1000643</v>
      </c>
      <c r="AB95">
        <v>6.8706800000000001</v>
      </c>
      <c r="AC95">
        <v>5.1250099999999996</v>
      </c>
      <c r="AD95">
        <v>5.3790899999999997</v>
      </c>
      <c r="AE95">
        <v>7</v>
      </c>
      <c r="AF95">
        <v>47529040</v>
      </c>
      <c r="AJ95">
        <v>5612</v>
      </c>
      <c r="AM95">
        <v>296669907</v>
      </c>
      <c r="AN95">
        <v>0</v>
      </c>
      <c r="AO95">
        <v>197762468</v>
      </c>
      <c r="AP95">
        <v>296669907</v>
      </c>
      <c r="AQ95">
        <v>494432375</v>
      </c>
      <c r="AR95">
        <v>74167476</v>
      </c>
      <c r="AS95">
        <v>0</v>
      </c>
      <c r="AT95">
        <v>49440617</v>
      </c>
      <c r="AU95">
        <v>74167476</v>
      </c>
      <c r="AV95">
        <v>123608093</v>
      </c>
      <c r="AW95">
        <v>15.922000000000001</v>
      </c>
      <c r="AX95">
        <v>5.8355800000000002</v>
      </c>
      <c r="AY95">
        <v>3870.04</v>
      </c>
      <c r="AZ95">
        <v>1679.11</v>
      </c>
      <c r="BA95">
        <v>1300</v>
      </c>
      <c r="BB95">
        <v>218</v>
      </c>
      <c r="BC95" t="str">
        <f t="shared" si="4"/>
        <v>u=40%, k=2x10^6</v>
      </c>
      <c r="BD95">
        <f t="shared" si="5"/>
        <v>4</v>
      </c>
    </row>
    <row r="96" spans="1:56">
      <c r="A96" t="s">
        <v>110</v>
      </c>
      <c r="B96" t="s">
        <v>300</v>
      </c>
      <c r="C96">
        <v>208</v>
      </c>
      <c r="D96" t="s">
        <v>64</v>
      </c>
      <c r="E96" t="s">
        <v>59</v>
      </c>
      <c r="F96" t="s">
        <v>60</v>
      </c>
      <c r="G96">
        <v>8000</v>
      </c>
      <c r="H96">
        <v>20</v>
      </c>
      <c r="I96">
        <v>20</v>
      </c>
      <c r="J96">
        <v>0</v>
      </c>
      <c r="K96">
        <v>1</v>
      </c>
      <c r="L96">
        <v>2000000</v>
      </c>
      <c r="M96">
        <v>190</v>
      </c>
      <c r="N96">
        <v>190</v>
      </c>
      <c r="O96">
        <v>190</v>
      </c>
      <c r="P96">
        <v>0</v>
      </c>
      <c r="Q96" t="s">
        <v>61</v>
      </c>
      <c r="R96">
        <v>1000588577209</v>
      </c>
      <c r="S96">
        <v>1000669</v>
      </c>
      <c r="T96">
        <v>1000588577209</v>
      </c>
      <c r="U96">
        <v>1000669</v>
      </c>
      <c r="V96" t="s">
        <v>71</v>
      </c>
      <c r="W96">
        <v>8</v>
      </c>
      <c r="X96">
        <v>34312</v>
      </c>
      <c r="Y96">
        <v>195019</v>
      </c>
      <c r="Z96">
        <v>229331</v>
      </c>
      <c r="AA96">
        <v>1000669</v>
      </c>
      <c r="AB96">
        <v>6.6837</v>
      </c>
      <c r="AC96">
        <v>5.1311400000000003</v>
      </c>
      <c r="AD96">
        <v>5.3634300000000001</v>
      </c>
      <c r="AE96">
        <v>7</v>
      </c>
      <c r="AF96">
        <v>47700848</v>
      </c>
      <c r="AJ96">
        <v>11002</v>
      </c>
      <c r="AM96">
        <v>586959677</v>
      </c>
      <c r="AN96">
        <v>0</v>
      </c>
      <c r="AO96">
        <v>391287052</v>
      </c>
      <c r="AP96">
        <v>586959677</v>
      </c>
      <c r="AQ96">
        <v>978246729</v>
      </c>
      <c r="AR96">
        <v>73369959</v>
      </c>
      <c r="AS96">
        <v>0</v>
      </c>
      <c r="AT96">
        <v>48910881</v>
      </c>
      <c r="AU96">
        <v>73369959</v>
      </c>
      <c r="AV96">
        <v>122280841</v>
      </c>
      <c r="AW96">
        <v>15.8977</v>
      </c>
      <c r="AX96">
        <v>5.8503299999999996</v>
      </c>
      <c r="AY96">
        <v>3891.74</v>
      </c>
      <c r="AZ96">
        <v>1686.11</v>
      </c>
      <c r="BA96">
        <v>1394</v>
      </c>
      <c r="BB96">
        <v>291</v>
      </c>
      <c r="BC96" t="str">
        <f t="shared" si="4"/>
        <v>u=40%, k=2x10^6</v>
      </c>
      <c r="BD96">
        <f t="shared" si="5"/>
        <v>8</v>
      </c>
    </row>
    <row r="97" spans="1:56">
      <c r="A97" t="s">
        <v>111</v>
      </c>
      <c r="B97" t="s">
        <v>300</v>
      </c>
      <c r="C97">
        <v>208</v>
      </c>
      <c r="D97" t="s">
        <v>64</v>
      </c>
      <c r="E97" t="s">
        <v>59</v>
      </c>
      <c r="F97" t="s">
        <v>60</v>
      </c>
      <c r="G97">
        <v>16000</v>
      </c>
      <c r="H97">
        <v>20</v>
      </c>
      <c r="I97">
        <v>20</v>
      </c>
      <c r="J97">
        <v>0</v>
      </c>
      <c r="K97">
        <v>1</v>
      </c>
      <c r="L97">
        <v>2000000</v>
      </c>
      <c r="M97">
        <v>190</v>
      </c>
      <c r="N97">
        <v>190</v>
      </c>
      <c r="O97">
        <v>190</v>
      </c>
      <c r="P97">
        <v>0</v>
      </c>
      <c r="Q97" t="s">
        <v>61</v>
      </c>
      <c r="R97">
        <v>1000572125705</v>
      </c>
      <c r="S97">
        <v>1000026</v>
      </c>
      <c r="T97">
        <v>1000572125705</v>
      </c>
      <c r="U97">
        <v>1000026</v>
      </c>
      <c r="V97" t="s">
        <v>71</v>
      </c>
      <c r="W97">
        <v>8</v>
      </c>
      <c r="X97">
        <v>35124</v>
      </c>
      <c r="Y97">
        <v>194894</v>
      </c>
      <c r="Z97">
        <v>230018</v>
      </c>
      <c r="AA97">
        <v>1000026</v>
      </c>
      <c r="AB97">
        <v>6.5487399999999996</v>
      </c>
      <c r="AC97">
        <v>5.1311299999999997</v>
      </c>
      <c r="AD97">
        <v>5.3475999999999999</v>
      </c>
      <c r="AE97">
        <v>7</v>
      </c>
      <c r="AF97">
        <v>47843744</v>
      </c>
      <c r="AJ97">
        <v>21772</v>
      </c>
      <c r="AM97">
        <v>1191949832</v>
      </c>
      <c r="AN97">
        <v>0</v>
      </c>
      <c r="AO97">
        <v>794662262</v>
      </c>
      <c r="AP97">
        <v>1191949832</v>
      </c>
      <c r="AQ97">
        <v>1986612094</v>
      </c>
      <c r="AR97">
        <v>74496864</v>
      </c>
      <c r="AS97">
        <v>0</v>
      </c>
      <c r="AT97">
        <v>49666391</v>
      </c>
      <c r="AU97">
        <v>74496864</v>
      </c>
      <c r="AV97">
        <v>124163255</v>
      </c>
      <c r="AW97">
        <v>15.968400000000001</v>
      </c>
      <c r="AX97">
        <v>5.8764500000000002</v>
      </c>
      <c r="AY97">
        <v>3871.23</v>
      </c>
      <c r="AZ97">
        <v>1686.2</v>
      </c>
      <c r="BA97">
        <v>1287</v>
      </c>
      <c r="BB97">
        <v>218</v>
      </c>
      <c r="BC97" t="str">
        <f t="shared" si="4"/>
        <v>u=40%, k=2x10^6</v>
      </c>
      <c r="BD97">
        <f t="shared" si="5"/>
        <v>16</v>
      </c>
    </row>
    <row r="98" spans="1:56">
      <c r="A98" t="s">
        <v>112</v>
      </c>
      <c r="B98" t="s">
        <v>300</v>
      </c>
      <c r="C98">
        <v>208</v>
      </c>
      <c r="D98" t="s">
        <v>64</v>
      </c>
      <c r="E98" t="s">
        <v>59</v>
      </c>
      <c r="F98" t="s">
        <v>60</v>
      </c>
      <c r="G98">
        <v>32000</v>
      </c>
      <c r="H98">
        <v>20</v>
      </c>
      <c r="I98">
        <v>20</v>
      </c>
      <c r="J98">
        <v>0</v>
      </c>
      <c r="K98">
        <v>1</v>
      </c>
      <c r="L98">
        <v>2000000</v>
      </c>
      <c r="M98">
        <v>190</v>
      </c>
      <c r="N98">
        <v>190</v>
      </c>
      <c r="O98">
        <v>190</v>
      </c>
      <c r="P98">
        <v>0</v>
      </c>
      <c r="Q98" t="s">
        <v>61</v>
      </c>
      <c r="R98">
        <v>999627995307</v>
      </c>
      <c r="S98">
        <v>999933</v>
      </c>
      <c r="T98">
        <v>999627995307</v>
      </c>
      <c r="U98">
        <v>999933</v>
      </c>
      <c r="V98" t="s">
        <v>71</v>
      </c>
      <c r="W98">
        <v>8</v>
      </c>
      <c r="X98">
        <v>35805</v>
      </c>
      <c r="Y98">
        <v>194790</v>
      </c>
      <c r="Z98">
        <v>230595</v>
      </c>
      <c r="AA98">
        <v>999933</v>
      </c>
      <c r="AB98">
        <v>6.4402999999999997</v>
      </c>
      <c r="AC98">
        <v>5.1333900000000003</v>
      </c>
      <c r="AD98">
        <v>5.3363199999999997</v>
      </c>
      <c r="AE98">
        <v>7</v>
      </c>
      <c r="AF98">
        <v>47963760</v>
      </c>
      <c r="AJ98" t="s">
        <v>301</v>
      </c>
      <c r="AM98">
        <v>2379081750</v>
      </c>
      <c r="AN98">
        <v>0</v>
      </c>
      <c r="AO98">
        <v>1585998708</v>
      </c>
      <c r="AP98">
        <v>2379081750</v>
      </c>
      <c r="AQ98">
        <v>3965080458</v>
      </c>
      <c r="AR98">
        <v>74346304</v>
      </c>
      <c r="AS98">
        <v>0</v>
      </c>
      <c r="AT98">
        <v>49562459</v>
      </c>
      <c r="AU98">
        <v>74346304</v>
      </c>
      <c r="AV98">
        <v>123908764</v>
      </c>
      <c r="AW98">
        <v>15.885199999999999</v>
      </c>
      <c r="AX98">
        <v>5.8758800000000004</v>
      </c>
      <c r="AY98">
        <v>3876.1</v>
      </c>
      <c r="AZ98">
        <v>1684.33</v>
      </c>
      <c r="BA98">
        <v>1288</v>
      </c>
      <c r="BB98">
        <v>320</v>
      </c>
      <c r="BC98" t="str">
        <f t="shared" si="4"/>
        <v>u=40%, k=2x10^6</v>
      </c>
      <c r="BD98">
        <f t="shared" si="5"/>
        <v>32</v>
      </c>
    </row>
    <row r="99" spans="1:56">
      <c r="A99" t="s">
        <v>114</v>
      </c>
      <c r="B99" t="s">
        <v>300</v>
      </c>
      <c r="C99">
        <v>208</v>
      </c>
      <c r="D99" t="s">
        <v>64</v>
      </c>
      <c r="E99" t="s">
        <v>59</v>
      </c>
      <c r="F99" t="s">
        <v>60</v>
      </c>
      <c r="G99">
        <v>64000</v>
      </c>
      <c r="H99">
        <v>20</v>
      </c>
      <c r="I99">
        <v>20</v>
      </c>
      <c r="J99">
        <v>0</v>
      </c>
      <c r="K99">
        <v>1</v>
      </c>
      <c r="L99">
        <v>2000000</v>
      </c>
      <c r="M99">
        <v>190</v>
      </c>
      <c r="N99">
        <v>190</v>
      </c>
      <c r="O99">
        <v>190</v>
      </c>
      <c r="P99">
        <v>0</v>
      </c>
      <c r="Q99" t="s">
        <v>61</v>
      </c>
      <c r="R99">
        <v>1000131847746</v>
      </c>
      <c r="S99">
        <v>1000895</v>
      </c>
      <c r="T99">
        <v>1000131847746</v>
      </c>
      <c r="U99">
        <v>1000895</v>
      </c>
      <c r="V99" t="s">
        <v>71</v>
      </c>
      <c r="W99">
        <v>8</v>
      </c>
      <c r="X99">
        <v>36800</v>
      </c>
      <c r="Y99">
        <v>194698</v>
      </c>
      <c r="Z99">
        <v>231498</v>
      </c>
      <c r="AA99">
        <v>1000895</v>
      </c>
      <c r="AB99">
        <v>6.2907099999999998</v>
      </c>
      <c r="AC99">
        <v>5.1407600000000002</v>
      </c>
      <c r="AD99">
        <v>5.3235599999999996</v>
      </c>
      <c r="AE99">
        <v>7</v>
      </c>
      <c r="AF99">
        <v>48151584</v>
      </c>
      <c r="AJ99">
        <v>86252</v>
      </c>
      <c r="AM99">
        <v>4711085321</v>
      </c>
      <c r="AN99">
        <v>0</v>
      </c>
      <c r="AO99">
        <v>3140723920</v>
      </c>
      <c r="AP99">
        <v>4711085321</v>
      </c>
      <c r="AQ99">
        <v>7851809241</v>
      </c>
      <c r="AR99">
        <v>73610708</v>
      </c>
      <c r="AS99">
        <v>0</v>
      </c>
      <c r="AT99">
        <v>49073811</v>
      </c>
      <c r="AU99">
        <v>73610708</v>
      </c>
      <c r="AV99">
        <v>122684519</v>
      </c>
      <c r="AW99">
        <v>16.100899999999999</v>
      </c>
      <c r="AX99">
        <v>5.8975299999999997</v>
      </c>
      <c r="AY99">
        <v>3904.85</v>
      </c>
      <c r="AZ99">
        <v>1702.17</v>
      </c>
      <c r="BA99">
        <v>1359</v>
      </c>
      <c r="BB99">
        <v>238</v>
      </c>
      <c r="BC99" t="str">
        <f t="shared" si="4"/>
        <v>u=40%, k=2x10^6</v>
      </c>
      <c r="BD99">
        <f t="shared" si="5"/>
        <v>64</v>
      </c>
    </row>
    <row r="100" spans="1:56">
      <c r="A100" t="s">
        <v>116</v>
      </c>
      <c r="B100" t="s">
        <v>105</v>
      </c>
      <c r="D100" t="s">
        <v>64</v>
      </c>
      <c r="E100" t="s">
        <v>59</v>
      </c>
      <c r="F100" t="s">
        <v>60</v>
      </c>
      <c r="G100">
        <v>1000</v>
      </c>
      <c r="H100">
        <v>20</v>
      </c>
      <c r="I100">
        <v>20</v>
      </c>
      <c r="J100">
        <v>0</v>
      </c>
      <c r="K100">
        <v>1</v>
      </c>
      <c r="L100">
        <v>2000000</v>
      </c>
      <c r="M100">
        <v>190</v>
      </c>
      <c r="N100">
        <v>190</v>
      </c>
      <c r="O100">
        <v>190</v>
      </c>
      <c r="P100">
        <v>0</v>
      </c>
      <c r="Q100" t="s">
        <v>61</v>
      </c>
      <c r="R100">
        <v>1000566799552</v>
      </c>
      <c r="S100">
        <v>1000536</v>
      </c>
      <c r="T100">
        <v>1000566799552</v>
      </c>
      <c r="U100">
        <v>1000536</v>
      </c>
      <c r="V100" t="s">
        <v>71</v>
      </c>
      <c r="W100">
        <v>25</v>
      </c>
      <c r="X100">
        <v>686186</v>
      </c>
      <c r="Y100">
        <v>520848</v>
      </c>
      <c r="Z100">
        <v>1207034</v>
      </c>
      <c r="AA100">
        <v>1000536</v>
      </c>
      <c r="AB100">
        <v>1.75905</v>
      </c>
      <c r="AC100">
        <v>1.9209799999999999</v>
      </c>
      <c r="AD100">
        <v>1.8289200000000001</v>
      </c>
      <c r="AE100">
        <v>19.836500000000001</v>
      </c>
      <c r="AF100">
        <v>67593904</v>
      </c>
      <c r="AJ100" t="s">
        <v>302</v>
      </c>
      <c r="AM100">
        <v>80025364</v>
      </c>
      <c r="AN100">
        <v>0</v>
      </c>
      <c r="AO100">
        <v>53351530</v>
      </c>
      <c r="AP100">
        <v>80025364</v>
      </c>
      <c r="AQ100">
        <v>133376894</v>
      </c>
      <c r="AR100">
        <v>80025364</v>
      </c>
      <c r="AS100">
        <v>0</v>
      </c>
      <c r="AT100">
        <v>53351530</v>
      </c>
      <c r="AU100">
        <v>80025364</v>
      </c>
      <c r="AV100">
        <v>133376894</v>
      </c>
      <c r="AW100">
        <v>20.546299999999999</v>
      </c>
      <c r="AX100">
        <v>4.9634999999999998</v>
      </c>
      <c r="AY100">
        <v>3904.53</v>
      </c>
      <c r="AZ100">
        <v>1970</v>
      </c>
      <c r="BA100">
        <v>1239</v>
      </c>
      <c r="BB100">
        <v>371</v>
      </c>
      <c r="BC100" t="str">
        <f t="shared" si="4"/>
        <v>u=40%, k=2x10^6</v>
      </c>
      <c r="BD100">
        <f t="shared" si="5"/>
        <v>1</v>
      </c>
    </row>
    <row r="101" spans="1:56">
      <c r="A101" t="s">
        <v>118</v>
      </c>
      <c r="B101" t="s">
        <v>105</v>
      </c>
      <c r="D101" t="s">
        <v>64</v>
      </c>
      <c r="E101" t="s">
        <v>59</v>
      </c>
      <c r="F101" t="s">
        <v>60</v>
      </c>
      <c r="G101">
        <v>2000</v>
      </c>
      <c r="H101">
        <v>20</v>
      </c>
      <c r="I101">
        <v>20</v>
      </c>
      <c r="J101">
        <v>0</v>
      </c>
      <c r="K101">
        <v>1</v>
      </c>
      <c r="L101">
        <v>2000000</v>
      </c>
      <c r="M101">
        <v>190</v>
      </c>
      <c r="N101">
        <v>190</v>
      </c>
      <c r="O101">
        <v>190</v>
      </c>
      <c r="P101">
        <v>0</v>
      </c>
      <c r="Q101" t="s">
        <v>61</v>
      </c>
      <c r="R101">
        <v>1000143585011</v>
      </c>
      <c r="S101">
        <v>1000481</v>
      </c>
      <c r="T101">
        <v>1000143585011</v>
      </c>
      <c r="U101">
        <v>1000481</v>
      </c>
      <c r="V101" t="s">
        <v>71</v>
      </c>
      <c r="W101">
        <v>25</v>
      </c>
      <c r="X101">
        <v>686419</v>
      </c>
      <c r="Y101">
        <v>520640</v>
      </c>
      <c r="Z101">
        <v>1207059</v>
      </c>
      <c r="AA101">
        <v>1000481</v>
      </c>
      <c r="AB101">
        <v>1.7584900000000001</v>
      </c>
      <c r="AC101">
        <v>1.92164</v>
      </c>
      <c r="AD101">
        <v>1.8288599999999999</v>
      </c>
      <c r="AE101">
        <v>19.847300000000001</v>
      </c>
      <c r="AF101">
        <v>67595304</v>
      </c>
      <c r="AJ101">
        <v>2044</v>
      </c>
      <c r="AM101">
        <v>170815227</v>
      </c>
      <c r="AN101">
        <v>0</v>
      </c>
      <c r="AO101">
        <v>113878279</v>
      </c>
      <c r="AP101">
        <v>170815227</v>
      </c>
      <c r="AQ101">
        <v>284693506</v>
      </c>
      <c r="AR101">
        <v>85407613</v>
      </c>
      <c r="AS101">
        <v>0</v>
      </c>
      <c r="AT101">
        <v>56939139</v>
      </c>
      <c r="AU101">
        <v>85407613</v>
      </c>
      <c r="AV101">
        <v>142346753</v>
      </c>
      <c r="AW101">
        <v>20.904399999999999</v>
      </c>
      <c r="AX101">
        <v>4.9797900000000004</v>
      </c>
      <c r="AY101">
        <v>3693.85</v>
      </c>
      <c r="AZ101">
        <v>1977.65</v>
      </c>
      <c r="BA101">
        <v>1249</v>
      </c>
      <c r="BB101">
        <v>367</v>
      </c>
      <c r="BC101" t="str">
        <f t="shared" si="4"/>
        <v>u=40%, k=2x10^6</v>
      </c>
      <c r="BD101">
        <f t="shared" si="5"/>
        <v>2</v>
      </c>
    </row>
    <row r="102" spans="1:56">
      <c r="A102" t="s">
        <v>121</v>
      </c>
      <c r="B102" t="s">
        <v>105</v>
      </c>
      <c r="D102" t="s">
        <v>64</v>
      </c>
      <c r="E102" t="s">
        <v>59</v>
      </c>
      <c r="F102" t="s">
        <v>60</v>
      </c>
      <c r="G102">
        <v>4000</v>
      </c>
      <c r="H102">
        <v>20</v>
      </c>
      <c r="I102">
        <v>20</v>
      </c>
      <c r="J102">
        <v>0</v>
      </c>
      <c r="K102">
        <v>1</v>
      </c>
      <c r="L102">
        <v>2000000</v>
      </c>
      <c r="M102">
        <v>190</v>
      </c>
      <c r="N102">
        <v>190</v>
      </c>
      <c r="O102">
        <v>190</v>
      </c>
      <c r="P102">
        <v>0</v>
      </c>
      <c r="Q102" t="s">
        <v>61</v>
      </c>
      <c r="R102">
        <v>999812231478</v>
      </c>
      <c r="S102">
        <v>1000058</v>
      </c>
      <c r="T102">
        <v>999812231478</v>
      </c>
      <c r="U102">
        <v>1000058</v>
      </c>
      <c r="V102" t="s">
        <v>71</v>
      </c>
      <c r="W102">
        <v>25</v>
      </c>
      <c r="X102">
        <v>685430</v>
      </c>
      <c r="Y102">
        <v>520402</v>
      </c>
      <c r="Z102">
        <v>1205832</v>
      </c>
      <c r="AA102">
        <v>1000058</v>
      </c>
      <c r="AB102">
        <v>1.7592300000000001</v>
      </c>
      <c r="AC102">
        <v>1.9217</v>
      </c>
      <c r="AD102">
        <v>1.82935</v>
      </c>
      <c r="AE102">
        <v>19.855899999999998</v>
      </c>
      <c r="AF102">
        <v>67526592</v>
      </c>
      <c r="AJ102" t="s">
        <v>303</v>
      </c>
      <c r="AM102">
        <v>343162357</v>
      </c>
      <c r="AN102">
        <v>0</v>
      </c>
      <c r="AO102">
        <v>228766881</v>
      </c>
      <c r="AP102">
        <v>343162357</v>
      </c>
      <c r="AQ102">
        <v>571929238</v>
      </c>
      <c r="AR102">
        <v>85790589</v>
      </c>
      <c r="AS102">
        <v>0</v>
      </c>
      <c r="AT102">
        <v>57191720</v>
      </c>
      <c r="AU102">
        <v>85790589</v>
      </c>
      <c r="AV102">
        <v>142982309</v>
      </c>
      <c r="AW102">
        <v>21.1996</v>
      </c>
      <c r="AX102">
        <v>4.9405400000000004</v>
      </c>
      <c r="AY102">
        <v>3665.68</v>
      </c>
      <c r="AZ102">
        <v>2046.79</v>
      </c>
      <c r="BA102">
        <v>1254</v>
      </c>
      <c r="BB102">
        <v>370</v>
      </c>
      <c r="BC102" t="str">
        <f t="shared" si="4"/>
        <v>u=40%, k=2x10^6</v>
      </c>
      <c r="BD102">
        <f t="shared" si="5"/>
        <v>4</v>
      </c>
    </row>
    <row r="103" spans="1:56">
      <c r="A103" t="s">
        <v>124</v>
      </c>
      <c r="B103" t="s">
        <v>105</v>
      </c>
      <c r="D103" t="s">
        <v>64</v>
      </c>
      <c r="E103" t="s">
        <v>59</v>
      </c>
      <c r="F103" t="s">
        <v>60</v>
      </c>
      <c r="G103">
        <v>8000</v>
      </c>
      <c r="H103">
        <v>20</v>
      </c>
      <c r="I103">
        <v>20</v>
      </c>
      <c r="J103">
        <v>0</v>
      </c>
      <c r="K103">
        <v>1</v>
      </c>
      <c r="L103">
        <v>2000000</v>
      </c>
      <c r="M103">
        <v>190</v>
      </c>
      <c r="N103">
        <v>190</v>
      </c>
      <c r="O103">
        <v>190</v>
      </c>
      <c r="P103">
        <v>0</v>
      </c>
      <c r="Q103" t="s">
        <v>61</v>
      </c>
      <c r="R103">
        <v>999744048630</v>
      </c>
      <c r="S103">
        <v>999339</v>
      </c>
      <c r="T103">
        <v>999744048630</v>
      </c>
      <c r="U103">
        <v>999339</v>
      </c>
      <c r="V103" t="s">
        <v>71</v>
      </c>
      <c r="W103">
        <v>25</v>
      </c>
      <c r="X103">
        <v>685604</v>
      </c>
      <c r="Y103">
        <v>520379</v>
      </c>
      <c r="Z103">
        <v>1205983</v>
      </c>
      <c r="AA103">
        <v>999339</v>
      </c>
      <c r="AB103">
        <v>1.75901</v>
      </c>
      <c r="AC103">
        <v>1.92041</v>
      </c>
      <c r="AD103">
        <v>1.8286500000000001</v>
      </c>
      <c r="AE103">
        <v>19.8325</v>
      </c>
      <c r="AF103">
        <v>67535048</v>
      </c>
      <c r="AJ103" t="s">
        <v>304</v>
      </c>
      <c r="AM103">
        <v>688333097</v>
      </c>
      <c r="AN103">
        <v>0</v>
      </c>
      <c r="AO103">
        <v>458915152</v>
      </c>
      <c r="AP103">
        <v>688333097</v>
      </c>
      <c r="AQ103">
        <v>1147248249</v>
      </c>
      <c r="AR103">
        <v>86041637</v>
      </c>
      <c r="AS103">
        <v>0</v>
      </c>
      <c r="AT103">
        <v>57364394</v>
      </c>
      <c r="AU103">
        <v>86041637</v>
      </c>
      <c r="AV103">
        <v>143406031</v>
      </c>
      <c r="AW103">
        <v>21.433700000000002</v>
      </c>
      <c r="AX103">
        <v>4.9180400000000004</v>
      </c>
      <c r="AY103">
        <v>3651.92</v>
      </c>
      <c r="AZ103">
        <v>2074.31</v>
      </c>
      <c r="BA103">
        <v>1255</v>
      </c>
      <c r="BB103">
        <v>367</v>
      </c>
      <c r="BC103" t="str">
        <f t="shared" si="4"/>
        <v>u=40%, k=2x10^6</v>
      </c>
      <c r="BD103">
        <f t="shared" si="5"/>
        <v>8</v>
      </c>
    </row>
    <row r="104" spans="1:56">
      <c r="A104" t="s">
        <v>127</v>
      </c>
      <c r="B104" t="s">
        <v>105</v>
      </c>
      <c r="D104" t="s">
        <v>64</v>
      </c>
      <c r="E104" t="s">
        <v>59</v>
      </c>
      <c r="F104" t="s">
        <v>60</v>
      </c>
      <c r="G104">
        <v>16000</v>
      </c>
      <c r="H104">
        <v>20</v>
      </c>
      <c r="I104">
        <v>20</v>
      </c>
      <c r="J104">
        <v>0</v>
      </c>
      <c r="K104">
        <v>1</v>
      </c>
      <c r="L104">
        <v>2000000</v>
      </c>
      <c r="M104">
        <v>190</v>
      </c>
      <c r="N104">
        <v>190</v>
      </c>
      <c r="O104">
        <v>190</v>
      </c>
      <c r="P104">
        <v>0</v>
      </c>
      <c r="Q104" t="s">
        <v>61</v>
      </c>
      <c r="R104">
        <v>999868529096</v>
      </c>
      <c r="S104">
        <v>999261</v>
      </c>
      <c r="T104">
        <v>999868529096</v>
      </c>
      <c r="U104">
        <v>999261</v>
      </c>
      <c r="V104" t="s">
        <v>71</v>
      </c>
      <c r="W104">
        <v>25</v>
      </c>
      <c r="X104">
        <v>685164</v>
      </c>
      <c r="Y104">
        <v>519973</v>
      </c>
      <c r="Z104">
        <v>1205137</v>
      </c>
      <c r="AA104">
        <v>999261</v>
      </c>
      <c r="AB104">
        <v>1.7588999999999999</v>
      </c>
      <c r="AC104">
        <v>1.9217599999999999</v>
      </c>
      <c r="AD104">
        <v>1.82917</v>
      </c>
      <c r="AE104">
        <v>19.88</v>
      </c>
      <c r="AF104">
        <v>67487672</v>
      </c>
      <c r="AJ104">
        <v>14304</v>
      </c>
      <c r="AM104">
        <v>1363585010</v>
      </c>
      <c r="AN104">
        <v>0</v>
      </c>
      <c r="AO104">
        <v>909159417</v>
      </c>
      <c r="AP104">
        <v>1363585010</v>
      </c>
      <c r="AQ104">
        <v>2272744427</v>
      </c>
      <c r="AR104">
        <v>85224063</v>
      </c>
      <c r="AS104">
        <v>0</v>
      </c>
      <c r="AT104">
        <v>56822463</v>
      </c>
      <c r="AU104">
        <v>85224063</v>
      </c>
      <c r="AV104">
        <v>142046526</v>
      </c>
      <c r="AW104">
        <v>21.6707</v>
      </c>
      <c r="AX104">
        <v>4.9200299999999997</v>
      </c>
      <c r="AY104">
        <v>3685.13</v>
      </c>
      <c r="AZ104">
        <v>2112.71</v>
      </c>
      <c r="BA104">
        <v>1256</v>
      </c>
      <c r="BB104">
        <v>335</v>
      </c>
      <c r="BC104" t="str">
        <f t="shared" si="4"/>
        <v>u=40%, k=2x10^6</v>
      </c>
      <c r="BD104">
        <f t="shared" si="5"/>
        <v>16</v>
      </c>
    </row>
    <row r="105" spans="1:56">
      <c r="A105" t="s">
        <v>130</v>
      </c>
      <c r="B105" t="s">
        <v>105</v>
      </c>
      <c r="D105" t="s">
        <v>64</v>
      </c>
      <c r="E105" t="s">
        <v>59</v>
      </c>
      <c r="F105" t="s">
        <v>60</v>
      </c>
      <c r="G105">
        <v>32000</v>
      </c>
      <c r="H105">
        <v>20</v>
      </c>
      <c r="I105">
        <v>20</v>
      </c>
      <c r="J105">
        <v>0</v>
      </c>
      <c r="K105">
        <v>1</v>
      </c>
      <c r="L105">
        <v>2000000</v>
      </c>
      <c r="M105">
        <v>190</v>
      </c>
      <c r="N105">
        <v>190</v>
      </c>
      <c r="O105">
        <v>190</v>
      </c>
      <c r="P105">
        <v>0</v>
      </c>
      <c r="Q105" t="s">
        <v>61</v>
      </c>
      <c r="R105">
        <v>1000795438345</v>
      </c>
      <c r="S105">
        <v>1000971</v>
      </c>
      <c r="T105">
        <v>1000795438345</v>
      </c>
      <c r="U105">
        <v>1000971</v>
      </c>
      <c r="V105" t="s">
        <v>71</v>
      </c>
      <c r="W105">
        <v>25</v>
      </c>
      <c r="X105">
        <v>686201</v>
      </c>
      <c r="Y105">
        <v>520628</v>
      </c>
      <c r="Z105">
        <v>1206829</v>
      </c>
      <c r="AA105">
        <v>1000971</v>
      </c>
      <c r="AB105">
        <v>1.75871</v>
      </c>
      <c r="AC105">
        <v>1.92262</v>
      </c>
      <c r="AD105">
        <v>1.82942</v>
      </c>
      <c r="AE105">
        <v>19.8263</v>
      </c>
      <c r="AF105">
        <v>67582424</v>
      </c>
      <c r="AJ105">
        <v>28608</v>
      </c>
      <c r="AM105">
        <v>2727757922</v>
      </c>
      <c r="AN105">
        <v>0</v>
      </c>
      <c r="AO105">
        <v>1818509945</v>
      </c>
      <c r="AP105">
        <v>2727757922</v>
      </c>
      <c r="AQ105">
        <v>4546267867</v>
      </c>
      <c r="AR105">
        <v>85242435</v>
      </c>
      <c r="AS105">
        <v>0</v>
      </c>
      <c r="AT105">
        <v>56828435</v>
      </c>
      <c r="AU105">
        <v>85242435</v>
      </c>
      <c r="AV105">
        <v>142070870</v>
      </c>
      <c r="AW105">
        <v>21.687000000000001</v>
      </c>
      <c r="AX105">
        <v>4.8878199999999996</v>
      </c>
      <c r="AY105">
        <v>3686.32</v>
      </c>
      <c r="AZ105">
        <v>2113.9899999999998</v>
      </c>
      <c r="BA105">
        <v>1257</v>
      </c>
      <c r="BB105">
        <v>257</v>
      </c>
      <c r="BC105" t="str">
        <f t="shared" si="4"/>
        <v>u=40%, k=2x10^6</v>
      </c>
      <c r="BD105">
        <f t="shared" si="5"/>
        <v>32</v>
      </c>
    </row>
    <row r="106" spans="1:56">
      <c r="A106" t="s">
        <v>133</v>
      </c>
      <c r="B106" t="s">
        <v>105</v>
      </c>
      <c r="D106" t="s">
        <v>64</v>
      </c>
      <c r="E106" t="s">
        <v>59</v>
      </c>
      <c r="F106" t="s">
        <v>60</v>
      </c>
      <c r="G106">
        <v>64000</v>
      </c>
      <c r="H106">
        <v>20</v>
      </c>
      <c r="I106">
        <v>20</v>
      </c>
      <c r="J106">
        <v>0</v>
      </c>
      <c r="K106">
        <v>1</v>
      </c>
      <c r="L106">
        <v>2000000</v>
      </c>
      <c r="M106">
        <v>190</v>
      </c>
      <c r="N106">
        <v>190</v>
      </c>
      <c r="O106">
        <v>190</v>
      </c>
      <c r="P106">
        <v>0</v>
      </c>
      <c r="Q106" t="s">
        <v>61</v>
      </c>
      <c r="R106">
        <v>1000184066912</v>
      </c>
      <c r="S106">
        <v>999743</v>
      </c>
      <c r="T106">
        <v>1000184066912</v>
      </c>
      <c r="U106">
        <v>999743</v>
      </c>
      <c r="V106" t="s">
        <v>71</v>
      </c>
      <c r="W106">
        <v>25</v>
      </c>
      <c r="X106">
        <v>685883</v>
      </c>
      <c r="Y106">
        <v>520465</v>
      </c>
      <c r="Z106">
        <v>1206348</v>
      </c>
      <c r="AA106">
        <v>999743</v>
      </c>
      <c r="AB106">
        <v>1.7588200000000001</v>
      </c>
      <c r="AC106">
        <v>1.92086</v>
      </c>
      <c r="AD106">
        <v>1.82874</v>
      </c>
      <c r="AE106">
        <v>19.886500000000002</v>
      </c>
      <c r="AF106">
        <v>67555488</v>
      </c>
      <c r="AJ106">
        <v>56552</v>
      </c>
      <c r="AM106">
        <v>5469966236</v>
      </c>
      <c r="AN106">
        <v>0</v>
      </c>
      <c r="AO106">
        <v>3646641382</v>
      </c>
      <c r="AP106">
        <v>5469966236</v>
      </c>
      <c r="AQ106">
        <v>9116607618</v>
      </c>
      <c r="AR106">
        <v>85468222</v>
      </c>
      <c r="AS106">
        <v>0</v>
      </c>
      <c r="AT106">
        <v>56978771</v>
      </c>
      <c r="AU106">
        <v>85468222</v>
      </c>
      <c r="AV106">
        <v>142446994</v>
      </c>
      <c r="AW106">
        <v>21.668099999999999</v>
      </c>
      <c r="AX106">
        <v>4.8778600000000001</v>
      </c>
      <c r="AY106">
        <v>3675.87</v>
      </c>
      <c r="AZ106">
        <v>2121.5</v>
      </c>
      <c r="BA106">
        <v>1258</v>
      </c>
      <c r="BB106">
        <v>267</v>
      </c>
      <c r="BC106" t="str">
        <f t="shared" si="4"/>
        <v>u=40%, k=2x10^6</v>
      </c>
      <c r="BD106">
        <f t="shared" si="5"/>
        <v>64</v>
      </c>
    </row>
    <row r="107" spans="1:56">
      <c r="A107" t="s">
        <v>136</v>
      </c>
      <c r="B107" t="s">
        <v>305</v>
      </c>
      <c r="D107" t="s">
        <v>64</v>
      </c>
      <c r="E107" t="s">
        <v>59</v>
      </c>
      <c r="F107" t="s">
        <v>60</v>
      </c>
      <c r="G107">
        <v>1000</v>
      </c>
      <c r="H107">
        <v>20</v>
      </c>
      <c r="I107">
        <v>20</v>
      </c>
      <c r="J107">
        <v>0</v>
      </c>
      <c r="K107">
        <v>1</v>
      </c>
      <c r="L107">
        <v>2000000</v>
      </c>
      <c r="M107">
        <v>190</v>
      </c>
      <c r="N107">
        <v>190</v>
      </c>
      <c r="O107">
        <v>190</v>
      </c>
      <c r="P107">
        <v>0</v>
      </c>
      <c r="Q107" t="s">
        <v>61</v>
      </c>
      <c r="R107">
        <v>998641866790</v>
      </c>
      <c r="S107">
        <v>998952</v>
      </c>
      <c r="T107">
        <v>998641866790</v>
      </c>
      <c r="U107">
        <v>998952</v>
      </c>
      <c r="V107" t="s">
        <v>71</v>
      </c>
      <c r="W107">
        <v>49</v>
      </c>
      <c r="X107">
        <v>998951</v>
      </c>
      <c r="Y107">
        <v>998952</v>
      </c>
      <c r="Z107">
        <v>1997903</v>
      </c>
      <c r="AA107">
        <v>998952</v>
      </c>
      <c r="AB107">
        <v>2</v>
      </c>
      <c r="AC107">
        <v>1</v>
      </c>
      <c r="AD107">
        <v>1.5</v>
      </c>
      <c r="AE107">
        <v>26.4133</v>
      </c>
      <c r="AF107">
        <v>63932896</v>
      </c>
      <c r="AJ107">
        <v>1122</v>
      </c>
      <c r="AM107">
        <v>50753082</v>
      </c>
      <c r="AN107">
        <v>0</v>
      </c>
      <c r="AO107">
        <v>33818950</v>
      </c>
      <c r="AP107">
        <v>50753082</v>
      </c>
      <c r="AQ107">
        <v>84572032</v>
      </c>
      <c r="AR107">
        <v>50753082</v>
      </c>
      <c r="AS107">
        <v>0</v>
      </c>
      <c r="AT107">
        <v>33818950</v>
      </c>
      <c r="AU107">
        <v>50753082</v>
      </c>
      <c r="AV107">
        <v>84572032</v>
      </c>
      <c r="AW107">
        <v>17.1615</v>
      </c>
      <c r="AX107">
        <v>4.6143700000000001</v>
      </c>
      <c r="AY107">
        <v>5255.87</v>
      </c>
      <c r="AZ107">
        <v>2559.23</v>
      </c>
      <c r="BA107">
        <v>1232</v>
      </c>
      <c r="BB107">
        <v>279</v>
      </c>
      <c r="BC107" t="str">
        <f t="shared" si="4"/>
        <v>u=40%, k=2x10^6</v>
      </c>
      <c r="BD107">
        <f t="shared" si="5"/>
        <v>1</v>
      </c>
    </row>
    <row r="108" spans="1:56">
      <c r="A108" t="s">
        <v>138</v>
      </c>
      <c r="B108" t="s">
        <v>305</v>
      </c>
      <c r="D108" t="s">
        <v>64</v>
      </c>
      <c r="E108" t="s">
        <v>59</v>
      </c>
      <c r="F108" t="s">
        <v>60</v>
      </c>
      <c r="G108">
        <v>2000</v>
      </c>
      <c r="H108">
        <v>20</v>
      </c>
      <c r="I108">
        <v>20</v>
      </c>
      <c r="J108">
        <v>0</v>
      </c>
      <c r="K108">
        <v>1</v>
      </c>
      <c r="L108">
        <v>2000000</v>
      </c>
      <c r="M108">
        <v>190</v>
      </c>
      <c r="N108">
        <v>190</v>
      </c>
      <c r="O108">
        <v>190</v>
      </c>
      <c r="P108">
        <v>0</v>
      </c>
      <c r="Q108" t="s">
        <v>61</v>
      </c>
      <c r="R108">
        <v>998787093742</v>
      </c>
      <c r="S108">
        <v>999237</v>
      </c>
      <c r="T108">
        <v>998787093742</v>
      </c>
      <c r="U108">
        <v>999237</v>
      </c>
      <c r="V108" t="s">
        <v>71</v>
      </c>
      <c r="W108">
        <v>48</v>
      </c>
      <c r="X108">
        <v>999236</v>
      </c>
      <c r="Y108">
        <v>999237</v>
      </c>
      <c r="Z108">
        <v>1998473</v>
      </c>
      <c r="AA108">
        <v>999237</v>
      </c>
      <c r="AB108">
        <v>2</v>
      </c>
      <c r="AC108">
        <v>1</v>
      </c>
      <c r="AD108">
        <v>1.5</v>
      </c>
      <c r="AE108">
        <v>25.994800000000001</v>
      </c>
      <c r="AF108">
        <v>63951136</v>
      </c>
      <c r="AJ108">
        <v>2018</v>
      </c>
      <c r="AM108">
        <v>124154390</v>
      </c>
      <c r="AN108">
        <v>0</v>
      </c>
      <c r="AO108">
        <v>82768944</v>
      </c>
      <c r="AP108">
        <v>124154390</v>
      </c>
      <c r="AQ108">
        <v>206923334</v>
      </c>
      <c r="AR108">
        <v>62077195</v>
      </c>
      <c r="AS108">
        <v>0</v>
      </c>
      <c r="AT108">
        <v>41384472</v>
      </c>
      <c r="AU108">
        <v>62077195</v>
      </c>
      <c r="AV108">
        <v>103461667</v>
      </c>
      <c r="AW108">
        <v>17.188099999999999</v>
      </c>
      <c r="AX108">
        <v>4.5526299999999997</v>
      </c>
      <c r="AY108">
        <v>4717.8999999999996</v>
      </c>
      <c r="AZ108">
        <v>2562.73</v>
      </c>
      <c r="BA108">
        <v>1235</v>
      </c>
      <c r="BB108">
        <v>292</v>
      </c>
      <c r="BC108" t="str">
        <f t="shared" si="4"/>
        <v>u=40%, k=2x10^6</v>
      </c>
      <c r="BD108">
        <f t="shared" si="5"/>
        <v>2</v>
      </c>
    </row>
    <row r="109" spans="1:56">
      <c r="A109" t="s">
        <v>140</v>
      </c>
      <c r="B109" t="s">
        <v>305</v>
      </c>
      <c r="D109" t="s">
        <v>64</v>
      </c>
      <c r="E109" t="s">
        <v>59</v>
      </c>
      <c r="F109" t="s">
        <v>60</v>
      </c>
      <c r="G109">
        <v>4000</v>
      </c>
      <c r="H109">
        <v>20</v>
      </c>
      <c r="I109">
        <v>20</v>
      </c>
      <c r="J109">
        <v>0</v>
      </c>
      <c r="K109">
        <v>1</v>
      </c>
      <c r="L109">
        <v>2000000</v>
      </c>
      <c r="M109">
        <v>190</v>
      </c>
      <c r="N109">
        <v>190</v>
      </c>
      <c r="O109">
        <v>190</v>
      </c>
      <c r="P109">
        <v>0</v>
      </c>
      <c r="Q109" t="s">
        <v>61</v>
      </c>
      <c r="R109">
        <v>1000370262732</v>
      </c>
      <c r="S109">
        <v>1000027</v>
      </c>
      <c r="T109">
        <v>1000370262732</v>
      </c>
      <c r="U109">
        <v>1000027</v>
      </c>
      <c r="V109" t="s">
        <v>71</v>
      </c>
      <c r="W109">
        <v>46</v>
      </c>
      <c r="X109">
        <v>1000026</v>
      </c>
      <c r="Y109">
        <v>1000027</v>
      </c>
      <c r="Z109">
        <v>2000053</v>
      </c>
      <c r="AA109">
        <v>1000027</v>
      </c>
      <c r="AB109">
        <v>2</v>
      </c>
      <c r="AC109">
        <v>1</v>
      </c>
      <c r="AD109">
        <v>1.5</v>
      </c>
      <c r="AE109">
        <v>25.464700000000001</v>
      </c>
      <c r="AF109">
        <v>64001696</v>
      </c>
      <c r="AJ109">
        <v>3796</v>
      </c>
      <c r="AM109">
        <v>270801489</v>
      </c>
      <c r="AN109">
        <v>0</v>
      </c>
      <c r="AO109">
        <v>180546651</v>
      </c>
      <c r="AP109">
        <v>270801489</v>
      </c>
      <c r="AQ109">
        <v>451348140</v>
      </c>
      <c r="AR109">
        <v>67700372</v>
      </c>
      <c r="AS109">
        <v>0</v>
      </c>
      <c r="AT109">
        <v>45136662</v>
      </c>
      <c r="AU109">
        <v>67700372</v>
      </c>
      <c r="AV109">
        <v>112837035</v>
      </c>
      <c r="AW109">
        <v>17.059000000000001</v>
      </c>
      <c r="AX109">
        <v>4.5008800000000004</v>
      </c>
      <c r="AY109">
        <v>4482.75</v>
      </c>
      <c r="AZ109">
        <v>2520.38</v>
      </c>
      <c r="BA109">
        <v>1249</v>
      </c>
      <c r="BB109">
        <v>279</v>
      </c>
      <c r="BC109" t="str">
        <f t="shared" si="4"/>
        <v>u=40%, k=2x10^6</v>
      </c>
      <c r="BD109">
        <f t="shared" si="5"/>
        <v>4</v>
      </c>
    </row>
    <row r="110" spans="1:56">
      <c r="A110" t="s">
        <v>141</v>
      </c>
      <c r="B110" t="s">
        <v>305</v>
      </c>
      <c r="D110" t="s">
        <v>64</v>
      </c>
      <c r="E110" t="s">
        <v>59</v>
      </c>
      <c r="F110" t="s">
        <v>60</v>
      </c>
      <c r="G110">
        <v>8000</v>
      </c>
      <c r="H110">
        <v>20</v>
      </c>
      <c r="I110">
        <v>20</v>
      </c>
      <c r="J110">
        <v>0</v>
      </c>
      <c r="K110">
        <v>1</v>
      </c>
      <c r="L110">
        <v>2000000</v>
      </c>
      <c r="M110">
        <v>190</v>
      </c>
      <c r="N110">
        <v>190</v>
      </c>
      <c r="O110">
        <v>190</v>
      </c>
      <c r="P110">
        <v>0</v>
      </c>
      <c r="Q110" t="s">
        <v>61</v>
      </c>
      <c r="R110">
        <v>999807999772</v>
      </c>
      <c r="S110">
        <v>999601</v>
      </c>
      <c r="T110">
        <v>999807999772</v>
      </c>
      <c r="U110">
        <v>999601</v>
      </c>
      <c r="V110" t="s">
        <v>71</v>
      </c>
      <c r="W110">
        <v>48</v>
      </c>
      <c r="X110">
        <v>999600</v>
      </c>
      <c r="Y110">
        <v>999601</v>
      </c>
      <c r="Z110">
        <v>1999201</v>
      </c>
      <c r="AA110">
        <v>999601</v>
      </c>
      <c r="AB110">
        <v>2</v>
      </c>
      <c r="AC110">
        <v>1</v>
      </c>
      <c r="AD110">
        <v>1.5</v>
      </c>
      <c r="AE110">
        <v>26.215299999999999</v>
      </c>
      <c r="AF110">
        <v>63974432</v>
      </c>
      <c r="AJ110">
        <v>7424</v>
      </c>
      <c r="AM110">
        <v>574042310</v>
      </c>
      <c r="AN110">
        <v>0</v>
      </c>
      <c r="AO110">
        <v>382649716</v>
      </c>
      <c r="AP110">
        <v>574042310</v>
      </c>
      <c r="AQ110">
        <v>956692026</v>
      </c>
      <c r="AR110">
        <v>71755288</v>
      </c>
      <c r="AS110">
        <v>0</v>
      </c>
      <c r="AT110">
        <v>47831214</v>
      </c>
      <c r="AU110">
        <v>71755288</v>
      </c>
      <c r="AV110">
        <v>119586503</v>
      </c>
      <c r="AW110">
        <v>16.9283</v>
      </c>
      <c r="AX110">
        <v>4.4226599999999996</v>
      </c>
      <c r="AY110">
        <v>4335.24</v>
      </c>
      <c r="AZ110">
        <v>2460.39</v>
      </c>
      <c r="BA110">
        <v>1225</v>
      </c>
      <c r="BB110">
        <v>241</v>
      </c>
      <c r="BC110" t="str">
        <f t="shared" si="4"/>
        <v>u=40%, k=2x10^6</v>
      </c>
      <c r="BD110">
        <f t="shared" si="5"/>
        <v>8</v>
      </c>
    </row>
    <row r="111" spans="1:56">
      <c r="A111" t="s">
        <v>143</v>
      </c>
      <c r="B111" t="s">
        <v>305</v>
      </c>
      <c r="D111" t="s">
        <v>64</v>
      </c>
      <c r="E111" t="s">
        <v>59</v>
      </c>
      <c r="F111" t="s">
        <v>60</v>
      </c>
      <c r="G111">
        <v>16000</v>
      </c>
      <c r="H111">
        <v>20</v>
      </c>
      <c r="I111">
        <v>20</v>
      </c>
      <c r="J111">
        <v>0</v>
      </c>
      <c r="K111">
        <v>1</v>
      </c>
      <c r="L111">
        <v>2000000</v>
      </c>
      <c r="M111">
        <v>190</v>
      </c>
      <c r="N111">
        <v>190</v>
      </c>
      <c r="O111">
        <v>190</v>
      </c>
      <c r="P111">
        <v>0</v>
      </c>
      <c r="Q111" t="s">
        <v>61</v>
      </c>
      <c r="R111">
        <v>1000287112282</v>
      </c>
      <c r="S111">
        <v>1000346</v>
      </c>
      <c r="T111">
        <v>1000287112282</v>
      </c>
      <c r="U111">
        <v>1000346</v>
      </c>
      <c r="V111" t="s">
        <v>71</v>
      </c>
      <c r="W111">
        <v>52</v>
      </c>
      <c r="X111">
        <v>1000345</v>
      </c>
      <c r="Y111">
        <v>1000346</v>
      </c>
      <c r="Z111">
        <v>2000691</v>
      </c>
      <c r="AA111">
        <v>1000346</v>
      </c>
      <c r="AB111">
        <v>2</v>
      </c>
      <c r="AC111">
        <v>1</v>
      </c>
      <c r="AD111">
        <v>1.5</v>
      </c>
      <c r="AE111">
        <v>27.178100000000001</v>
      </c>
      <c r="AF111">
        <v>64022112</v>
      </c>
      <c r="AJ111">
        <v>14770</v>
      </c>
      <c r="AM111">
        <v>1176421097</v>
      </c>
      <c r="AN111">
        <v>0</v>
      </c>
      <c r="AO111">
        <v>784269250</v>
      </c>
      <c r="AP111">
        <v>1176421097</v>
      </c>
      <c r="AQ111">
        <v>1960690347</v>
      </c>
      <c r="AR111">
        <v>73526318</v>
      </c>
      <c r="AS111">
        <v>0</v>
      </c>
      <c r="AT111">
        <v>49016828</v>
      </c>
      <c r="AU111">
        <v>73526318</v>
      </c>
      <c r="AV111">
        <v>122543146</v>
      </c>
      <c r="AW111">
        <v>16.6051</v>
      </c>
      <c r="AX111">
        <v>4.3795700000000002</v>
      </c>
      <c r="AY111">
        <v>4269.83</v>
      </c>
      <c r="AZ111">
        <v>2449.66</v>
      </c>
      <c r="BA111">
        <v>1222</v>
      </c>
      <c r="BB111">
        <v>304</v>
      </c>
      <c r="BC111" t="str">
        <f t="shared" si="4"/>
        <v>u=40%, k=2x10^6</v>
      </c>
      <c r="BD111">
        <f t="shared" si="5"/>
        <v>16</v>
      </c>
    </row>
    <row r="112" spans="1:56">
      <c r="A112" t="s">
        <v>145</v>
      </c>
      <c r="B112" t="s">
        <v>305</v>
      </c>
      <c r="D112" t="s">
        <v>64</v>
      </c>
      <c r="E112" t="s">
        <v>59</v>
      </c>
      <c r="F112" t="s">
        <v>60</v>
      </c>
      <c r="G112">
        <v>32000</v>
      </c>
      <c r="H112">
        <v>20</v>
      </c>
      <c r="I112">
        <v>20</v>
      </c>
      <c r="J112">
        <v>0</v>
      </c>
      <c r="K112">
        <v>1</v>
      </c>
      <c r="L112">
        <v>2000000</v>
      </c>
      <c r="M112">
        <v>190</v>
      </c>
      <c r="N112">
        <v>190</v>
      </c>
      <c r="O112">
        <v>190</v>
      </c>
      <c r="P112">
        <v>0</v>
      </c>
      <c r="Q112" t="s">
        <v>61</v>
      </c>
      <c r="R112">
        <v>1000157620029</v>
      </c>
      <c r="S112">
        <v>1000214</v>
      </c>
      <c r="T112">
        <v>1000157620029</v>
      </c>
      <c r="U112">
        <v>1000214</v>
      </c>
      <c r="V112" t="s">
        <v>71</v>
      </c>
      <c r="W112">
        <v>46</v>
      </c>
      <c r="X112">
        <v>1000213</v>
      </c>
      <c r="Y112">
        <v>1000214</v>
      </c>
      <c r="Z112">
        <v>2000427</v>
      </c>
      <c r="AA112">
        <v>1000214</v>
      </c>
      <c r="AB112">
        <v>2</v>
      </c>
      <c r="AC112">
        <v>1</v>
      </c>
      <c r="AD112">
        <v>1.5</v>
      </c>
      <c r="AE112">
        <v>26.583500000000001</v>
      </c>
      <c r="AF112">
        <v>64013664</v>
      </c>
      <c r="AJ112">
        <v>29324</v>
      </c>
      <c r="AM112">
        <v>2366995195</v>
      </c>
      <c r="AN112">
        <v>0</v>
      </c>
      <c r="AO112">
        <v>1578037494</v>
      </c>
      <c r="AP112">
        <v>2366995195</v>
      </c>
      <c r="AQ112">
        <v>3945032689</v>
      </c>
      <c r="AR112">
        <v>73968599</v>
      </c>
      <c r="AS112">
        <v>0</v>
      </c>
      <c r="AT112">
        <v>49313671</v>
      </c>
      <c r="AU112">
        <v>73968599</v>
      </c>
      <c r="AV112">
        <v>123282271</v>
      </c>
      <c r="AW112">
        <v>16.770600000000002</v>
      </c>
      <c r="AX112">
        <v>4.3413700000000004</v>
      </c>
      <c r="AY112">
        <v>4266.46</v>
      </c>
      <c r="AZ112">
        <v>2444.4699999999998</v>
      </c>
      <c r="BA112">
        <v>1223</v>
      </c>
      <c r="BB112">
        <v>254</v>
      </c>
      <c r="BC112" t="str">
        <f t="shared" si="4"/>
        <v>u=40%, k=2x10^6</v>
      </c>
      <c r="BD112">
        <f t="shared" si="5"/>
        <v>32</v>
      </c>
    </row>
    <row r="113" spans="1:56">
      <c r="A113" t="s">
        <v>147</v>
      </c>
      <c r="B113" t="s">
        <v>305</v>
      </c>
      <c r="D113" t="s">
        <v>64</v>
      </c>
      <c r="E113" t="s">
        <v>59</v>
      </c>
      <c r="F113" t="s">
        <v>60</v>
      </c>
      <c r="G113">
        <v>64000</v>
      </c>
      <c r="H113">
        <v>20</v>
      </c>
      <c r="I113">
        <v>20</v>
      </c>
      <c r="J113">
        <v>0</v>
      </c>
      <c r="K113">
        <v>1</v>
      </c>
      <c r="L113">
        <v>2000000</v>
      </c>
      <c r="M113">
        <v>190</v>
      </c>
      <c r="N113">
        <v>190</v>
      </c>
      <c r="O113">
        <v>190</v>
      </c>
      <c r="P113">
        <v>0</v>
      </c>
      <c r="Q113" t="s">
        <v>61</v>
      </c>
      <c r="R113">
        <v>1000333650880</v>
      </c>
      <c r="S113">
        <v>1000628</v>
      </c>
      <c r="T113">
        <v>1000333650880</v>
      </c>
      <c r="U113">
        <v>1000628</v>
      </c>
      <c r="V113" t="s">
        <v>71</v>
      </c>
      <c r="W113">
        <v>49</v>
      </c>
      <c r="X113">
        <v>1000627</v>
      </c>
      <c r="Y113">
        <v>1000628</v>
      </c>
      <c r="Z113">
        <v>2001255</v>
      </c>
      <c r="AA113">
        <v>1000628</v>
      </c>
      <c r="AB113">
        <v>2</v>
      </c>
      <c r="AC113">
        <v>1</v>
      </c>
      <c r="AD113">
        <v>1.5</v>
      </c>
      <c r="AE113">
        <v>25.703199999999999</v>
      </c>
      <c r="AF113">
        <v>64040160</v>
      </c>
      <c r="AJ113">
        <v>57918</v>
      </c>
      <c r="AM113">
        <v>4712762493</v>
      </c>
      <c r="AN113">
        <v>0</v>
      </c>
      <c r="AO113">
        <v>3141769491</v>
      </c>
      <c r="AP113">
        <v>4712762493</v>
      </c>
      <c r="AQ113">
        <v>7854531984</v>
      </c>
      <c r="AR113">
        <v>73636913</v>
      </c>
      <c r="AS113">
        <v>0</v>
      </c>
      <c r="AT113">
        <v>49090148</v>
      </c>
      <c r="AU113">
        <v>73636913</v>
      </c>
      <c r="AV113">
        <v>122727062</v>
      </c>
      <c r="AW113">
        <v>16.810199999999998</v>
      </c>
      <c r="AX113">
        <v>4.32925</v>
      </c>
      <c r="AY113">
        <v>4296.84</v>
      </c>
      <c r="AZ113">
        <v>2477.4</v>
      </c>
      <c r="BA113">
        <v>1236</v>
      </c>
      <c r="BB113">
        <v>313</v>
      </c>
      <c r="BC113" t="str">
        <f t="shared" si="4"/>
        <v>u=40%, k=2x10^6</v>
      </c>
      <c r="BD113">
        <f t="shared" si="5"/>
        <v>64</v>
      </c>
    </row>
    <row r="114" spans="1:56">
      <c r="A114" t="s">
        <v>149</v>
      </c>
      <c r="B114" t="s">
        <v>63</v>
      </c>
      <c r="C114">
        <v>72</v>
      </c>
      <c r="D114" t="s">
        <v>64</v>
      </c>
      <c r="E114" t="s">
        <v>59</v>
      </c>
      <c r="F114" t="s">
        <v>60</v>
      </c>
      <c r="G114">
        <v>1000</v>
      </c>
      <c r="H114">
        <v>20</v>
      </c>
      <c r="I114">
        <v>20</v>
      </c>
      <c r="J114">
        <v>0</v>
      </c>
      <c r="K114">
        <v>1</v>
      </c>
      <c r="L114">
        <v>20000000</v>
      </c>
      <c r="M114">
        <v>190</v>
      </c>
      <c r="N114">
        <v>190</v>
      </c>
      <c r="O114">
        <v>190</v>
      </c>
      <c r="P114">
        <v>0</v>
      </c>
      <c r="Q114" t="s">
        <v>61</v>
      </c>
      <c r="R114">
        <v>99991105080495</v>
      </c>
      <c r="S114">
        <v>9999069</v>
      </c>
      <c r="T114">
        <v>99991105080495</v>
      </c>
      <c r="U114">
        <v>9999069</v>
      </c>
      <c r="V114" t="s">
        <v>71</v>
      </c>
      <c r="W114">
        <v>7</v>
      </c>
      <c r="X114">
        <v>1840270</v>
      </c>
      <c r="Y114">
        <v>11883211</v>
      </c>
      <c r="Z114">
        <v>13723481</v>
      </c>
      <c r="AA114">
        <v>9999069</v>
      </c>
      <c r="AB114">
        <v>7.4573200000000002</v>
      </c>
      <c r="AC114">
        <v>0.841445</v>
      </c>
      <c r="AD114">
        <v>1.72861</v>
      </c>
      <c r="AE114">
        <v>4.0429500000000003</v>
      </c>
      <c r="AF114">
        <v>337359408</v>
      </c>
      <c r="AG114" t="s">
        <v>306</v>
      </c>
      <c r="AH114" t="s">
        <v>307</v>
      </c>
      <c r="AI114">
        <v>89965</v>
      </c>
      <c r="AJ114">
        <v>684</v>
      </c>
      <c r="AM114">
        <v>54612617</v>
      </c>
      <c r="AN114">
        <v>0</v>
      </c>
      <c r="AO114">
        <v>36402308</v>
      </c>
      <c r="AP114">
        <v>54612617</v>
      </c>
      <c r="AQ114">
        <v>91014925</v>
      </c>
      <c r="AR114">
        <v>54612617</v>
      </c>
      <c r="AS114">
        <v>0</v>
      </c>
      <c r="AT114">
        <v>36402308</v>
      </c>
      <c r="AU114">
        <v>54612617</v>
      </c>
      <c r="AV114">
        <v>91014925</v>
      </c>
      <c r="AW114">
        <v>28.284700000000001</v>
      </c>
      <c r="AX114">
        <v>14.891299999999999</v>
      </c>
      <c r="AY114">
        <v>5100.63</v>
      </c>
      <c r="AZ114">
        <v>3490.61</v>
      </c>
      <c r="BA114">
        <v>2847</v>
      </c>
      <c r="BB114">
        <v>369</v>
      </c>
      <c r="BC114" t="str">
        <f t="shared" si="4"/>
        <v>u=40%, k=2x10^7</v>
      </c>
      <c r="BD114">
        <f t="shared" si="5"/>
        <v>1</v>
      </c>
    </row>
    <row r="115" spans="1:56">
      <c r="A115" t="s">
        <v>152</v>
      </c>
      <c r="B115" t="s">
        <v>63</v>
      </c>
      <c r="C115">
        <v>72</v>
      </c>
      <c r="D115" t="s">
        <v>64</v>
      </c>
      <c r="E115" t="s">
        <v>59</v>
      </c>
      <c r="F115" t="s">
        <v>60</v>
      </c>
      <c r="G115">
        <v>2000</v>
      </c>
      <c r="H115">
        <v>20</v>
      </c>
      <c r="I115">
        <v>20</v>
      </c>
      <c r="J115">
        <v>0</v>
      </c>
      <c r="K115">
        <v>1</v>
      </c>
      <c r="L115">
        <v>20000000</v>
      </c>
      <c r="M115">
        <v>190</v>
      </c>
      <c r="N115">
        <v>190</v>
      </c>
      <c r="O115">
        <v>190</v>
      </c>
      <c r="P115">
        <v>0</v>
      </c>
      <c r="Q115" t="s">
        <v>61</v>
      </c>
      <c r="R115">
        <v>99979685000077</v>
      </c>
      <c r="S115">
        <v>9998706</v>
      </c>
      <c r="T115">
        <v>99979685000077</v>
      </c>
      <c r="U115">
        <v>9998706</v>
      </c>
      <c r="V115" t="s">
        <v>71</v>
      </c>
      <c r="W115">
        <v>7</v>
      </c>
      <c r="X115">
        <v>1625824</v>
      </c>
      <c r="Y115">
        <v>11441132</v>
      </c>
      <c r="Z115">
        <v>13066956</v>
      </c>
      <c r="AA115">
        <v>9998706</v>
      </c>
      <c r="AB115">
        <v>8.0371299999999994</v>
      </c>
      <c r="AC115">
        <v>0.87392599999999998</v>
      </c>
      <c r="AD115">
        <v>1.76519</v>
      </c>
      <c r="AE115">
        <v>4.0000099999999996</v>
      </c>
      <c r="AF115">
        <v>313124016</v>
      </c>
      <c r="AG115" t="s">
        <v>308</v>
      </c>
      <c r="AH115" t="s">
        <v>309</v>
      </c>
      <c r="AI115">
        <v>191457</v>
      </c>
      <c r="AJ115">
        <v>1418</v>
      </c>
      <c r="AM115">
        <v>112489421</v>
      </c>
      <c r="AN115">
        <v>0</v>
      </c>
      <c r="AO115">
        <v>75000987</v>
      </c>
      <c r="AP115">
        <v>112489421</v>
      </c>
      <c r="AQ115">
        <v>187490408</v>
      </c>
      <c r="AR115">
        <v>56244710</v>
      </c>
      <c r="AS115">
        <v>0</v>
      </c>
      <c r="AT115">
        <v>37500493</v>
      </c>
      <c r="AU115">
        <v>56244710</v>
      </c>
      <c r="AV115">
        <v>93745204</v>
      </c>
      <c r="AW115">
        <v>28.630099999999999</v>
      </c>
      <c r="AX115">
        <v>15.203200000000001</v>
      </c>
      <c r="AY115">
        <v>5217.87</v>
      </c>
      <c r="AZ115">
        <v>3584.02</v>
      </c>
      <c r="BA115">
        <v>2889</v>
      </c>
      <c r="BB115">
        <v>403</v>
      </c>
      <c r="BC115" t="str">
        <f t="shared" si="4"/>
        <v>u=40%, k=2x10^7</v>
      </c>
      <c r="BD115">
        <f t="shared" si="5"/>
        <v>2</v>
      </c>
    </row>
    <row r="116" spans="1:56">
      <c r="A116" t="s">
        <v>155</v>
      </c>
      <c r="B116" t="s">
        <v>63</v>
      </c>
      <c r="C116">
        <v>72</v>
      </c>
      <c r="D116" t="s">
        <v>64</v>
      </c>
      <c r="E116" t="s">
        <v>59</v>
      </c>
      <c r="F116" t="s">
        <v>60</v>
      </c>
      <c r="G116">
        <v>4000</v>
      </c>
      <c r="H116">
        <v>20</v>
      </c>
      <c r="I116">
        <v>20</v>
      </c>
      <c r="J116">
        <v>0</v>
      </c>
      <c r="K116">
        <v>1</v>
      </c>
      <c r="L116">
        <v>20000000</v>
      </c>
      <c r="M116">
        <v>190</v>
      </c>
      <c r="N116">
        <v>190</v>
      </c>
      <c r="O116">
        <v>190</v>
      </c>
      <c r="P116">
        <v>0</v>
      </c>
      <c r="Q116" t="s">
        <v>61</v>
      </c>
      <c r="R116">
        <v>99973301774279</v>
      </c>
      <c r="S116">
        <v>9995631</v>
      </c>
      <c r="T116">
        <v>99973301774279</v>
      </c>
      <c r="U116">
        <v>9995631</v>
      </c>
      <c r="V116" t="s">
        <v>71</v>
      </c>
      <c r="W116">
        <v>7</v>
      </c>
      <c r="X116">
        <v>1778977</v>
      </c>
      <c r="Y116">
        <v>11764077</v>
      </c>
      <c r="Z116">
        <v>13543054</v>
      </c>
      <c r="AA116">
        <v>9995631</v>
      </c>
      <c r="AB116">
        <v>7.6128299999999998</v>
      </c>
      <c r="AC116">
        <v>0.84967400000000004</v>
      </c>
      <c r="AD116">
        <v>1.7380599999999999</v>
      </c>
      <c r="AE116">
        <v>4.0307599999999999</v>
      </c>
      <c r="AF116">
        <v>330563712</v>
      </c>
      <c r="AG116" t="s">
        <v>310</v>
      </c>
      <c r="AH116" t="s">
        <v>311</v>
      </c>
      <c r="AI116">
        <v>386205</v>
      </c>
      <c r="AJ116">
        <v>2912</v>
      </c>
      <c r="AM116">
        <v>230488626</v>
      </c>
      <c r="AN116">
        <v>0</v>
      </c>
      <c r="AO116">
        <v>153650310</v>
      </c>
      <c r="AP116">
        <v>230488626</v>
      </c>
      <c r="AQ116">
        <v>384138936</v>
      </c>
      <c r="AR116">
        <v>57622156</v>
      </c>
      <c r="AS116">
        <v>0</v>
      </c>
      <c r="AT116">
        <v>38412577</v>
      </c>
      <c r="AU116">
        <v>57622156</v>
      </c>
      <c r="AV116">
        <v>96034734</v>
      </c>
      <c r="AW116">
        <v>28.456499999999998</v>
      </c>
      <c r="AX116">
        <v>15.192</v>
      </c>
      <c r="AY116">
        <v>5241.63</v>
      </c>
      <c r="AZ116">
        <v>3605.78</v>
      </c>
      <c r="BA116">
        <v>2903</v>
      </c>
      <c r="BB116">
        <v>348</v>
      </c>
      <c r="BC116" t="str">
        <f t="shared" si="4"/>
        <v>u=40%, k=2x10^7</v>
      </c>
      <c r="BD116">
        <f t="shared" si="5"/>
        <v>4</v>
      </c>
    </row>
    <row r="117" spans="1:56">
      <c r="A117" t="s">
        <v>158</v>
      </c>
      <c r="B117" t="s">
        <v>63</v>
      </c>
      <c r="C117">
        <v>72</v>
      </c>
      <c r="D117" t="s">
        <v>64</v>
      </c>
      <c r="E117" t="s">
        <v>59</v>
      </c>
      <c r="F117" t="s">
        <v>60</v>
      </c>
      <c r="G117">
        <v>8000</v>
      </c>
      <c r="H117">
        <v>20</v>
      </c>
      <c r="I117">
        <v>20</v>
      </c>
      <c r="J117">
        <v>0</v>
      </c>
      <c r="K117">
        <v>1</v>
      </c>
      <c r="L117">
        <v>20000000</v>
      </c>
      <c r="M117">
        <v>190</v>
      </c>
      <c r="N117">
        <v>190</v>
      </c>
      <c r="O117">
        <v>190</v>
      </c>
      <c r="P117">
        <v>0</v>
      </c>
      <c r="Q117" t="s">
        <v>61</v>
      </c>
      <c r="R117">
        <v>100063812733478</v>
      </c>
      <c r="S117">
        <v>10001367</v>
      </c>
      <c r="T117">
        <v>100063812733478</v>
      </c>
      <c r="U117">
        <v>10001367</v>
      </c>
      <c r="V117" t="s">
        <v>71</v>
      </c>
      <c r="W117">
        <v>7</v>
      </c>
      <c r="X117">
        <v>1836446</v>
      </c>
      <c r="Y117">
        <v>11892221</v>
      </c>
      <c r="Z117">
        <v>13728667</v>
      </c>
      <c r="AA117">
        <v>10001367</v>
      </c>
      <c r="AB117">
        <v>7.47567</v>
      </c>
      <c r="AC117">
        <v>0.841001</v>
      </c>
      <c r="AD117">
        <v>1.7284999999999999</v>
      </c>
      <c r="AE117">
        <v>4.0418900000000004</v>
      </c>
      <c r="AF117">
        <v>337222112</v>
      </c>
      <c r="AG117" t="s">
        <v>312</v>
      </c>
      <c r="AH117" t="s">
        <v>313</v>
      </c>
      <c r="AI117">
        <v>782804</v>
      </c>
      <c r="AJ117">
        <v>5898</v>
      </c>
      <c r="AM117">
        <v>462570691</v>
      </c>
      <c r="AN117">
        <v>0</v>
      </c>
      <c r="AO117">
        <v>308385081</v>
      </c>
      <c r="AP117">
        <v>462570691</v>
      </c>
      <c r="AQ117">
        <v>770955772</v>
      </c>
      <c r="AR117">
        <v>57821336</v>
      </c>
      <c r="AS117">
        <v>0</v>
      </c>
      <c r="AT117">
        <v>38548135</v>
      </c>
      <c r="AU117">
        <v>57821336</v>
      </c>
      <c r="AV117">
        <v>96369471</v>
      </c>
      <c r="AW117">
        <v>28.550599999999999</v>
      </c>
      <c r="AX117">
        <v>15.253</v>
      </c>
      <c r="AY117">
        <v>5267.61</v>
      </c>
      <c r="AZ117">
        <v>3619.82</v>
      </c>
      <c r="BA117">
        <v>2919</v>
      </c>
      <c r="BB117">
        <v>408</v>
      </c>
      <c r="BC117" t="str">
        <f t="shared" si="4"/>
        <v>u=40%, k=2x10^7</v>
      </c>
      <c r="BD117">
        <f t="shared" si="5"/>
        <v>8</v>
      </c>
    </row>
    <row r="118" spans="1:56">
      <c r="A118" t="s">
        <v>161</v>
      </c>
      <c r="B118" t="s">
        <v>63</v>
      </c>
      <c r="C118">
        <v>72</v>
      </c>
      <c r="D118" t="s">
        <v>64</v>
      </c>
      <c r="E118" t="s">
        <v>59</v>
      </c>
      <c r="F118" t="s">
        <v>60</v>
      </c>
      <c r="G118">
        <v>16000</v>
      </c>
      <c r="H118">
        <v>20</v>
      </c>
      <c r="I118">
        <v>20</v>
      </c>
      <c r="J118">
        <v>0</v>
      </c>
      <c r="K118">
        <v>1</v>
      </c>
      <c r="L118">
        <v>20000000</v>
      </c>
      <c r="M118">
        <v>190</v>
      </c>
      <c r="N118">
        <v>190</v>
      </c>
      <c r="O118">
        <v>190</v>
      </c>
      <c r="P118">
        <v>0</v>
      </c>
      <c r="Q118" t="s">
        <v>61</v>
      </c>
      <c r="R118">
        <v>99987057406283</v>
      </c>
      <c r="S118">
        <v>9998791</v>
      </c>
      <c r="T118">
        <v>99987057406283</v>
      </c>
      <c r="U118">
        <v>9998791</v>
      </c>
      <c r="V118" t="s">
        <v>71</v>
      </c>
      <c r="W118">
        <v>7</v>
      </c>
      <c r="X118">
        <v>1853805</v>
      </c>
      <c r="Y118">
        <v>11925058</v>
      </c>
      <c r="Z118">
        <v>13778863</v>
      </c>
      <c r="AA118">
        <v>9998791</v>
      </c>
      <c r="AB118">
        <v>7.4327500000000004</v>
      </c>
      <c r="AC118">
        <v>0.83846900000000002</v>
      </c>
      <c r="AD118">
        <v>1.72566</v>
      </c>
      <c r="AE118">
        <v>4.0454699999999999</v>
      </c>
      <c r="AF118">
        <v>339139760</v>
      </c>
      <c r="AG118" t="s">
        <v>314</v>
      </c>
      <c r="AH118" t="s">
        <v>315</v>
      </c>
      <c r="AI118">
        <v>1552418</v>
      </c>
      <c r="AJ118">
        <v>11826</v>
      </c>
      <c r="AM118">
        <v>927247990</v>
      </c>
      <c r="AN118">
        <v>0</v>
      </c>
      <c r="AO118">
        <v>618221737</v>
      </c>
      <c r="AP118">
        <v>927247990</v>
      </c>
      <c r="AQ118">
        <v>1545469727</v>
      </c>
      <c r="AR118">
        <v>57952999</v>
      </c>
      <c r="AS118">
        <v>0</v>
      </c>
      <c r="AT118">
        <v>38638858</v>
      </c>
      <c r="AU118">
        <v>57952999</v>
      </c>
      <c r="AV118">
        <v>96591857</v>
      </c>
      <c r="AW118">
        <v>28.587199999999999</v>
      </c>
      <c r="AX118">
        <v>15.2799</v>
      </c>
      <c r="AY118">
        <v>5290.53</v>
      </c>
      <c r="AZ118">
        <v>3641.57</v>
      </c>
      <c r="BA118">
        <v>2932</v>
      </c>
      <c r="BB118">
        <v>397</v>
      </c>
      <c r="BC118" t="str">
        <f t="shared" si="4"/>
        <v>u=40%, k=2x10^7</v>
      </c>
      <c r="BD118">
        <f t="shared" si="5"/>
        <v>16</v>
      </c>
    </row>
    <row r="119" spans="1:56">
      <c r="A119" t="s">
        <v>164</v>
      </c>
      <c r="B119" t="s">
        <v>63</v>
      </c>
      <c r="C119">
        <v>72</v>
      </c>
      <c r="D119" t="s">
        <v>64</v>
      </c>
      <c r="E119" t="s">
        <v>59</v>
      </c>
      <c r="F119" t="s">
        <v>60</v>
      </c>
      <c r="G119">
        <v>32000</v>
      </c>
      <c r="H119">
        <v>20</v>
      </c>
      <c r="I119">
        <v>20</v>
      </c>
      <c r="J119">
        <v>0</v>
      </c>
      <c r="K119">
        <v>1</v>
      </c>
      <c r="L119">
        <v>20000000</v>
      </c>
      <c r="M119">
        <v>190</v>
      </c>
      <c r="N119">
        <v>190</v>
      </c>
      <c r="O119">
        <v>190</v>
      </c>
      <c r="P119">
        <v>0</v>
      </c>
      <c r="Q119" t="s">
        <v>61</v>
      </c>
      <c r="R119">
        <v>100003500212019</v>
      </c>
      <c r="S119">
        <v>10000581</v>
      </c>
      <c r="T119">
        <v>100003500212019</v>
      </c>
      <c r="U119">
        <v>10000581</v>
      </c>
      <c r="V119" t="s">
        <v>71</v>
      </c>
      <c r="W119">
        <v>7</v>
      </c>
      <c r="X119">
        <v>1853576</v>
      </c>
      <c r="Y119">
        <v>11927070</v>
      </c>
      <c r="Z119">
        <v>13780646</v>
      </c>
      <c r="AA119">
        <v>10000581</v>
      </c>
      <c r="AB119">
        <v>7.4346300000000003</v>
      </c>
      <c r="AC119">
        <v>0.83847799999999995</v>
      </c>
      <c r="AD119">
        <v>1.7257</v>
      </c>
      <c r="AE119">
        <v>4.0453700000000001</v>
      </c>
      <c r="AF119">
        <v>339153104</v>
      </c>
      <c r="AG119" t="s">
        <v>316</v>
      </c>
      <c r="AH119" t="s">
        <v>317</v>
      </c>
      <c r="AI119">
        <v>3128147</v>
      </c>
      <c r="AJ119">
        <v>23678</v>
      </c>
      <c r="AM119">
        <v>1857253302</v>
      </c>
      <c r="AN119">
        <v>0</v>
      </c>
      <c r="AO119">
        <v>1238138870</v>
      </c>
      <c r="AP119">
        <v>1857253302</v>
      </c>
      <c r="AQ119">
        <v>3095392172</v>
      </c>
      <c r="AR119">
        <v>58039165</v>
      </c>
      <c r="AS119">
        <v>0</v>
      </c>
      <c r="AT119">
        <v>38691839</v>
      </c>
      <c r="AU119">
        <v>58039165</v>
      </c>
      <c r="AV119">
        <v>96731005</v>
      </c>
      <c r="AW119">
        <v>28.6068</v>
      </c>
      <c r="AX119">
        <v>15.2986</v>
      </c>
      <c r="AY119">
        <v>5296.83</v>
      </c>
      <c r="AZ119">
        <v>3646.59</v>
      </c>
      <c r="BA119">
        <v>2944</v>
      </c>
      <c r="BB119">
        <v>382</v>
      </c>
      <c r="BC119" t="str">
        <f t="shared" si="4"/>
        <v>u=40%, k=2x10^7</v>
      </c>
      <c r="BD119">
        <f t="shared" si="5"/>
        <v>32</v>
      </c>
    </row>
    <row r="120" spans="1:56">
      <c r="A120" t="s">
        <v>167</v>
      </c>
      <c r="B120" t="s">
        <v>63</v>
      </c>
      <c r="C120">
        <v>72</v>
      </c>
      <c r="D120" t="s">
        <v>64</v>
      </c>
      <c r="E120" t="s">
        <v>59</v>
      </c>
      <c r="F120" t="s">
        <v>60</v>
      </c>
      <c r="G120">
        <v>64000</v>
      </c>
      <c r="H120">
        <v>20</v>
      </c>
      <c r="I120">
        <v>20</v>
      </c>
      <c r="J120">
        <v>0</v>
      </c>
      <c r="K120">
        <v>1</v>
      </c>
      <c r="L120">
        <v>20000000</v>
      </c>
      <c r="M120">
        <v>190</v>
      </c>
      <c r="N120">
        <v>190</v>
      </c>
      <c r="O120">
        <v>190</v>
      </c>
      <c r="P120">
        <v>0</v>
      </c>
      <c r="Q120" t="s">
        <v>61</v>
      </c>
      <c r="R120">
        <v>100015855717221</v>
      </c>
      <c r="S120">
        <v>9999402</v>
      </c>
      <c r="T120">
        <v>100015855717221</v>
      </c>
      <c r="U120">
        <v>9999402</v>
      </c>
      <c r="V120" t="s">
        <v>71</v>
      </c>
      <c r="W120">
        <v>7</v>
      </c>
      <c r="X120">
        <v>1896832</v>
      </c>
      <c r="Y120">
        <v>12008483</v>
      </c>
      <c r="Z120">
        <v>13905315</v>
      </c>
      <c r="AA120">
        <v>9999402</v>
      </c>
      <c r="AB120">
        <v>7.3308099999999996</v>
      </c>
      <c r="AC120">
        <v>0.83269499999999996</v>
      </c>
      <c r="AD120">
        <v>1.7191099999999999</v>
      </c>
      <c r="AE120">
        <v>4.0543199999999997</v>
      </c>
      <c r="AF120">
        <v>343906176</v>
      </c>
      <c r="AG120" t="s">
        <v>318</v>
      </c>
      <c r="AH120" t="s">
        <v>319</v>
      </c>
      <c r="AI120">
        <v>6226784</v>
      </c>
      <c r="AJ120">
        <v>47134</v>
      </c>
      <c r="AM120">
        <v>3700724656</v>
      </c>
      <c r="AN120">
        <v>0</v>
      </c>
      <c r="AO120">
        <v>2467099781</v>
      </c>
      <c r="AP120">
        <v>3700724656</v>
      </c>
      <c r="AQ120">
        <v>6167824437</v>
      </c>
      <c r="AR120">
        <v>57823822</v>
      </c>
      <c r="AS120">
        <v>0</v>
      </c>
      <c r="AT120">
        <v>38548434</v>
      </c>
      <c r="AU120">
        <v>57823822</v>
      </c>
      <c r="AV120">
        <v>96372256</v>
      </c>
      <c r="AW120">
        <v>28.649799999999999</v>
      </c>
      <c r="AX120">
        <v>15.313599999999999</v>
      </c>
      <c r="AY120">
        <v>5323.42</v>
      </c>
      <c r="AZ120">
        <v>3664.55</v>
      </c>
      <c r="BA120">
        <v>2967</v>
      </c>
      <c r="BB120">
        <v>378</v>
      </c>
      <c r="BC120" t="str">
        <f t="shared" si="4"/>
        <v>u=40%, k=2x10^7</v>
      </c>
      <c r="BD120">
        <f t="shared" si="5"/>
        <v>64</v>
      </c>
    </row>
    <row r="121" spans="1:56">
      <c r="A121" t="s">
        <v>170</v>
      </c>
      <c r="B121" t="s">
        <v>300</v>
      </c>
      <c r="C121">
        <v>208</v>
      </c>
      <c r="D121" t="s">
        <v>64</v>
      </c>
      <c r="E121" t="s">
        <v>59</v>
      </c>
      <c r="F121" t="s">
        <v>60</v>
      </c>
      <c r="G121">
        <v>1000</v>
      </c>
      <c r="H121">
        <v>20</v>
      </c>
      <c r="I121">
        <v>20</v>
      </c>
      <c r="J121">
        <v>0</v>
      </c>
      <c r="K121">
        <v>1</v>
      </c>
      <c r="L121">
        <v>20000000</v>
      </c>
      <c r="M121">
        <v>190</v>
      </c>
      <c r="N121">
        <v>190</v>
      </c>
      <c r="O121">
        <v>190</v>
      </c>
      <c r="P121">
        <v>0</v>
      </c>
      <c r="Q121" t="s">
        <v>61</v>
      </c>
      <c r="R121">
        <v>99980069736669</v>
      </c>
      <c r="S121">
        <v>9998275</v>
      </c>
      <c r="T121">
        <v>99980069736669</v>
      </c>
      <c r="U121">
        <v>9998275</v>
      </c>
      <c r="V121" t="s">
        <v>71</v>
      </c>
      <c r="W121">
        <v>9</v>
      </c>
      <c r="X121">
        <v>242920</v>
      </c>
      <c r="Y121">
        <v>1669975</v>
      </c>
      <c r="Z121">
        <v>1912895</v>
      </c>
      <c r="AA121">
        <v>9998275</v>
      </c>
      <c r="AB121">
        <v>7.8745900000000004</v>
      </c>
      <c r="AC121">
        <v>5.9870799999999997</v>
      </c>
      <c r="AD121">
        <v>6.2267799999999998</v>
      </c>
      <c r="AE121">
        <v>8</v>
      </c>
      <c r="AF121">
        <v>397882160</v>
      </c>
      <c r="AJ121" t="s">
        <v>320</v>
      </c>
      <c r="AM121">
        <v>73898858</v>
      </c>
      <c r="AN121">
        <v>0</v>
      </c>
      <c r="AO121">
        <v>49276323</v>
      </c>
      <c r="AP121">
        <v>73898858</v>
      </c>
      <c r="AQ121">
        <v>123175181</v>
      </c>
      <c r="AR121">
        <v>73898858</v>
      </c>
      <c r="AS121">
        <v>0</v>
      </c>
      <c r="AT121">
        <v>49276323</v>
      </c>
      <c r="AU121">
        <v>73898858</v>
      </c>
      <c r="AV121">
        <v>123175181</v>
      </c>
      <c r="AW121">
        <v>22.166499999999999</v>
      </c>
      <c r="AX121">
        <v>8.6886299999999999</v>
      </c>
      <c r="AY121">
        <v>4097.3</v>
      </c>
      <c r="AZ121">
        <v>2277.88</v>
      </c>
      <c r="BA121">
        <v>2061</v>
      </c>
      <c r="BB121">
        <v>921</v>
      </c>
      <c r="BC121" t="str">
        <f t="shared" si="4"/>
        <v>u=40%, k=2x10^7</v>
      </c>
      <c r="BD121">
        <f t="shared" si="5"/>
        <v>1</v>
      </c>
    </row>
    <row r="122" spans="1:56">
      <c r="A122" t="s">
        <v>172</v>
      </c>
      <c r="B122" t="s">
        <v>300</v>
      </c>
      <c r="C122">
        <v>208</v>
      </c>
      <c r="D122" t="s">
        <v>64</v>
      </c>
      <c r="E122" t="s">
        <v>59</v>
      </c>
      <c r="F122" t="s">
        <v>60</v>
      </c>
      <c r="G122">
        <v>2000</v>
      </c>
      <c r="H122">
        <v>20</v>
      </c>
      <c r="I122">
        <v>20</v>
      </c>
      <c r="J122">
        <v>0</v>
      </c>
      <c r="K122">
        <v>1</v>
      </c>
      <c r="L122">
        <v>20000000</v>
      </c>
      <c r="M122">
        <v>190</v>
      </c>
      <c r="N122">
        <v>190</v>
      </c>
      <c r="O122">
        <v>190</v>
      </c>
      <c r="P122">
        <v>0</v>
      </c>
      <c r="Q122" t="s">
        <v>61</v>
      </c>
      <c r="R122">
        <v>100047162514296</v>
      </c>
      <c r="S122">
        <v>10001560</v>
      </c>
      <c r="T122">
        <v>100047162514296</v>
      </c>
      <c r="U122">
        <v>10001560</v>
      </c>
      <c r="V122" t="s">
        <v>71</v>
      </c>
      <c r="W122">
        <v>9</v>
      </c>
      <c r="X122">
        <v>262890</v>
      </c>
      <c r="Y122">
        <v>1797257</v>
      </c>
      <c r="Z122">
        <v>2060147</v>
      </c>
      <c r="AA122">
        <v>10001560</v>
      </c>
      <c r="AB122">
        <v>7.8365400000000003</v>
      </c>
      <c r="AC122">
        <v>5.5648999999999997</v>
      </c>
      <c r="AD122">
        <v>5.8547799999999999</v>
      </c>
      <c r="AE122">
        <v>8</v>
      </c>
      <c r="AF122">
        <v>428510576</v>
      </c>
      <c r="AJ122" t="s">
        <v>321</v>
      </c>
      <c r="AM122">
        <v>150519199</v>
      </c>
      <c r="AN122">
        <v>0</v>
      </c>
      <c r="AO122">
        <v>100350125</v>
      </c>
      <c r="AP122">
        <v>150519199</v>
      </c>
      <c r="AQ122">
        <v>250869324</v>
      </c>
      <c r="AR122">
        <v>75259599</v>
      </c>
      <c r="AS122">
        <v>0</v>
      </c>
      <c r="AT122">
        <v>50175062</v>
      </c>
      <c r="AU122">
        <v>75259599</v>
      </c>
      <c r="AV122">
        <v>125434662</v>
      </c>
      <c r="AW122">
        <v>22.279299999999999</v>
      </c>
      <c r="AX122">
        <v>8.7486099999999993</v>
      </c>
      <c r="AY122">
        <v>4108.1899999999996</v>
      </c>
      <c r="AZ122">
        <v>2300.96</v>
      </c>
      <c r="BA122">
        <v>2111</v>
      </c>
      <c r="BB122">
        <v>886</v>
      </c>
      <c r="BC122" t="str">
        <f t="shared" si="4"/>
        <v>u=40%, k=2x10^7</v>
      </c>
      <c r="BD122">
        <f t="shared" si="5"/>
        <v>2</v>
      </c>
    </row>
    <row r="123" spans="1:56">
      <c r="A123" t="s">
        <v>174</v>
      </c>
      <c r="B123" t="s">
        <v>300</v>
      </c>
      <c r="C123">
        <v>208</v>
      </c>
      <c r="D123" t="s">
        <v>64</v>
      </c>
      <c r="E123" t="s">
        <v>59</v>
      </c>
      <c r="F123" t="s">
        <v>60</v>
      </c>
      <c r="G123">
        <v>4000</v>
      </c>
      <c r="H123">
        <v>20</v>
      </c>
      <c r="I123">
        <v>20</v>
      </c>
      <c r="J123">
        <v>0</v>
      </c>
      <c r="K123">
        <v>1</v>
      </c>
      <c r="L123">
        <v>20000000</v>
      </c>
      <c r="M123">
        <v>190</v>
      </c>
      <c r="N123">
        <v>190</v>
      </c>
      <c r="O123">
        <v>190</v>
      </c>
      <c r="P123">
        <v>0</v>
      </c>
      <c r="Q123" t="s">
        <v>61</v>
      </c>
      <c r="R123">
        <v>100064297867534</v>
      </c>
      <c r="S123">
        <v>10004330</v>
      </c>
      <c r="T123">
        <v>100064297867534</v>
      </c>
      <c r="U123">
        <v>10004330</v>
      </c>
      <c r="V123" t="s">
        <v>71</v>
      </c>
      <c r="W123">
        <v>9</v>
      </c>
      <c r="X123">
        <v>281683</v>
      </c>
      <c r="Y123">
        <v>1903026</v>
      </c>
      <c r="Z123">
        <v>2184709</v>
      </c>
      <c r="AA123">
        <v>10004330</v>
      </c>
      <c r="AB123">
        <v>7.7559100000000001</v>
      </c>
      <c r="AC123">
        <v>5.2570600000000001</v>
      </c>
      <c r="AD123">
        <v>5.57925</v>
      </c>
      <c r="AE123">
        <v>8</v>
      </c>
      <c r="AF123">
        <v>454419472</v>
      </c>
      <c r="AJ123" t="s">
        <v>322</v>
      </c>
      <c r="AM123">
        <v>298314801</v>
      </c>
      <c r="AN123">
        <v>0</v>
      </c>
      <c r="AO123">
        <v>198915782</v>
      </c>
      <c r="AP123">
        <v>298314801</v>
      </c>
      <c r="AQ123">
        <v>497230583</v>
      </c>
      <c r="AR123">
        <v>74578700</v>
      </c>
      <c r="AS123">
        <v>0</v>
      </c>
      <c r="AT123">
        <v>49728945</v>
      </c>
      <c r="AU123">
        <v>74578700</v>
      </c>
      <c r="AV123">
        <v>124307645</v>
      </c>
      <c r="AW123">
        <v>22.4285</v>
      </c>
      <c r="AX123">
        <v>8.8740600000000001</v>
      </c>
      <c r="AY123">
        <v>4171.8999999999996</v>
      </c>
      <c r="AZ123">
        <v>2340.58</v>
      </c>
      <c r="BA123">
        <v>2194</v>
      </c>
      <c r="BB123">
        <v>959</v>
      </c>
      <c r="BC123" t="str">
        <f t="shared" si="4"/>
        <v>u=40%, k=2x10^7</v>
      </c>
      <c r="BD123">
        <f t="shared" si="5"/>
        <v>4</v>
      </c>
    </row>
    <row r="124" spans="1:56">
      <c r="A124" t="s">
        <v>176</v>
      </c>
      <c r="B124" t="s">
        <v>300</v>
      </c>
      <c r="C124">
        <v>208</v>
      </c>
      <c r="D124" t="s">
        <v>64</v>
      </c>
      <c r="E124" t="s">
        <v>59</v>
      </c>
      <c r="F124" t="s">
        <v>60</v>
      </c>
      <c r="G124">
        <v>8000</v>
      </c>
      <c r="H124">
        <v>20</v>
      </c>
      <c r="I124">
        <v>20</v>
      </c>
      <c r="J124">
        <v>0</v>
      </c>
      <c r="K124">
        <v>1</v>
      </c>
      <c r="L124">
        <v>20000000</v>
      </c>
      <c r="M124">
        <v>190</v>
      </c>
      <c r="N124">
        <v>190</v>
      </c>
      <c r="O124">
        <v>190</v>
      </c>
      <c r="P124">
        <v>0</v>
      </c>
      <c r="Q124" t="s">
        <v>61</v>
      </c>
      <c r="R124">
        <v>99965091570056</v>
      </c>
      <c r="S124">
        <v>9996243</v>
      </c>
      <c r="T124">
        <v>99965091570056</v>
      </c>
      <c r="U124">
        <v>9996243</v>
      </c>
      <c r="V124" t="s">
        <v>71</v>
      </c>
      <c r="W124">
        <v>9</v>
      </c>
      <c r="X124">
        <v>300382</v>
      </c>
      <c r="Y124">
        <v>1960853</v>
      </c>
      <c r="Z124">
        <v>2261235</v>
      </c>
      <c r="AA124">
        <v>9996243</v>
      </c>
      <c r="AB124">
        <v>7.5278600000000004</v>
      </c>
      <c r="AC124">
        <v>5.0979099999999997</v>
      </c>
      <c r="AD124">
        <v>5.4207000000000001</v>
      </c>
      <c r="AE124">
        <v>8</v>
      </c>
      <c r="AF124">
        <v>470336880</v>
      </c>
      <c r="AJ124" t="s">
        <v>323</v>
      </c>
      <c r="AM124">
        <v>597087141</v>
      </c>
      <c r="AN124">
        <v>0</v>
      </c>
      <c r="AO124">
        <v>398035187</v>
      </c>
      <c r="AP124">
        <v>597087141</v>
      </c>
      <c r="AQ124">
        <v>995122328</v>
      </c>
      <c r="AR124">
        <v>74635892</v>
      </c>
      <c r="AS124">
        <v>0</v>
      </c>
      <c r="AT124">
        <v>49754398</v>
      </c>
      <c r="AU124">
        <v>74635892</v>
      </c>
      <c r="AV124">
        <v>124390291</v>
      </c>
      <c r="AW124">
        <v>22.589500000000001</v>
      </c>
      <c r="AX124">
        <v>8.9558700000000009</v>
      </c>
      <c r="AY124">
        <v>4194.76</v>
      </c>
      <c r="AZ124">
        <v>2363.15</v>
      </c>
      <c r="BA124">
        <v>2244</v>
      </c>
      <c r="BB124">
        <v>918</v>
      </c>
      <c r="BC124" t="str">
        <f t="shared" si="4"/>
        <v>u=40%, k=2x10^7</v>
      </c>
      <c r="BD124">
        <f t="shared" si="5"/>
        <v>8</v>
      </c>
    </row>
    <row r="125" spans="1:56">
      <c r="A125" t="s">
        <v>178</v>
      </c>
      <c r="B125" t="s">
        <v>300</v>
      </c>
      <c r="C125">
        <v>208</v>
      </c>
      <c r="D125" t="s">
        <v>64</v>
      </c>
      <c r="E125" t="s">
        <v>59</v>
      </c>
      <c r="F125" t="s">
        <v>60</v>
      </c>
      <c r="G125">
        <v>16000</v>
      </c>
      <c r="H125">
        <v>20</v>
      </c>
      <c r="I125">
        <v>20</v>
      </c>
      <c r="J125">
        <v>0</v>
      </c>
      <c r="K125">
        <v>1</v>
      </c>
      <c r="L125">
        <v>20000000</v>
      </c>
      <c r="M125">
        <v>190</v>
      </c>
      <c r="N125">
        <v>190</v>
      </c>
      <c r="O125">
        <v>190</v>
      </c>
      <c r="P125">
        <v>0</v>
      </c>
      <c r="Q125" t="s">
        <v>61</v>
      </c>
      <c r="R125">
        <v>100010488335326</v>
      </c>
      <c r="S125">
        <v>10000574</v>
      </c>
      <c r="T125">
        <v>100010488335326</v>
      </c>
      <c r="U125">
        <v>10000574</v>
      </c>
      <c r="V125" t="s">
        <v>71</v>
      </c>
      <c r="W125">
        <v>9</v>
      </c>
      <c r="X125">
        <v>315779</v>
      </c>
      <c r="Y125">
        <v>1962787</v>
      </c>
      <c r="Z125">
        <v>2278566</v>
      </c>
      <c r="AA125">
        <v>10000574</v>
      </c>
      <c r="AB125">
        <v>7.2157</v>
      </c>
      <c r="AC125">
        <v>5.0950899999999999</v>
      </c>
      <c r="AD125">
        <v>5.3889800000000001</v>
      </c>
      <c r="AE125">
        <v>8</v>
      </c>
      <c r="AF125">
        <v>473941728</v>
      </c>
      <c r="AJ125" t="s">
        <v>324</v>
      </c>
      <c r="AM125">
        <v>1186052873</v>
      </c>
      <c r="AN125">
        <v>0</v>
      </c>
      <c r="AO125">
        <v>790735500</v>
      </c>
      <c r="AP125">
        <v>1186052873</v>
      </c>
      <c r="AQ125">
        <v>1976788373</v>
      </c>
      <c r="AR125">
        <v>74128304</v>
      </c>
      <c r="AS125">
        <v>0</v>
      </c>
      <c r="AT125">
        <v>49420968</v>
      </c>
      <c r="AU125">
        <v>74128304</v>
      </c>
      <c r="AV125">
        <v>123549273</v>
      </c>
      <c r="AW125">
        <v>22.694400000000002</v>
      </c>
      <c r="AX125">
        <v>9.0369100000000007</v>
      </c>
      <c r="AY125">
        <v>4232.55</v>
      </c>
      <c r="AZ125">
        <v>2385.11</v>
      </c>
      <c r="BA125">
        <v>2171</v>
      </c>
      <c r="BB125">
        <v>901</v>
      </c>
      <c r="BC125" t="str">
        <f t="shared" si="4"/>
        <v>u=40%, k=2x10^7</v>
      </c>
      <c r="BD125">
        <f t="shared" si="5"/>
        <v>16</v>
      </c>
    </row>
    <row r="126" spans="1:56">
      <c r="A126" t="s">
        <v>180</v>
      </c>
      <c r="B126" t="s">
        <v>300</v>
      </c>
      <c r="C126">
        <v>208</v>
      </c>
      <c r="D126" t="s">
        <v>64</v>
      </c>
      <c r="E126" t="s">
        <v>59</v>
      </c>
      <c r="F126" t="s">
        <v>60</v>
      </c>
      <c r="G126">
        <v>32000</v>
      </c>
      <c r="H126">
        <v>20</v>
      </c>
      <c r="I126">
        <v>20</v>
      </c>
      <c r="J126">
        <v>0</v>
      </c>
      <c r="K126">
        <v>1</v>
      </c>
      <c r="L126">
        <v>20000000</v>
      </c>
      <c r="M126">
        <v>190</v>
      </c>
      <c r="N126">
        <v>190</v>
      </c>
      <c r="O126">
        <v>190</v>
      </c>
      <c r="P126">
        <v>0</v>
      </c>
      <c r="Q126" t="s">
        <v>61</v>
      </c>
      <c r="R126">
        <v>100006669680235</v>
      </c>
      <c r="S126">
        <v>10002243</v>
      </c>
      <c r="T126">
        <v>100006669680235</v>
      </c>
      <c r="U126">
        <v>10002243</v>
      </c>
      <c r="V126" t="s">
        <v>71</v>
      </c>
      <c r="W126">
        <v>9</v>
      </c>
      <c r="X126">
        <v>328460</v>
      </c>
      <c r="Y126">
        <v>1954654</v>
      </c>
      <c r="Z126">
        <v>2283114</v>
      </c>
      <c r="AA126">
        <v>10002243</v>
      </c>
      <c r="AB126">
        <v>6.9509699999999999</v>
      </c>
      <c r="AC126">
        <v>5.11714</v>
      </c>
      <c r="AD126">
        <v>5.3809699999999996</v>
      </c>
      <c r="AE126">
        <v>8</v>
      </c>
      <c r="AF126">
        <v>474887712</v>
      </c>
      <c r="AJ126">
        <v>31234</v>
      </c>
      <c r="AM126">
        <v>2365606762</v>
      </c>
      <c r="AN126">
        <v>0</v>
      </c>
      <c r="AO126">
        <v>1577046690</v>
      </c>
      <c r="AP126">
        <v>2365606762</v>
      </c>
      <c r="AQ126">
        <v>3942653452</v>
      </c>
      <c r="AR126">
        <v>73925211</v>
      </c>
      <c r="AS126">
        <v>0</v>
      </c>
      <c r="AT126">
        <v>49282709</v>
      </c>
      <c r="AU126">
        <v>73925211</v>
      </c>
      <c r="AV126">
        <v>123207920</v>
      </c>
      <c r="AW126">
        <v>22.918500000000002</v>
      </c>
      <c r="AX126">
        <v>9.1149199999999997</v>
      </c>
      <c r="AY126">
        <v>4263.6899999999996</v>
      </c>
      <c r="AZ126">
        <v>2404.1</v>
      </c>
      <c r="BA126">
        <v>2182</v>
      </c>
      <c r="BB126">
        <v>928</v>
      </c>
      <c r="BC126" t="str">
        <f t="shared" si="4"/>
        <v>u=40%, k=2x10^7</v>
      </c>
      <c r="BD126">
        <f t="shared" si="5"/>
        <v>32</v>
      </c>
    </row>
    <row r="127" spans="1:56">
      <c r="A127" t="s">
        <v>181</v>
      </c>
      <c r="B127" t="s">
        <v>300</v>
      </c>
      <c r="C127">
        <v>208</v>
      </c>
      <c r="D127" t="s">
        <v>64</v>
      </c>
      <c r="E127" t="s">
        <v>59</v>
      </c>
      <c r="F127" t="s">
        <v>60</v>
      </c>
      <c r="G127">
        <v>64000</v>
      </c>
      <c r="H127">
        <v>20</v>
      </c>
      <c r="I127">
        <v>20</v>
      </c>
      <c r="J127">
        <v>0</v>
      </c>
      <c r="K127">
        <v>1</v>
      </c>
      <c r="L127">
        <v>20000000</v>
      </c>
      <c r="M127">
        <v>190</v>
      </c>
      <c r="N127">
        <v>190</v>
      </c>
      <c r="O127">
        <v>190</v>
      </c>
      <c r="P127">
        <v>0</v>
      </c>
      <c r="Q127" t="s">
        <v>61</v>
      </c>
      <c r="R127">
        <v>100009862837490</v>
      </c>
      <c r="S127">
        <v>10003535</v>
      </c>
      <c r="T127">
        <v>100009862837490</v>
      </c>
      <c r="U127">
        <v>10003535</v>
      </c>
      <c r="V127" t="s">
        <v>71</v>
      </c>
      <c r="W127">
        <v>9</v>
      </c>
      <c r="X127">
        <v>339312</v>
      </c>
      <c r="Y127">
        <v>1951451</v>
      </c>
      <c r="Z127">
        <v>2290763</v>
      </c>
      <c r="AA127">
        <v>10003535</v>
      </c>
      <c r="AB127">
        <v>6.7511999999999999</v>
      </c>
      <c r="AC127">
        <v>5.1261999999999999</v>
      </c>
      <c r="AD127">
        <v>5.3669000000000002</v>
      </c>
      <c r="AE127">
        <v>8</v>
      </c>
      <c r="AF127">
        <v>476478704</v>
      </c>
      <c r="AJ127" t="s">
        <v>325</v>
      </c>
      <c r="AM127">
        <v>4707574710</v>
      </c>
      <c r="AN127">
        <v>0</v>
      </c>
      <c r="AO127">
        <v>3138429743</v>
      </c>
      <c r="AP127">
        <v>4707574710</v>
      </c>
      <c r="AQ127">
        <v>7846004453</v>
      </c>
      <c r="AR127">
        <v>73555854</v>
      </c>
      <c r="AS127">
        <v>0</v>
      </c>
      <c r="AT127">
        <v>49037964</v>
      </c>
      <c r="AU127">
        <v>73555854</v>
      </c>
      <c r="AV127">
        <v>122593819</v>
      </c>
      <c r="AW127">
        <v>22.851700000000001</v>
      </c>
      <c r="AX127">
        <v>9.1450099999999992</v>
      </c>
      <c r="AY127">
        <v>4281.8599999999997</v>
      </c>
      <c r="AZ127">
        <v>2412.5700000000002</v>
      </c>
      <c r="BA127">
        <v>2182</v>
      </c>
      <c r="BB127">
        <v>895</v>
      </c>
      <c r="BC127" t="str">
        <f t="shared" si="4"/>
        <v>u=40%, k=2x10^7</v>
      </c>
      <c r="BD127">
        <f t="shared" si="5"/>
        <v>64</v>
      </c>
    </row>
    <row r="128" spans="1:56">
      <c r="A128" t="s">
        <v>183</v>
      </c>
      <c r="B128" t="s">
        <v>105</v>
      </c>
      <c r="D128" t="s">
        <v>64</v>
      </c>
      <c r="E128" t="s">
        <v>59</v>
      </c>
      <c r="F128" t="s">
        <v>60</v>
      </c>
      <c r="G128">
        <v>1000</v>
      </c>
      <c r="H128">
        <v>20</v>
      </c>
      <c r="I128">
        <v>20</v>
      </c>
      <c r="J128">
        <v>0</v>
      </c>
      <c r="K128">
        <v>1</v>
      </c>
      <c r="L128">
        <v>20000000</v>
      </c>
      <c r="M128">
        <v>190</v>
      </c>
      <c r="N128">
        <v>190</v>
      </c>
      <c r="O128">
        <v>190</v>
      </c>
      <c r="P128">
        <v>0</v>
      </c>
      <c r="Q128" t="s">
        <v>61</v>
      </c>
      <c r="R128">
        <v>99946296292876</v>
      </c>
      <c r="S128">
        <v>9995457</v>
      </c>
      <c r="T128">
        <v>99946296292876</v>
      </c>
      <c r="U128">
        <v>9995457</v>
      </c>
      <c r="V128" t="s">
        <v>71</v>
      </c>
      <c r="W128">
        <v>29</v>
      </c>
      <c r="X128">
        <v>6692314</v>
      </c>
      <c r="Y128">
        <v>5070415</v>
      </c>
      <c r="Z128">
        <v>11762729</v>
      </c>
      <c r="AA128">
        <v>9995457</v>
      </c>
      <c r="AB128">
        <v>1.7576499999999999</v>
      </c>
      <c r="AC128">
        <v>1.97133</v>
      </c>
      <c r="AD128">
        <v>1.8497600000000001</v>
      </c>
      <c r="AE128">
        <v>23.180700000000002</v>
      </c>
      <c r="AF128">
        <v>658712824</v>
      </c>
      <c r="AJ128" t="s">
        <v>326</v>
      </c>
      <c r="AM128">
        <v>58021244</v>
      </c>
      <c r="AN128">
        <v>0</v>
      </c>
      <c r="AO128">
        <v>38673412</v>
      </c>
      <c r="AP128">
        <v>58021244</v>
      </c>
      <c r="AQ128">
        <v>96694656</v>
      </c>
      <c r="AR128">
        <v>58021244</v>
      </c>
      <c r="AS128">
        <v>0</v>
      </c>
      <c r="AT128">
        <v>38673412</v>
      </c>
      <c r="AU128">
        <v>58021244</v>
      </c>
      <c r="AV128">
        <v>96694656</v>
      </c>
      <c r="AW128">
        <v>31.325600000000001</v>
      </c>
      <c r="AX128">
        <v>11.5106</v>
      </c>
      <c r="AY128">
        <v>5415.02</v>
      </c>
      <c r="AZ128">
        <v>3829.26</v>
      </c>
      <c r="BA128">
        <v>1951</v>
      </c>
      <c r="BB128">
        <v>439</v>
      </c>
      <c r="BC128" t="str">
        <f t="shared" si="4"/>
        <v>u=40%, k=2x10^7</v>
      </c>
      <c r="BD128">
        <f t="shared" si="5"/>
        <v>1</v>
      </c>
    </row>
    <row r="129" spans="1:56">
      <c r="A129" t="s">
        <v>185</v>
      </c>
      <c r="B129" t="s">
        <v>105</v>
      </c>
      <c r="D129" t="s">
        <v>64</v>
      </c>
      <c r="E129" t="s">
        <v>59</v>
      </c>
      <c r="F129" t="s">
        <v>60</v>
      </c>
      <c r="G129">
        <v>2000</v>
      </c>
      <c r="H129">
        <v>20</v>
      </c>
      <c r="I129">
        <v>20</v>
      </c>
      <c r="J129">
        <v>0</v>
      </c>
      <c r="K129">
        <v>1</v>
      </c>
      <c r="L129">
        <v>20000000</v>
      </c>
      <c r="M129">
        <v>190</v>
      </c>
      <c r="N129">
        <v>190</v>
      </c>
      <c r="O129">
        <v>190</v>
      </c>
      <c r="P129">
        <v>0</v>
      </c>
      <c r="Q129" t="s">
        <v>61</v>
      </c>
      <c r="R129">
        <v>100000439755417</v>
      </c>
      <c r="S129">
        <v>10001127</v>
      </c>
      <c r="T129">
        <v>100000439755417</v>
      </c>
      <c r="U129">
        <v>10001127</v>
      </c>
      <c r="V129" t="s">
        <v>71</v>
      </c>
      <c r="W129">
        <v>29</v>
      </c>
      <c r="X129">
        <v>6834372</v>
      </c>
      <c r="Y129">
        <v>5182429</v>
      </c>
      <c r="Z129">
        <v>12016801</v>
      </c>
      <c r="AA129">
        <v>10001127</v>
      </c>
      <c r="AB129">
        <v>1.7582899999999999</v>
      </c>
      <c r="AC129">
        <v>1.92981</v>
      </c>
      <c r="AD129">
        <v>1.83226</v>
      </c>
      <c r="AE129">
        <v>23.2166</v>
      </c>
      <c r="AF129">
        <v>672940856</v>
      </c>
      <c r="AJ129" t="s">
        <v>327</v>
      </c>
      <c r="AM129">
        <v>114459441</v>
      </c>
      <c r="AN129">
        <v>0</v>
      </c>
      <c r="AO129">
        <v>76320482</v>
      </c>
      <c r="AP129">
        <v>114459441</v>
      </c>
      <c r="AQ129">
        <v>190779923</v>
      </c>
      <c r="AR129">
        <v>57229720</v>
      </c>
      <c r="AS129">
        <v>0</v>
      </c>
      <c r="AT129">
        <v>38160241</v>
      </c>
      <c r="AU129">
        <v>57229720</v>
      </c>
      <c r="AV129">
        <v>95389961</v>
      </c>
      <c r="AW129">
        <v>31.751999999999999</v>
      </c>
      <c r="AX129">
        <v>11.638</v>
      </c>
      <c r="AY129">
        <v>5520.76</v>
      </c>
      <c r="AZ129">
        <v>3898.23</v>
      </c>
      <c r="BA129">
        <v>2054</v>
      </c>
      <c r="BB129">
        <v>445</v>
      </c>
      <c r="BC129" t="str">
        <f t="shared" si="4"/>
        <v>u=40%, k=2x10^7</v>
      </c>
      <c r="BD129">
        <f t="shared" si="5"/>
        <v>2</v>
      </c>
    </row>
    <row r="130" spans="1:56">
      <c r="A130" t="s">
        <v>188</v>
      </c>
      <c r="B130" t="s">
        <v>105</v>
      </c>
      <c r="D130" t="s">
        <v>64</v>
      </c>
      <c r="E130" t="s">
        <v>59</v>
      </c>
      <c r="F130" t="s">
        <v>60</v>
      </c>
      <c r="G130">
        <v>4000</v>
      </c>
      <c r="H130">
        <v>20</v>
      </c>
      <c r="I130">
        <v>20</v>
      </c>
      <c r="J130">
        <v>0</v>
      </c>
      <c r="K130">
        <v>1</v>
      </c>
      <c r="L130">
        <v>20000000</v>
      </c>
      <c r="M130">
        <v>190</v>
      </c>
      <c r="N130">
        <v>190</v>
      </c>
      <c r="O130">
        <v>190</v>
      </c>
      <c r="P130">
        <v>0</v>
      </c>
      <c r="Q130" t="s">
        <v>61</v>
      </c>
      <c r="R130">
        <v>99998229509457</v>
      </c>
      <c r="S130">
        <v>9998597</v>
      </c>
      <c r="T130">
        <v>99998229509457</v>
      </c>
      <c r="U130">
        <v>9998597</v>
      </c>
      <c r="V130" t="s">
        <v>71</v>
      </c>
      <c r="W130">
        <v>29</v>
      </c>
      <c r="X130">
        <v>6857785</v>
      </c>
      <c r="Y130">
        <v>5201181</v>
      </c>
      <c r="Z130">
        <v>12058966</v>
      </c>
      <c r="AA130">
        <v>9998597</v>
      </c>
      <c r="AB130">
        <v>1.7584299999999999</v>
      </c>
      <c r="AC130">
        <v>1.9223699999999999</v>
      </c>
      <c r="AD130">
        <v>1.82914</v>
      </c>
      <c r="AE130">
        <v>23.255700000000001</v>
      </c>
      <c r="AF130">
        <v>675302096</v>
      </c>
      <c r="AJ130" t="s">
        <v>328</v>
      </c>
      <c r="AM130">
        <v>228026782</v>
      </c>
      <c r="AN130">
        <v>0</v>
      </c>
      <c r="AO130">
        <v>152014283</v>
      </c>
      <c r="AP130">
        <v>228026782</v>
      </c>
      <c r="AQ130">
        <v>380041065</v>
      </c>
      <c r="AR130">
        <v>57006695</v>
      </c>
      <c r="AS130">
        <v>0</v>
      </c>
      <c r="AT130">
        <v>38003570</v>
      </c>
      <c r="AU130">
        <v>57006695</v>
      </c>
      <c r="AV130">
        <v>95010266</v>
      </c>
      <c r="AW130">
        <v>31.7654</v>
      </c>
      <c r="AX130">
        <v>11.776199999999999</v>
      </c>
      <c r="AY130">
        <v>5557.47</v>
      </c>
      <c r="AZ130">
        <v>3960.11</v>
      </c>
      <c r="BA130">
        <v>2195</v>
      </c>
      <c r="BB130">
        <v>432</v>
      </c>
      <c r="BC130" t="str">
        <f t="shared" si="4"/>
        <v>u=40%, k=2x10^7</v>
      </c>
      <c r="BD130">
        <f t="shared" si="5"/>
        <v>4</v>
      </c>
    </row>
    <row r="131" spans="1:56">
      <c r="A131" t="s">
        <v>191</v>
      </c>
      <c r="B131" t="s">
        <v>105</v>
      </c>
      <c r="D131" t="s">
        <v>64</v>
      </c>
      <c r="E131" t="s">
        <v>59</v>
      </c>
      <c r="F131" t="s">
        <v>60</v>
      </c>
      <c r="G131">
        <v>8000</v>
      </c>
      <c r="H131">
        <v>20</v>
      </c>
      <c r="I131">
        <v>20</v>
      </c>
      <c r="J131">
        <v>0</v>
      </c>
      <c r="K131">
        <v>1</v>
      </c>
      <c r="L131">
        <v>20000000</v>
      </c>
      <c r="M131">
        <v>190</v>
      </c>
      <c r="N131">
        <v>190</v>
      </c>
      <c r="O131">
        <v>190</v>
      </c>
      <c r="P131">
        <v>0</v>
      </c>
      <c r="Q131" t="s">
        <v>61</v>
      </c>
      <c r="R131">
        <v>99982452220171</v>
      </c>
      <c r="S131">
        <v>9999308</v>
      </c>
      <c r="T131">
        <v>99982452220171</v>
      </c>
      <c r="U131">
        <v>9999308</v>
      </c>
      <c r="V131" t="s">
        <v>71</v>
      </c>
      <c r="W131">
        <v>29</v>
      </c>
      <c r="X131">
        <v>6857771</v>
      </c>
      <c r="Y131">
        <v>5204094</v>
      </c>
      <c r="Z131">
        <v>12061865</v>
      </c>
      <c r="AA131">
        <v>9999308</v>
      </c>
      <c r="AB131">
        <v>1.7588600000000001</v>
      </c>
      <c r="AC131">
        <v>1.92143</v>
      </c>
      <c r="AD131">
        <v>1.829</v>
      </c>
      <c r="AE131">
        <v>23.252099999999999</v>
      </c>
      <c r="AF131">
        <v>675464440</v>
      </c>
      <c r="AJ131" t="s">
        <v>329</v>
      </c>
      <c r="AM131">
        <v>450814624</v>
      </c>
      <c r="AN131">
        <v>0</v>
      </c>
      <c r="AO131">
        <v>300510917</v>
      </c>
      <c r="AP131">
        <v>450814624</v>
      </c>
      <c r="AQ131">
        <v>751325541</v>
      </c>
      <c r="AR131">
        <v>56351828</v>
      </c>
      <c r="AS131">
        <v>0</v>
      </c>
      <c r="AT131">
        <v>37563864</v>
      </c>
      <c r="AU131">
        <v>56351828</v>
      </c>
      <c r="AV131">
        <v>93915692</v>
      </c>
      <c r="AW131">
        <v>32.0533</v>
      </c>
      <c r="AX131">
        <v>11.9438</v>
      </c>
      <c r="AY131">
        <v>5622.54</v>
      </c>
      <c r="AZ131">
        <v>4031.87</v>
      </c>
      <c r="BA131">
        <v>2343</v>
      </c>
      <c r="BB131">
        <v>426</v>
      </c>
      <c r="BC131" t="str">
        <f t="shared" si="4"/>
        <v>u=40%, k=2x10^7</v>
      </c>
      <c r="BD131">
        <f t="shared" si="5"/>
        <v>8</v>
      </c>
    </row>
    <row r="132" spans="1:56">
      <c r="A132" t="s">
        <v>194</v>
      </c>
      <c r="B132" t="s">
        <v>105</v>
      </c>
      <c r="D132" t="s">
        <v>64</v>
      </c>
      <c r="E132" t="s">
        <v>59</v>
      </c>
      <c r="F132" t="s">
        <v>60</v>
      </c>
      <c r="G132">
        <v>16000</v>
      </c>
      <c r="H132">
        <v>20</v>
      </c>
      <c r="I132">
        <v>20</v>
      </c>
      <c r="J132">
        <v>0</v>
      </c>
      <c r="K132">
        <v>1</v>
      </c>
      <c r="L132">
        <v>20000000</v>
      </c>
      <c r="M132">
        <v>190</v>
      </c>
      <c r="N132">
        <v>190</v>
      </c>
      <c r="O132">
        <v>190</v>
      </c>
      <c r="P132">
        <v>0</v>
      </c>
      <c r="Q132" t="s">
        <v>61</v>
      </c>
      <c r="R132">
        <v>100048470791976</v>
      </c>
      <c r="S132">
        <v>10005066</v>
      </c>
      <c r="T132">
        <v>100048470791976</v>
      </c>
      <c r="U132">
        <v>10005066</v>
      </c>
      <c r="V132" t="s">
        <v>71</v>
      </c>
      <c r="W132">
        <v>29</v>
      </c>
      <c r="X132">
        <v>6859900</v>
      </c>
      <c r="Y132">
        <v>5204749</v>
      </c>
      <c r="Z132">
        <v>12064649</v>
      </c>
      <c r="AA132">
        <v>10005066</v>
      </c>
      <c r="AB132">
        <v>1.7587200000000001</v>
      </c>
      <c r="AC132">
        <v>1.9222999999999999</v>
      </c>
      <c r="AD132">
        <v>1.8292900000000001</v>
      </c>
      <c r="AE132">
        <v>23.257899999999999</v>
      </c>
      <c r="AF132">
        <v>675620344</v>
      </c>
      <c r="AJ132">
        <v>8906</v>
      </c>
      <c r="AM132">
        <v>890081600</v>
      </c>
      <c r="AN132">
        <v>0</v>
      </c>
      <c r="AO132">
        <v>593435106</v>
      </c>
      <c r="AP132">
        <v>890081600</v>
      </c>
      <c r="AQ132">
        <v>1483516706</v>
      </c>
      <c r="AR132">
        <v>55630100</v>
      </c>
      <c r="AS132">
        <v>0</v>
      </c>
      <c r="AT132">
        <v>37089694</v>
      </c>
      <c r="AU132">
        <v>55630100</v>
      </c>
      <c r="AV132">
        <v>92719794</v>
      </c>
      <c r="AW132">
        <v>32.427300000000002</v>
      </c>
      <c r="AX132">
        <v>12.133699999999999</v>
      </c>
      <c r="AY132">
        <v>5694.61</v>
      </c>
      <c r="AZ132">
        <v>4086.36</v>
      </c>
      <c r="BA132">
        <v>2458</v>
      </c>
      <c r="BB132">
        <v>431</v>
      </c>
      <c r="BC132" t="str">
        <f t="shared" si="4"/>
        <v>u=40%, k=2x10^7</v>
      </c>
      <c r="BD132">
        <f t="shared" si="5"/>
        <v>16</v>
      </c>
    </row>
    <row r="133" spans="1:56">
      <c r="A133" t="s">
        <v>197</v>
      </c>
      <c r="B133" t="s">
        <v>105</v>
      </c>
      <c r="D133" t="s">
        <v>64</v>
      </c>
      <c r="E133" t="s">
        <v>59</v>
      </c>
      <c r="F133" t="s">
        <v>60</v>
      </c>
      <c r="G133">
        <v>32000</v>
      </c>
      <c r="H133">
        <v>20</v>
      </c>
      <c r="I133">
        <v>20</v>
      </c>
      <c r="J133">
        <v>0</v>
      </c>
      <c r="K133">
        <v>1</v>
      </c>
      <c r="L133">
        <v>20000000</v>
      </c>
      <c r="M133">
        <v>190</v>
      </c>
      <c r="N133">
        <v>190</v>
      </c>
      <c r="O133">
        <v>190</v>
      </c>
      <c r="P133">
        <v>0</v>
      </c>
      <c r="Q133" t="s">
        <v>61</v>
      </c>
      <c r="R133">
        <v>100028766371383</v>
      </c>
      <c r="S133">
        <v>10000980</v>
      </c>
      <c r="T133">
        <v>100028766371383</v>
      </c>
      <c r="U133">
        <v>10000980</v>
      </c>
      <c r="V133" t="s">
        <v>71</v>
      </c>
      <c r="W133">
        <v>29</v>
      </c>
      <c r="X133">
        <v>6859630</v>
      </c>
      <c r="Y133">
        <v>5204147</v>
      </c>
      <c r="Z133">
        <v>12063777</v>
      </c>
      <c r="AA133">
        <v>10000980</v>
      </c>
      <c r="AB133">
        <v>1.7586599999999999</v>
      </c>
      <c r="AC133">
        <v>1.9217299999999999</v>
      </c>
      <c r="AD133">
        <v>1.82901</v>
      </c>
      <c r="AE133">
        <v>23.223500000000001</v>
      </c>
      <c r="AF133">
        <v>675571512</v>
      </c>
      <c r="AJ133" t="s">
        <v>330</v>
      </c>
      <c r="AM133">
        <v>1753956810</v>
      </c>
      <c r="AN133">
        <v>0</v>
      </c>
      <c r="AO133">
        <v>1169328485</v>
      </c>
      <c r="AP133">
        <v>1753956810</v>
      </c>
      <c r="AQ133">
        <v>2923285295</v>
      </c>
      <c r="AR133">
        <v>54811150</v>
      </c>
      <c r="AS133">
        <v>0</v>
      </c>
      <c r="AT133">
        <v>36541515</v>
      </c>
      <c r="AU133">
        <v>54811150</v>
      </c>
      <c r="AV133">
        <v>91352665</v>
      </c>
      <c r="AW133">
        <v>33.162100000000002</v>
      </c>
      <c r="AX133">
        <v>12.298</v>
      </c>
      <c r="AY133">
        <v>5781.91</v>
      </c>
      <c r="AZ133">
        <v>4160.7299999999996</v>
      </c>
      <c r="BA133">
        <v>2511</v>
      </c>
      <c r="BB133">
        <v>438</v>
      </c>
      <c r="BC133" t="str">
        <f t="shared" si="4"/>
        <v>u=40%, k=2x10^7</v>
      </c>
      <c r="BD133">
        <f t="shared" si="5"/>
        <v>32</v>
      </c>
    </row>
    <row r="134" spans="1:56">
      <c r="A134" t="s">
        <v>200</v>
      </c>
      <c r="B134" t="s">
        <v>105</v>
      </c>
      <c r="D134" t="s">
        <v>64</v>
      </c>
      <c r="E134" t="s">
        <v>59</v>
      </c>
      <c r="F134" t="s">
        <v>60</v>
      </c>
      <c r="G134">
        <v>64000</v>
      </c>
      <c r="H134">
        <v>20</v>
      </c>
      <c r="I134">
        <v>20</v>
      </c>
      <c r="J134">
        <v>0</v>
      </c>
      <c r="K134">
        <v>1</v>
      </c>
      <c r="L134">
        <v>20000000</v>
      </c>
      <c r="M134">
        <v>190</v>
      </c>
      <c r="N134">
        <v>190</v>
      </c>
      <c r="O134">
        <v>190</v>
      </c>
      <c r="P134">
        <v>0</v>
      </c>
      <c r="Q134" t="s">
        <v>61</v>
      </c>
      <c r="R134">
        <v>100050947059376</v>
      </c>
      <c r="S134">
        <v>10004230</v>
      </c>
      <c r="T134">
        <v>100050947059376</v>
      </c>
      <c r="U134">
        <v>10004230</v>
      </c>
      <c r="V134" t="s">
        <v>71</v>
      </c>
      <c r="W134">
        <v>29</v>
      </c>
      <c r="X134">
        <v>6860690</v>
      </c>
      <c r="Y134">
        <v>5204008</v>
      </c>
      <c r="Z134">
        <v>12064698</v>
      </c>
      <c r="AA134">
        <v>10004230</v>
      </c>
      <c r="AB134">
        <v>1.7585299999999999</v>
      </c>
      <c r="AC134">
        <v>1.92241</v>
      </c>
      <c r="AD134">
        <v>1.8292200000000001</v>
      </c>
      <c r="AE134">
        <v>23.217700000000001</v>
      </c>
      <c r="AF134">
        <v>675623088</v>
      </c>
      <c r="AJ134" t="s">
        <v>331</v>
      </c>
      <c r="AM134">
        <v>3496294527</v>
      </c>
      <c r="AN134">
        <v>0</v>
      </c>
      <c r="AO134">
        <v>2330838264</v>
      </c>
      <c r="AP134">
        <v>3496294527</v>
      </c>
      <c r="AQ134">
        <v>5827132791</v>
      </c>
      <c r="AR134">
        <v>54629601</v>
      </c>
      <c r="AS134">
        <v>0</v>
      </c>
      <c r="AT134">
        <v>36419347</v>
      </c>
      <c r="AU134">
        <v>54629601</v>
      </c>
      <c r="AV134">
        <v>91048949</v>
      </c>
      <c r="AW134">
        <v>33.084699999999998</v>
      </c>
      <c r="AX134">
        <v>12.433999999999999</v>
      </c>
      <c r="AY134">
        <v>5804.29</v>
      </c>
      <c r="AZ134">
        <v>4183.6400000000003</v>
      </c>
      <c r="BA134">
        <v>2533</v>
      </c>
      <c r="BB134">
        <v>454</v>
      </c>
      <c r="BC134" t="str">
        <f t="shared" si="4"/>
        <v>u=40%, k=2x10^7</v>
      </c>
      <c r="BD134">
        <f t="shared" si="5"/>
        <v>64</v>
      </c>
    </row>
    <row r="135" spans="1:56">
      <c r="A135" t="s">
        <v>203</v>
      </c>
      <c r="B135" t="s">
        <v>305</v>
      </c>
      <c r="D135" t="s">
        <v>64</v>
      </c>
      <c r="E135" t="s">
        <v>59</v>
      </c>
      <c r="F135" t="s">
        <v>60</v>
      </c>
      <c r="G135">
        <v>1000</v>
      </c>
      <c r="H135">
        <v>20</v>
      </c>
      <c r="I135">
        <v>20</v>
      </c>
      <c r="J135">
        <v>0</v>
      </c>
      <c r="K135">
        <v>1</v>
      </c>
      <c r="L135">
        <v>20000000</v>
      </c>
      <c r="M135">
        <v>190</v>
      </c>
      <c r="N135">
        <v>190</v>
      </c>
      <c r="O135">
        <v>190</v>
      </c>
      <c r="P135">
        <v>0</v>
      </c>
      <c r="Q135" t="s">
        <v>61</v>
      </c>
      <c r="R135">
        <v>99948460232027</v>
      </c>
      <c r="S135">
        <v>9994445</v>
      </c>
      <c r="T135">
        <v>99948460232027</v>
      </c>
      <c r="U135">
        <v>9994445</v>
      </c>
      <c r="V135" t="s">
        <v>71</v>
      </c>
      <c r="W135">
        <v>61</v>
      </c>
      <c r="X135">
        <v>9994444</v>
      </c>
      <c r="Y135">
        <v>9994445</v>
      </c>
      <c r="Z135">
        <v>19988889</v>
      </c>
      <c r="AA135">
        <v>9994445</v>
      </c>
      <c r="AB135">
        <v>2</v>
      </c>
      <c r="AC135">
        <v>1</v>
      </c>
      <c r="AD135">
        <v>1.5</v>
      </c>
      <c r="AE135">
        <v>31.4498</v>
      </c>
      <c r="AF135">
        <v>639644448</v>
      </c>
      <c r="AJ135" t="s">
        <v>332</v>
      </c>
      <c r="AM135">
        <v>41336884</v>
      </c>
      <c r="AN135">
        <v>0</v>
      </c>
      <c r="AO135">
        <v>27555795</v>
      </c>
      <c r="AP135">
        <v>41336884</v>
      </c>
      <c r="AQ135">
        <v>68892679</v>
      </c>
      <c r="AR135">
        <v>41336884</v>
      </c>
      <c r="AS135">
        <v>0</v>
      </c>
      <c r="AT135">
        <v>27555795</v>
      </c>
      <c r="AU135">
        <v>41336884</v>
      </c>
      <c r="AV135">
        <v>68892679</v>
      </c>
      <c r="AW135">
        <v>27.9985</v>
      </c>
      <c r="AX135">
        <v>11.261799999999999</v>
      </c>
      <c r="AY135">
        <v>7553.01</v>
      </c>
      <c r="AZ135">
        <v>4995.1400000000003</v>
      </c>
      <c r="BA135">
        <v>1932</v>
      </c>
      <c r="BB135">
        <v>415</v>
      </c>
      <c r="BC135" t="str">
        <f t="shared" si="4"/>
        <v>u=40%, k=2x10^7</v>
      </c>
      <c r="BD135">
        <f t="shared" si="5"/>
        <v>1</v>
      </c>
    </row>
    <row r="136" spans="1:56">
      <c r="A136" t="s">
        <v>204</v>
      </c>
      <c r="B136" t="s">
        <v>305</v>
      </c>
      <c r="D136" t="s">
        <v>64</v>
      </c>
      <c r="E136" t="s">
        <v>59</v>
      </c>
      <c r="F136" t="s">
        <v>60</v>
      </c>
      <c r="G136">
        <v>2000</v>
      </c>
      <c r="H136">
        <v>20</v>
      </c>
      <c r="I136">
        <v>20</v>
      </c>
      <c r="J136">
        <v>0</v>
      </c>
      <c r="K136">
        <v>1</v>
      </c>
      <c r="L136">
        <v>20000000</v>
      </c>
      <c r="M136">
        <v>190</v>
      </c>
      <c r="N136">
        <v>190</v>
      </c>
      <c r="O136">
        <v>190</v>
      </c>
      <c r="P136">
        <v>0</v>
      </c>
      <c r="Q136" t="s">
        <v>61</v>
      </c>
      <c r="R136">
        <v>99972750261724</v>
      </c>
      <c r="S136">
        <v>9998717</v>
      </c>
      <c r="T136">
        <v>99972750261724</v>
      </c>
      <c r="U136">
        <v>9998717</v>
      </c>
      <c r="V136" t="s">
        <v>71</v>
      </c>
      <c r="W136">
        <v>57</v>
      </c>
      <c r="X136">
        <v>9998716</v>
      </c>
      <c r="Y136">
        <v>9998717</v>
      </c>
      <c r="Z136">
        <v>19997433</v>
      </c>
      <c r="AA136">
        <v>9998717</v>
      </c>
      <c r="AB136">
        <v>2</v>
      </c>
      <c r="AC136">
        <v>1</v>
      </c>
      <c r="AD136">
        <v>1.5</v>
      </c>
      <c r="AE136">
        <v>30.2866</v>
      </c>
      <c r="AF136">
        <v>639917856</v>
      </c>
      <c r="AJ136">
        <v>1148</v>
      </c>
      <c r="AM136">
        <v>84542604</v>
      </c>
      <c r="AN136">
        <v>0</v>
      </c>
      <c r="AO136">
        <v>56373398</v>
      </c>
      <c r="AP136">
        <v>84542604</v>
      </c>
      <c r="AQ136">
        <v>140916002</v>
      </c>
      <c r="AR136">
        <v>42271302</v>
      </c>
      <c r="AS136">
        <v>0</v>
      </c>
      <c r="AT136">
        <v>28186699</v>
      </c>
      <c r="AU136">
        <v>42271302</v>
      </c>
      <c r="AV136">
        <v>70458001</v>
      </c>
      <c r="AW136">
        <v>28.409700000000001</v>
      </c>
      <c r="AX136">
        <v>11.480700000000001</v>
      </c>
      <c r="AY136">
        <v>7444.13</v>
      </c>
      <c r="AZ136">
        <v>5089.08</v>
      </c>
      <c r="BA136">
        <v>2059</v>
      </c>
      <c r="BB136">
        <v>414</v>
      </c>
      <c r="BC136" t="str">
        <f t="shared" si="4"/>
        <v>u=40%, k=2x10^7</v>
      </c>
      <c r="BD136">
        <f t="shared" si="5"/>
        <v>2</v>
      </c>
    </row>
    <row r="137" spans="1:56">
      <c r="A137" t="s">
        <v>206</v>
      </c>
      <c r="B137" t="s">
        <v>305</v>
      </c>
      <c r="D137" t="s">
        <v>64</v>
      </c>
      <c r="E137" t="s">
        <v>59</v>
      </c>
      <c r="F137" t="s">
        <v>60</v>
      </c>
      <c r="G137">
        <v>4000</v>
      </c>
      <c r="H137">
        <v>20</v>
      </c>
      <c r="I137">
        <v>20</v>
      </c>
      <c r="J137">
        <v>0</v>
      </c>
      <c r="K137">
        <v>1</v>
      </c>
      <c r="L137">
        <v>20000000</v>
      </c>
      <c r="M137">
        <v>190</v>
      </c>
      <c r="N137">
        <v>190</v>
      </c>
      <c r="O137">
        <v>190</v>
      </c>
      <c r="P137">
        <v>0</v>
      </c>
      <c r="Q137" t="s">
        <v>61</v>
      </c>
      <c r="R137">
        <v>99974942138631</v>
      </c>
      <c r="S137">
        <v>9999081</v>
      </c>
      <c r="T137">
        <v>99974942138631</v>
      </c>
      <c r="U137">
        <v>9999081</v>
      </c>
      <c r="V137" t="s">
        <v>71</v>
      </c>
      <c r="W137">
        <v>58</v>
      </c>
      <c r="X137">
        <v>9999080</v>
      </c>
      <c r="Y137">
        <v>9999081</v>
      </c>
      <c r="Z137">
        <v>19998161</v>
      </c>
      <c r="AA137">
        <v>9999081</v>
      </c>
      <c r="AB137">
        <v>2</v>
      </c>
      <c r="AC137">
        <v>1</v>
      </c>
      <c r="AD137">
        <v>1.5</v>
      </c>
      <c r="AE137">
        <v>30.3748</v>
      </c>
      <c r="AF137">
        <v>639941152</v>
      </c>
      <c r="AJ137" t="s">
        <v>333</v>
      </c>
      <c r="AM137">
        <v>174852534</v>
      </c>
      <c r="AN137">
        <v>0</v>
      </c>
      <c r="AO137">
        <v>116569817</v>
      </c>
      <c r="AP137">
        <v>174852534</v>
      </c>
      <c r="AQ137">
        <v>291422351</v>
      </c>
      <c r="AR137">
        <v>43713133</v>
      </c>
      <c r="AS137">
        <v>0</v>
      </c>
      <c r="AT137">
        <v>29142454</v>
      </c>
      <c r="AU137">
        <v>43713133</v>
      </c>
      <c r="AV137">
        <v>72855587</v>
      </c>
      <c r="AW137">
        <v>28.701599999999999</v>
      </c>
      <c r="AX137">
        <v>11.7584</v>
      </c>
      <c r="AY137">
        <v>7231.8</v>
      </c>
      <c r="AZ137">
        <v>5169.4399999999996</v>
      </c>
      <c r="BA137">
        <v>2212</v>
      </c>
      <c r="BB137">
        <v>425</v>
      </c>
      <c r="BC137" t="str">
        <f t="shared" si="4"/>
        <v>u=40%, k=2x10^7</v>
      </c>
      <c r="BD137">
        <f t="shared" si="5"/>
        <v>4</v>
      </c>
    </row>
    <row r="138" spans="1:56">
      <c r="A138" t="s">
        <v>208</v>
      </c>
      <c r="B138" t="s">
        <v>305</v>
      </c>
      <c r="D138" t="s">
        <v>64</v>
      </c>
      <c r="E138" t="s">
        <v>59</v>
      </c>
      <c r="F138" t="s">
        <v>60</v>
      </c>
      <c r="G138">
        <v>8000</v>
      </c>
      <c r="H138">
        <v>20</v>
      </c>
      <c r="I138">
        <v>20</v>
      </c>
      <c r="J138">
        <v>0</v>
      </c>
      <c r="K138">
        <v>1</v>
      </c>
      <c r="L138">
        <v>20000000</v>
      </c>
      <c r="M138">
        <v>190</v>
      </c>
      <c r="N138">
        <v>190</v>
      </c>
      <c r="O138">
        <v>190</v>
      </c>
      <c r="P138">
        <v>0</v>
      </c>
      <c r="Q138" t="s">
        <v>61</v>
      </c>
      <c r="R138">
        <v>100038670579846</v>
      </c>
      <c r="S138">
        <v>10003639</v>
      </c>
      <c r="T138">
        <v>100038670579846</v>
      </c>
      <c r="U138">
        <v>10003639</v>
      </c>
      <c r="V138" t="s">
        <v>71</v>
      </c>
      <c r="W138">
        <v>59</v>
      </c>
      <c r="X138">
        <v>10003638</v>
      </c>
      <c r="Y138">
        <v>10003639</v>
      </c>
      <c r="Z138">
        <v>20007277</v>
      </c>
      <c r="AA138">
        <v>10003639</v>
      </c>
      <c r="AB138">
        <v>2</v>
      </c>
      <c r="AC138">
        <v>1</v>
      </c>
      <c r="AD138">
        <v>1.5</v>
      </c>
      <c r="AE138">
        <v>30.335899999999999</v>
      </c>
      <c r="AF138">
        <v>640232864</v>
      </c>
      <c r="AJ138">
        <v>3946</v>
      </c>
      <c r="AM138">
        <v>348830642</v>
      </c>
      <c r="AN138">
        <v>0</v>
      </c>
      <c r="AO138">
        <v>232551179</v>
      </c>
      <c r="AP138">
        <v>348830642</v>
      </c>
      <c r="AQ138">
        <v>581381821</v>
      </c>
      <c r="AR138">
        <v>43603830</v>
      </c>
      <c r="AS138">
        <v>0</v>
      </c>
      <c r="AT138">
        <v>29068897</v>
      </c>
      <c r="AU138">
        <v>43603830</v>
      </c>
      <c r="AV138">
        <v>72672727</v>
      </c>
      <c r="AW138">
        <v>29.064499999999999</v>
      </c>
      <c r="AX138">
        <v>11.9825</v>
      </c>
      <c r="AY138">
        <v>7262.81</v>
      </c>
      <c r="AZ138">
        <v>5258.73</v>
      </c>
      <c r="BA138">
        <v>2309</v>
      </c>
      <c r="BB138">
        <v>423</v>
      </c>
      <c r="BC138" t="str">
        <f t="shared" si="4"/>
        <v>u=40%, k=2x10^7</v>
      </c>
      <c r="BD138">
        <f t="shared" si="5"/>
        <v>8</v>
      </c>
    </row>
    <row r="139" spans="1:56">
      <c r="A139" t="s">
        <v>210</v>
      </c>
      <c r="B139" t="s">
        <v>305</v>
      </c>
      <c r="D139" t="s">
        <v>64</v>
      </c>
      <c r="E139" t="s">
        <v>59</v>
      </c>
      <c r="F139" t="s">
        <v>60</v>
      </c>
      <c r="G139">
        <v>16000</v>
      </c>
      <c r="H139">
        <v>20</v>
      </c>
      <c r="I139">
        <v>20</v>
      </c>
      <c r="J139">
        <v>0</v>
      </c>
      <c r="K139">
        <v>1</v>
      </c>
      <c r="L139">
        <v>20000000</v>
      </c>
      <c r="M139">
        <v>190</v>
      </c>
      <c r="N139">
        <v>190</v>
      </c>
      <c r="O139">
        <v>190</v>
      </c>
      <c r="P139">
        <v>0</v>
      </c>
      <c r="Q139" t="s">
        <v>61</v>
      </c>
      <c r="R139">
        <v>99985488315873</v>
      </c>
      <c r="S139">
        <v>10000411</v>
      </c>
      <c r="T139">
        <v>99985488315873</v>
      </c>
      <c r="U139">
        <v>10000411</v>
      </c>
      <c r="V139" t="s">
        <v>71</v>
      </c>
      <c r="W139">
        <v>63</v>
      </c>
      <c r="X139">
        <v>10000410</v>
      </c>
      <c r="Y139">
        <v>10000411</v>
      </c>
      <c r="Z139">
        <v>20000821</v>
      </c>
      <c r="AA139">
        <v>10000411</v>
      </c>
      <c r="AB139">
        <v>2</v>
      </c>
      <c r="AC139">
        <v>1</v>
      </c>
      <c r="AD139">
        <v>1.5</v>
      </c>
      <c r="AE139">
        <v>31.456399999999999</v>
      </c>
      <c r="AF139">
        <v>640026272</v>
      </c>
      <c r="AJ139" t="s">
        <v>334</v>
      </c>
      <c r="AM139">
        <v>691662785</v>
      </c>
      <c r="AN139">
        <v>0</v>
      </c>
      <c r="AO139">
        <v>461094558</v>
      </c>
      <c r="AP139">
        <v>691662785</v>
      </c>
      <c r="AQ139">
        <v>1152757343</v>
      </c>
      <c r="AR139">
        <v>43228924</v>
      </c>
      <c r="AS139">
        <v>0</v>
      </c>
      <c r="AT139">
        <v>28818409</v>
      </c>
      <c r="AU139">
        <v>43228924</v>
      </c>
      <c r="AV139">
        <v>72047333</v>
      </c>
      <c r="AW139">
        <v>29.1692</v>
      </c>
      <c r="AX139">
        <v>12.0968</v>
      </c>
      <c r="AY139">
        <v>7323.13</v>
      </c>
      <c r="AZ139">
        <v>5280.73</v>
      </c>
      <c r="BA139">
        <v>2335</v>
      </c>
      <c r="BB139">
        <v>420</v>
      </c>
      <c r="BC139" t="str">
        <f t="shared" si="4"/>
        <v>u=40%, k=2x10^7</v>
      </c>
      <c r="BD139">
        <f t="shared" si="5"/>
        <v>16</v>
      </c>
    </row>
    <row r="140" spans="1:56">
      <c r="A140" t="s">
        <v>212</v>
      </c>
      <c r="B140" t="s">
        <v>305</v>
      </c>
      <c r="D140" t="s">
        <v>64</v>
      </c>
      <c r="E140" t="s">
        <v>59</v>
      </c>
      <c r="F140" t="s">
        <v>60</v>
      </c>
      <c r="G140">
        <v>32000</v>
      </c>
      <c r="H140">
        <v>20</v>
      </c>
      <c r="I140">
        <v>20</v>
      </c>
      <c r="J140">
        <v>0</v>
      </c>
      <c r="K140">
        <v>1</v>
      </c>
      <c r="L140">
        <v>20000000</v>
      </c>
      <c r="M140">
        <v>190</v>
      </c>
      <c r="N140">
        <v>190</v>
      </c>
      <c r="O140">
        <v>190</v>
      </c>
      <c r="P140">
        <v>0</v>
      </c>
      <c r="Q140" t="s">
        <v>61</v>
      </c>
      <c r="R140">
        <v>99985328452390</v>
      </c>
      <c r="S140">
        <v>9999599</v>
      </c>
      <c r="T140">
        <v>99985328452390</v>
      </c>
      <c r="U140">
        <v>9999599</v>
      </c>
      <c r="V140" t="s">
        <v>71</v>
      </c>
      <c r="W140">
        <v>57</v>
      </c>
      <c r="X140">
        <v>9999598</v>
      </c>
      <c r="Y140">
        <v>9999599</v>
      </c>
      <c r="Z140">
        <v>19999197</v>
      </c>
      <c r="AA140">
        <v>9999599</v>
      </c>
      <c r="AB140">
        <v>2</v>
      </c>
      <c r="AC140">
        <v>1</v>
      </c>
      <c r="AD140">
        <v>1.5</v>
      </c>
      <c r="AE140">
        <v>29.922499999999999</v>
      </c>
      <c r="AF140">
        <v>639974304</v>
      </c>
      <c r="AJ140" t="s">
        <v>335</v>
      </c>
      <c r="AM140">
        <v>1375768913</v>
      </c>
      <c r="AN140">
        <v>0</v>
      </c>
      <c r="AO140">
        <v>917196000</v>
      </c>
      <c r="AP140">
        <v>1375768913</v>
      </c>
      <c r="AQ140">
        <v>2292964913</v>
      </c>
      <c r="AR140">
        <v>42992778</v>
      </c>
      <c r="AS140">
        <v>0</v>
      </c>
      <c r="AT140">
        <v>28662375</v>
      </c>
      <c r="AU140">
        <v>42992778</v>
      </c>
      <c r="AV140">
        <v>71655153</v>
      </c>
      <c r="AW140">
        <v>29.340199999999999</v>
      </c>
      <c r="AX140">
        <v>12.122400000000001</v>
      </c>
      <c r="AY140">
        <v>7352.93</v>
      </c>
      <c r="AZ140">
        <v>5291.69</v>
      </c>
      <c r="BA140">
        <v>2318</v>
      </c>
      <c r="BB140">
        <v>432</v>
      </c>
      <c r="BC140" t="str">
        <f t="shared" si="4"/>
        <v>u=40%, k=2x10^7</v>
      </c>
      <c r="BD140">
        <f t="shared" si="5"/>
        <v>32</v>
      </c>
    </row>
    <row r="141" spans="1:56">
      <c r="A141" t="s">
        <v>214</v>
      </c>
      <c r="B141" t="s">
        <v>305</v>
      </c>
      <c r="D141" t="s">
        <v>64</v>
      </c>
      <c r="E141" t="s">
        <v>59</v>
      </c>
      <c r="F141" t="s">
        <v>60</v>
      </c>
      <c r="G141">
        <v>64000</v>
      </c>
      <c r="H141">
        <v>20</v>
      </c>
      <c r="I141">
        <v>20</v>
      </c>
      <c r="J141">
        <v>0</v>
      </c>
      <c r="K141">
        <v>1</v>
      </c>
      <c r="L141">
        <v>20000000</v>
      </c>
      <c r="M141">
        <v>190</v>
      </c>
      <c r="N141">
        <v>190</v>
      </c>
      <c r="O141">
        <v>190</v>
      </c>
      <c r="P141">
        <v>0</v>
      </c>
      <c r="Q141" t="s">
        <v>61</v>
      </c>
      <c r="R141">
        <v>100000673617392</v>
      </c>
      <c r="S141">
        <v>9999074</v>
      </c>
      <c r="T141">
        <v>100000673617392</v>
      </c>
      <c r="U141">
        <v>9999074</v>
      </c>
      <c r="V141" t="s">
        <v>71</v>
      </c>
      <c r="W141">
        <v>54</v>
      </c>
      <c r="X141">
        <v>9999073</v>
      </c>
      <c r="Y141">
        <v>9999074</v>
      </c>
      <c r="Z141">
        <v>19998147</v>
      </c>
      <c r="AA141">
        <v>9999074</v>
      </c>
      <c r="AB141">
        <v>2</v>
      </c>
      <c r="AC141">
        <v>1</v>
      </c>
      <c r="AD141">
        <v>1.5</v>
      </c>
      <c r="AE141">
        <v>29.9758</v>
      </c>
      <c r="AF141">
        <v>639940704</v>
      </c>
      <c r="AJ141" t="s">
        <v>336</v>
      </c>
      <c r="AM141">
        <v>2765026145</v>
      </c>
      <c r="AN141">
        <v>0</v>
      </c>
      <c r="AO141">
        <v>1843510826</v>
      </c>
      <c r="AP141">
        <v>2765026145</v>
      </c>
      <c r="AQ141">
        <v>4608536971</v>
      </c>
      <c r="AR141">
        <v>43203533</v>
      </c>
      <c r="AS141">
        <v>0</v>
      </c>
      <c r="AT141">
        <v>28804856</v>
      </c>
      <c r="AU141">
        <v>43203533</v>
      </c>
      <c r="AV141">
        <v>72008390</v>
      </c>
      <c r="AW141">
        <v>29.161799999999999</v>
      </c>
      <c r="AX141">
        <v>12.087400000000001</v>
      </c>
      <c r="AY141">
        <v>7320.81</v>
      </c>
      <c r="AZ141">
        <v>5254.17</v>
      </c>
      <c r="BA141">
        <v>2315</v>
      </c>
      <c r="BB141">
        <v>417</v>
      </c>
      <c r="BC141" t="str">
        <f t="shared" si="4"/>
        <v>u=40%, k=2x10^7</v>
      </c>
      <c r="BD141">
        <f t="shared" si="5"/>
        <v>64</v>
      </c>
    </row>
    <row r="142" spans="1:56">
      <c r="A142" t="s">
        <v>216</v>
      </c>
      <c r="B142" t="s">
        <v>63</v>
      </c>
      <c r="C142">
        <v>72</v>
      </c>
      <c r="D142" t="s">
        <v>64</v>
      </c>
      <c r="E142" t="s">
        <v>59</v>
      </c>
      <c r="F142" t="s">
        <v>60</v>
      </c>
      <c r="G142">
        <v>1000</v>
      </c>
      <c r="H142">
        <v>20</v>
      </c>
      <c r="I142">
        <v>20</v>
      </c>
      <c r="J142">
        <v>0</v>
      </c>
      <c r="K142">
        <v>1</v>
      </c>
      <c r="L142">
        <v>200000000</v>
      </c>
      <c r="M142">
        <v>190</v>
      </c>
      <c r="N142">
        <v>190</v>
      </c>
      <c r="O142">
        <v>190</v>
      </c>
      <c r="P142">
        <v>0</v>
      </c>
      <c r="Q142" t="s">
        <v>61</v>
      </c>
      <c r="R142">
        <v>9999943178018020</v>
      </c>
      <c r="S142">
        <v>99995191</v>
      </c>
      <c r="T142">
        <v>9999943178018020</v>
      </c>
      <c r="U142">
        <v>99995191</v>
      </c>
      <c r="V142" t="s">
        <v>71</v>
      </c>
      <c r="W142">
        <v>7</v>
      </c>
      <c r="X142">
        <v>13125320</v>
      </c>
      <c r="Y142">
        <v>114347577</v>
      </c>
      <c r="Z142">
        <v>127472897</v>
      </c>
      <c r="AA142">
        <v>99995191</v>
      </c>
      <c r="AB142">
        <v>9.7119800000000005</v>
      </c>
      <c r="AC142">
        <v>0.87448499999999996</v>
      </c>
      <c r="AD142">
        <v>1.78444</v>
      </c>
      <c r="AE142">
        <v>4.0416600000000003</v>
      </c>
      <c r="AF142">
        <v>2881738048</v>
      </c>
      <c r="AG142" t="s">
        <v>337</v>
      </c>
      <c r="AH142" t="s">
        <v>338</v>
      </c>
      <c r="AI142">
        <v>12374</v>
      </c>
      <c r="AJ142">
        <v>720</v>
      </c>
      <c r="AM142">
        <v>67677490</v>
      </c>
      <c r="AN142">
        <v>0</v>
      </c>
      <c r="AO142">
        <v>45116249</v>
      </c>
      <c r="AP142">
        <v>67677490</v>
      </c>
      <c r="AQ142">
        <v>112793739</v>
      </c>
      <c r="AR142">
        <v>67677490</v>
      </c>
      <c r="AS142">
        <v>0</v>
      </c>
      <c r="AT142">
        <v>45116249</v>
      </c>
      <c r="AU142">
        <v>67677490</v>
      </c>
      <c r="AV142">
        <v>112793739</v>
      </c>
      <c r="AW142">
        <v>25.7681</v>
      </c>
      <c r="AX142">
        <v>13.120900000000001</v>
      </c>
      <c r="AY142">
        <v>4371.0600000000004</v>
      </c>
      <c r="AZ142">
        <v>3217.87</v>
      </c>
      <c r="BA142">
        <v>9834</v>
      </c>
      <c r="BB142">
        <v>1094</v>
      </c>
      <c r="BC142" t="str">
        <f t="shared" si="4"/>
        <v>u=40%, k=2x10^8</v>
      </c>
      <c r="BD142">
        <f t="shared" si="5"/>
        <v>1</v>
      </c>
    </row>
    <row r="143" spans="1:56">
      <c r="A143" t="s">
        <v>219</v>
      </c>
      <c r="B143" t="s">
        <v>63</v>
      </c>
      <c r="C143">
        <v>72</v>
      </c>
      <c r="D143" t="s">
        <v>64</v>
      </c>
      <c r="E143" t="s">
        <v>59</v>
      </c>
      <c r="F143" t="s">
        <v>60</v>
      </c>
      <c r="G143">
        <v>2000</v>
      </c>
      <c r="H143">
        <v>20</v>
      </c>
      <c r="I143">
        <v>20</v>
      </c>
      <c r="J143">
        <v>0</v>
      </c>
      <c r="K143">
        <v>1</v>
      </c>
      <c r="L143">
        <v>200000000</v>
      </c>
      <c r="M143">
        <v>190</v>
      </c>
      <c r="N143">
        <v>190</v>
      </c>
      <c r="O143">
        <v>190</v>
      </c>
      <c r="P143">
        <v>0</v>
      </c>
      <c r="Q143" t="s">
        <v>61</v>
      </c>
      <c r="R143">
        <v>9998587317612430</v>
      </c>
      <c r="S143">
        <v>99989274</v>
      </c>
      <c r="T143">
        <v>9998587317612430</v>
      </c>
      <c r="U143">
        <v>99989274</v>
      </c>
      <c r="V143" t="s">
        <v>71</v>
      </c>
      <c r="W143">
        <v>7</v>
      </c>
      <c r="X143">
        <v>13767694</v>
      </c>
      <c r="Y143">
        <v>115639801</v>
      </c>
      <c r="Z143">
        <v>129407495</v>
      </c>
      <c r="AA143">
        <v>99989274</v>
      </c>
      <c r="AB143">
        <v>9.3993599999999997</v>
      </c>
      <c r="AC143">
        <v>0.86466100000000001</v>
      </c>
      <c r="AD143">
        <v>1.77267</v>
      </c>
      <c r="AE143">
        <v>4.0569300000000004</v>
      </c>
      <c r="AF143">
        <v>2953593856</v>
      </c>
      <c r="AG143" t="s">
        <v>339</v>
      </c>
      <c r="AH143" t="s">
        <v>340</v>
      </c>
      <c r="AI143">
        <v>28704</v>
      </c>
      <c r="AJ143">
        <v>1074</v>
      </c>
      <c r="AM143">
        <v>96337089</v>
      </c>
      <c r="AN143">
        <v>0</v>
      </c>
      <c r="AO143">
        <v>64215594</v>
      </c>
      <c r="AP143">
        <v>96337089</v>
      </c>
      <c r="AQ143">
        <v>160552683</v>
      </c>
      <c r="AR143">
        <v>48168544</v>
      </c>
      <c r="AS143">
        <v>0</v>
      </c>
      <c r="AT143">
        <v>32107797</v>
      </c>
      <c r="AU143">
        <v>48168544</v>
      </c>
      <c r="AV143">
        <v>80276341</v>
      </c>
      <c r="AW143">
        <v>28.747499999999999</v>
      </c>
      <c r="AX143">
        <v>15.0167</v>
      </c>
      <c r="AY143">
        <v>4840.08</v>
      </c>
      <c r="AZ143">
        <v>3558.41</v>
      </c>
      <c r="BA143">
        <v>13895</v>
      </c>
      <c r="BB143">
        <v>1119</v>
      </c>
      <c r="BC143" t="str">
        <f t="shared" si="4"/>
        <v>u=40%, k=2x10^8</v>
      </c>
      <c r="BD143">
        <f t="shared" si="5"/>
        <v>2</v>
      </c>
    </row>
    <row r="144" spans="1:56">
      <c r="A144" t="s">
        <v>222</v>
      </c>
      <c r="B144" t="s">
        <v>63</v>
      </c>
      <c r="C144">
        <v>72</v>
      </c>
      <c r="D144" t="s">
        <v>64</v>
      </c>
      <c r="E144" t="s">
        <v>59</v>
      </c>
      <c r="F144" t="s">
        <v>60</v>
      </c>
      <c r="G144">
        <v>4000</v>
      </c>
      <c r="H144">
        <v>20</v>
      </c>
      <c r="I144">
        <v>20</v>
      </c>
      <c r="J144">
        <v>0</v>
      </c>
      <c r="K144">
        <v>1</v>
      </c>
      <c r="L144">
        <v>200000000</v>
      </c>
      <c r="M144">
        <v>190</v>
      </c>
      <c r="N144">
        <v>190</v>
      </c>
      <c r="O144">
        <v>190</v>
      </c>
      <c r="P144">
        <v>0</v>
      </c>
      <c r="Q144" t="s">
        <v>61</v>
      </c>
      <c r="R144">
        <v>1.00007347382045E+16</v>
      </c>
      <c r="S144">
        <v>100006365</v>
      </c>
      <c r="T144">
        <v>1.00007347382045E+16</v>
      </c>
      <c r="U144">
        <v>100006365</v>
      </c>
      <c r="V144" t="s">
        <v>71</v>
      </c>
      <c r="W144">
        <v>7</v>
      </c>
      <c r="X144">
        <v>14103832</v>
      </c>
      <c r="Y144">
        <v>116424536</v>
      </c>
      <c r="Z144">
        <v>130528368</v>
      </c>
      <c r="AA144">
        <v>100006365</v>
      </c>
      <c r="AB144">
        <v>9.2548200000000005</v>
      </c>
      <c r="AC144">
        <v>0.85897999999999997</v>
      </c>
      <c r="AD144">
        <v>1.76617</v>
      </c>
      <c r="AE144">
        <v>4.0619199999999998</v>
      </c>
      <c r="AF144">
        <v>2994441296</v>
      </c>
      <c r="AG144" t="s">
        <v>341</v>
      </c>
      <c r="AH144" t="s">
        <v>342</v>
      </c>
      <c r="AI144">
        <v>59944</v>
      </c>
      <c r="AJ144">
        <v>2382</v>
      </c>
      <c r="AM144">
        <v>215606451</v>
      </c>
      <c r="AN144">
        <v>0</v>
      </c>
      <c r="AO144">
        <v>143741640</v>
      </c>
      <c r="AP144">
        <v>215606451</v>
      </c>
      <c r="AQ144">
        <v>359348091</v>
      </c>
      <c r="AR144">
        <v>53901612</v>
      </c>
      <c r="AS144">
        <v>0</v>
      </c>
      <c r="AT144">
        <v>35935410</v>
      </c>
      <c r="AU144">
        <v>53901612</v>
      </c>
      <c r="AV144">
        <v>89837022</v>
      </c>
      <c r="AW144">
        <v>29.162400000000002</v>
      </c>
      <c r="AX144">
        <v>15.5794</v>
      </c>
      <c r="AY144">
        <v>5073</v>
      </c>
      <c r="AZ144">
        <v>3742.76</v>
      </c>
      <c r="BA144">
        <v>14373</v>
      </c>
      <c r="BB144">
        <v>1150</v>
      </c>
      <c r="BC144" t="str">
        <f t="shared" si="4"/>
        <v>u=40%, k=2x10^8</v>
      </c>
      <c r="BD144">
        <f t="shared" si="5"/>
        <v>4</v>
      </c>
    </row>
    <row r="145" spans="1:56">
      <c r="A145" t="s">
        <v>225</v>
      </c>
      <c r="B145" t="s">
        <v>63</v>
      </c>
      <c r="C145">
        <v>72</v>
      </c>
      <c r="D145" t="s">
        <v>64</v>
      </c>
      <c r="E145" t="s">
        <v>59</v>
      </c>
      <c r="F145" t="s">
        <v>60</v>
      </c>
      <c r="G145">
        <v>8000</v>
      </c>
      <c r="H145">
        <v>20</v>
      </c>
      <c r="I145">
        <v>20</v>
      </c>
      <c r="J145">
        <v>0</v>
      </c>
      <c r="K145">
        <v>1</v>
      </c>
      <c r="L145">
        <v>200000000</v>
      </c>
      <c r="M145">
        <v>190</v>
      </c>
      <c r="N145">
        <v>190</v>
      </c>
      <c r="O145">
        <v>190</v>
      </c>
      <c r="P145">
        <v>0</v>
      </c>
      <c r="Q145" t="s">
        <v>61</v>
      </c>
      <c r="R145">
        <v>1.00006217175467E+16</v>
      </c>
      <c r="S145">
        <v>100004431</v>
      </c>
      <c r="T145">
        <v>1.00006217175467E+16</v>
      </c>
      <c r="U145">
        <v>100004431</v>
      </c>
      <c r="V145" t="s">
        <v>71</v>
      </c>
      <c r="W145">
        <v>7</v>
      </c>
      <c r="X145">
        <v>14946214</v>
      </c>
      <c r="Y145">
        <v>118279500</v>
      </c>
      <c r="Z145">
        <v>133225714</v>
      </c>
      <c r="AA145">
        <v>100004431</v>
      </c>
      <c r="AB145">
        <v>8.9136799999999994</v>
      </c>
      <c r="AC145">
        <v>0.84549300000000005</v>
      </c>
      <c r="AD145">
        <v>1.75064</v>
      </c>
      <c r="AE145">
        <v>4.0819900000000002</v>
      </c>
      <c r="AF145">
        <v>3092471040</v>
      </c>
      <c r="AG145" t="s">
        <v>343</v>
      </c>
      <c r="AH145" t="s">
        <v>344</v>
      </c>
      <c r="AI145">
        <v>134711</v>
      </c>
      <c r="AJ145">
        <v>4150</v>
      </c>
      <c r="AM145">
        <v>425428142</v>
      </c>
      <c r="AN145">
        <v>0</v>
      </c>
      <c r="AO145">
        <v>283596873</v>
      </c>
      <c r="AP145">
        <v>425428142</v>
      </c>
      <c r="AQ145">
        <v>709025015</v>
      </c>
      <c r="AR145">
        <v>53178517</v>
      </c>
      <c r="AS145">
        <v>0</v>
      </c>
      <c r="AT145">
        <v>35449609</v>
      </c>
      <c r="AU145">
        <v>53178517</v>
      </c>
      <c r="AV145">
        <v>88628126</v>
      </c>
      <c r="AW145">
        <v>30.4862</v>
      </c>
      <c r="AX145">
        <v>16.686</v>
      </c>
      <c r="AY145">
        <v>5385.47</v>
      </c>
      <c r="AZ145">
        <v>3997.02</v>
      </c>
      <c r="BA145">
        <v>14386</v>
      </c>
      <c r="BB145">
        <v>1082</v>
      </c>
      <c r="BC145" t="str">
        <f t="shared" si="4"/>
        <v>u=40%, k=2x10^8</v>
      </c>
      <c r="BD145">
        <f t="shared" si="5"/>
        <v>8</v>
      </c>
    </row>
    <row r="146" spans="1:56">
      <c r="A146" t="s">
        <v>228</v>
      </c>
      <c r="B146" t="s">
        <v>63</v>
      </c>
      <c r="C146">
        <v>72</v>
      </c>
      <c r="D146" t="s">
        <v>64</v>
      </c>
      <c r="E146" t="s">
        <v>59</v>
      </c>
      <c r="F146" t="s">
        <v>60</v>
      </c>
      <c r="G146">
        <v>16000</v>
      </c>
      <c r="H146">
        <v>20</v>
      </c>
      <c r="I146">
        <v>20</v>
      </c>
      <c r="J146">
        <v>0</v>
      </c>
      <c r="K146">
        <v>1</v>
      </c>
      <c r="L146">
        <v>200000000</v>
      </c>
      <c r="M146">
        <v>190</v>
      </c>
      <c r="N146">
        <v>190</v>
      </c>
      <c r="O146">
        <v>190</v>
      </c>
      <c r="P146">
        <v>0</v>
      </c>
      <c r="Q146" t="s">
        <v>61</v>
      </c>
      <c r="R146">
        <v>1.00003341889878E+16</v>
      </c>
      <c r="S146">
        <v>100003766</v>
      </c>
      <c r="T146">
        <v>1.00003341889878E+16</v>
      </c>
      <c r="U146">
        <v>100003766</v>
      </c>
      <c r="V146" t="s">
        <v>71</v>
      </c>
      <c r="W146">
        <v>7</v>
      </c>
      <c r="X146">
        <v>12729160</v>
      </c>
      <c r="Y146">
        <v>113514101</v>
      </c>
      <c r="Z146">
        <v>126243261</v>
      </c>
      <c r="AA146">
        <v>100003766</v>
      </c>
      <c r="AB146">
        <v>9.9176400000000005</v>
      </c>
      <c r="AC146">
        <v>0.88098100000000001</v>
      </c>
      <c r="AD146">
        <v>1.7921499999999999</v>
      </c>
      <c r="AE146">
        <v>4.0335799999999997</v>
      </c>
      <c r="AF146">
        <v>2836224160</v>
      </c>
      <c r="AG146" t="s">
        <v>345</v>
      </c>
      <c r="AH146" t="s">
        <v>346</v>
      </c>
      <c r="AI146">
        <v>272409</v>
      </c>
      <c r="AJ146">
        <v>7328</v>
      </c>
      <c r="AM146">
        <v>818275795</v>
      </c>
      <c r="AN146">
        <v>0</v>
      </c>
      <c r="AO146">
        <v>545522898</v>
      </c>
      <c r="AP146">
        <v>818275795</v>
      </c>
      <c r="AQ146">
        <v>1363798693</v>
      </c>
      <c r="AR146">
        <v>51142237</v>
      </c>
      <c r="AS146">
        <v>0</v>
      </c>
      <c r="AT146">
        <v>34095181</v>
      </c>
      <c r="AU146">
        <v>51142237</v>
      </c>
      <c r="AV146">
        <v>85237418</v>
      </c>
      <c r="AW146">
        <v>31.104199999999999</v>
      </c>
      <c r="AX146">
        <v>17.271799999999999</v>
      </c>
      <c r="AY146">
        <v>5581.4</v>
      </c>
      <c r="AZ146">
        <v>4144.1499999999996</v>
      </c>
      <c r="BA146">
        <v>14437</v>
      </c>
      <c r="BB146">
        <v>1238</v>
      </c>
      <c r="BC146" t="str">
        <f t="shared" si="4"/>
        <v>u=40%, k=2x10^8</v>
      </c>
      <c r="BD146">
        <f t="shared" si="5"/>
        <v>16</v>
      </c>
    </row>
    <row r="147" spans="1:56">
      <c r="A147" t="s">
        <v>231</v>
      </c>
      <c r="B147" t="s">
        <v>63</v>
      </c>
      <c r="C147">
        <v>72</v>
      </c>
      <c r="D147" t="s">
        <v>64</v>
      </c>
      <c r="E147" t="s">
        <v>59</v>
      </c>
      <c r="F147" t="s">
        <v>60</v>
      </c>
      <c r="G147">
        <v>32000</v>
      </c>
      <c r="H147">
        <v>20</v>
      </c>
      <c r="I147">
        <v>20</v>
      </c>
      <c r="J147">
        <v>0</v>
      </c>
      <c r="K147">
        <v>1</v>
      </c>
      <c r="L147">
        <v>200000000</v>
      </c>
      <c r="M147">
        <v>190</v>
      </c>
      <c r="N147">
        <v>190</v>
      </c>
      <c r="O147">
        <v>190</v>
      </c>
      <c r="P147">
        <v>0</v>
      </c>
      <c r="Q147" t="s">
        <v>61</v>
      </c>
      <c r="R147">
        <v>9998894907310380</v>
      </c>
      <c r="S147">
        <v>99994218</v>
      </c>
      <c r="T147">
        <v>9998894907310380</v>
      </c>
      <c r="U147">
        <v>99994218</v>
      </c>
      <c r="V147" t="s">
        <v>71</v>
      </c>
      <c r="W147">
        <v>7</v>
      </c>
      <c r="X147">
        <v>14833461</v>
      </c>
      <c r="Y147">
        <v>117993531</v>
      </c>
      <c r="Z147">
        <v>132826992</v>
      </c>
      <c r="AA147">
        <v>99994218</v>
      </c>
      <c r="AB147">
        <v>8.9545499999999993</v>
      </c>
      <c r="AC147">
        <v>0.84745499999999996</v>
      </c>
      <c r="AD147">
        <v>1.75282</v>
      </c>
      <c r="AE147">
        <v>4.0798300000000003</v>
      </c>
      <c r="AF147">
        <v>3078436352</v>
      </c>
      <c r="AG147" t="s">
        <v>347</v>
      </c>
      <c r="AH147" t="s">
        <v>348</v>
      </c>
      <c r="AI147">
        <v>542254</v>
      </c>
      <c r="AJ147">
        <v>13522</v>
      </c>
      <c r="AM147">
        <v>1615806870</v>
      </c>
      <c r="AN147">
        <v>0</v>
      </c>
      <c r="AO147">
        <v>1077184107</v>
      </c>
      <c r="AP147">
        <v>1615806870</v>
      </c>
      <c r="AQ147">
        <v>2692990977</v>
      </c>
      <c r="AR147">
        <v>50493964</v>
      </c>
      <c r="AS147">
        <v>0</v>
      </c>
      <c r="AT147">
        <v>33662003</v>
      </c>
      <c r="AU147">
        <v>50493964</v>
      </c>
      <c r="AV147">
        <v>84155968</v>
      </c>
      <c r="AW147">
        <v>31.337299999999999</v>
      </c>
      <c r="AX147">
        <v>17.519300000000001</v>
      </c>
      <c r="AY147">
        <v>5638.45</v>
      </c>
      <c r="AZ147">
        <v>4186.7</v>
      </c>
      <c r="BA147">
        <v>14496</v>
      </c>
      <c r="BB147">
        <v>1284</v>
      </c>
      <c r="BC147" t="str">
        <f t="shared" si="4"/>
        <v>u=40%, k=2x10^8</v>
      </c>
      <c r="BD147">
        <f t="shared" si="5"/>
        <v>32</v>
      </c>
    </row>
    <row r="148" spans="1:56">
      <c r="A148" t="s">
        <v>234</v>
      </c>
      <c r="B148" t="s">
        <v>63</v>
      </c>
      <c r="C148">
        <v>72</v>
      </c>
      <c r="D148" t="s">
        <v>64</v>
      </c>
      <c r="E148" t="s">
        <v>59</v>
      </c>
      <c r="F148" t="s">
        <v>60</v>
      </c>
      <c r="G148">
        <v>64000</v>
      </c>
      <c r="H148">
        <v>20</v>
      </c>
      <c r="I148">
        <v>20</v>
      </c>
      <c r="J148">
        <v>0</v>
      </c>
      <c r="K148">
        <v>1</v>
      </c>
      <c r="L148">
        <v>200000000</v>
      </c>
      <c r="M148">
        <v>190</v>
      </c>
      <c r="N148">
        <v>190</v>
      </c>
      <c r="O148">
        <v>190</v>
      </c>
      <c r="P148">
        <v>0</v>
      </c>
      <c r="Q148" t="s">
        <v>61</v>
      </c>
      <c r="R148">
        <v>9999728793491440</v>
      </c>
      <c r="S148">
        <v>99999305</v>
      </c>
      <c r="T148">
        <v>9999728793491440</v>
      </c>
      <c r="U148">
        <v>99999305</v>
      </c>
      <c r="V148" t="s">
        <v>71</v>
      </c>
      <c r="W148">
        <v>7</v>
      </c>
      <c r="X148">
        <v>14667118</v>
      </c>
      <c r="Y148">
        <v>117649631</v>
      </c>
      <c r="Z148">
        <v>132316749</v>
      </c>
      <c r="AA148">
        <v>99999305</v>
      </c>
      <c r="AB148">
        <v>9.0213199999999993</v>
      </c>
      <c r="AC148">
        <v>0.84997599999999995</v>
      </c>
      <c r="AD148">
        <v>1.75576</v>
      </c>
      <c r="AE148">
        <v>4.0745199999999997</v>
      </c>
      <c r="AF148">
        <v>3059839744</v>
      </c>
      <c r="AG148" t="s">
        <v>349</v>
      </c>
      <c r="AH148" t="s">
        <v>350</v>
      </c>
      <c r="AI148">
        <v>1068608</v>
      </c>
      <c r="AJ148">
        <v>26240</v>
      </c>
      <c r="AM148">
        <v>3211272908</v>
      </c>
      <c r="AN148">
        <v>0</v>
      </c>
      <c r="AO148">
        <v>2140909856</v>
      </c>
      <c r="AP148">
        <v>3211272908</v>
      </c>
      <c r="AQ148">
        <v>5352182764</v>
      </c>
      <c r="AR148">
        <v>50176139</v>
      </c>
      <c r="AS148">
        <v>0</v>
      </c>
      <c r="AT148">
        <v>33451716</v>
      </c>
      <c r="AU148">
        <v>50176139</v>
      </c>
      <c r="AV148">
        <v>83627855</v>
      </c>
      <c r="AW148">
        <v>31.4436</v>
      </c>
      <c r="AX148">
        <v>17.613600000000002</v>
      </c>
      <c r="AY148">
        <v>5677.3</v>
      </c>
      <c r="AZ148">
        <v>4216.8599999999997</v>
      </c>
      <c r="BA148">
        <v>14441</v>
      </c>
      <c r="BB148">
        <v>1180</v>
      </c>
      <c r="BC148" t="str">
        <f t="shared" si="4"/>
        <v>u=40%, k=2x10^8</v>
      </c>
      <c r="BD148">
        <f t="shared" si="5"/>
        <v>64</v>
      </c>
    </row>
    <row r="149" spans="1:56">
      <c r="A149" t="s">
        <v>237</v>
      </c>
      <c r="B149" t="s">
        <v>300</v>
      </c>
      <c r="C149">
        <v>208</v>
      </c>
      <c r="D149" t="s">
        <v>64</v>
      </c>
      <c r="E149" t="s">
        <v>59</v>
      </c>
      <c r="F149" t="s">
        <v>60</v>
      </c>
      <c r="G149">
        <v>1000</v>
      </c>
      <c r="H149">
        <v>20</v>
      </c>
      <c r="I149">
        <v>20</v>
      </c>
      <c r="J149">
        <v>0</v>
      </c>
      <c r="K149">
        <v>1</v>
      </c>
      <c r="L149">
        <v>200000000</v>
      </c>
      <c r="M149">
        <v>190</v>
      </c>
      <c r="N149">
        <v>190</v>
      </c>
      <c r="O149">
        <v>190</v>
      </c>
      <c r="P149">
        <v>0</v>
      </c>
      <c r="Q149" t="s">
        <v>61</v>
      </c>
      <c r="R149">
        <v>9999984856511490</v>
      </c>
      <c r="S149">
        <v>100001009</v>
      </c>
      <c r="T149">
        <v>9999984856511490</v>
      </c>
      <c r="U149">
        <v>100001009</v>
      </c>
      <c r="V149" t="s">
        <v>71</v>
      </c>
      <c r="W149">
        <v>10</v>
      </c>
      <c r="X149">
        <v>1956232</v>
      </c>
      <c r="Y149">
        <v>13454733</v>
      </c>
      <c r="Z149">
        <v>15410965</v>
      </c>
      <c r="AA149">
        <v>100001009</v>
      </c>
      <c r="AB149">
        <v>7.8778800000000002</v>
      </c>
      <c r="AC149">
        <v>7.4324000000000003</v>
      </c>
      <c r="AD149">
        <v>7.48895</v>
      </c>
      <c r="AE149">
        <v>9</v>
      </c>
      <c r="AF149">
        <v>3205480720</v>
      </c>
      <c r="AJ149" t="s">
        <v>351</v>
      </c>
      <c r="AM149">
        <v>45256270</v>
      </c>
      <c r="AN149">
        <v>0</v>
      </c>
      <c r="AO149">
        <v>30178382</v>
      </c>
      <c r="AP149">
        <v>45256270</v>
      </c>
      <c r="AQ149">
        <v>75434652</v>
      </c>
      <c r="AR149">
        <v>45256270</v>
      </c>
      <c r="AS149">
        <v>0</v>
      </c>
      <c r="AT149">
        <v>30178382</v>
      </c>
      <c r="AU149">
        <v>45256270</v>
      </c>
      <c r="AV149">
        <v>75434652</v>
      </c>
      <c r="AW149">
        <v>28.806100000000001</v>
      </c>
      <c r="AX149">
        <v>13.264699999999999</v>
      </c>
      <c r="AY149">
        <v>5981.63</v>
      </c>
      <c r="AZ149">
        <v>3470.66</v>
      </c>
      <c r="BA149">
        <v>6750</v>
      </c>
      <c r="BB149">
        <v>6101</v>
      </c>
      <c r="BC149" t="str">
        <f t="shared" si="4"/>
        <v>u=40%, k=2x10^8</v>
      </c>
      <c r="BD149">
        <f t="shared" si="5"/>
        <v>1</v>
      </c>
    </row>
    <row r="150" spans="1:56">
      <c r="A150" t="s">
        <v>239</v>
      </c>
      <c r="B150" t="s">
        <v>300</v>
      </c>
      <c r="C150">
        <v>208</v>
      </c>
      <c r="D150" t="s">
        <v>64</v>
      </c>
      <c r="E150" t="s">
        <v>59</v>
      </c>
      <c r="F150" t="s">
        <v>60</v>
      </c>
      <c r="G150">
        <v>2000</v>
      </c>
      <c r="H150">
        <v>20</v>
      </c>
      <c r="I150">
        <v>20</v>
      </c>
      <c r="J150">
        <v>0</v>
      </c>
      <c r="K150">
        <v>1</v>
      </c>
      <c r="L150">
        <v>200000000</v>
      </c>
      <c r="M150">
        <v>190</v>
      </c>
      <c r="N150">
        <v>190</v>
      </c>
      <c r="O150">
        <v>190</v>
      </c>
      <c r="P150">
        <v>0</v>
      </c>
      <c r="Q150" t="s">
        <v>61</v>
      </c>
      <c r="R150">
        <v>1.0000007776908E+16</v>
      </c>
      <c r="S150">
        <v>99996139</v>
      </c>
      <c r="T150">
        <v>1.0000007776908E+16</v>
      </c>
      <c r="U150">
        <v>99996139</v>
      </c>
      <c r="V150" t="s">
        <v>71</v>
      </c>
      <c r="W150">
        <v>10</v>
      </c>
      <c r="X150">
        <v>2045473</v>
      </c>
      <c r="Y150">
        <v>14071586</v>
      </c>
      <c r="Z150">
        <v>16117059</v>
      </c>
      <c r="AA150">
        <v>99996139</v>
      </c>
      <c r="AB150">
        <v>7.8793800000000003</v>
      </c>
      <c r="AC150">
        <v>7.1062500000000002</v>
      </c>
      <c r="AD150">
        <v>7.2043699999999999</v>
      </c>
      <c r="AE150">
        <v>9</v>
      </c>
      <c r="AF150">
        <v>3352348272</v>
      </c>
      <c r="AJ150" t="s">
        <v>352</v>
      </c>
      <c r="AM150">
        <v>108808314</v>
      </c>
      <c r="AN150">
        <v>0</v>
      </c>
      <c r="AO150">
        <v>72536867</v>
      </c>
      <c r="AP150">
        <v>108808314</v>
      </c>
      <c r="AQ150">
        <v>181345181</v>
      </c>
      <c r="AR150">
        <v>54404157</v>
      </c>
      <c r="AS150">
        <v>0</v>
      </c>
      <c r="AT150">
        <v>36268433</v>
      </c>
      <c r="AU150">
        <v>54404157</v>
      </c>
      <c r="AV150">
        <v>90672590</v>
      </c>
      <c r="AW150">
        <v>28.892099999999999</v>
      </c>
      <c r="AX150">
        <v>13.551</v>
      </c>
      <c r="AY150">
        <v>5429.45</v>
      </c>
      <c r="AZ150">
        <v>3489.31</v>
      </c>
      <c r="BA150">
        <v>7837</v>
      </c>
      <c r="BB150">
        <v>5980</v>
      </c>
      <c r="BC150" t="str">
        <f t="shared" ref="BC150:BC213" si="6">"u="&amp;(H150+I150)&amp;"%, k=2x10^"&amp;LOG10(L150/2)</f>
        <v>u=40%, k=2x10^8</v>
      </c>
      <c r="BD150">
        <f t="shared" ref="BD150:BD213" si="7">G150/1000</f>
        <v>2</v>
      </c>
    </row>
    <row r="151" spans="1:56">
      <c r="A151" t="s">
        <v>241</v>
      </c>
      <c r="B151" t="s">
        <v>300</v>
      </c>
      <c r="C151">
        <v>208</v>
      </c>
      <c r="D151" t="s">
        <v>64</v>
      </c>
      <c r="E151" t="s">
        <v>59</v>
      </c>
      <c r="F151" t="s">
        <v>60</v>
      </c>
      <c r="G151">
        <v>4000</v>
      </c>
      <c r="H151">
        <v>20</v>
      </c>
      <c r="I151">
        <v>20</v>
      </c>
      <c r="J151">
        <v>0</v>
      </c>
      <c r="K151">
        <v>1</v>
      </c>
      <c r="L151">
        <v>200000000</v>
      </c>
      <c r="M151">
        <v>190</v>
      </c>
      <c r="N151">
        <v>190</v>
      </c>
      <c r="O151">
        <v>190</v>
      </c>
      <c r="P151">
        <v>0</v>
      </c>
      <c r="Q151" t="s">
        <v>61</v>
      </c>
      <c r="R151">
        <v>1.00003391260457E+16</v>
      </c>
      <c r="S151">
        <v>100001050</v>
      </c>
      <c r="T151">
        <v>1.00003391260457E+16</v>
      </c>
      <c r="U151">
        <v>100001050</v>
      </c>
      <c r="V151" t="s">
        <v>71</v>
      </c>
      <c r="W151">
        <v>10</v>
      </c>
      <c r="X151">
        <v>2160882</v>
      </c>
      <c r="Y151">
        <v>14864292</v>
      </c>
      <c r="Z151">
        <v>17025174</v>
      </c>
      <c r="AA151">
        <v>100001050</v>
      </c>
      <c r="AB151">
        <v>7.8788099999999996</v>
      </c>
      <c r="AC151">
        <v>6.7275999999999998</v>
      </c>
      <c r="AD151">
        <v>6.8737199999999996</v>
      </c>
      <c r="AE151">
        <v>9</v>
      </c>
      <c r="AF151">
        <v>3541236192</v>
      </c>
      <c r="AJ151" t="s">
        <v>353</v>
      </c>
      <c r="AM151">
        <v>228089387</v>
      </c>
      <c r="AN151">
        <v>0</v>
      </c>
      <c r="AO151">
        <v>152017938</v>
      </c>
      <c r="AP151">
        <v>228089387</v>
      </c>
      <c r="AQ151">
        <v>380107325</v>
      </c>
      <c r="AR151">
        <v>57022346</v>
      </c>
      <c r="AS151">
        <v>0</v>
      </c>
      <c r="AT151">
        <v>38004484</v>
      </c>
      <c r="AU151">
        <v>57022346</v>
      </c>
      <c r="AV151">
        <v>95026831</v>
      </c>
      <c r="AW151">
        <v>29.029399999999999</v>
      </c>
      <c r="AX151">
        <v>13.782999999999999</v>
      </c>
      <c r="AY151">
        <v>5372.17</v>
      </c>
      <c r="AZ151">
        <v>3519.74</v>
      </c>
      <c r="BA151">
        <v>8570</v>
      </c>
      <c r="BB151">
        <v>6070</v>
      </c>
      <c r="BC151" t="str">
        <f t="shared" si="6"/>
        <v>u=40%, k=2x10^8</v>
      </c>
      <c r="BD151">
        <f t="shared" si="7"/>
        <v>4</v>
      </c>
    </row>
    <row r="152" spans="1:56">
      <c r="A152" t="s">
        <v>243</v>
      </c>
      <c r="B152" t="s">
        <v>300</v>
      </c>
      <c r="C152">
        <v>208</v>
      </c>
      <c r="D152" t="s">
        <v>64</v>
      </c>
      <c r="E152" t="s">
        <v>59</v>
      </c>
      <c r="F152" t="s">
        <v>60</v>
      </c>
      <c r="G152">
        <v>8000</v>
      </c>
      <c r="H152">
        <v>20</v>
      </c>
      <c r="I152">
        <v>20</v>
      </c>
      <c r="J152">
        <v>0</v>
      </c>
      <c r="K152">
        <v>1</v>
      </c>
      <c r="L152">
        <v>200000000</v>
      </c>
      <c r="M152">
        <v>190</v>
      </c>
      <c r="N152">
        <v>190</v>
      </c>
      <c r="O152">
        <v>190</v>
      </c>
      <c r="P152">
        <v>0</v>
      </c>
      <c r="Q152" t="s">
        <v>61</v>
      </c>
      <c r="R152">
        <v>9999724044540220</v>
      </c>
      <c r="S152">
        <v>99996965</v>
      </c>
      <c r="T152">
        <v>9999724044540220</v>
      </c>
      <c r="U152">
        <v>99996965</v>
      </c>
      <c r="V152" t="s">
        <v>71</v>
      </c>
      <c r="W152">
        <v>10</v>
      </c>
      <c r="X152">
        <v>2312007</v>
      </c>
      <c r="Y152">
        <v>15898480</v>
      </c>
      <c r="Z152">
        <v>18210487</v>
      </c>
      <c r="AA152">
        <v>99996965</v>
      </c>
      <c r="AB152">
        <v>7.8764799999999999</v>
      </c>
      <c r="AC152">
        <v>6.28972</v>
      </c>
      <c r="AD152">
        <v>6.4911700000000003</v>
      </c>
      <c r="AE152">
        <v>9</v>
      </c>
      <c r="AF152">
        <v>3787781296</v>
      </c>
      <c r="AJ152" t="s">
        <v>354</v>
      </c>
      <c r="AM152">
        <v>463510518</v>
      </c>
      <c r="AN152">
        <v>0</v>
      </c>
      <c r="AO152">
        <v>309010752</v>
      </c>
      <c r="AP152">
        <v>463510518</v>
      </c>
      <c r="AQ152">
        <v>772521270</v>
      </c>
      <c r="AR152">
        <v>57938814</v>
      </c>
      <c r="AS152">
        <v>0</v>
      </c>
      <c r="AT152">
        <v>38626344</v>
      </c>
      <c r="AU152">
        <v>57938814</v>
      </c>
      <c r="AV152">
        <v>96565158</v>
      </c>
      <c r="AW152">
        <v>29.125599999999999</v>
      </c>
      <c r="AX152">
        <v>13.8461</v>
      </c>
      <c r="AY152">
        <v>5374.49</v>
      </c>
      <c r="AZ152">
        <v>3529.26</v>
      </c>
      <c r="BA152">
        <v>9073</v>
      </c>
      <c r="BB152">
        <v>5960</v>
      </c>
      <c r="BC152" t="str">
        <f t="shared" si="6"/>
        <v>u=40%, k=2x10^8</v>
      </c>
      <c r="BD152">
        <f t="shared" si="7"/>
        <v>8</v>
      </c>
    </row>
    <row r="153" spans="1:56">
      <c r="A153" t="s">
        <v>245</v>
      </c>
      <c r="B153" t="s">
        <v>300</v>
      </c>
      <c r="C153">
        <v>208</v>
      </c>
      <c r="D153" t="s">
        <v>64</v>
      </c>
      <c r="E153" t="s">
        <v>59</v>
      </c>
      <c r="F153" t="s">
        <v>60</v>
      </c>
      <c r="G153">
        <v>16000</v>
      </c>
      <c r="H153">
        <v>20</v>
      </c>
      <c r="I153">
        <v>20</v>
      </c>
      <c r="J153">
        <v>0</v>
      </c>
      <c r="K153">
        <v>1</v>
      </c>
      <c r="L153">
        <v>200000000</v>
      </c>
      <c r="M153">
        <v>190</v>
      </c>
      <c r="N153">
        <v>190</v>
      </c>
      <c r="O153">
        <v>190</v>
      </c>
      <c r="P153">
        <v>0</v>
      </c>
      <c r="Q153" t="s">
        <v>61</v>
      </c>
      <c r="R153">
        <v>9998773348609680</v>
      </c>
      <c r="S153">
        <v>99988727</v>
      </c>
      <c r="T153">
        <v>9998773348609680</v>
      </c>
      <c r="U153">
        <v>99988727</v>
      </c>
      <c r="V153" t="s">
        <v>71</v>
      </c>
      <c r="W153">
        <v>11</v>
      </c>
      <c r="X153">
        <v>2489930</v>
      </c>
      <c r="Y153">
        <v>17099237</v>
      </c>
      <c r="Z153">
        <v>19589167</v>
      </c>
      <c r="AA153">
        <v>99988727</v>
      </c>
      <c r="AB153">
        <v>7.8673599999999997</v>
      </c>
      <c r="AC153">
        <v>5.84755</v>
      </c>
      <c r="AD153">
        <v>6.1042899999999998</v>
      </c>
      <c r="AE153">
        <v>10</v>
      </c>
      <c r="AF153">
        <v>4074546736</v>
      </c>
      <c r="AJ153" t="s">
        <v>355</v>
      </c>
      <c r="AM153">
        <v>926170302</v>
      </c>
      <c r="AN153">
        <v>0</v>
      </c>
      <c r="AO153">
        <v>617410909</v>
      </c>
      <c r="AP153">
        <v>926170302</v>
      </c>
      <c r="AQ153">
        <v>1543581211</v>
      </c>
      <c r="AR153">
        <v>57885643</v>
      </c>
      <c r="AS153">
        <v>0</v>
      </c>
      <c r="AT153">
        <v>38588181</v>
      </c>
      <c r="AU153">
        <v>57885643</v>
      </c>
      <c r="AV153">
        <v>96473825</v>
      </c>
      <c r="AW153">
        <v>29.3246</v>
      </c>
      <c r="AX153">
        <v>13.858499999999999</v>
      </c>
      <c r="AY153">
        <v>5420.49</v>
      </c>
      <c r="AZ153">
        <v>3546.47</v>
      </c>
      <c r="BA153">
        <v>9461</v>
      </c>
      <c r="BB153">
        <v>5983</v>
      </c>
      <c r="BC153" t="str">
        <f t="shared" si="6"/>
        <v>u=40%, k=2x10^8</v>
      </c>
      <c r="BD153">
        <f t="shared" si="7"/>
        <v>16</v>
      </c>
    </row>
    <row r="154" spans="1:56">
      <c r="A154" t="s">
        <v>247</v>
      </c>
      <c r="B154" t="s">
        <v>300</v>
      </c>
      <c r="C154">
        <v>208</v>
      </c>
      <c r="D154" t="s">
        <v>64</v>
      </c>
      <c r="E154" t="s">
        <v>59</v>
      </c>
      <c r="F154" t="s">
        <v>60</v>
      </c>
      <c r="G154">
        <v>32000</v>
      </c>
      <c r="H154">
        <v>20</v>
      </c>
      <c r="I154">
        <v>20</v>
      </c>
      <c r="J154">
        <v>0</v>
      </c>
      <c r="K154">
        <v>1</v>
      </c>
      <c r="L154">
        <v>200000000</v>
      </c>
      <c r="M154">
        <v>190</v>
      </c>
      <c r="N154">
        <v>190</v>
      </c>
      <c r="O154">
        <v>190</v>
      </c>
      <c r="P154">
        <v>0</v>
      </c>
      <c r="Q154" t="s">
        <v>61</v>
      </c>
      <c r="R154">
        <v>9999265650755980</v>
      </c>
      <c r="S154">
        <v>99995071</v>
      </c>
      <c r="T154">
        <v>9999265650755980</v>
      </c>
      <c r="U154">
        <v>99995071</v>
      </c>
      <c r="V154" t="s">
        <v>71</v>
      </c>
      <c r="W154">
        <v>11</v>
      </c>
      <c r="X154">
        <v>2684727</v>
      </c>
      <c r="Y154">
        <v>18328160</v>
      </c>
      <c r="Z154">
        <v>21012887</v>
      </c>
      <c r="AA154">
        <v>99995071</v>
      </c>
      <c r="AB154">
        <v>7.8268199999999997</v>
      </c>
      <c r="AC154">
        <v>5.4558200000000001</v>
      </c>
      <c r="AD154">
        <v>5.75875</v>
      </c>
      <c r="AE154">
        <v>10</v>
      </c>
      <c r="AF154">
        <v>4370680496</v>
      </c>
      <c r="AJ154" t="s">
        <v>356</v>
      </c>
      <c r="AM154">
        <v>1854166501</v>
      </c>
      <c r="AN154">
        <v>0</v>
      </c>
      <c r="AO154">
        <v>1235974271</v>
      </c>
      <c r="AP154">
        <v>1854166501</v>
      </c>
      <c r="AQ154">
        <v>3090140772</v>
      </c>
      <c r="AR154">
        <v>57942703</v>
      </c>
      <c r="AS154">
        <v>0</v>
      </c>
      <c r="AT154">
        <v>38624195</v>
      </c>
      <c r="AU154">
        <v>57942703</v>
      </c>
      <c r="AV154">
        <v>96566899</v>
      </c>
      <c r="AW154">
        <v>29.549299999999999</v>
      </c>
      <c r="AX154">
        <v>13.937799999999999</v>
      </c>
      <c r="AY154">
        <v>5436.62</v>
      </c>
      <c r="AZ154">
        <v>3563.63</v>
      </c>
      <c r="BA154">
        <v>9786</v>
      </c>
      <c r="BB154">
        <v>6021</v>
      </c>
      <c r="BC154" t="str">
        <f t="shared" si="6"/>
        <v>u=40%, k=2x10^8</v>
      </c>
      <c r="BD154">
        <f t="shared" si="7"/>
        <v>32</v>
      </c>
    </row>
    <row r="155" spans="1:56">
      <c r="A155" t="s">
        <v>248</v>
      </c>
      <c r="B155" t="s">
        <v>300</v>
      </c>
      <c r="C155">
        <v>208</v>
      </c>
      <c r="D155" t="s">
        <v>64</v>
      </c>
      <c r="E155" t="s">
        <v>59</v>
      </c>
      <c r="F155" t="s">
        <v>60</v>
      </c>
      <c r="G155">
        <v>64000</v>
      </c>
      <c r="H155">
        <v>20</v>
      </c>
      <c r="I155">
        <v>20</v>
      </c>
      <c r="J155">
        <v>0</v>
      </c>
      <c r="K155">
        <v>1</v>
      </c>
      <c r="L155">
        <v>200000000</v>
      </c>
      <c r="M155">
        <v>190</v>
      </c>
      <c r="N155">
        <v>190</v>
      </c>
      <c r="O155">
        <v>190</v>
      </c>
      <c r="P155">
        <v>0</v>
      </c>
      <c r="Q155" t="s">
        <v>61</v>
      </c>
      <c r="R155">
        <v>9999607404191850</v>
      </c>
      <c r="S155">
        <v>99994398</v>
      </c>
      <c r="T155">
        <v>9999607404191850</v>
      </c>
      <c r="U155">
        <v>99994398</v>
      </c>
      <c r="V155" t="s">
        <v>71</v>
      </c>
      <c r="W155">
        <v>11</v>
      </c>
      <c r="X155">
        <v>2874196</v>
      </c>
      <c r="Y155">
        <v>19273627</v>
      </c>
      <c r="Z155">
        <v>22147823</v>
      </c>
      <c r="AA155">
        <v>99994398</v>
      </c>
      <c r="AB155">
        <v>7.7057500000000001</v>
      </c>
      <c r="AC155">
        <v>5.1881500000000003</v>
      </c>
      <c r="AD155">
        <v>5.5148599999999997</v>
      </c>
      <c r="AE155">
        <v>10</v>
      </c>
      <c r="AF155">
        <v>4606747184</v>
      </c>
      <c r="AJ155" t="s">
        <v>357</v>
      </c>
      <c r="AM155">
        <v>3705235893</v>
      </c>
      <c r="AN155">
        <v>0</v>
      </c>
      <c r="AO155">
        <v>2470294631</v>
      </c>
      <c r="AP155">
        <v>3705235893</v>
      </c>
      <c r="AQ155">
        <v>6175530524</v>
      </c>
      <c r="AR155">
        <v>57894310</v>
      </c>
      <c r="AS155">
        <v>0</v>
      </c>
      <c r="AT155">
        <v>38598353</v>
      </c>
      <c r="AU155">
        <v>57894310</v>
      </c>
      <c r="AV155">
        <v>96492664</v>
      </c>
      <c r="AW155">
        <v>29.691400000000002</v>
      </c>
      <c r="AX155">
        <v>14.058400000000001</v>
      </c>
      <c r="AY155">
        <v>5455.67</v>
      </c>
      <c r="AZ155">
        <v>3572.53</v>
      </c>
      <c r="BA155">
        <v>10071</v>
      </c>
      <c r="BB155">
        <v>6059</v>
      </c>
      <c r="BC155" t="str">
        <f t="shared" si="6"/>
        <v>u=40%, k=2x10^8</v>
      </c>
      <c r="BD155">
        <f t="shared" si="7"/>
        <v>64</v>
      </c>
    </row>
    <row r="156" spans="1:56">
      <c r="A156" t="s">
        <v>250</v>
      </c>
      <c r="B156" t="s">
        <v>105</v>
      </c>
      <c r="D156" t="s">
        <v>64</v>
      </c>
      <c r="E156" t="s">
        <v>59</v>
      </c>
      <c r="F156" t="s">
        <v>60</v>
      </c>
      <c r="G156">
        <v>1000</v>
      </c>
      <c r="H156">
        <v>20</v>
      </c>
      <c r="I156">
        <v>20</v>
      </c>
      <c r="J156">
        <v>0</v>
      </c>
      <c r="K156">
        <v>1</v>
      </c>
      <c r="L156">
        <v>200000000</v>
      </c>
      <c r="M156">
        <v>190</v>
      </c>
      <c r="N156">
        <v>190</v>
      </c>
      <c r="O156">
        <v>190</v>
      </c>
      <c r="P156">
        <v>0</v>
      </c>
      <c r="Q156" t="s">
        <v>61</v>
      </c>
      <c r="R156">
        <v>1.00006046292378E+16</v>
      </c>
      <c r="S156">
        <v>100005568</v>
      </c>
      <c r="T156">
        <v>1.00006046292378E+16</v>
      </c>
      <c r="U156">
        <v>100005568</v>
      </c>
      <c r="V156" t="s">
        <v>71</v>
      </c>
      <c r="W156">
        <v>33</v>
      </c>
      <c r="X156">
        <v>58545867</v>
      </c>
      <c r="Y156">
        <v>44021733</v>
      </c>
      <c r="Z156">
        <v>102567600</v>
      </c>
      <c r="AA156">
        <v>100005568</v>
      </c>
      <c r="AB156">
        <v>1.7519199999999999</v>
      </c>
      <c r="AC156">
        <v>2.2717299999999998</v>
      </c>
      <c r="AD156">
        <v>1.97502</v>
      </c>
      <c r="AE156">
        <v>26.1676</v>
      </c>
      <c r="AF156">
        <v>5743785600</v>
      </c>
      <c r="AJ156" t="s">
        <v>358</v>
      </c>
      <c r="AM156">
        <v>38456114</v>
      </c>
      <c r="AN156">
        <v>0</v>
      </c>
      <c r="AO156">
        <v>25639876</v>
      </c>
      <c r="AP156">
        <v>38456114</v>
      </c>
      <c r="AQ156">
        <v>64095990</v>
      </c>
      <c r="AR156">
        <v>38456114</v>
      </c>
      <c r="AS156">
        <v>0</v>
      </c>
      <c r="AT156">
        <v>25639876</v>
      </c>
      <c r="AU156">
        <v>38456114</v>
      </c>
      <c r="AV156">
        <v>64095990</v>
      </c>
      <c r="AW156">
        <v>43.488500000000002</v>
      </c>
      <c r="AX156">
        <v>20.2394</v>
      </c>
      <c r="AY156">
        <v>8238.58</v>
      </c>
      <c r="AZ156">
        <v>6604.42</v>
      </c>
      <c r="BA156">
        <v>7780</v>
      </c>
      <c r="BB156">
        <v>2762</v>
      </c>
      <c r="BC156" t="str">
        <f t="shared" si="6"/>
        <v>u=40%, k=2x10^8</v>
      </c>
      <c r="BD156">
        <f t="shared" si="7"/>
        <v>1</v>
      </c>
    </row>
    <row r="157" spans="1:56">
      <c r="A157" t="s">
        <v>252</v>
      </c>
      <c r="B157" t="s">
        <v>105</v>
      </c>
      <c r="D157" t="s">
        <v>64</v>
      </c>
      <c r="E157" t="s">
        <v>59</v>
      </c>
      <c r="F157" t="s">
        <v>60</v>
      </c>
      <c r="G157">
        <v>2000</v>
      </c>
      <c r="H157">
        <v>20</v>
      </c>
      <c r="I157">
        <v>20</v>
      </c>
      <c r="J157">
        <v>0</v>
      </c>
      <c r="K157">
        <v>1</v>
      </c>
      <c r="L157">
        <v>200000000</v>
      </c>
      <c r="M157">
        <v>190</v>
      </c>
      <c r="N157">
        <v>190</v>
      </c>
      <c r="O157">
        <v>190</v>
      </c>
      <c r="P157">
        <v>0</v>
      </c>
      <c r="Q157" t="s">
        <v>61</v>
      </c>
      <c r="R157">
        <v>1.00003384284419E+16</v>
      </c>
      <c r="S157">
        <v>100005459</v>
      </c>
      <c r="T157">
        <v>1.00003384284419E+16</v>
      </c>
      <c r="U157">
        <v>100005459</v>
      </c>
      <c r="V157" t="s">
        <v>71</v>
      </c>
      <c r="W157">
        <v>33</v>
      </c>
      <c r="X157">
        <v>59756343</v>
      </c>
      <c r="Y157">
        <v>45011770</v>
      </c>
      <c r="Z157">
        <v>104768113</v>
      </c>
      <c r="AA157">
        <v>100005459</v>
      </c>
      <c r="AB157">
        <v>1.75326</v>
      </c>
      <c r="AC157">
        <v>2.2217600000000002</v>
      </c>
      <c r="AD157">
        <v>1.9545399999999999</v>
      </c>
      <c r="AE157">
        <v>26.2044</v>
      </c>
      <c r="AF157">
        <v>5867014328</v>
      </c>
      <c r="AJ157" t="s">
        <v>359</v>
      </c>
      <c r="AM157">
        <v>76406089</v>
      </c>
      <c r="AN157">
        <v>0</v>
      </c>
      <c r="AO157">
        <v>50929466</v>
      </c>
      <c r="AP157">
        <v>76406089</v>
      </c>
      <c r="AQ157">
        <v>127335555</v>
      </c>
      <c r="AR157">
        <v>38203044</v>
      </c>
      <c r="AS157">
        <v>0</v>
      </c>
      <c r="AT157">
        <v>25464733</v>
      </c>
      <c r="AU157">
        <v>38203044</v>
      </c>
      <c r="AV157">
        <v>63667777</v>
      </c>
      <c r="AW157">
        <v>44.172499999999999</v>
      </c>
      <c r="AX157">
        <v>20.370999999999999</v>
      </c>
      <c r="AY157">
        <v>8297.2000000000007</v>
      </c>
      <c r="AZ157">
        <v>6621.77</v>
      </c>
      <c r="BA157">
        <v>7961</v>
      </c>
      <c r="BB157">
        <v>2774</v>
      </c>
      <c r="BC157" t="str">
        <f t="shared" si="6"/>
        <v>u=40%, k=2x10^8</v>
      </c>
      <c r="BD157">
        <f t="shared" si="7"/>
        <v>2</v>
      </c>
    </row>
    <row r="158" spans="1:56">
      <c r="A158" t="s">
        <v>255</v>
      </c>
      <c r="B158" t="s">
        <v>105</v>
      </c>
      <c r="D158" t="s">
        <v>64</v>
      </c>
      <c r="E158" t="s">
        <v>59</v>
      </c>
      <c r="F158" t="s">
        <v>60</v>
      </c>
      <c r="G158">
        <v>4000</v>
      </c>
      <c r="H158">
        <v>20</v>
      </c>
      <c r="I158">
        <v>20</v>
      </c>
      <c r="J158">
        <v>0</v>
      </c>
      <c r="K158">
        <v>1</v>
      </c>
      <c r="L158">
        <v>200000000</v>
      </c>
      <c r="M158">
        <v>190</v>
      </c>
      <c r="N158">
        <v>190</v>
      </c>
      <c r="O158">
        <v>190</v>
      </c>
      <c r="P158">
        <v>0</v>
      </c>
      <c r="Q158" t="s">
        <v>61</v>
      </c>
      <c r="R158">
        <v>1.0000541915976E+16</v>
      </c>
      <c r="S158">
        <v>100001302</v>
      </c>
      <c r="T158">
        <v>1.0000541915976E+16</v>
      </c>
      <c r="U158">
        <v>100001302</v>
      </c>
      <c r="V158" t="s">
        <v>71</v>
      </c>
      <c r="W158">
        <v>33</v>
      </c>
      <c r="X158">
        <v>61784054</v>
      </c>
      <c r="Y158">
        <v>46642363</v>
      </c>
      <c r="Z158">
        <v>108426417</v>
      </c>
      <c r="AA158">
        <v>100001302</v>
      </c>
      <c r="AB158">
        <v>1.7549300000000001</v>
      </c>
      <c r="AC158">
        <v>2.1440000000000001</v>
      </c>
      <c r="AD158">
        <v>1.9222999999999999</v>
      </c>
      <c r="AE158">
        <v>26.382300000000001</v>
      </c>
      <c r="AF158">
        <v>6071879352</v>
      </c>
      <c r="AJ158" t="s">
        <v>360</v>
      </c>
      <c r="AM158">
        <v>153409526</v>
      </c>
      <c r="AN158">
        <v>0</v>
      </c>
      <c r="AO158">
        <v>102276559</v>
      </c>
      <c r="AP158">
        <v>153409526</v>
      </c>
      <c r="AQ158">
        <v>255686085</v>
      </c>
      <c r="AR158">
        <v>38352381</v>
      </c>
      <c r="AS158">
        <v>0</v>
      </c>
      <c r="AT158">
        <v>25569139</v>
      </c>
      <c r="AU158">
        <v>38352381</v>
      </c>
      <c r="AV158">
        <v>63921521</v>
      </c>
      <c r="AW158">
        <v>43.753300000000003</v>
      </c>
      <c r="AX158">
        <v>20.549099999999999</v>
      </c>
      <c r="AY158">
        <v>8265.73</v>
      </c>
      <c r="AZ158">
        <v>6622.99</v>
      </c>
      <c r="BA158">
        <v>8293</v>
      </c>
      <c r="BB158">
        <v>2796</v>
      </c>
      <c r="BC158" t="str">
        <f t="shared" si="6"/>
        <v>u=40%, k=2x10^8</v>
      </c>
      <c r="BD158">
        <f t="shared" si="7"/>
        <v>4</v>
      </c>
    </row>
    <row r="159" spans="1:56">
      <c r="A159" t="s">
        <v>258</v>
      </c>
      <c r="B159" t="s">
        <v>105</v>
      </c>
      <c r="D159" t="s">
        <v>64</v>
      </c>
      <c r="E159" t="s">
        <v>59</v>
      </c>
      <c r="F159" t="s">
        <v>60</v>
      </c>
      <c r="G159">
        <v>8000</v>
      </c>
      <c r="H159">
        <v>20</v>
      </c>
      <c r="I159">
        <v>20</v>
      </c>
      <c r="J159">
        <v>0</v>
      </c>
      <c r="K159">
        <v>1</v>
      </c>
      <c r="L159">
        <v>200000000</v>
      </c>
      <c r="M159">
        <v>190</v>
      </c>
      <c r="N159">
        <v>190</v>
      </c>
      <c r="O159">
        <v>190</v>
      </c>
      <c r="P159">
        <v>0</v>
      </c>
      <c r="Q159" t="s">
        <v>61</v>
      </c>
      <c r="R159">
        <v>1.00001033280912E+16</v>
      </c>
      <c r="S159">
        <v>100003476</v>
      </c>
      <c r="T159">
        <v>1.00001033280912E+16</v>
      </c>
      <c r="U159">
        <v>100003476</v>
      </c>
      <c r="V159" t="s">
        <v>71</v>
      </c>
      <c r="W159">
        <v>33</v>
      </c>
      <c r="X159">
        <v>64518778</v>
      </c>
      <c r="Y159">
        <v>48802015</v>
      </c>
      <c r="Z159">
        <v>113320793</v>
      </c>
      <c r="AA159">
        <v>100003476</v>
      </c>
      <c r="AB159">
        <v>1.7564</v>
      </c>
      <c r="AC159">
        <v>2.0491700000000002</v>
      </c>
      <c r="AD159">
        <v>1.8824799999999999</v>
      </c>
      <c r="AE159">
        <v>26.476700000000001</v>
      </c>
      <c r="AF159">
        <v>6345964408</v>
      </c>
      <c r="AJ159" t="s">
        <v>361</v>
      </c>
      <c r="AM159">
        <v>305550549</v>
      </c>
      <c r="AN159">
        <v>0</v>
      </c>
      <c r="AO159">
        <v>203729211</v>
      </c>
      <c r="AP159">
        <v>305550549</v>
      </c>
      <c r="AQ159">
        <v>509279760</v>
      </c>
      <c r="AR159">
        <v>38193818</v>
      </c>
      <c r="AS159">
        <v>0</v>
      </c>
      <c r="AT159">
        <v>25466151</v>
      </c>
      <c r="AU159">
        <v>38193818</v>
      </c>
      <c r="AV159">
        <v>63659970</v>
      </c>
      <c r="AW159">
        <v>43.436199999999999</v>
      </c>
      <c r="AX159">
        <v>20.783100000000001</v>
      </c>
      <c r="AY159">
        <v>8302.16</v>
      </c>
      <c r="AZ159">
        <v>6665.23</v>
      </c>
      <c r="BA159">
        <v>8837</v>
      </c>
      <c r="BB159">
        <v>2753</v>
      </c>
      <c r="BC159" t="str">
        <f t="shared" si="6"/>
        <v>u=40%, k=2x10^8</v>
      </c>
      <c r="BD159">
        <f t="shared" si="7"/>
        <v>8</v>
      </c>
    </row>
    <row r="160" spans="1:56">
      <c r="A160" t="s">
        <v>261</v>
      </c>
      <c r="B160" t="s">
        <v>105</v>
      </c>
      <c r="D160" t="s">
        <v>64</v>
      </c>
      <c r="E160" t="s">
        <v>59</v>
      </c>
      <c r="F160" t="s">
        <v>60</v>
      </c>
      <c r="G160">
        <v>16000</v>
      </c>
      <c r="H160">
        <v>20</v>
      </c>
      <c r="I160">
        <v>20</v>
      </c>
      <c r="J160">
        <v>0</v>
      </c>
      <c r="K160">
        <v>1</v>
      </c>
      <c r="L160">
        <v>200000000</v>
      </c>
      <c r="M160">
        <v>190</v>
      </c>
      <c r="N160">
        <v>190</v>
      </c>
      <c r="O160">
        <v>190</v>
      </c>
      <c r="P160">
        <v>0</v>
      </c>
      <c r="Q160" t="s">
        <v>61</v>
      </c>
      <c r="R160">
        <v>9997787967863180</v>
      </c>
      <c r="S160">
        <v>99981556</v>
      </c>
      <c r="T160">
        <v>9997787967863180</v>
      </c>
      <c r="U160">
        <v>99981556</v>
      </c>
      <c r="V160" t="s">
        <v>71</v>
      </c>
      <c r="W160">
        <v>33</v>
      </c>
      <c r="X160">
        <v>67101367</v>
      </c>
      <c r="Y160">
        <v>50833971</v>
      </c>
      <c r="Z160">
        <v>117935338</v>
      </c>
      <c r="AA160">
        <v>99981556</v>
      </c>
      <c r="AB160">
        <v>1.7575700000000001</v>
      </c>
      <c r="AC160">
        <v>1.9668300000000001</v>
      </c>
      <c r="AD160">
        <v>1.8477699999999999</v>
      </c>
      <c r="AE160">
        <v>26.618400000000001</v>
      </c>
      <c r="AF160">
        <v>6604378928</v>
      </c>
      <c r="AJ160" t="s">
        <v>362</v>
      </c>
      <c r="AM160">
        <v>605688755</v>
      </c>
      <c r="AN160">
        <v>0</v>
      </c>
      <c r="AO160">
        <v>403830451</v>
      </c>
      <c r="AP160">
        <v>605688755</v>
      </c>
      <c r="AQ160">
        <v>1009519206</v>
      </c>
      <c r="AR160">
        <v>37855547</v>
      </c>
      <c r="AS160">
        <v>0</v>
      </c>
      <c r="AT160">
        <v>25239403</v>
      </c>
      <c r="AU160">
        <v>37855547</v>
      </c>
      <c r="AV160">
        <v>63094950</v>
      </c>
      <c r="AW160">
        <v>43.906799999999997</v>
      </c>
      <c r="AX160">
        <v>21.065899999999999</v>
      </c>
      <c r="AY160">
        <v>8377.4599999999991</v>
      </c>
      <c r="AZ160">
        <v>6721.65</v>
      </c>
      <c r="BA160">
        <v>9644</v>
      </c>
      <c r="BB160">
        <v>2749</v>
      </c>
      <c r="BC160" t="str">
        <f t="shared" si="6"/>
        <v>u=40%, k=2x10^8</v>
      </c>
      <c r="BD160">
        <f t="shared" si="7"/>
        <v>16</v>
      </c>
    </row>
    <row r="161" spans="1:56">
      <c r="A161" t="s">
        <v>264</v>
      </c>
      <c r="B161" t="s">
        <v>105</v>
      </c>
      <c r="D161" t="s">
        <v>64</v>
      </c>
      <c r="E161" t="s">
        <v>59</v>
      </c>
      <c r="F161" t="s">
        <v>60</v>
      </c>
      <c r="G161">
        <v>32000</v>
      </c>
      <c r="H161">
        <v>20</v>
      </c>
      <c r="I161">
        <v>20</v>
      </c>
      <c r="J161">
        <v>0</v>
      </c>
      <c r="K161">
        <v>1</v>
      </c>
      <c r="L161">
        <v>200000000</v>
      </c>
      <c r="M161">
        <v>190</v>
      </c>
      <c r="N161">
        <v>190</v>
      </c>
      <c r="O161">
        <v>190</v>
      </c>
      <c r="P161">
        <v>0</v>
      </c>
      <c r="Q161" t="s">
        <v>61</v>
      </c>
      <c r="R161">
        <v>9998867575701810</v>
      </c>
      <c r="S161">
        <v>99989814</v>
      </c>
      <c r="T161">
        <v>9998867575701810</v>
      </c>
      <c r="U161">
        <v>99989814</v>
      </c>
      <c r="V161" t="s">
        <v>71</v>
      </c>
      <c r="W161">
        <v>33</v>
      </c>
      <c r="X161">
        <v>68371133</v>
      </c>
      <c r="Y161">
        <v>51850291</v>
      </c>
      <c r="Z161">
        <v>120221424</v>
      </c>
      <c r="AA161">
        <v>99989814</v>
      </c>
      <c r="AB161">
        <v>1.75837</v>
      </c>
      <c r="AC161">
        <v>1.9284300000000001</v>
      </c>
      <c r="AD161">
        <v>1.8317099999999999</v>
      </c>
      <c r="AE161">
        <v>26.6143</v>
      </c>
      <c r="AF161">
        <v>6732399744</v>
      </c>
      <c r="AJ161" t="s">
        <v>363</v>
      </c>
      <c r="AM161">
        <v>1197454116</v>
      </c>
      <c r="AN161">
        <v>0</v>
      </c>
      <c r="AO161">
        <v>798324919</v>
      </c>
      <c r="AP161">
        <v>1197454116</v>
      </c>
      <c r="AQ161">
        <v>1995779035</v>
      </c>
      <c r="AR161">
        <v>37420441</v>
      </c>
      <c r="AS161">
        <v>0</v>
      </c>
      <c r="AT161">
        <v>24947653</v>
      </c>
      <c r="AU161">
        <v>37420441</v>
      </c>
      <c r="AV161">
        <v>62368094</v>
      </c>
      <c r="AW161">
        <v>43.883499999999998</v>
      </c>
      <c r="AX161">
        <v>21.434999999999999</v>
      </c>
      <c r="AY161">
        <v>8476.66</v>
      </c>
      <c r="AZ161">
        <v>6813.95</v>
      </c>
      <c r="BA161">
        <v>10735</v>
      </c>
      <c r="BB161">
        <v>2755</v>
      </c>
      <c r="BC161" t="str">
        <f t="shared" si="6"/>
        <v>u=40%, k=2x10^8</v>
      </c>
      <c r="BD161">
        <f t="shared" si="7"/>
        <v>32</v>
      </c>
    </row>
    <row r="162" spans="1:56">
      <c r="A162" t="s">
        <v>267</v>
      </c>
      <c r="B162" t="s">
        <v>105</v>
      </c>
      <c r="D162" t="s">
        <v>64</v>
      </c>
      <c r="E162" t="s">
        <v>59</v>
      </c>
      <c r="F162" t="s">
        <v>60</v>
      </c>
      <c r="G162">
        <v>64000</v>
      </c>
      <c r="H162">
        <v>20</v>
      </c>
      <c r="I162">
        <v>20</v>
      </c>
      <c r="J162">
        <v>0</v>
      </c>
      <c r="K162">
        <v>1</v>
      </c>
      <c r="L162">
        <v>200000000</v>
      </c>
      <c r="M162">
        <v>190</v>
      </c>
      <c r="N162">
        <v>190</v>
      </c>
      <c r="O162">
        <v>190</v>
      </c>
      <c r="P162">
        <v>0</v>
      </c>
      <c r="Q162" t="s">
        <v>61</v>
      </c>
      <c r="R162">
        <v>1.00013699732369E+16</v>
      </c>
      <c r="S162">
        <v>100013077</v>
      </c>
      <c r="T162">
        <v>1.00013699732369E+16</v>
      </c>
      <c r="U162">
        <v>100013077</v>
      </c>
      <c r="V162" t="s">
        <v>71</v>
      </c>
      <c r="W162">
        <v>33</v>
      </c>
      <c r="X162">
        <v>68584261</v>
      </c>
      <c r="Y162">
        <v>52031551</v>
      </c>
      <c r="Z162">
        <v>120615812</v>
      </c>
      <c r="AA162">
        <v>100013077</v>
      </c>
      <c r="AB162">
        <v>1.75865</v>
      </c>
      <c r="AC162">
        <v>1.9221600000000001</v>
      </c>
      <c r="AD162">
        <v>1.8291900000000001</v>
      </c>
      <c r="AE162">
        <v>26.640599999999999</v>
      </c>
      <c r="AF162">
        <v>6754485472</v>
      </c>
      <c r="AJ162" t="s">
        <v>364</v>
      </c>
      <c r="AM162">
        <v>2349275480</v>
      </c>
      <c r="AN162">
        <v>0</v>
      </c>
      <c r="AO162">
        <v>1566176198</v>
      </c>
      <c r="AP162">
        <v>2349275480</v>
      </c>
      <c r="AQ162">
        <v>3915451678</v>
      </c>
      <c r="AR162">
        <v>36707429</v>
      </c>
      <c r="AS162">
        <v>0</v>
      </c>
      <c r="AT162">
        <v>24471503</v>
      </c>
      <c r="AU162">
        <v>36707429</v>
      </c>
      <c r="AV162">
        <v>61178932</v>
      </c>
      <c r="AW162">
        <v>44.881999999999998</v>
      </c>
      <c r="AX162">
        <v>21.818200000000001</v>
      </c>
      <c r="AY162">
        <v>8644.41</v>
      </c>
      <c r="AZ162">
        <v>6968.45</v>
      </c>
      <c r="BA162">
        <v>12098</v>
      </c>
      <c r="BB162">
        <v>2802</v>
      </c>
      <c r="BC162" t="str">
        <f t="shared" si="6"/>
        <v>u=40%, k=2x10^8</v>
      </c>
      <c r="BD162">
        <f t="shared" si="7"/>
        <v>64</v>
      </c>
    </row>
    <row r="163" spans="1:56">
      <c r="A163" t="s">
        <v>270</v>
      </c>
      <c r="B163" t="s">
        <v>305</v>
      </c>
      <c r="D163" t="s">
        <v>64</v>
      </c>
      <c r="E163" t="s">
        <v>59</v>
      </c>
      <c r="F163" t="s">
        <v>60</v>
      </c>
      <c r="G163">
        <v>1000</v>
      </c>
      <c r="H163">
        <v>20</v>
      </c>
      <c r="I163">
        <v>20</v>
      </c>
      <c r="J163">
        <v>0</v>
      </c>
      <c r="K163">
        <v>1</v>
      </c>
      <c r="L163">
        <v>200000000</v>
      </c>
      <c r="M163">
        <v>190</v>
      </c>
      <c r="N163">
        <v>190</v>
      </c>
      <c r="O163">
        <v>190</v>
      </c>
      <c r="P163">
        <v>0</v>
      </c>
      <c r="Q163" t="s">
        <v>61</v>
      </c>
      <c r="R163">
        <v>1.00005066316547E+16</v>
      </c>
      <c r="S163">
        <v>100003185</v>
      </c>
      <c r="T163">
        <v>1.00005066316547E+16</v>
      </c>
      <c r="U163">
        <v>100003185</v>
      </c>
      <c r="V163" t="s">
        <v>71</v>
      </c>
      <c r="W163">
        <v>72</v>
      </c>
      <c r="X163">
        <v>100003184</v>
      </c>
      <c r="Y163">
        <v>100003185</v>
      </c>
      <c r="Z163">
        <v>200006369</v>
      </c>
      <c r="AA163">
        <v>100003185</v>
      </c>
      <c r="AB163">
        <v>2</v>
      </c>
      <c r="AC163">
        <v>1</v>
      </c>
      <c r="AD163">
        <v>1.5</v>
      </c>
      <c r="AE163">
        <v>35.209699999999998</v>
      </c>
      <c r="AF163">
        <v>6400203808</v>
      </c>
      <c r="AJ163" t="s">
        <v>365</v>
      </c>
      <c r="AM163">
        <v>29490189</v>
      </c>
      <c r="AN163">
        <v>0</v>
      </c>
      <c r="AO163">
        <v>19654671</v>
      </c>
      <c r="AP163">
        <v>29490189</v>
      </c>
      <c r="AQ163">
        <v>49144860</v>
      </c>
      <c r="AR163">
        <v>29490189</v>
      </c>
      <c r="AS163">
        <v>0</v>
      </c>
      <c r="AT163">
        <v>19654671</v>
      </c>
      <c r="AU163">
        <v>29490189</v>
      </c>
      <c r="AV163">
        <v>49144860</v>
      </c>
      <c r="AW163">
        <v>41.081000000000003</v>
      </c>
      <c r="AX163">
        <v>20.423300000000001</v>
      </c>
      <c r="AY163">
        <v>10727.1</v>
      </c>
      <c r="AZ163">
        <v>8402.65</v>
      </c>
      <c r="BA163">
        <v>7750</v>
      </c>
      <c r="BB163">
        <v>2852</v>
      </c>
      <c r="BC163" t="str">
        <f t="shared" si="6"/>
        <v>u=40%, k=2x10^8</v>
      </c>
      <c r="BD163">
        <f t="shared" si="7"/>
        <v>1</v>
      </c>
    </row>
    <row r="164" spans="1:56">
      <c r="A164" t="s">
        <v>272</v>
      </c>
      <c r="B164" t="s">
        <v>305</v>
      </c>
      <c r="D164" t="s">
        <v>64</v>
      </c>
      <c r="E164" t="s">
        <v>59</v>
      </c>
      <c r="F164" t="s">
        <v>60</v>
      </c>
      <c r="G164">
        <v>2000</v>
      </c>
      <c r="H164">
        <v>20</v>
      </c>
      <c r="I164">
        <v>20</v>
      </c>
      <c r="J164">
        <v>0</v>
      </c>
      <c r="K164">
        <v>1</v>
      </c>
      <c r="L164">
        <v>200000000</v>
      </c>
      <c r="M164">
        <v>190</v>
      </c>
      <c r="N164">
        <v>190</v>
      </c>
      <c r="O164">
        <v>190</v>
      </c>
      <c r="P164">
        <v>0</v>
      </c>
      <c r="Q164" t="s">
        <v>61</v>
      </c>
      <c r="R164">
        <v>9998448394473140</v>
      </c>
      <c r="S164">
        <v>99989744</v>
      </c>
      <c r="T164">
        <v>9998448394473140</v>
      </c>
      <c r="U164">
        <v>99989744</v>
      </c>
      <c r="V164" t="s">
        <v>71</v>
      </c>
      <c r="W164">
        <v>72</v>
      </c>
      <c r="X164">
        <v>99989743</v>
      </c>
      <c r="Y164">
        <v>99989744</v>
      </c>
      <c r="Z164">
        <v>199979487</v>
      </c>
      <c r="AA164">
        <v>99989744</v>
      </c>
      <c r="AB164">
        <v>2</v>
      </c>
      <c r="AC164">
        <v>1</v>
      </c>
      <c r="AD164">
        <v>1.5</v>
      </c>
      <c r="AE164">
        <v>35.743200000000002</v>
      </c>
      <c r="AF164">
        <v>6399343584</v>
      </c>
      <c r="AJ164" t="s">
        <v>366</v>
      </c>
      <c r="AM164">
        <v>59108999</v>
      </c>
      <c r="AN164">
        <v>0</v>
      </c>
      <c r="AO164">
        <v>39397241</v>
      </c>
      <c r="AP164">
        <v>59108999</v>
      </c>
      <c r="AQ164">
        <v>98506240</v>
      </c>
      <c r="AR164">
        <v>29554499</v>
      </c>
      <c r="AS164">
        <v>0</v>
      </c>
      <c r="AT164">
        <v>19698620</v>
      </c>
      <c r="AU164">
        <v>29554499</v>
      </c>
      <c r="AV164">
        <v>49253120</v>
      </c>
      <c r="AW164">
        <v>41.032800000000002</v>
      </c>
      <c r="AX164">
        <v>20.4908</v>
      </c>
      <c r="AY164">
        <v>10709.9</v>
      </c>
      <c r="AZ164">
        <v>8409.33</v>
      </c>
      <c r="BA164">
        <v>7915</v>
      </c>
      <c r="BB164">
        <v>2870</v>
      </c>
      <c r="BC164" t="str">
        <f t="shared" si="6"/>
        <v>u=40%, k=2x10^8</v>
      </c>
      <c r="BD164">
        <f t="shared" si="7"/>
        <v>2</v>
      </c>
    </row>
    <row r="165" spans="1:56">
      <c r="A165" t="s">
        <v>274</v>
      </c>
      <c r="B165" t="s">
        <v>305</v>
      </c>
      <c r="D165" t="s">
        <v>64</v>
      </c>
      <c r="E165" t="s">
        <v>59</v>
      </c>
      <c r="F165" t="s">
        <v>60</v>
      </c>
      <c r="G165">
        <v>4000</v>
      </c>
      <c r="H165">
        <v>20</v>
      </c>
      <c r="I165">
        <v>20</v>
      </c>
      <c r="J165">
        <v>0</v>
      </c>
      <c r="K165">
        <v>1</v>
      </c>
      <c r="L165">
        <v>200000000</v>
      </c>
      <c r="M165">
        <v>190</v>
      </c>
      <c r="N165">
        <v>190</v>
      </c>
      <c r="O165">
        <v>190</v>
      </c>
      <c r="P165">
        <v>0</v>
      </c>
      <c r="Q165" t="s">
        <v>61</v>
      </c>
      <c r="R165">
        <v>1.00006804790391E+16</v>
      </c>
      <c r="S165">
        <v>100001222</v>
      </c>
      <c r="T165">
        <v>1.00006804790391E+16</v>
      </c>
      <c r="U165">
        <v>100001222</v>
      </c>
      <c r="V165" t="s">
        <v>71</v>
      </c>
      <c r="W165">
        <v>69</v>
      </c>
      <c r="X165">
        <v>100001221</v>
      </c>
      <c r="Y165">
        <v>100001222</v>
      </c>
      <c r="Z165">
        <v>200002443</v>
      </c>
      <c r="AA165">
        <v>100001222</v>
      </c>
      <c r="AB165">
        <v>2</v>
      </c>
      <c r="AC165">
        <v>1</v>
      </c>
      <c r="AD165">
        <v>1.5</v>
      </c>
      <c r="AE165">
        <v>36.515500000000003</v>
      </c>
      <c r="AF165">
        <v>6400078176</v>
      </c>
      <c r="AJ165" t="s">
        <v>367</v>
      </c>
      <c r="AM165">
        <v>117532952</v>
      </c>
      <c r="AN165">
        <v>0</v>
      </c>
      <c r="AO165">
        <v>78373114</v>
      </c>
      <c r="AP165">
        <v>117532952</v>
      </c>
      <c r="AQ165">
        <v>195906066</v>
      </c>
      <c r="AR165">
        <v>29383238</v>
      </c>
      <c r="AS165">
        <v>0</v>
      </c>
      <c r="AT165">
        <v>19593278</v>
      </c>
      <c r="AU165">
        <v>29383238</v>
      </c>
      <c r="AV165">
        <v>48976516</v>
      </c>
      <c r="AW165">
        <v>41.297800000000002</v>
      </c>
      <c r="AX165">
        <v>20.6248</v>
      </c>
      <c r="AY165">
        <v>10768.1</v>
      </c>
      <c r="AZ165">
        <v>8470.41</v>
      </c>
      <c r="BA165">
        <v>8222</v>
      </c>
      <c r="BB165">
        <v>2865</v>
      </c>
      <c r="BC165" t="str">
        <f t="shared" si="6"/>
        <v>u=40%, k=2x10^8</v>
      </c>
      <c r="BD165">
        <f t="shared" si="7"/>
        <v>4</v>
      </c>
    </row>
    <row r="166" spans="1:56">
      <c r="A166" t="s">
        <v>275</v>
      </c>
      <c r="B166" t="s">
        <v>305</v>
      </c>
      <c r="D166" t="s">
        <v>64</v>
      </c>
      <c r="E166" t="s">
        <v>59</v>
      </c>
      <c r="F166" t="s">
        <v>60</v>
      </c>
      <c r="G166">
        <v>8000</v>
      </c>
      <c r="H166">
        <v>20</v>
      </c>
      <c r="I166">
        <v>20</v>
      </c>
      <c r="J166">
        <v>0</v>
      </c>
      <c r="K166">
        <v>1</v>
      </c>
      <c r="L166">
        <v>200000000</v>
      </c>
      <c r="M166">
        <v>190</v>
      </c>
      <c r="N166">
        <v>190</v>
      </c>
      <c r="O166">
        <v>190</v>
      </c>
      <c r="P166">
        <v>0</v>
      </c>
      <c r="Q166" t="s">
        <v>61</v>
      </c>
      <c r="R166">
        <v>1.00000440331872E+16</v>
      </c>
      <c r="S166">
        <v>100003813</v>
      </c>
      <c r="T166">
        <v>1.00000440331872E+16</v>
      </c>
      <c r="U166">
        <v>100003813</v>
      </c>
      <c r="V166" t="s">
        <v>71</v>
      </c>
      <c r="W166">
        <v>70</v>
      </c>
      <c r="X166">
        <v>100003812</v>
      </c>
      <c r="Y166">
        <v>100003813</v>
      </c>
      <c r="Z166">
        <v>200007625</v>
      </c>
      <c r="AA166">
        <v>100003813</v>
      </c>
      <c r="AB166">
        <v>2</v>
      </c>
      <c r="AC166">
        <v>1</v>
      </c>
      <c r="AD166">
        <v>1.5</v>
      </c>
      <c r="AE166">
        <v>35.441400000000002</v>
      </c>
      <c r="AF166">
        <v>6400244000</v>
      </c>
      <c r="AJ166" t="s">
        <v>368</v>
      </c>
      <c r="AM166">
        <v>236828234</v>
      </c>
      <c r="AN166">
        <v>0</v>
      </c>
      <c r="AO166">
        <v>157871221</v>
      </c>
      <c r="AP166">
        <v>236828234</v>
      </c>
      <c r="AQ166">
        <v>394699455</v>
      </c>
      <c r="AR166">
        <v>29603529</v>
      </c>
      <c r="AS166">
        <v>0</v>
      </c>
      <c r="AT166">
        <v>19733902</v>
      </c>
      <c r="AU166">
        <v>29603529</v>
      </c>
      <c r="AV166">
        <v>49337431</v>
      </c>
      <c r="AW166">
        <v>41.305900000000001</v>
      </c>
      <c r="AX166">
        <v>20.864799999999999</v>
      </c>
      <c r="AY166">
        <v>10695.8</v>
      </c>
      <c r="AZ166">
        <v>8501.17</v>
      </c>
      <c r="BA166">
        <v>8797</v>
      </c>
      <c r="BB166">
        <v>2842</v>
      </c>
      <c r="BC166" t="str">
        <f t="shared" si="6"/>
        <v>u=40%, k=2x10^8</v>
      </c>
      <c r="BD166">
        <f t="shared" si="7"/>
        <v>8</v>
      </c>
    </row>
    <row r="167" spans="1:56">
      <c r="A167" t="s">
        <v>277</v>
      </c>
      <c r="B167" t="s">
        <v>305</v>
      </c>
      <c r="D167" t="s">
        <v>64</v>
      </c>
      <c r="E167" t="s">
        <v>59</v>
      </c>
      <c r="F167" t="s">
        <v>60</v>
      </c>
      <c r="G167">
        <v>16000</v>
      </c>
      <c r="H167">
        <v>20</v>
      </c>
      <c r="I167">
        <v>20</v>
      </c>
      <c r="J167">
        <v>0</v>
      </c>
      <c r="K167">
        <v>1</v>
      </c>
      <c r="L167">
        <v>200000000</v>
      </c>
      <c r="M167">
        <v>190</v>
      </c>
      <c r="N167">
        <v>190</v>
      </c>
      <c r="O167">
        <v>190</v>
      </c>
      <c r="P167">
        <v>0</v>
      </c>
      <c r="Q167" t="s">
        <v>61</v>
      </c>
      <c r="R167">
        <v>1.00015597319114E+16</v>
      </c>
      <c r="S167">
        <v>100011854</v>
      </c>
      <c r="T167">
        <v>1.00015597319114E+16</v>
      </c>
      <c r="U167">
        <v>100011854</v>
      </c>
      <c r="V167" t="s">
        <v>71</v>
      </c>
      <c r="W167">
        <v>65</v>
      </c>
      <c r="X167">
        <v>100011853</v>
      </c>
      <c r="Y167">
        <v>100011854</v>
      </c>
      <c r="Z167">
        <v>200023707</v>
      </c>
      <c r="AA167">
        <v>100011854</v>
      </c>
      <c r="AB167">
        <v>2</v>
      </c>
      <c r="AC167">
        <v>1</v>
      </c>
      <c r="AD167">
        <v>1.5</v>
      </c>
      <c r="AE167">
        <v>34.841200000000001</v>
      </c>
      <c r="AF167">
        <v>6400758624</v>
      </c>
      <c r="AJ167" t="s">
        <v>369</v>
      </c>
      <c r="AM167">
        <v>477301605</v>
      </c>
      <c r="AN167">
        <v>0</v>
      </c>
      <c r="AO167">
        <v>318208528</v>
      </c>
      <c r="AP167">
        <v>477301605</v>
      </c>
      <c r="AQ167">
        <v>795510133</v>
      </c>
      <c r="AR167">
        <v>29831350</v>
      </c>
      <c r="AS167">
        <v>0</v>
      </c>
      <c r="AT167">
        <v>19888033</v>
      </c>
      <c r="AU167">
        <v>29831350</v>
      </c>
      <c r="AV167">
        <v>49719383</v>
      </c>
      <c r="AW167">
        <v>41.694299999999998</v>
      </c>
      <c r="AX167">
        <v>21.211300000000001</v>
      </c>
      <c r="AY167">
        <v>10621</v>
      </c>
      <c r="AZ167">
        <v>8579.56</v>
      </c>
      <c r="BA167">
        <v>9753</v>
      </c>
      <c r="BB167">
        <v>2843</v>
      </c>
      <c r="BC167" t="str">
        <f t="shared" si="6"/>
        <v>u=40%, k=2x10^8</v>
      </c>
      <c r="BD167">
        <f t="shared" si="7"/>
        <v>16</v>
      </c>
    </row>
    <row r="168" spans="1:56">
      <c r="A168" t="s">
        <v>279</v>
      </c>
      <c r="B168" t="s">
        <v>305</v>
      </c>
      <c r="D168" t="s">
        <v>64</v>
      </c>
      <c r="E168" t="s">
        <v>59</v>
      </c>
      <c r="F168" t="s">
        <v>60</v>
      </c>
      <c r="G168">
        <v>32000</v>
      </c>
      <c r="H168">
        <v>20</v>
      </c>
      <c r="I168">
        <v>20</v>
      </c>
      <c r="J168">
        <v>0</v>
      </c>
      <c r="K168">
        <v>1</v>
      </c>
      <c r="L168">
        <v>200000000</v>
      </c>
      <c r="M168">
        <v>190</v>
      </c>
      <c r="N168">
        <v>190</v>
      </c>
      <c r="O168">
        <v>190</v>
      </c>
      <c r="P168">
        <v>0</v>
      </c>
      <c r="Q168" t="s">
        <v>61</v>
      </c>
      <c r="R168">
        <v>1.00006288245066E+16</v>
      </c>
      <c r="S168">
        <v>100001110</v>
      </c>
      <c r="T168">
        <v>1.00006288245066E+16</v>
      </c>
      <c r="U168">
        <v>100001110</v>
      </c>
      <c r="V168" t="s">
        <v>71</v>
      </c>
      <c r="W168">
        <v>69</v>
      </c>
      <c r="X168">
        <v>100001109</v>
      </c>
      <c r="Y168">
        <v>100001110</v>
      </c>
      <c r="Z168">
        <v>200002219</v>
      </c>
      <c r="AA168">
        <v>100001110</v>
      </c>
      <c r="AB168">
        <v>2</v>
      </c>
      <c r="AC168">
        <v>1</v>
      </c>
      <c r="AD168">
        <v>1.5</v>
      </c>
      <c r="AE168">
        <v>35.582099999999997</v>
      </c>
      <c r="AF168">
        <v>6400071008</v>
      </c>
      <c r="AJ168" t="s">
        <v>370</v>
      </c>
      <c r="AM168">
        <v>962088074</v>
      </c>
      <c r="AN168">
        <v>0</v>
      </c>
      <c r="AO168">
        <v>641397002</v>
      </c>
      <c r="AP168">
        <v>962088074</v>
      </c>
      <c r="AQ168">
        <v>1603485076</v>
      </c>
      <c r="AR168">
        <v>30065252</v>
      </c>
      <c r="AS168">
        <v>0</v>
      </c>
      <c r="AT168">
        <v>20043656</v>
      </c>
      <c r="AU168">
        <v>30065252</v>
      </c>
      <c r="AV168">
        <v>50108908</v>
      </c>
      <c r="AW168">
        <v>42.040100000000002</v>
      </c>
      <c r="AX168">
        <v>21.704499999999999</v>
      </c>
      <c r="AY168">
        <v>10546.3</v>
      </c>
      <c r="AZ168">
        <v>8713.17</v>
      </c>
      <c r="BA168">
        <v>11089</v>
      </c>
      <c r="BB168">
        <v>2847</v>
      </c>
      <c r="BC168" t="str">
        <f t="shared" si="6"/>
        <v>u=40%, k=2x10^8</v>
      </c>
      <c r="BD168">
        <f t="shared" si="7"/>
        <v>32</v>
      </c>
    </row>
    <row r="169" spans="1:56">
      <c r="A169" t="s">
        <v>281</v>
      </c>
      <c r="B169" t="s">
        <v>305</v>
      </c>
      <c r="D169" t="s">
        <v>64</v>
      </c>
      <c r="E169" t="s">
        <v>59</v>
      </c>
      <c r="F169" t="s">
        <v>60</v>
      </c>
      <c r="G169">
        <v>64000</v>
      </c>
      <c r="H169">
        <v>20</v>
      </c>
      <c r="I169">
        <v>20</v>
      </c>
      <c r="J169">
        <v>0</v>
      </c>
      <c r="K169">
        <v>1</v>
      </c>
      <c r="L169">
        <v>200000000</v>
      </c>
      <c r="M169">
        <v>190</v>
      </c>
      <c r="N169">
        <v>190</v>
      </c>
      <c r="O169">
        <v>190</v>
      </c>
      <c r="P169">
        <v>0</v>
      </c>
      <c r="Q169" t="s">
        <v>61</v>
      </c>
      <c r="R169">
        <v>1.00008896090675E+16</v>
      </c>
      <c r="S169">
        <v>100002163</v>
      </c>
      <c r="T169">
        <v>1.00008896090675E+16</v>
      </c>
      <c r="U169">
        <v>100002163</v>
      </c>
      <c r="V169" t="s">
        <v>71</v>
      </c>
      <c r="W169">
        <v>68</v>
      </c>
      <c r="X169">
        <v>100002162</v>
      </c>
      <c r="Y169">
        <v>100002163</v>
      </c>
      <c r="Z169">
        <v>200004325</v>
      </c>
      <c r="AA169">
        <v>100002163</v>
      </c>
      <c r="AB169">
        <v>2</v>
      </c>
      <c r="AC169">
        <v>1</v>
      </c>
      <c r="AD169">
        <v>1.5</v>
      </c>
      <c r="AE169">
        <v>35.171300000000002</v>
      </c>
      <c r="AF169">
        <v>6400138400</v>
      </c>
      <c r="AJ169" t="s">
        <v>371</v>
      </c>
      <c r="AM169">
        <v>1887364624</v>
      </c>
      <c r="AN169">
        <v>0</v>
      </c>
      <c r="AO169">
        <v>1258212309</v>
      </c>
      <c r="AP169">
        <v>1887364624</v>
      </c>
      <c r="AQ169">
        <v>3145576933</v>
      </c>
      <c r="AR169">
        <v>29490072</v>
      </c>
      <c r="AS169">
        <v>0</v>
      </c>
      <c r="AT169">
        <v>19659567</v>
      </c>
      <c r="AU169">
        <v>29490072</v>
      </c>
      <c r="AV169">
        <v>49149639</v>
      </c>
      <c r="AW169">
        <v>42.573500000000003</v>
      </c>
      <c r="AX169">
        <v>22.1755</v>
      </c>
      <c r="AY169">
        <v>10754.8</v>
      </c>
      <c r="AZ169">
        <v>8868.36</v>
      </c>
      <c r="BA169">
        <v>12353</v>
      </c>
      <c r="BB169">
        <v>2829</v>
      </c>
      <c r="BC169" t="str">
        <f t="shared" si="6"/>
        <v>u=40%, k=2x10^8</v>
      </c>
      <c r="BD169">
        <f t="shared" si="7"/>
        <v>64</v>
      </c>
    </row>
    <row r="170" spans="1:56">
      <c r="A170" t="s">
        <v>372</v>
      </c>
      <c r="B170" t="s">
        <v>63</v>
      </c>
      <c r="C170">
        <v>72</v>
      </c>
      <c r="D170" t="s">
        <v>64</v>
      </c>
      <c r="E170" t="s">
        <v>59</v>
      </c>
      <c r="F170" t="s">
        <v>60</v>
      </c>
      <c r="G170">
        <v>1000</v>
      </c>
      <c r="H170">
        <v>5</v>
      </c>
      <c r="I170">
        <v>5</v>
      </c>
      <c r="J170">
        <v>0</v>
      </c>
      <c r="K170">
        <v>1</v>
      </c>
      <c r="L170">
        <v>2000000</v>
      </c>
      <c r="M170">
        <v>190</v>
      </c>
      <c r="N170">
        <v>190</v>
      </c>
      <c r="O170">
        <v>190</v>
      </c>
      <c r="P170">
        <v>0</v>
      </c>
      <c r="Q170" t="s">
        <v>61</v>
      </c>
      <c r="R170">
        <v>1000212576131</v>
      </c>
      <c r="S170">
        <v>1000097</v>
      </c>
      <c r="T170">
        <v>1000212576131</v>
      </c>
      <c r="U170">
        <v>1000097</v>
      </c>
      <c r="V170" t="s">
        <v>71</v>
      </c>
      <c r="W170">
        <v>6</v>
      </c>
      <c r="X170">
        <v>54291</v>
      </c>
      <c r="Y170">
        <v>1075713</v>
      </c>
      <c r="Z170">
        <v>1130004</v>
      </c>
      <c r="AA170">
        <v>1000097</v>
      </c>
      <c r="AB170">
        <v>20.813800000000001</v>
      </c>
      <c r="AC170">
        <v>0.92970600000000003</v>
      </c>
      <c r="AD170">
        <v>1.88504</v>
      </c>
      <c r="AE170">
        <v>3.04454</v>
      </c>
      <c r="AF170">
        <v>21576528</v>
      </c>
      <c r="AG170" t="s">
        <v>373</v>
      </c>
      <c r="AH170" t="s">
        <v>374</v>
      </c>
      <c r="AI170">
        <v>177644</v>
      </c>
      <c r="AJ170">
        <v>1314</v>
      </c>
      <c r="AM170">
        <v>178894056</v>
      </c>
      <c r="AN170">
        <v>0</v>
      </c>
      <c r="AO170">
        <v>19876526</v>
      </c>
      <c r="AP170">
        <v>178894056</v>
      </c>
      <c r="AQ170">
        <v>198770582</v>
      </c>
      <c r="AR170">
        <v>178894056</v>
      </c>
      <c r="AS170">
        <v>0</v>
      </c>
      <c r="AT170">
        <v>19876526</v>
      </c>
      <c r="AU170">
        <v>178894056</v>
      </c>
      <c r="AV170">
        <v>198770582</v>
      </c>
      <c r="AW170">
        <v>12.924200000000001</v>
      </c>
      <c r="AX170">
        <v>3.1428799999999999</v>
      </c>
      <c r="AY170">
        <v>2603.2800000000002</v>
      </c>
      <c r="AZ170">
        <v>1783.08</v>
      </c>
      <c r="BA170">
        <v>1437</v>
      </c>
      <c r="BB170">
        <v>470</v>
      </c>
      <c r="BC170" t="str">
        <f t="shared" si="6"/>
        <v>u=10%, k=2x10^6</v>
      </c>
      <c r="BD170">
        <f t="shared" si="7"/>
        <v>1</v>
      </c>
    </row>
    <row r="171" spans="1:56">
      <c r="A171" t="s">
        <v>375</v>
      </c>
      <c r="B171" t="s">
        <v>63</v>
      </c>
      <c r="C171">
        <v>72</v>
      </c>
      <c r="D171" t="s">
        <v>64</v>
      </c>
      <c r="E171" t="s">
        <v>59</v>
      </c>
      <c r="F171" t="s">
        <v>60</v>
      </c>
      <c r="G171">
        <v>2000</v>
      </c>
      <c r="H171">
        <v>5</v>
      </c>
      <c r="I171">
        <v>5</v>
      </c>
      <c r="J171">
        <v>0</v>
      </c>
      <c r="K171">
        <v>1</v>
      </c>
      <c r="L171">
        <v>2000000</v>
      </c>
      <c r="M171">
        <v>190</v>
      </c>
      <c r="N171">
        <v>190</v>
      </c>
      <c r="O171">
        <v>190</v>
      </c>
      <c r="P171">
        <v>0</v>
      </c>
      <c r="Q171" t="s">
        <v>61</v>
      </c>
      <c r="R171">
        <v>999922098022</v>
      </c>
      <c r="S171">
        <v>999702</v>
      </c>
      <c r="T171">
        <v>999922098022</v>
      </c>
      <c r="U171">
        <v>999702</v>
      </c>
      <c r="V171" t="s">
        <v>71</v>
      </c>
      <c r="W171">
        <v>6</v>
      </c>
      <c r="X171">
        <v>53503</v>
      </c>
      <c r="Y171">
        <v>1073418</v>
      </c>
      <c r="Z171">
        <v>1126921</v>
      </c>
      <c r="AA171">
        <v>999702</v>
      </c>
      <c r="AB171">
        <v>21.062799999999999</v>
      </c>
      <c r="AC171">
        <v>0.93132599999999999</v>
      </c>
      <c r="AD171">
        <v>1.8871100000000001</v>
      </c>
      <c r="AE171">
        <v>3.0427300000000002</v>
      </c>
      <c r="AF171">
        <v>21474912</v>
      </c>
      <c r="AG171" t="s">
        <v>376</v>
      </c>
      <c r="AH171" t="s">
        <v>377</v>
      </c>
      <c r="AI171">
        <v>347441</v>
      </c>
      <c r="AJ171">
        <v>2622</v>
      </c>
      <c r="AM171">
        <v>359464690</v>
      </c>
      <c r="AN171">
        <v>0</v>
      </c>
      <c r="AO171">
        <v>39934537</v>
      </c>
      <c r="AP171">
        <v>359464690</v>
      </c>
      <c r="AQ171">
        <v>399399227</v>
      </c>
      <c r="AR171">
        <v>179732345</v>
      </c>
      <c r="AS171">
        <v>0</v>
      </c>
      <c r="AT171">
        <v>19967268</v>
      </c>
      <c r="AU171">
        <v>179732345</v>
      </c>
      <c r="AV171">
        <v>199699613</v>
      </c>
      <c r="AW171">
        <v>12.908799999999999</v>
      </c>
      <c r="AX171">
        <v>3.1475300000000002</v>
      </c>
      <c r="AY171">
        <v>2642.49</v>
      </c>
      <c r="AZ171">
        <v>1815.21</v>
      </c>
      <c r="BA171">
        <v>1475</v>
      </c>
      <c r="BB171">
        <v>341</v>
      </c>
      <c r="BC171" t="str">
        <f t="shared" si="6"/>
        <v>u=10%, k=2x10^6</v>
      </c>
      <c r="BD171">
        <f t="shared" si="7"/>
        <v>2</v>
      </c>
    </row>
    <row r="172" spans="1:56">
      <c r="A172" t="s">
        <v>378</v>
      </c>
      <c r="B172" t="s">
        <v>63</v>
      </c>
      <c r="C172">
        <v>72</v>
      </c>
      <c r="D172" t="s">
        <v>64</v>
      </c>
      <c r="E172" t="s">
        <v>59</v>
      </c>
      <c r="F172" t="s">
        <v>60</v>
      </c>
      <c r="G172">
        <v>4000</v>
      </c>
      <c r="H172">
        <v>5</v>
      </c>
      <c r="I172">
        <v>5</v>
      </c>
      <c r="J172">
        <v>0</v>
      </c>
      <c r="K172">
        <v>1</v>
      </c>
      <c r="L172">
        <v>2000000</v>
      </c>
      <c r="M172">
        <v>190</v>
      </c>
      <c r="N172">
        <v>190</v>
      </c>
      <c r="O172">
        <v>190</v>
      </c>
      <c r="P172">
        <v>0</v>
      </c>
      <c r="Q172" t="s">
        <v>61</v>
      </c>
      <c r="R172">
        <v>999922971665</v>
      </c>
      <c r="S172">
        <v>999939</v>
      </c>
      <c r="T172">
        <v>999922971665</v>
      </c>
      <c r="U172">
        <v>999939</v>
      </c>
      <c r="V172" t="s">
        <v>71</v>
      </c>
      <c r="W172">
        <v>6</v>
      </c>
      <c r="X172">
        <v>57804</v>
      </c>
      <c r="Y172">
        <v>1082340</v>
      </c>
      <c r="Z172">
        <v>1140144</v>
      </c>
      <c r="AA172">
        <v>999939</v>
      </c>
      <c r="AB172">
        <v>19.724299999999999</v>
      </c>
      <c r="AC172">
        <v>0.92386800000000002</v>
      </c>
      <c r="AD172">
        <v>1.87703</v>
      </c>
      <c r="AE172">
        <v>3.0519099999999999</v>
      </c>
      <c r="AF172">
        <v>21966272</v>
      </c>
      <c r="AG172" t="s">
        <v>379</v>
      </c>
      <c r="AH172" t="s">
        <v>380</v>
      </c>
      <c r="AI172">
        <v>676663</v>
      </c>
      <c r="AJ172">
        <v>5220</v>
      </c>
      <c r="AM172">
        <v>715857154</v>
      </c>
      <c r="AN172">
        <v>0</v>
      </c>
      <c r="AO172">
        <v>79540132</v>
      </c>
      <c r="AP172">
        <v>715857154</v>
      </c>
      <c r="AQ172">
        <v>795397286</v>
      </c>
      <c r="AR172">
        <v>178964288</v>
      </c>
      <c r="AS172">
        <v>0</v>
      </c>
      <c r="AT172">
        <v>19885033</v>
      </c>
      <c r="AU172">
        <v>178964288</v>
      </c>
      <c r="AV172">
        <v>198849321</v>
      </c>
      <c r="AW172">
        <v>12.928800000000001</v>
      </c>
      <c r="AX172">
        <v>3.1476700000000002</v>
      </c>
      <c r="AY172">
        <v>2658.13</v>
      </c>
      <c r="AZ172">
        <v>1829.59</v>
      </c>
      <c r="BA172">
        <v>1511</v>
      </c>
      <c r="BB172">
        <v>248</v>
      </c>
      <c r="BC172" t="str">
        <f t="shared" si="6"/>
        <v>u=10%, k=2x10^6</v>
      </c>
      <c r="BD172">
        <f t="shared" si="7"/>
        <v>4</v>
      </c>
    </row>
    <row r="173" spans="1:56">
      <c r="A173" t="s">
        <v>381</v>
      </c>
      <c r="B173" t="s">
        <v>63</v>
      </c>
      <c r="C173">
        <v>72</v>
      </c>
      <c r="D173" t="s">
        <v>64</v>
      </c>
      <c r="E173" t="s">
        <v>59</v>
      </c>
      <c r="F173" t="s">
        <v>60</v>
      </c>
      <c r="G173">
        <v>8000</v>
      </c>
      <c r="H173">
        <v>5</v>
      </c>
      <c r="I173">
        <v>5</v>
      </c>
      <c r="J173">
        <v>0</v>
      </c>
      <c r="K173">
        <v>1</v>
      </c>
      <c r="L173">
        <v>2000000</v>
      </c>
      <c r="M173">
        <v>190</v>
      </c>
      <c r="N173">
        <v>190</v>
      </c>
      <c r="O173">
        <v>190</v>
      </c>
      <c r="P173">
        <v>0</v>
      </c>
      <c r="Q173" t="s">
        <v>61</v>
      </c>
      <c r="R173">
        <v>998760140842</v>
      </c>
      <c r="S173">
        <v>998620</v>
      </c>
      <c r="T173">
        <v>998760140842</v>
      </c>
      <c r="U173">
        <v>998620</v>
      </c>
      <c r="V173" t="s">
        <v>71</v>
      </c>
      <c r="W173">
        <v>6</v>
      </c>
      <c r="X173">
        <v>53604</v>
      </c>
      <c r="Y173">
        <v>1072574</v>
      </c>
      <c r="Z173">
        <v>1126178</v>
      </c>
      <c r="AA173">
        <v>998620</v>
      </c>
      <c r="AB173">
        <v>21.0092</v>
      </c>
      <c r="AC173">
        <v>0.93105000000000004</v>
      </c>
      <c r="AD173">
        <v>1.88673</v>
      </c>
      <c r="AE173">
        <v>3.0430799999999998</v>
      </c>
      <c r="AF173">
        <v>21469680</v>
      </c>
      <c r="AG173" t="s">
        <v>382</v>
      </c>
      <c r="AH173" t="s">
        <v>383</v>
      </c>
      <c r="AI173">
        <v>1370548</v>
      </c>
      <c r="AJ173">
        <v>10550</v>
      </c>
      <c r="AM173">
        <v>1442439254</v>
      </c>
      <c r="AN173">
        <v>0</v>
      </c>
      <c r="AO173">
        <v>160269788</v>
      </c>
      <c r="AP173">
        <v>1442439254</v>
      </c>
      <c r="AQ173">
        <v>1602709042</v>
      </c>
      <c r="AR173">
        <v>180304906</v>
      </c>
      <c r="AS173">
        <v>0</v>
      </c>
      <c r="AT173">
        <v>20033723</v>
      </c>
      <c r="AU173">
        <v>180304906</v>
      </c>
      <c r="AV173">
        <v>200338630</v>
      </c>
      <c r="AW173">
        <v>12.867100000000001</v>
      </c>
      <c r="AX173">
        <v>3.1514000000000002</v>
      </c>
      <c r="AY173">
        <v>2638.92</v>
      </c>
      <c r="AZ173">
        <v>1809.17</v>
      </c>
      <c r="BA173">
        <v>1523</v>
      </c>
      <c r="BB173">
        <v>254</v>
      </c>
      <c r="BC173" t="str">
        <f t="shared" si="6"/>
        <v>u=10%, k=2x10^6</v>
      </c>
      <c r="BD173">
        <f t="shared" si="7"/>
        <v>8</v>
      </c>
    </row>
    <row r="174" spans="1:56">
      <c r="A174" t="s">
        <v>384</v>
      </c>
      <c r="B174" t="s">
        <v>63</v>
      </c>
      <c r="C174">
        <v>72</v>
      </c>
      <c r="D174" t="s">
        <v>64</v>
      </c>
      <c r="E174" t="s">
        <v>59</v>
      </c>
      <c r="F174" t="s">
        <v>60</v>
      </c>
      <c r="G174">
        <v>16000</v>
      </c>
      <c r="H174">
        <v>5</v>
      </c>
      <c r="I174">
        <v>5</v>
      </c>
      <c r="J174">
        <v>0</v>
      </c>
      <c r="K174">
        <v>1</v>
      </c>
      <c r="L174">
        <v>2000000</v>
      </c>
      <c r="M174">
        <v>190</v>
      </c>
      <c r="N174">
        <v>190</v>
      </c>
      <c r="O174">
        <v>190</v>
      </c>
      <c r="P174">
        <v>0</v>
      </c>
      <c r="Q174" t="s">
        <v>61</v>
      </c>
      <c r="R174">
        <v>999206199640</v>
      </c>
      <c r="S174">
        <v>999629</v>
      </c>
      <c r="T174">
        <v>999206199640</v>
      </c>
      <c r="U174">
        <v>999629</v>
      </c>
      <c r="V174" t="s">
        <v>71</v>
      </c>
      <c r="W174">
        <v>6</v>
      </c>
      <c r="X174">
        <v>57873</v>
      </c>
      <c r="Y174">
        <v>1082356</v>
      </c>
      <c r="Z174">
        <v>1140229</v>
      </c>
      <c r="AA174">
        <v>999629</v>
      </c>
      <c r="AB174">
        <v>19.702300000000001</v>
      </c>
      <c r="AC174">
        <v>0.92356799999999994</v>
      </c>
      <c r="AD174">
        <v>1.87669</v>
      </c>
      <c r="AE174">
        <v>3.0523799999999999</v>
      </c>
      <c r="AF174">
        <v>21975376</v>
      </c>
      <c r="AG174" t="s">
        <v>385</v>
      </c>
      <c r="AH174" t="s">
        <v>386</v>
      </c>
      <c r="AI174">
        <v>2704462</v>
      </c>
      <c r="AJ174">
        <v>20972</v>
      </c>
      <c r="AM174">
        <v>2869006723</v>
      </c>
      <c r="AN174">
        <v>0</v>
      </c>
      <c r="AO174">
        <v>318747660</v>
      </c>
      <c r="AP174">
        <v>2869006723</v>
      </c>
      <c r="AQ174">
        <v>3187754383</v>
      </c>
      <c r="AR174">
        <v>179312920</v>
      </c>
      <c r="AS174">
        <v>0</v>
      </c>
      <c r="AT174">
        <v>19921728</v>
      </c>
      <c r="AU174">
        <v>179312920</v>
      </c>
      <c r="AV174">
        <v>199234648</v>
      </c>
      <c r="AW174">
        <v>12.897600000000001</v>
      </c>
      <c r="AX174">
        <v>3.1481699999999999</v>
      </c>
      <c r="AY174">
        <v>2654.07</v>
      </c>
      <c r="AZ174">
        <v>1825.82</v>
      </c>
      <c r="BA174">
        <v>1553</v>
      </c>
      <c r="BB174">
        <v>317</v>
      </c>
      <c r="BC174" t="str">
        <f t="shared" si="6"/>
        <v>u=10%, k=2x10^6</v>
      </c>
      <c r="BD174">
        <f t="shared" si="7"/>
        <v>16</v>
      </c>
    </row>
    <row r="175" spans="1:56">
      <c r="A175" t="s">
        <v>387</v>
      </c>
      <c r="B175" t="s">
        <v>63</v>
      </c>
      <c r="C175">
        <v>72</v>
      </c>
      <c r="D175" t="s">
        <v>64</v>
      </c>
      <c r="E175" t="s">
        <v>59</v>
      </c>
      <c r="F175" t="s">
        <v>60</v>
      </c>
      <c r="G175">
        <v>32000</v>
      </c>
      <c r="H175">
        <v>5</v>
      </c>
      <c r="I175">
        <v>5</v>
      </c>
      <c r="J175">
        <v>0</v>
      </c>
      <c r="K175">
        <v>1</v>
      </c>
      <c r="L175">
        <v>2000000</v>
      </c>
      <c r="M175">
        <v>190</v>
      </c>
      <c r="N175">
        <v>190</v>
      </c>
      <c r="O175">
        <v>190</v>
      </c>
      <c r="P175">
        <v>0</v>
      </c>
      <c r="Q175" t="s">
        <v>61</v>
      </c>
      <c r="R175">
        <v>1002588025018</v>
      </c>
      <c r="S175">
        <v>1001907</v>
      </c>
      <c r="T175">
        <v>1002588025018</v>
      </c>
      <c r="U175">
        <v>1001907</v>
      </c>
      <c r="V175" t="s">
        <v>71</v>
      </c>
      <c r="W175">
        <v>6</v>
      </c>
      <c r="X175">
        <v>54717</v>
      </c>
      <c r="Y175">
        <v>1077869</v>
      </c>
      <c r="Z175">
        <v>1132586</v>
      </c>
      <c r="AA175">
        <v>1001907</v>
      </c>
      <c r="AB175">
        <v>20.699000000000002</v>
      </c>
      <c r="AC175">
        <v>0.92952599999999996</v>
      </c>
      <c r="AD175">
        <v>1.88462</v>
      </c>
      <c r="AE175">
        <v>3.0453800000000002</v>
      </c>
      <c r="AF175">
        <v>21646592</v>
      </c>
      <c r="AG175" t="s">
        <v>388</v>
      </c>
      <c r="AH175" t="s">
        <v>389</v>
      </c>
      <c r="AI175">
        <v>5387187</v>
      </c>
      <c r="AJ175">
        <v>41738</v>
      </c>
      <c r="AM175">
        <v>5720371769</v>
      </c>
      <c r="AN175">
        <v>0</v>
      </c>
      <c r="AO175">
        <v>635639861</v>
      </c>
      <c r="AP175">
        <v>5720371769</v>
      </c>
      <c r="AQ175">
        <v>6356011630</v>
      </c>
      <c r="AR175">
        <v>178761617</v>
      </c>
      <c r="AS175">
        <v>0</v>
      </c>
      <c r="AT175">
        <v>19863745</v>
      </c>
      <c r="AU175">
        <v>178761617</v>
      </c>
      <c r="AV175">
        <v>198625363</v>
      </c>
      <c r="AW175">
        <v>12.901899999999999</v>
      </c>
      <c r="AX175">
        <v>3.1472600000000002</v>
      </c>
      <c r="AY175">
        <v>2662.39</v>
      </c>
      <c r="AZ175">
        <v>1835.05</v>
      </c>
      <c r="BA175">
        <v>1578</v>
      </c>
      <c r="BB175">
        <v>315</v>
      </c>
      <c r="BC175" t="str">
        <f t="shared" si="6"/>
        <v>u=10%, k=2x10^6</v>
      </c>
      <c r="BD175">
        <f t="shared" si="7"/>
        <v>32</v>
      </c>
    </row>
    <row r="176" spans="1:56">
      <c r="A176" t="s">
        <v>390</v>
      </c>
      <c r="B176" t="s">
        <v>63</v>
      </c>
      <c r="C176">
        <v>72</v>
      </c>
      <c r="D176" t="s">
        <v>64</v>
      </c>
      <c r="E176" t="s">
        <v>59</v>
      </c>
      <c r="F176" t="s">
        <v>60</v>
      </c>
      <c r="G176">
        <v>64000</v>
      </c>
      <c r="H176">
        <v>5</v>
      </c>
      <c r="I176">
        <v>5</v>
      </c>
      <c r="J176">
        <v>0</v>
      </c>
      <c r="K176">
        <v>1</v>
      </c>
      <c r="L176">
        <v>2000000</v>
      </c>
      <c r="M176">
        <v>190</v>
      </c>
      <c r="N176">
        <v>190</v>
      </c>
      <c r="O176">
        <v>190</v>
      </c>
      <c r="P176">
        <v>0</v>
      </c>
      <c r="Q176" t="s">
        <v>61</v>
      </c>
      <c r="R176">
        <v>998697518775</v>
      </c>
      <c r="S176">
        <v>999311</v>
      </c>
      <c r="T176">
        <v>998697518775</v>
      </c>
      <c r="U176">
        <v>999311</v>
      </c>
      <c r="V176" t="s">
        <v>71</v>
      </c>
      <c r="W176">
        <v>6</v>
      </c>
      <c r="X176">
        <v>48824</v>
      </c>
      <c r="Y176">
        <v>1063293</v>
      </c>
      <c r="Z176">
        <v>1112117</v>
      </c>
      <c r="AA176">
        <v>999311</v>
      </c>
      <c r="AB176">
        <v>22.778099999999998</v>
      </c>
      <c r="AC176">
        <v>0.93982699999999997</v>
      </c>
      <c r="AD176">
        <v>1.8985700000000001</v>
      </c>
      <c r="AE176">
        <v>3.0324399999999998</v>
      </c>
      <c r="AF176">
        <v>20926688</v>
      </c>
      <c r="AG176" t="s">
        <v>391</v>
      </c>
      <c r="AH176" t="s">
        <v>392</v>
      </c>
      <c r="AI176">
        <v>10924208</v>
      </c>
      <c r="AJ176">
        <v>84086</v>
      </c>
      <c r="AM176">
        <v>11503390276</v>
      </c>
      <c r="AN176">
        <v>0</v>
      </c>
      <c r="AO176">
        <v>1278168434</v>
      </c>
      <c r="AP176">
        <v>11503390276</v>
      </c>
      <c r="AQ176">
        <v>12781558710</v>
      </c>
      <c r="AR176">
        <v>179740473</v>
      </c>
      <c r="AS176">
        <v>0</v>
      </c>
      <c r="AT176">
        <v>19971381</v>
      </c>
      <c r="AU176">
        <v>179740473</v>
      </c>
      <c r="AV176">
        <v>199711854</v>
      </c>
      <c r="AW176">
        <v>12.8787</v>
      </c>
      <c r="AX176">
        <v>3.1522399999999999</v>
      </c>
      <c r="AY176">
        <v>2647.98</v>
      </c>
      <c r="AZ176">
        <v>1823.3</v>
      </c>
      <c r="BA176">
        <v>1648</v>
      </c>
      <c r="BB176">
        <v>239</v>
      </c>
      <c r="BC176" t="str">
        <f t="shared" si="6"/>
        <v>u=10%, k=2x10^6</v>
      </c>
      <c r="BD176">
        <f t="shared" si="7"/>
        <v>64</v>
      </c>
    </row>
    <row r="177" spans="1:56">
      <c r="A177" t="s">
        <v>393</v>
      </c>
      <c r="B177" t="s">
        <v>300</v>
      </c>
      <c r="C177">
        <v>208</v>
      </c>
      <c r="D177" t="s">
        <v>64</v>
      </c>
      <c r="E177" t="s">
        <v>59</v>
      </c>
      <c r="F177" t="s">
        <v>60</v>
      </c>
      <c r="G177">
        <v>1000</v>
      </c>
      <c r="H177">
        <v>5</v>
      </c>
      <c r="I177">
        <v>5</v>
      </c>
      <c r="J177">
        <v>0</v>
      </c>
      <c r="K177">
        <v>1</v>
      </c>
      <c r="L177">
        <v>2000000</v>
      </c>
      <c r="M177">
        <v>190</v>
      </c>
      <c r="N177">
        <v>190</v>
      </c>
      <c r="O177">
        <v>190</v>
      </c>
      <c r="P177">
        <v>0</v>
      </c>
      <c r="Q177" t="s">
        <v>61</v>
      </c>
      <c r="R177">
        <v>1000610885513</v>
      </c>
      <c r="S177">
        <v>999924</v>
      </c>
      <c r="T177">
        <v>1000610885513</v>
      </c>
      <c r="U177">
        <v>999924</v>
      </c>
      <c r="V177" t="s">
        <v>71</v>
      </c>
      <c r="W177">
        <v>8</v>
      </c>
      <c r="X177">
        <v>29376</v>
      </c>
      <c r="Y177">
        <v>195004</v>
      </c>
      <c r="Z177">
        <v>224380</v>
      </c>
      <c r="AA177">
        <v>999924</v>
      </c>
      <c r="AB177">
        <v>7.6382099999999999</v>
      </c>
      <c r="AC177">
        <v>5.1277100000000004</v>
      </c>
      <c r="AD177">
        <v>5.4563899999999999</v>
      </c>
      <c r="AE177">
        <v>7</v>
      </c>
      <c r="AF177">
        <v>46671040</v>
      </c>
      <c r="AJ177">
        <v>2326</v>
      </c>
      <c r="AM177">
        <v>295815162</v>
      </c>
      <c r="AN177">
        <v>0</v>
      </c>
      <c r="AO177">
        <v>32862256</v>
      </c>
      <c r="AP177">
        <v>295815162</v>
      </c>
      <c r="AQ177">
        <v>328677418</v>
      </c>
      <c r="AR177">
        <v>295815162</v>
      </c>
      <c r="AS177">
        <v>0</v>
      </c>
      <c r="AT177">
        <v>32862256</v>
      </c>
      <c r="AU177">
        <v>295815162</v>
      </c>
      <c r="AV177">
        <v>328677418</v>
      </c>
      <c r="AW177">
        <v>10.802099999999999</v>
      </c>
      <c r="AX177">
        <v>2.15273</v>
      </c>
      <c r="AY177">
        <v>1603.91</v>
      </c>
      <c r="AZ177">
        <v>680.52200000000005</v>
      </c>
      <c r="BA177">
        <v>1182</v>
      </c>
      <c r="BB177">
        <v>246</v>
      </c>
      <c r="BC177" t="str">
        <f t="shared" si="6"/>
        <v>u=10%, k=2x10^6</v>
      </c>
      <c r="BD177">
        <f t="shared" si="7"/>
        <v>1</v>
      </c>
    </row>
    <row r="178" spans="1:56">
      <c r="A178" t="s">
        <v>394</v>
      </c>
      <c r="B178" t="s">
        <v>300</v>
      </c>
      <c r="C178">
        <v>208</v>
      </c>
      <c r="D178" t="s">
        <v>64</v>
      </c>
      <c r="E178" t="s">
        <v>59</v>
      </c>
      <c r="F178" t="s">
        <v>60</v>
      </c>
      <c r="G178">
        <v>2000</v>
      </c>
      <c r="H178">
        <v>5</v>
      </c>
      <c r="I178">
        <v>5</v>
      </c>
      <c r="J178">
        <v>0</v>
      </c>
      <c r="K178">
        <v>1</v>
      </c>
      <c r="L178">
        <v>2000000</v>
      </c>
      <c r="M178">
        <v>190</v>
      </c>
      <c r="N178">
        <v>190</v>
      </c>
      <c r="O178">
        <v>190</v>
      </c>
      <c r="P178">
        <v>0</v>
      </c>
      <c r="Q178" t="s">
        <v>61</v>
      </c>
      <c r="R178">
        <v>1000552309001</v>
      </c>
      <c r="S178">
        <v>1000236</v>
      </c>
      <c r="T178">
        <v>1000552309001</v>
      </c>
      <c r="U178">
        <v>1000236</v>
      </c>
      <c r="V178" t="s">
        <v>71</v>
      </c>
      <c r="W178">
        <v>8</v>
      </c>
      <c r="X178">
        <v>31242</v>
      </c>
      <c r="Y178">
        <v>196461</v>
      </c>
      <c r="Z178">
        <v>227703</v>
      </c>
      <c r="AA178">
        <v>1000236</v>
      </c>
      <c r="AB178">
        <v>7.2883599999999999</v>
      </c>
      <c r="AC178">
        <v>5.0912699999999997</v>
      </c>
      <c r="AD178">
        <v>5.3927199999999997</v>
      </c>
      <c r="AE178">
        <v>7</v>
      </c>
      <c r="AF178">
        <v>47362224</v>
      </c>
      <c r="AJ178">
        <v>4268</v>
      </c>
      <c r="AM178">
        <v>573476089</v>
      </c>
      <c r="AN178">
        <v>0</v>
      </c>
      <c r="AO178">
        <v>63724471</v>
      </c>
      <c r="AP178">
        <v>573476089</v>
      </c>
      <c r="AQ178">
        <v>637200560</v>
      </c>
      <c r="AR178">
        <v>286738044</v>
      </c>
      <c r="AS178">
        <v>0</v>
      </c>
      <c r="AT178">
        <v>31862235</v>
      </c>
      <c r="AU178">
        <v>286738044</v>
      </c>
      <c r="AV178">
        <v>318600280</v>
      </c>
      <c r="AW178">
        <v>11.1096</v>
      </c>
      <c r="AX178">
        <v>2.24492</v>
      </c>
      <c r="AY178">
        <v>1644.1</v>
      </c>
      <c r="AZ178">
        <v>712.03099999999995</v>
      </c>
      <c r="BA178">
        <v>1189</v>
      </c>
      <c r="BB178">
        <v>232</v>
      </c>
      <c r="BC178" t="str">
        <f t="shared" si="6"/>
        <v>u=10%, k=2x10^6</v>
      </c>
      <c r="BD178">
        <f t="shared" si="7"/>
        <v>2</v>
      </c>
    </row>
    <row r="179" spans="1:56">
      <c r="A179" t="s">
        <v>395</v>
      </c>
      <c r="B179" t="s">
        <v>300</v>
      </c>
      <c r="C179">
        <v>208</v>
      </c>
      <c r="D179" t="s">
        <v>64</v>
      </c>
      <c r="E179" t="s">
        <v>59</v>
      </c>
      <c r="F179" t="s">
        <v>60</v>
      </c>
      <c r="G179">
        <v>4000</v>
      </c>
      <c r="H179">
        <v>5</v>
      </c>
      <c r="I179">
        <v>5</v>
      </c>
      <c r="J179">
        <v>0</v>
      </c>
      <c r="K179">
        <v>1</v>
      </c>
      <c r="L179">
        <v>2000000</v>
      </c>
      <c r="M179">
        <v>190</v>
      </c>
      <c r="N179">
        <v>190</v>
      </c>
      <c r="O179">
        <v>190</v>
      </c>
      <c r="P179">
        <v>0</v>
      </c>
      <c r="Q179" t="s">
        <v>61</v>
      </c>
      <c r="R179">
        <v>999293141783</v>
      </c>
      <c r="S179">
        <v>999558</v>
      </c>
      <c r="T179">
        <v>999293141783</v>
      </c>
      <c r="U179">
        <v>999558</v>
      </c>
      <c r="V179" t="s">
        <v>71</v>
      </c>
      <c r="W179">
        <v>8</v>
      </c>
      <c r="X179">
        <v>32425</v>
      </c>
      <c r="Y179">
        <v>195751</v>
      </c>
      <c r="Z179">
        <v>228176</v>
      </c>
      <c r="AA179">
        <v>999558</v>
      </c>
      <c r="AB179">
        <v>7.0370400000000002</v>
      </c>
      <c r="AC179">
        <v>5.1062700000000003</v>
      </c>
      <c r="AD179">
        <v>5.3806399999999996</v>
      </c>
      <c r="AE179">
        <v>7</v>
      </c>
      <c r="AF179">
        <v>47460608</v>
      </c>
      <c r="AJ179">
        <v>8180</v>
      </c>
      <c r="AM179">
        <v>1115896732</v>
      </c>
      <c r="AN179">
        <v>0</v>
      </c>
      <c r="AO179">
        <v>123966866</v>
      </c>
      <c r="AP179">
        <v>1115896732</v>
      </c>
      <c r="AQ179">
        <v>1239863598</v>
      </c>
      <c r="AR179">
        <v>278974183</v>
      </c>
      <c r="AS179">
        <v>0</v>
      </c>
      <c r="AT179">
        <v>30991716</v>
      </c>
      <c r="AU179">
        <v>278974183</v>
      </c>
      <c r="AV179">
        <v>309965899</v>
      </c>
      <c r="AW179">
        <v>11.255599999999999</v>
      </c>
      <c r="AX179">
        <v>2.28817</v>
      </c>
      <c r="AY179">
        <v>1671.66</v>
      </c>
      <c r="AZ179">
        <v>741.25400000000002</v>
      </c>
      <c r="BA179">
        <v>1189</v>
      </c>
      <c r="BB179">
        <v>234</v>
      </c>
      <c r="BC179" t="str">
        <f t="shared" si="6"/>
        <v>u=10%, k=2x10^6</v>
      </c>
      <c r="BD179">
        <f t="shared" si="7"/>
        <v>4</v>
      </c>
    </row>
    <row r="180" spans="1:56">
      <c r="A180" t="s">
        <v>396</v>
      </c>
      <c r="B180" t="s">
        <v>300</v>
      </c>
      <c r="C180">
        <v>208</v>
      </c>
      <c r="D180" t="s">
        <v>64</v>
      </c>
      <c r="E180" t="s">
        <v>59</v>
      </c>
      <c r="F180" t="s">
        <v>60</v>
      </c>
      <c r="G180">
        <v>8000</v>
      </c>
      <c r="H180">
        <v>5</v>
      </c>
      <c r="I180">
        <v>5</v>
      </c>
      <c r="J180">
        <v>0</v>
      </c>
      <c r="K180">
        <v>1</v>
      </c>
      <c r="L180">
        <v>2000000</v>
      </c>
      <c r="M180">
        <v>190</v>
      </c>
      <c r="N180">
        <v>190</v>
      </c>
      <c r="O180">
        <v>190</v>
      </c>
      <c r="P180">
        <v>0</v>
      </c>
      <c r="Q180" t="s">
        <v>61</v>
      </c>
      <c r="R180">
        <v>1001176753054</v>
      </c>
      <c r="S180">
        <v>1000617</v>
      </c>
      <c r="T180">
        <v>1001176753054</v>
      </c>
      <c r="U180">
        <v>1000617</v>
      </c>
      <c r="V180" t="s">
        <v>71</v>
      </c>
      <c r="W180">
        <v>8</v>
      </c>
      <c r="X180">
        <v>33649</v>
      </c>
      <c r="Y180">
        <v>195329</v>
      </c>
      <c r="Z180">
        <v>228978</v>
      </c>
      <c r="AA180">
        <v>1000617</v>
      </c>
      <c r="AB180">
        <v>6.8048999999999999</v>
      </c>
      <c r="AC180">
        <v>5.1227299999999998</v>
      </c>
      <c r="AD180">
        <v>5.3699300000000001</v>
      </c>
      <c r="AE180">
        <v>7</v>
      </c>
      <c r="AF180">
        <v>47627424</v>
      </c>
      <c r="AJ180">
        <v>15986</v>
      </c>
      <c r="AM180">
        <v>2185364807</v>
      </c>
      <c r="AN180">
        <v>0</v>
      </c>
      <c r="AO180">
        <v>242833457</v>
      </c>
      <c r="AP180">
        <v>2185364807</v>
      </c>
      <c r="AQ180">
        <v>2428198264</v>
      </c>
      <c r="AR180">
        <v>273170600</v>
      </c>
      <c r="AS180">
        <v>0</v>
      </c>
      <c r="AT180">
        <v>30354182</v>
      </c>
      <c r="AU180">
        <v>273170600</v>
      </c>
      <c r="AV180">
        <v>303524783</v>
      </c>
      <c r="AW180">
        <v>11.4564</v>
      </c>
      <c r="AX180">
        <v>2.33074</v>
      </c>
      <c r="AY180">
        <v>1700.29</v>
      </c>
      <c r="AZ180">
        <v>766.17</v>
      </c>
      <c r="BA180">
        <v>1202</v>
      </c>
      <c r="BB180">
        <v>303</v>
      </c>
      <c r="BC180" t="str">
        <f t="shared" si="6"/>
        <v>u=10%, k=2x10^6</v>
      </c>
      <c r="BD180">
        <f t="shared" si="7"/>
        <v>8</v>
      </c>
    </row>
    <row r="181" spans="1:56">
      <c r="A181" t="s">
        <v>397</v>
      </c>
      <c r="B181" t="s">
        <v>300</v>
      </c>
      <c r="C181">
        <v>208</v>
      </c>
      <c r="D181" t="s">
        <v>64</v>
      </c>
      <c r="E181" t="s">
        <v>59</v>
      </c>
      <c r="F181" t="s">
        <v>60</v>
      </c>
      <c r="G181">
        <v>16000</v>
      </c>
      <c r="H181">
        <v>5</v>
      </c>
      <c r="I181">
        <v>5</v>
      </c>
      <c r="J181">
        <v>0</v>
      </c>
      <c r="K181">
        <v>1</v>
      </c>
      <c r="L181">
        <v>2000000</v>
      </c>
      <c r="M181">
        <v>190</v>
      </c>
      <c r="N181">
        <v>190</v>
      </c>
      <c r="O181">
        <v>190</v>
      </c>
      <c r="P181">
        <v>0</v>
      </c>
      <c r="Q181" t="s">
        <v>61</v>
      </c>
      <c r="R181">
        <v>1000141918392</v>
      </c>
      <c r="S181">
        <v>1000775</v>
      </c>
      <c r="T181">
        <v>1000141918392</v>
      </c>
      <c r="U181">
        <v>1000775</v>
      </c>
      <c r="V181" t="s">
        <v>71</v>
      </c>
      <c r="W181">
        <v>8</v>
      </c>
      <c r="X181">
        <v>34564</v>
      </c>
      <c r="Y181">
        <v>194915</v>
      </c>
      <c r="Z181">
        <v>229479</v>
      </c>
      <c r="AA181">
        <v>1000775</v>
      </c>
      <c r="AB181">
        <v>6.6392499999999997</v>
      </c>
      <c r="AC181">
        <v>5.1344200000000004</v>
      </c>
      <c r="AD181">
        <v>5.3610699999999998</v>
      </c>
      <c r="AE181">
        <v>7</v>
      </c>
      <c r="AF181">
        <v>47731632</v>
      </c>
      <c r="AJ181">
        <v>31312</v>
      </c>
      <c r="AM181">
        <v>4342323221</v>
      </c>
      <c r="AN181">
        <v>0</v>
      </c>
      <c r="AO181">
        <v>482498909</v>
      </c>
      <c r="AP181">
        <v>4342323221</v>
      </c>
      <c r="AQ181">
        <v>4824822130</v>
      </c>
      <c r="AR181">
        <v>271395201</v>
      </c>
      <c r="AS181">
        <v>0</v>
      </c>
      <c r="AT181">
        <v>30156181</v>
      </c>
      <c r="AU181">
        <v>271395201</v>
      </c>
      <c r="AV181">
        <v>301551383</v>
      </c>
      <c r="AW181">
        <v>11.6241</v>
      </c>
      <c r="AX181">
        <v>2.35276</v>
      </c>
      <c r="AY181">
        <v>1709.02</v>
      </c>
      <c r="AZ181">
        <v>776.60500000000002</v>
      </c>
      <c r="BA181">
        <v>1219</v>
      </c>
      <c r="BB181">
        <v>292</v>
      </c>
      <c r="BC181" t="str">
        <f t="shared" si="6"/>
        <v>u=10%, k=2x10^6</v>
      </c>
      <c r="BD181">
        <f t="shared" si="7"/>
        <v>16</v>
      </c>
    </row>
    <row r="182" spans="1:56">
      <c r="A182" t="s">
        <v>398</v>
      </c>
      <c r="B182" t="s">
        <v>300</v>
      </c>
      <c r="C182">
        <v>208</v>
      </c>
      <c r="D182" t="s">
        <v>64</v>
      </c>
      <c r="E182" t="s">
        <v>59</v>
      </c>
      <c r="F182" t="s">
        <v>60</v>
      </c>
      <c r="G182">
        <v>32000</v>
      </c>
      <c r="H182">
        <v>5</v>
      </c>
      <c r="I182">
        <v>5</v>
      </c>
      <c r="J182">
        <v>0</v>
      </c>
      <c r="K182">
        <v>1</v>
      </c>
      <c r="L182">
        <v>2000000</v>
      </c>
      <c r="M182">
        <v>190</v>
      </c>
      <c r="N182">
        <v>190</v>
      </c>
      <c r="O182">
        <v>190</v>
      </c>
      <c r="P182">
        <v>0</v>
      </c>
      <c r="Q182" t="s">
        <v>61</v>
      </c>
      <c r="R182">
        <v>999215155370</v>
      </c>
      <c r="S182">
        <v>999529</v>
      </c>
      <c r="T182">
        <v>999215155370</v>
      </c>
      <c r="U182">
        <v>999529</v>
      </c>
      <c r="V182" t="s">
        <v>71</v>
      </c>
      <c r="W182">
        <v>8</v>
      </c>
      <c r="X182">
        <v>35311</v>
      </c>
      <c r="Y182">
        <v>194827</v>
      </c>
      <c r="Z182">
        <v>230138</v>
      </c>
      <c r="AA182">
        <v>999529</v>
      </c>
      <c r="AB182">
        <v>6.5174599999999998</v>
      </c>
      <c r="AC182">
        <v>5.1303400000000003</v>
      </c>
      <c r="AD182">
        <v>5.3431699999999998</v>
      </c>
      <c r="AE182">
        <v>7</v>
      </c>
      <c r="AF182">
        <v>47868704</v>
      </c>
      <c r="AJ182" t="s">
        <v>399</v>
      </c>
      <c r="AM182">
        <v>8566234065</v>
      </c>
      <c r="AN182">
        <v>0</v>
      </c>
      <c r="AO182">
        <v>951792674</v>
      </c>
      <c r="AP182">
        <v>8566234065</v>
      </c>
      <c r="AQ182">
        <v>9518026739</v>
      </c>
      <c r="AR182">
        <v>267694814</v>
      </c>
      <c r="AS182">
        <v>0</v>
      </c>
      <c r="AT182">
        <v>29743521</v>
      </c>
      <c r="AU182">
        <v>267694814</v>
      </c>
      <c r="AV182">
        <v>297438335</v>
      </c>
      <c r="AW182">
        <v>11.7302</v>
      </c>
      <c r="AX182">
        <v>2.3680500000000002</v>
      </c>
      <c r="AY182">
        <v>1730.19</v>
      </c>
      <c r="AZ182">
        <v>793.42499999999995</v>
      </c>
      <c r="BA182">
        <v>1230</v>
      </c>
      <c r="BB182">
        <v>302</v>
      </c>
      <c r="BC182" t="str">
        <f t="shared" si="6"/>
        <v>u=10%, k=2x10^6</v>
      </c>
      <c r="BD182">
        <f t="shared" si="7"/>
        <v>32</v>
      </c>
    </row>
    <row r="183" spans="1:56">
      <c r="A183" t="s">
        <v>400</v>
      </c>
      <c r="B183" t="s">
        <v>300</v>
      </c>
      <c r="C183">
        <v>208</v>
      </c>
      <c r="D183" t="s">
        <v>64</v>
      </c>
      <c r="E183" t="s">
        <v>59</v>
      </c>
      <c r="F183" t="s">
        <v>60</v>
      </c>
      <c r="G183">
        <v>64000</v>
      </c>
      <c r="H183">
        <v>5</v>
      </c>
      <c r="I183">
        <v>5</v>
      </c>
      <c r="J183">
        <v>0</v>
      </c>
      <c r="K183">
        <v>1</v>
      </c>
      <c r="L183">
        <v>2000000</v>
      </c>
      <c r="M183">
        <v>190</v>
      </c>
      <c r="N183">
        <v>190</v>
      </c>
      <c r="O183">
        <v>190</v>
      </c>
      <c r="P183">
        <v>0</v>
      </c>
      <c r="Q183" t="s">
        <v>61</v>
      </c>
      <c r="R183">
        <v>999169506725</v>
      </c>
      <c r="S183">
        <v>998725</v>
      </c>
      <c r="T183">
        <v>999169506725</v>
      </c>
      <c r="U183">
        <v>998725</v>
      </c>
      <c r="V183" t="s">
        <v>71</v>
      </c>
      <c r="W183">
        <v>8</v>
      </c>
      <c r="X183">
        <v>36203</v>
      </c>
      <c r="Y183">
        <v>194674</v>
      </c>
      <c r="Z183">
        <v>230877</v>
      </c>
      <c r="AA183">
        <v>998725</v>
      </c>
      <c r="AB183">
        <v>6.3772900000000003</v>
      </c>
      <c r="AC183">
        <v>5.1302399999999997</v>
      </c>
      <c r="AD183">
        <v>5.3257899999999996</v>
      </c>
      <c r="AE183">
        <v>7</v>
      </c>
      <c r="AF183">
        <v>48022416</v>
      </c>
      <c r="AJ183">
        <v>122604</v>
      </c>
      <c r="AM183">
        <v>17061327933</v>
      </c>
      <c r="AN183">
        <v>0</v>
      </c>
      <c r="AO183">
        <v>1895806225</v>
      </c>
      <c r="AP183">
        <v>17061327933</v>
      </c>
      <c r="AQ183">
        <v>18957134158</v>
      </c>
      <c r="AR183">
        <v>266583248</v>
      </c>
      <c r="AS183">
        <v>0</v>
      </c>
      <c r="AT183">
        <v>29621972</v>
      </c>
      <c r="AU183">
        <v>266583248</v>
      </c>
      <c r="AV183">
        <v>296205221</v>
      </c>
      <c r="AW183">
        <v>11.8065</v>
      </c>
      <c r="AX183">
        <v>2.3696799999999998</v>
      </c>
      <c r="AY183">
        <v>1735.7</v>
      </c>
      <c r="AZ183">
        <v>798.98199999999997</v>
      </c>
      <c r="BA183">
        <v>1241</v>
      </c>
      <c r="BB183">
        <v>271</v>
      </c>
      <c r="BC183" t="str">
        <f t="shared" si="6"/>
        <v>u=10%, k=2x10^6</v>
      </c>
      <c r="BD183">
        <f t="shared" si="7"/>
        <v>64</v>
      </c>
    </row>
    <row r="184" spans="1:56">
      <c r="A184" t="s">
        <v>401</v>
      </c>
      <c r="B184" t="s">
        <v>105</v>
      </c>
      <c r="D184" t="s">
        <v>64</v>
      </c>
      <c r="E184" t="s">
        <v>59</v>
      </c>
      <c r="F184" t="s">
        <v>60</v>
      </c>
      <c r="G184">
        <v>1000</v>
      </c>
      <c r="H184">
        <v>5</v>
      </c>
      <c r="I184">
        <v>5</v>
      </c>
      <c r="J184">
        <v>0</v>
      </c>
      <c r="K184">
        <v>1</v>
      </c>
      <c r="L184">
        <v>2000000</v>
      </c>
      <c r="M184">
        <v>190</v>
      </c>
      <c r="N184">
        <v>190</v>
      </c>
      <c r="O184">
        <v>190</v>
      </c>
      <c r="P184">
        <v>0</v>
      </c>
      <c r="Q184" t="s">
        <v>61</v>
      </c>
      <c r="R184">
        <v>1001769537721</v>
      </c>
      <c r="S184">
        <v>1001837</v>
      </c>
      <c r="T184">
        <v>1001769537721</v>
      </c>
      <c r="U184">
        <v>1001837</v>
      </c>
      <c r="V184" t="s">
        <v>71</v>
      </c>
      <c r="W184">
        <v>25</v>
      </c>
      <c r="X184">
        <v>686939</v>
      </c>
      <c r="Y184">
        <v>521167</v>
      </c>
      <c r="Z184">
        <v>1208106</v>
      </c>
      <c r="AA184">
        <v>1001837</v>
      </c>
      <c r="AB184">
        <v>1.75868</v>
      </c>
      <c r="AC184">
        <v>1.9222999999999999</v>
      </c>
      <c r="AD184">
        <v>1.8292600000000001</v>
      </c>
      <c r="AE184">
        <v>19.8719</v>
      </c>
      <c r="AF184">
        <v>67653936</v>
      </c>
      <c r="AJ184">
        <v>1520</v>
      </c>
      <c r="AM184">
        <v>178975595</v>
      </c>
      <c r="AN184">
        <v>0</v>
      </c>
      <c r="AO184">
        <v>19881266</v>
      </c>
      <c r="AP184">
        <v>178975595</v>
      </c>
      <c r="AQ184">
        <v>198856861</v>
      </c>
      <c r="AR184">
        <v>178975595</v>
      </c>
      <c r="AS184">
        <v>0</v>
      </c>
      <c r="AT184">
        <v>19881266</v>
      </c>
      <c r="AU184">
        <v>178975595</v>
      </c>
      <c r="AV184">
        <v>198856861</v>
      </c>
      <c r="AW184">
        <v>17.075900000000001</v>
      </c>
      <c r="AX184">
        <v>3.1109300000000002</v>
      </c>
      <c r="AY184">
        <v>2626.83</v>
      </c>
      <c r="AZ184">
        <v>1280.25</v>
      </c>
      <c r="BA184">
        <v>1185</v>
      </c>
      <c r="BB184">
        <v>373</v>
      </c>
      <c r="BC184" t="str">
        <f t="shared" si="6"/>
        <v>u=10%, k=2x10^6</v>
      </c>
      <c r="BD184">
        <f t="shared" si="7"/>
        <v>1</v>
      </c>
    </row>
    <row r="185" spans="1:56">
      <c r="A185" t="s">
        <v>402</v>
      </c>
      <c r="B185" t="s">
        <v>105</v>
      </c>
      <c r="D185" t="s">
        <v>64</v>
      </c>
      <c r="E185" t="s">
        <v>59</v>
      </c>
      <c r="F185" t="s">
        <v>60</v>
      </c>
      <c r="G185">
        <v>2000</v>
      </c>
      <c r="H185">
        <v>5</v>
      </c>
      <c r="I185">
        <v>5</v>
      </c>
      <c r="J185">
        <v>0</v>
      </c>
      <c r="K185">
        <v>1</v>
      </c>
      <c r="L185">
        <v>2000000</v>
      </c>
      <c r="M185">
        <v>190</v>
      </c>
      <c r="N185">
        <v>190</v>
      </c>
      <c r="O185">
        <v>190</v>
      </c>
      <c r="P185">
        <v>0</v>
      </c>
      <c r="Q185" t="s">
        <v>61</v>
      </c>
      <c r="R185">
        <v>999941791739</v>
      </c>
      <c r="S185">
        <v>999532</v>
      </c>
      <c r="T185">
        <v>999941791739</v>
      </c>
      <c r="U185">
        <v>999532</v>
      </c>
      <c r="V185" t="s">
        <v>71</v>
      </c>
      <c r="W185">
        <v>25</v>
      </c>
      <c r="X185">
        <v>685206</v>
      </c>
      <c r="Y185">
        <v>520377</v>
      </c>
      <c r="Z185">
        <v>1205583</v>
      </c>
      <c r="AA185">
        <v>999532</v>
      </c>
      <c r="AB185">
        <v>1.75945</v>
      </c>
      <c r="AC185">
        <v>1.9207799999999999</v>
      </c>
      <c r="AD185">
        <v>1.8290900000000001</v>
      </c>
      <c r="AE185">
        <v>19.879300000000001</v>
      </c>
      <c r="AF185">
        <v>67512648</v>
      </c>
      <c r="AJ185">
        <v>2622</v>
      </c>
      <c r="AM185">
        <v>354634863</v>
      </c>
      <c r="AN185">
        <v>0</v>
      </c>
      <c r="AO185">
        <v>39404430</v>
      </c>
      <c r="AP185">
        <v>354634863</v>
      </c>
      <c r="AQ185">
        <v>394039293</v>
      </c>
      <c r="AR185">
        <v>177317431</v>
      </c>
      <c r="AS185">
        <v>0</v>
      </c>
      <c r="AT185">
        <v>19702215</v>
      </c>
      <c r="AU185">
        <v>177317431</v>
      </c>
      <c r="AV185">
        <v>197019646</v>
      </c>
      <c r="AW185">
        <v>17.224499999999999</v>
      </c>
      <c r="AX185">
        <v>3.1814100000000001</v>
      </c>
      <c r="AY185">
        <v>2665.73</v>
      </c>
      <c r="AZ185">
        <v>1333.38</v>
      </c>
      <c r="BA185">
        <v>1188</v>
      </c>
      <c r="BB185">
        <v>262</v>
      </c>
      <c r="BC185" t="str">
        <f t="shared" si="6"/>
        <v>u=10%, k=2x10^6</v>
      </c>
      <c r="BD185">
        <f t="shared" si="7"/>
        <v>2</v>
      </c>
    </row>
    <row r="186" spans="1:56">
      <c r="A186" t="s">
        <v>403</v>
      </c>
      <c r="B186" t="s">
        <v>105</v>
      </c>
      <c r="D186" t="s">
        <v>64</v>
      </c>
      <c r="E186" t="s">
        <v>59</v>
      </c>
      <c r="F186" t="s">
        <v>60</v>
      </c>
      <c r="G186">
        <v>4000</v>
      </c>
      <c r="H186">
        <v>5</v>
      </c>
      <c r="I186">
        <v>5</v>
      </c>
      <c r="J186">
        <v>0</v>
      </c>
      <c r="K186">
        <v>1</v>
      </c>
      <c r="L186">
        <v>2000000</v>
      </c>
      <c r="M186">
        <v>190</v>
      </c>
      <c r="N186">
        <v>190</v>
      </c>
      <c r="O186">
        <v>190</v>
      </c>
      <c r="P186">
        <v>0</v>
      </c>
      <c r="Q186" t="s">
        <v>61</v>
      </c>
      <c r="R186">
        <v>999223039943</v>
      </c>
      <c r="S186">
        <v>999579</v>
      </c>
      <c r="T186">
        <v>999223039943</v>
      </c>
      <c r="U186">
        <v>999579</v>
      </c>
      <c r="V186" t="s">
        <v>71</v>
      </c>
      <c r="W186">
        <v>25</v>
      </c>
      <c r="X186">
        <v>685894</v>
      </c>
      <c r="Y186">
        <v>520135</v>
      </c>
      <c r="Z186">
        <v>1206029</v>
      </c>
      <c r="AA186">
        <v>999579</v>
      </c>
      <c r="AB186">
        <v>1.7583299999999999</v>
      </c>
      <c r="AC186">
        <v>1.92177</v>
      </c>
      <c r="AD186">
        <v>1.8288199999999999</v>
      </c>
      <c r="AE186">
        <v>19.884699999999999</v>
      </c>
      <c r="AF186">
        <v>67537624</v>
      </c>
      <c r="AJ186">
        <v>4948</v>
      </c>
      <c r="AM186">
        <v>691772127</v>
      </c>
      <c r="AN186">
        <v>0</v>
      </c>
      <c r="AO186">
        <v>76878669</v>
      </c>
      <c r="AP186">
        <v>691772127</v>
      </c>
      <c r="AQ186">
        <v>768650796</v>
      </c>
      <c r="AR186">
        <v>172943031</v>
      </c>
      <c r="AS186">
        <v>0</v>
      </c>
      <c r="AT186">
        <v>19219667</v>
      </c>
      <c r="AU186">
        <v>172943031</v>
      </c>
      <c r="AV186">
        <v>192162699</v>
      </c>
      <c r="AW186">
        <v>17.421099999999999</v>
      </c>
      <c r="AX186">
        <v>3.2529400000000002</v>
      </c>
      <c r="AY186">
        <v>2712.24</v>
      </c>
      <c r="AZ186">
        <v>1391.31</v>
      </c>
      <c r="BA186">
        <v>1193</v>
      </c>
      <c r="BB186">
        <v>252</v>
      </c>
      <c r="BC186" t="str">
        <f t="shared" si="6"/>
        <v>u=10%, k=2x10^6</v>
      </c>
      <c r="BD186">
        <f t="shared" si="7"/>
        <v>4</v>
      </c>
    </row>
    <row r="187" spans="1:56">
      <c r="A187" t="s">
        <v>404</v>
      </c>
      <c r="B187" t="s">
        <v>105</v>
      </c>
      <c r="D187" t="s">
        <v>64</v>
      </c>
      <c r="E187" t="s">
        <v>59</v>
      </c>
      <c r="F187" t="s">
        <v>60</v>
      </c>
      <c r="G187">
        <v>8000</v>
      </c>
      <c r="H187">
        <v>5</v>
      </c>
      <c r="I187">
        <v>5</v>
      </c>
      <c r="J187">
        <v>0</v>
      </c>
      <c r="K187">
        <v>1</v>
      </c>
      <c r="L187">
        <v>2000000</v>
      </c>
      <c r="M187">
        <v>190</v>
      </c>
      <c r="N187">
        <v>190</v>
      </c>
      <c r="O187">
        <v>190</v>
      </c>
      <c r="P187">
        <v>0</v>
      </c>
      <c r="Q187" t="s">
        <v>61</v>
      </c>
      <c r="R187">
        <v>999773868633</v>
      </c>
      <c r="S187">
        <v>1000372</v>
      </c>
      <c r="T187">
        <v>999773868633</v>
      </c>
      <c r="U187">
        <v>1000372</v>
      </c>
      <c r="V187" t="s">
        <v>71</v>
      </c>
      <c r="W187">
        <v>25</v>
      </c>
      <c r="X187">
        <v>686176</v>
      </c>
      <c r="Y187">
        <v>520184</v>
      </c>
      <c r="Z187">
        <v>1206360</v>
      </c>
      <c r="AA187">
        <v>1000372</v>
      </c>
      <c r="AB187">
        <v>1.7580899999999999</v>
      </c>
      <c r="AC187">
        <v>1.9231100000000001</v>
      </c>
      <c r="AD187">
        <v>1.82925</v>
      </c>
      <c r="AE187">
        <v>19.8401</v>
      </c>
      <c r="AF187">
        <v>67556160</v>
      </c>
      <c r="AJ187">
        <v>9530</v>
      </c>
      <c r="AM187">
        <v>1348498079</v>
      </c>
      <c r="AN187">
        <v>0</v>
      </c>
      <c r="AO187">
        <v>149827388</v>
      </c>
      <c r="AP187">
        <v>1348498079</v>
      </c>
      <c r="AQ187">
        <v>1498325467</v>
      </c>
      <c r="AR187">
        <v>168562259</v>
      </c>
      <c r="AS187">
        <v>0</v>
      </c>
      <c r="AT187">
        <v>18728423</v>
      </c>
      <c r="AU187">
        <v>168562259</v>
      </c>
      <c r="AV187">
        <v>187290683</v>
      </c>
      <c r="AW187">
        <v>17.720400000000001</v>
      </c>
      <c r="AX187">
        <v>3.3399899999999998</v>
      </c>
      <c r="AY187">
        <v>2777.35</v>
      </c>
      <c r="AZ187">
        <v>1459.67</v>
      </c>
      <c r="BA187">
        <v>1202</v>
      </c>
      <c r="BB187">
        <v>362</v>
      </c>
      <c r="BC187" t="str">
        <f t="shared" si="6"/>
        <v>u=10%, k=2x10^6</v>
      </c>
      <c r="BD187">
        <f t="shared" si="7"/>
        <v>8</v>
      </c>
    </row>
    <row r="188" spans="1:56">
      <c r="A188" t="s">
        <v>405</v>
      </c>
      <c r="B188" t="s">
        <v>105</v>
      </c>
      <c r="D188" t="s">
        <v>64</v>
      </c>
      <c r="E188" t="s">
        <v>59</v>
      </c>
      <c r="F188" t="s">
        <v>60</v>
      </c>
      <c r="G188">
        <v>16000</v>
      </c>
      <c r="H188">
        <v>5</v>
      </c>
      <c r="I188">
        <v>5</v>
      </c>
      <c r="J188">
        <v>0</v>
      </c>
      <c r="K188">
        <v>1</v>
      </c>
      <c r="L188">
        <v>2000000</v>
      </c>
      <c r="M188">
        <v>190</v>
      </c>
      <c r="N188">
        <v>190</v>
      </c>
      <c r="O188">
        <v>190</v>
      </c>
      <c r="P188">
        <v>0</v>
      </c>
      <c r="Q188" t="s">
        <v>61</v>
      </c>
      <c r="R188">
        <v>999925250698</v>
      </c>
      <c r="S188">
        <v>1000307</v>
      </c>
      <c r="T188">
        <v>999925250698</v>
      </c>
      <c r="U188">
        <v>1000307</v>
      </c>
      <c r="V188" t="s">
        <v>71</v>
      </c>
      <c r="W188">
        <v>25</v>
      </c>
      <c r="X188">
        <v>686175</v>
      </c>
      <c r="Y188">
        <v>520399</v>
      </c>
      <c r="Z188">
        <v>1206574</v>
      </c>
      <c r="AA188">
        <v>1000307</v>
      </c>
      <c r="AB188">
        <v>1.75841</v>
      </c>
      <c r="AC188">
        <v>1.9221900000000001</v>
      </c>
      <c r="AD188">
        <v>1.8290500000000001</v>
      </c>
      <c r="AE188">
        <v>19.8203</v>
      </c>
      <c r="AF188">
        <v>67568144</v>
      </c>
      <c r="AJ188">
        <v>18412</v>
      </c>
      <c r="AM188">
        <v>2646617910</v>
      </c>
      <c r="AN188">
        <v>0</v>
      </c>
      <c r="AO188">
        <v>294071404</v>
      </c>
      <c r="AP188">
        <v>2646617910</v>
      </c>
      <c r="AQ188">
        <v>2940689314</v>
      </c>
      <c r="AR188">
        <v>165413619</v>
      </c>
      <c r="AS188">
        <v>0</v>
      </c>
      <c r="AT188">
        <v>18379462</v>
      </c>
      <c r="AU188">
        <v>165413619</v>
      </c>
      <c r="AV188">
        <v>183793082</v>
      </c>
      <c r="AW188">
        <v>18.244</v>
      </c>
      <c r="AX188">
        <v>3.4437099999999998</v>
      </c>
      <c r="AY188">
        <v>2832.27</v>
      </c>
      <c r="AZ188">
        <v>1518.94</v>
      </c>
      <c r="BA188">
        <v>1216</v>
      </c>
      <c r="BB188">
        <v>352</v>
      </c>
      <c r="BC188" t="str">
        <f t="shared" si="6"/>
        <v>u=10%, k=2x10^6</v>
      </c>
      <c r="BD188">
        <f t="shared" si="7"/>
        <v>16</v>
      </c>
    </row>
    <row r="189" spans="1:56">
      <c r="A189" t="s">
        <v>406</v>
      </c>
      <c r="B189" t="s">
        <v>105</v>
      </c>
      <c r="D189" t="s">
        <v>64</v>
      </c>
      <c r="E189" t="s">
        <v>59</v>
      </c>
      <c r="F189" t="s">
        <v>60</v>
      </c>
      <c r="G189">
        <v>32000</v>
      </c>
      <c r="H189">
        <v>5</v>
      </c>
      <c r="I189">
        <v>5</v>
      </c>
      <c r="J189">
        <v>0</v>
      </c>
      <c r="K189">
        <v>1</v>
      </c>
      <c r="L189">
        <v>2000000</v>
      </c>
      <c r="M189">
        <v>190</v>
      </c>
      <c r="N189">
        <v>190</v>
      </c>
      <c r="O189">
        <v>190</v>
      </c>
      <c r="P189">
        <v>0</v>
      </c>
      <c r="Q189" t="s">
        <v>61</v>
      </c>
      <c r="R189">
        <v>1000022506519</v>
      </c>
      <c r="S189">
        <v>1000225</v>
      </c>
      <c r="T189">
        <v>1000022506519</v>
      </c>
      <c r="U189">
        <v>1000225</v>
      </c>
      <c r="V189" t="s">
        <v>71</v>
      </c>
      <c r="W189">
        <v>25</v>
      </c>
      <c r="X189">
        <v>686261</v>
      </c>
      <c r="Y189">
        <v>520045</v>
      </c>
      <c r="Z189">
        <v>1206306</v>
      </c>
      <c r="AA189">
        <v>1000225</v>
      </c>
      <c r="AB189">
        <v>1.75779</v>
      </c>
      <c r="AC189">
        <v>1.92334</v>
      </c>
      <c r="AD189">
        <v>1.8291599999999999</v>
      </c>
      <c r="AE189">
        <v>19.852499999999999</v>
      </c>
      <c r="AF189">
        <v>67553136</v>
      </c>
      <c r="AJ189">
        <v>35616</v>
      </c>
      <c r="AM189">
        <v>5197381910</v>
      </c>
      <c r="AN189">
        <v>0</v>
      </c>
      <c r="AO189">
        <v>577458397</v>
      </c>
      <c r="AP189">
        <v>5197381910</v>
      </c>
      <c r="AQ189">
        <v>5774840307</v>
      </c>
      <c r="AR189">
        <v>162418184</v>
      </c>
      <c r="AS189">
        <v>0</v>
      </c>
      <c r="AT189">
        <v>18045574</v>
      </c>
      <c r="AU189">
        <v>162418184</v>
      </c>
      <c r="AV189">
        <v>180463759</v>
      </c>
      <c r="AW189">
        <v>18.7591</v>
      </c>
      <c r="AX189">
        <v>3.49796</v>
      </c>
      <c r="AY189">
        <v>2883.14</v>
      </c>
      <c r="AZ189">
        <v>1564.24</v>
      </c>
      <c r="BA189">
        <v>1233</v>
      </c>
      <c r="BB189">
        <v>256</v>
      </c>
      <c r="BC189" t="str">
        <f t="shared" si="6"/>
        <v>u=10%, k=2x10^6</v>
      </c>
      <c r="BD189">
        <f t="shared" si="7"/>
        <v>32</v>
      </c>
    </row>
    <row r="190" spans="1:56">
      <c r="A190" t="s">
        <v>407</v>
      </c>
      <c r="B190" t="s">
        <v>105</v>
      </c>
      <c r="D190" t="s">
        <v>64</v>
      </c>
      <c r="E190" t="s">
        <v>59</v>
      </c>
      <c r="F190" t="s">
        <v>60</v>
      </c>
      <c r="G190">
        <v>64000</v>
      </c>
      <c r="H190">
        <v>5</v>
      </c>
      <c r="I190">
        <v>5</v>
      </c>
      <c r="J190">
        <v>0</v>
      </c>
      <c r="K190">
        <v>1</v>
      </c>
      <c r="L190">
        <v>2000000</v>
      </c>
      <c r="M190">
        <v>190</v>
      </c>
      <c r="N190">
        <v>190</v>
      </c>
      <c r="O190">
        <v>190</v>
      </c>
      <c r="P190">
        <v>0</v>
      </c>
      <c r="Q190" t="s">
        <v>61</v>
      </c>
      <c r="R190">
        <v>1001031760899</v>
      </c>
      <c r="S190">
        <v>1000822</v>
      </c>
      <c r="T190">
        <v>1001031760899</v>
      </c>
      <c r="U190">
        <v>1000822</v>
      </c>
      <c r="V190" t="s">
        <v>71</v>
      </c>
      <c r="W190">
        <v>25</v>
      </c>
      <c r="X190">
        <v>686054</v>
      </c>
      <c r="Y190">
        <v>520615</v>
      </c>
      <c r="Z190">
        <v>1206669</v>
      </c>
      <c r="AA190">
        <v>1000822</v>
      </c>
      <c r="AB190">
        <v>1.75885</v>
      </c>
      <c r="AC190">
        <v>1.92238</v>
      </c>
      <c r="AD190">
        <v>1.82941</v>
      </c>
      <c r="AE190">
        <v>19.837399999999999</v>
      </c>
      <c r="AF190">
        <v>67573464</v>
      </c>
      <c r="AJ190">
        <v>70132</v>
      </c>
      <c r="AM190">
        <v>10178971288</v>
      </c>
      <c r="AN190">
        <v>0</v>
      </c>
      <c r="AO190">
        <v>1130960682</v>
      </c>
      <c r="AP190">
        <v>10178971288</v>
      </c>
      <c r="AQ190">
        <v>11309931970</v>
      </c>
      <c r="AR190">
        <v>159046426</v>
      </c>
      <c r="AS190">
        <v>0</v>
      </c>
      <c r="AT190">
        <v>17671260</v>
      </c>
      <c r="AU190">
        <v>159046426</v>
      </c>
      <c r="AV190">
        <v>176717687</v>
      </c>
      <c r="AW190">
        <v>19.4147</v>
      </c>
      <c r="AX190">
        <v>3.4811899999999998</v>
      </c>
      <c r="AY190">
        <v>2943.32</v>
      </c>
      <c r="AZ190">
        <v>1597.41</v>
      </c>
      <c r="BA190">
        <v>1246</v>
      </c>
      <c r="BB190">
        <v>255</v>
      </c>
      <c r="BC190" t="str">
        <f t="shared" si="6"/>
        <v>u=10%, k=2x10^6</v>
      </c>
      <c r="BD190">
        <f t="shared" si="7"/>
        <v>64</v>
      </c>
    </row>
    <row r="191" spans="1:56">
      <c r="A191" t="s">
        <v>408</v>
      </c>
      <c r="B191" t="s">
        <v>305</v>
      </c>
      <c r="D191" t="s">
        <v>64</v>
      </c>
      <c r="E191" t="s">
        <v>59</v>
      </c>
      <c r="F191" t="s">
        <v>60</v>
      </c>
      <c r="G191">
        <v>1000</v>
      </c>
      <c r="H191">
        <v>5</v>
      </c>
      <c r="I191">
        <v>5</v>
      </c>
      <c r="J191">
        <v>0</v>
      </c>
      <c r="K191">
        <v>1</v>
      </c>
      <c r="L191">
        <v>2000000</v>
      </c>
      <c r="M191">
        <v>190</v>
      </c>
      <c r="N191">
        <v>190</v>
      </c>
      <c r="O191">
        <v>190</v>
      </c>
      <c r="P191">
        <v>0</v>
      </c>
      <c r="Q191" t="s">
        <v>61</v>
      </c>
      <c r="R191">
        <v>1001052913094</v>
      </c>
      <c r="S191">
        <v>1000427</v>
      </c>
      <c r="T191">
        <v>1001052913094</v>
      </c>
      <c r="U191">
        <v>1000427</v>
      </c>
      <c r="V191" t="s">
        <v>71</v>
      </c>
      <c r="W191">
        <v>49</v>
      </c>
      <c r="X191">
        <v>1000426</v>
      </c>
      <c r="Y191">
        <v>1000427</v>
      </c>
      <c r="Z191">
        <v>2000853</v>
      </c>
      <c r="AA191">
        <v>1000427</v>
      </c>
      <c r="AB191">
        <v>2</v>
      </c>
      <c r="AC191">
        <v>1</v>
      </c>
      <c r="AD191">
        <v>1.5</v>
      </c>
      <c r="AE191">
        <v>26.764399999999998</v>
      </c>
      <c r="AF191">
        <v>64027296</v>
      </c>
      <c r="AJ191">
        <v>1334</v>
      </c>
      <c r="AM191">
        <v>173557081</v>
      </c>
      <c r="AN191">
        <v>0</v>
      </c>
      <c r="AO191">
        <v>19282784</v>
      </c>
      <c r="AP191">
        <v>173557081</v>
      </c>
      <c r="AQ191">
        <v>192839865</v>
      </c>
      <c r="AR191">
        <v>173557081</v>
      </c>
      <c r="AS191">
        <v>0</v>
      </c>
      <c r="AT191">
        <v>19282784</v>
      </c>
      <c r="AU191">
        <v>173557081</v>
      </c>
      <c r="AV191">
        <v>192839865</v>
      </c>
      <c r="AW191">
        <v>12.809100000000001</v>
      </c>
      <c r="AX191">
        <v>2.40524</v>
      </c>
      <c r="AY191">
        <v>2742.54</v>
      </c>
      <c r="AZ191">
        <v>1753.49</v>
      </c>
      <c r="BA191">
        <v>1176</v>
      </c>
      <c r="BB191">
        <v>219</v>
      </c>
      <c r="BC191" t="str">
        <f t="shared" si="6"/>
        <v>u=10%, k=2x10^6</v>
      </c>
      <c r="BD191">
        <f t="shared" si="7"/>
        <v>1</v>
      </c>
    </row>
    <row r="192" spans="1:56">
      <c r="A192" t="s">
        <v>409</v>
      </c>
      <c r="B192" t="s">
        <v>305</v>
      </c>
      <c r="D192" t="s">
        <v>64</v>
      </c>
      <c r="E192" t="s">
        <v>59</v>
      </c>
      <c r="F192" t="s">
        <v>60</v>
      </c>
      <c r="G192">
        <v>2000</v>
      </c>
      <c r="H192">
        <v>5</v>
      </c>
      <c r="I192">
        <v>5</v>
      </c>
      <c r="J192">
        <v>0</v>
      </c>
      <c r="K192">
        <v>1</v>
      </c>
      <c r="L192">
        <v>2000000</v>
      </c>
      <c r="M192">
        <v>190</v>
      </c>
      <c r="N192">
        <v>190</v>
      </c>
      <c r="O192">
        <v>190</v>
      </c>
      <c r="P192">
        <v>0</v>
      </c>
      <c r="Q192" t="s">
        <v>61</v>
      </c>
      <c r="R192">
        <v>1002033540321</v>
      </c>
      <c r="S192">
        <v>1002255</v>
      </c>
      <c r="T192">
        <v>1002033540321</v>
      </c>
      <c r="U192">
        <v>1002255</v>
      </c>
      <c r="V192" t="s">
        <v>71</v>
      </c>
      <c r="W192">
        <v>49</v>
      </c>
      <c r="X192">
        <v>1002254</v>
      </c>
      <c r="Y192">
        <v>1002255</v>
      </c>
      <c r="Z192">
        <v>2004509</v>
      </c>
      <c r="AA192">
        <v>1002255</v>
      </c>
      <c r="AB192">
        <v>2</v>
      </c>
      <c r="AC192">
        <v>1</v>
      </c>
      <c r="AD192">
        <v>1.5</v>
      </c>
      <c r="AE192">
        <v>26.206399999999999</v>
      </c>
      <c r="AF192">
        <v>64144288</v>
      </c>
      <c r="AJ192" t="s">
        <v>410</v>
      </c>
      <c r="AM192">
        <v>347558649</v>
      </c>
      <c r="AN192">
        <v>0</v>
      </c>
      <c r="AO192">
        <v>38622796</v>
      </c>
      <c r="AP192">
        <v>347558649</v>
      </c>
      <c r="AQ192">
        <v>386181445</v>
      </c>
      <c r="AR192">
        <v>173779324</v>
      </c>
      <c r="AS192">
        <v>0</v>
      </c>
      <c r="AT192">
        <v>19311398</v>
      </c>
      <c r="AU192">
        <v>173779324</v>
      </c>
      <c r="AV192">
        <v>193090722</v>
      </c>
      <c r="AW192">
        <v>12.868399999999999</v>
      </c>
      <c r="AX192">
        <v>2.4809800000000002</v>
      </c>
      <c r="AY192">
        <v>2740.65</v>
      </c>
      <c r="AZ192">
        <v>1760.5</v>
      </c>
      <c r="BA192">
        <v>1183</v>
      </c>
      <c r="BB192">
        <v>316</v>
      </c>
      <c r="BC192" t="str">
        <f t="shared" si="6"/>
        <v>u=10%, k=2x10^6</v>
      </c>
      <c r="BD192">
        <f t="shared" si="7"/>
        <v>2</v>
      </c>
    </row>
    <row r="193" spans="1:56">
      <c r="A193" t="s">
        <v>411</v>
      </c>
      <c r="B193" t="s">
        <v>305</v>
      </c>
      <c r="D193" t="s">
        <v>64</v>
      </c>
      <c r="E193" t="s">
        <v>59</v>
      </c>
      <c r="F193" t="s">
        <v>60</v>
      </c>
      <c r="G193">
        <v>4000</v>
      </c>
      <c r="H193">
        <v>5</v>
      </c>
      <c r="I193">
        <v>5</v>
      </c>
      <c r="J193">
        <v>0</v>
      </c>
      <c r="K193">
        <v>1</v>
      </c>
      <c r="L193">
        <v>2000000</v>
      </c>
      <c r="M193">
        <v>190</v>
      </c>
      <c r="N193">
        <v>190</v>
      </c>
      <c r="O193">
        <v>190</v>
      </c>
      <c r="P193">
        <v>0</v>
      </c>
      <c r="Q193" t="s">
        <v>61</v>
      </c>
      <c r="R193">
        <v>999004146078</v>
      </c>
      <c r="S193">
        <v>999370</v>
      </c>
      <c r="T193">
        <v>999004146078</v>
      </c>
      <c r="U193">
        <v>999370</v>
      </c>
      <c r="V193" t="s">
        <v>71</v>
      </c>
      <c r="W193">
        <v>49</v>
      </c>
      <c r="X193">
        <v>999369</v>
      </c>
      <c r="Y193">
        <v>999370</v>
      </c>
      <c r="Z193">
        <v>1998739</v>
      </c>
      <c r="AA193">
        <v>999370</v>
      </c>
      <c r="AB193">
        <v>2</v>
      </c>
      <c r="AC193">
        <v>1</v>
      </c>
      <c r="AD193">
        <v>1.5</v>
      </c>
      <c r="AE193">
        <v>25.7075</v>
      </c>
      <c r="AF193">
        <v>63959648</v>
      </c>
      <c r="AJ193">
        <v>4768</v>
      </c>
      <c r="AM193">
        <v>683050760</v>
      </c>
      <c r="AN193">
        <v>0</v>
      </c>
      <c r="AO193">
        <v>75899796</v>
      </c>
      <c r="AP193">
        <v>683050760</v>
      </c>
      <c r="AQ193">
        <v>758950556</v>
      </c>
      <c r="AR193">
        <v>170762690</v>
      </c>
      <c r="AS193">
        <v>0</v>
      </c>
      <c r="AT193">
        <v>18974949</v>
      </c>
      <c r="AU193">
        <v>170762690</v>
      </c>
      <c r="AV193">
        <v>189737639</v>
      </c>
      <c r="AW193">
        <v>13.0517</v>
      </c>
      <c r="AX193">
        <v>2.5890499999999999</v>
      </c>
      <c r="AY193">
        <v>2788.86</v>
      </c>
      <c r="AZ193">
        <v>1810.5</v>
      </c>
      <c r="BA193">
        <v>1192</v>
      </c>
      <c r="BB193">
        <v>241</v>
      </c>
      <c r="BC193" t="str">
        <f t="shared" si="6"/>
        <v>u=10%, k=2x10^6</v>
      </c>
      <c r="BD193">
        <f t="shared" si="7"/>
        <v>4</v>
      </c>
    </row>
    <row r="194" spans="1:56">
      <c r="A194" t="s">
        <v>412</v>
      </c>
      <c r="B194" t="s">
        <v>305</v>
      </c>
      <c r="D194" t="s">
        <v>64</v>
      </c>
      <c r="E194" t="s">
        <v>59</v>
      </c>
      <c r="F194" t="s">
        <v>60</v>
      </c>
      <c r="G194">
        <v>8000</v>
      </c>
      <c r="H194">
        <v>5</v>
      </c>
      <c r="I194">
        <v>5</v>
      </c>
      <c r="J194">
        <v>0</v>
      </c>
      <c r="K194">
        <v>1</v>
      </c>
      <c r="L194">
        <v>2000000</v>
      </c>
      <c r="M194">
        <v>190</v>
      </c>
      <c r="N194">
        <v>190</v>
      </c>
      <c r="O194">
        <v>190</v>
      </c>
      <c r="P194">
        <v>0</v>
      </c>
      <c r="Q194" t="s">
        <v>61</v>
      </c>
      <c r="R194">
        <v>1000650965870</v>
      </c>
      <c r="S194">
        <v>1000262</v>
      </c>
      <c r="T194">
        <v>1000650965870</v>
      </c>
      <c r="U194">
        <v>1000262</v>
      </c>
      <c r="V194" t="s">
        <v>71</v>
      </c>
      <c r="W194">
        <v>46</v>
      </c>
      <c r="X194">
        <v>1000261</v>
      </c>
      <c r="Y194">
        <v>1000262</v>
      </c>
      <c r="Z194">
        <v>2000523</v>
      </c>
      <c r="AA194">
        <v>1000262</v>
      </c>
      <c r="AB194">
        <v>2</v>
      </c>
      <c r="AC194">
        <v>1</v>
      </c>
      <c r="AD194">
        <v>1.5</v>
      </c>
      <c r="AE194">
        <v>25.847000000000001</v>
      </c>
      <c r="AF194">
        <v>64016736</v>
      </c>
      <c r="AJ194">
        <v>9244</v>
      </c>
      <c r="AM194">
        <v>1352700859</v>
      </c>
      <c r="AN194">
        <v>0</v>
      </c>
      <c r="AO194">
        <v>150306435</v>
      </c>
      <c r="AP194">
        <v>1352700859</v>
      </c>
      <c r="AQ194">
        <v>1503007294</v>
      </c>
      <c r="AR194">
        <v>169087607</v>
      </c>
      <c r="AS194">
        <v>0</v>
      </c>
      <c r="AT194">
        <v>18788304</v>
      </c>
      <c r="AU194">
        <v>169087607</v>
      </c>
      <c r="AV194">
        <v>187875911</v>
      </c>
      <c r="AW194">
        <v>13.2966</v>
      </c>
      <c r="AX194">
        <v>2.6997599999999999</v>
      </c>
      <c r="AY194">
        <v>2817.25</v>
      </c>
      <c r="AZ194">
        <v>1850.15</v>
      </c>
      <c r="BA194">
        <v>1207</v>
      </c>
      <c r="BB194">
        <v>217</v>
      </c>
      <c r="BC194" t="str">
        <f t="shared" si="6"/>
        <v>u=10%, k=2x10^6</v>
      </c>
      <c r="BD194">
        <f t="shared" si="7"/>
        <v>8</v>
      </c>
    </row>
    <row r="195" spans="1:56">
      <c r="A195" t="s">
        <v>413</v>
      </c>
      <c r="B195" t="s">
        <v>305</v>
      </c>
      <c r="D195" t="s">
        <v>64</v>
      </c>
      <c r="E195" t="s">
        <v>59</v>
      </c>
      <c r="F195" t="s">
        <v>60</v>
      </c>
      <c r="G195">
        <v>16000</v>
      </c>
      <c r="H195">
        <v>5</v>
      </c>
      <c r="I195">
        <v>5</v>
      </c>
      <c r="J195">
        <v>0</v>
      </c>
      <c r="K195">
        <v>1</v>
      </c>
      <c r="L195">
        <v>2000000</v>
      </c>
      <c r="M195">
        <v>190</v>
      </c>
      <c r="N195">
        <v>190</v>
      </c>
      <c r="O195">
        <v>190</v>
      </c>
      <c r="P195">
        <v>0</v>
      </c>
      <c r="Q195" t="s">
        <v>61</v>
      </c>
      <c r="R195">
        <v>999156262301</v>
      </c>
      <c r="S195">
        <v>998884</v>
      </c>
      <c r="T195">
        <v>999156262301</v>
      </c>
      <c r="U195">
        <v>998884</v>
      </c>
      <c r="V195" t="s">
        <v>71</v>
      </c>
      <c r="W195">
        <v>45</v>
      </c>
      <c r="X195">
        <v>998883</v>
      </c>
      <c r="Y195">
        <v>998884</v>
      </c>
      <c r="Z195">
        <v>1997767</v>
      </c>
      <c r="AA195">
        <v>998884</v>
      </c>
      <c r="AB195">
        <v>2</v>
      </c>
      <c r="AC195">
        <v>1</v>
      </c>
      <c r="AD195">
        <v>1.5</v>
      </c>
      <c r="AE195">
        <v>25.398499999999999</v>
      </c>
      <c r="AF195">
        <v>63928544</v>
      </c>
      <c r="AJ195" t="s">
        <v>414</v>
      </c>
      <c r="AM195">
        <v>2705723801</v>
      </c>
      <c r="AN195">
        <v>0</v>
      </c>
      <c r="AO195">
        <v>300647133</v>
      </c>
      <c r="AP195">
        <v>2705723801</v>
      </c>
      <c r="AQ195">
        <v>3006370934</v>
      </c>
      <c r="AR195">
        <v>169107737</v>
      </c>
      <c r="AS195">
        <v>0</v>
      </c>
      <c r="AT195">
        <v>18790445</v>
      </c>
      <c r="AU195">
        <v>169107737</v>
      </c>
      <c r="AV195">
        <v>187898183</v>
      </c>
      <c r="AW195">
        <v>13.6105</v>
      </c>
      <c r="AX195">
        <v>2.7302</v>
      </c>
      <c r="AY195">
        <v>2816.04</v>
      </c>
      <c r="AZ195">
        <v>1852.58</v>
      </c>
      <c r="BA195">
        <v>1222</v>
      </c>
      <c r="BB195">
        <v>276</v>
      </c>
      <c r="BC195" t="str">
        <f t="shared" si="6"/>
        <v>u=10%, k=2x10^6</v>
      </c>
      <c r="BD195">
        <f t="shared" si="7"/>
        <v>16</v>
      </c>
    </row>
    <row r="196" spans="1:56">
      <c r="A196" t="s">
        <v>415</v>
      </c>
      <c r="B196" t="s">
        <v>305</v>
      </c>
      <c r="D196" t="s">
        <v>64</v>
      </c>
      <c r="E196" t="s">
        <v>59</v>
      </c>
      <c r="F196" t="s">
        <v>60</v>
      </c>
      <c r="G196">
        <v>32000</v>
      </c>
      <c r="H196">
        <v>5</v>
      </c>
      <c r="I196">
        <v>5</v>
      </c>
      <c r="J196">
        <v>0</v>
      </c>
      <c r="K196">
        <v>1</v>
      </c>
      <c r="L196">
        <v>2000000</v>
      </c>
      <c r="M196">
        <v>190</v>
      </c>
      <c r="N196">
        <v>190</v>
      </c>
      <c r="O196">
        <v>190</v>
      </c>
      <c r="P196">
        <v>0</v>
      </c>
      <c r="Q196" t="s">
        <v>61</v>
      </c>
      <c r="R196">
        <v>1001880948285</v>
      </c>
      <c r="S196">
        <v>1001885</v>
      </c>
      <c r="T196">
        <v>1001880948285</v>
      </c>
      <c r="U196">
        <v>1001885</v>
      </c>
      <c r="V196" t="s">
        <v>71</v>
      </c>
      <c r="W196">
        <v>49</v>
      </c>
      <c r="X196">
        <v>1001884</v>
      </c>
      <c r="Y196">
        <v>1001885</v>
      </c>
      <c r="Z196">
        <v>2003769</v>
      </c>
      <c r="AA196">
        <v>1001885</v>
      </c>
      <c r="AB196">
        <v>2</v>
      </c>
      <c r="AC196">
        <v>1</v>
      </c>
      <c r="AD196">
        <v>1.5</v>
      </c>
      <c r="AE196">
        <v>25.631599999999999</v>
      </c>
      <c r="AF196">
        <v>64120608</v>
      </c>
      <c r="AJ196">
        <v>36326</v>
      </c>
      <c r="AM196">
        <v>5372667189</v>
      </c>
      <c r="AN196">
        <v>0</v>
      </c>
      <c r="AO196">
        <v>596963153</v>
      </c>
      <c r="AP196">
        <v>5372667189</v>
      </c>
      <c r="AQ196">
        <v>5969630342</v>
      </c>
      <c r="AR196">
        <v>167895849</v>
      </c>
      <c r="AS196">
        <v>0</v>
      </c>
      <c r="AT196">
        <v>18655098</v>
      </c>
      <c r="AU196">
        <v>167895849</v>
      </c>
      <c r="AV196">
        <v>186550948</v>
      </c>
      <c r="AW196">
        <v>13.699400000000001</v>
      </c>
      <c r="AX196">
        <v>2.6804399999999999</v>
      </c>
      <c r="AY196">
        <v>2836.86</v>
      </c>
      <c r="AZ196">
        <v>1874.27</v>
      </c>
      <c r="BA196">
        <v>1231</v>
      </c>
      <c r="BB196">
        <v>313</v>
      </c>
      <c r="BC196" t="str">
        <f t="shared" si="6"/>
        <v>u=10%, k=2x10^6</v>
      </c>
      <c r="BD196">
        <f t="shared" si="7"/>
        <v>32</v>
      </c>
    </row>
    <row r="197" spans="1:56">
      <c r="A197" t="s">
        <v>416</v>
      </c>
      <c r="B197" t="s">
        <v>305</v>
      </c>
      <c r="D197" t="s">
        <v>64</v>
      </c>
      <c r="E197" t="s">
        <v>59</v>
      </c>
      <c r="F197" t="s">
        <v>60</v>
      </c>
      <c r="G197">
        <v>64000</v>
      </c>
      <c r="H197">
        <v>5</v>
      </c>
      <c r="I197">
        <v>5</v>
      </c>
      <c r="J197">
        <v>0</v>
      </c>
      <c r="K197">
        <v>1</v>
      </c>
      <c r="L197">
        <v>2000000</v>
      </c>
      <c r="M197">
        <v>190</v>
      </c>
      <c r="N197">
        <v>190</v>
      </c>
      <c r="O197">
        <v>190</v>
      </c>
      <c r="P197">
        <v>0</v>
      </c>
      <c r="Q197" t="s">
        <v>61</v>
      </c>
      <c r="R197">
        <v>999986979666</v>
      </c>
      <c r="S197">
        <v>1000307</v>
      </c>
      <c r="T197">
        <v>999986979666</v>
      </c>
      <c r="U197">
        <v>1000307</v>
      </c>
      <c r="V197" t="s">
        <v>71</v>
      </c>
      <c r="W197">
        <v>47</v>
      </c>
      <c r="X197">
        <v>1000306</v>
      </c>
      <c r="Y197">
        <v>1000307</v>
      </c>
      <c r="Z197">
        <v>2000613</v>
      </c>
      <c r="AA197">
        <v>1000307</v>
      </c>
      <c r="AB197">
        <v>2</v>
      </c>
      <c r="AC197">
        <v>1</v>
      </c>
      <c r="AD197">
        <v>1.5</v>
      </c>
      <c r="AE197">
        <v>25.4285</v>
      </c>
      <c r="AF197">
        <v>64019616</v>
      </c>
      <c r="AJ197">
        <v>72758</v>
      </c>
      <c r="AM197">
        <v>10786979875</v>
      </c>
      <c r="AN197">
        <v>0</v>
      </c>
      <c r="AO197">
        <v>1198547064</v>
      </c>
      <c r="AP197">
        <v>10786979875</v>
      </c>
      <c r="AQ197">
        <v>11985526939</v>
      </c>
      <c r="AR197">
        <v>168546560</v>
      </c>
      <c r="AS197">
        <v>0</v>
      </c>
      <c r="AT197">
        <v>18727297</v>
      </c>
      <c r="AU197">
        <v>168546560</v>
      </c>
      <c r="AV197">
        <v>187273858</v>
      </c>
      <c r="AW197">
        <v>13.746</v>
      </c>
      <c r="AX197">
        <v>2.6085099999999999</v>
      </c>
      <c r="AY197">
        <v>2826.11</v>
      </c>
      <c r="AZ197">
        <v>1859.54</v>
      </c>
      <c r="BA197">
        <v>1227</v>
      </c>
      <c r="BB197">
        <v>222</v>
      </c>
      <c r="BC197" t="str">
        <f t="shared" si="6"/>
        <v>u=10%, k=2x10^6</v>
      </c>
      <c r="BD197">
        <f t="shared" si="7"/>
        <v>64</v>
      </c>
    </row>
    <row r="198" spans="1:56">
      <c r="A198" t="s">
        <v>417</v>
      </c>
      <c r="B198" t="s">
        <v>63</v>
      </c>
      <c r="C198">
        <v>72</v>
      </c>
      <c r="D198" t="s">
        <v>64</v>
      </c>
      <c r="E198" t="s">
        <v>59</v>
      </c>
      <c r="F198" t="s">
        <v>60</v>
      </c>
      <c r="G198">
        <v>1000</v>
      </c>
      <c r="H198">
        <v>5</v>
      </c>
      <c r="I198">
        <v>5</v>
      </c>
      <c r="J198">
        <v>0</v>
      </c>
      <c r="K198">
        <v>1</v>
      </c>
      <c r="L198">
        <v>20000000</v>
      </c>
      <c r="M198">
        <v>190</v>
      </c>
      <c r="N198">
        <v>190</v>
      </c>
      <c r="O198">
        <v>190</v>
      </c>
      <c r="P198">
        <v>0</v>
      </c>
      <c r="Q198" t="s">
        <v>61</v>
      </c>
      <c r="R198">
        <v>99971191361829</v>
      </c>
      <c r="S198">
        <v>9998676</v>
      </c>
      <c r="T198">
        <v>99971191361829</v>
      </c>
      <c r="U198">
        <v>9998676</v>
      </c>
      <c r="V198" t="s">
        <v>71</v>
      </c>
      <c r="W198">
        <v>7</v>
      </c>
      <c r="X198">
        <v>1887291</v>
      </c>
      <c r="Y198">
        <v>11987173</v>
      </c>
      <c r="Z198">
        <v>13874464</v>
      </c>
      <c r="AA198">
        <v>9998676</v>
      </c>
      <c r="AB198">
        <v>7.3515199999999998</v>
      </c>
      <c r="AC198">
        <v>0.83411500000000005</v>
      </c>
      <c r="AD198">
        <v>1.72065</v>
      </c>
      <c r="AE198">
        <v>4.0525000000000002</v>
      </c>
      <c r="AF198">
        <v>342798320</v>
      </c>
      <c r="AG198" t="s">
        <v>418</v>
      </c>
      <c r="AH198" t="s">
        <v>419</v>
      </c>
      <c r="AI198">
        <v>22515</v>
      </c>
      <c r="AJ198">
        <v>1098</v>
      </c>
      <c r="AM198">
        <v>154555437</v>
      </c>
      <c r="AN198">
        <v>0</v>
      </c>
      <c r="AO198">
        <v>17168206</v>
      </c>
      <c r="AP198">
        <v>154555437</v>
      </c>
      <c r="AQ198">
        <v>171723643</v>
      </c>
      <c r="AR198">
        <v>154555437</v>
      </c>
      <c r="AS198">
        <v>0</v>
      </c>
      <c r="AT198">
        <v>17168206</v>
      </c>
      <c r="AU198">
        <v>154555437</v>
      </c>
      <c r="AV198">
        <v>171723643</v>
      </c>
      <c r="AW198">
        <v>18.919499999999999</v>
      </c>
      <c r="AX198">
        <v>8.2865199999999994</v>
      </c>
      <c r="AY198">
        <v>2798.89</v>
      </c>
      <c r="AZ198">
        <v>1902.17</v>
      </c>
      <c r="BA198">
        <v>2772</v>
      </c>
      <c r="BB198">
        <v>368</v>
      </c>
      <c r="BC198" t="str">
        <f t="shared" si="6"/>
        <v>u=10%, k=2x10^7</v>
      </c>
      <c r="BD198">
        <f t="shared" si="7"/>
        <v>1</v>
      </c>
    </row>
    <row r="199" spans="1:56">
      <c r="A199" t="s">
        <v>420</v>
      </c>
      <c r="B199" t="s">
        <v>63</v>
      </c>
      <c r="C199">
        <v>72</v>
      </c>
      <c r="D199" t="s">
        <v>64</v>
      </c>
      <c r="E199" t="s">
        <v>59</v>
      </c>
      <c r="F199" t="s">
        <v>60</v>
      </c>
      <c r="G199">
        <v>2000</v>
      </c>
      <c r="H199">
        <v>5</v>
      </c>
      <c r="I199">
        <v>5</v>
      </c>
      <c r="J199">
        <v>0</v>
      </c>
      <c r="K199">
        <v>1</v>
      </c>
      <c r="L199">
        <v>20000000</v>
      </c>
      <c r="M199">
        <v>190</v>
      </c>
      <c r="N199">
        <v>190</v>
      </c>
      <c r="O199">
        <v>190</v>
      </c>
      <c r="P199">
        <v>0</v>
      </c>
      <c r="Q199" t="s">
        <v>61</v>
      </c>
      <c r="R199">
        <v>100020190204441</v>
      </c>
      <c r="S199">
        <v>10003532</v>
      </c>
      <c r="T199">
        <v>100020190204441</v>
      </c>
      <c r="U199">
        <v>10003532</v>
      </c>
      <c r="V199" t="s">
        <v>71</v>
      </c>
      <c r="W199">
        <v>7</v>
      </c>
      <c r="X199">
        <v>1760466</v>
      </c>
      <c r="Y199">
        <v>11724740</v>
      </c>
      <c r="Z199">
        <v>13485206</v>
      </c>
      <c r="AA199">
        <v>10003532</v>
      </c>
      <c r="AB199">
        <v>7.6600200000000003</v>
      </c>
      <c r="AC199">
        <v>0.85319900000000004</v>
      </c>
      <c r="AD199">
        <v>1.7418199999999999</v>
      </c>
      <c r="AE199">
        <v>4.0276199999999998</v>
      </c>
      <c r="AF199">
        <v>328435136</v>
      </c>
      <c r="AG199" t="s">
        <v>421</v>
      </c>
      <c r="AH199" t="s">
        <v>422</v>
      </c>
      <c r="AI199">
        <v>48694</v>
      </c>
      <c r="AJ199">
        <v>2208</v>
      </c>
      <c r="AM199">
        <v>309240335</v>
      </c>
      <c r="AN199">
        <v>0</v>
      </c>
      <c r="AO199">
        <v>34358097</v>
      </c>
      <c r="AP199">
        <v>309240335</v>
      </c>
      <c r="AQ199">
        <v>343598432</v>
      </c>
      <c r="AR199">
        <v>154620167</v>
      </c>
      <c r="AS199">
        <v>0</v>
      </c>
      <c r="AT199">
        <v>17179048</v>
      </c>
      <c r="AU199">
        <v>154620167</v>
      </c>
      <c r="AV199">
        <v>171799216</v>
      </c>
      <c r="AW199">
        <v>19.154599999999999</v>
      </c>
      <c r="AX199">
        <v>8.4454899999999995</v>
      </c>
      <c r="AY199">
        <v>2912.64</v>
      </c>
      <c r="AZ199">
        <v>1996.13</v>
      </c>
      <c r="BA199">
        <v>2822</v>
      </c>
      <c r="BB199">
        <v>383</v>
      </c>
      <c r="BC199" t="str">
        <f t="shared" si="6"/>
        <v>u=10%, k=2x10^7</v>
      </c>
      <c r="BD199">
        <f t="shared" si="7"/>
        <v>2</v>
      </c>
    </row>
    <row r="200" spans="1:56">
      <c r="A200" t="s">
        <v>423</v>
      </c>
      <c r="B200" t="s">
        <v>63</v>
      </c>
      <c r="C200">
        <v>72</v>
      </c>
      <c r="D200" t="s">
        <v>64</v>
      </c>
      <c r="E200" t="s">
        <v>59</v>
      </c>
      <c r="F200" t="s">
        <v>60</v>
      </c>
      <c r="G200">
        <v>4000</v>
      </c>
      <c r="H200">
        <v>5</v>
      </c>
      <c r="I200">
        <v>5</v>
      </c>
      <c r="J200">
        <v>0</v>
      </c>
      <c r="K200">
        <v>1</v>
      </c>
      <c r="L200">
        <v>20000000</v>
      </c>
      <c r="M200">
        <v>190</v>
      </c>
      <c r="N200">
        <v>190</v>
      </c>
      <c r="O200">
        <v>190</v>
      </c>
      <c r="P200">
        <v>0</v>
      </c>
      <c r="Q200" t="s">
        <v>61</v>
      </c>
      <c r="R200">
        <v>99959028880603</v>
      </c>
      <c r="S200">
        <v>9996653</v>
      </c>
      <c r="T200">
        <v>99959028880603</v>
      </c>
      <c r="U200">
        <v>9996653</v>
      </c>
      <c r="V200" t="s">
        <v>71</v>
      </c>
      <c r="W200">
        <v>7</v>
      </c>
      <c r="X200">
        <v>1685682</v>
      </c>
      <c r="Y200">
        <v>11560622</v>
      </c>
      <c r="Z200">
        <v>13246304</v>
      </c>
      <c r="AA200">
        <v>9996653</v>
      </c>
      <c r="AB200">
        <v>7.8581300000000001</v>
      </c>
      <c r="AC200">
        <v>0.86471600000000004</v>
      </c>
      <c r="AD200">
        <v>1.75467</v>
      </c>
      <c r="AE200">
        <v>4.0120899999999997</v>
      </c>
      <c r="AF200">
        <v>319824544</v>
      </c>
      <c r="AG200" t="s">
        <v>424</v>
      </c>
      <c r="AH200" t="s">
        <v>425</v>
      </c>
      <c r="AI200">
        <v>99663</v>
      </c>
      <c r="AJ200">
        <v>4544</v>
      </c>
      <c r="AM200">
        <v>632508747</v>
      </c>
      <c r="AN200">
        <v>0</v>
      </c>
      <c r="AO200">
        <v>70271227</v>
      </c>
      <c r="AP200">
        <v>632508747</v>
      </c>
      <c r="AQ200">
        <v>702779974</v>
      </c>
      <c r="AR200">
        <v>158127186</v>
      </c>
      <c r="AS200">
        <v>0</v>
      </c>
      <c r="AT200">
        <v>17567806</v>
      </c>
      <c r="AU200">
        <v>158127186</v>
      </c>
      <c r="AV200">
        <v>175694993</v>
      </c>
      <c r="AW200">
        <v>19.223800000000001</v>
      </c>
      <c r="AX200">
        <v>8.5370500000000007</v>
      </c>
      <c r="AY200">
        <v>2909.03</v>
      </c>
      <c r="AZ200">
        <v>1992.15</v>
      </c>
      <c r="BA200">
        <v>2866</v>
      </c>
      <c r="BB200">
        <v>346</v>
      </c>
      <c r="BC200" t="str">
        <f t="shared" si="6"/>
        <v>u=10%, k=2x10^7</v>
      </c>
      <c r="BD200">
        <f t="shared" si="7"/>
        <v>4</v>
      </c>
    </row>
    <row r="201" spans="1:56">
      <c r="A201" t="s">
        <v>426</v>
      </c>
      <c r="B201" t="s">
        <v>63</v>
      </c>
      <c r="C201">
        <v>72</v>
      </c>
      <c r="D201" t="s">
        <v>64</v>
      </c>
      <c r="E201" t="s">
        <v>59</v>
      </c>
      <c r="F201" t="s">
        <v>60</v>
      </c>
      <c r="G201">
        <v>8000</v>
      </c>
      <c r="H201">
        <v>5</v>
      </c>
      <c r="I201">
        <v>5</v>
      </c>
      <c r="J201">
        <v>0</v>
      </c>
      <c r="K201">
        <v>1</v>
      </c>
      <c r="L201">
        <v>20000000</v>
      </c>
      <c r="M201">
        <v>190</v>
      </c>
      <c r="N201">
        <v>190</v>
      </c>
      <c r="O201">
        <v>190</v>
      </c>
      <c r="P201">
        <v>0</v>
      </c>
      <c r="Q201" t="s">
        <v>61</v>
      </c>
      <c r="R201">
        <v>100007707546060</v>
      </c>
      <c r="S201">
        <v>9999471</v>
      </c>
      <c r="T201">
        <v>100007707546060</v>
      </c>
      <c r="U201">
        <v>9999471</v>
      </c>
      <c r="V201" t="s">
        <v>71</v>
      </c>
      <c r="W201">
        <v>7</v>
      </c>
      <c r="X201">
        <v>1837751</v>
      </c>
      <c r="Y201">
        <v>11879250</v>
      </c>
      <c r="Z201">
        <v>13717001</v>
      </c>
      <c r="AA201">
        <v>9999471</v>
      </c>
      <c r="AB201">
        <v>7.46401</v>
      </c>
      <c r="AC201">
        <v>0.84175900000000003</v>
      </c>
      <c r="AD201">
        <v>1.72898</v>
      </c>
      <c r="AE201">
        <v>4.04244</v>
      </c>
      <c r="AF201">
        <v>337094640</v>
      </c>
      <c r="AG201" t="s">
        <v>427</v>
      </c>
      <c r="AH201" t="s">
        <v>428</v>
      </c>
      <c r="AI201">
        <v>192667</v>
      </c>
      <c r="AJ201">
        <v>8770</v>
      </c>
      <c r="AM201">
        <v>1227305260</v>
      </c>
      <c r="AN201">
        <v>0</v>
      </c>
      <c r="AO201">
        <v>136371507</v>
      </c>
      <c r="AP201">
        <v>1227305260</v>
      </c>
      <c r="AQ201">
        <v>1363676767</v>
      </c>
      <c r="AR201">
        <v>153413157</v>
      </c>
      <c r="AS201">
        <v>0</v>
      </c>
      <c r="AT201">
        <v>17046438</v>
      </c>
      <c r="AU201">
        <v>153413157</v>
      </c>
      <c r="AV201">
        <v>170459595</v>
      </c>
      <c r="AW201">
        <v>19.380600000000001</v>
      </c>
      <c r="AX201">
        <v>8.5429999999999993</v>
      </c>
      <c r="AY201">
        <v>3023.46</v>
      </c>
      <c r="AZ201">
        <v>2095.2800000000002</v>
      </c>
      <c r="BA201">
        <v>2869</v>
      </c>
      <c r="BB201">
        <v>399</v>
      </c>
      <c r="BC201" t="str">
        <f t="shared" si="6"/>
        <v>u=10%, k=2x10^7</v>
      </c>
      <c r="BD201">
        <f t="shared" si="7"/>
        <v>8</v>
      </c>
    </row>
    <row r="202" spans="1:56">
      <c r="A202" t="s">
        <v>429</v>
      </c>
      <c r="B202" t="s">
        <v>63</v>
      </c>
      <c r="C202">
        <v>72</v>
      </c>
      <c r="D202" t="s">
        <v>64</v>
      </c>
      <c r="E202" t="s">
        <v>59</v>
      </c>
      <c r="F202" t="s">
        <v>60</v>
      </c>
      <c r="G202">
        <v>16000</v>
      </c>
      <c r="H202">
        <v>5</v>
      </c>
      <c r="I202">
        <v>5</v>
      </c>
      <c r="J202">
        <v>0</v>
      </c>
      <c r="K202">
        <v>1</v>
      </c>
      <c r="L202">
        <v>20000000</v>
      </c>
      <c r="M202">
        <v>190</v>
      </c>
      <c r="N202">
        <v>190</v>
      </c>
      <c r="O202">
        <v>190</v>
      </c>
      <c r="P202">
        <v>0</v>
      </c>
      <c r="Q202" t="s">
        <v>61</v>
      </c>
      <c r="R202">
        <v>100022741417107</v>
      </c>
      <c r="S202">
        <v>9999664</v>
      </c>
      <c r="T202">
        <v>100022741417107</v>
      </c>
      <c r="U202">
        <v>9999664</v>
      </c>
      <c r="V202" t="s">
        <v>71</v>
      </c>
      <c r="W202">
        <v>7</v>
      </c>
      <c r="X202">
        <v>1749046</v>
      </c>
      <c r="Y202">
        <v>11702786</v>
      </c>
      <c r="Z202">
        <v>13451832</v>
      </c>
      <c r="AA202">
        <v>9999664</v>
      </c>
      <c r="AB202">
        <v>7.69095</v>
      </c>
      <c r="AC202">
        <v>0.85446900000000003</v>
      </c>
      <c r="AD202">
        <v>1.7433700000000001</v>
      </c>
      <c r="AE202">
        <v>4.0249600000000001</v>
      </c>
      <c r="AF202">
        <v>327181280</v>
      </c>
      <c r="AG202" t="s">
        <v>430</v>
      </c>
      <c r="AH202" t="s">
        <v>431</v>
      </c>
      <c r="AI202">
        <v>430323</v>
      </c>
      <c r="AJ202">
        <v>18868</v>
      </c>
      <c r="AM202">
        <v>2599378172</v>
      </c>
      <c r="AN202">
        <v>0</v>
      </c>
      <c r="AO202">
        <v>288822136</v>
      </c>
      <c r="AP202">
        <v>2599378172</v>
      </c>
      <c r="AQ202">
        <v>2888200308</v>
      </c>
      <c r="AR202">
        <v>162461135</v>
      </c>
      <c r="AS202">
        <v>0</v>
      </c>
      <c r="AT202">
        <v>18051383</v>
      </c>
      <c r="AU202">
        <v>162461135</v>
      </c>
      <c r="AV202">
        <v>180512519</v>
      </c>
      <c r="AW202">
        <v>19.248799999999999</v>
      </c>
      <c r="AX202">
        <v>8.5542899999999999</v>
      </c>
      <c r="AY202">
        <v>2865.12</v>
      </c>
      <c r="AZ202">
        <v>1933.01</v>
      </c>
      <c r="BA202">
        <v>2868</v>
      </c>
      <c r="BB202">
        <v>535</v>
      </c>
      <c r="BC202" t="str">
        <f t="shared" si="6"/>
        <v>u=10%, k=2x10^7</v>
      </c>
      <c r="BD202">
        <f t="shared" si="7"/>
        <v>16</v>
      </c>
    </row>
    <row r="203" spans="1:56">
      <c r="A203" t="s">
        <v>432</v>
      </c>
      <c r="B203" t="s">
        <v>63</v>
      </c>
      <c r="C203">
        <v>72</v>
      </c>
      <c r="D203" t="s">
        <v>64</v>
      </c>
      <c r="E203" t="s">
        <v>59</v>
      </c>
      <c r="F203" t="s">
        <v>60</v>
      </c>
      <c r="G203">
        <v>32000</v>
      </c>
      <c r="H203">
        <v>5</v>
      </c>
      <c r="I203">
        <v>5</v>
      </c>
      <c r="J203">
        <v>0</v>
      </c>
      <c r="K203">
        <v>1</v>
      </c>
      <c r="L203">
        <v>20000000</v>
      </c>
      <c r="M203">
        <v>190</v>
      </c>
      <c r="N203">
        <v>190</v>
      </c>
      <c r="O203">
        <v>190</v>
      </c>
      <c r="P203">
        <v>0</v>
      </c>
      <c r="Q203" t="s">
        <v>61</v>
      </c>
      <c r="R203">
        <v>99963616889812</v>
      </c>
      <c r="S203">
        <v>9997608</v>
      </c>
      <c r="T203">
        <v>99963616889812</v>
      </c>
      <c r="U203">
        <v>9997608</v>
      </c>
      <c r="V203" t="s">
        <v>71</v>
      </c>
      <c r="W203">
        <v>7</v>
      </c>
      <c r="X203">
        <v>1886162</v>
      </c>
      <c r="Y203">
        <v>11983575</v>
      </c>
      <c r="Z203">
        <v>13869737</v>
      </c>
      <c r="AA203">
        <v>9997608</v>
      </c>
      <c r="AB203">
        <v>7.3534199999999998</v>
      </c>
      <c r="AC203">
        <v>0.83427600000000002</v>
      </c>
      <c r="AD203">
        <v>1.72082</v>
      </c>
      <c r="AE203">
        <v>4.0521900000000004</v>
      </c>
      <c r="AF203">
        <v>342648832</v>
      </c>
      <c r="AG203" t="s">
        <v>433</v>
      </c>
      <c r="AH203" t="s">
        <v>434</v>
      </c>
      <c r="AI203">
        <v>835208</v>
      </c>
      <c r="AJ203">
        <v>37166</v>
      </c>
      <c r="AM203">
        <v>5103628841</v>
      </c>
      <c r="AN203">
        <v>0</v>
      </c>
      <c r="AO203">
        <v>567027875</v>
      </c>
      <c r="AP203">
        <v>5103628841</v>
      </c>
      <c r="AQ203">
        <v>5670656716</v>
      </c>
      <c r="AR203">
        <v>159488401</v>
      </c>
      <c r="AS203">
        <v>0</v>
      </c>
      <c r="AT203">
        <v>17719621</v>
      </c>
      <c r="AU203">
        <v>159488401</v>
      </c>
      <c r="AV203">
        <v>177208022</v>
      </c>
      <c r="AW203">
        <v>19.295500000000001</v>
      </c>
      <c r="AX203">
        <v>8.5628299999999999</v>
      </c>
      <c r="AY203">
        <v>2926.78</v>
      </c>
      <c r="AZ203">
        <v>1999.22</v>
      </c>
      <c r="BA203">
        <v>2865</v>
      </c>
      <c r="BB203">
        <v>394</v>
      </c>
      <c r="BC203" t="str">
        <f t="shared" si="6"/>
        <v>u=10%, k=2x10^7</v>
      </c>
      <c r="BD203">
        <f t="shared" si="7"/>
        <v>32</v>
      </c>
    </row>
    <row r="204" spans="1:56">
      <c r="A204" t="s">
        <v>435</v>
      </c>
      <c r="B204" t="s">
        <v>63</v>
      </c>
      <c r="C204">
        <v>72</v>
      </c>
      <c r="D204" t="s">
        <v>64</v>
      </c>
      <c r="E204" t="s">
        <v>59</v>
      </c>
      <c r="F204" t="s">
        <v>60</v>
      </c>
      <c r="G204">
        <v>64000</v>
      </c>
      <c r="H204">
        <v>5</v>
      </c>
      <c r="I204">
        <v>5</v>
      </c>
      <c r="J204">
        <v>0</v>
      </c>
      <c r="K204">
        <v>1</v>
      </c>
      <c r="L204">
        <v>20000000</v>
      </c>
      <c r="M204">
        <v>190</v>
      </c>
      <c r="N204">
        <v>190</v>
      </c>
      <c r="O204">
        <v>190</v>
      </c>
      <c r="P204">
        <v>0</v>
      </c>
      <c r="Q204" t="s">
        <v>61</v>
      </c>
      <c r="R204">
        <v>100047000057218</v>
      </c>
      <c r="S204">
        <v>10005094</v>
      </c>
      <c r="T204">
        <v>100047000057218</v>
      </c>
      <c r="U204">
        <v>10005094</v>
      </c>
      <c r="V204" t="s">
        <v>71</v>
      </c>
      <c r="W204">
        <v>7</v>
      </c>
      <c r="X204">
        <v>1817323</v>
      </c>
      <c r="Y204">
        <v>11845342</v>
      </c>
      <c r="Z204">
        <v>13662665</v>
      </c>
      <c r="AA204">
        <v>10005094</v>
      </c>
      <c r="AB204">
        <v>7.5180199999999999</v>
      </c>
      <c r="AC204">
        <v>0.84464399999999995</v>
      </c>
      <c r="AD204">
        <v>1.7322900000000001</v>
      </c>
      <c r="AE204">
        <v>4.0389499999999998</v>
      </c>
      <c r="AF204">
        <v>334916880</v>
      </c>
      <c r="AG204" t="s">
        <v>436</v>
      </c>
      <c r="AH204" t="s">
        <v>437</v>
      </c>
      <c r="AI204">
        <v>1733162</v>
      </c>
      <c r="AJ204">
        <v>75596</v>
      </c>
      <c r="AM204">
        <v>10392746677</v>
      </c>
      <c r="AN204">
        <v>0</v>
      </c>
      <c r="AO204">
        <v>1154774592</v>
      </c>
      <c r="AP204">
        <v>10392746677</v>
      </c>
      <c r="AQ204">
        <v>11547521269</v>
      </c>
      <c r="AR204">
        <v>162386666</v>
      </c>
      <c r="AS204">
        <v>0</v>
      </c>
      <c r="AT204">
        <v>18043353</v>
      </c>
      <c r="AU204">
        <v>162386666</v>
      </c>
      <c r="AV204">
        <v>180430019</v>
      </c>
      <c r="AW204">
        <v>19.2879</v>
      </c>
      <c r="AX204">
        <v>8.5668199999999999</v>
      </c>
      <c r="AY204">
        <v>2876.12</v>
      </c>
      <c r="AZ204">
        <v>1943.6</v>
      </c>
      <c r="BA204">
        <v>2880</v>
      </c>
      <c r="BB204">
        <v>408</v>
      </c>
      <c r="BC204" t="str">
        <f t="shared" si="6"/>
        <v>u=10%, k=2x10^7</v>
      </c>
      <c r="BD204">
        <f t="shared" si="7"/>
        <v>64</v>
      </c>
    </row>
    <row r="205" spans="1:56">
      <c r="A205" t="s">
        <v>438</v>
      </c>
      <c r="B205" t="s">
        <v>300</v>
      </c>
      <c r="C205">
        <v>208</v>
      </c>
      <c r="D205" t="s">
        <v>64</v>
      </c>
      <c r="E205" t="s">
        <v>59</v>
      </c>
      <c r="F205" t="s">
        <v>60</v>
      </c>
      <c r="G205">
        <v>1000</v>
      </c>
      <c r="H205">
        <v>5</v>
      </c>
      <c r="I205">
        <v>5</v>
      </c>
      <c r="J205">
        <v>0</v>
      </c>
      <c r="K205">
        <v>1</v>
      </c>
      <c r="L205">
        <v>20000000</v>
      </c>
      <c r="M205">
        <v>190</v>
      </c>
      <c r="N205">
        <v>190</v>
      </c>
      <c r="O205">
        <v>190</v>
      </c>
      <c r="P205">
        <v>0</v>
      </c>
      <c r="Q205" t="s">
        <v>61</v>
      </c>
      <c r="R205">
        <v>100011245672779</v>
      </c>
      <c r="S205">
        <v>10002501</v>
      </c>
      <c r="T205">
        <v>100011245672779</v>
      </c>
      <c r="U205">
        <v>10002501</v>
      </c>
      <c r="V205" t="s">
        <v>71</v>
      </c>
      <c r="W205">
        <v>9</v>
      </c>
      <c r="X205">
        <v>222507</v>
      </c>
      <c r="Y205">
        <v>1531554</v>
      </c>
      <c r="Z205">
        <v>1754061</v>
      </c>
      <c r="AA205">
        <v>10002501</v>
      </c>
      <c r="AB205">
        <v>7.8831699999999998</v>
      </c>
      <c r="AC205">
        <v>6.5309499999999998</v>
      </c>
      <c r="AD205">
        <v>6.7024800000000004</v>
      </c>
      <c r="AE205">
        <v>8</v>
      </c>
      <c r="AF205">
        <v>364844688</v>
      </c>
      <c r="AJ205" t="s">
        <v>439</v>
      </c>
      <c r="AM205">
        <v>189795052</v>
      </c>
      <c r="AN205">
        <v>0</v>
      </c>
      <c r="AO205">
        <v>21102109</v>
      </c>
      <c r="AP205">
        <v>189795052</v>
      </c>
      <c r="AQ205">
        <v>210897161</v>
      </c>
      <c r="AR205">
        <v>189795052</v>
      </c>
      <c r="AS205">
        <v>0</v>
      </c>
      <c r="AT205">
        <v>21102109</v>
      </c>
      <c r="AU205">
        <v>189795052</v>
      </c>
      <c r="AV205">
        <v>210897161</v>
      </c>
      <c r="AW205">
        <v>17.892499999999998</v>
      </c>
      <c r="AX205">
        <v>6.0680399999999999</v>
      </c>
      <c r="AY205">
        <v>2451.0100000000002</v>
      </c>
      <c r="AZ205">
        <v>1478.75</v>
      </c>
      <c r="BA205">
        <v>1714</v>
      </c>
      <c r="BB205">
        <v>901</v>
      </c>
      <c r="BC205" t="str">
        <f t="shared" si="6"/>
        <v>u=10%, k=2x10^7</v>
      </c>
      <c r="BD205">
        <f t="shared" si="7"/>
        <v>1</v>
      </c>
    </row>
    <row r="206" spans="1:56">
      <c r="A206" t="s">
        <v>440</v>
      </c>
      <c r="B206" t="s">
        <v>300</v>
      </c>
      <c r="C206">
        <v>208</v>
      </c>
      <c r="D206" t="s">
        <v>64</v>
      </c>
      <c r="E206" t="s">
        <v>59</v>
      </c>
      <c r="F206" t="s">
        <v>60</v>
      </c>
      <c r="G206">
        <v>2000</v>
      </c>
      <c r="H206">
        <v>5</v>
      </c>
      <c r="I206">
        <v>5</v>
      </c>
      <c r="J206">
        <v>0</v>
      </c>
      <c r="K206">
        <v>1</v>
      </c>
      <c r="L206">
        <v>20000000</v>
      </c>
      <c r="M206">
        <v>190</v>
      </c>
      <c r="N206">
        <v>190</v>
      </c>
      <c r="O206">
        <v>190</v>
      </c>
      <c r="P206">
        <v>0</v>
      </c>
      <c r="Q206" t="s">
        <v>61</v>
      </c>
      <c r="R206">
        <v>100024204002823</v>
      </c>
      <c r="S206">
        <v>10001936</v>
      </c>
      <c r="T206">
        <v>100024204002823</v>
      </c>
      <c r="U206">
        <v>10001936</v>
      </c>
      <c r="V206" t="s">
        <v>71</v>
      </c>
      <c r="W206">
        <v>9</v>
      </c>
      <c r="X206">
        <v>239704</v>
      </c>
      <c r="Y206">
        <v>1645679</v>
      </c>
      <c r="Z206">
        <v>1885383</v>
      </c>
      <c r="AA206">
        <v>10001936</v>
      </c>
      <c r="AB206">
        <v>7.8654599999999997</v>
      </c>
      <c r="AC206">
        <v>6.0777000000000001</v>
      </c>
      <c r="AD206">
        <v>6.3049900000000001</v>
      </c>
      <c r="AE206">
        <v>8</v>
      </c>
      <c r="AF206">
        <v>392159664</v>
      </c>
      <c r="AJ206" t="s">
        <v>441</v>
      </c>
      <c r="AM206">
        <v>385705533</v>
      </c>
      <c r="AN206">
        <v>0</v>
      </c>
      <c r="AO206">
        <v>42857750</v>
      </c>
      <c r="AP206">
        <v>385705533</v>
      </c>
      <c r="AQ206">
        <v>428563283</v>
      </c>
      <c r="AR206">
        <v>192852766</v>
      </c>
      <c r="AS206">
        <v>0</v>
      </c>
      <c r="AT206">
        <v>21428875</v>
      </c>
      <c r="AU206">
        <v>192852766</v>
      </c>
      <c r="AV206">
        <v>214281641</v>
      </c>
      <c r="AW206">
        <v>18.028300000000002</v>
      </c>
      <c r="AX206">
        <v>6.1298399999999997</v>
      </c>
      <c r="AY206">
        <v>2446.48</v>
      </c>
      <c r="AZ206">
        <v>1500.5</v>
      </c>
      <c r="BA206">
        <v>1709</v>
      </c>
      <c r="BB206">
        <v>892</v>
      </c>
      <c r="BC206" t="str">
        <f t="shared" si="6"/>
        <v>u=10%, k=2x10^7</v>
      </c>
      <c r="BD206">
        <f t="shared" si="7"/>
        <v>2</v>
      </c>
    </row>
    <row r="207" spans="1:56">
      <c r="A207" t="s">
        <v>442</v>
      </c>
      <c r="B207" t="s">
        <v>300</v>
      </c>
      <c r="C207">
        <v>208</v>
      </c>
      <c r="D207" t="s">
        <v>64</v>
      </c>
      <c r="E207" t="s">
        <v>59</v>
      </c>
      <c r="F207" t="s">
        <v>60</v>
      </c>
      <c r="G207">
        <v>4000</v>
      </c>
      <c r="H207">
        <v>5</v>
      </c>
      <c r="I207">
        <v>5</v>
      </c>
      <c r="J207">
        <v>0</v>
      </c>
      <c r="K207">
        <v>1</v>
      </c>
      <c r="L207">
        <v>20000000</v>
      </c>
      <c r="M207">
        <v>190</v>
      </c>
      <c r="N207">
        <v>190</v>
      </c>
      <c r="O207">
        <v>190</v>
      </c>
      <c r="P207">
        <v>0</v>
      </c>
      <c r="Q207" t="s">
        <v>61</v>
      </c>
      <c r="R207">
        <v>100018881765540</v>
      </c>
      <c r="S207">
        <v>10001606</v>
      </c>
      <c r="T207">
        <v>100018881765540</v>
      </c>
      <c r="U207">
        <v>10001606</v>
      </c>
      <c r="V207" t="s">
        <v>71</v>
      </c>
      <c r="W207">
        <v>9</v>
      </c>
      <c r="X207">
        <v>257623</v>
      </c>
      <c r="Y207">
        <v>1765496</v>
      </c>
      <c r="Z207">
        <v>2023119</v>
      </c>
      <c r="AA207">
        <v>10001606</v>
      </c>
      <c r="AB207">
        <v>7.8530199999999999</v>
      </c>
      <c r="AC207">
        <v>5.6650400000000003</v>
      </c>
      <c r="AD207">
        <v>5.9436600000000004</v>
      </c>
      <c r="AE207">
        <v>8</v>
      </c>
      <c r="AF207">
        <v>420808752</v>
      </c>
      <c r="AJ207" t="s">
        <v>443</v>
      </c>
      <c r="AM207">
        <v>751925700</v>
      </c>
      <c r="AN207">
        <v>0</v>
      </c>
      <c r="AO207">
        <v>83534861</v>
      </c>
      <c r="AP207">
        <v>751925700</v>
      </c>
      <c r="AQ207">
        <v>835460561</v>
      </c>
      <c r="AR207">
        <v>187981425</v>
      </c>
      <c r="AS207">
        <v>0</v>
      </c>
      <c r="AT207">
        <v>20883715</v>
      </c>
      <c r="AU207">
        <v>187981425</v>
      </c>
      <c r="AV207">
        <v>208865140</v>
      </c>
      <c r="AW207">
        <v>18.250900000000001</v>
      </c>
      <c r="AX207">
        <v>6.24193</v>
      </c>
      <c r="AY207">
        <v>2513.66</v>
      </c>
      <c r="AZ207">
        <v>1560.86</v>
      </c>
      <c r="BA207">
        <v>1742</v>
      </c>
      <c r="BB207">
        <v>887</v>
      </c>
      <c r="BC207" t="str">
        <f t="shared" si="6"/>
        <v>u=10%, k=2x10^7</v>
      </c>
      <c r="BD207">
        <f t="shared" si="7"/>
        <v>4</v>
      </c>
    </row>
    <row r="208" spans="1:56">
      <c r="A208" t="s">
        <v>444</v>
      </c>
      <c r="B208" t="s">
        <v>300</v>
      </c>
      <c r="C208">
        <v>208</v>
      </c>
      <c r="D208" t="s">
        <v>64</v>
      </c>
      <c r="E208" t="s">
        <v>59</v>
      </c>
      <c r="F208" t="s">
        <v>60</v>
      </c>
      <c r="G208">
        <v>8000</v>
      </c>
      <c r="H208">
        <v>5</v>
      </c>
      <c r="I208">
        <v>5</v>
      </c>
      <c r="J208">
        <v>0</v>
      </c>
      <c r="K208">
        <v>1</v>
      </c>
      <c r="L208">
        <v>20000000</v>
      </c>
      <c r="M208">
        <v>190</v>
      </c>
      <c r="N208">
        <v>190</v>
      </c>
      <c r="O208">
        <v>190</v>
      </c>
      <c r="P208">
        <v>0</v>
      </c>
      <c r="Q208" t="s">
        <v>61</v>
      </c>
      <c r="R208">
        <v>99979616404751</v>
      </c>
      <c r="S208">
        <v>9998448</v>
      </c>
      <c r="T208">
        <v>99979616404751</v>
      </c>
      <c r="U208">
        <v>9998448</v>
      </c>
      <c r="V208" t="s">
        <v>71</v>
      </c>
      <c r="W208">
        <v>9</v>
      </c>
      <c r="X208">
        <v>276209</v>
      </c>
      <c r="Y208">
        <v>1874650</v>
      </c>
      <c r="Z208">
        <v>2150859</v>
      </c>
      <c r="AA208">
        <v>9998448</v>
      </c>
      <c r="AB208">
        <v>7.7870699999999999</v>
      </c>
      <c r="AC208">
        <v>5.3334999999999999</v>
      </c>
      <c r="AD208">
        <v>5.6485799999999999</v>
      </c>
      <c r="AE208">
        <v>8</v>
      </c>
      <c r="AF208">
        <v>447378672</v>
      </c>
      <c r="AJ208">
        <v>10446</v>
      </c>
      <c r="AM208">
        <v>1467016653</v>
      </c>
      <c r="AN208">
        <v>0</v>
      </c>
      <c r="AO208">
        <v>162998875</v>
      </c>
      <c r="AP208">
        <v>1467016653</v>
      </c>
      <c r="AQ208">
        <v>1630015528</v>
      </c>
      <c r="AR208">
        <v>183377081</v>
      </c>
      <c r="AS208">
        <v>0</v>
      </c>
      <c r="AT208">
        <v>20374859</v>
      </c>
      <c r="AU208">
        <v>183377081</v>
      </c>
      <c r="AV208">
        <v>203751941</v>
      </c>
      <c r="AW208">
        <v>18.511299999999999</v>
      </c>
      <c r="AX208">
        <v>6.3647</v>
      </c>
      <c r="AY208">
        <v>2579.83</v>
      </c>
      <c r="AZ208">
        <v>1621.18</v>
      </c>
      <c r="BA208">
        <v>1800</v>
      </c>
      <c r="BB208">
        <v>928</v>
      </c>
      <c r="BC208" t="str">
        <f t="shared" si="6"/>
        <v>u=10%, k=2x10^7</v>
      </c>
      <c r="BD208">
        <f t="shared" si="7"/>
        <v>8</v>
      </c>
    </row>
    <row r="209" spans="1:56">
      <c r="A209" t="s">
        <v>445</v>
      </c>
      <c r="B209" t="s">
        <v>300</v>
      </c>
      <c r="C209">
        <v>208</v>
      </c>
      <c r="D209" t="s">
        <v>64</v>
      </c>
      <c r="E209" t="s">
        <v>59</v>
      </c>
      <c r="F209" t="s">
        <v>60</v>
      </c>
      <c r="G209">
        <v>16000</v>
      </c>
      <c r="H209">
        <v>5</v>
      </c>
      <c r="I209">
        <v>5</v>
      </c>
      <c r="J209">
        <v>0</v>
      </c>
      <c r="K209">
        <v>1</v>
      </c>
      <c r="L209">
        <v>20000000</v>
      </c>
      <c r="M209">
        <v>190</v>
      </c>
      <c r="N209">
        <v>190</v>
      </c>
      <c r="O209">
        <v>190</v>
      </c>
      <c r="P209">
        <v>0</v>
      </c>
      <c r="Q209" t="s">
        <v>61</v>
      </c>
      <c r="R209">
        <v>99963121812168</v>
      </c>
      <c r="S209">
        <v>9995399</v>
      </c>
      <c r="T209">
        <v>99963121812168</v>
      </c>
      <c r="U209">
        <v>9995399</v>
      </c>
      <c r="V209" t="s">
        <v>71</v>
      </c>
      <c r="W209">
        <v>9</v>
      </c>
      <c r="X209">
        <v>295026</v>
      </c>
      <c r="Y209">
        <v>1950103</v>
      </c>
      <c r="Z209">
        <v>2245129</v>
      </c>
      <c r="AA209">
        <v>9995399</v>
      </c>
      <c r="AB209">
        <v>7.6099399999999999</v>
      </c>
      <c r="AC209">
        <v>5.1255699999999997</v>
      </c>
      <c r="AD209">
        <v>5.4520400000000002</v>
      </c>
      <c r="AE209">
        <v>8</v>
      </c>
      <c r="AF209">
        <v>466986832</v>
      </c>
      <c r="AJ209" t="s">
        <v>446</v>
      </c>
      <c r="AM209">
        <v>2899888552</v>
      </c>
      <c r="AN209">
        <v>0</v>
      </c>
      <c r="AO209">
        <v>322258673</v>
      </c>
      <c r="AP209">
        <v>2899888552</v>
      </c>
      <c r="AQ209">
        <v>3222147225</v>
      </c>
      <c r="AR209">
        <v>181243034</v>
      </c>
      <c r="AS209">
        <v>0</v>
      </c>
      <c r="AT209">
        <v>20141167</v>
      </c>
      <c r="AU209">
        <v>181243034</v>
      </c>
      <c r="AV209">
        <v>201384201</v>
      </c>
      <c r="AW209">
        <v>18.6431</v>
      </c>
      <c r="AX209">
        <v>6.4880599999999999</v>
      </c>
      <c r="AY209">
        <v>2612.73</v>
      </c>
      <c r="AZ209">
        <v>1655.92</v>
      </c>
      <c r="BA209">
        <v>1824</v>
      </c>
      <c r="BB209">
        <v>887</v>
      </c>
      <c r="BC209" t="str">
        <f t="shared" si="6"/>
        <v>u=10%, k=2x10^7</v>
      </c>
      <c r="BD209">
        <f t="shared" si="7"/>
        <v>16</v>
      </c>
    </row>
    <row r="210" spans="1:56">
      <c r="A210" t="s">
        <v>447</v>
      </c>
      <c r="B210" t="s">
        <v>300</v>
      </c>
      <c r="C210">
        <v>208</v>
      </c>
      <c r="D210" t="s">
        <v>64</v>
      </c>
      <c r="E210" t="s">
        <v>59</v>
      </c>
      <c r="F210" t="s">
        <v>60</v>
      </c>
      <c r="G210">
        <v>32000</v>
      </c>
      <c r="H210">
        <v>5</v>
      </c>
      <c r="I210">
        <v>5</v>
      </c>
      <c r="J210">
        <v>0</v>
      </c>
      <c r="K210">
        <v>1</v>
      </c>
      <c r="L210">
        <v>20000000</v>
      </c>
      <c r="M210">
        <v>190</v>
      </c>
      <c r="N210">
        <v>190</v>
      </c>
      <c r="O210">
        <v>190</v>
      </c>
      <c r="P210">
        <v>0</v>
      </c>
      <c r="Q210" t="s">
        <v>61</v>
      </c>
      <c r="R210">
        <v>99969900889020</v>
      </c>
      <c r="S210">
        <v>9998149</v>
      </c>
      <c r="T210">
        <v>99969900889020</v>
      </c>
      <c r="U210">
        <v>9998149</v>
      </c>
      <c r="V210" t="s">
        <v>71</v>
      </c>
      <c r="W210">
        <v>9</v>
      </c>
      <c r="X210">
        <v>311239</v>
      </c>
      <c r="Y210">
        <v>1964597</v>
      </c>
      <c r="Z210">
        <v>2275836</v>
      </c>
      <c r="AA210">
        <v>9998149</v>
      </c>
      <c r="AB210">
        <v>7.3121799999999997</v>
      </c>
      <c r="AC210">
        <v>5.0891599999999997</v>
      </c>
      <c r="AD210">
        <v>5.3931800000000001</v>
      </c>
      <c r="AE210">
        <v>8</v>
      </c>
      <c r="AF210">
        <v>473373888</v>
      </c>
      <c r="AJ210" t="s">
        <v>448</v>
      </c>
      <c r="AM210">
        <v>5711859776</v>
      </c>
      <c r="AN210">
        <v>0</v>
      </c>
      <c r="AO210">
        <v>634665994</v>
      </c>
      <c r="AP210">
        <v>5711859776</v>
      </c>
      <c r="AQ210">
        <v>6346525770</v>
      </c>
      <c r="AR210">
        <v>178495618</v>
      </c>
      <c r="AS210">
        <v>0</v>
      </c>
      <c r="AT210">
        <v>19833312</v>
      </c>
      <c r="AU210">
        <v>178495618</v>
      </c>
      <c r="AV210">
        <v>198328930</v>
      </c>
      <c r="AW210">
        <v>18.876300000000001</v>
      </c>
      <c r="AX210">
        <v>6.5936599999999999</v>
      </c>
      <c r="AY210">
        <v>2653.73</v>
      </c>
      <c r="AZ210">
        <v>1697.07</v>
      </c>
      <c r="BA210">
        <v>1902</v>
      </c>
      <c r="BB210">
        <v>1020</v>
      </c>
      <c r="BC210" t="str">
        <f t="shared" si="6"/>
        <v>u=10%, k=2x10^7</v>
      </c>
      <c r="BD210">
        <f t="shared" si="7"/>
        <v>32</v>
      </c>
    </row>
    <row r="211" spans="1:56">
      <c r="A211" t="s">
        <v>449</v>
      </c>
      <c r="B211" t="s">
        <v>300</v>
      </c>
      <c r="C211">
        <v>208</v>
      </c>
      <c r="D211" t="s">
        <v>64</v>
      </c>
      <c r="E211" t="s">
        <v>59</v>
      </c>
      <c r="F211" t="s">
        <v>60</v>
      </c>
      <c r="G211">
        <v>64000</v>
      </c>
      <c r="H211">
        <v>5</v>
      </c>
      <c r="I211">
        <v>5</v>
      </c>
      <c r="J211">
        <v>0</v>
      </c>
      <c r="K211">
        <v>1</v>
      </c>
      <c r="L211">
        <v>20000000</v>
      </c>
      <c r="M211">
        <v>190</v>
      </c>
      <c r="N211">
        <v>190</v>
      </c>
      <c r="O211">
        <v>190</v>
      </c>
      <c r="P211">
        <v>0</v>
      </c>
      <c r="Q211" t="s">
        <v>61</v>
      </c>
      <c r="R211">
        <v>99965136535697</v>
      </c>
      <c r="S211">
        <v>9997468</v>
      </c>
      <c r="T211">
        <v>99965136535697</v>
      </c>
      <c r="U211">
        <v>9997468</v>
      </c>
      <c r="V211" t="s">
        <v>71</v>
      </c>
      <c r="W211">
        <v>9</v>
      </c>
      <c r="X211">
        <v>324700</v>
      </c>
      <c r="Y211">
        <v>1957153</v>
      </c>
      <c r="Z211">
        <v>2281853</v>
      </c>
      <c r="AA211">
        <v>9997468</v>
      </c>
      <c r="AB211">
        <v>7.0275699999999999</v>
      </c>
      <c r="AC211">
        <v>5.1081700000000003</v>
      </c>
      <c r="AD211">
        <v>5.3812899999999999</v>
      </c>
      <c r="AE211">
        <v>8</v>
      </c>
      <c r="AF211">
        <v>474625424</v>
      </c>
      <c r="AJ211">
        <v>76072</v>
      </c>
      <c r="AM211">
        <v>11314112800</v>
      </c>
      <c r="AN211">
        <v>0</v>
      </c>
      <c r="AO211">
        <v>1257163439</v>
      </c>
      <c r="AP211">
        <v>11314112800</v>
      </c>
      <c r="AQ211">
        <v>12571276239</v>
      </c>
      <c r="AR211">
        <v>176783012</v>
      </c>
      <c r="AS211">
        <v>0</v>
      </c>
      <c r="AT211">
        <v>19643178</v>
      </c>
      <c r="AU211">
        <v>176783012</v>
      </c>
      <c r="AV211">
        <v>196426191</v>
      </c>
      <c r="AW211">
        <v>19.072500000000002</v>
      </c>
      <c r="AX211">
        <v>6.69339</v>
      </c>
      <c r="AY211">
        <v>2680.09</v>
      </c>
      <c r="AZ211">
        <v>1716.64</v>
      </c>
      <c r="BA211">
        <v>1921</v>
      </c>
      <c r="BB211">
        <v>891</v>
      </c>
      <c r="BC211" t="str">
        <f t="shared" si="6"/>
        <v>u=10%, k=2x10^7</v>
      </c>
      <c r="BD211">
        <f t="shared" si="7"/>
        <v>64</v>
      </c>
    </row>
    <row r="212" spans="1:56">
      <c r="A212" t="s">
        <v>450</v>
      </c>
      <c r="B212" t="s">
        <v>105</v>
      </c>
      <c r="D212" t="s">
        <v>64</v>
      </c>
      <c r="E212" t="s">
        <v>59</v>
      </c>
      <c r="F212" t="s">
        <v>60</v>
      </c>
      <c r="G212">
        <v>1000</v>
      </c>
      <c r="H212">
        <v>5</v>
      </c>
      <c r="I212">
        <v>5</v>
      </c>
      <c r="J212">
        <v>0</v>
      </c>
      <c r="K212">
        <v>1</v>
      </c>
      <c r="L212">
        <v>20000000</v>
      </c>
      <c r="M212">
        <v>190</v>
      </c>
      <c r="N212">
        <v>190</v>
      </c>
      <c r="O212">
        <v>190</v>
      </c>
      <c r="P212">
        <v>0</v>
      </c>
      <c r="Q212" t="s">
        <v>61</v>
      </c>
      <c r="R212">
        <v>99962383752733</v>
      </c>
      <c r="S212">
        <v>9997427</v>
      </c>
      <c r="T212">
        <v>99962383752733</v>
      </c>
      <c r="U212">
        <v>9997427</v>
      </c>
      <c r="V212" t="s">
        <v>71</v>
      </c>
      <c r="W212">
        <v>29</v>
      </c>
      <c r="X212">
        <v>6199321</v>
      </c>
      <c r="Y212">
        <v>4679994</v>
      </c>
      <c r="Z212">
        <v>10879315</v>
      </c>
      <c r="AA212">
        <v>9997427</v>
      </c>
      <c r="AB212">
        <v>1.75492</v>
      </c>
      <c r="AC212">
        <v>2.1362100000000002</v>
      </c>
      <c r="AD212">
        <v>1.9189400000000001</v>
      </c>
      <c r="AE212">
        <v>22.956199999999999</v>
      </c>
      <c r="AF212">
        <v>609241640</v>
      </c>
      <c r="AJ212" t="s">
        <v>451</v>
      </c>
      <c r="AM212">
        <v>97765001</v>
      </c>
      <c r="AN212">
        <v>0</v>
      </c>
      <c r="AO212">
        <v>10866657</v>
      </c>
      <c r="AP212">
        <v>97765001</v>
      </c>
      <c r="AQ212">
        <v>108631658</v>
      </c>
      <c r="AR212">
        <v>97765001</v>
      </c>
      <c r="AS212">
        <v>0</v>
      </c>
      <c r="AT212">
        <v>10866657</v>
      </c>
      <c r="AU212">
        <v>97765001</v>
      </c>
      <c r="AV212">
        <v>108631658</v>
      </c>
      <c r="AW212">
        <v>29.350200000000001</v>
      </c>
      <c r="AX212">
        <v>10.6221</v>
      </c>
      <c r="AY212">
        <v>4824.71</v>
      </c>
      <c r="AZ212">
        <v>3429.54</v>
      </c>
      <c r="BA212">
        <v>1812</v>
      </c>
      <c r="BB212">
        <v>437</v>
      </c>
      <c r="BC212" t="str">
        <f t="shared" si="6"/>
        <v>u=10%, k=2x10^7</v>
      </c>
      <c r="BD212">
        <f t="shared" si="7"/>
        <v>1</v>
      </c>
    </row>
    <row r="213" spans="1:56">
      <c r="A213" t="s">
        <v>452</v>
      </c>
      <c r="B213" t="s">
        <v>105</v>
      </c>
      <c r="D213" t="s">
        <v>64</v>
      </c>
      <c r="E213" t="s">
        <v>59</v>
      </c>
      <c r="F213" t="s">
        <v>60</v>
      </c>
      <c r="G213">
        <v>2000</v>
      </c>
      <c r="H213">
        <v>5</v>
      </c>
      <c r="I213">
        <v>5</v>
      </c>
      <c r="J213">
        <v>0</v>
      </c>
      <c r="K213">
        <v>1</v>
      </c>
      <c r="L213">
        <v>20000000</v>
      </c>
      <c r="M213">
        <v>190</v>
      </c>
      <c r="N213">
        <v>190</v>
      </c>
      <c r="O213">
        <v>190</v>
      </c>
      <c r="P213">
        <v>0</v>
      </c>
      <c r="Q213" t="s">
        <v>61</v>
      </c>
      <c r="R213">
        <v>99999812768303</v>
      </c>
      <c r="S213">
        <v>9998232</v>
      </c>
      <c r="T213">
        <v>99999812768303</v>
      </c>
      <c r="U213">
        <v>9998232</v>
      </c>
      <c r="V213" t="s">
        <v>71</v>
      </c>
      <c r="W213">
        <v>29</v>
      </c>
      <c r="X213">
        <v>6477228</v>
      </c>
      <c r="Y213">
        <v>4901117</v>
      </c>
      <c r="Z213">
        <v>11378345</v>
      </c>
      <c r="AA213">
        <v>9998232</v>
      </c>
      <c r="AB213">
        <v>1.75667</v>
      </c>
      <c r="AC213">
        <v>2.03999</v>
      </c>
      <c r="AD213">
        <v>1.8787100000000001</v>
      </c>
      <c r="AE213">
        <v>23.0839</v>
      </c>
      <c r="AF213">
        <v>637187320</v>
      </c>
      <c r="AJ213" t="s">
        <v>453</v>
      </c>
      <c r="AM213">
        <v>195308427</v>
      </c>
      <c r="AN213">
        <v>0</v>
      </c>
      <c r="AO213">
        <v>21697950</v>
      </c>
      <c r="AP213">
        <v>195308427</v>
      </c>
      <c r="AQ213">
        <v>217006377</v>
      </c>
      <c r="AR213">
        <v>97654213</v>
      </c>
      <c r="AS213">
        <v>0</v>
      </c>
      <c r="AT213">
        <v>10848975</v>
      </c>
      <c r="AU213">
        <v>97654213</v>
      </c>
      <c r="AV213">
        <v>108503188</v>
      </c>
      <c r="AW213">
        <v>29.260100000000001</v>
      </c>
      <c r="AX213">
        <v>10.717499999999999</v>
      </c>
      <c r="AY213">
        <v>4863.8500000000004</v>
      </c>
      <c r="AZ213">
        <v>3422.74</v>
      </c>
      <c r="BA213">
        <v>1844</v>
      </c>
      <c r="BB213">
        <v>430</v>
      </c>
      <c r="BC213" t="str">
        <f t="shared" si="6"/>
        <v>u=10%, k=2x10^7</v>
      </c>
      <c r="BD213">
        <f t="shared" si="7"/>
        <v>2</v>
      </c>
    </row>
    <row r="214" spans="1:56">
      <c r="A214" t="s">
        <v>454</v>
      </c>
      <c r="B214" t="s">
        <v>105</v>
      </c>
      <c r="D214" t="s">
        <v>64</v>
      </c>
      <c r="E214" t="s">
        <v>59</v>
      </c>
      <c r="F214" t="s">
        <v>60</v>
      </c>
      <c r="G214">
        <v>4000</v>
      </c>
      <c r="H214">
        <v>5</v>
      </c>
      <c r="I214">
        <v>5</v>
      </c>
      <c r="J214">
        <v>0</v>
      </c>
      <c r="K214">
        <v>1</v>
      </c>
      <c r="L214">
        <v>20000000</v>
      </c>
      <c r="M214">
        <v>190</v>
      </c>
      <c r="N214">
        <v>190</v>
      </c>
      <c r="O214">
        <v>190</v>
      </c>
      <c r="P214">
        <v>0</v>
      </c>
      <c r="Q214" t="s">
        <v>61</v>
      </c>
      <c r="R214">
        <v>100017256018517</v>
      </c>
      <c r="S214">
        <v>10001077</v>
      </c>
      <c r="T214">
        <v>100017256018517</v>
      </c>
      <c r="U214">
        <v>10001077</v>
      </c>
      <c r="V214" t="s">
        <v>71</v>
      </c>
      <c r="W214">
        <v>29</v>
      </c>
      <c r="X214">
        <v>6730943</v>
      </c>
      <c r="Y214">
        <v>5100411</v>
      </c>
      <c r="Z214">
        <v>11831354</v>
      </c>
      <c r="AA214">
        <v>10001077</v>
      </c>
      <c r="AB214">
        <v>1.75776</v>
      </c>
      <c r="AC214">
        <v>1.9608399999999999</v>
      </c>
      <c r="AD214">
        <v>1.8452999999999999</v>
      </c>
      <c r="AE214">
        <v>23.2456</v>
      </c>
      <c r="AF214">
        <v>662555824</v>
      </c>
      <c r="AJ214" t="s">
        <v>455</v>
      </c>
      <c r="AM214">
        <v>388241290</v>
      </c>
      <c r="AN214">
        <v>0</v>
      </c>
      <c r="AO214">
        <v>43146926</v>
      </c>
      <c r="AP214">
        <v>388241290</v>
      </c>
      <c r="AQ214">
        <v>431388216</v>
      </c>
      <c r="AR214">
        <v>97060322</v>
      </c>
      <c r="AS214">
        <v>0</v>
      </c>
      <c r="AT214">
        <v>10786731</v>
      </c>
      <c r="AU214">
        <v>97060322</v>
      </c>
      <c r="AV214">
        <v>107847054</v>
      </c>
      <c r="AW214">
        <v>29.593699999999998</v>
      </c>
      <c r="AX214">
        <v>10.807600000000001</v>
      </c>
      <c r="AY214">
        <v>4895.55</v>
      </c>
      <c r="AZ214">
        <v>3493.61</v>
      </c>
      <c r="BA214">
        <v>1875</v>
      </c>
      <c r="BB214">
        <v>437</v>
      </c>
      <c r="BC214" t="str">
        <f t="shared" ref="BC214:BC277" si="8">"u="&amp;(H214+I214)&amp;"%, k=2x10^"&amp;LOG10(L214/2)</f>
        <v>u=10%, k=2x10^7</v>
      </c>
      <c r="BD214">
        <f t="shared" ref="BD214:BD277" si="9">G214/1000</f>
        <v>4</v>
      </c>
    </row>
    <row r="215" spans="1:56">
      <c r="A215" t="s">
        <v>456</v>
      </c>
      <c r="B215" t="s">
        <v>105</v>
      </c>
      <c r="D215" t="s">
        <v>64</v>
      </c>
      <c r="E215" t="s">
        <v>59</v>
      </c>
      <c r="F215" t="s">
        <v>60</v>
      </c>
      <c r="G215">
        <v>8000</v>
      </c>
      <c r="H215">
        <v>5</v>
      </c>
      <c r="I215">
        <v>5</v>
      </c>
      <c r="J215">
        <v>0</v>
      </c>
      <c r="K215">
        <v>1</v>
      </c>
      <c r="L215">
        <v>20000000</v>
      </c>
      <c r="M215">
        <v>190</v>
      </c>
      <c r="N215">
        <v>190</v>
      </c>
      <c r="O215">
        <v>190</v>
      </c>
      <c r="P215">
        <v>0</v>
      </c>
      <c r="Q215" t="s">
        <v>61</v>
      </c>
      <c r="R215">
        <v>99968616774001</v>
      </c>
      <c r="S215">
        <v>9997536</v>
      </c>
      <c r="T215">
        <v>99968616774001</v>
      </c>
      <c r="U215">
        <v>9997536</v>
      </c>
      <c r="V215" t="s">
        <v>71</v>
      </c>
      <c r="W215">
        <v>29</v>
      </c>
      <c r="X215">
        <v>6841426</v>
      </c>
      <c r="Y215">
        <v>5188725</v>
      </c>
      <c r="Z215">
        <v>12030151</v>
      </c>
      <c r="AA215">
        <v>9997536</v>
      </c>
      <c r="AB215">
        <v>1.7584299999999999</v>
      </c>
      <c r="AC215">
        <v>1.9267799999999999</v>
      </c>
      <c r="AD215">
        <v>1.83104</v>
      </c>
      <c r="AE215">
        <v>23.23</v>
      </c>
      <c r="AF215">
        <v>673688456</v>
      </c>
      <c r="AJ215">
        <v>5204</v>
      </c>
      <c r="AM215">
        <v>771300633</v>
      </c>
      <c r="AN215">
        <v>0</v>
      </c>
      <c r="AO215">
        <v>85703083</v>
      </c>
      <c r="AP215">
        <v>771300633</v>
      </c>
      <c r="AQ215">
        <v>857003716</v>
      </c>
      <c r="AR215">
        <v>96412579</v>
      </c>
      <c r="AS215">
        <v>0</v>
      </c>
      <c r="AT215">
        <v>10712885</v>
      </c>
      <c r="AU215">
        <v>96412579</v>
      </c>
      <c r="AV215">
        <v>107125464</v>
      </c>
      <c r="AW215">
        <v>29.6341</v>
      </c>
      <c r="AX215">
        <v>10.9076</v>
      </c>
      <c r="AY215">
        <v>4927.25</v>
      </c>
      <c r="AZ215">
        <v>3527.83</v>
      </c>
      <c r="BA215">
        <v>1891</v>
      </c>
      <c r="BB215">
        <v>444</v>
      </c>
      <c r="BC215" t="str">
        <f t="shared" si="8"/>
        <v>u=10%, k=2x10^7</v>
      </c>
      <c r="BD215">
        <f t="shared" si="9"/>
        <v>8</v>
      </c>
    </row>
    <row r="216" spans="1:56">
      <c r="A216" t="s">
        <v>457</v>
      </c>
      <c r="B216" t="s">
        <v>105</v>
      </c>
      <c r="D216" t="s">
        <v>64</v>
      </c>
      <c r="E216" t="s">
        <v>59</v>
      </c>
      <c r="F216" t="s">
        <v>60</v>
      </c>
      <c r="G216">
        <v>16000</v>
      </c>
      <c r="H216">
        <v>5</v>
      </c>
      <c r="I216">
        <v>5</v>
      </c>
      <c r="J216">
        <v>0</v>
      </c>
      <c r="K216">
        <v>1</v>
      </c>
      <c r="L216">
        <v>20000000</v>
      </c>
      <c r="M216">
        <v>190</v>
      </c>
      <c r="N216">
        <v>190</v>
      </c>
      <c r="O216">
        <v>190</v>
      </c>
      <c r="P216">
        <v>0</v>
      </c>
      <c r="Q216" t="s">
        <v>61</v>
      </c>
      <c r="R216">
        <v>100005584827492</v>
      </c>
      <c r="S216">
        <v>10001613</v>
      </c>
      <c r="T216">
        <v>100005584827492</v>
      </c>
      <c r="U216">
        <v>10001613</v>
      </c>
      <c r="V216" t="s">
        <v>71</v>
      </c>
      <c r="W216">
        <v>29</v>
      </c>
      <c r="X216">
        <v>6859067</v>
      </c>
      <c r="Y216">
        <v>5204582</v>
      </c>
      <c r="Z216">
        <v>12063649</v>
      </c>
      <c r="AA216">
        <v>10001613</v>
      </c>
      <c r="AB216">
        <v>1.7587900000000001</v>
      </c>
      <c r="AC216">
        <v>1.9216899999999999</v>
      </c>
      <c r="AD216">
        <v>1.82907</v>
      </c>
      <c r="AE216">
        <v>23.2498</v>
      </c>
      <c r="AF216">
        <v>675564344</v>
      </c>
      <c r="AJ216" t="s">
        <v>458</v>
      </c>
      <c r="AM216">
        <v>1534965900</v>
      </c>
      <c r="AN216">
        <v>0</v>
      </c>
      <c r="AO216">
        <v>170539929</v>
      </c>
      <c r="AP216">
        <v>1534965900</v>
      </c>
      <c r="AQ216">
        <v>1705505829</v>
      </c>
      <c r="AR216">
        <v>95935368</v>
      </c>
      <c r="AS216">
        <v>0</v>
      </c>
      <c r="AT216">
        <v>10658745</v>
      </c>
      <c r="AU216">
        <v>95935368</v>
      </c>
      <c r="AV216">
        <v>106594114</v>
      </c>
      <c r="AW216">
        <v>29.670500000000001</v>
      </c>
      <c r="AX216">
        <v>10.9847</v>
      </c>
      <c r="AY216">
        <v>4951.88</v>
      </c>
      <c r="AZ216">
        <v>3540.98</v>
      </c>
      <c r="BA216">
        <v>1908</v>
      </c>
      <c r="BB216">
        <v>431</v>
      </c>
      <c r="BC216" t="str">
        <f t="shared" si="8"/>
        <v>u=10%, k=2x10^7</v>
      </c>
      <c r="BD216">
        <f t="shared" si="9"/>
        <v>16</v>
      </c>
    </row>
    <row r="217" spans="1:56">
      <c r="A217" t="s">
        <v>459</v>
      </c>
      <c r="B217" t="s">
        <v>105</v>
      </c>
      <c r="D217" t="s">
        <v>64</v>
      </c>
      <c r="E217" t="s">
        <v>59</v>
      </c>
      <c r="F217" t="s">
        <v>60</v>
      </c>
      <c r="G217">
        <v>32000</v>
      </c>
      <c r="H217">
        <v>5</v>
      </c>
      <c r="I217">
        <v>5</v>
      </c>
      <c r="J217">
        <v>0</v>
      </c>
      <c r="K217">
        <v>1</v>
      </c>
      <c r="L217">
        <v>20000000</v>
      </c>
      <c r="M217">
        <v>190</v>
      </c>
      <c r="N217">
        <v>190</v>
      </c>
      <c r="O217">
        <v>190</v>
      </c>
      <c r="P217">
        <v>0</v>
      </c>
      <c r="Q217" t="s">
        <v>61</v>
      </c>
      <c r="R217">
        <v>100004449952950</v>
      </c>
      <c r="S217">
        <v>9998018</v>
      </c>
      <c r="T217">
        <v>100004449952950</v>
      </c>
      <c r="U217">
        <v>9998018</v>
      </c>
      <c r="V217" t="s">
        <v>71</v>
      </c>
      <c r="W217">
        <v>29</v>
      </c>
      <c r="X217">
        <v>6857838</v>
      </c>
      <c r="Y217">
        <v>5202836</v>
      </c>
      <c r="Z217">
        <v>12060674</v>
      </c>
      <c r="AA217">
        <v>9998018</v>
      </c>
      <c r="AB217">
        <v>1.75867</v>
      </c>
      <c r="AC217">
        <v>1.9216500000000001</v>
      </c>
      <c r="AD217">
        <v>1.8289800000000001</v>
      </c>
      <c r="AE217">
        <v>23.237500000000001</v>
      </c>
      <c r="AF217">
        <v>675397744</v>
      </c>
      <c r="AJ217" t="s">
        <v>460</v>
      </c>
      <c r="AM217">
        <v>3055310097</v>
      </c>
      <c r="AN217">
        <v>0</v>
      </c>
      <c r="AO217">
        <v>339496602</v>
      </c>
      <c r="AP217">
        <v>3055310097</v>
      </c>
      <c r="AQ217">
        <v>3394806699</v>
      </c>
      <c r="AR217">
        <v>95478440</v>
      </c>
      <c r="AS217">
        <v>0</v>
      </c>
      <c r="AT217">
        <v>10609268</v>
      </c>
      <c r="AU217">
        <v>95478440</v>
      </c>
      <c r="AV217">
        <v>106087709</v>
      </c>
      <c r="AW217">
        <v>29.9391</v>
      </c>
      <c r="AX217">
        <v>11.0794</v>
      </c>
      <c r="AY217">
        <v>4975.99</v>
      </c>
      <c r="AZ217">
        <v>3575.23</v>
      </c>
      <c r="BA217">
        <v>1936</v>
      </c>
      <c r="BB217">
        <v>428</v>
      </c>
      <c r="BC217" t="str">
        <f t="shared" si="8"/>
        <v>u=10%, k=2x10^7</v>
      </c>
      <c r="BD217">
        <f t="shared" si="9"/>
        <v>32</v>
      </c>
    </row>
    <row r="218" spans="1:56">
      <c r="A218" t="s">
        <v>461</v>
      </c>
      <c r="B218" t="s">
        <v>105</v>
      </c>
      <c r="D218" t="s">
        <v>64</v>
      </c>
      <c r="E218" t="s">
        <v>59</v>
      </c>
      <c r="F218" t="s">
        <v>60</v>
      </c>
      <c r="G218">
        <v>64000</v>
      </c>
      <c r="H218">
        <v>5</v>
      </c>
      <c r="I218">
        <v>5</v>
      </c>
      <c r="J218">
        <v>0</v>
      </c>
      <c r="K218">
        <v>1</v>
      </c>
      <c r="L218">
        <v>20000000</v>
      </c>
      <c r="M218">
        <v>190</v>
      </c>
      <c r="N218">
        <v>190</v>
      </c>
      <c r="O218">
        <v>190</v>
      </c>
      <c r="P218">
        <v>0</v>
      </c>
      <c r="Q218" t="s">
        <v>61</v>
      </c>
      <c r="R218">
        <v>99987400269504</v>
      </c>
      <c r="S218">
        <v>9995354</v>
      </c>
      <c r="T218">
        <v>99987400269504</v>
      </c>
      <c r="U218">
        <v>9995354</v>
      </c>
      <c r="V218" t="s">
        <v>71</v>
      </c>
      <c r="W218">
        <v>29</v>
      </c>
      <c r="X218">
        <v>6855817</v>
      </c>
      <c r="Y218">
        <v>5200990</v>
      </c>
      <c r="Z218">
        <v>12056807</v>
      </c>
      <c r="AA218">
        <v>9995354</v>
      </c>
      <c r="AB218">
        <v>1.7586200000000001</v>
      </c>
      <c r="AC218">
        <v>1.9218200000000001</v>
      </c>
      <c r="AD218">
        <v>1.8290200000000001</v>
      </c>
      <c r="AE218">
        <v>23.236899999999999</v>
      </c>
      <c r="AF218">
        <v>675181192</v>
      </c>
      <c r="AJ218">
        <v>39698</v>
      </c>
      <c r="AM218">
        <v>6063285007</v>
      </c>
      <c r="AN218">
        <v>0</v>
      </c>
      <c r="AO218">
        <v>673724360</v>
      </c>
      <c r="AP218">
        <v>6063285007</v>
      </c>
      <c r="AQ218">
        <v>6737009367</v>
      </c>
      <c r="AR218">
        <v>94738828</v>
      </c>
      <c r="AS218">
        <v>0</v>
      </c>
      <c r="AT218">
        <v>10526943</v>
      </c>
      <c r="AU218">
        <v>94738828</v>
      </c>
      <c r="AV218">
        <v>105265771</v>
      </c>
      <c r="AW218">
        <v>30.253900000000002</v>
      </c>
      <c r="AX218">
        <v>11.183299999999999</v>
      </c>
      <c r="AY218">
        <v>5016.04</v>
      </c>
      <c r="AZ218">
        <v>3606.18</v>
      </c>
      <c r="BA218">
        <v>1985</v>
      </c>
      <c r="BB218">
        <v>512</v>
      </c>
      <c r="BC218" t="str">
        <f t="shared" si="8"/>
        <v>u=10%, k=2x10^7</v>
      </c>
      <c r="BD218">
        <f t="shared" si="9"/>
        <v>64</v>
      </c>
    </row>
    <row r="219" spans="1:56">
      <c r="A219" t="s">
        <v>462</v>
      </c>
      <c r="B219" t="s">
        <v>305</v>
      </c>
      <c r="D219" t="s">
        <v>64</v>
      </c>
      <c r="E219" t="s">
        <v>59</v>
      </c>
      <c r="F219" t="s">
        <v>60</v>
      </c>
      <c r="G219">
        <v>1000</v>
      </c>
      <c r="H219">
        <v>5</v>
      </c>
      <c r="I219">
        <v>5</v>
      </c>
      <c r="J219">
        <v>0</v>
      </c>
      <c r="K219">
        <v>1</v>
      </c>
      <c r="L219">
        <v>20000000</v>
      </c>
      <c r="M219">
        <v>190</v>
      </c>
      <c r="N219">
        <v>190</v>
      </c>
      <c r="O219">
        <v>190</v>
      </c>
      <c r="P219">
        <v>0</v>
      </c>
      <c r="Q219" t="s">
        <v>61</v>
      </c>
      <c r="R219">
        <v>99977330102072</v>
      </c>
      <c r="S219">
        <v>9998315</v>
      </c>
      <c r="T219">
        <v>99977330102072</v>
      </c>
      <c r="U219">
        <v>9998315</v>
      </c>
      <c r="V219" t="s">
        <v>71</v>
      </c>
      <c r="W219">
        <v>61</v>
      </c>
      <c r="X219">
        <v>9998314</v>
      </c>
      <c r="Y219">
        <v>9998315</v>
      </c>
      <c r="Z219">
        <v>19996629</v>
      </c>
      <c r="AA219">
        <v>9998315</v>
      </c>
      <c r="AB219">
        <v>2</v>
      </c>
      <c r="AC219">
        <v>1</v>
      </c>
      <c r="AD219">
        <v>1.5</v>
      </c>
      <c r="AE219">
        <v>31.113800000000001</v>
      </c>
      <c r="AF219">
        <v>639892128</v>
      </c>
      <c r="AJ219" t="s">
        <v>463</v>
      </c>
      <c r="AM219">
        <v>85992045</v>
      </c>
      <c r="AN219">
        <v>0</v>
      </c>
      <c r="AO219">
        <v>9558224</v>
      </c>
      <c r="AP219">
        <v>85992045</v>
      </c>
      <c r="AQ219">
        <v>95550269</v>
      </c>
      <c r="AR219">
        <v>85992045</v>
      </c>
      <c r="AS219">
        <v>0</v>
      </c>
      <c r="AT219">
        <v>9558224</v>
      </c>
      <c r="AU219">
        <v>85992045</v>
      </c>
      <c r="AV219">
        <v>95550269</v>
      </c>
      <c r="AW219">
        <v>25.182200000000002</v>
      </c>
      <c r="AX219">
        <v>9.9741999999999997</v>
      </c>
      <c r="AY219">
        <v>5506.89</v>
      </c>
      <c r="AZ219">
        <v>4442.8999999999996</v>
      </c>
      <c r="BA219">
        <v>1760</v>
      </c>
      <c r="BB219">
        <v>410</v>
      </c>
      <c r="BC219" t="str">
        <f t="shared" si="8"/>
        <v>u=10%, k=2x10^7</v>
      </c>
      <c r="BD219">
        <f t="shared" si="9"/>
        <v>1</v>
      </c>
    </row>
    <row r="220" spans="1:56">
      <c r="A220" t="s">
        <v>464</v>
      </c>
      <c r="B220" t="s">
        <v>305</v>
      </c>
      <c r="D220" t="s">
        <v>64</v>
      </c>
      <c r="E220" t="s">
        <v>59</v>
      </c>
      <c r="F220" t="s">
        <v>60</v>
      </c>
      <c r="G220">
        <v>2000</v>
      </c>
      <c r="H220">
        <v>5</v>
      </c>
      <c r="I220">
        <v>5</v>
      </c>
      <c r="J220">
        <v>0</v>
      </c>
      <c r="K220">
        <v>1</v>
      </c>
      <c r="L220">
        <v>20000000</v>
      </c>
      <c r="M220">
        <v>190</v>
      </c>
      <c r="N220">
        <v>190</v>
      </c>
      <c r="O220">
        <v>190</v>
      </c>
      <c r="P220">
        <v>0</v>
      </c>
      <c r="Q220" t="s">
        <v>61</v>
      </c>
      <c r="R220">
        <v>100018470625259</v>
      </c>
      <c r="S220">
        <v>10002215</v>
      </c>
      <c r="T220">
        <v>100018470625259</v>
      </c>
      <c r="U220">
        <v>10002215</v>
      </c>
      <c r="V220" t="s">
        <v>71</v>
      </c>
      <c r="W220">
        <v>62</v>
      </c>
      <c r="X220">
        <v>10002214</v>
      </c>
      <c r="Y220">
        <v>10002215</v>
      </c>
      <c r="Z220">
        <v>20004429</v>
      </c>
      <c r="AA220">
        <v>10002215</v>
      </c>
      <c r="AB220">
        <v>2</v>
      </c>
      <c r="AC220">
        <v>1</v>
      </c>
      <c r="AD220">
        <v>1.5</v>
      </c>
      <c r="AE220">
        <v>31.9832</v>
      </c>
      <c r="AF220">
        <v>640141728</v>
      </c>
      <c r="AJ220" t="s">
        <v>465</v>
      </c>
      <c r="AM220">
        <v>171765264</v>
      </c>
      <c r="AN220">
        <v>0</v>
      </c>
      <c r="AO220">
        <v>19090572</v>
      </c>
      <c r="AP220">
        <v>171765264</v>
      </c>
      <c r="AQ220">
        <v>190855836</v>
      </c>
      <c r="AR220">
        <v>85882632</v>
      </c>
      <c r="AS220">
        <v>0</v>
      </c>
      <c r="AT220">
        <v>9545286</v>
      </c>
      <c r="AU220">
        <v>85882632</v>
      </c>
      <c r="AV220">
        <v>95427918</v>
      </c>
      <c r="AW220">
        <v>25.428599999999999</v>
      </c>
      <c r="AX220">
        <v>10.1305</v>
      </c>
      <c r="AY220">
        <v>5542.23</v>
      </c>
      <c r="AZ220">
        <v>4478.24</v>
      </c>
      <c r="BA220">
        <v>1764</v>
      </c>
      <c r="BB220">
        <v>408</v>
      </c>
      <c r="BC220" t="str">
        <f t="shared" si="8"/>
        <v>u=10%, k=2x10^7</v>
      </c>
      <c r="BD220">
        <f t="shared" si="9"/>
        <v>2</v>
      </c>
    </row>
    <row r="221" spans="1:56">
      <c r="A221" t="s">
        <v>466</v>
      </c>
      <c r="B221" t="s">
        <v>305</v>
      </c>
      <c r="D221" t="s">
        <v>64</v>
      </c>
      <c r="E221" t="s">
        <v>59</v>
      </c>
      <c r="F221" t="s">
        <v>60</v>
      </c>
      <c r="G221">
        <v>4000</v>
      </c>
      <c r="H221">
        <v>5</v>
      </c>
      <c r="I221">
        <v>5</v>
      </c>
      <c r="J221">
        <v>0</v>
      </c>
      <c r="K221">
        <v>1</v>
      </c>
      <c r="L221">
        <v>20000000</v>
      </c>
      <c r="M221">
        <v>190</v>
      </c>
      <c r="N221">
        <v>190</v>
      </c>
      <c r="O221">
        <v>190</v>
      </c>
      <c r="P221">
        <v>0</v>
      </c>
      <c r="Q221" t="s">
        <v>61</v>
      </c>
      <c r="R221">
        <v>100040757502513</v>
      </c>
      <c r="S221">
        <v>10002397</v>
      </c>
      <c r="T221">
        <v>100040757502513</v>
      </c>
      <c r="U221">
        <v>10002397</v>
      </c>
      <c r="V221" t="s">
        <v>71</v>
      </c>
      <c r="W221">
        <v>59</v>
      </c>
      <c r="X221">
        <v>10002396</v>
      </c>
      <c r="Y221">
        <v>10002397</v>
      </c>
      <c r="Z221">
        <v>20004793</v>
      </c>
      <c r="AA221">
        <v>10002397</v>
      </c>
      <c r="AB221">
        <v>2</v>
      </c>
      <c r="AC221">
        <v>1</v>
      </c>
      <c r="AD221">
        <v>1.5</v>
      </c>
      <c r="AE221">
        <v>30.976900000000001</v>
      </c>
      <c r="AF221">
        <v>640153376</v>
      </c>
      <c r="AJ221">
        <v>2368</v>
      </c>
      <c r="AM221">
        <v>341684320</v>
      </c>
      <c r="AN221">
        <v>0</v>
      </c>
      <c r="AO221">
        <v>37964787</v>
      </c>
      <c r="AP221">
        <v>341684320</v>
      </c>
      <c r="AQ221">
        <v>379649107</v>
      </c>
      <c r="AR221">
        <v>85421080</v>
      </c>
      <c r="AS221">
        <v>0</v>
      </c>
      <c r="AT221">
        <v>9491196</v>
      </c>
      <c r="AU221">
        <v>85421080</v>
      </c>
      <c r="AV221">
        <v>94912276</v>
      </c>
      <c r="AW221">
        <v>25.636500000000002</v>
      </c>
      <c r="AX221">
        <v>10.2704</v>
      </c>
      <c r="AY221">
        <v>5564.4</v>
      </c>
      <c r="AZ221">
        <v>4507.51</v>
      </c>
      <c r="BA221">
        <v>1772</v>
      </c>
      <c r="BB221">
        <v>404</v>
      </c>
      <c r="BC221" t="str">
        <f t="shared" si="8"/>
        <v>u=10%, k=2x10^7</v>
      </c>
      <c r="BD221">
        <f t="shared" si="9"/>
        <v>4</v>
      </c>
    </row>
    <row r="222" spans="1:56">
      <c r="A222" t="s">
        <v>467</v>
      </c>
      <c r="B222" t="s">
        <v>305</v>
      </c>
      <c r="D222" t="s">
        <v>64</v>
      </c>
      <c r="E222" t="s">
        <v>59</v>
      </c>
      <c r="F222" t="s">
        <v>60</v>
      </c>
      <c r="G222">
        <v>8000</v>
      </c>
      <c r="H222">
        <v>5</v>
      </c>
      <c r="I222">
        <v>5</v>
      </c>
      <c r="J222">
        <v>0</v>
      </c>
      <c r="K222">
        <v>1</v>
      </c>
      <c r="L222">
        <v>20000000</v>
      </c>
      <c r="M222">
        <v>190</v>
      </c>
      <c r="N222">
        <v>190</v>
      </c>
      <c r="O222">
        <v>190</v>
      </c>
      <c r="P222">
        <v>0</v>
      </c>
      <c r="Q222" t="s">
        <v>61</v>
      </c>
      <c r="R222">
        <v>100032418049176</v>
      </c>
      <c r="S222">
        <v>10003104</v>
      </c>
      <c r="T222">
        <v>100032418049176</v>
      </c>
      <c r="U222">
        <v>10003104</v>
      </c>
      <c r="V222" t="s">
        <v>71</v>
      </c>
      <c r="W222">
        <v>56</v>
      </c>
      <c r="X222">
        <v>10003103</v>
      </c>
      <c r="Y222">
        <v>10003104</v>
      </c>
      <c r="Z222">
        <v>20006207</v>
      </c>
      <c r="AA222">
        <v>10003104</v>
      </c>
      <c r="AB222">
        <v>2</v>
      </c>
      <c r="AC222">
        <v>1</v>
      </c>
      <c r="AD222">
        <v>1.5</v>
      </c>
      <c r="AE222">
        <v>30.709199999999999</v>
      </c>
      <c r="AF222">
        <v>640198624</v>
      </c>
      <c r="AJ222" t="s">
        <v>468</v>
      </c>
      <c r="AM222">
        <v>679638241</v>
      </c>
      <c r="AN222">
        <v>0</v>
      </c>
      <c r="AO222">
        <v>75520427</v>
      </c>
      <c r="AP222">
        <v>679638241</v>
      </c>
      <c r="AQ222">
        <v>755158668</v>
      </c>
      <c r="AR222">
        <v>84954780</v>
      </c>
      <c r="AS222">
        <v>0</v>
      </c>
      <c r="AT222">
        <v>9440053</v>
      </c>
      <c r="AU222">
        <v>84954780</v>
      </c>
      <c r="AV222">
        <v>94394833</v>
      </c>
      <c r="AW222">
        <v>25.812200000000001</v>
      </c>
      <c r="AX222">
        <v>10.3917</v>
      </c>
      <c r="AY222">
        <v>5603.66</v>
      </c>
      <c r="AZ222">
        <v>4554.1099999999997</v>
      </c>
      <c r="BA222">
        <v>1788</v>
      </c>
      <c r="BB222">
        <v>419</v>
      </c>
      <c r="BC222" t="str">
        <f t="shared" si="8"/>
        <v>u=10%, k=2x10^7</v>
      </c>
      <c r="BD222">
        <f t="shared" si="9"/>
        <v>8</v>
      </c>
    </row>
    <row r="223" spans="1:56">
      <c r="A223" t="s">
        <v>469</v>
      </c>
      <c r="B223" t="s">
        <v>305</v>
      </c>
      <c r="D223" t="s">
        <v>64</v>
      </c>
      <c r="E223" t="s">
        <v>59</v>
      </c>
      <c r="F223" t="s">
        <v>60</v>
      </c>
      <c r="G223">
        <v>16000</v>
      </c>
      <c r="H223">
        <v>5</v>
      </c>
      <c r="I223">
        <v>5</v>
      </c>
      <c r="J223">
        <v>0</v>
      </c>
      <c r="K223">
        <v>1</v>
      </c>
      <c r="L223">
        <v>20000000</v>
      </c>
      <c r="M223">
        <v>190</v>
      </c>
      <c r="N223">
        <v>190</v>
      </c>
      <c r="O223">
        <v>190</v>
      </c>
      <c r="P223">
        <v>0</v>
      </c>
      <c r="Q223" t="s">
        <v>61</v>
      </c>
      <c r="R223">
        <v>100012565421645</v>
      </c>
      <c r="S223">
        <v>10003610</v>
      </c>
      <c r="T223">
        <v>100012565421645</v>
      </c>
      <c r="U223">
        <v>10003610</v>
      </c>
      <c r="V223" t="s">
        <v>71</v>
      </c>
      <c r="W223">
        <v>56</v>
      </c>
      <c r="X223">
        <v>10003609</v>
      </c>
      <c r="Y223">
        <v>10003610</v>
      </c>
      <c r="Z223">
        <v>20007219</v>
      </c>
      <c r="AA223">
        <v>10003610</v>
      </c>
      <c r="AB223">
        <v>2</v>
      </c>
      <c r="AC223">
        <v>1</v>
      </c>
      <c r="AD223">
        <v>1.5</v>
      </c>
      <c r="AE223">
        <v>30.5261</v>
      </c>
      <c r="AF223">
        <v>640231008</v>
      </c>
      <c r="AJ223" t="s">
        <v>470</v>
      </c>
      <c r="AM223">
        <v>1358728150</v>
      </c>
      <c r="AN223">
        <v>0</v>
      </c>
      <c r="AO223">
        <v>150966458</v>
      </c>
      <c r="AP223">
        <v>1358728150</v>
      </c>
      <c r="AQ223">
        <v>1509694608</v>
      </c>
      <c r="AR223">
        <v>84920509</v>
      </c>
      <c r="AS223">
        <v>0</v>
      </c>
      <c r="AT223">
        <v>9435403</v>
      </c>
      <c r="AU223">
        <v>84920509</v>
      </c>
      <c r="AV223">
        <v>94355913</v>
      </c>
      <c r="AW223">
        <v>25.963699999999999</v>
      </c>
      <c r="AX223">
        <v>10.4407</v>
      </c>
      <c r="AY223">
        <v>5605.38</v>
      </c>
      <c r="AZ223">
        <v>4567.58</v>
      </c>
      <c r="BA223">
        <v>1820</v>
      </c>
      <c r="BB223">
        <v>418</v>
      </c>
      <c r="BC223" t="str">
        <f t="shared" si="8"/>
        <v>u=10%, k=2x10^7</v>
      </c>
      <c r="BD223">
        <f t="shared" si="9"/>
        <v>16</v>
      </c>
    </row>
    <row r="224" spans="1:56">
      <c r="A224" t="s">
        <v>471</v>
      </c>
      <c r="B224" t="s">
        <v>305</v>
      </c>
      <c r="D224" t="s">
        <v>64</v>
      </c>
      <c r="E224" t="s">
        <v>59</v>
      </c>
      <c r="F224" t="s">
        <v>60</v>
      </c>
      <c r="G224">
        <v>32000</v>
      </c>
      <c r="H224">
        <v>5</v>
      </c>
      <c r="I224">
        <v>5</v>
      </c>
      <c r="J224">
        <v>0</v>
      </c>
      <c r="K224">
        <v>1</v>
      </c>
      <c r="L224">
        <v>20000000</v>
      </c>
      <c r="M224">
        <v>190</v>
      </c>
      <c r="N224">
        <v>190</v>
      </c>
      <c r="O224">
        <v>190</v>
      </c>
      <c r="P224">
        <v>0</v>
      </c>
      <c r="Q224" t="s">
        <v>61</v>
      </c>
      <c r="R224">
        <v>100005987688179</v>
      </c>
      <c r="S224">
        <v>9999723</v>
      </c>
      <c r="T224">
        <v>100005987688179</v>
      </c>
      <c r="U224">
        <v>9999723</v>
      </c>
      <c r="V224" t="s">
        <v>71</v>
      </c>
      <c r="W224">
        <v>58</v>
      </c>
      <c r="X224">
        <v>9999722</v>
      </c>
      <c r="Y224">
        <v>9999723</v>
      </c>
      <c r="Z224">
        <v>19999445</v>
      </c>
      <c r="AA224">
        <v>9999723</v>
      </c>
      <c r="AB224">
        <v>2</v>
      </c>
      <c r="AC224">
        <v>1</v>
      </c>
      <c r="AD224">
        <v>1.5</v>
      </c>
      <c r="AE224">
        <v>30.731400000000001</v>
      </c>
      <c r="AF224">
        <v>639982240</v>
      </c>
      <c r="AJ224" t="s">
        <v>472</v>
      </c>
      <c r="AM224">
        <v>2706425174</v>
      </c>
      <c r="AN224">
        <v>0</v>
      </c>
      <c r="AO224">
        <v>300745809</v>
      </c>
      <c r="AP224">
        <v>2706425174</v>
      </c>
      <c r="AQ224">
        <v>3007170983</v>
      </c>
      <c r="AR224">
        <v>84575786</v>
      </c>
      <c r="AS224">
        <v>0</v>
      </c>
      <c r="AT224">
        <v>9398306</v>
      </c>
      <c r="AU224">
        <v>84575786</v>
      </c>
      <c r="AV224">
        <v>93974093</v>
      </c>
      <c r="AW224">
        <v>25.947700000000001</v>
      </c>
      <c r="AX224">
        <v>10.421200000000001</v>
      </c>
      <c r="AY224">
        <v>5629.63</v>
      </c>
      <c r="AZ224">
        <v>4584.63</v>
      </c>
      <c r="BA224">
        <v>1876</v>
      </c>
      <c r="BB224">
        <v>415</v>
      </c>
      <c r="BC224" t="str">
        <f t="shared" si="8"/>
        <v>u=10%, k=2x10^7</v>
      </c>
      <c r="BD224">
        <f t="shared" si="9"/>
        <v>32</v>
      </c>
    </row>
    <row r="225" spans="1:56">
      <c r="A225" t="s">
        <v>473</v>
      </c>
      <c r="B225" t="s">
        <v>305</v>
      </c>
      <c r="D225" t="s">
        <v>64</v>
      </c>
      <c r="E225" t="s">
        <v>59</v>
      </c>
      <c r="F225" t="s">
        <v>60</v>
      </c>
      <c r="G225">
        <v>64000</v>
      </c>
      <c r="H225">
        <v>5</v>
      </c>
      <c r="I225">
        <v>5</v>
      </c>
      <c r="J225">
        <v>0</v>
      </c>
      <c r="K225">
        <v>1</v>
      </c>
      <c r="L225">
        <v>20000000</v>
      </c>
      <c r="M225">
        <v>190</v>
      </c>
      <c r="N225">
        <v>190</v>
      </c>
      <c r="O225">
        <v>190</v>
      </c>
      <c r="P225">
        <v>0</v>
      </c>
      <c r="Q225" t="s">
        <v>61</v>
      </c>
      <c r="R225">
        <v>99989380296712</v>
      </c>
      <c r="S225">
        <v>10000778</v>
      </c>
      <c r="T225">
        <v>99989380296712</v>
      </c>
      <c r="U225">
        <v>10000778</v>
      </c>
      <c r="V225" t="s">
        <v>71</v>
      </c>
      <c r="W225">
        <v>58</v>
      </c>
      <c r="X225">
        <v>10000777</v>
      </c>
      <c r="Y225">
        <v>10000778</v>
      </c>
      <c r="Z225">
        <v>20001555</v>
      </c>
      <c r="AA225">
        <v>10000778</v>
      </c>
      <c r="AB225">
        <v>2</v>
      </c>
      <c r="AC225">
        <v>1</v>
      </c>
      <c r="AD225">
        <v>1.5</v>
      </c>
      <c r="AE225">
        <v>30.1633</v>
      </c>
      <c r="AF225">
        <v>640049760</v>
      </c>
      <c r="AJ225" t="s">
        <v>474</v>
      </c>
      <c r="AM225">
        <v>5427052683</v>
      </c>
      <c r="AN225">
        <v>0</v>
      </c>
      <c r="AO225">
        <v>602993429</v>
      </c>
      <c r="AP225">
        <v>5427052683</v>
      </c>
      <c r="AQ225">
        <v>6030046112</v>
      </c>
      <c r="AR225">
        <v>84797698</v>
      </c>
      <c r="AS225">
        <v>0</v>
      </c>
      <c r="AT225">
        <v>9421772</v>
      </c>
      <c r="AU225">
        <v>84797698</v>
      </c>
      <c r="AV225">
        <v>94219470</v>
      </c>
      <c r="AW225">
        <v>25.912400000000002</v>
      </c>
      <c r="AX225">
        <v>10.3657</v>
      </c>
      <c r="AY225">
        <v>5615.18</v>
      </c>
      <c r="AZ225">
        <v>4577.08</v>
      </c>
      <c r="BA225">
        <v>1972</v>
      </c>
      <c r="BB225">
        <v>425</v>
      </c>
      <c r="BC225" t="str">
        <f t="shared" si="8"/>
        <v>u=10%, k=2x10^7</v>
      </c>
      <c r="BD225">
        <f t="shared" si="9"/>
        <v>64</v>
      </c>
    </row>
    <row r="226" spans="1:56">
      <c r="A226" t="s">
        <v>475</v>
      </c>
      <c r="B226" t="s">
        <v>63</v>
      </c>
      <c r="C226">
        <v>72</v>
      </c>
      <c r="D226" t="s">
        <v>64</v>
      </c>
      <c r="E226" t="s">
        <v>59</v>
      </c>
      <c r="F226" t="s">
        <v>60</v>
      </c>
      <c r="G226">
        <v>1000</v>
      </c>
      <c r="H226">
        <v>5</v>
      </c>
      <c r="I226">
        <v>5</v>
      </c>
      <c r="J226">
        <v>0</v>
      </c>
      <c r="K226">
        <v>1</v>
      </c>
      <c r="L226">
        <v>200000000</v>
      </c>
      <c r="M226">
        <v>190</v>
      </c>
      <c r="N226">
        <v>190</v>
      </c>
      <c r="O226">
        <v>190</v>
      </c>
      <c r="P226">
        <v>0</v>
      </c>
      <c r="Q226" t="s">
        <v>61</v>
      </c>
      <c r="R226">
        <v>9999658222004020</v>
      </c>
      <c r="S226">
        <v>99999962</v>
      </c>
      <c r="T226">
        <v>9999658222004020</v>
      </c>
      <c r="U226">
        <v>99999962</v>
      </c>
      <c r="V226" t="s">
        <v>71</v>
      </c>
      <c r="W226">
        <v>7</v>
      </c>
      <c r="X226">
        <v>14176957</v>
      </c>
      <c r="Y226">
        <v>116524113</v>
      </c>
      <c r="Z226">
        <v>130701070</v>
      </c>
      <c r="AA226">
        <v>99999962</v>
      </c>
      <c r="AB226">
        <v>9.2192600000000002</v>
      </c>
      <c r="AC226">
        <v>0.85819100000000004</v>
      </c>
      <c r="AD226">
        <v>1.7650999999999999</v>
      </c>
      <c r="AE226">
        <v>4.0655999999999999</v>
      </c>
      <c r="AF226">
        <v>3001074176</v>
      </c>
      <c r="AG226" t="s">
        <v>476</v>
      </c>
      <c r="AH226" t="s">
        <v>476</v>
      </c>
      <c r="AJ226">
        <v>1070</v>
      </c>
      <c r="AM226">
        <v>159226239</v>
      </c>
      <c r="AN226">
        <v>0</v>
      </c>
      <c r="AO226">
        <v>17696938</v>
      </c>
      <c r="AP226">
        <v>159226239</v>
      </c>
      <c r="AQ226">
        <v>176923177</v>
      </c>
      <c r="AR226">
        <v>159226239</v>
      </c>
      <c r="AS226">
        <v>0</v>
      </c>
      <c r="AT226">
        <v>17696938</v>
      </c>
      <c r="AU226">
        <v>159226239</v>
      </c>
      <c r="AV226">
        <v>176923177</v>
      </c>
      <c r="AW226">
        <v>20.104299999999999</v>
      </c>
      <c r="AX226">
        <v>9.5043699999999998</v>
      </c>
      <c r="AY226">
        <v>2978.04</v>
      </c>
      <c r="AZ226">
        <v>2204.4499999999998</v>
      </c>
      <c r="BA226">
        <v>7800</v>
      </c>
      <c r="BB226">
        <v>1070</v>
      </c>
      <c r="BC226" t="str">
        <f t="shared" si="8"/>
        <v>u=10%, k=2x10^8</v>
      </c>
      <c r="BD226">
        <f t="shared" si="9"/>
        <v>1</v>
      </c>
    </row>
    <row r="227" spans="1:56">
      <c r="A227" t="s">
        <v>477</v>
      </c>
      <c r="B227" t="s">
        <v>63</v>
      </c>
      <c r="C227">
        <v>72</v>
      </c>
      <c r="D227" t="s">
        <v>64</v>
      </c>
      <c r="E227" t="s">
        <v>59</v>
      </c>
      <c r="F227" t="s">
        <v>60</v>
      </c>
      <c r="G227">
        <v>2000</v>
      </c>
      <c r="H227">
        <v>5</v>
      </c>
      <c r="I227">
        <v>5</v>
      </c>
      <c r="J227">
        <v>0</v>
      </c>
      <c r="K227">
        <v>1</v>
      </c>
      <c r="L227">
        <v>200000000</v>
      </c>
      <c r="M227">
        <v>190</v>
      </c>
      <c r="N227">
        <v>190</v>
      </c>
      <c r="O227">
        <v>190</v>
      </c>
      <c r="P227">
        <v>0</v>
      </c>
      <c r="Q227" t="s">
        <v>61</v>
      </c>
      <c r="R227">
        <v>1.0000116909363E+16</v>
      </c>
      <c r="S227">
        <v>100002308</v>
      </c>
      <c r="T227">
        <v>1.0000116909363E+16</v>
      </c>
      <c r="U227">
        <v>100002308</v>
      </c>
      <c r="V227" t="s">
        <v>71</v>
      </c>
      <c r="W227">
        <v>7</v>
      </c>
      <c r="X227">
        <v>14942988</v>
      </c>
      <c r="Y227">
        <v>118271051</v>
      </c>
      <c r="Z227">
        <v>133214039</v>
      </c>
      <c r="AA227">
        <v>100002308</v>
      </c>
      <c r="AB227">
        <v>8.9148200000000006</v>
      </c>
      <c r="AC227">
        <v>0.84553500000000004</v>
      </c>
      <c r="AD227">
        <v>1.7506900000000001</v>
      </c>
      <c r="AE227">
        <v>4.0818599999999998</v>
      </c>
      <c r="AF227">
        <v>3092124576</v>
      </c>
      <c r="AG227" t="s">
        <v>478</v>
      </c>
      <c r="AH227" t="s">
        <v>479</v>
      </c>
      <c r="AI227">
        <v>17</v>
      </c>
      <c r="AJ227">
        <v>2078</v>
      </c>
      <c r="AM227">
        <v>307141676</v>
      </c>
      <c r="AN227">
        <v>0</v>
      </c>
      <c r="AO227">
        <v>34129872</v>
      </c>
      <c r="AP227">
        <v>307141676</v>
      </c>
      <c r="AQ227">
        <v>341271548</v>
      </c>
      <c r="AR227">
        <v>153570838</v>
      </c>
      <c r="AS227">
        <v>0</v>
      </c>
      <c r="AT227">
        <v>17064936</v>
      </c>
      <c r="AU227">
        <v>153570838</v>
      </c>
      <c r="AV227">
        <v>170635774</v>
      </c>
      <c r="AW227">
        <v>20.470700000000001</v>
      </c>
      <c r="AX227">
        <v>9.7677099999999992</v>
      </c>
      <c r="AY227">
        <v>3088.5</v>
      </c>
      <c r="AZ227">
        <v>2306.37</v>
      </c>
      <c r="BA227">
        <v>8174</v>
      </c>
      <c r="BB227">
        <v>1099</v>
      </c>
      <c r="BC227" t="str">
        <f t="shared" si="8"/>
        <v>u=10%, k=2x10^8</v>
      </c>
      <c r="BD227">
        <f t="shared" si="9"/>
        <v>2</v>
      </c>
    </row>
    <row r="228" spans="1:56">
      <c r="A228" t="s">
        <v>480</v>
      </c>
      <c r="B228" t="s">
        <v>63</v>
      </c>
      <c r="C228">
        <v>72</v>
      </c>
      <c r="D228" t="s">
        <v>64</v>
      </c>
      <c r="E228" t="s">
        <v>59</v>
      </c>
      <c r="F228" t="s">
        <v>60</v>
      </c>
      <c r="G228">
        <v>4000</v>
      </c>
      <c r="H228">
        <v>5</v>
      </c>
      <c r="I228">
        <v>5</v>
      </c>
      <c r="J228">
        <v>0</v>
      </c>
      <c r="K228">
        <v>1</v>
      </c>
      <c r="L228">
        <v>200000000</v>
      </c>
      <c r="M228">
        <v>190</v>
      </c>
      <c r="N228">
        <v>190</v>
      </c>
      <c r="O228">
        <v>190</v>
      </c>
      <c r="P228">
        <v>0</v>
      </c>
      <c r="Q228" t="s">
        <v>61</v>
      </c>
      <c r="R228">
        <v>1.00002256645923E+16</v>
      </c>
      <c r="S228">
        <v>99999654</v>
      </c>
      <c r="T228">
        <v>1.00002256645923E+16</v>
      </c>
      <c r="U228">
        <v>99999654</v>
      </c>
      <c r="V228" t="s">
        <v>71</v>
      </c>
      <c r="W228">
        <v>7</v>
      </c>
      <c r="X228">
        <v>12192988</v>
      </c>
      <c r="Y228">
        <v>112381217</v>
      </c>
      <c r="Z228">
        <v>124574205</v>
      </c>
      <c r="AA228">
        <v>99999654</v>
      </c>
      <c r="AB228">
        <v>10.216900000000001</v>
      </c>
      <c r="AC228">
        <v>0.88982499999999998</v>
      </c>
      <c r="AD228">
        <v>1.8027299999999999</v>
      </c>
      <c r="AE228">
        <v>4.0240200000000002</v>
      </c>
      <c r="AF228">
        <v>2773926592</v>
      </c>
      <c r="AG228" t="s">
        <v>481</v>
      </c>
      <c r="AH228" t="s">
        <v>482</v>
      </c>
      <c r="AI228">
        <v>16778</v>
      </c>
      <c r="AJ228">
        <v>3324</v>
      </c>
      <c r="AM228">
        <v>495314235</v>
      </c>
      <c r="AN228">
        <v>0</v>
      </c>
      <c r="AO228">
        <v>55028899</v>
      </c>
      <c r="AP228">
        <v>495314235</v>
      </c>
      <c r="AQ228">
        <v>550343134</v>
      </c>
      <c r="AR228">
        <v>123828558</v>
      </c>
      <c r="AS228">
        <v>0</v>
      </c>
      <c r="AT228">
        <v>13757224</v>
      </c>
      <c r="AU228">
        <v>123828558</v>
      </c>
      <c r="AV228">
        <v>137585783</v>
      </c>
      <c r="AW228">
        <v>22.070699999999999</v>
      </c>
      <c r="AX228">
        <v>10.868</v>
      </c>
      <c r="AY228">
        <v>3455.27</v>
      </c>
      <c r="AZ228">
        <v>2586.4499999999998</v>
      </c>
      <c r="BA228">
        <v>13825</v>
      </c>
      <c r="BB228">
        <v>1115</v>
      </c>
      <c r="BC228" t="str">
        <f t="shared" si="8"/>
        <v>u=10%, k=2x10^8</v>
      </c>
      <c r="BD228">
        <f t="shared" si="9"/>
        <v>4</v>
      </c>
    </row>
    <row r="229" spans="1:56">
      <c r="A229" t="s">
        <v>483</v>
      </c>
      <c r="B229" t="s">
        <v>63</v>
      </c>
      <c r="C229">
        <v>72</v>
      </c>
      <c r="D229" t="s">
        <v>64</v>
      </c>
      <c r="E229" t="s">
        <v>59</v>
      </c>
      <c r="F229" t="s">
        <v>60</v>
      </c>
      <c r="G229">
        <v>8000</v>
      </c>
      <c r="H229">
        <v>5</v>
      </c>
      <c r="I229">
        <v>5</v>
      </c>
      <c r="J229">
        <v>0</v>
      </c>
      <c r="K229">
        <v>1</v>
      </c>
      <c r="L229">
        <v>200000000</v>
      </c>
      <c r="M229">
        <v>190</v>
      </c>
      <c r="N229">
        <v>190</v>
      </c>
      <c r="O229">
        <v>190</v>
      </c>
      <c r="P229">
        <v>0</v>
      </c>
      <c r="Q229" t="s">
        <v>61</v>
      </c>
      <c r="R229">
        <v>9999610338990730</v>
      </c>
      <c r="S229">
        <v>100000216</v>
      </c>
      <c r="T229">
        <v>9999610338990730</v>
      </c>
      <c r="U229">
        <v>100000216</v>
      </c>
      <c r="V229" t="s">
        <v>71</v>
      </c>
      <c r="W229">
        <v>7</v>
      </c>
      <c r="X229">
        <v>14228431</v>
      </c>
      <c r="Y229">
        <v>116633713</v>
      </c>
      <c r="Z229">
        <v>130862144</v>
      </c>
      <c r="AA229">
        <v>100000216</v>
      </c>
      <c r="AB229">
        <v>9.1972299999999994</v>
      </c>
      <c r="AC229">
        <v>0.85738700000000001</v>
      </c>
      <c r="AD229">
        <v>1.76416</v>
      </c>
      <c r="AE229">
        <v>4.0667200000000001</v>
      </c>
      <c r="AF229">
        <v>3007052592</v>
      </c>
      <c r="AG229" t="s">
        <v>484</v>
      </c>
      <c r="AH229" t="s">
        <v>485</v>
      </c>
      <c r="AI229">
        <v>32858</v>
      </c>
      <c r="AJ229">
        <v>6442</v>
      </c>
      <c r="AM229">
        <v>1064000282</v>
      </c>
      <c r="AN229">
        <v>0</v>
      </c>
      <c r="AO229">
        <v>118217830</v>
      </c>
      <c r="AP229">
        <v>1064000282</v>
      </c>
      <c r="AQ229">
        <v>1182218112</v>
      </c>
      <c r="AR229">
        <v>133000035</v>
      </c>
      <c r="AS229">
        <v>0</v>
      </c>
      <c r="AT229">
        <v>14777228</v>
      </c>
      <c r="AU229">
        <v>133000035</v>
      </c>
      <c r="AV229">
        <v>147777264</v>
      </c>
      <c r="AW229">
        <v>21.948799999999999</v>
      </c>
      <c r="AX229">
        <v>10.9404</v>
      </c>
      <c r="AY229">
        <v>3340.82</v>
      </c>
      <c r="AZ229">
        <v>2482.21</v>
      </c>
      <c r="BA229">
        <v>14233</v>
      </c>
      <c r="BB229">
        <v>1115</v>
      </c>
      <c r="BC229" t="str">
        <f t="shared" si="8"/>
        <v>u=10%, k=2x10^8</v>
      </c>
      <c r="BD229">
        <f t="shared" si="9"/>
        <v>8</v>
      </c>
    </row>
    <row r="230" spans="1:56">
      <c r="A230" t="s">
        <v>486</v>
      </c>
      <c r="B230" t="s">
        <v>63</v>
      </c>
      <c r="C230">
        <v>72</v>
      </c>
      <c r="D230" t="s">
        <v>64</v>
      </c>
      <c r="E230" t="s">
        <v>59</v>
      </c>
      <c r="F230" t="s">
        <v>60</v>
      </c>
      <c r="G230">
        <v>16000</v>
      </c>
      <c r="H230">
        <v>5</v>
      </c>
      <c r="I230">
        <v>5</v>
      </c>
      <c r="J230">
        <v>0</v>
      </c>
      <c r="K230">
        <v>1</v>
      </c>
      <c r="L230">
        <v>200000000</v>
      </c>
      <c r="M230">
        <v>190</v>
      </c>
      <c r="N230">
        <v>190</v>
      </c>
      <c r="O230">
        <v>190</v>
      </c>
      <c r="P230">
        <v>0</v>
      </c>
      <c r="Q230" t="s">
        <v>61</v>
      </c>
      <c r="R230">
        <v>9999398318934220</v>
      </c>
      <c r="S230">
        <v>99993005</v>
      </c>
      <c r="T230">
        <v>9999398318934220</v>
      </c>
      <c r="U230">
        <v>99993005</v>
      </c>
      <c r="V230" t="s">
        <v>71</v>
      </c>
      <c r="W230">
        <v>7</v>
      </c>
      <c r="X230">
        <v>14950230</v>
      </c>
      <c r="Y230">
        <v>118270901</v>
      </c>
      <c r="Z230">
        <v>133221131</v>
      </c>
      <c r="AA230">
        <v>99993005</v>
      </c>
      <c r="AB230">
        <v>8.9109800000000003</v>
      </c>
      <c r="AC230">
        <v>0.84545700000000001</v>
      </c>
      <c r="AD230">
        <v>1.75058</v>
      </c>
      <c r="AE230">
        <v>4.0822099999999999</v>
      </c>
      <c r="AF230">
        <v>3092693840</v>
      </c>
      <c r="AG230" t="s">
        <v>487</v>
      </c>
      <c r="AH230" t="s">
        <v>488</v>
      </c>
      <c r="AI230">
        <v>63895</v>
      </c>
      <c r="AJ230">
        <v>11398</v>
      </c>
      <c r="AM230">
        <v>2094000731</v>
      </c>
      <c r="AN230">
        <v>0</v>
      </c>
      <c r="AO230">
        <v>232659488</v>
      </c>
      <c r="AP230">
        <v>2094000731</v>
      </c>
      <c r="AQ230">
        <v>2326660219</v>
      </c>
      <c r="AR230">
        <v>130875045</v>
      </c>
      <c r="AS230">
        <v>0</v>
      </c>
      <c r="AT230">
        <v>14541218</v>
      </c>
      <c r="AU230">
        <v>130875045</v>
      </c>
      <c r="AV230">
        <v>145416263</v>
      </c>
      <c r="AW230">
        <v>22.073399999999999</v>
      </c>
      <c r="AX230">
        <v>11.0991</v>
      </c>
      <c r="AY230">
        <v>3391.86</v>
      </c>
      <c r="AZ230">
        <v>2525.5300000000002</v>
      </c>
      <c r="BA230">
        <v>14265</v>
      </c>
      <c r="BB230">
        <v>1105</v>
      </c>
      <c r="BC230" t="str">
        <f t="shared" si="8"/>
        <v>u=10%, k=2x10^8</v>
      </c>
      <c r="BD230">
        <f t="shared" si="9"/>
        <v>16</v>
      </c>
    </row>
    <row r="231" spans="1:56">
      <c r="A231" t="s">
        <v>489</v>
      </c>
      <c r="B231" t="s">
        <v>63</v>
      </c>
      <c r="C231">
        <v>72</v>
      </c>
      <c r="D231" t="s">
        <v>64</v>
      </c>
      <c r="E231" t="s">
        <v>59</v>
      </c>
      <c r="F231" t="s">
        <v>60</v>
      </c>
      <c r="G231">
        <v>32000</v>
      </c>
      <c r="H231">
        <v>5</v>
      </c>
      <c r="I231">
        <v>5</v>
      </c>
      <c r="J231">
        <v>0</v>
      </c>
      <c r="K231">
        <v>1</v>
      </c>
      <c r="L231">
        <v>200000000</v>
      </c>
      <c r="M231">
        <v>190</v>
      </c>
      <c r="N231">
        <v>190</v>
      </c>
      <c r="O231">
        <v>190</v>
      </c>
      <c r="P231">
        <v>0</v>
      </c>
      <c r="Q231" t="s">
        <v>61</v>
      </c>
      <c r="R231">
        <v>1.0000610540453E+16</v>
      </c>
      <c r="S231">
        <v>100006545</v>
      </c>
      <c r="T231">
        <v>1.0000610540453E+16</v>
      </c>
      <c r="U231">
        <v>100006545</v>
      </c>
      <c r="V231" t="s">
        <v>71</v>
      </c>
      <c r="W231">
        <v>7</v>
      </c>
      <c r="X231">
        <v>11348125</v>
      </c>
      <c r="Y231">
        <v>110681939</v>
      </c>
      <c r="Z231">
        <v>122030064</v>
      </c>
      <c r="AA231">
        <v>100006545</v>
      </c>
      <c r="AB231">
        <v>10.753299999999999</v>
      </c>
      <c r="AC231">
        <v>0.90354900000000005</v>
      </c>
      <c r="AD231">
        <v>1.81952</v>
      </c>
      <c r="AE231">
        <v>4.0067700000000004</v>
      </c>
      <c r="AF231">
        <v>2678795536</v>
      </c>
      <c r="AG231" t="s">
        <v>490</v>
      </c>
      <c r="AH231" t="s">
        <v>491</v>
      </c>
      <c r="AI231">
        <v>143649</v>
      </c>
      <c r="AJ231">
        <v>20032</v>
      </c>
      <c r="AM231">
        <v>4062117136</v>
      </c>
      <c r="AN231">
        <v>0</v>
      </c>
      <c r="AO231">
        <v>451308725</v>
      </c>
      <c r="AP231">
        <v>4062117136</v>
      </c>
      <c r="AQ231">
        <v>4513425861</v>
      </c>
      <c r="AR231">
        <v>126941160</v>
      </c>
      <c r="AS231">
        <v>0</v>
      </c>
      <c r="AT231">
        <v>14103397</v>
      </c>
      <c r="AU231">
        <v>126941160</v>
      </c>
      <c r="AV231">
        <v>141044558</v>
      </c>
      <c r="AW231">
        <v>22.310300000000002</v>
      </c>
      <c r="AX231">
        <v>11.3825</v>
      </c>
      <c r="AY231">
        <v>3466.54</v>
      </c>
      <c r="AZ231">
        <v>2590.7600000000002</v>
      </c>
      <c r="BA231">
        <v>14289</v>
      </c>
      <c r="BB231">
        <v>1152</v>
      </c>
      <c r="BC231" t="str">
        <f t="shared" si="8"/>
        <v>u=10%, k=2x10^8</v>
      </c>
      <c r="BD231">
        <f t="shared" si="9"/>
        <v>32</v>
      </c>
    </row>
    <row r="232" spans="1:56">
      <c r="A232" t="s">
        <v>492</v>
      </c>
      <c r="B232" t="s">
        <v>63</v>
      </c>
      <c r="C232">
        <v>72</v>
      </c>
      <c r="D232" t="s">
        <v>64</v>
      </c>
      <c r="E232" t="s">
        <v>59</v>
      </c>
      <c r="F232" t="s">
        <v>60</v>
      </c>
      <c r="G232">
        <v>64000</v>
      </c>
      <c r="H232">
        <v>5</v>
      </c>
      <c r="I232">
        <v>5</v>
      </c>
      <c r="J232">
        <v>0</v>
      </c>
      <c r="K232">
        <v>1</v>
      </c>
      <c r="L232">
        <v>200000000</v>
      </c>
      <c r="M232">
        <v>190</v>
      </c>
      <c r="N232">
        <v>190</v>
      </c>
      <c r="O232">
        <v>190</v>
      </c>
      <c r="P232">
        <v>0</v>
      </c>
      <c r="Q232" t="s">
        <v>61</v>
      </c>
      <c r="R232">
        <v>1.00006832257724E+16</v>
      </c>
      <c r="S232">
        <v>100007183</v>
      </c>
      <c r="T232">
        <v>1.00006832257724E+16</v>
      </c>
      <c r="U232">
        <v>100007183</v>
      </c>
      <c r="V232" t="s">
        <v>71</v>
      </c>
      <c r="W232">
        <v>7</v>
      </c>
      <c r="X232">
        <v>14781181</v>
      </c>
      <c r="Y232">
        <v>117922062</v>
      </c>
      <c r="Z232">
        <v>132703243</v>
      </c>
      <c r="AA232">
        <v>100007183</v>
      </c>
      <c r="AB232">
        <v>8.9778500000000001</v>
      </c>
      <c r="AC232">
        <v>0.84807900000000003</v>
      </c>
      <c r="AD232">
        <v>1.75362</v>
      </c>
      <c r="AE232">
        <v>4.0774900000000001</v>
      </c>
      <c r="AF232">
        <v>3073479280</v>
      </c>
      <c r="AG232" t="s">
        <v>493</v>
      </c>
      <c r="AH232" t="s">
        <v>494</v>
      </c>
      <c r="AI232">
        <v>270399</v>
      </c>
      <c r="AJ232">
        <v>36546</v>
      </c>
      <c r="AM232">
        <v>8001312033</v>
      </c>
      <c r="AN232">
        <v>0</v>
      </c>
      <c r="AO232">
        <v>889058864</v>
      </c>
      <c r="AP232">
        <v>8001312033</v>
      </c>
      <c r="AQ232">
        <v>8890370897</v>
      </c>
      <c r="AR232">
        <v>125020500</v>
      </c>
      <c r="AS232">
        <v>0</v>
      </c>
      <c r="AT232">
        <v>13891544</v>
      </c>
      <c r="AU232">
        <v>125020500</v>
      </c>
      <c r="AV232">
        <v>138912045</v>
      </c>
      <c r="AW232">
        <v>22.289200000000001</v>
      </c>
      <c r="AX232">
        <v>11.392200000000001</v>
      </c>
      <c r="AY232">
        <v>3493.86</v>
      </c>
      <c r="AZ232">
        <v>2608.2199999999998</v>
      </c>
      <c r="BA232">
        <v>14294</v>
      </c>
      <c r="BB232">
        <v>1115</v>
      </c>
      <c r="BC232" t="str">
        <f t="shared" si="8"/>
        <v>u=10%, k=2x10^8</v>
      </c>
      <c r="BD232">
        <f t="shared" si="9"/>
        <v>64</v>
      </c>
    </row>
    <row r="233" spans="1:56">
      <c r="A233" t="s">
        <v>495</v>
      </c>
      <c r="B233" t="s">
        <v>300</v>
      </c>
      <c r="C233">
        <v>208</v>
      </c>
      <c r="D233" t="s">
        <v>64</v>
      </c>
      <c r="E233" t="s">
        <v>59</v>
      </c>
      <c r="F233" t="s">
        <v>60</v>
      </c>
      <c r="G233">
        <v>1000</v>
      </c>
      <c r="H233">
        <v>5</v>
      </c>
      <c r="I233">
        <v>5</v>
      </c>
      <c r="J233">
        <v>0</v>
      </c>
      <c r="K233">
        <v>1</v>
      </c>
      <c r="L233">
        <v>200000000</v>
      </c>
      <c r="M233">
        <v>190</v>
      </c>
      <c r="N233">
        <v>190</v>
      </c>
      <c r="O233">
        <v>190</v>
      </c>
      <c r="P233">
        <v>0</v>
      </c>
      <c r="Q233" t="s">
        <v>61</v>
      </c>
      <c r="R233">
        <v>9999676356255750</v>
      </c>
      <c r="S233">
        <v>99995446</v>
      </c>
      <c r="T233">
        <v>9999676356255750</v>
      </c>
      <c r="U233">
        <v>99995446</v>
      </c>
      <c r="V233" t="s">
        <v>71</v>
      </c>
      <c r="W233">
        <v>10</v>
      </c>
      <c r="X233">
        <v>1909880</v>
      </c>
      <c r="Y233">
        <v>13145116</v>
      </c>
      <c r="Z233">
        <v>15054996</v>
      </c>
      <c r="AA233">
        <v>99995446</v>
      </c>
      <c r="AB233">
        <v>7.8826900000000002</v>
      </c>
      <c r="AC233">
        <v>7.6070399999999996</v>
      </c>
      <c r="AD233">
        <v>7.64201</v>
      </c>
      <c r="AE233">
        <v>9</v>
      </c>
      <c r="AF233">
        <v>3131439168</v>
      </c>
      <c r="AJ233" t="s">
        <v>496</v>
      </c>
      <c r="AM233">
        <v>131439473</v>
      </c>
      <c r="AN233">
        <v>0</v>
      </c>
      <c r="AO233">
        <v>14603495</v>
      </c>
      <c r="AP233">
        <v>131439473</v>
      </c>
      <c r="AQ233">
        <v>146042968</v>
      </c>
      <c r="AR233">
        <v>131439473</v>
      </c>
      <c r="AS233">
        <v>0</v>
      </c>
      <c r="AT233">
        <v>14603495</v>
      </c>
      <c r="AU233">
        <v>131439473</v>
      </c>
      <c r="AV233">
        <v>146042968</v>
      </c>
      <c r="AW233">
        <v>24.449400000000001</v>
      </c>
      <c r="AX233">
        <v>10.689500000000001</v>
      </c>
      <c r="AY233">
        <v>3603.44</v>
      </c>
      <c r="AZ233">
        <v>2595.14</v>
      </c>
      <c r="BA233">
        <v>5256</v>
      </c>
      <c r="BB233">
        <v>6124</v>
      </c>
      <c r="BC233" t="str">
        <f t="shared" si="8"/>
        <v>u=10%, k=2x10^8</v>
      </c>
      <c r="BD233">
        <f t="shared" si="9"/>
        <v>1</v>
      </c>
    </row>
    <row r="234" spans="1:56">
      <c r="A234" t="s">
        <v>497</v>
      </c>
      <c r="B234" t="s">
        <v>300</v>
      </c>
      <c r="C234">
        <v>208</v>
      </c>
      <c r="D234" t="s">
        <v>64</v>
      </c>
      <c r="E234" t="s">
        <v>59</v>
      </c>
      <c r="F234" t="s">
        <v>60</v>
      </c>
      <c r="G234">
        <v>2000</v>
      </c>
      <c r="H234">
        <v>5</v>
      </c>
      <c r="I234">
        <v>5</v>
      </c>
      <c r="J234">
        <v>0</v>
      </c>
      <c r="K234">
        <v>1</v>
      </c>
      <c r="L234">
        <v>200000000</v>
      </c>
      <c r="M234">
        <v>190</v>
      </c>
      <c r="N234">
        <v>190</v>
      </c>
      <c r="O234">
        <v>190</v>
      </c>
      <c r="P234">
        <v>0</v>
      </c>
      <c r="Q234" t="s">
        <v>61</v>
      </c>
      <c r="R234">
        <v>9999880177302810</v>
      </c>
      <c r="S234">
        <v>99998739</v>
      </c>
      <c r="T234">
        <v>9999880177302810</v>
      </c>
      <c r="U234">
        <v>99998739</v>
      </c>
      <c r="V234" t="s">
        <v>71</v>
      </c>
      <c r="W234">
        <v>10</v>
      </c>
      <c r="X234">
        <v>1953372</v>
      </c>
      <c r="Y234">
        <v>13436913</v>
      </c>
      <c r="Z234">
        <v>15390285</v>
      </c>
      <c r="AA234">
        <v>99998739</v>
      </c>
      <c r="AB234">
        <v>7.8788299999999998</v>
      </c>
      <c r="AC234">
        <v>7.4420900000000003</v>
      </c>
      <c r="AD234">
        <v>7.4975199999999997</v>
      </c>
      <c r="AE234">
        <v>9</v>
      </c>
      <c r="AF234">
        <v>3201179280</v>
      </c>
      <c r="AJ234" t="s">
        <v>498</v>
      </c>
      <c r="AM234">
        <v>262483165</v>
      </c>
      <c r="AN234">
        <v>0</v>
      </c>
      <c r="AO234">
        <v>29165564</v>
      </c>
      <c r="AP234">
        <v>262483165</v>
      </c>
      <c r="AQ234">
        <v>291648729</v>
      </c>
      <c r="AR234">
        <v>131241582</v>
      </c>
      <c r="AS234">
        <v>0</v>
      </c>
      <c r="AT234">
        <v>14582782</v>
      </c>
      <c r="AU234">
        <v>131241582</v>
      </c>
      <c r="AV234">
        <v>145824364</v>
      </c>
      <c r="AW234">
        <v>24.4495</v>
      </c>
      <c r="AX234">
        <v>10.7563</v>
      </c>
      <c r="AY234">
        <v>3611.48</v>
      </c>
      <c r="AZ234">
        <v>2605.16</v>
      </c>
      <c r="BA234">
        <v>5367</v>
      </c>
      <c r="BB234">
        <v>6054</v>
      </c>
      <c r="BC234" t="str">
        <f t="shared" si="8"/>
        <v>u=10%, k=2x10^8</v>
      </c>
      <c r="BD234">
        <f t="shared" si="9"/>
        <v>2</v>
      </c>
    </row>
    <row r="235" spans="1:56">
      <c r="A235" t="s">
        <v>499</v>
      </c>
      <c r="B235" t="s">
        <v>300</v>
      </c>
      <c r="C235">
        <v>208</v>
      </c>
      <c r="D235" t="s">
        <v>64</v>
      </c>
      <c r="E235" t="s">
        <v>59</v>
      </c>
      <c r="F235" t="s">
        <v>60</v>
      </c>
      <c r="G235">
        <v>4000</v>
      </c>
      <c r="H235">
        <v>5</v>
      </c>
      <c r="I235">
        <v>5</v>
      </c>
      <c r="J235">
        <v>0</v>
      </c>
      <c r="K235">
        <v>1</v>
      </c>
      <c r="L235">
        <v>200000000</v>
      </c>
      <c r="M235">
        <v>190</v>
      </c>
      <c r="N235">
        <v>190</v>
      </c>
      <c r="O235">
        <v>190</v>
      </c>
      <c r="P235">
        <v>0</v>
      </c>
      <c r="Q235" t="s">
        <v>61</v>
      </c>
      <c r="R235">
        <v>9999251306053380</v>
      </c>
      <c r="S235">
        <v>99994840</v>
      </c>
      <c r="T235">
        <v>9999251306053380</v>
      </c>
      <c r="U235">
        <v>99994840</v>
      </c>
      <c r="V235" t="s">
        <v>71</v>
      </c>
      <c r="W235">
        <v>10</v>
      </c>
      <c r="X235">
        <v>2017867</v>
      </c>
      <c r="Y235">
        <v>13887103</v>
      </c>
      <c r="Z235">
        <v>15904970</v>
      </c>
      <c r="AA235">
        <v>99994840</v>
      </c>
      <c r="AB235">
        <v>7.8820699999999997</v>
      </c>
      <c r="AC235">
        <v>7.2005499999999998</v>
      </c>
      <c r="AD235">
        <v>7.2870200000000001</v>
      </c>
      <c r="AE235">
        <v>9</v>
      </c>
      <c r="AF235">
        <v>3308233760</v>
      </c>
      <c r="AJ235" t="s">
        <v>500</v>
      </c>
      <c r="AM235">
        <v>524989344</v>
      </c>
      <c r="AN235">
        <v>0</v>
      </c>
      <c r="AO235">
        <v>58338192</v>
      </c>
      <c r="AP235">
        <v>524989344</v>
      </c>
      <c r="AQ235">
        <v>583327536</v>
      </c>
      <c r="AR235">
        <v>131247336</v>
      </c>
      <c r="AS235">
        <v>0</v>
      </c>
      <c r="AT235">
        <v>14584548</v>
      </c>
      <c r="AU235">
        <v>131247336</v>
      </c>
      <c r="AV235">
        <v>145831884</v>
      </c>
      <c r="AW235">
        <v>24.480699999999999</v>
      </c>
      <c r="AX235">
        <v>10.8018</v>
      </c>
      <c r="AY235">
        <v>3619</v>
      </c>
      <c r="AZ235">
        <v>2619.42</v>
      </c>
      <c r="BA235">
        <v>5475</v>
      </c>
      <c r="BB235">
        <v>5983</v>
      </c>
      <c r="BC235" t="str">
        <f t="shared" si="8"/>
        <v>u=10%, k=2x10^8</v>
      </c>
      <c r="BD235">
        <f t="shared" si="9"/>
        <v>4</v>
      </c>
    </row>
    <row r="236" spans="1:56">
      <c r="A236" t="s">
        <v>501</v>
      </c>
      <c r="B236" t="s">
        <v>300</v>
      </c>
      <c r="C236">
        <v>208</v>
      </c>
      <c r="D236" t="s">
        <v>64</v>
      </c>
      <c r="E236" t="s">
        <v>59</v>
      </c>
      <c r="F236" t="s">
        <v>60</v>
      </c>
      <c r="G236">
        <v>8000</v>
      </c>
      <c r="H236">
        <v>5</v>
      </c>
      <c r="I236">
        <v>5</v>
      </c>
      <c r="J236">
        <v>0</v>
      </c>
      <c r="K236">
        <v>1</v>
      </c>
      <c r="L236">
        <v>200000000</v>
      </c>
      <c r="M236">
        <v>190</v>
      </c>
      <c r="N236">
        <v>190</v>
      </c>
      <c r="O236">
        <v>190</v>
      </c>
      <c r="P236">
        <v>0</v>
      </c>
      <c r="Q236" t="s">
        <v>61</v>
      </c>
      <c r="R236">
        <v>1.00002160398869E+16</v>
      </c>
      <c r="S236">
        <v>100002228</v>
      </c>
      <c r="T236">
        <v>1.00002160398869E+16</v>
      </c>
      <c r="U236">
        <v>100002228</v>
      </c>
      <c r="V236" t="s">
        <v>71</v>
      </c>
      <c r="W236">
        <v>10</v>
      </c>
      <c r="X236">
        <v>2114556</v>
      </c>
      <c r="Y236">
        <v>14543845</v>
      </c>
      <c r="Z236">
        <v>16658401</v>
      </c>
      <c r="AA236">
        <v>100002228</v>
      </c>
      <c r="AB236">
        <v>7.8779700000000004</v>
      </c>
      <c r="AC236">
        <v>6.8759100000000002</v>
      </c>
      <c r="AD236">
        <v>7.0031100000000004</v>
      </c>
      <c r="AE236">
        <v>9</v>
      </c>
      <c r="AF236">
        <v>3464947408</v>
      </c>
      <c r="AJ236" t="s">
        <v>502</v>
      </c>
      <c r="AM236">
        <v>1046806601</v>
      </c>
      <c r="AN236">
        <v>0</v>
      </c>
      <c r="AO236">
        <v>116334668</v>
      </c>
      <c r="AP236">
        <v>1046806601</v>
      </c>
      <c r="AQ236">
        <v>1163141269</v>
      </c>
      <c r="AR236">
        <v>130850825</v>
      </c>
      <c r="AS236">
        <v>0</v>
      </c>
      <c r="AT236">
        <v>14541833</v>
      </c>
      <c r="AU236">
        <v>130850825</v>
      </c>
      <c r="AV236">
        <v>145392658</v>
      </c>
      <c r="AW236">
        <v>24.5487</v>
      </c>
      <c r="AX236">
        <v>10.846</v>
      </c>
      <c r="AY236">
        <v>3630.74</v>
      </c>
      <c r="AZ236">
        <v>2639.72</v>
      </c>
      <c r="BA236">
        <v>5650</v>
      </c>
      <c r="BB236">
        <v>5985</v>
      </c>
      <c r="BC236" t="str">
        <f t="shared" si="8"/>
        <v>u=10%, k=2x10^8</v>
      </c>
      <c r="BD236">
        <f t="shared" si="9"/>
        <v>8</v>
      </c>
    </row>
    <row r="237" spans="1:56">
      <c r="A237" t="s">
        <v>503</v>
      </c>
      <c r="B237" t="s">
        <v>300</v>
      </c>
      <c r="C237">
        <v>208</v>
      </c>
      <c r="D237" t="s">
        <v>64</v>
      </c>
      <c r="E237" t="s">
        <v>59</v>
      </c>
      <c r="F237" t="s">
        <v>60</v>
      </c>
      <c r="G237">
        <v>16000</v>
      </c>
      <c r="H237">
        <v>5</v>
      </c>
      <c r="I237">
        <v>5</v>
      </c>
      <c r="J237">
        <v>0</v>
      </c>
      <c r="K237">
        <v>1</v>
      </c>
      <c r="L237">
        <v>200000000</v>
      </c>
      <c r="M237">
        <v>190</v>
      </c>
      <c r="N237">
        <v>190</v>
      </c>
      <c r="O237">
        <v>190</v>
      </c>
      <c r="P237">
        <v>0</v>
      </c>
      <c r="Q237" t="s">
        <v>61</v>
      </c>
      <c r="R237">
        <v>9999660471161240</v>
      </c>
      <c r="S237">
        <v>99994747</v>
      </c>
      <c r="T237">
        <v>9999660471161240</v>
      </c>
      <c r="U237">
        <v>99994747</v>
      </c>
      <c r="V237" t="s">
        <v>71</v>
      </c>
      <c r="W237">
        <v>10</v>
      </c>
      <c r="X237">
        <v>2245663</v>
      </c>
      <c r="Y237">
        <v>15440742</v>
      </c>
      <c r="Z237">
        <v>17686405</v>
      </c>
      <c r="AA237">
        <v>99994747</v>
      </c>
      <c r="AB237">
        <v>7.8758100000000004</v>
      </c>
      <c r="AC237">
        <v>6.4760299999999997</v>
      </c>
      <c r="AD237">
        <v>6.6537600000000001</v>
      </c>
      <c r="AE237">
        <v>9</v>
      </c>
      <c r="AF237">
        <v>3678772240</v>
      </c>
      <c r="AJ237" t="s">
        <v>504</v>
      </c>
      <c r="AM237">
        <v>2072253946</v>
      </c>
      <c r="AN237">
        <v>0</v>
      </c>
      <c r="AO237">
        <v>230264751</v>
      </c>
      <c r="AP237">
        <v>2072253946</v>
      </c>
      <c r="AQ237">
        <v>2302518697</v>
      </c>
      <c r="AR237">
        <v>129515871</v>
      </c>
      <c r="AS237">
        <v>0</v>
      </c>
      <c r="AT237">
        <v>14391546</v>
      </c>
      <c r="AU237">
        <v>129515871</v>
      </c>
      <c r="AV237">
        <v>143907418</v>
      </c>
      <c r="AW237">
        <v>24.610800000000001</v>
      </c>
      <c r="AX237">
        <v>10.9472</v>
      </c>
      <c r="AY237">
        <v>3669.29</v>
      </c>
      <c r="AZ237">
        <v>2679.66</v>
      </c>
      <c r="BA237">
        <v>5964</v>
      </c>
      <c r="BB237">
        <v>5993</v>
      </c>
      <c r="BC237" t="str">
        <f t="shared" si="8"/>
        <v>u=10%, k=2x10^8</v>
      </c>
      <c r="BD237">
        <f t="shared" si="9"/>
        <v>16</v>
      </c>
    </row>
    <row r="238" spans="1:56">
      <c r="A238" t="s">
        <v>505</v>
      </c>
      <c r="B238" t="s">
        <v>300</v>
      </c>
      <c r="C238">
        <v>208</v>
      </c>
      <c r="D238" t="s">
        <v>64</v>
      </c>
      <c r="E238" t="s">
        <v>59</v>
      </c>
      <c r="F238" t="s">
        <v>60</v>
      </c>
      <c r="G238">
        <v>32000</v>
      </c>
      <c r="H238">
        <v>5</v>
      </c>
      <c r="I238">
        <v>5</v>
      </c>
      <c r="J238">
        <v>0</v>
      </c>
      <c r="K238">
        <v>1</v>
      </c>
      <c r="L238">
        <v>200000000</v>
      </c>
      <c r="M238">
        <v>190</v>
      </c>
      <c r="N238">
        <v>190</v>
      </c>
      <c r="O238">
        <v>190</v>
      </c>
      <c r="P238">
        <v>0</v>
      </c>
      <c r="Q238" t="s">
        <v>61</v>
      </c>
      <c r="R238">
        <v>9999228920630900</v>
      </c>
      <c r="S238">
        <v>99991713</v>
      </c>
      <c r="T238">
        <v>9999228920630900</v>
      </c>
      <c r="U238">
        <v>99991713</v>
      </c>
      <c r="V238" t="s">
        <v>71</v>
      </c>
      <c r="W238">
        <v>11</v>
      </c>
      <c r="X238">
        <v>2409781</v>
      </c>
      <c r="Y238">
        <v>16564176</v>
      </c>
      <c r="Z238">
        <v>18973957</v>
      </c>
      <c r="AA238">
        <v>99991713</v>
      </c>
      <c r="AB238">
        <v>7.8737300000000001</v>
      </c>
      <c r="AC238">
        <v>6.0366200000000001</v>
      </c>
      <c r="AD238">
        <v>6.2699499999999997</v>
      </c>
      <c r="AE238">
        <v>10</v>
      </c>
      <c r="AF238">
        <v>3946583056</v>
      </c>
      <c r="AJ238" t="s">
        <v>506</v>
      </c>
      <c r="AM238">
        <v>4101648772</v>
      </c>
      <c r="AN238">
        <v>0</v>
      </c>
      <c r="AO238">
        <v>455725915</v>
      </c>
      <c r="AP238">
        <v>4101648772</v>
      </c>
      <c r="AQ238">
        <v>4557374687</v>
      </c>
      <c r="AR238">
        <v>128176524</v>
      </c>
      <c r="AS238">
        <v>0</v>
      </c>
      <c r="AT238">
        <v>14241434</v>
      </c>
      <c r="AU238">
        <v>128176524</v>
      </c>
      <c r="AV238">
        <v>142417958</v>
      </c>
      <c r="AW238">
        <v>24.811199999999999</v>
      </c>
      <c r="AX238">
        <v>11.073399999999999</v>
      </c>
      <c r="AY238">
        <v>3709.3</v>
      </c>
      <c r="AZ238">
        <v>2717.84</v>
      </c>
      <c r="BA238">
        <v>6329</v>
      </c>
      <c r="BB238">
        <v>5966</v>
      </c>
      <c r="BC238" t="str">
        <f t="shared" si="8"/>
        <v>u=10%, k=2x10^8</v>
      </c>
      <c r="BD238">
        <f t="shared" si="9"/>
        <v>32</v>
      </c>
    </row>
    <row r="239" spans="1:56">
      <c r="A239" t="s">
        <v>507</v>
      </c>
      <c r="B239" t="s">
        <v>300</v>
      </c>
      <c r="C239">
        <v>208</v>
      </c>
      <c r="D239" t="s">
        <v>64</v>
      </c>
      <c r="E239" t="s">
        <v>59</v>
      </c>
      <c r="F239" t="s">
        <v>60</v>
      </c>
      <c r="G239">
        <v>64000</v>
      </c>
      <c r="H239">
        <v>5</v>
      </c>
      <c r="I239">
        <v>5</v>
      </c>
      <c r="J239">
        <v>0</v>
      </c>
      <c r="K239">
        <v>1</v>
      </c>
      <c r="L239">
        <v>200000000</v>
      </c>
      <c r="M239">
        <v>190</v>
      </c>
      <c r="N239">
        <v>190</v>
      </c>
      <c r="O239">
        <v>190</v>
      </c>
      <c r="P239">
        <v>0</v>
      </c>
      <c r="Q239" t="s">
        <v>61</v>
      </c>
      <c r="R239">
        <v>9999218566290260</v>
      </c>
      <c r="S239">
        <v>99995639</v>
      </c>
      <c r="T239">
        <v>9999218566290260</v>
      </c>
      <c r="U239">
        <v>99995639</v>
      </c>
      <c r="V239" t="s">
        <v>71</v>
      </c>
      <c r="W239">
        <v>10</v>
      </c>
      <c r="X239">
        <v>2597504</v>
      </c>
      <c r="Y239">
        <v>17788805</v>
      </c>
      <c r="Z239">
        <v>20386309</v>
      </c>
      <c r="AA239">
        <v>99995639</v>
      </c>
      <c r="AB239">
        <v>7.84842</v>
      </c>
      <c r="AC239">
        <v>5.62127</v>
      </c>
      <c r="AD239">
        <v>5.9050399999999996</v>
      </c>
      <c r="AE239">
        <v>9</v>
      </c>
      <c r="AF239">
        <v>4240352272</v>
      </c>
      <c r="AJ239" t="s">
        <v>508</v>
      </c>
      <c r="AM239">
        <v>8118587951</v>
      </c>
      <c r="AN239">
        <v>0</v>
      </c>
      <c r="AO239">
        <v>902057118</v>
      </c>
      <c r="AP239">
        <v>8118587951</v>
      </c>
      <c r="AQ239">
        <v>9020645069</v>
      </c>
      <c r="AR239">
        <v>126852936</v>
      </c>
      <c r="AS239">
        <v>0</v>
      </c>
      <c r="AT239">
        <v>14094642</v>
      </c>
      <c r="AU239">
        <v>126852936</v>
      </c>
      <c r="AV239">
        <v>140947579</v>
      </c>
      <c r="AW239">
        <v>25.0107</v>
      </c>
      <c r="AX239">
        <v>11.3066</v>
      </c>
      <c r="AY239">
        <v>3748.72</v>
      </c>
      <c r="AZ239">
        <v>2758.81</v>
      </c>
      <c r="BA239">
        <v>6807</v>
      </c>
      <c r="BB239">
        <v>6146</v>
      </c>
      <c r="BC239" t="str">
        <f t="shared" si="8"/>
        <v>u=10%, k=2x10^8</v>
      </c>
      <c r="BD239">
        <f t="shared" si="9"/>
        <v>64</v>
      </c>
    </row>
    <row r="240" spans="1:56">
      <c r="A240" t="s">
        <v>509</v>
      </c>
      <c r="B240" t="s">
        <v>105</v>
      </c>
      <c r="D240" t="s">
        <v>64</v>
      </c>
      <c r="E240" t="s">
        <v>59</v>
      </c>
      <c r="F240" t="s">
        <v>60</v>
      </c>
      <c r="G240">
        <v>1000</v>
      </c>
      <c r="H240">
        <v>5</v>
      </c>
      <c r="I240">
        <v>5</v>
      </c>
      <c r="J240">
        <v>0</v>
      </c>
      <c r="K240">
        <v>1</v>
      </c>
      <c r="L240">
        <v>200000000</v>
      </c>
      <c r="M240">
        <v>190</v>
      </c>
      <c r="N240">
        <v>190</v>
      </c>
      <c r="O240">
        <v>190</v>
      </c>
      <c r="P240">
        <v>0</v>
      </c>
      <c r="Q240" t="s">
        <v>61</v>
      </c>
      <c r="R240">
        <v>9999789608786270</v>
      </c>
      <c r="S240">
        <v>99999306</v>
      </c>
      <c r="T240">
        <v>9999789608786270</v>
      </c>
      <c r="U240">
        <v>99999306</v>
      </c>
      <c r="V240" t="s">
        <v>71</v>
      </c>
      <c r="W240">
        <v>33</v>
      </c>
      <c r="X240">
        <v>57531210</v>
      </c>
      <c r="Y240">
        <v>43179564</v>
      </c>
      <c r="Z240">
        <v>100710774</v>
      </c>
      <c r="AA240">
        <v>99999306</v>
      </c>
      <c r="AB240">
        <v>1.75054</v>
      </c>
      <c r="AC240">
        <v>2.31589</v>
      </c>
      <c r="AD240">
        <v>1.9929399999999999</v>
      </c>
      <c r="AE240">
        <v>26.093</v>
      </c>
      <c r="AF240">
        <v>5639803344</v>
      </c>
      <c r="AJ240" t="s">
        <v>510</v>
      </c>
      <c r="AM240">
        <v>60814367</v>
      </c>
      <c r="AN240">
        <v>0</v>
      </c>
      <c r="AO240">
        <v>6752217</v>
      </c>
      <c r="AP240">
        <v>60814367</v>
      </c>
      <c r="AQ240">
        <v>67566584</v>
      </c>
      <c r="AR240">
        <v>60814367</v>
      </c>
      <c r="AS240">
        <v>0</v>
      </c>
      <c r="AT240">
        <v>6752217</v>
      </c>
      <c r="AU240">
        <v>60814367</v>
      </c>
      <c r="AV240">
        <v>67566584</v>
      </c>
      <c r="AW240">
        <v>41.623600000000003</v>
      </c>
      <c r="AX240">
        <v>19.4282</v>
      </c>
      <c r="AY240">
        <v>7828.95</v>
      </c>
      <c r="AZ240">
        <v>6341.63</v>
      </c>
      <c r="BA240">
        <v>7624</v>
      </c>
      <c r="BB240">
        <v>2759</v>
      </c>
      <c r="BC240" t="str">
        <f t="shared" si="8"/>
        <v>u=10%, k=2x10^8</v>
      </c>
      <c r="BD240">
        <f t="shared" si="9"/>
        <v>1</v>
      </c>
    </row>
    <row r="241" spans="1:56">
      <c r="A241" t="s">
        <v>511</v>
      </c>
      <c r="B241" t="s">
        <v>105</v>
      </c>
      <c r="D241" t="s">
        <v>64</v>
      </c>
      <c r="E241" t="s">
        <v>59</v>
      </c>
      <c r="F241" t="s">
        <v>60</v>
      </c>
      <c r="G241">
        <v>2000</v>
      </c>
      <c r="H241">
        <v>5</v>
      </c>
      <c r="I241">
        <v>5</v>
      </c>
      <c r="J241">
        <v>0</v>
      </c>
      <c r="K241">
        <v>1</v>
      </c>
      <c r="L241">
        <v>200000000</v>
      </c>
      <c r="M241">
        <v>190</v>
      </c>
      <c r="N241">
        <v>190</v>
      </c>
      <c r="O241">
        <v>190</v>
      </c>
      <c r="P241">
        <v>0</v>
      </c>
      <c r="Q241" t="s">
        <v>61</v>
      </c>
      <c r="R241">
        <v>1.0000506885139E+16</v>
      </c>
      <c r="S241">
        <v>100001274</v>
      </c>
      <c r="T241">
        <v>1.0000506885139E+16</v>
      </c>
      <c r="U241">
        <v>100001274</v>
      </c>
      <c r="V241" t="s">
        <v>71</v>
      </c>
      <c r="W241">
        <v>33</v>
      </c>
      <c r="X241">
        <v>57909962</v>
      </c>
      <c r="Y241">
        <v>43493533</v>
      </c>
      <c r="Z241">
        <v>101403495</v>
      </c>
      <c r="AA241">
        <v>100001274</v>
      </c>
      <c r="AB241">
        <v>1.75105</v>
      </c>
      <c r="AC241">
        <v>2.29922</v>
      </c>
      <c r="AD241">
        <v>1.98617</v>
      </c>
      <c r="AE241">
        <v>26.093</v>
      </c>
      <c r="AF241">
        <v>5678595720</v>
      </c>
      <c r="AJ241" t="s">
        <v>512</v>
      </c>
      <c r="AM241">
        <v>122328126</v>
      </c>
      <c r="AN241">
        <v>0</v>
      </c>
      <c r="AO241">
        <v>13590151</v>
      </c>
      <c r="AP241">
        <v>122328126</v>
      </c>
      <c r="AQ241">
        <v>135918277</v>
      </c>
      <c r="AR241">
        <v>61164063</v>
      </c>
      <c r="AS241">
        <v>0</v>
      </c>
      <c r="AT241">
        <v>6795075</v>
      </c>
      <c r="AU241">
        <v>61164063</v>
      </c>
      <c r="AV241">
        <v>67959138</v>
      </c>
      <c r="AW241">
        <v>41.349200000000003</v>
      </c>
      <c r="AX241">
        <v>19.5579</v>
      </c>
      <c r="AY241">
        <v>7782.01</v>
      </c>
      <c r="AZ241">
        <v>6298.05</v>
      </c>
      <c r="BA241">
        <v>7666</v>
      </c>
      <c r="BB241">
        <v>2741</v>
      </c>
      <c r="BC241" t="str">
        <f t="shared" si="8"/>
        <v>u=10%, k=2x10^8</v>
      </c>
      <c r="BD241">
        <f t="shared" si="9"/>
        <v>2</v>
      </c>
    </row>
    <row r="242" spans="1:56">
      <c r="A242" t="s">
        <v>513</v>
      </c>
      <c r="B242" t="s">
        <v>105</v>
      </c>
      <c r="D242" t="s">
        <v>64</v>
      </c>
      <c r="E242" t="s">
        <v>59</v>
      </c>
      <c r="F242" t="s">
        <v>60</v>
      </c>
      <c r="G242">
        <v>4000</v>
      </c>
      <c r="H242">
        <v>5</v>
      </c>
      <c r="I242">
        <v>5</v>
      </c>
      <c r="J242">
        <v>0</v>
      </c>
      <c r="K242">
        <v>1</v>
      </c>
      <c r="L242">
        <v>200000000</v>
      </c>
      <c r="M242">
        <v>190</v>
      </c>
      <c r="N242">
        <v>190</v>
      </c>
      <c r="O242">
        <v>190</v>
      </c>
      <c r="P242">
        <v>0</v>
      </c>
      <c r="Q242" t="s">
        <v>61</v>
      </c>
      <c r="R242">
        <v>1.00006651871869E+16</v>
      </c>
      <c r="S242">
        <v>100000498</v>
      </c>
      <c r="T242">
        <v>1.00006651871869E+16</v>
      </c>
      <c r="U242">
        <v>100000498</v>
      </c>
      <c r="V242" t="s">
        <v>71</v>
      </c>
      <c r="W242">
        <v>33</v>
      </c>
      <c r="X242">
        <v>58622333</v>
      </c>
      <c r="Y242">
        <v>44081784</v>
      </c>
      <c r="Z242">
        <v>102704117</v>
      </c>
      <c r="AA242">
        <v>100000498</v>
      </c>
      <c r="AB242">
        <v>1.75196</v>
      </c>
      <c r="AC242">
        <v>2.2685200000000001</v>
      </c>
      <c r="AD242">
        <v>1.9736800000000001</v>
      </c>
      <c r="AE242">
        <v>26.124400000000001</v>
      </c>
      <c r="AF242">
        <v>5751430552</v>
      </c>
      <c r="AJ242" t="s">
        <v>514</v>
      </c>
      <c r="AM242">
        <v>244259309</v>
      </c>
      <c r="AN242">
        <v>0</v>
      </c>
      <c r="AO242">
        <v>27136261</v>
      </c>
      <c r="AP242">
        <v>244259309</v>
      </c>
      <c r="AQ242">
        <v>271395570</v>
      </c>
      <c r="AR242">
        <v>61064827</v>
      </c>
      <c r="AS242">
        <v>0</v>
      </c>
      <c r="AT242">
        <v>6784065</v>
      </c>
      <c r="AU242">
        <v>61064827</v>
      </c>
      <c r="AV242">
        <v>67848892</v>
      </c>
      <c r="AW242">
        <v>41.5779</v>
      </c>
      <c r="AX242">
        <v>19.7196</v>
      </c>
      <c r="AY242">
        <v>7795.34</v>
      </c>
      <c r="AZ242">
        <v>6306.14</v>
      </c>
      <c r="BA242">
        <v>7752</v>
      </c>
      <c r="BB242">
        <v>2761</v>
      </c>
      <c r="BC242" t="str">
        <f t="shared" si="8"/>
        <v>u=10%, k=2x10^8</v>
      </c>
      <c r="BD242">
        <f t="shared" si="9"/>
        <v>4</v>
      </c>
    </row>
    <row r="243" spans="1:56">
      <c r="A243" t="s">
        <v>515</v>
      </c>
      <c r="B243" t="s">
        <v>105</v>
      </c>
      <c r="D243" t="s">
        <v>64</v>
      </c>
      <c r="E243" t="s">
        <v>59</v>
      </c>
      <c r="F243" t="s">
        <v>60</v>
      </c>
      <c r="G243">
        <v>8000</v>
      </c>
      <c r="H243">
        <v>5</v>
      </c>
      <c r="I243">
        <v>5</v>
      </c>
      <c r="J243">
        <v>0</v>
      </c>
      <c r="K243">
        <v>1</v>
      </c>
      <c r="L243">
        <v>200000000</v>
      </c>
      <c r="M243">
        <v>190</v>
      </c>
      <c r="N243">
        <v>190</v>
      </c>
      <c r="O243">
        <v>190</v>
      </c>
      <c r="P243">
        <v>0</v>
      </c>
      <c r="Q243" t="s">
        <v>61</v>
      </c>
      <c r="R243">
        <v>1.00002357059418E+16</v>
      </c>
      <c r="S243">
        <v>99998844</v>
      </c>
      <c r="T243">
        <v>1.00002357059418E+16</v>
      </c>
      <c r="U243">
        <v>99998844</v>
      </c>
      <c r="V243" t="s">
        <v>71</v>
      </c>
      <c r="W243">
        <v>33</v>
      </c>
      <c r="X243">
        <v>59895280</v>
      </c>
      <c r="Y243">
        <v>45118840</v>
      </c>
      <c r="Z243">
        <v>105014120</v>
      </c>
      <c r="AA243">
        <v>99998844</v>
      </c>
      <c r="AB243">
        <v>1.7533000000000001</v>
      </c>
      <c r="AC243">
        <v>2.2163400000000002</v>
      </c>
      <c r="AD243">
        <v>1.95224</v>
      </c>
      <c r="AE243">
        <v>26.240300000000001</v>
      </c>
      <c r="AF243">
        <v>5880790720</v>
      </c>
      <c r="AJ243" t="s">
        <v>516</v>
      </c>
      <c r="AM243">
        <v>486501397</v>
      </c>
      <c r="AN243">
        <v>0</v>
      </c>
      <c r="AO243">
        <v>54050258</v>
      </c>
      <c r="AP243">
        <v>486501397</v>
      </c>
      <c r="AQ243">
        <v>540551655</v>
      </c>
      <c r="AR243">
        <v>60812674</v>
      </c>
      <c r="AS243">
        <v>0</v>
      </c>
      <c r="AT243">
        <v>6756282</v>
      </c>
      <c r="AU243">
        <v>60812674</v>
      </c>
      <c r="AV243">
        <v>67568956</v>
      </c>
      <c r="AW243">
        <v>41.850299999999997</v>
      </c>
      <c r="AX243">
        <v>19.866</v>
      </c>
      <c r="AY243">
        <v>7827.11</v>
      </c>
      <c r="AZ243">
        <v>6268.18</v>
      </c>
      <c r="BA243">
        <v>7899</v>
      </c>
      <c r="BB243">
        <v>2755</v>
      </c>
      <c r="BC243" t="str">
        <f t="shared" si="8"/>
        <v>u=10%, k=2x10^8</v>
      </c>
      <c r="BD243">
        <f t="shared" si="9"/>
        <v>8</v>
      </c>
    </row>
    <row r="244" spans="1:56">
      <c r="A244" t="s">
        <v>517</v>
      </c>
      <c r="B244" t="s">
        <v>105</v>
      </c>
      <c r="D244" t="s">
        <v>64</v>
      </c>
      <c r="E244" t="s">
        <v>59</v>
      </c>
      <c r="F244" t="s">
        <v>60</v>
      </c>
      <c r="G244">
        <v>16000</v>
      </c>
      <c r="H244">
        <v>5</v>
      </c>
      <c r="I244">
        <v>5</v>
      </c>
      <c r="J244">
        <v>0</v>
      </c>
      <c r="K244">
        <v>1</v>
      </c>
      <c r="L244">
        <v>200000000</v>
      </c>
      <c r="M244">
        <v>190</v>
      </c>
      <c r="N244">
        <v>190</v>
      </c>
      <c r="O244">
        <v>190</v>
      </c>
      <c r="P244">
        <v>0</v>
      </c>
      <c r="Q244" t="s">
        <v>61</v>
      </c>
      <c r="R244">
        <v>1.00007159159157E+16</v>
      </c>
      <c r="S244">
        <v>100004301</v>
      </c>
      <c r="T244">
        <v>1.00007159159157E+16</v>
      </c>
      <c r="U244">
        <v>100004301</v>
      </c>
      <c r="V244" t="s">
        <v>71</v>
      </c>
      <c r="W244">
        <v>33</v>
      </c>
      <c r="X244">
        <v>61989062</v>
      </c>
      <c r="Y244">
        <v>46803165</v>
      </c>
      <c r="Z244">
        <v>108792227</v>
      </c>
      <c r="AA244">
        <v>100004301</v>
      </c>
      <c r="AB244">
        <v>1.75502</v>
      </c>
      <c r="AC244">
        <v>2.1366999999999998</v>
      </c>
      <c r="AD244">
        <v>1.9192199999999999</v>
      </c>
      <c r="AE244">
        <v>26.33</v>
      </c>
      <c r="AF244">
        <v>6092364712</v>
      </c>
      <c r="AJ244" t="s">
        <v>518</v>
      </c>
      <c r="AM244">
        <v>974898453</v>
      </c>
      <c r="AN244">
        <v>0</v>
      </c>
      <c r="AO244">
        <v>108312049</v>
      </c>
      <c r="AP244">
        <v>974898453</v>
      </c>
      <c r="AQ244">
        <v>1083210502</v>
      </c>
      <c r="AR244">
        <v>60931153</v>
      </c>
      <c r="AS244">
        <v>0</v>
      </c>
      <c r="AT244">
        <v>6769503</v>
      </c>
      <c r="AU244">
        <v>60931153</v>
      </c>
      <c r="AV244">
        <v>67700656</v>
      </c>
      <c r="AW244">
        <v>42.110999999999997</v>
      </c>
      <c r="AX244">
        <v>20.031199999999998</v>
      </c>
      <c r="AY244">
        <v>7813.09</v>
      </c>
      <c r="AZ244">
        <v>6306.45</v>
      </c>
      <c r="BA244">
        <v>8146</v>
      </c>
      <c r="BB244">
        <v>2760</v>
      </c>
      <c r="BC244" t="str">
        <f t="shared" si="8"/>
        <v>u=10%, k=2x10^8</v>
      </c>
      <c r="BD244">
        <f t="shared" si="9"/>
        <v>16</v>
      </c>
    </row>
    <row r="245" spans="1:56">
      <c r="A245" t="s">
        <v>519</v>
      </c>
      <c r="B245" t="s">
        <v>105</v>
      </c>
      <c r="D245" t="s">
        <v>64</v>
      </c>
      <c r="E245" t="s">
        <v>59</v>
      </c>
      <c r="F245" t="s">
        <v>60</v>
      </c>
      <c r="G245">
        <v>32000</v>
      </c>
      <c r="H245">
        <v>5</v>
      </c>
      <c r="I245">
        <v>5</v>
      </c>
      <c r="J245">
        <v>0</v>
      </c>
      <c r="K245">
        <v>1</v>
      </c>
      <c r="L245">
        <v>200000000</v>
      </c>
      <c r="M245">
        <v>190</v>
      </c>
      <c r="N245">
        <v>190</v>
      </c>
      <c r="O245">
        <v>190</v>
      </c>
      <c r="P245">
        <v>0</v>
      </c>
      <c r="Q245" t="s">
        <v>61</v>
      </c>
      <c r="R245">
        <v>9998952712073820</v>
      </c>
      <c r="S245">
        <v>99996878</v>
      </c>
      <c r="T245">
        <v>9998952712073820</v>
      </c>
      <c r="U245">
        <v>99996878</v>
      </c>
      <c r="V245" t="s">
        <v>71</v>
      </c>
      <c r="W245">
        <v>33</v>
      </c>
      <c r="X245">
        <v>64713031</v>
      </c>
      <c r="Y245">
        <v>48951259</v>
      </c>
      <c r="Z245">
        <v>113664290</v>
      </c>
      <c r="AA245">
        <v>99996878</v>
      </c>
      <c r="AB245">
        <v>1.75644</v>
      </c>
      <c r="AC245">
        <v>2.04278</v>
      </c>
      <c r="AD245">
        <v>1.8797600000000001</v>
      </c>
      <c r="AE245">
        <v>26.4255</v>
      </c>
      <c r="AF245">
        <v>6365200240</v>
      </c>
      <c r="AJ245" t="s">
        <v>520</v>
      </c>
      <c r="AM245">
        <v>1942444494</v>
      </c>
      <c r="AN245">
        <v>0</v>
      </c>
      <c r="AO245">
        <v>215810567</v>
      </c>
      <c r="AP245">
        <v>1942444494</v>
      </c>
      <c r="AQ245">
        <v>2158255061</v>
      </c>
      <c r="AR245">
        <v>60701390</v>
      </c>
      <c r="AS245">
        <v>0</v>
      </c>
      <c r="AT245">
        <v>6744080</v>
      </c>
      <c r="AU245">
        <v>60701390</v>
      </c>
      <c r="AV245">
        <v>67445470</v>
      </c>
      <c r="AW245">
        <v>41.7102</v>
      </c>
      <c r="AX245">
        <v>20.209199999999999</v>
      </c>
      <c r="AY245">
        <v>7843.61</v>
      </c>
      <c r="AZ245">
        <v>6269.13</v>
      </c>
      <c r="BA245">
        <v>8460</v>
      </c>
      <c r="BB245">
        <v>2761</v>
      </c>
      <c r="BC245" t="str">
        <f t="shared" si="8"/>
        <v>u=10%, k=2x10^8</v>
      </c>
      <c r="BD245">
        <f t="shared" si="9"/>
        <v>32</v>
      </c>
    </row>
    <row r="246" spans="1:56">
      <c r="A246" t="s">
        <v>521</v>
      </c>
      <c r="B246" t="s">
        <v>105</v>
      </c>
      <c r="D246" t="s">
        <v>64</v>
      </c>
      <c r="E246" t="s">
        <v>59</v>
      </c>
      <c r="F246" t="s">
        <v>60</v>
      </c>
      <c r="G246">
        <v>64000</v>
      </c>
      <c r="H246">
        <v>5</v>
      </c>
      <c r="I246">
        <v>5</v>
      </c>
      <c r="J246">
        <v>0</v>
      </c>
      <c r="K246">
        <v>1</v>
      </c>
      <c r="L246">
        <v>200000000</v>
      </c>
      <c r="M246">
        <v>190</v>
      </c>
      <c r="N246">
        <v>190</v>
      </c>
      <c r="O246">
        <v>190</v>
      </c>
      <c r="P246">
        <v>0</v>
      </c>
      <c r="Q246" t="s">
        <v>61</v>
      </c>
      <c r="R246">
        <v>1.00013318715578E+16</v>
      </c>
      <c r="S246">
        <v>100014974</v>
      </c>
      <c r="T246">
        <v>1.00013318715578E+16</v>
      </c>
      <c r="U246">
        <v>100014974</v>
      </c>
      <c r="V246" t="s">
        <v>71</v>
      </c>
      <c r="W246">
        <v>33</v>
      </c>
      <c r="X246">
        <v>67239961</v>
      </c>
      <c r="Y246">
        <v>50952474</v>
      </c>
      <c r="Z246">
        <v>118192435</v>
      </c>
      <c r="AA246">
        <v>100014974</v>
      </c>
      <c r="AB246">
        <v>1.7577700000000001</v>
      </c>
      <c r="AC246">
        <v>1.9629099999999999</v>
      </c>
      <c r="AD246">
        <v>1.8462000000000001</v>
      </c>
      <c r="AE246">
        <v>26.565799999999999</v>
      </c>
      <c r="AF246">
        <v>6618776360</v>
      </c>
      <c r="AJ246" t="s">
        <v>522</v>
      </c>
      <c r="AM246">
        <v>3882933455</v>
      </c>
      <c r="AN246">
        <v>0</v>
      </c>
      <c r="AO246">
        <v>431413791</v>
      </c>
      <c r="AP246">
        <v>3882933455</v>
      </c>
      <c r="AQ246">
        <v>4314347246</v>
      </c>
      <c r="AR246">
        <v>60670835</v>
      </c>
      <c r="AS246">
        <v>0</v>
      </c>
      <c r="AT246">
        <v>6740840</v>
      </c>
      <c r="AU246">
        <v>60670835</v>
      </c>
      <c r="AV246">
        <v>67411675</v>
      </c>
      <c r="AW246">
        <v>41.826300000000003</v>
      </c>
      <c r="AX246">
        <v>20.3931</v>
      </c>
      <c r="AY246">
        <v>7846.64</v>
      </c>
      <c r="AZ246">
        <v>6338.91</v>
      </c>
      <c r="BA246">
        <v>8756</v>
      </c>
      <c r="BB246">
        <v>2755</v>
      </c>
      <c r="BC246" t="str">
        <f t="shared" si="8"/>
        <v>u=10%, k=2x10^8</v>
      </c>
      <c r="BD246">
        <f t="shared" si="9"/>
        <v>64</v>
      </c>
    </row>
    <row r="247" spans="1:56">
      <c r="A247" t="s">
        <v>523</v>
      </c>
      <c r="B247" t="s">
        <v>305</v>
      </c>
      <c r="D247" t="s">
        <v>64</v>
      </c>
      <c r="E247" t="s">
        <v>59</v>
      </c>
      <c r="F247" t="s">
        <v>60</v>
      </c>
      <c r="G247">
        <v>1000</v>
      </c>
      <c r="H247">
        <v>5</v>
      </c>
      <c r="I247">
        <v>5</v>
      </c>
      <c r="J247">
        <v>0</v>
      </c>
      <c r="K247">
        <v>1</v>
      </c>
      <c r="L247">
        <v>200000000</v>
      </c>
      <c r="M247">
        <v>190</v>
      </c>
      <c r="N247">
        <v>190</v>
      </c>
      <c r="O247">
        <v>190</v>
      </c>
      <c r="P247">
        <v>0</v>
      </c>
      <c r="Q247" t="s">
        <v>61</v>
      </c>
      <c r="R247">
        <v>9999754860400530</v>
      </c>
      <c r="S247">
        <v>99999022</v>
      </c>
      <c r="T247">
        <v>9999754860400530</v>
      </c>
      <c r="U247">
        <v>99999022</v>
      </c>
      <c r="V247" t="s">
        <v>71</v>
      </c>
      <c r="W247">
        <v>72</v>
      </c>
      <c r="X247">
        <v>99999021</v>
      </c>
      <c r="Y247">
        <v>99999022</v>
      </c>
      <c r="Z247">
        <v>199998043</v>
      </c>
      <c r="AA247">
        <v>99999022</v>
      </c>
      <c r="AB247">
        <v>2</v>
      </c>
      <c r="AC247">
        <v>1</v>
      </c>
      <c r="AD247">
        <v>1.5</v>
      </c>
      <c r="AE247">
        <v>36.203499999999998</v>
      </c>
      <c r="AF247">
        <v>6399937376</v>
      </c>
      <c r="AJ247" t="s">
        <v>524</v>
      </c>
      <c r="AM247">
        <v>52091533</v>
      </c>
      <c r="AN247">
        <v>0</v>
      </c>
      <c r="AO247">
        <v>5788304</v>
      </c>
      <c r="AP247">
        <v>52091533</v>
      </c>
      <c r="AQ247">
        <v>57879837</v>
      </c>
      <c r="AR247">
        <v>52091533</v>
      </c>
      <c r="AS247">
        <v>0</v>
      </c>
      <c r="AT247">
        <v>5788304</v>
      </c>
      <c r="AU247">
        <v>52091533</v>
      </c>
      <c r="AV247">
        <v>57879837</v>
      </c>
      <c r="AW247">
        <v>38.457299999999996</v>
      </c>
      <c r="AX247">
        <v>18.964400000000001</v>
      </c>
      <c r="AY247">
        <v>9139.7000000000007</v>
      </c>
      <c r="AZ247">
        <v>7967.33</v>
      </c>
      <c r="BA247">
        <v>7579</v>
      </c>
      <c r="BB247">
        <v>2867</v>
      </c>
      <c r="BC247" t="str">
        <f t="shared" si="8"/>
        <v>u=10%, k=2x10^8</v>
      </c>
      <c r="BD247">
        <f t="shared" si="9"/>
        <v>1</v>
      </c>
    </row>
    <row r="248" spans="1:56">
      <c r="A248" t="s">
        <v>525</v>
      </c>
      <c r="B248" t="s">
        <v>305</v>
      </c>
      <c r="D248" t="s">
        <v>64</v>
      </c>
      <c r="E248" t="s">
        <v>59</v>
      </c>
      <c r="F248" t="s">
        <v>60</v>
      </c>
      <c r="G248">
        <v>2000</v>
      </c>
      <c r="H248">
        <v>5</v>
      </c>
      <c r="I248">
        <v>5</v>
      </c>
      <c r="J248">
        <v>0</v>
      </c>
      <c r="K248">
        <v>1</v>
      </c>
      <c r="L248">
        <v>200000000</v>
      </c>
      <c r="M248">
        <v>190</v>
      </c>
      <c r="N248">
        <v>190</v>
      </c>
      <c r="O248">
        <v>190</v>
      </c>
      <c r="P248">
        <v>0</v>
      </c>
      <c r="Q248" t="s">
        <v>61</v>
      </c>
      <c r="R248">
        <v>1.00004690655787E+16</v>
      </c>
      <c r="S248">
        <v>100000019</v>
      </c>
      <c r="T248">
        <v>1.00004690655787E+16</v>
      </c>
      <c r="U248">
        <v>100000019</v>
      </c>
      <c r="V248" t="s">
        <v>71</v>
      </c>
      <c r="W248">
        <v>71</v>
      </c>
      <c r="X248">
        <v>100000018</v>
      </c>
      <c r="Y248">
        <v>100000019</v>
      </c>
      <c r="Z248">
        <v>200000037</v>
      </c>
      <c r="AA248">
        <v>100000019</v>
      </c>
      <c r="AB248">
        <v>2</v>
      </c>
      <c r="AC248">
        <v>1</v>
      </c>
      <c r="AD248">
        <v>1.5</v>
      </c>
      <c r="AE248">
        <v>36.545400000000001</v>
      </c>
      <c r="AF248">
        <v>6400001184</v>
      </c>
      <c r="AJ248" t="s">
        <v>526</v>
      </c>
      <c r="AM248">
        <v>104058164</v>
      </c>
      <c r="AN248">
        <v>0</v>
      </c>
      <c r="AO248">
        <v>11567363</v>
      </c>
      <c r="AP248">
        <v>104058164</v>
      </c>
      <c r="AQ248">
        <v>115625527</v>
      </c>
      <c r="AR248">
        <v>52029082</v>
      </c>
      <c r="AS248">
        <v>0</v>
      </c>
      <c r="AT248">
        <v>5783681</v>
      </c>
      <c r="AU248">
        <v>52029082</v>
      </c>
      <c r="AV248">
        <v>57812763</v>
      </c>
      <c r="AW248">
        <v>38.4056</v>
      </c>
      <c r="AX248">
        <v>19.042300000000001</v>
      </c>
      <c r="AY248">
        <v>9152.32</v>
      </c>
      <c r="AZ248">
        <v>7970.61</v>
      </c>
      <c r="BA248">
        <v>7582</v>
      </c>
      <c r="BB248">
        <v>2880</v>
      </c>
      <c r="BC248" t="str">
        <f t="shared" si="8"/>
        <v>u=10%, k=2x10^8</v>
      </c>
      <c r="BD248">
        <f t="shared" si="9"/>
        <v>2</v>
      </c>
    </row>
    <row r="249" spans="1:56">
      <c r="A249" t="s">
        <v>527</v>
      </c>
      <c r="B249" t="s">
        <v>305</v>
      </c>
      <c r="D249" t="s">
        <v>64</v>
      </c>
      <c r="E249" t="s">
        <v>59</v>
      </c>
      <c r="F249" t="s">
        <v>60</v>
      </c>
      <c r="G249">
        <v>4000</v>
      </c>
      <c r="H249">
        <v>5</v>
      </c>
      <c r="I249">
        <v>5</v>
      </c>
      <c r="J249">
        <v>0</v>
      </c>
      <c r="K249">
        <v>1</v>
      </c>
      <c r="L249">
        <v>200000000</v>
      </c>
      <c r="M249">
        <v>190</v>
      </c>
      <c r="N249">
        <v>190</v>
      </c>
      <c r="O249">
        <v>190</v>
      </c>
      <c r="P249">
        <v>0</v>
      </c>
      <c r="Q249" t="s">
        <v>61</v>
      </c>
      <c r="R249">
        <v>9999606438040160</v>
      </c>
      <c r="S249">
        <v>100001259</v>
      </c>
      <c r="T249">
        <v>9999606438040160</v>
      </c>
      <c r="U249">
        <v>100001259</v>
      </c>
      <c r="V249" t="s">
        <v>71</v>
      </c>
      <c r="W249">
        <v>68</v>
      </c>
      <c r="X249">
        <v>100001258</v>
      </c>
      <c r="Y249">
        <v>100001259</v>
      </c>
      <c r="Z249">
        <v>200002517</v>
      </c>
      <c r="AA249">
        <v>100001259</v>
      </c>
      <c r="AB249">
        <v>2</v>
      </c>
      <c r="AC249">
        <v>1</v>
      </c>
      <c r="AD249">
        <v>1.5</v>
      </c>
      <c r="AE249">
        <v>35.319099999999999</v>
      </c>
      <c r="AF249">
        <v>6400080544</v>
      </c>
      <c r="AJ249" t="s">
        <v>528</v>
      </c>
      <c r="AM249">
        <v>208108592</v>
      </c>
      <c r="AN249">
        <v>0</v>
      </c>
      <c r="AO249">
        <v>23125524</v>
      </c>
      <c r="AP249">
        <v>208108592</v>
      </c>
      <c r="AQ249">
        <v>231234116</v>
      </c>
      <c r="AR249">
        <v>52027148</v>
      </c>
      <c r="AS249">
        <v>0</v>
      </c>
      <c r="AT249">
        <v>5781381</v>
      </c>
      <c r="AU249">
        <v>52027148</v>
      </c>
      <c r="AV249">
        <v>57808529</v>
      </c>
      <c r="AW249">
        <v>38.6051</v>
      </c>
      <c r="AX249">
        <v>19.141999999999999</v>
      </c>
      <c r="AY249">
        <v>9153.89</v>
      </c>
      <c r="AZ249">
        <v>7967.91</v>
      </c>
      <c r="BA249">
        <v>7587</v>
      </c>
      <c r="BB249">
        <v>2825</v>
      </c>
      <c r="BC249" t="str">
        <f t="shared" si="8"/>
        <v>u=10%, k=2x10^8</v>
      </c>
      <c r="BD249">
        <f t="shared" si="9"/>
        <v>4</v>
      </c>
    </row>
    <row r="250" spans="1:56">
      <c r="A250" t="s">
        <v>529</v>
      </c>
      <c r="B250" t="s">
        <v>305</v>
      </c>
      <c r="D250" t="s">
        <v>64</v>
      </c>
      <c r="E250" t="s">
        <v>59</v>
      </c>
      <c r="F250" t="s">
        <v>60</v>
      </c>
      <c r="G250">
        <v>8000</v>
      </c>
      <c r="H250">
        <v>5</v>
      </c>
      <c r="I250">
        <v>5</v>
      </c>
      <c r="J250">
        <v>0</v>
      </c>
      <c r="K250">
        <v>1</v>
      </c>
      <c r="L250">
        <v>200000000</v>
      </c>
      <c r="M250">
        <v>190</v>
      </c>
      <c r="N250">
        <v>190</v>
      </c>
      <c r="O250">
        <v>190</v>
      </c>
      <c r="P250">
        <v>0</v>
      </c>
      <c r="Q250" t="s">
        <v>61</v>
      </c>
      <c r="R250">
        <v>9999580900662030</v>
      </c>
      <c r="S250">
        <v>99999725</v>
      </c>
      <c r="T250">
        <v>9999580900662030</v>
      </c>
      <c r="U250">
        <v>99999725</v>
      </c>
      <c r="V250" t="s">
        <v>71</v>
      </c>
      <c r="W250">
        <v>69</v>
      </c>
      <c r="X250">
        <v>99999724</v>
      </c>
      <c r="Y250">
        <v>99999725</v>
      </c>
      <c r="Z250">
        <v>199999449</v>
      </c>
      <c r="AA250">
        <v>99999725</v>
      </c>
      <c r="AB250">
        <v>2</v>
      </c>
      <c r="AC250">
        <v>1</v>
      </c>
      <c r="AD250">
        <v>1.5</v>
      </c>
      <c r="AE250">
        <v>35.067</v>
      </c>
      <c r="AF250">
        <v>6399982368</v>
      </c>
      <c r="AJ250" t="s">
        <v>530</v>
      </c>
      <c r="AM250">
        <v>417195508</v>
      </c>
      <c r="AN250">
        <v>0</v>
      </c>
      <c r="AO250">
        <v>46347021</v>
      </c>
      <c r="AP250">
        <v>417195508</v>
      </c>
      <c r="AQ250">
        <v>463542529</v>
      </c>
      <c r="AR250">
        <v>52149438</v>
      </c>
      <c r="AS250">
        <v>0</v>
      </c>
      <c r="AT250">
        <v>5793377</v>
      </c>
      <c r="AU250">
        <v>52149438</v>
      </c>
      <c r="AV250">
        <v>57942816</v>
      </c>
      <c r="AW250">
        <v>38.617199999999997</v>
      </c>
      <c r="AX250">
        <v>19.266300000000001</v>
      </c>
      <c r="AY250">
        <v>9132.86</v>
      </c>
      <c r="AZ250">
        <v>7945.58</v>
      </c>
      <c r="BA250">
        <v>7599</v>
      </c>
      <c r="BB250">
        <v>2831</v>
      </c>
      <c r="BC250" t="str">
        <f t="shared" si="8"/>
        <v>u=10%, k=2x10^8</v>
      </c>
      <c r="BD250">
        <f t="shared" si="9"/>
        <v>8</v>
      </c>
    </row>
    <row r="251" spans="1:56">
      <c r="A251" t="s">
        <v>531</v>
      </c>
      <c r="B251" t="s">
        <v>305</v>
      </c>
      <c r="D251" t="s">
        <v>64</v>
      </c>
      <c r="E251" t="s">
        <v>59</v>
      </c>
      <c r="F251" t="s">
        <v>60</v>
      </c>
      <c r="G251">
        <v>16000</v>
      </c>
      <c r="H251">
        <v>5</v>
      </c>
      <c r="I251">
        <v>5</v>
      </c>
      <c r="J251">
        <v>0</v>
      </c>
      <c r="K251">
        <v>1</v>
      </c>
      <c r="L251">
        <v>200000000</v>
      </c>
      <c r="M251">
        <v>190</v>
      </c>
      <c r="N251">
        <v>190</v>
      </c>
      <c r="O251">
        <v>190</v>
      </c>
      <c r="P251">
        <v>0</v>
      </c>
      <c r="Q251" t="s">
        <v>61</v>
      </c>
      <c r="R251">
        <v>9999485933548950</v>
      </c>
      <c r="S251">
        <v>99998195</v>
      </c>
      <c r="T251">
        <v>9999485933548950</v>
      </c>
      <c r="U251">
        <v>99998195</v>
      </c>
      <c r="V251" t="s">
        <v>71</v>
      </c>
      <c r="W251">
        <v>74</v>
      </c>
      <c r="X251">
        <v>99998194</v>
      </c>
      <c r="Y251">
        <v>99998195</v>
      </c>
      <c r="Z251">
        <v>199996389</v>
      </c>
      <c r="AA251">
        <v>99998195</v>
      </c>
      <c r="AB251">
        <v>2</v>
      </c>
      <c r="AC251">
        <v>1</v>
      </c>
      <c r="AD251">
        <v>1.5</v>
      </c>
      <c r="AE251">
        <v>36.796599999999998</v>
      </c>
      <c r="AF251">
        <v>6399884448</v>
      </c>
      <c r="AJ251" t="s">
        <v>532</v>
      </c>
      <c r="AM251">
        <v>833055034</v>
      </c>
      <c r="AN251">
        <v>0</v>
      </c>
      <c r="AO251">
        <v>92570978</v>
      </c>
      <c r="AP251">
        <v>833055034</v>
      </c>
      <c r="AQ251">
        <v>925626012</v>
      </c>
      <c r="AR251">
        <v>52065939</v>
      </c>
      <c r="AS251">
        <v>0</v>
      </c>
      <c r="AT251">
        <v>5785686</v>
      </c>
      <c r="AU251">
        <v>52065939</v>
      </c>
      <c r="AV251">
        <v>57851625</v>
      </c>
      <c r="AW251">
        <v>38.846200000000003</v>
      </c>
      <c r="AX251">
        <v>19.445900000000002</v>
      </c>
      <c r="AY251">
        <v>9146</v>
      </c>
      <c r="AZ251">
        <v>7957.17</v>
      </c>
      <c r="BA251">
        <v>7618</v>
      </c>
      <c r="BB251">
        <v>2846</v>
      </c>
      <c r="BC251" t="str">
        <f t="shared" si="8"/>
        <v>u=10%, k=2x10^8</v>
      </c>
      <c r="BD251">
        <f t="shared" si="9"/>
        <v>16</v>
      </c>
    </row>
    <row r="252" spans="1:56">
      <c r="A252" t="s">
        <v>533</v>
      </c>
      <c r="B252" t="s">
        <v>305</v>
      </c>
      <c r="D252" t="s">
        <v>64</v>
      </c>
      <c r="E252" t="s">
        <v>59</v>
      </c>
      <c r="F252" t="s">
        <v>60</v>
      </c>
      <c r="G252">
        <v>32000</v>
      </c>
      <c r="H252">
        <v>5</v>
      </c>
      <c r="I252">
        <v>5</v>
      </c>
      <c r="J252">
        <v>0</v>
      </c>
      <c r="K252">
        <v>1</v>
      </c>
      <c r="L252">
        <v>200000000</v>
      </c>
      <c r="M252">
        <v>190</v>
      </c>
      <c r="N252">
        <v>190</v>
      </c>
      <c r="O252">
        <v>190</v>
      </c>
      <c r="P252">
        <v>0</v>
      </c>
      <c r="Q252" t="s">
        <v>61</v>
      </c>
      <c r="R252">
        <v>1.00011140170684E+16</v>
      </c>
      <c r="S252">
        <v>100006175</v>
      </c>
      <c r="T252">
        <v>1.00011140170684E+16</v>
      </c>
      <c r="U252">
        <v>100006175</v>
      </c>
      <c r="V252" t="s">
        <v>71</v>
      </c>
      <c r="W252">
        <v>68</v>
      </c>
      <c r="X252">
        <v>100006174</v>
      </c>
      <c r="Y252">
        <v>100006175</v>
      </c>
      <c r="Z252">
        <v>200012349</v>
      </c>
      <c r="AA252">
        <v>100006175</v>
      </c>
      <c r="AB252">
        <v>2</v>
      </c>
      <c r="AC252">
        <v>1</v>
      </c>
      <c r="AD252">
        <v>1.5</v>
      </c>
      <c r="AE252">
        <v>36.786000000000001</v>
      </c>
      <c r="AF252">
        <v>6400395168</v>
      </c>
      <c r="AJ252" t="s">
        <v>534</v>
      </c>
      <c r="AM252">
        <v>1665645490</v>
      </c>
      <c r="AN252">
        <v>0</v>
      </c>
      <c r="AO252">
        <v>185078343</v>
      </c>
      <c r="AP252">
        <v>1665645490</v>
      </c>
      <c r="AQ252">
        <v>1850723833</v>
      </c>
      <c r="AR252">
        <v>52051421</v>
      </c>
      <c r="AS252">
        <v>0</v>
      </c>
      <c r="AT252">
        <v>5783698</v>
      </c>
      <c r="AU252">
        <v>52051421</v>
      </c>
      <c r="AV252">
        <v>57835119</v>
      </c>
      <c r="AW252">
        <v>39.012599999999999</v>
      </c>
      <c r="AX252">
        <v>19.6586</v>
      </c>
      <c r="AY252">
        <v>9148.4699999999993</v>
      </c>
      <c r="AZ252">
        <v>7961.32</v>
      </c>
      <c r="BA252">
        <v>7661</v>
      </c>
      <c r="BB252">
        <v>2839</v>
      </c>
      <c r="BC252" t="str">
        <f t="shared" si="8"/>
        <v>u=10%, k=2x10^8</v>
      </c>
      <c r="BD252">
        <f t="shared" si="9"/>
        <v>32</v>
      </c>
    </row>
    <row r="253" spans="1:56">
      <c r="A253" t="s">
        <v>535</v>
      </c>
      <c r="B253" t="s">
        <v>305</v>
      </c>
      <c r="D253" t="s">
        <v>64</v>
      </c>
      <c r="E253" t="s">
        <v>59</v>
      </c>
      <c r="F253" t="s">
        <v>60</v>
      </c>
      <c r="G253">
        <v>64000</v>
      </c>
      <c r="H253">
        <v>5</v>
      </c>
      <c r="I253">
        <v>5</v>
      </c>
      <c r="J253">
        <v>0</v>
      </c>
      <c r="K253">
        <v>1</v>
      </c>
      <c r="L253">
        <v>200000000</v>
      </c>
      <c r="M253">
        <v>190</v>
      </c>
      <c r="N253">
        <v>190</v>
      </c>
      <c r="O253">
        <v>190</v>
      </c>
      <c r="P253">
        <v>0</v>
      </c>
      <c r="Q253" t="s">
        <v>61</v>
      </c>
      <c r="R253">
        <v>9999643863439950</v>
      </c>
      <c r="S253">
        <v>99996690</v>
      </c>
      <c r="T253">
        <v>9999643863439950</v>
      </c>
      <c r="U253">
        <v>99996690</v>
      </c>
      <c r="V253" t="s">
        <v>71</v>
      </c>
      <c r="W253">
        <v>68</v>
      </c>
      <c r="X253">
        <v>99996689</v>
      </c>
      <c r="Y253">
        <v>99996690</v>
      </c>
      <c r="Z253">
        <v>199993379</v>
      </c>
      <c r="AA253">
        <v>99996690</v>
      </c>
      <c r="AB253">
        <v>2</v>
      </c>
      <c r="AC253">
        <v>1</v>
      </c>
      <c r="AD253">
        <v>1.5</v>
      </c>
      <c r="AE253">
        <v>35.947000000000003</v>
      </c>
      <c r="AF253">
        <v>6399788128</v>
      </c>
      <c r="AJ253" t="s">
        <v>536</v>
      </c>
      <c r="AM253">
        <v>3321481960</v>
      </c>
      <c r="AN253">
        <v>0</v>
      </c>
      <c r="AO253">
        <v>369062033</v>
      </c>
      <c r="AP253">
        <v>3321481960</v>
      </c>
      <c r="AQ253">
        <v>3690543993</v>
      </c>
      <c r="AR253">
        <v>51898155</v>
      </c>
      <c r="AS253">
        <v>0</v>
      </c>
      <c r="AT253">
        <v>5766594</v>
      </c>
      <c r="AU253">
        <v>51898155</v>
      </c>
      <c r="AV253">
        <v>57664749</v>
      </c>
      <c r="AW253">
        <v>39.155900000000003</v>
      </c>
      <c r="AX253">
        <v>19.873200000000001</v>
      </c>
      <c r="AY253">
        <v>9176.31</v>
      </c>
      <c r="AZ253">
        <v>7996.1</v>
      </c>
      <c r="BA253">
        <v>7743</v>
      </c>
      <c r="BB253">
        <v>2845</v>
      </c>
      <c r="BC253" t="str">
        <f t="shared" si="8"/>
        <v>u=10%, k=2x10^8</v>
      </c>
      <c r="BD253">
        <f t="shared" si="9"/>
        <v>64</v>
      </c>
    </row>
    <row r="254" spans="1:56">
      <c r="A254" t="s">
        <v>537</v>
      </c>
      <c r="B254" t="s">
        <v>63</v>
      </c>
      <c r="C254">
        <v>72</v>
      </c>
      <c r="D254" t="s">
        <v>64</v>
      </c>
      <c r="E254" t="s">
        <v>59</v>
      </c>
      <c r="F254" t="s">
        <v>60</v>
      </c>
      <c r="G254">
        <v>1000</v>
      </c>
      <c r="H254">
        <v>0.5</v>
      </c>
      <c r="I254">
        <v>0.5</v>
      </c>
      <c r="J254">
        <v>0</v>
      </c>
      <c r="K254">
        <v>1</v>
      </c>
      <c r="L254">
        <v>2000000</v>
      </c>
      <c r="M254">
        <v>190</v>
      </c>
      <c r="N254">
        <v>190</v>
      </c>
      <c r="O254">
        <v>190</v>
      </c>
      <c r="P254">
        <v>0</v>
      </c>
      <c r="Q254" t="s">
        <v>61</v>
      </c>
      <c r="R254">
        <v>999394965298</v>
      </c>
      <c r="S254">
        <v>998982</v>
      </c>
      <c r="T254">
        <v>999394965298</v>
      </c>
      <c r="U254">
        <v>998982</v>
      </c>
      <c r="V254" t="s">
        <v>71</v>
      </c>
      <c r="W254">
        <v>6</v>
      </c>
      <c r="X254">
        <v>54355</v>
      </c>
      <c r="Y254">
        <v>1074324</v>
      </c>
      <c r="Z254">
        <v>1128679</v>
      </c>
      <c r="AA254">
        <v>998982</v>
      </c>
      <c r="AB254">
        <v>20.765000000000001</v>
      </c>
      <c r="AC254">
        <v>0.92986999999999997</v>
      </c>
      <c r="AD254">
        <v>1.8850899999999999</v>
      </c>
      <c r="AE254">
        <v>3.0447299999999999</v>
      </c>
      <c r="AF254">
        <v>21559456</v>
      </c>
      <c r="AG254" t="s">
        <v>538</v>
      </c>
      <c r="AH254" t="s">
        <v>539</v>
      </c>
      <c r="AI254">
        <v>15101</v>
      </c>
      <c r="AJ254">
        <v>2712</v>
      </c>
      <c r="AM254">
        <v>393692186</v>
      </c>
      <c r="AN254">
        <v>0</v>
      </c>
      <c r="AO254">
        <v>3979901</v>
      </c>
      <c r="AP254">
        <v>393692186</v>
      </c>
      <c r="AQ254">
        <v>397672087</v>
      </c>
      <c r="AR254">
        <v>393692186</v>
      </c>
      <c r="AS254">
        <v>0</v>
      </c>
      <c r="AT254">
        <v>3979901</v>
      </c>
      <c r="AU254">
        <v>393692186</v>
      </c>
      <c r="AV254">
        <v>397672087</v>
      </c>
      <c r="AW254">
        <v>8.8559400000000004</v>
      </c>
      <c r="AX254">
        <v>0.41162700000000002</v>
      </c>
      <c r="AY254">
        <v>1296.5999999999999</v>
      </c>
      <c r="AZ254">
        <v>562.20699999999999</v>
      </c>
      <c r="BA254">
        <v>1343</v>
      </c>
      <c r="BB254">
        <v>213</v>
      </c>
      <c r="BC254" t="str">
        <f t="shared" si="8"/>
        <v>u=1%, k=2x10^6</v>
      </c>
      <c r="BD254">
        <f t="shared" si="9"/>
        <v>1</v>
      </c>
    </row>
    <row r="255" spans="1:56">
      <c r="A255" t="s">
        <v>540</v>
      </c>
      <c r="B255" t="s">
        <v>63</v>
      </c>
      <c r="C255">
        <v>72</v>
      </c>
      <c r="D255" t="s">
        <v>64</v>
      </c>
      <c r="E255" t="s">
        <v>59</v>
      </c>
      <c r="F255" t="s">
        <v>60</v>
      </c>
      <c r="G255">
        <v>2000</v>
      </c>
      <c r="H255">
        <v>0.5</v>
      </c>
      <c r="I255">
        <v>0.5</v>
      </c>
      <c r="J255">
        <v>0</v>
      </c>
      <c r="K255">
        <v>1</v>
      </c>
      <c r="L255">
        <v>2000000</v>
      </c>
      <c r="M255">
        <v>190</v>
      </c>
      <c r="N255">
        <v>190</v>
      </c>
      <c r="O255">
        <v>190</v>
      </c>
      <c r="P255">
        <v>0</v>
      </c>
      <c r="Q255" t="s">
        <v>61</v>
      </c>
      <c r="R255">
        <v>999177304682</v>
      </c>
      <c r="S255">
        <v>999132</v>
      </c>
      <c r="T255">
        <v>999177304682</v>
      </c>
      <c r="U255">
        <v>999132</v>
      </c>
      <c r="V255" t="s">
        <v>71</v>
      </c>
      <c r="W255">
        <v>6</v>
      </c>
      <c r="X255">
        <v>52924</v>
      </c>
      <c r="Y255">
        <v>1071494</v>
      </c>
      <c r="Z255">
        <v>1124418</v>
      </c>
      <c r="AA255">
        <v>999132</v>
      </c>
      <c r="AB255">
        <v>21.245899999999999</v>
      </c>
      <c r="AC255">
        <v>0.93246600000000002</v>
      </c>
      <c r="AD255">
        <v>1.8885799999999999</v>
      </c>
      <c r="AE255">
        <v>3.04115</v>
      </c>
      <c r="AF255">
        <v>21391280</v>
      </c>
      <c r="AG255" t="s">
        <v>541</v>
      </c>
      <c r="AH255" t="s">
        <v>542</v>
      </c>
      <c r="AI255">
        <v>25753</v>
      </c>
      <c r="AJ255">
        <v>5532</v>
      </c>
      <c r="AM255">
        <v>799622593</v>
      </c>
      <c r="AN255">
        <v>0</v>
      </c>
      <c r="AO255">
        <v>8081746</v>
      </c>
      <c r="AP255">
        <v>799622593</v>
      </c>
      <c r="AQ255">
        <v>807704339</v>
      </c>
      <c r="AR255">
        <v>399811296</v>
      </c>
      <c r="AS255">
        <v>0</v>
      </c>
      <c r="AT255">
        <v>4040873</v>
      </c>
      <c r="AU255">
        <v>399811296</v>
      </c>
      <c r="AV255">
        <v>403852169</v>
      </c>
      <c r="AW255">
        <v>8.7804599999999997</v>
      </c>
      <c r="AX255">
        <v>0.41320400000000002</v>
      </c>
      <c r="AY255">
        <v>1305.4100000000001</v>
      </c>
      <c r="AZ255">
        <v>568.99199999999996</v>
      </c>
      <c r="BA255">
        <v>1369</v>
      </c>
      <c r="BB255">
        <v>273</v>
      </c>
      <c r="BC255" t="str">
        <f t="shared" si="8"/>
        <v>u=1%, k=2x10^6</v>
      </c>
      <c r="BD255">
        <f t="shared" si="9"/>
        <v>2</v>
      </c>
    </row>
    <row r="256" spans="1:56">
      <c r="A256" t="s">
        <v>543</v>
      </c>
      <c r="B256" t="s">
        <v>63</v>
      </c>
      <c r="C256">
        <v>72</v>
      </c>
      <c r="D256" t="s">
        <v>64</v>
      </c>
      <c r="E256" t="s">
        <v>59</v>
      </c>
      <c r="F256" t="s">
        <v>60</v>
      </c>
      <c r="G256">
        <v>4000</v>
      </c>
      <c r="H256">
        <v>0.5</v>
      </c>
      <c r="I256">
        <v>0.5</v>
      </c>
      <c r="J256">
        <v>0</v>
      </c>
      <c r="K256">
        <v>1</v>
      </c>
      <c r="L256">
        <v>2000000</v>
      </c>
      <c r="M256">
        <v>190</v>
      </c>
      <c r="N256">
        <v>190</v>
      </c>
      <c r="O256">
        <v>190</v>
      </c>
      <c r="P256">
        <v>0</v>
      </c>
      <c r="Q256" t="s">
        <v>61</v>
      </c>
      <c r="R256">
        <v>999607100382</v>
      </c>
      <c r="S256">
        <v>1000108</v>
      </c>
      <c r="T256">
        <v>999607100382</v>
      </c>
      <c r="U256">
        <v>1000108</v>
      </c>
      <c r="V256" t="s">
        <v>71</v>
      </c>
      <c r="W256">
        <v>6</v>
      </c>
      <c r="X256">
        <v>55459</v>
      </c>
      <c r="Y256">
        <v>1077605</v>
      </c>
      <c r="Z256">
        <v>1133064</v>
      </c>
      <c r="AA256">
        <v>1000108</v>
      </c>
      <c r="AB256">
        <v>20.430700000000002</v>
      </c>
      <c r="AC256">
        <v>0.92808400000000002</v>
      </c>
      <c r="AD256">
        <v>1.88266</v>
      </c>
      <c r="AE256">
        <v>3.0470299999999999</v>
      </c>
      <c r="AF256">
        <v>21701568</v>
      </c>
      <c r="AG256" t="s">
        <v>544</v>
      </c>
      <c r="AH256" t="s">
        <v>545</v>
      </c>
      <c r="AI256">
        <v>44461</v>
      </c>
      <c r="AJ256">
        <v>10898</v>
      </c>
      <c r="AM256">
        <v>1565541546</v>
      </c>
      <c r="AN256">
        <v>0</v>
      </c>
      <c r="AO256">
        <v>15814000</v>
      </c>
      <c r="AP256">
        <v>1565541546</v>
      </c>
      <c r="AQ256">
        <v>1581355546</v>
      </c>
      <c r="AR256">
        <v>391385386</v>
      </c>
      <c r="AS256">
        <v>0</v>
      </c>
      <c r="AT256">
        <v>3953500</v>
      </c>
      <c r="AU256">
        <v>391385386</v>
      </c>
      <c r="AV256">
        <v>395338886</v>
      </c>
      <c r="AW256">
        <v>8.7473600000000005</v>
      </c>
      <c r="AX256">
        <v>0.41715600000000003</v>
      </c>
      <c r="AY256">
        <v>1331.16</v>
      </c>
      <c r="AZ256">
        <v>596.26900000000001</v>
      </c>
      <c r="BA256">
        <v>1388</v>
      </c>
      <c r="BB256">
        <v>297</v>
      </c>
      <c r="BC256" t="str">
        <f t="shared" si="8"/>
        <v>u=1%, k=2x10^6</v>
      </c>
      <c r="BD256">
        <f t="shared" si="9"/>
        <v>4</v>
      </c>
    </row>
    <row r="257" spans="1:56">
      <c r="A257" t="s">
        <v>546</v>
      </c>
      <c r="B257" t="s">
        <v>63</v>
      </c>
      <c r="C257">
        <v>72</v>
      </c>
      <c r="D257" t="s">
        <v>64</v>
      </c>
      <c r="E257" t="s">
        <v>59</v>
      </c>
      <c r="F257" t="s">
        <v>60</v>
      </c>
      <c r="G257">
        <v>8000</v>
      </c>
      <c r="H257">
        <v>0.5</v>
      </c>
      <c r="I257">
        <v>0.5</v>
      </c>
      <c r="J257">
        <v>0</v>
      </c>
      <c r="K257">
        <v>1</v>
      </c>
      <c r="L257">
        <v>2000000</v>
      </c>
      <c r="M257">
        <v>190</v>
      </c>
      <c r="N257">
        <v>190</v>
      </c>
      <c r="O257">
        <v>190</v>
      </c>
      <c r="P257">
        <v>0</v>
      </c>
      <c r="Q257" t="s">
        <v>61</v>
      </c>
      <c r="R257">
        <v>998232360745</v>
      </c>
      <c r="S257">
        <v>998688</v>
      </c>
      <c r="T257">
        <v>998232360745</v>
      </c>
      <c r="U257">
        <v>998688</v>
      </c>
      <c r="V257" t="s">
        <v>71</v>
      </c>
      <c r="W257">
        <v>6</v>
      </c>
      <c r="X257">
        <v>53646</v>
      </c>
      <c r="Y257">
        <v>1072891</v>
      </c>
      <c r="Z257">
        <v>1126537</v>
      </c>
      <c r="AA257">
        <v>998688</v>
      </c>
      <c r="AB257">
        <v>20.999500000000001</v>
      </c>
      <c r="AC257">
        <v>0.93083800000000005</v>
      </c>
      <c r="AD257">
        <v>1.8865099999999999</v>
      </c>
      <c r="AE257">
        <v>3.0431900000000001</v>
      </c>
      <c r="AF257">
        <v>21477808</v>
      </c>
      <c r="AG257" t="s">
        <v>547</v>
      </c>
      <c r="AH257" t="s">
        <v>548</v>
      </c>
      <c r="AI257">
        <v>74477</v>
      </c>
      <c r="AJ257">
        <v>21450</v>
      </c>
      <c r="AM257">
        <v>3107213230</v>
      </c>
      <c r="AN257">
        <v>0</v>
      </c>
      <c r="AO257">
        <v>31391466</v>
      </c>
      <c r="AP257">
        <v>3107213230</v>
      </c>
      <c r="AQ257">
        <v>3138604696</v>
      </c>
      <c r="AR257">
        <v>388401653</v>
      </c>
      <c r="AS257">
        <v>0</v>
      </c>
      <c r="AT257">
        <v>3923933</v>
      </c>
      <c r="AU257">
        <v>388401653</v>
      </c>
      <c r="AV257">
        <v>392325587</v>
      </c>
      <c r="AW257">
        <v>8.8026099999999996</v>
      </c>
      <c r="AX257">
        <v>0.42274</v>
      </c>
      <c r="AY257">
        <v>1339.43</v>
      </c>
      <c r="AZ257">
        <v>601.46600000000001</v>
      </c>
      <c r="BA257">
        <v>1408</v>
      </c>
      <c r="BB257">
        <v>301</v>
      </c>
      <c r="BC257" t="str">
        <f t="shared" si="8"/>
        <v>u=1%, k=2x10^6</v>
      </c>
      <c r="BD257">
        <f t="shared" si="9"/>
        <v>8</v>
      </c>
    </row>
    <row r="258" spans="1:56">
      <c r="A258" t="s">
        <v>549</v>
      </c>
      <c r="B258" t="s">
        <v>63</v>
      </c>
      <c r="C258">
        <v>72</v>
      </c>
      <c r="D258" t="s">
        <v>64</v>
      </c>
      <c r="E258" t="s">
        <v>59</v>
      </c>
      <c r="F258" t="s">
        <v>60</v>
      </c>
      <c r="G258">
        <v>16000</v>
      </c>
      <c r="H258">
        <v>0.5</v>
      </c>
      <c r="I258">
        <v>0.5</v>
      </c>
      <c r="J258">
        <v>0</v>
      </c>
      <c r="K258">
        <v>1</v>
      </c>
      <c r="L258">
        <v>2000000</v>
      </c>
      <c r="M258">
        <v>190</v>
      </c>
      <c r="N258">
        <v>190</v>
      </c>
      <c r="O258">
        <v>190</v>
      </c>
      <c r="P258">
        <v>0</v>
      </c>
      <c r="Q258" t="s">
        <v>61</v>
      </c>
      <c r="R258">
        <v>999548235771</v>
      </c>
      <c r="S258">
        <v>999779</v>
      </c>
      <c r="T258">
        <v>999548235771</v>
      </c>
      <c r="U258">
        <v>999779</v>
      </c>
      <c r="V258" t="s">
        <v>71</v>
      </c>
      <c r="W258">
        <v>6</v>
      </c>
      <c r="X258">
        <v>53841</v>
      </c>
      <c r="Y258">
        <v>1074409</v>
      </c>
      <c r="Z258">
        <v>1128250</v>
      </c>
      <c r="AA258">
        <v>999779</v>
      </c>
      <c r="AB258">
        <v>20.955200000000001</v>
      </c>
      <c r="AC258">
        <v>0.93053900000000001</v>
      </c>
      <c r="AD258">
        <v>1.8861300000000001</v>
      </c>
      <c r="AE258">
        <v>3.0435599999999998</v>
      </c>
      <c r="AF258">
        <v>21519440</v>
      </c>
      <c r="AG258" t="s">
        <v>550</v>
      </c>
      <c r="AH258" t="s">
        <v>551</v>
      </c>
      <c r="AI258">
        <v>149254</v>
      </c>
      <c r="AJ258">
        <v>42570</v>
      </c>
      <c r="AM258">
        <v>6168461466</v>
      </c>
      <c r="AN258">
        <v>0</v>
      </c>
      <c r="AO258">
        <v>62305716</v>
      </c>
      <c r="AP258">
        <v>6168461466</v>
      </c>
      <c r="AQ258">
        <v>6230767182</v>
      </c>
      <c r="AR258">
        <v>385528841</v>
      </c>
      <c r="AS258">
        <v>0</v>
      </c>
      <c r="AT258">
        <v>3894107</v>
      </c>
      <c r="AU258">
        <v>385528841</v>
      </c>
      <c r="AV258">
        <v>389422948</v>
      </c>
      <c r="AW258">
        <v>8.7753800000000002</v>
      </c>
      <c r="AX258">
        <v>0.42013400000000001</v>
      </c>
      <c r="AY258">
        <v>1347.57</v>
      </c>
      <c r="AZ258">
        <v>603.93399999999997</v>
      </c>
      <c r="BA258">
        <v>1417</v>
      </c>
      <c r="BB258">
        <v>271</v>
      </c>
      <c r="BC258" t="str">
        <f t="shared" si="8"/>
        <v>u=1%, k=2x10^6</v>
      </c>
      <c r="BD258">
        <f t="shared" si="9"/>
        <v>16</v>
      </c>
    </row>
    <row r="259" spans="1:56">
      <c r="A259" t="s">
        <v>552</v>
      </c>
      <c r="B259" t="s">
        <v>63</v>
      </c>
      <c r="C259">
        <v>72</v>
      </c>
      <c r="D259" t="s">
        <v>64</v>
      </c>
      <c r="E259" t="s">
        <v>59</v>
      </c>
      <c r="F259" t="s">
        <v>60</v>
      </c>
      <c r="G259">
        <v>32000</v>
      </c>
      <c r="H259">
        <v>0.5</v>
      </c>
      <c r="I259">
        <v>0.5</v>
      </c>
      <c r="J259">
        <v>0</v>
      </c>
      <c r="K259">
        <v>1</v>
      </c>
      <c r="L259">
        <v>2000000</v>
      </c>
      <c r="M259">
        <v>190</v>
      </c>
      <c r="N259">
        <v>190</v>
      </c>
      <c r="O259">
        <v>190</v>
      </c>
      <c r="P259">
        <v>0</v>
      </c>
      <c r="Q259" t="s">
        <v>61</v>
      </c>
      <c r="R259">
        <v>1000421967386</v>
      </c>
      <c r="S259">
        <v>1000094</v>
      </c>
      <c r="T259">
        <v>1000421967386</v>
      </c>
      <c r="U259">
        <v>1000094</v>
      </c>
      <c r="V259" t="s">
        <v>71</v>
      </c>
      <c r="W259">
        <v>6</v>
      </c>
      <c r="X259">
        <v>33075</v>
      </c>
      <c r="Y259">
        <v>1032228</v>
      </c>
      <c r="Z259">
        <v>1065303</v>
      </c>
      <c r="AA259">
        <v>1000094</v>
      </c>
      <c r="AB259">
        <v>32.2087</v>
      </c>
      <c r="AC259">
        <v>0.96886899999999998</v>
      </c>
      <c r="AD259">
        <v>1.93879</v>
      </c>
      <c r="AE259">
        <v>3.0000800000000001</v>
      </c>
      <c r="AF259">
        <v>19161632</v>
      </c>
      <c r="AG259" t="s">
        <v>553</v>
      </c>
      <c r="AH259" t="s">
        <v>554</v>
      </c>
      <c r="AI259">
        <v>285294</v>
      </c>
      <c r="AJ259">
        <v>85898</v>
      </c>
      <c r="AM259">
        <v>12312640872</v>
      </c>
      <c r="AN259">
        <v>0</v>
      </c>
      <c r="AO259">
        <v>124343827</v>
      </c>
      <c r="AP259">
        <v>12312640872</v>
      </c>
      <c r="AQ259">
        <v>12436984699</v>
      </c>
      <c r="AR259">
        <v>384770027</v>
      </c>
      <c r="AS259">
        <v>0</v>
      </c>
      <c r="AT259">
        <v>3885744</v>
      </c>
      <c r="AU259">
        <v>384770027</v>
      </c>
      <c r="AV259">
        <v>388655771</v>
      </c>
      <c r="AW259">
        <v>8.7708700000000004</v>
      </c>
      <c r="AX259">
        <v>0.42221999999999998</v>
      </c>
      <c r="AY259">
        <v>1350.27</v>
      </c>
      <c r="AZ259">
        <v>614.38199999999995</v>
      </c>
      <c r="BA259">
        <v>1413</v>
      </c>
      <c r="BB259">
        <v>292</v>
      </c>
      <c r="BC259" t="str">
        <f t="shared" si="8"/>
        <v>u=1%, k=2x10^6</v>
      </c>
      <c r="BD259">
        <f t="shared" si="9"/>
        <v>32</v>
      </c>
    </row>
    <row r="260" spans="1:56">
      <c r="A260" t="s">
        <v>555</v>
      </c>
      <c r="B260" t="s">
        <v>63</v>
      </c>
      <c r="C260">
        <v>72</v>
      </c>
      <c r="D260" t="s">
        <v>64</v>
      </c>
      <c r="E260" t="s">
        <v>59</v>
      </c>
      <c r="F260" t="s">
        <v>60</v>
      </c>
      <c r="G260">
        <v>64000</v>
      </c>
      <c r="H260">
        <v>0.5</v>
      </c>
      <c r="I260">
        <v>0.5</v>
      </c>
      <c r="J260">
        <v>0</v>
      </c>
      <c r="K260">
        <v>1</v>
      </c>
      <c r="L260">
        <v>2000000</v>
      </c>
      <c r="M260">
        <v>190</v>
      </c>
      <c r="N260">
        <v>190</v>
      </c>
      <c r="O260">
        <v>190</v>
      </c>
      <c r="P260">
        <v>0</v>
      </c>
      <c r="Q260" t="s">
        <v>61</v>
      </c>
      <c r="R260">
        <v>1001143167035</v>
      </c>
      <c r="S260">
        <v>1000273</v>
      </c>
      <c r="T260">
        <v>1001143167035</v>
      </c>
      <c r="U260">
        <v>1000273</v>
      </c>
      <c r="V260" t="s">
        <v>71</v>
      </c>
      <c r="W260">
        <v>6</v>
      </c>
      <c r="X260">
        <v>52958</v>
      </c>
      <c r="Y260">
        <v>1072820</v>
      </c>
      <c r="Z260">
        <v>1125778</v>
      </c>
      <c r="AA260">
        <v>1000273</v>
      </c>
      <c r="AB260">
        <v>21.257899999999999</v>
      </c>
      <c r="AC260">
        <v>0.93237700000000001</v>
      </c>
      <c r="AD260">
        <v>1.88852</v>
      </c>
      <c r="AE260">
        <v>3.0412599999999999</v>
      </c>
      <c r="AF260">
        <v>21417008</v>
      </c>
      <c r="AG260" t="s">
        <v>556</v>
      </c>
      <c r="AH260" t="s">
        <v>557</v>
      </c>
      <c r="AI260">
        <v>565429</v>
      </c>
      <c r="AJ260">
        <v>172666</v>
      </c>
      <c r="AM260">
        <v>24729130996</v>
      </c>
      <c r="AN260">
        <v>0</v>
      </c>
      <c r="AO260">
        <v>249783226</v>
      </c>
      <c r="AP260">
        <v>24729130996</v>
      </c>
      <c r="AQ260">
        <v>24978914222</v>
      </c>
      <c r="AR260">
        <v>386392671</v>
      </c>
      <c r="AS260">
        <v>0</v>
      </c>
      <c r="AT260">
        <v>3902862</v>
      </c>
      <c r="AU260">
        <v>386392671</v>
      </c>
      <c r="AV260">
        <v>390295534</v>
      </c>
      <c r="AW260">
        <v>8.7822200000000006</v>
      </c>
      <c r="AX260">
        <v>0.42019200000000001</v>
      </c>
      <c r="AY260">
        <v>1343.96</v>
      </c>
      <c r="AZ260">
        <v>608.73299999999995</v>
      </c>
      <c r="BA260">
        <v>1433</v>
      </c>
      <c r="BB260">
        <v>287</v>
      </c>
      <c r="BC260" t="str">
        <f t="shared" si="8"/>
        <v>u=1%, k=2x10^6</v>
      </c>
      <c r="BD260">
        <f t="shared" si="9"/>
        <v>64</v>
      </c>
    </row>
    <row r="261" spans="1:56">
      <c r="A261" t="s">
        <v>558</v>
      </c>
      <c r="B261" t="s">
        <v>300</v>
      </c>
      <c r="C261">
        <v>208</v>
      </c>
      <c r="D261" t="s">
        <v>64</v>
      </c>
      <c r="E261" t="s">
        <v>59</v>
      </c>
      <c r="F261" t="s">
        <v>60</v>
      </c>
      <c r="G261">
        <v>1000</v>
      </c>
      <c r="H261">
        <v>0.5</v>
      </c>
      <c r="I261">
        <v>0.5</v>
      </c>
      <c r="J261">
        <v>0</v>
      </c>
      <c r="K261">
        <v>1</v>
      </c>
      <c r="L261">
        <v>2000000</v>
      </c>
      <c r="M261">
        <v>190</v>
      </c>
      <c r="N261">
        <v>190</v>
      </c>
      <c r="O261">
        <v>190</v>
      </c>
      <c r="P261">
        <v>0</v>
      </c>
      <c r="Q261" t="s">
        <v>61</v>
      </c>
      <c r="R261">
        <v>1001706293534</v>
      </c>
      <c r="S261">
        <v>1000915</v>
      </c>
      <c r="T261">
        <v>1001706293534</v>
      </c>
      <c r="U261">
        <v>1000915</v>
      </c>
      <c r="V261" t="s">
        <v>71</v>
      </c>
      <c r="W261">
        <v>8</v>
      </c>
      <c r="X261">
        <v>23769</v>
      </c>
      <c r="Y261">
        <v>163538</v>
      </c>
      <c r="Z261">
        <v>187307</v>
      </c>
      <c r="AA261">
        <v>1000915</v>
      </c>
      <c r="AB261">
        <v>7.8803099999999997</v>
      </c>
      <c r="AC261">
        <v>6.1203799999999999</v>
      </c>
      <c r="AD261">
        <v>6.3437099999999997</v>
      </c>
      <c r="AE261">
        <v>7</v>
      </c>
      <c r="AF261">
        <v>38959856</v>
      </c>
      <c r="AJ261">
        <v>2920</v>
      </c>
      <c r="AM261">
        <v>398454923</v>
      </c>
      <c r="AN261">
        <v>0</v>
      </c>
      <c r="AO261">
        <v>4024183</v>
      </c>
      <c r="AP261">
        <v>398454923</v>
      </c>
      <c r="AQ261">
        <v>402479106</v>
      </c>
      <c r="AR261">
        <v>398454923</v>
      </c>
      <c r="AS261">
        <v>0</v>
      </c>
      <c r="AT261">
        <v>4024183</v>
      </c>
      <c r="AU261">
        <v>398454923</v>
      </c>
      <c r="AV261">
        <v>402479106</v>
      </c>
      <c r="AW261">
        <v>9.2425700000000006</v>
      </c>
      <c r="AX261">
        <v>0.78800800000000004</v>
      </c>
      <c r="AY261">
        <v>1310.07</v>
      </c>
      <c r="AZ261">
        <v>425.29300000000001</v>
      </c>
      <c r="BA261">
        <v>1158</v>
      </c>
      <c r="BB261">
        <v>311</v>
      </c>
      <c r="BC261" t="str">
        <f t="shared" si="8"/>
        <v>u=1%, k=2x10^6</v>
      </c>
      <c r="BD261">
        <f t="shared" si="9"/>
        <v>1</v>
      </c>
    </row>
    <row r="262" spans="1:56">
      <c r="A262" t="s">
        <v>559</v>
      </c>
      <c r="B262" t="s">
        <v>300</v>
      </c>
      <c r="C262">
        <v>208</v>
      </c>
      <c r="D262" t="s">
        <v>64</v>
      </c>
      <c r="E262" t="s">
        <v>59</v>
      </c>
      <c r="F262" t="s">
        <v>60</v>
      </c>
      <c r="G262">
        <v>2000</v>
      </c>
      <c r="H262">
        <v>0.5</v>
      </c>
      <c r="I262">
        <v>0.5</v>
      </c>
      <c r="J262">
        <v>0</v>
      </c>
      <c r="K262">
        <v>1</v>
      </c>
      <c r="L262">
        <v>2000000</v>
      </c>
      <c r="M262">
        <v>190</v>
      </c>
      <c r="N262">
        <v>190</v>
      </c>
      <c r="O262">
        <v>190</v>
      </c>
      <c r="P262">
        <v>0</v>
      </c>
      <c r="Q262" t="s">
        <v>61</v>
      </c>
      <c r="R262">
        <v>1000143838464</v>
      </c>
      <c r="S262">
        <v>1000535</v>
      </c>
      <c r="T262">
        <v>1000143838464</v>
      </c>
      <c r="U262">
        <v>1000535</v>
      </c>
      <c r="V262" t="s">
        <v>71</v>
      </c>
      <c r="W262">
        <v>8</v>
      </c>
      <c r="X262">
        <v>25597</v>
      </c>
      <c r="Y262">
        <v>175125</v>
      </c>
      <c r="Z262">
        <v>200722</v>
      </c>
      <c r="AA262">
        <v>1000535</v>
      </c>
      <c r="AB262">
        <v>7.8416199999999998</v>
      </c>
      <c r="AC262">
        <v>5.71326</v>
      </c>
      <c r="AD262">
        <v>5.98468</v>
      </c>
      <c r="AE262">
        <v>7</v>
      </c>
      <c r="AF262">
        <v>41750176</v>
      </c>
      <c r="AJ262">
        <v>5558</v>
      </c>
      <c r="AM262">
        <v>765553160</v>
      </c>
      <c r="AN262">
        <v>0</v>
      </c>
      <c r="AO262">
        <v>7735956</v>
      </c>
      <c r="AP262">
        <v>765553160</v>
      </c>
      <c r="AQ262">
        <v>773289116</v>
      </c>
      <c r="AR262">
        <v>382776580</v>
      </c>
      <c r="AS262">
        <v>0</v>
      </c>
      <c r="AT262">
        <v>3867978</v>
      </c>
      <c r="AU262">
        <v>382776580</v>
      </c>
      <c r="AV262">
        <v>386644558</v>
      </c>
      <c r="AW262">
        <v>9.6110900000000008</v>
      </c>
      <c r="AX262">
        <v>0.89519800000000005</v>
      </c>
      <c r="AY262">
        <v>1352.14</v>
      </c>
      <c r="AZ262">
        <v>461.66500000000002</v>
      </c>
      <c r="BA262">
        <v>1176</v>
      </c>
      <c r="BB262">
        <v>319</v>
      </c>
      <c r="BC262" t="str">
        <f t="shared" si="8"/>
        <v>u=1%, k=2x10^6</v>
      </c>
      <c r="BD262">
        <f t="shared" si="9"/>
        <v>2</v>
      </c>
    </row>
    <row r="263" spans="1:56">
      <c r="A263" t="s">
        <v>560</v>
      </c>
      <c r="B263" t="s">
        <v>300</v>
      </c>
      <c r="C263">
        <v>208</v>
      </c>
      <c r="D263" t="s">
        <v>64</v>
      </c>
      <c r="E263" t="s">
        <v>59</v>
      </c>
      <c r="F263" t="s">
        <v>60</v>
      </c>
      <c r="G263">
        <v>4000</v>
      </c>
      <c r="H263">
        <v>0.5</v>
      </c>
      <c r="I263">
        <v>0.5</v>
      </c>
      <c r="J263">
        <v>0</v>
      </c>
      <c r="K263">
        <v>1</v>
      </c>
      <c r="L263">
        <v>2000000</v>
      </c>
      <c r="M263">
        <v>190</v>
      </c>
      <c r="N263">
        <v>190</v>
      </c>
      <c r="O263">
        <v>190</v>
      </c>
      <c r="P263">
        <v>0</v>
      </c>
      <c r="Q263" t="s">
        <v>61</v>
      </c>
      <c r="R263">
        <v>1000373920695</v>
      </c>
      <c r="S263">
        <v>1000397</v>
      </c>
      <c r="T263">
        <v>1000373920695</v>
      </c>
      <c r="U263">
        <v>1000397</v>
      </c>
      <c r="V263" t="s">
        <v>71</v>
      </c>
      <c r="W263">
        <v>8</v>
      </c>
      <c r="X263">
        <v>27402</v>
      </c>
      <c r="Y263">
        <v>186419</v>
      </c>
      <c r="Z263">
        <v>213821</v>
      </c>
      <c r="AA263">
        <v>1000397</v>
      </c>
      <c r="AB263">
        <v>7.8031199999999998</v>
      </c>
      <c r="AC263">
        <v>5.36639</v>
      </c>
      <c r="AD263">
        <v>5.6786700000000003</v>
      </c>
      <c r="AE263">
        <v>7</v>
      </c>
      <c r="AF263">
        <v>44474768</v>
      </c>
      <c r="AJ263">
        <v>10356</v>
      </c>
      <c r="AM263">
        <v>1479936724</v>
      </c>
      <c r="AN263">
        <v>0</v>
      </c>
      <c r="AO263">
        <v>14943973</v>
      </c>
      <c r="AP263">
        <v>1479936724</v>
      </c>
      <c r="AQ263">
        <v>1494880697</v>
      </c>
      <c r="AR263">
        <v>369984181</v>
      </c>
      <c r="AS263">
        <v>0</v>
      </c>
      <c r="AT263">
        <v>3735993</v>
      </c>
      <c r="AU263">
        <v>369984181</v>
      </c>
      <c r="AV263">
        <v>373720174</v>
      </c>
      <c r="AW263">
        <v>9.8066099999999992</v>
      </c>
      <c r="AX263">
        <v>1.0259499999999999</v>
      </c>
      <c r="AY263">
        <v>1381.75</v>
      </c>
      <c r="AZ263">
        <v>488.13799999999998</v>
      </c>
      <c r="BA263">
        <v>1170</v>
      </c>
      <c r="BB263">
        <v>308</v>
      </c>
      <c r="BC263" t="str">
        <f t="shared" si="8"/>
        <v>u=1%, k=2x10^6</v>
      </c>
      <c r="BD263">
        <f t="shared" si="9"/>
        <v>4</v>
      </c>
    </row>
    <row r="264" spans="1:56">
      <c r="A264" t="s">
        <v>561</v>
      </c>
      <c r="B264" t="s">
        <v>300</v>
      </c>
      <c r="C264">
        <v>208</v>
      </c>
      <c r="D264" t="s">
        <v>64</v>
      </c>
      <c r="E264" t="s">
        <v>59</v>
      </c>
      <c r="F264" t="s">
        <v>60</v>
      </c>
      <c r="G264">
        <v>8000</v>
      </c>
      <c r="H264">
        <v>0.5</v>
      </c>
      <c r="I264">
        <v>0.5</v>
      </c>
      <c r="J264">
        <v>0</v>
      </c>
      <c r="K264">
        <v>1</v>
      </c>
      <c r="L264">
        <v>2000000</v>
      </c>
      <c r="M264">
        <v>190</v>
      </c>
      <c r="N264">
        <v>190</v>
      </c>
      <c r="O264">
        <v>190</v>
      </c>
      <c r="P264">
        <v>0</v>
      </c>
      <c r="Q264" t="s">
        <v>61</v>
      </c>
      <c r="R264">
        <v>1000761546138</v>
      </c>
      <c r="S264">
        <v>1000617</v>
      </c>
      <c r="T264">
        <v>1000761546138</v>
      </c>
      <c r="U264">
        <v>1000617</v>
      </c>
      <c r="V264" t="s">
        <v>71</v>
      </c>
      <c r="W264">
        <v>8</v>
      </c>
      <c r="X264">
        <v>29292</v>
      </c>
      <c r="Y264">
        <v>194420</v>
      </c>
      <c r="Z264">
        <v>223712</v>
      </c>
      <c r="AA264">
        <v>1000617</v>
      </c>
      <c r="AB264">
        <v>7.6373100000000003</v>
      </c>
      <c r="AC264">
        <v>5.1466799999999999</v>
      </c>
      <c r="AD264">
        <v>5.4727899999999998</v>
      </c>
      <c r="AE264">
        <v>7</v>
      </c>
      <c r="AF264">
        <v>46532096</v>
      </c>
      <c r="AJ264" t="s">
        <v>562</v>
      </c>
      <c r="AM264">
        <v>2872605559</v>
      </c>
      <c r="AN264">
        <v>0</v>
      </c>
      <c r="AO264">
        <v>29018446</v>
      </c>
      <c r="AP264">
        <v>2872605559</v>
      </c>
      <c r="AQ264">
        <v>2901624005</v>
      </c>
      <c r="AR264">
        <v>359075694</v>
      </c>
      <c r="AS264">
        <v>0</v>
      </c>
      <c r="AT264">
        <v>3627305</v>
      </c>
      <c r="AU264">
        <v>359075694</v>
      </c>
      <c r="AV264">
        <v>362703000</v>
      </c>
      <c r="AW264">
        <v>10.0562</v>
      </c>
      <c r="AX264">
        <v>1.15981</v>
      </c>
      <c r="AY264">
        <v>1417.07</v>
      </c>
      <c r="AZ264">
        <v>522.54300000000001</v>
      </c>
      <c r="BA264">
        <v>1173</v>
      </c>
      <c r="BB264">
        <v>311</v>
      </c>
      <c r="BC264" t="str">
        <f t="shared" si="8"/>
        <v>u=1%, k=2x10^6</v>
      </c>
      <c r="BD264">
        <f t="shared" si="9"/>
        <v>8</v>
      </c>
    </row>
    <row r="265" spans="1:56">
      <c r="A265" t="s">
        <v>563</v>
      </c>
      <c r="B265" t="s">
        <v>300</v>
      </c>
      <c r="C265">
        <v>208</v>
      </c>
      <c r="D265" t="s">
        <v>64</v>
      </c>
      <c r="E265" t="s">
        <v>59</v>
      </c>
      <c r="F265" t="s">
        <v>60</v>
      </c>
      <c r="G265">
        <v>16000</v>
      </c>
      <c r="H265">
        <v>0.5</v>
      </c>
      <c r="I265">
        <v>0.5</v>
      </c>
      <c r="J265">
        <v>0</v>
      </c>
      <c r="K265">
        <v>1</v>
      </c>
      <c r="L265">
        <v>2000000</v>
      </c>
      <c r="M265">
        <v>190</v>
      </c>
      <c r="N265">
        <v>190</v>
      </c>
      <c r="O265">
        <v>190</v>
      </c>
      <c r="P265">
        <v>0</v>
      </c>
      <c r="Q265" t="s">
        <v>61</v>
      </c>
      <c r="R265">
        <v>999458159770</v>
      </c>
      <c r="S265">
        <v>1000176</v>
      </c>
      <c r="T265">
        <v>999458159770</v>
      </c>
      <c r="U265">
        <v>1000176</v>
      </c>
      <c r="V265" t="s">
        <v>71</v>
      </c>
      <c r="W265">
        <v>8</v>
      </c>
      <c r="X265">
        <v>30958</v>
      </c>
      <c r="Y265">
        <v>196548</v>
      </c>
      <c r="Z265">
        <v>227506</v>
      </c>
      <c r="AA265">
        <v>1000176</v>
      </c>
      <c r="AB265">
        <v>7.3488600000000002</v>
      </c>
      <c r="AC265">
        <v>5.0887099999999998</v>
      </c>
      <c r="AD265">
        <v>5.3962599999999998</v>
      </c>
      <c r="AE265">
        <v>7</v>
      </c>
      <c r="AF265">
        <v>47321248</v>
      </c>
      <c r="AJ265">
        <v>37640</v>
      </c>
      <c r="AM265">
        <v>5643529664</v>
      </c>
      <c r="AN265">
        <v>0</v>
      </c>
      <c r="AO265">
        <v>56994445</v>
      </c>
      <c r="AP265">
        <v>5643529664</v>
      </c>
      <c r="AQ265">
        <v>5700524109</v>
      </c>
      <c r="AR265">
        <v>352720604</v>
      </c>
      <c r="AS265">
        <v>0</v>
      </c>
      <c r="AT265">
        <v>3562152</v>
      </c>
      <c r="AU265">
        <v>352720604</v>
      </c>
      <c r="AV265">
        <v>356282756</v>
      </c>
      <c r="AW265">
        <v>10.305199999999999</v>
      </c>
      <c r="AX265">
        <v>1.2586599999999999</v>
      </c>
      <c r="AY265">
        <v>1438.69</v>
      </c>
      <c r="AZ265">
        <v>543.16800000000001</v>
      </c>
      <c r="BA265">
        <v>1178</v>
      </c>
      <c r="BB265">
        <v>311</v>
      </c>
      <c r="BC265" t="str">
        <f t="shared" si="8"/>
        <v>u=1%, k=2x10^6</v>
      </c>
      <c r="BD265">
        <f t="shared" si="9"/>
        <v>16</v>
      </c>
    </row>
    <row r="266" spans="1:56">
      <c r="A266" t="s">
        <v>564</v>
      </c>
      <c r="B266" t="s">
        <v>300</v>
      </c>
      <c r="C266">
        <v>208</v>
      </c>
      <c r="D266" t="s">
        <v>64</v>
      </c>
      <c r="E266" t="s">
        <v>59</v>
      </c>
      <c r="F266" t="s">
        <v>60</v>
      </c>
      <c r="G266">
        <v>32000</v>
      </c>
      <c r="H266">
        <v>0.5</v>
      </c>
      <c r="I266">
        <v>0.5</v>
      </c>
      <c r="J266">
        <v>0</v>
      </c>
      <c r="K266">
        <v>1</v>
      </c>
      <c r="L266">
        <v>2000000</v>
      </c>
      <c r="M266">
        <v>190</v>
      </c>
      <c r="N266">
        <v>190</v>
      </c>
      <c r="O266">
        <v>190</v>
      </c>
      <c r="P266">
        <v>0</v>
      </c>
      <c r="Q266" t="s">
        <v>61</v>
      </c>
      <c r="R266">
        <v>999332043157</v>
      </c>
      <c r="S266">
        <v>999146</v>
      </c>
      <c r="T266">
        <v>999332043157</v>
      </c>
      <c r="U266">
        <v>999146</v>
      </c>
      <c r="V266" t="s">
        <v>71</v>
      </c>
      <c r="W266">
        <v>8</v>
      </c>
      <c r="X266">
        <v>32213</v>
      </c>
      <c r="Y266">
        <v>195802</v>
      </c>
      <c r="Z266">
        <v>228015</v>
      </c>
      <c r="AA266">
        <v>999146</v>
      </c>
      <c r="AB266">
        <v>7.0783500000000004</v>
      </c>
      <c r="AC266">
        <v>5.1028399999999996</v>
      </c>
      <c r="AD266">
        <v>5.3819299999999997</v>
      </c>
      <c r="AE266">
        <v>7</v>
      </c>
      <c r="AF266">
        <v>47427120</v>
      </c>
      <c r="AJ266">
        <v>75232</v>
      </c>
      <c r="AM266">
        <v>11158919302</v>
      </c>
      <c r="AN266">
        <v>0</v>
      </c>
      <c r="AO266">
        <v>112716306</v>
      </c>
      <c r="AP266">
        <v>11158919302</v>
      </c>
      <c r="AQ266">
        <v>11271635608</v>
      </c>
      <c r="AR266">
        <v>348716228</v>
      </c>
      <c r="AS266">
        <v>0</v>
      </c>
      <c r="AT266">
        <v>3522384</v>
      </c>
      <c r="AU266">
        <v>348716228</v>
      </c>
      <c r="AV266">
        <v>352238612</v>
      </c>
      <c r="AW266">
        <v>10.2912</v>
      </c>
      <c r="AX266">
        <v>1.3108900000000001</v>
      </c>
      <c r="AY266">
        <v>1452.38</v>
      </c>
      <c r="AZ266">
        <v>550.803</v>
      </c>
      <c r="BA266">
        <v>1176</v>
      </c>
      <c r="BB266">
        <v>292</v>
      </c>
      <c r="BC266" t="str">
        <f t="shared" si="8"/>
        <v>u=1%, k=2x10^6</v>
      </c>
      <c r="BD266">
        <f t="shared" si="9"/>
        <v>32</v>
      </c>
    </row>
    <row r="267" spans="1:56">
      <c r="A267" t="s">
        <v>565</v>
      </c>
      <c r="B267" t="s">
        <v>300</v>
      </c>
      <c r="C267">
        <v>208</v>
      </c>
      <c r="D267" t="s">
        <v>64</v>
      </c>
      <c r="E267" t="s">
        <v>59</v>
      </c>
      <c r="F267" t="s">
        <v>60</v>
      </c>
      <c r="G267">
        <v>64000</v>
      </c>
      <c r="H267">
        <v>0.5</v>
      </c>
      <c r="I267">
        <v>0.5</v>
      </c>
      <c r="J267">
        <v>0</v>
      </c>
      <c r="K267">
        <v>1</v>
      </c>
      <c r="L267">
        <v>2000000</v>
      </c>
      <c r="M267">
        <v>190</v>
      </c>
      <c r="N267">
        <v>190</v>
      </c>
      <c r="O267">
        <v>190</v>
      </c>
      <c r="P267">
        <v>0</v>
      </c>
      <c r="Q267" t="s">
        <v>61</v>
      </c>
      <c r="R267">
        <v>1000254367386</v>
      </c>
      <c r="S267">
        <v>999929</v>
      </c>
      <c r="T267">
        <v>1000254367386</v>
      </c>
      <c r="U267">
        <v>999929</v>
      </c>
      <c r="V267" t="s">
        <v>71</v>
      </c>
      <c r="W267">
        <v>8</v>
      </c>
      <c r="X267">
        <v>33456</v>
      </c>
      <c r="Y267">
        <v>195293</v>
      </c>
      <c r="Z267">
        <v>228749</v>
      </c>
      <c r="AA267">
        <v>999929</v>
      </c>
      <c r="AB267">
        <v>6.8373100000000004</v>
      </c>
      <c r="AC267">
        <v>5.1201499999999998</v>
      </c>
      <c r="AD267">
        <v>5.3712900000000001</v>
      </c>
      <c r="AE267">
        <v>7</v>
      </c>
      <c r="AF267">
        <v>47579792</v>
      </c>
      <c r="AJ267">
        <v>150430</v>
      </c>
      <c r="AM267">
        <v>22209564251</v>
      </c>
      <c r="AN267">
        <v>0</v>
      </c>
      <c r="AO267">
        <v>224310918</v>
      </c>
      <c r="AP267">
        <v>22209564251</v>
      </c>
      <c r="AQ267">
        <v>22433875169</v>
      </c>
      <c r="AR267">
        <v>347024441</v>
      </c>
      <c r="AS267">
        <v>0</v>
      </c>
      <c r="AT267">
        <v>3504858</v>
      </c>
      <c r="AU267">
        <v>347024441</v>
      </c>
      <c r="AV267">
        <v>350529299</v>
      </c>
      <c r="AW267">
        <v>10.427099999999999</v>
      </c>
      <c r="AX267">
        <v>1.3420300000000001</v>
      </c>
      <c r="AY267">
        <v>1459.04</v>
      </c>
      <c r="AZ267">
        <v>559.13199999999995</v>
      </c>
      <c r="BA267">
        <v>1173</v>
      </c>
      <c r="BB267">
        <v>249</v>
      </c>
      <c r="BC267" t="str">
        <f t="shared" si="8"/>
        <v>u=1%, k=2x10^6</v>
      </c>
      <c r="BD267">
        <f t="shared" si="9"/>
        <v>64</v>
      </c>
    </row>
    <row r="268" spans="1:56">
      <c r="A268" t="s">
        <v>566</v>
      </c>
      <c r="B268" t="s">
        <v>105</v>
      </c>
      <c r="D268" t="s">
        <v>64</v>
      </c>
      <c r="E268" t="s">
        <v>59</v>
      </c>
      <c r="F268" t="s">
        <v>60</v>
      </c>
      <c r="G268">
        <v>1000</v>
      </c>
      <c r="H268">
        <v>0.5</v>
      </c>
      <c r="I268">
        <v>0.5</v>
      </c>
      <c r="J268">
        <v>0</v>
      </c>
      <c r="K268">
        <v>1</v>
      </c>
      <c r="L268">
        <v>2000000</v>
      </c>
      <c r="M268">
        <v>190</v>
      </c>
      <c r="N268">
        <v>190</v>
      </c>
      <c r="O268">
        <v>190</v>
      </c>
      <c r="P268">
        <v>0</v>
      </c>
      <c r="Q268" t="s">
        <v>61</v>
      </c>
      <c r="R268">
        <v>999823424384</v>
      </c>
      <c r="S268">
        <v>1000028</v>
      </c>
      <c r="T268">
        <v>999823424384</v>
      </c>
      <c r="U268">
        <v>1000028</v>
      </c>
      <c r="V268" t="s">
        <v>71</v>
      </c>
      <c r="W268">
        <v>25</v>
      </c>
      <c r="X268">
        <v>649315</v>
      </c>
      <c r="Y268">
        <v>490832</v>
      </c>
      <c r="Z268">
        <v>1140147</v>
      </c>
      <c r="AA268">
        <v>1000028</v>
      </c>
      <c r="AB268">
        <v>1.7559199999999999</v>
      </c>
      <c r="AC268">
        <v>2.0374099999999999</v>
      </c>
      <c r="AD268">
        <v>1.8771</v>
      </c>
      <c r="AE268">
        <v>19.710799999999999</v>
      </c>
      <c r="AF268">
        <v>63848232</v>
      </c>
      <c r="AJ268">
        <v>1596</v>
      </c>
      <c r="AM268">
        <v>221776400</v>
      </c>
      <c r="AN268">
        <v>0</v>
      </c>
      <c r="AO268">
        <v>2238854</v>
      </c>
      <c r="AP268">
        <v>221776400</v>
      </c>
      <c r="AQ268">
        <v>224015254</v>
      </c>
      <c r="AR268">
        <v>221776400</v>
      </c>
      <c r="AS268">
        <v>0</v>
      </c>
      <c r="AT268">
        <v>2238854</v>
      </c>
      <c r="AU268">
        <v>221776400</v>
      </c>
      <c r="AV268">
        <v>224015254</v>
      </c>
      <c r="AW268">
        <v>16.134699999999999</v>
      </c>
      <c r="AX268">
        <v>2.4144800000000002</v>
      </c>
      <c r="AY268">
        <v>2352.38</v>
      </c>
      <c r="AZ268">
        <v>1068.55</v>
      </c>
      <c r="BA268">
        <v>1177</v>
      </c>
      <c r="BB268">
        <v>280</v>
      </c>
      <c r="BC268" t="str">
        <f t="shared" si="8"/>
        <v>u=1%, k=2x10^6</v>
      </c>
      <c r="BD268">
        <f t="shared" si="9"/>
        <v>1</v>
      </c>
    </row>
    <row r="269" spans="1:56">
      <c r="A269" t="s">
        <v>567</v>
      </c>
      <c r="B269" t="s">
        <v>105</v>
      </c>
      <c r="D269" t="s">
        <v>64</v>
      </c>
      <c r="E269" t="s">
        <v>59</v>
      </c>
      <c r="F269" t="s">
        <v>60</v>
      </c>
      <c r="G269">
        <v>2000</v>
      </c>
      <c r="H269">
        <v>0.5</v>
      </c>
      <c r="I269">
        <v>0.5</v>
      </c>
      <c r="J269">
        <v>0</v>
      </c>
      <c r="K269">
        <v>1</v>
      </c>
      <c r="L269">
        <v>2000000</v>
      </c>
      <c r="M269">
        <v>190</v>
      </c>
      <c r="N269">
        <v>190</v>
      </c>
      <c r="O269">
        <v>190</v>
      </c>
      <c r="P269">
        <v>0</v>
      </c>
      <c r="Q269" t="s">
        <v>61</v>
      </c>
      <c r="R269">
        <v>998529662230</v>
      </c>
      <c r="S269">
        <v>998795</v>
      </c>
      <c r="T269">
        <v>998529662230</v>
      </c>
      <c r="U269">
        <v>998795</v>
      </c>
      <c r="V269" t="s">
        <v>71</v>
      </c>
      <c r="W269">
        <v>25</v>
      </c>
      <c r="X269">
        <v>672954</v>
      </c>
      <c r="Y269">
        <v>509880</v>
      </c>
      <c r="Z269">
        <v>1182834</v>
      </c>
      <c r="AA269">
        <v>998795</v>
      </c>
      <c r="AB269">
        <v>1.7576700000000001</v>
      </c>
      <c r="AC269">
        <v>1.95888</v>
      </c>
      <c r="AD269">
        <v>1.8444100000000001</v>
      </c>
      <c r="AE269">
        <v>19.825199999999999</v>
      </c>
      <c r="AF269">
        <v>66238704</v>
      </c>
      <c r="AJ269">
        <v>2902</v>
      </c>
      <c r="AM269">
        <v>433247013</v>
      </c>
      <c r="AN269">
        <v>0</v>
      </c>
      <c r="AO269">
        <v>4377220</v>
      </c>
      <c r="AP269">
        <v>433247013</v>
      </c>
      <c r="AQ269">
        <v>437624233</v>
      </c>
      <c r="AR269">
        <v>216623506</v>
      </c>
      <c r="AS269">
        <v>0</v>
      </c>
      <c r="AT269">
        <v>2188610</v>
      </c>
      <c r="AU269">
        <v>216623506</v>
      </c>
      <c r="AV269">
        <v>218812116</v>
      </c>
      <c r="AW269">
        <v>16.255199999999999</v>
      </c>
      <c r="AX269">
        <v>2.5220699999999998</v>
      </c>
      <c r="AY269">
        <v>2396.42</v>
      </c>
      <c r="AZ269">
        <v>1115.08</v>
      </c>
      <c r="BA269">
        <v>1179</v>
      </c>
      <c r="BB269">
        <v>235</v>
      </c>
      <c r="BC269" t="str">
        <f t="shared" si="8"/>
        <v>u=1%, k=2x10^6</v>
      </c>
      <c r="BD269">
        <f t="shared" si="9"/>
        <v>2</v>
      </c>
    </row>
    <row r="270" spans="1:56">
      <c r="A270" t="s">
        <v>568</v>
      </c>
      <c r="B270" t="s">
        <v>105</v>
      </c>
      <c r="D270" t="s">
        <v>64</v>
      </c>
      <c r="E270" t="s">
        <v>59</v>
      </c>
      <c r="F270" t="s">
        <v>60</v>
      </c>
      <c r="G270">
        <v>4000</v>
      </c>
      <c r="H270">
        <v>0.5</v>
      </c>
      <c r="I270">
        <v>0.5</v>
      </c>
      <c r="J270">
        <v>0</v>
      </c>
      <c r="K270">
        <v>1</v>
      </c>
      <c r="L270">
        <v>2000000</v>
      </c>
      <c r="M270">
        <v>190</v>
      </c>
      <c r="N270">
        <v>190</v>
      </c>
      <c r="O270">
        <v>190</v>
      </c>
      <c r="P270">
        <v>0</v>
      </c>
      <c r="Q270" t="s">
        <v>61</v>
      </c>
      <c r="R270">
        <v>999311269776</v>
      </c>
      <c r="S270">
        <v>999433</v>
      </c>
      <c r="T270">
        <v>999311269776</v>
      </c>
      <c r="U270">
        <v>999433</v>
      </c>
      <c r="V270" t="s">
        <v>71</v>
      </c>
      <c r="W270">
        <v>25</v>
      </c>
      <c r="X270">
        <v>683668</v>
      </c>
      <c r="Y270">
        <v>518600</v>
      </c>
      <c r="Z270">
        <v>1202268</v>
      </c>
      <c r="AA270">
        <v>999433</v>
      </c>
      <c r="AB270">
        <v>1.7585599999999999</v>
      </c>
      <c r="AC270">
        <v>1.9271799999999999</v>
      </c>
      <c r="AD270">
        <v>1.8312900000000001</v>
      </c>
      <c r="AE270">
        <v>19.873899999999999</v>
      </c>
      <c r="AF270">
        <v>67327008</v>
      </c>
      <c r="AJ270">
        <v>5572</v>
      </c>
      <c r="AM270">
        <v>842959132</v>
      </c>
      <c r="AN270">
        <v>0</v>
      </c>
      <c r="AO270">
        <v>8519469</v>
      </c>
      <c r="AP270">
        <v>842959132</v>
      </c>
      <c r="AQ270">
        <v>851478601</v>
      </c>
      <c r="AR270">
        <v>210739783</v>
      </c>
      <c r="AS270">
        <v>0</v>
      </c>
      <c r="AT270">
        <v>2129867</v>
      </c>
      <c r="AU270">
        <v>210739783</v>
      </c>
      <c r="AV270">
        <v>212869650</v>
      </c>
      <c r="AW270">
        <v>16.421600000000002</v>
      </c>
      <c r="AX270">
        <v>2.6295899999999999</v>
      </c>
      <c r="AY270">
        <v>2438.7600000000002</v>
      </c>
      <c r="AZ270">
        <v>1154.25</v>
      </c>
      <c r="BA270">
        <v>1181</v>
      </c>
      <c r="BB270">
        <v>329</v>
      </c>
      <c r="BC270" t="str">
        <f t="shared" si="8"/>
        <v>u=1%, k=2x10^6</v>
      </c>
      <c r="BD270">
        <f t="shared" si="9"/>
        <v>4</v>
      </c>
    </row>
    <row r="271" spans="1:56">
      <c r="A271" t="s">
        <v>569</v>
      </c>
      <c r="B271" t="s">
        <v>105</v>
      </c>
      <c r="D271" t="s">
        <v>64</v>
      </c>
      <c r="E271" t="s">
        <v>59</v>
      </c>
      <c r="F271" t="s">
        <v>60</v>
      </c>
      <c r="G271">
        <v>8000</v>
      </c>
      <c r="H271">
        <v>0.5</v>
      </c>
      <c r="I271">
        <v>0.5</v>
      </c>
      <c r="J271">
        <v>0</v>
      </c>
      <c r="K271">
        <v>1</v>
      </c>
      <c r="L271">
        <v>2000000</v>
      </c>
      <c r="M271">
        <v>190</v>
      </c>
      <c r="N271">
        <v>190</v>
      </c>
      <c r="O271">
        <v>190</v>
      </c>
      <c r="P271">
        <v>0</v>
      </c>
      <c r="Q271" t="s">
        <v>61</v>
      </c>
      <c r="R271">
        <v>998369177896</v>
      </c>
      <c r="S271">
        <v>998300</v>
      </c>
      <c r="T271">
        <v>998369177896</v>
      </c>
      <c r="U271">
        <v>998300</v>
      </c>
      <c r="V271" t="s">
        <v>71</v>
      </c>
      <c r="W271">
        <v>25</v>
      </c>
      <c r="X271">
        <v>685063</v>
      </c>
      <c r="Y271">
        <v>519675</v>
      </c>
      <c r="Z271">
        <v>1204738</v>
      </c>
      <c r="AA271">
        <v>998300</v>
      </c>
      <c r="AB271">
        <v>1.75858</v>
      </c>
      <c r="AC271">
        <v>1.9210100000000001</v>
      </c>
      <c r="AD271">
        <v>1.82864</v>
      </c>
      <c r="AE271">
        <v>19.865600000000001</v>
      </c>
      <c r="AF271">
        <v>67465328</v>
      </c>
      <c r="AJ271">
        <v>10796</v>
      </c>
      <c r="AM271">
        <v>1638290601</v>
      </c>
      <c r="AN271">
        <v>0</v>
      </c>
      <c r="AO271">
        <v>16550167</v>
      </c>
      <c r="AP271">
        <v>1638290601</v>
      </c>
      <c r="AQ271">
        <v>1654840768</v>
      </c>
      <c r="AR271">
        <v>204786325</v>
      </c>
      <c r="AS271">
        <v>0</v>
      </c>
      <c r="AT271">
        <v>2068770</v>
      </c>
      <c r="AU271">
        <v>204786325</v>
      </c>
      <c r="AV271">
        <v>206855096</v>
      </c>
      <c r="AW271">
        <v>16.539100000000001</v>
      </c>
      <c r="AX271">
        <v>2.7199300000000002</v>
      </c>
      <c r="AY271">
        <v>2496.77</v>
      </c>
      <c r="AZ271">
        <v>1182.26</v>
      </c>
      <c r="BA271">
        <v>1182</v>
      </c>
      <c r="BB271">
        <v>374</v>
      </c>
      <c r="BC271" t="str">
        <f t="shared" si="8"/>
        <v>u=1%, k=2x10^6</v>
      </c>
      <c r="BD271">
        <f t="shared" si="9"/>
        <v>8</v>
      </c>
    </row>
    <row r="272" spans="1:56">
      <c r="A272" t="s">
        <v>570</v>
      </c>
      <c r="B272" t="s">
        <v>105</v>
      </c>
      <c r="D272" t="s">
        <v>64</v>
      </c>
      <c r="E272" t="s">
        <v>59</v>
      </c>
      <c r="F272" t="s">
        <v>60</v>
      </c>
      <c r="G272">
        <v>16000</v>
      </c>
      <c r="H272">
        <v>0.5</v>
      </c>
      <c r="I272">
        <v>0.5</v>
      </c>
      <c r="J272">
        <v>0</v>
      </c>
      <c r="K272">
        <v>1</v>
      </c>
      <c r="L272">
        <v>2000000</v>
      </c>
      <c r="M272">
        <v>190</v>
      </c>
      <c r="N272">
        <v>190</v>
      </c>
      <c r="O272">
        <v>190</v>
      </c>
      <c r="P272">
        <v>0</v>
      </c>
      <c r="Q272" t="s">
        <v>61</v>
      </c>
      <c r="R272">
        <v>1000395687220</v>
      </c>
      <c r="S272">
        <v>1000214</v>
      </c>
      <c r="T272">
        <v>1000395687220</v>
      </c>
      <c r="U272">
        <v>1000214</v>
      </c>
      <c r="V272" t="s">
        <v>71</v>
      </c>
      <c r="W272">
        <v>25</v>
      </c>
      <c r="X272">
        <v>686319</v>
      </c>
      <c r="Y272">
        <v>520652</v>
      </c>
      <c r="Z272">
        <v>1206971</v>
      </c>
      <c r="AA272">
        <v>1000214</v>
      </c>
      <c r="AB272">
        <v>1.7586200000000001</v>
      </c>
      <c r="AC272">
        <v>1.9210799999999999</v>
      </c>
      <c r="AD272">
        <v>1.8287</v>
      </c>
      <c r="AE272">
        <v>19.9023</v>
      </c>
      <c r="AF272">
        <v>67590376</v>
      </c>
      <c r="AJ272" t="s">
        <v>571</v>
      </c>
      <c r="AM272">
        <v>3280703008</v>
      </c>
      <c r="AN272">
        <v>0</v>
      </c>
      <c r="AO272">
        <v>33134115</v>
      </c>
      <c r="AP272">
        <v>3280703008</v>
      </c>
      <c r="AQ272">
        <v>3313837123</v>
      </c>
      <c r="AR272">
        <v>205043938</v>
      </c>
      <c r="AS272">
        <v>0</v>
      </c>
      <c r="AT272">
        <v>2070882</v>
      </c>
      <c r="AU272">
        <v>205043938</v>
      </c>
      <c r="AV272">
        <v>207114820</v>
      </c>
      <c r="AW272">
        <v>16.7013</v>
      </c>
      <c r="AX272">
        <v>2.80185</v>
      </c>
      <c r="AY272">
        <v>2494.2399999999998</v>
      </c>
      <c r="AZ272">
        <v>1217.8499999999999</v>
      </c>
      <c r="BA272">
        <v>1184</v>
      </c>
      <c r="BB272">
        <v>388</v>
      </c>
      <c r="BC272" t="str">
        <f t="shared" si="8"/>
        <v>u=1%, k=2x10^6</v>
      </c>
      <c r="BD272">
        <f t="shared" si="9"/>
        <v>16</v>
      </c>
    </row>
    <row r="273" spans="1:56">
      <c r="A273" t="s">
        <v>572</v>
      </c>
      <c r="B273" t="s">
        <v>105</v>
      </c>
      <c r="D273" t="s">
        <v>64</v>
      </c>
      <c r="E273" t="s">
        <v>59</v>
      </c>
      <c r="F273" t="s">
        <v>60</v>
      </c>
      <c r="G273">
        <v>32000</v>
      </c>
      <c r="H273">
        <v>0.5</v>
      </c>
      <c r="I273">
        <v>0.5</v>
      </c>
      <c r="J273">
        <v>0</v>
      </c>
      <c r="K273">
        <v>1</v>
      </c>
      <c r="L273">
        <v>2000000</v>
      </c>
      <c r="M273">
        <v>190</v>
      </c>
      <c r="N273">
        <v>190</v>
      </c>
      <c r="O273">
        <v>190</v>
      </c>
      <c r="P273">
        <v>0</v>
      </c>
      <c r="Q273" t="s">
        <v>61</v>
      </c>
      <c r="R273">
        <v>1000592738069</v>
      </c>
      <c r="S273">
        <v>1000891</v>
      </c>
      <c r="T273">
        <v>1000592738069</v>
      </c>
      <c r="U273">
        <v>1000891</v>
      </c>
      <c r="V273" t="s">
        <v>71</v>
      </c>
      <c r="W273">
        <v>25</v>
      </c>
      <c r="X273">
        <v>686283</v>
      </c>
      <c r="Y273">
        <v>520828</v>
      </c>
      <c r="Z273">
        <v>1207111</v>
      </c>
      <c r="AA273">
        <v>1000891</v>
      </c>
      <c r="AB273">
        <v>1.75891</v>
      </c>
      <c r="AC273">
        <v>1.9217299999999999</v>
      </c>
      <c r="AD273">
        <v>1.8291599999999999</v>
      </c>
      <c r="AE273">
        <v>19.9145</v>
      </c>
      <c r="AF273">
        <v>67598216</v>
      </c>
      <c r="AJ273" t="s">
        <v>573</v>
      </c>
      <c r="AM273">
        <v>6492447611</v>
      </c>
      <c r="AN273">
        <v>0</v>
      </c>
      <c r="AO273">
        <v>65583604</v>
      </c>
      <c r="AP273">
        <v>6492447611</v>
      </c>
      <c r="AQ273">
        <v>6558031215</v>
      </c>
      <c r="AR273">
        <v>202888987</v>
      </c>
      <c r="AS273">
        <v>0</v>
      </c>
      <c r="AT273">
        <v>2049487</v>
      </c>
      <c r="AU273">
        <v>202888987</v>
      </c>
      <c r="AV273">
        <v>204938475</v>
      </c>
      <c r="AW273">
        <v>16.894400000000001</v>
      </c>
      <c r="AX273">
        <v>2.8679800000000002</v>
      </c>
      <c r="AY273">
        <v>2524.6</v>
      </c>
      <c r="AZ273">
        <v>1252.21</v>
      </c>
      <c r="BA273">
        <v>1188</v>
      </c>
      <c r="BB273">
        <v>373</v>
      </c>
      <c r="BC273" t="str">
        <f t="shared" si="8"/>
        <v>u=1%, k=2x10^6</v>
      </c>
      <c r="BD273">
        <f t="shared" si="9"/>
        <v>32</v>
      </c>
    </row>
    <row r="274" spans="1:56">
      <c r="A274" t="s">
        <v>574</v>
      </c>
      <c r="B274" t="s">
        <v>105</v>
      </c>
      <c r="D274" t="s">
        <v>64</v>
      </c>
      <c r="E274" t="s">
        <v>59</v>
      </c>
      <c r="F274" t="s">
        <v>60</v>
      </c>
      <c r="G274">
        <v>64000</v>
      </c>
      <c r="H274">
        <v>0.5</v>
      </c>
      <c r="I274">
        <v>0.5</v>
      </c>
      <c r="J274">
        <v>0</v>
      </c>
      <c r="K274">
        <v>1</v>
      </c>
      <c r="L274">
        <v>2000000</v>
      </c>
      <c r="M274">
        <v>190</v>
      </c>
      <c r="N274">
        <v>190</v>
      </c>
      <c r="O274">
        <v>190</v>
      </c>
      <c r="P274">
        <v>0</v>
      </c>
      <c r="Q274" t="s">
        <v>61</v>
      </c>
      <c r="R274">
        <v>999448827026</v>
      </c>
      <c r="S274">
        <v>999264</v>
      </c>
      <c r="T274">
        <v>999448827026</v>
      </c>
      <c r="U274">
        <v>999264</v>
      </c>
      <c r="V274" t="s">
        <v>71</v>
      </c>
      <c r="W274">
        <v>25</v>
      </c>
      <c r="X274">
        <v>685755</v>
      </c>
      <c r="Y274">
        <v>519922</v>
      </c>
      <c r="Z274">
        <v>1205677</v>
      </c>
      <c r="AA274">
        <v>999264</v>
      </c>
      <c r="AB274">
        <v>1.75817</v>
      </c>
      <c r="AC274">
        <v>1.92195</v>
      </c>
      <c r="AD274">
        <v>1.8288</v>
      </c>
      <c r="AE274">
        <v>19.8476</v>
      </c>
      <c r="AF274">
        <v>67517912</v>
      </c>
      <c r="AJ274">
        <v>81024</v>
      </c>
      <c r="AM274">
        <v>12802974201</v>
      </c>
      <c r="AN274">
        <v>0</v>
      </c>
      <c r="AO274">
        <v>129328142</v>
      </c>
      <c r="AP274">
        <v>12802974201</v>
      </c>
      <c r="AQ274">
        <v>12932302343</v>
      </c>
      <c r="AR274">
        <v>200046471</v>
      </c>
      <c r="AS274">
        <v>0</v>
      </c>
      <c r="AT274">
        <v>2020752</v>
      </c>
      <c r="AU274">
        <v>200046471</v>
      </c>
      <c r="AV274">
        <v>202067224</v>
      </c>
      <c r="AW274">
        <v>17.1523</v>
      </c>
      <c r="AX274">
        <v>2.95018</v>
      </c>
      <c r="AY274">
        <v>2562.64</v>
      </c>
      <c r="AZ274">
        <v>1293.42</v>
      </c>
      <c r="BA274">
        <v>1195</v>
      </c>
      <c r="BB274">
        <v>250</v>
      </c>
      <c r="BC274" t="str">
        <f t="shared" si="8"/>
        <v>u=1%, k=2x10^6</v>
      </c>
      <c r="BD274">
        <f t="shared" si="9"/>
        <v>64</v>
      </c>
    </row>
    <row r="275" spans="1:56">
      <c r="A275" t="s">
        <v>575</v>
      </c>
      <c r="B275" t="s">
        <v>305</v>
      </c>
      <c r="D275" t="s">
        <v>64</v>
      </c>
      <c r="E275" t="s">
        <v>59</v>
      </c>
      <c r="F275" t="s">
        <v>60</v>
      </c>
      <c r="G275">
        <v>1000</v>
      </c>
      <c r="H275">
        <v>0.5</v>
      </c>
      <c r="I275">
        <v>0.5</v>
      </c>
      <c r="J275">
        <v>0</v>
      </c>
      <c r="K275">
        <v>1</v>
      </c>
      <c r="L275">
        <v>2000000</v>
      </c>
      <c r="M275">
        <v>190</v>
      </c>
      <c r="N275">
        <v>190</v>
      </c>
      <c r="O275">
        <v>190</v>
      </c>
      <c r="P275">
        <v>0</v>
      </c>
      <c r="Q275" t="s">
        <v>61</v>
      </c>
      <c r="R275">
        <v>998385414034</v>
      </c>
      <c r="S275">
        <v>998979</v>
      </c>
      <c r="T275">
        <v>998385414034</v>
      </c>
      <c r="U275">
        <v>998979</v>
      </c>
      <c r="V275" t="s">
        <v>71</v>
      </c>
      <c r="W275">
        <v>49</v>
      </c>
      <c r="X275">
        <v>998978</v>
      </c>
      <c r="Y275">
        <v>998979</v>
      </c>
      <c r="Z275">
        <v>1997957</v>
      </c>
      <c r="AA275">
        <v>998979</v>
      </c>
      <c r="AB275">
        <v>2</v>
      </c>
      <c r="AC275">
        <v>1</v>
      </c>
      <c r="AD275">
        <v>1.5</v>
      </c>
      <c r="AE275">
        <v>26.0778</v>
      </c>
      <c r="AF275">
        <v>63934624</v>
      </c>
      <c r="AJ275">
        <v>1442</v>
      </c>
      <c r="AM275">
        <v>208183495</v>
      </c>
      <c r="AN275">
        <v>0</v>
      </c>
      <c r="AO275">
        <v>2101969</v>
      </c>
      <c r="AP275">
        <v>208183495</v>
      </c>
      <c r="AQ275">
        <v>210285464</v>
      </c>
      <c r="AR275">
        <v>208183495</v>
      </c>
      <c r="AS275">
        <v>0</v>
      </c>
      <c r="AT275">
        <v>2101969</v>
      </c>
      <c r="AU275">
        <v>208183495</v>
      </c>
      <c r="AV275">
        <v>210285464</v>
      </c>
      <c r="AW275">
        <v>12.1235</v>
      </c>
      <c r="AX275">
        <v>1.9493499999999999</v>
      </c>
      <c r="AY275">
        <v>2515.1</v>
      </c>
      <c r="AZ275">
        <v>1563.74</v>
      </c>
      <c r="BA275">
        <v>1167</v>
      </c>
      <c r="BB275">
        <v>217</v>
      </c>
      <c r="BC275" t="str">
        <f t="shared" si="8"/>
        <v>u=1%, k=2x10^6</v>
      </c>
      <c r="BD275">
        <f t="shared" si="9"/>
        <v>1</v>
      </c>
    </row>
    <row r="276" spans="1:56">
      <c r="A276" t="s">
        <v>576</v>
      </c>
      <c r="B276" t="s">
        <v>305</v>
      </c>
      <c r="D276" t="s">
        <v>64</v>
      </c>
      <c r="E276" t="s">
        <v>59</v>
      </c>
      <c r="F276" t="s">
        <v>60</v>
      </c>
      <c r="G276">
        <v>2000</v>
      </c>
      <c r="H276">
        <v>0.5</v>
      </c>
      <c r="I276">
        <v>0.5</v>
      </c>
      <c r="J276">
        <v>0</v>
      </c>
      <c r="K276">
        <v>1</v>
      </c>
      <c r="L276">
        <v>2000000</v>
      </c>
      <c r="M276">
        <v>190</v>
      </c>
      <c r="N276">
        <v>190</v>
      </c>
      <c r="O276">
        <v>190</v>
      </c>
      <c r="P276">
        <v>0</v>
      </c>
      <c r="Q276" t="s">
        <v>61</v>
      </c>
      <c r="R276">
        <v>999996215195</v>
      </c>
      <c r="S276">
        <v>1000320</v>
      </c>
      <c r="T276">
        <v>999996215195</v>
      </c>
      <c r="U276">
        <v>1000320</v>
      </c>
      <c r="V276" t="s">
        <v>71</v>
      </c>
      <c r="W276">
        <v>50</v>
      </c>
      <c r="X276">
        <v>1000319</v>
      </c>
      <c r="Y276">
        <v>1000320</v>
      </c>
      <c r="Z276">
        <v>2000639</v>
      </c>
      <c r="AA276">
        <v>1000320</v>
      </c>
      <c r="AB276">
        <v>2</v>
      </c>
      <c r="AC276">
        <v>1</v>
      </c>
      <c r="AD276">
        <v>1.5</v>
      </c>
      <c r="AE276">
        <v>27.165199999999999</v>
      </c>
      <c r="AF276">
        <v>64020448</v>
      </c>
      <c r="AJ276">
        <v>2764</v>
      </c>
      <c r="AM276">
        <v>411244104</v>
      </c>
      <c r="AN276">
        <v>0</v>
      </c>
      <c r="AO276">
        <v>4153903</v>
      </c>
      <c r="AP276">
        <v>411244104</v>
      </c>
      <c r="AQ276">
        <v>415398007</v>
      </c>
      <c r="AR276">
        <v>205622052</v>
      </c>
      <c r="AS276">
        <v>0</v>
      </c>
      <c r="AT276">
        <v>2076951</v>
      </c>
      <c r="AU276">
        <v>205622052</v>
      </c>
      <c r="AV276">
        <v>207699003</v>
      </c>
      <c r="AW276">
        <v>12.266500000000001</v>
      </c>
      <c r="AX276">
        <v>1.9965900000000001</v>
      </c>
      <c r="AY276">
        <v>2547.63</v>
      </c>
      <c r="AZ276">
        <v>1594.56</v>
      </c>
      <c r="BA276">
        <v>1167</v>
      </c>
      <c r="BB276">
        <v>256</v>
      </c>
      <c r="BC276" t="str">
        <f t="shared" si="8"/>
        <v>u=1%, k=2x10^6</v>
      </c>
      <c r="BD276">
        <f t="shared" si="9"/>
        <v>2</v>
      </c>
    </row>
    <row r="277" spans="1:56">
      <c r="A277" t="s">
        <v>577</v>
      </c>
      <c r="B277" t="s">
        <v>305</v>
      </c>
      <c r="D277" t="s">
        <v>64</v>
      </c>
      <c r="E277" t="s">
        <v>59</v>
      </c>
      <c r="F277" t="s">
        <v>60</v>
      </c>
      <c r="G277">
        <v>4000</v>
      </c>
      <c r="H277">
        <v>0.5</v>
      </c>
      <c r="I277">
        <v>0.5</v>
      </c>
      <c r="J277">
        <v>0</v>
      </c>
      <c r="K277">
        <v>1</v>
      </c>
      <c r="L277">
        <v>2000000</v>
      </c>
      <c r="M277">
        <v>190</v>
      </c>
      <c r="N277">
        <v>190</v>
      </c>
      <c r="O277">
        <v>190</v>
      </c>
      <c r="P277">
        <v>0</v>
      </c>
      <c r="Q277" t="s">
        <v>61</v>
      </c>
      <c r="R277">
        <v>1001029308043</v>
      </c>
      <c r="S277">
        <v>1000964</v>
      </c>
      <c r="T277">
        <v>1001029308043</v>
      </c>
      <c r="U277">
        <v>1000964</v>
      </c>
      <c r="V277" t="s">
        <v>71</v>
      </c>
      <c r="W277">
        <v>55</v>
      </c>
      <c r="X277">
        <v>1000963</v>
      </c>
      <c r="Y277">
        <v>1000964</v>
      </c>
      <c r="Z277">
        <v>2001927</v>
      </c>
      <c r="AA277">
        <v>1000964</v>
      </c>
      <c r="AB277">
        <v>2</v>
      </c>
      <c r="AC277">
        <v>1</v>
      </c>
      <c r="AD277">
        <v>1.5</v>
      </c>
      <c r="AE277">
        <v>26.735099999999999</v>
      </c>
      <c r="AF277">
        <v>64061664</v>
      </c>
      <c r="AJ277">
        <v>5246</v>
      </c>
      <c r="AM277">
        <v>817457867</v>
      </c>
      <c r="AN277">
        <v>0</v>
      </c>
      <c r="AO277">
        <v>8255251</v>
      </c>
      <c r="AP277">
        <v>817457867</v>
      </c>
      <c r="AQ277">
        <v>825713118</v>
      </c>
      <c r="AR277">
        <v>204364466</v>
      </c>
      <c r="AS277">
        <v>0</v>
      </c>
      <c r="AT277">
        <v>2063812</v>
      </c>
      <c r="AU277">
        <v>204364466</v>
      </c>
      <c r="AV277">
        <v>206428279</v>
      </c>
      <c r="AW277">
        <v>12.350199999999999</v>
      </c>
      <c r="AX277">
        <v>2.0617299999999998</v>
      </c>
      <c r="AY277">
        <v>2562.9699999999998</v>
      </c>
      <c r="AZ277">
        <v>1624.78</v>
      </c>
      <c r="BA277">
        <v>1168</v>
      </c>
      <c r="BB277">
        <v>232</v>
      </c>
      <c r="BC277" t="str">
        <f t="shared" si="8"/>
        <v>u=1%, k=2x10^6</v>
      </c>
      <c r="BD277">
        <f t="shared" si="9"/>
        <v>4</v>
      </c>
    </row>
    <row r="278" spans="1:56">
      <c r="A278" t="s">
        <v>578</v>
      </c>
      <c r="B278" t="s">
        <v>305</v>
      </c>
      <c r="D278" t="s">
        <v>64</v>
      </c>
      <c r="E278" t="s">
        <v>59</v>
      </c>
      <c r="F278" t="s">
        <v>60</v>
      </c>
      <c r="G278">
        <v>8000</v>
      </c>
      <c r="H278">
        <v>0.5</v>
      </c>
      <c r="I278">
        <v>0.5</v>
      </c>
      <c r="J278">
        <v>0</v>
      </c>
      <c r="K278">
        <v>1</v>
      </c>
      <c r="L278">
        <v>2000000</v>
      </c>
      <c r="M278">
        <v>190</v>
      </c>
      <c r="N278">
        <v>190</v>
      </c>
      <c r="O278">
        <v>190</v>
      </c>
      <c r="P278">
        <v>0</v>
      </c>
      <c r="Q278" t="s">
        <v>61</v>
      </c>
      <c r="R278">
        <v>1000483736425</v>
      </c>
      <c r="S278">
        <v>1000277</v>
      </c>
      <c r="T278">
        <v>1000483736425</v>
      </c>
      <c r="U278">
        <v>1000277</v>
      </c>
      <c r="V278" t="s">
        <v>71</v>
      </c>
      <c r="W278">
        <v>52</v>
      </c>
      <c r="X278">
        <v>1000276</v>
      </c>
      <c r="Y278">
        <v>1000277</v>
      </c>
      <c r="Z278">
        <v>2000553</v>
      </c>
      <c r="AA278">
        <v>1000277</v>
      </c>
      <c r="AB278">
        <v>2</v>
      </c>
      <c r="AC278">
        <v>1</v>
      </c>
      <c r="AD278">
        <v>1.5</v>
      </c>
      <c r="AE278">
        <v>27.160499999999999</v>
      </c>
      <c r="AF278">
        <v>64017696</v>
      </c>
      <c r="AJ278">
        <v>10196</v>
      </c>
      <c r="AM278">
        <v>1615306451</v>
      </c>
      <c r="AN278">
        <v>0</v>
      </c>
      <c r="AO278">
        <v>16313834</v>
      </c>
      <c r="AP278">
        <v>1615306451</v>
      </c>
      <c r="AQ278">
        <v>1631620285</v>
      </c>
      <c r="AR278">
        <v>201913306</v>
      </c>
      <c r="AS278">
        <v>0</v>
      </c>
      <c r="AT278">
        <v>2039229</v>
      </c>
      <c r="AU278">
        <v>201913306</v>
      </c>
      <c r="AV278">
        <v>203952535</v>
      </c>
      <c r="AW278">
        <v>12.313700000000001</v>
      </c>
      <c r="AX278">
        <v>2.11788</v>
      </c>
      <c r="AY278">
        <v>2594.15</v>
      </c>
      <c r="AZ278">
        <v>1647.48</v>
      </c>
      <c r="BA278">
        <v>1170</v>
      </c>
      <c r="BB278">
        <v>268</v>
      </c>
      <c r="BC278" t="str">
        <f t="shared" ref="BC278:BC341" si="10">"u="&amp;(H278+I278)&amp;"%, k=2x10^"&amp;LOG10(L278/2)</f>
        <v>u=1%, k=2x10^6</v>
      </c>
      <c r="BD278">
        <f t="shared" ref="BD278:BD341" si="11">G278/1000</f>
        <v>8</v>
      </c>
    </row>
    <row r="279" spans="1:56">
      <c r="A279" t="s">
        <v>579</v>
      </c>
      <c r="B279" t="s">
        <v>305</v>
      </c>
      <c r="D279" t="s">
        <v>64</v>
      </c>
      <c r="E279" t="s">
        <v>59</v>
      </c>
      <c r="F279" t="s">
        <v>60</v>
      </c>
      <c r="G279">
        <v>16000</v>
      </c>
      <c r="H279">
        <v>0.5</v>
      </c>
      <c r="I279">
        <v>0.5</v>
      </c>
      <c r="J279">
        <v>0</v>
      </c>
      <c r="K279">
        <v>1</v>
      </c>
      <c r="L279">
        <v>2000000</v>
      </c>
      <c r="M279">
        <v>190</v>
      </c>
      <c r="N279">
        <v>190</v>
      </c>
      <c r="O279">
        <v>190</v>
      </c>
      <c r="P279">
        <v>0</v>
      </c>
      <c r="Q279" t="s">
        <v>61</v>
      </c>
      <c r="R279">
        <v>999630629005</v>
      </c>
      <c r="S279">
        <v>999628</v>
      </c>
      <c r="T279">
        <v>999630629005</v>
      </c>
      <c r="U279">
        <v>999628</v>
      </c>
      <c r="V279" t="s">
        <v>71</v>
      </c>
      <c r="W279">
        <v>53</v>
      </c>
      <c r="X279">
        <v>999627</v>
      </c>
      <c r="Y279">
        <v>999628</v>
      </c>
      <c r="Z279">
        <v>1999255</v>
      </c>
      <c r="AA279">
        <v>999628</v>
      </c>
      <c r="AB279">
        <v>2</v>
      </c>
      <c r="AC279">
        <v>1</v>
      </c>
      <c r="AD279">
        <v>1.5</v>
      </c>
      <c r="AE279">
        <v>26.157800000000002</v>
      </c>
      <c r="AF279">
        <v>63976160</v>
      </c>
      <c r="AJ279">
        <v>20206</v>
      </c>
      <c r="AM279">
        <v>3219615375</v>
      </c>
      <c r="AN279">
        <v>0</v>
      </c>
      <c r="AO279">
        <v>32523206</v>
      </c>
      <c r="AP279">
        <v>3219615375</v>
      </c>
      <c r="AQ279">
        <v>3252138581</v>
      </c>
      <c r="AR279">
        <v>201225960</v>
      </c>
      <c r="AS279">
        <v>0</v>
      </c>
      <c r="AT279">
        <v>2032700</v>
      </c>
      <c r="AU279">
        <v>201225960</v>
      </c>
      <c r="AV279">
        <v>203258661</v>
      </c>
      <c r="AW279">
        <v>12.3286</v>
      </c>
      <c r="AX279">
        <v>2.1717599999999999</v>
      </c>
      <c r="AY279">
        <v>2603.29</v>
      </c>
      <c r="AZ279">
        <v>1665.41</v>
      </c>
      <c r="BA279">
        <v>1173</v>
      </c>
      <c r="BB279">
        <v>287</v>
      </c>
      <c r="BC279" t="str">
        <f t="shared" si="10"/>
        <v>u=1%, k=2x10^6</v>
      </c>
      <c r="BD279">
        <f t="shared" si="11"/>
        <v>16</v>
      </c>
    </row>
    <row r="280" spans="1:56">
      <c r="A280" t="s">
        <v>580</v>
      </c>
      <c r="B280" t="s">
        <v>305</v>
      </c>
      <c r="D280" t="s">
        <v>64</v>
      </c>
      <c r="E280" t="s">
        <v>59</v>
      </c>
      <c r="F280" t="s">
        <v>60</v>
      </c>
      <c r="G280">
        <v>32000</v>
      </c>
      <c r="H280">
        <v>0.5</v>
      </c>
      <c r="I280">
        <v>0.5</v>
      </c>
      <c r="J280">
        <v>0</v>
      </c>
      <c r="K280">
        <v>1</v>
      </c>
      <c r="L280">
        <v>2000000</v>
      </c>
      <c r="M280">
        <v>190</v>
      </c>
      <c r="N280">
        <v>190</v>
      </c>
      <c r="O280">
        <v>190</v>
      </c>
      <c r="P280">
        <v>0</v>
      </c>
      <c r="Q280" t="s">
        <v>61</v>
      </c>
      <c r="R280">
        <v>999759511957</v>
      </c>
      <c r="S280">
        <v>999451</v>
      </c>
      <c r="T280">
        <v>999759511957</v>
      </c>
      <c r="U280">
        <v>999451</v>
      </c>
      <c r="V280" t="s">
        <v>71</v>
      </c>
      <c r="W280">
        <v>48</v>
      </c>
      <c r="X280">
        <v>999450</v>
      </c>
      <c r="Y280">
        <v>999451</v>
      </c>
      <c r="Z280">
        <v>1998901</v>
      </c>
      <c r="AA280">
        <v>999451</v>
      </c>
      <c r="AB280">
        <v>2</v>
      </c>
      <c r="AC280">
        <v>1</v>
      </c>
      <c r="AD280">
        <v>1.5</v>
      </c>
      <c r="AE280">
        <v>25.808599999999998</v>
      </c>
      <c r="AF280">
        <v>63964832</v>
      </c>
      <c r="AJ280">
        <v>40256</v>
      </c>
      <c r="AM280">
        <v>6460312498</v>
      </c>
      <c r="AN280">
        <v>0</v>
      </c>
      <c r="AO280">
        <v>65252847</v>
      </c>
      <c r="AP280">
        <v>6460312498</v>
      </c>
      <c r="AQ280">
        <v>6525565345</v>
      </c>
      <c r="AR280">
        <v>201884765</v>
      </c>
      <c r="AS280">
        <v>0</v>
      </c>
      <c r="AT280">
        <v>2039151</v>
      </c>
      <c r="AU280">
        <v>201884765</v>
      </c>
      <c r="AV280">
        <v>203923917</v>
      </c>
      <c r="AW280">
        <v>12.395300000000001</v>
      </c>
      <c r="AX280">
        <v>2.2480600000000002</v>
      </c>
      <c r="AY280">
        <v>2594.46</v>
      </c>
      <c r="AZ280">
        <v>1668.76</v>
      </c>
      <c r="BA280">
        <v>1179</v>
      </c>
      <c r="BB280">
        <v>306</v>
      </c>
      <c r="BC280" t="str">
        <f t="shared" si="10"/>
        <v>u=1%, k=2x10^6</v>
      </c>
      <c r="BD280">
        <f t="shared" si="11"/>
        <v>32</v>
      </c>
    </row>
    <row r="281" spans="1:56">
      <c r="A281" t="s">
        <v>581</v>
      </c>
      <c r="B281" t="s">
        <v>305</v>
      </c>
      <c r="D281" t="s">
        <v>64</v>
      </c>
      <c r="E281" t="s">
        <v>59</v>
      </c>
      <c r="F281" t="s">
        <v>60</v>
      </c>
      <c r="G281">
        <v>64000</v>
      </c>
      <c r="H281">
        <v>0.5</v>
      </c>
      <c r="I281">
        <v>0.5</v>
      </c>
      <c r="J281">
        <v>0</v>
      </c>
      <c r="K281">
        <v>1</v>
      </c>
      <c r="L281">
        <v>2000000</v>
      </c>
      <c r="M281">
        <v>190</v>
      </c>
      <c r="N281">
        <v>190</v>
      </c>
      <c r="O281">
        <v>190</v>
      </c>
      <c r="P281">
        <v>0</v>
      </c>
      <c r="Q281" t="s">
        <v>61</v>
      </c>
      <c r="R281">
        <v>998133959401</v>
      </c>
      <c r="S281">
        <v>998485</v>
      </c>
      <c r="T281">
        <v>998133959401</v>
      </c>
      <c r="U281">
        <v>998485</v>
      </c>
      <c r="V281" t="s">
        <v>71</v>
      </c>
      <c r="W281">
        <v>48</v>
      </c>
      <c r="X281">
        <v>998484</v>
      </c>
      <c r="Y281">
        <v>998485</v>
      </c>
      <c r="Z281">
        <v>1996969</v>
      </c>
      <c r="AA281">
        <v>998485</v>
      </c>
      <c r="AB281">
        <v>2</v>
      </c>
      <c r="AC281">
        <v>1</v>
      </c>
      <c r="AD281">
        <v>1.5</v>
      </c>
      <c r="AE281">
        <v>28.135899999999999</v>
      </c>
      <c r="AF281">
        <v>63903008</v>
      </c>
      <c r="AJ281">
        <v>78072</v>
      </c>
      <c r="AM281">
        <v>12688427925</v>
      </c>
      <c r="AN281">
        <v>0</v>
      </c>
      <c r="AO281">
        <v>128175678</v>
      </c>
      <c r="AP281">
        <v>12688427925</v>
      </c>
      <c r="AQ281">
        <v>12816603603</v>
      </c>
      <c r="AR281">
        <v>198256686</v>
      </c>
      <c r="AS281">
        <v>0</v>
      </c>
      <c r="AT281">
        <v>2002744</v>
      </c>
      <c r="AU281">
        <v>198256686</v>
      </c>
      <c r="AV281">
        <v>200259431</v>
      </c>
      <c r="AW281">
        <v>12.5296</v>
      </c>
      <c r="AX281">
        <v>2.3510599999999999</v>
      </c>
      <c r="AY281">
        <v>2641.95</v>
      </c>
      <c r="AZ281">
        <v>1709.23</v>
      </c>
      <c r="BA281">
        <v>1190</v>
      </c>
      <c r="BB281">
        <v>244</v>
      </c>
      <c r="BC281" t="str">
        <f t="shared" si="10"/>
        <v>u=1%, k=2x10^6</v>
      </c>
      <c r="BD281">
        <f t="shared" si="11"/>
        <v>64</v>
      </c>
    </row>
    <row r="282" spans="1:56">
      <c r="A282" t="s">
        <v>582</v>
      </c>
      <c r="B282" t="s">
        <v>63</v>
      </c>
      <c r="C282">
        <v>72</v>
      </c>
      <c r="D282" t="s">
        <v>64</v>
      </c>
      <c r="E282" t="s">
        <v>59</v>
      </c>
      <c r="F282" t="s">
        <v>60</v>
      </c>
      <c r="G282">
        <v>1000</v>
      </c>
      <c r="H282">
        <v>0.5</v>
      </c>
      <c r="I282">
        <v>0.5</v>
      </c>
      <c r="J282">
        <v>0</v>
      </c>
      <c r="K282">
        <v>1</v>
      </c>
      <c r="L282">
        <v>20000000</v>
      </c>
      <c r="M282">
        <v>190</v>
      </c>
      <c r="N282">
        <v>190</v>
      </c>
      <c r="O282">
        <v>190</v>
      </c>
      <c r="P282">
        <v>0</v>
      </c>
      <c r="Q282" t="s">
        <v>61</v>
      </c>
      <c r="R282">
        <v>100019044667553</v>
      </c>
      <c r="S282">
        <v>10000383</v>
      </c>
      <c r="T282">
        <v>100019044667553</v>
      </c>
      <c r="U282">
        <v>10000383</v>
      </c>
      <c r="V282" t="s">
        <v>71</v>
      </c>
      <c r="W282">
        <v>7</v>
      </c>
      <c r="X282">
        <v>1903472</v>
      </c>
      <c r="Y282">
        <v>12025731</v>
      </c>
      <c r="Z282">
        <v>13929203</v>
      </c>
      <c r="AA282">
        <v>10000383</v>
      </c>
      <c r="AB282">
        <v>7.3177899999999996</v>
      </c>
      <c r="AC282">
        <v>0.83158200000000004</v>
      </c>
      <c r="AD282">
        <v>1.71794</v>
      </c>
      <c r="AE282">
        <v>4.0555599999999998</v>
      </c>
      <c r="AF282">
        <v>344720672</v>
      </c>
      <c r="AG282" t="s">
        <v>583</v>
      </c>
      <c r="AH282" t="s">
        <v>583</v>
      </c>
      <c r="AI282">
        <v>13</v>
      </c>
      <c r="AJ282">
        <v>1690</v>
      </c>
      <c r="AM282">
        <v>267722441</v>
      </c>
      <c r="AN282">
        <v>0</v>
      </c>
      <c r="AO282">
        <v>2704626</v>
      </c>
      <c r="AP282">
        <v>267722441</v>
      </c>
      <c r="AQ282">
        <v>270427067</v>
      </c>
      <c r="AR282">
        <v>267722441</v>
      </c>
      <c r="AS282">
        <v>0</v>
      </c>
      <c r="AT282">
        <v>2704626</v>
      </c>
      <c r="AU282">
        <v>267722441</v>
      </c>
      <c r="AV282">
        <v>270427067</v>
      </c>
      <c r="AW282">
        <v>15.935600000000001</v>
      </c>
      <c r="AX282">
        <v>6.4779900000000001</v>
      </c>
      <c r="AY282">
        <v>1952.64</v>
      </c>
      <c r="AZ282">
        <v>1194.33</v>
      </c>
      <c r="BA282">
        <v>1915</v>
      </c>
      <c r="BB282">
        <v>329</v>
      </c>
      <c r="BC282" t="str">
        <f t="shared" si="10"/>
        <v>u=1%, k=2x10^7</v>
      </c>
      <c r="BD282">
        <f t="shared" si="11"/>
        <v>1</v>
      </c>
    </row>
    <row r="283" spans="1:56">
      <c r="A283" t="s">
        <v>584</v>
      </c>
      <c r="B283" t="s">
        <v>63</v>
      </c>
      <c r="C283">
        <v>72</v>
      </c>
      <c r="D283" t="s">
        <v>64</v>
      </c>
      <c r="E283" t="s">
        <v>59</v>
      </c>
      <c r="F283" t="s">
        <v>60</v>
      </c>
      <c r="G283">
        <v>2000</v>
      </c>
      <c r="H283">
        <v>0.5</v>
      </c>
      <c r="I283">
        <v>0.5</v>
      </c>
      <c r="J283">
        <v>0</v>
      </c>
      <c r="K283">
        <v>1</v>
      </c>
      <c r="L283">
        <v>20000000</v>
      </c>
      <c r="M283">
        <v>190</v>
      </c>
      <c r="N283">
        <v>190</v>
      </c>
      <c r="O283">
        <v>190</v>
      </c>
      <c r="P283">
        <v>0</v>
      </c>
      <c r="Q283" t="s">
        <v>61</v>
      </c>
      <c r="R283">
        <v>99997391674390</v>
      </c>
      <c r="S283">
        <v>10000557</v>
      </c>
      <c r="T283">
        <v>99997391674390</v>
      </c>
      <c r="U283">
        <v>10000557</v>
      </c>
      <c r="V283" t="s">
        <v>71</v>
      </c>
      <c r="W283">
        <v>7</v>
      </c>
      <c r="X283">
        <v>1629890</v>
      </c>
      <c r="Y283">
        <v>11451212</v>
      </c>
      <c r="Z283">
        <v>13081102</v>
      </c>
      <c r="AA283">
        <v>10000557</v>
      </c>
      <c r="AB283">
        <v>8.02576</v>
      </c>
      <c r="AC283">
        <v>0.87331899999999996</v>
      </c>
      <c r="AD283">
        <v>1.7645</v>
      </c>
      <c r="AE283">
        <v>4.00082</v>
      </c>
      <c r="AF283">
        <v>313610576</v>
      </c>
      <c r="AG283" t="s">
        <v>585</v>
      </c>
      <c r="AH283" t="s">
        <v>586</v>
      </c>
      <c r="AI283">
        <v>1936</v>
      </c>
      <c r="AJ283">
        <v>3068</v>
      </c>
      <c r="AM283">
        <v>497112851</v>
      </c>
      <c r="AN283">
        <v>0</v>
      </c>
      <c r="AO283">
        <v>5016562</v>
      </c>
      <c r="AP283">
        <v>497112851</v>
      </c>
      <c r="AQ283">
        <v>502129413</v>
      </c>
      <c r="AR283">
        <v>248556425</v>
      </c>
      <c r="AS283">
        <v>0</v>
      </c>
      <c r="AT283">
        <v>2508281</v>
      </c>
      <c r="AU283">
        <v>248556425</v>
      </c>
      <c r="AV283">
        <v>251064706</v>
      </c>
      <c r="AW283">
        <v>16.132100000000001</v>
      </c>
      <c r="AX283">
        <v>6.5976800000000004</v>
      </c>
      <c r="AY283">
        <v>2047.47</v>
      </c>
      <c r="AZ283">
        <v>1289.5999999999999</v>
      </c>
      <c r="BA283">
        <v>2598</v>
      </c>
      <c r="BB283">
        <v>348</v>
      </c>
      <c r="BC283" t="str">
        <f t="shared" si="10"/>
        <v>u=1%, k=2x10^7</v>
      </c>
      <c r="BD283">
        <f t="shared" si="11"/>
        <v>2</v>
      </c>
    </row>
    <row r="284" spans="1:56">
      <c r="A284" t="s">
        <v>587</v>
      </c>
      <c r="B284" t="s">
        <v>63</v>
      </c>
      <c r="C284">
        <v>72</v>
      </c>
      <c r="D284" t="s">
        <v>64</v>
      </c>
      <c r="E284" t="s">
        <v>59</v>
      </c>
      <c r="F284" t="s">
        <v>60</v>
      </c>
      <c r="G284">
        <v>4000</v>
      </c>
      <c r="H284">
        <v>0.5</v>
      </c>
      <c r="I284">
        <v>0.5</v>
      </c>
      <c r="J284">
        <v>0</v>
      </c>
      <c r="K284">
        <v>1</v>
      </c>
      <c r="L284">
        <v>20000000</v>
      </c>
      <c r="M284">
        <v>190</v>
      </c>
      <c r="N284">
        <v>190</v>
      </c>
      <c r="O284">
        <v>190</v>
      </c>
      <c r="P284">
        <v>0</v>
      </c>
      <c r="Q284" t="s">
        <v>61</v>
      </c>
      <c r="R284">
        <v>100013178727974</v>
      </c>
      <c r="S284">
        <v>9999884</v>
      </c>
      <c r="T284">
        <v>100013178727974</v>
      </c>
      <c r="U284">
        <v>9999884</v>
      </c>
      <c r="V284" t="s">
        <v>71</v>
      </c>
      <c r="W284">
        <v>7</v>
      </c>
      <c r="X284">
        <v>1642918</v>
      </c>
      <c r="Y284">
        <v>11476748</v>
      </c>
      <c r="Z284">
        <v>13119666</v>
      </c>
      <c r="AA284">
        <v>9999884</v>
      </c>
      <c r="AB284">
        <v>7.9855900000000002</v>
      </c>
      <c r="AC284">
        <v>0.87131700000000001</v>
      </c>
      <c r="AD284">
        <v>1.7622100000000001</v>
      </c>
      <c r="AE284">
        <v>4.0034299999999998</v>
      </c>
      <c r="AF284">
        <v>315061392</v>
      </c>
      <c r="AG284" t="s">
        <v>588</v>
      </c>
      <c r="AH284" t="s">
        <v>589</v>
      </c>
      <c r="AI284">
        <v>4793</v>
      </c>
      <c r="AJ284">
        <v>6258</v>
      </c>
      <c r="AM284">
        <v>995696203</v>
      </c>
      <c r="AN284">
        <v>0</v>
      </c>
      <c r="AO284">
        <v>10064261</v>
      </c>
      <c r="AP284">
        <v>995696203</v>
      </c>
      <c r="AQ284">
        <v>1005760464</v>
      </c>
      <c r="AR284">
        <v>248924050</v>
      </c>
      <c r="AS284">
        <v>0</v>
      </c>
      <c r="AT284">
        <v>2516065</v>
      </c>
      <c r="AU284">
        <v>248924050</v>
      </c>
      <c r="AV284">
        <v>251440116</v>
      </c>
      <c r="AW284">
        <v>16.2224</v>
      </c>
      <c r="AX284">
        <v>6.6109600000000004</v>
      </c>
      <c r="AY284">
        <v>2051.81</v>
      </c>
      <c r="AZ284">
        <v>1272.1400000000001</v>
      </c>
      <c r="BA284">
        <v>2731</v>
      </c>
      <c r="BB284">
        <v>401</v>
      </c>
      <c r="BC284" t="str">
        <f t="shared" si="10"/>
        <v>u=1%, k=2x10^7</v>
      </c>
      <c r="BD284">
        <f t="shared" si="11"/>
        <v>4</v>
      </c>
    </row>
    <row r="285" spans="1:56">
      <c r="A285" t="s">
        <v>590</v>
      </c>
      <c r="B285" t="s">
        <v>63</v>
      </c>
      <c r="C285">
        <v>72</v>
      </c>
      <c r="D285" t="s">
        <v>64</v>
      </c>
      <c r="E285" t="s">
        <v>59</v>
      </c>
      <c r="F285" t="s">
        <v>60</v>
      </c>
      <c r="G285">
        <v>8000</v>
      </c>
      <c r="H285">
        <v>0.5</v>
      </c>
      <c r="I285">
        <v>0.5</v>
      </c>
      <c r="J285">
        <v>0</v>
      </c>
      <c r="K285">
        <v>1</v>
      </c>
      <c r="L285">
        <v>20000000</v>
      </c>
      <c r="M285">
        <v>190</v>
      </c>
      <c r="N285">
        <v>190</v>
      </c>
      <c r="O285">
        <v>190</v>
      </c>
      <c r="P285">
        <v>0</v>
      </c>
      <c r="Q285" t="s">
        <v>61</v>
      </c>
      <c r="R285">
        <v>99994367274827</v>
      </c>
      <c r="S285">
        <v>9998459</v>
      </c>
      <c r="T285">
        <v>99994367274827</v>
      </c>
      <c r="U285">
        <v>9998459</v>
      </c>
      <c r="V285" t="s">
        <v>71</v>
      </c>
      <c r="W285">
        <v>7</v>
      </c>
      <c r="X285">
        <v>1656833</v>
      </c>
      <c r="Y285">
        <v>11503277</v>
      </c>
      <c r="Z285">
        <v>13160110</v>
      </c>
      <c r="AA285">
        <v>9998459</v>
      </c>
      <c r="AB285">
        <v>7.9429299999999996</v>
      </c>
      <c r="AC285">
        <v>0.86918399999999996</v>
      </c>
      <c r="AD285">
        <v>1.7597499999999999</v>
      </c>
      <c r="AE285">
        <v>4.00631</v>
      </c>
      <c r="AF285">
        <v>316599072</v>
      </c>
      <c r="AG285" t="s">
        <v>591</v>
      </c>
      <c r="AH285" t="s">
        <v>592</v>
      </c>
      <c r="AI285">
        <v>9473</v>
      </c>
      <c r="AJ285">
        <v>12414</v>
      </c>
      <c r="AM285">
        <v>1993688403</v>
      </c>
      <c r="AN285">
        <v>0</v>
      </c>
      <c r="AO285">
        <v>20131181</v>
      </c>
      <c r="AP285">
        <v>1993688403</v>
      </c>
      <c r="AQ285">
        <v>2013819584</v>
      </c>
      <c r="AR285">
        <v>249211050</v>
      </c>
      <c r="AS285">
        <v>0</v>
      </c>
      <c r="AT285">
        <v>2516397</v>
      </c>
      <c r="AU285">
        <v>249211050</v>
      </c>
      <c r="AV285">
        <v>251727448</v>
      </c>
      <c r="AW285">
        <v>16.3188</v>
      </c>
      <c r="AX285">
        <v>6.6339199999999998</v>
      </c>
      <c r="AY285">
        <v>2066.96</v>
      </c>
      <c r="AZ285">
        <v>1299.8800000000001</v>
      </c>
      <c r="BA285">
        <v>2782</v>
      </c>
      <c r="BB285">
        <v>459</v>
      </c>
      <c r="BC285" t="str">
        <f t="shared" si="10"/>
        <v>u=1%, k=2x10^7</v>
      </c>
      <c r="BD285">
        <f t="shared" si="11"/>
        <v>8</v>
      </c>
    </row>
    <row r="286" spans="1:56">
      <c r="A286" t="s">
        <v>593</v>
      </c>
      <c r="B286" t="s">
        <v>63</v>
      </c>
      <c r="C286">
        <v>72</v>
      </c>
      <c r="D286" t="s">
        <v>64</v>
      </c>
      <c r="E286" t="s">
        <v>59</v>
      </c>
      <c r="F286" t="s">
        <v>60</v>
      </c>
      <c r="G286">
        <v>16000</v>
      </c>
      <c r="H286">
        <v>0.5</v>
      </c>
      <c r="I286">
        <v>0.5</v>
      </c>
      <c r="J286">
        <v>0</v>
      </c>
      <c r="K286">
        <v>1</v>
      </c>
      <c r="L286">
        <v>20000000</v>
      </c>
      <c r="M286">
        <v>190</v>
      </c>
      <c r="N286">
        <v>190</v>
      </c>
      <c r="O286">
        <v>190</v>
      </c>
      <c r="P286">
        <v>0</v>
      </c>
      <c r="Q286" t="s">
        <v>61</v>
      </c>
      <c r="R286">
        <v>99986348560477</v>
      </c>
      <c r="S286">
        <v>9998028</v>
      </c>
      <c r="T286">
        <v>99986348560477</v>
      </c>
      <c r="U286">
        <v>9998028</v>
      </c>
      <c r="V286" t="s">
        <v>71</v>
      </c>
      <c r="W286">
        <v>7</v>
      </c>
      <c r="X286">
        <v>1640080</v>
      </c>
      <c r="Y286">
        <v>11469648</v>
      </c>
      <c r="Z286">
        <v>13109728</v>
      </c>
      <c r="AA286">
        <v>9998028</v>
      </c>
      <c r="AB286">
        <v>7.9933500000000004</v>
      </c>
      <c r="AC286">
        <v>0.87169399999999997</v>
      </c>
      <c r="AD286">
        <v>1.76264</v>
      </c>
      <c r="AE286">
        <v>4.0029599999999999</v>
      </c>
      <c r="AF286">
        <v>314720752</v>
      </c>
      <c r="AG286" t="s">
        <v>594</v>
      </c>
      <c r="AH286" t="s">
        <v>595</v>
      </c>
      <c r="AI286">
        <v>20608</v>
      </c>
      <c r="AJ286">
        <v>24748</v>
      </c>
      <c r="AM286">
        <v>3965725047</v>
      </c>
      <c r="AN286">
        <v>0</v>
      </c>
      <c r="AO286">
        <v>40054583</v>
      </c>
      <c r="AP286">
        <v>3965725047</v>
      </c>
      <c r="AQ286">
        <v>4005779630</v>
      </c>
      <c r="AR286">
        <v>247857815</v>
      </c>
      <c r="AS286">
        <v>0</v>
      </c>
      <c r="AT286">
        <v>2503411</v>
      </c>
      <c r="AU286">
        <v>247857815</v>
      </c>
      <c r="AV286">
        <v>250361226</v>
      </c>
      <c r="AW286">
        <v>16.292000000000002</v>
      </c>
      <c r="AX286">
        <v>6.65367</v>
      </c>
      <c r="AY286">
        <v>2081.85</v>
      </c>
      <c r="AZ286">
        <v>1298.48</v>
      </c>
      <c r="BA286">
        <v>2769</v>
      </c>
      <c r="BB286">
        <v>390</v>
      </c>
      <c r="BC286" t="str">
        <f t="shared" si="10"/>
        <v>u=1%, k=2x10^7</v>
      </c>
      <c r="BD286">
        <f t="shared" si="11"/>
        <v>16</v>
      </c>
    </row>
    <row r="287" spans="1:56">
      <c r="A287" t="s">
        <v>596</v>
      </c>
      <c r="B287" t="s">
        <v>63</v>
      </c>
      <c r="C287">
        <v>72</v>
      </c>
      <c r="D287" t="s">
        <v>64</v>
      </c>
      <c r="E287" t="s">
        <v>59</v>
      </c>
      <c r="F287" t="s">
        <v>60</v>
      </c>
      <c r="G287">
        <v>32000</v>
      </c>
      <c r="H287">
        <v>0.5</v>
      </c>
      <c r="I287">
        <v>0.5</v>
      </c>
      <c r="J287">
        <v>0</v>
      </c>
      <c r="K287">
        <v>1</v>
      </c>
      <c r="L287">
        <v>20000000</v>
      </c>
      <c r="M287">
        <v>190</v>
      </c>
      <c r="N287">
        <v>190</v>
      </c>
      <c r="O287">
        <v>190</v>
      </c>
      <c r="P287">
        <v>0</v>
      </c>
      <c r="Q287" t="s">
        <v>61</v>
      </c>
      <c r="R287">
        <v>99981027907547</v>
      </c>
      <c r="S287">
        <v>9999725</v>
      </c>
      <c r="T287">
        <v>99981027907547</v>
      </c>
      <c r="U287">
        <v>9999725</v>
      </c>
      <c r="V287" t="s">
        <v>71</v>
      </c>
      <c r="W287">
        <v>7</v>
      </c>
      <c r="X287">
        <v>1772524</v>
      </c>
      <c r="Y287">
        <v>11746940</v>
      </c>
      <c r="Z287">
        <v>13519464</v>
      </c>
      <c r="AA287">
        <v>9999725</v>
      </c>
      <c r="AB287">
        <v>7.6272399999999996</v>
      </c>
      <c r="AC287">
        <v>0.85126199999999996</v>
      </c>
      <c r="AD287">
        <v>1.7396499999999999</v>
      </c>
      <c r="AE287">
        <v>4.0300900000000004</v>
      </c>
      <c r="AF287">
        <v>329755648</v>
      </c>
      <c r="AG287" t="s">
        <v>597</v>
      </c>
      <c r="AH287" t="s">
        <v>598</v>
      </c>
      <c r="AI287">
        <v>36608</v>
      </c>
      <c r="AJ287">
        <v>48874</v>
      </c>
      <c r="AM287">
        <v>7865442346</v>
      </c>
      <c r="AN287">
        <v>0</v>
      </c>
      <c r="AO287">
        <v>79450934</v>
      </c>
      <c r="AP287">
        <v>7865442346</v>
      </c>
      <c r="AQ287">
        <v>7944893280</v>
      </c>
      <c r="AR287">
        <v>245795073</v>
      </c>
      <c r="AS287">
        <v>0</v>
      </c>
      <c r="AT287">
        <v>2482841</v>
      </c>
      <c r="AU287">
        <v>245795073</v>
      </c>
      <c r="AV287">
        <v>248277915</v>
      </c>
      <c r="AW287">
        <v>16.324999999999999</v>
      </c>
      <c r="AX287">
        <v>6.6571199999999999</v>
      </c>
      <c r="AY287">
        <v>2102.6999999999998</v>
      </c>
      <c r="AZ287">
        <v>1330.15</v>
      </c>
      <c r="BA287">
        <v>2728</v>
      </c>
      <c r="BB287">
        <v>433</v>
      </c>
      <c r="BC287" t="str">
        <f t="shared" si="10"/>
        <v>u=1%, k=2x10^7</v>
      </c>
      <c r="BD287">
        <f t="shared" si="11"/>
        <v>32</v>
      </c>
    </row>
    <row r="288" spans="1:56">
      <c r="A288" t="s">
        <v>599</v>
      </c>
      <c r="B288" t="s">
        <v>63</v>
      </c>
      <c r="C288">
        <v>72</v>
      </c>
      <c r="D288" t="s">
        <v>64</v>
      </c>
      <c r="E288" t="s">
        <v>59</v>
      </c>
      <c r="F288" t="s">
        <v>60</v>
      </c>
      <c r="G288">
        <v>64000</v>
      </c>
      <c r="H288">
        <v>0.5</v>
      </c>
      <c r="I288">
        <v>0.5</v>
      </c>
      <c r="J288">
        <v>0</v>
      </c>
      <c r="K288">
        <v>1</v>
      </c>
      <c r="L288">
        <v>20000000</v>
      </c>
      <c r="M288">
        <v>190</v>
      </c>
      <c r="N288">
        <v>190</v>
      </c>
      <c r="O288">
        <v>190</v>
      </c>
      <c r="P288">
        <v>0</v>
      </c>
      <c r="Q288" t="s">
        <v>61</v>
      </c>
      <c r="R288">
        <v>100030758640910</v>
      </c>
      <c r="S288">
        <v>10001746</v>
      </c>
      <c r="T288">
        <v>100030758640910</v>
      </c>
      <c r="U288">
        <v>10001746</v>
      </c>
      <c r="V288" t="s">
        <v>71</v>
      </c>
      <c r="W288">
        <v>7</v>
      </c>
      <c r="X288">
        <v>1662648</v>
      </c>
      <c r="Y288">
        <v>11517940</v>
      </c>
      <c r="Z288">
        <v>13180588</v>
      </c>
      <c r="AA288">
        <v>10001746</v>
      </c>
      <c r="AB288">
        <v>7.9274699999999996</v>
      </c>
      <c r="AC288">
        <v>0.86836199999999997</v>
      </c>
      <c r="AD288">
        <v>1.7588200000000001</v>
      </c>
      <c r="AE288">
        <v>4.0073699999999999</v>
      </c>
      <c r="AF288">
        <v>317298896</v>
      </c>
      <c r="AG288" t="s">
        <v>600</v>
      </c>
      <c r="AH288" t="s">
        <v>601</v>
      </c>
      <c r="AI288">
        <v>76705</v>
      </c>
      <c r="AJ288">
        <v>99230</v>
      </c>
      <c r="AM288">
        <v>15855674006</v>
      </c>
      <c r="AN288">
        <v>0</v>
      </c>
      <c r="AO288">
        <v>160164356</v>
      </c>
      <c r="AP288">
        <v>15855674006</v>
      </c>
      <c r="AQ288">
        <v>16015838362</v>
      </c>
      <c r="AR288">
        <v>247744906</v>
      </c>
      <c r="AS288">
        <v>0</v>
      </c>
      <c r="AT288">
        <v>2502568</v>
      </c>
      <c r="AU288">
        <v>247744906</v>
      </c>
      <c r="AV288">
        <v>250247474</v>
      </c>
      <c r="AW288">
        <v>16.4221</v>
      </c>
      <c r="AX288">
        <v>6.6636699999999998</v>
      </c>
      <c r="AY288">
        <v>2086.86</v>
      </c>
      <c r="AZ288">
        <v>1316.36</v>
      </c>
      <c r="BA288">
        <v>2772</v>
      </c>
      <c r="BB288">
        <v>446</v>
      </c>
      <c r="BC288" t="str">
        <f t="shared" si="10"/>
        <v>u=1%, k=2x10^7</v>
      </c>
      <c r="BD288">
        <f t="shared" si="11"/>
        <v>64</v>
      </c>
    </row>
    <row r="289" spans="1:56">
      <c r="A289" t="s">
        <v>602</v>
      </c>
      <c r="B289" t="s">
        <v>300</v>
      </c>
      <c r="C289">
        <v>208</v>
      </c>
      <c r="D289" t="s">
        <v>64</v>
      </c>
      <c r="E289" t="s">
        <v>59</v>
      </c>
      <c r="F289" t="s">
        <v>60</v>
      </c>
      <c r="G289">
        <v>1000</v>
      </c>
      <c r="H289">
        <v>0.5</v>
      </c>
      <c r="I289">
        <v>0.5</v>
      </c>
      <c r="J289">
        <v>0</v>
      </c>
      <c r="K289">
        <v>1</v>
      </c>
      <c r="L289">
        <v>20000000</v>
      </c>
      <c r="M289">
        <v>190</v>
      </c>
      <c r="N289">
        <v>190</v>
      </c>
      <c r="O289">
        <v>190</v>
      </c>
      <c r="P289">
        <v>0</v>
      </c>
      <c r="Q289" t="s">
        <v>61</v>
      </c>
      <c r="R289">
        <v>100000942516162</v>
      </c>
      <c r="S289">
        <v>9999925</v>
      </c>
      <c r="T289">
        <v>100000942516162</v>
      </c>
      <c r="U289">
        <v>9999925</v>
      </c>
      <c r="V289" t="s">
        <v>71</v>
      </c>
      <c r="W289">
        <v>9</v>
      </c>
      <c r="X289">
        <v>194088</v>
      </c>
      <c r="Y289">
        <v>1334400</v>
      </c>
      <c r="Z289">
        <v>1528488</v>
      </c>
      <c r="AA289">
        <v>9999925</v>
      </c>
      <c r="AB289">
        <v>7.8752300000000002</v>
      </c>
      <c r="AC289">
        <v>7.4939499999999999</v>
      </c>
      <c r="AD289">
        <v>7.5423600000000004</v>
      </c>
      <c r="AE289">
        <v>8</v>
      </c>
      <c r="AF289">
        <v>317925504</v>
      </c>
      <c r="AJ289">
        <v>2106</v>
      </c>
      <c r="AM289">
        <v>237369253</v>
      </c>
      <c r="AN289">
        <v>0</v>
      </c>
      <c r="AO289">
        <v>2398772</v>
      </c>
      <c r="AP289">
        <v>237369253</v>
      </c>
      <c r="AQ289">
        <v>239768025</v>
      </c>
      <c r="AR289">
        <v>237369253</v>
      </c>
      <c r="AS289">
        <v>0</v>
      </c>
      <c r="AT289">
        <v>2398772</v>
      </c>
      <c r="AU289">
        <v>237369253</v>
      </c>
      <c r="AV289">
        <v>239768025</v>
      </c>
      <c r="AW289">
        <v>16.7681</v>
      </c>
      <c r="AX289">
        <v>5.5817500000000004</v>
      </c>
      <c r="AY289">
        <v>2177.04</v>
      </c>
      <c r="AZ289">
        <v>1257.28</v>
      </c>
      <c r="BA289">
        <v>1615</v>
      </c>
      <c r="BB289">
        <v>905</v>
      </c>
      <c r="BC289" t="str">
        <f t="shared" si="10"/>
        <v>u=1%, k=2x10^7</v>
      </c>
      <c r="BD289">
        <f t="shared" si="11"/>
        <v>1</v>
      </c>
    </row>
    <row r="290" spans="1:56">
      <c r="A290" t="s">
        <v>603</v>
      </c>
      <c r="B290" t="s">
        <v>300</v>
      </c>
      <c r="C290">
        <v>208</v>
      </c>
      <c r="D290" t="s">
        <v>64</v>
      </c>
      <c r="E290" t="s">
        <v>59</v>
      </c>
      <c r="F290" t="s">
        <v>60</v>
      </c>
      <c r="G290">
        <v>2000</v>
      </c>
      <c r="H290">
        <v>0.5</v>
      </c>
      <c r="I290">
        <v>0.5</v>
      </c>
      <c r="J290">
        <v>0</v>
      </c>
      <c r="K290">
        <v>1</v>
      </c>
      <c r="L290">
        <v>20000000</v>
      </c>
      <c r="M290">
        <v>190</v>
      </c>
      <c r="N290">
        <v>190</v>
      </c>
      <c r="O290">
        <v>190</v>
      </c>
      <c r="P290">
        <v>0</v>
      </c>
      <c r="Q290" t="s">
        <v>61</v>
      </c>
      <c r="R290">
        <v>100011943376630</v>
      </c>
      <c r="S290">
        <v>10000397</v>
      </c>
      <c r="T290">
        <v>100011943376630</v>
      </c>
      <c r="U290">
        <v>10000397</v>
      </c>
      <c r="V290" t="s">
        <v>71</v>
      </c>
      <c r="W290">
        <v>9</v>
      </c>
      <c r="X290">
        <v>199766</v>
      </c>
      <c r="Y290">
        <v>1374535</v>
      </c>
      <c r="Z290">
        <v>1574301</v>
      </c>
      <c r="AA290">
        <v>10000397</v>
      </c>
      <c r="AB290">
        <v>7.8807299999999998</v>
      </c>
      <c r="AC290">
        <v>7.2754799999999999</v>
      </c>
      <c r="AD290">
        <v>7.3522800000000004</v>
      </c>
      <c r="AE290">
        <v>8</v>
      </c>
      <c r="AF290">
        <v>327454608</v>
      </c>
      <c r="AJ290" t="s">
        <v>604</v>
      </c>
      <c r="AM290">
        <v>476370022</v>
      </c>
      <c r="AN290">
        <v>0</v>
      </c>
      <c r="AO290">
        <v>4812182</v>
      </c>
      <c r="AP290">
        <v>476370022</v>
      </c>
      <c r="AQ290">
        <v>481182204</v>
      </c>
      <c r="AR290">
        <v>238185011</v>
      </c>
      <c r="AS290">
        <v>0</v>
      </c>
      <c r="AT290">
        <v>2406091</v>
      </c>
      <c r="AU290">
        <v>238185011</v>
      </c>
      <c r="AV290">
        <v>240591102</v>
      </c>
      <c r="AW290">
        <v>16.845700000000001</v>
      </c>
      <c r="AX290">
        <v>5.6114499999999996</v>
      </c>
      <c r="AY290">
        <v>2177.3000000000002</v>
      </c>
      <c r="AZ290">
        <v>1267.5899999999999</v>
      </c>
      <c r="BA290">
        <v>1632</v>
      </c>
      <c r="BB290">
        <v>934</v>
      </c>
      <c r="BC290" t="str">
        <f t="shared" si="10"/>
        <v>u=1%, k=2x10^7</v>
      </c>
      <c r="BD290">
        <f t="shared" si="11"/>
        <v>2</v>
      </c>
    </row>
    <row r="291" spans="1:56">
      <c r="A291" t="s">
        <v>605</v>
      </c>
      <c r="B291" t="s">
        <v>300</v>
      </c>
      <c r="C291">
        <v>208</v>
      </c>
      <c r="D291" t="s">
        <v>64</v>
      </c>
      <c r="E291" t="s">
        <v>59</v>
      </c>
      <c r="F291" t="s">
        <v>60</v>
      </c>
      <c r="G291">
        <v>4000</v>
      </c>
      <c r="H291">
        <v>0.5</v>
      </c>
      <c r="I291">
        <v>0.5</v>
      </c>
      <c r="J291">
        <v>0</v>
      </c>
      <c r="K291">
        <v>1</v>
      </c>
      <c r="L291">
        <v>20000000</v>
      </c>
      <c r="M291">
        <v>190</v>
      </c>
      <c r="N291">
        <v>190</v>
      </c>
      <c r="O291">
        <v>190</v>
      </c>
      <c r="P291">
        <v>0</v>
      </c>
      <c r="Q291" t="s">
        <v>61</v>
      </c>
      <c r="R291">
        <v>99958903757245</v>
      </c>
      <c r="S291">
        <v>9997462</v>
      </c>
      <c r="T291">
        <v>99958903757245</v>
      </c>
      <c r="U291">
        <v>9997462</v>
      </c>
      <c r="V291" t="s">
        <v>71</v>
      </c>
      <c r="W291">
        <v>9</v>
      </c>
      <c r="X291">
        <v>208026</v>
      </c>
      <c r="Y291">
        <v>1431668</v>
      </c>
      <c r="Z291">
        <v>1639694</v>
      </c>
      <c r="AA291">
        <v>9997462</v>
      </c>
      <c r="AB291">
        <v>7.8821599999999998</v>
      </c>
      <c r="AC291">
        <v>6.9830899999999998</v>
      </c>
      <c r="AD291">
        <v>7.0971500000000001</v>
      </c>
      <c r="AE291">
        <v>8</v>
      </c>
      <c r="AF291">
        <v>341056352</v>
      </c>
      <c r="AJ291" t="s">
        <v>606</v>
      </c>
      <c r="AM291">
        <v>935376392</v>
      </c>
      <c r="AN291">
        <v>0</v>
      </c>
      <c r="AO291">
        <v>9453645</v>
      </c>
      <c r="AP291">
        <v>935376392</v>
      </c>
      <c r="AQ291">
        <v>944830037</v>
      </c>
      <c r="AR291">
        <v>233844098</v>
      </c>
      <c r="AS291">
        <v>0</v>
      </c>
      <c r="AT291">
        <v>2363411</v>
      </c>
      <c r="AU291">
        <v>233844098</v>
      </c>
      <c r="AV291">
        <v>236207509</v>
      </c>
      <c r="AW291">
        <v>16.957699999999999</v>
      </c>
      <c r="AX291">
        <v>5.65402</v>
      </c>
      <c r="AY291">
        <v>2223.6999999999998</v>
      </c>
      <c r="AZ291">
        <v>1305.43</v>
      </c>
      <c r="BA291">
        <v>1637</v>
      </c>
      <c r="BB291">
        <v>890</v>
      </c>
      <c r="BC291" t="str">
        <f t="shared" si="10"/>
        <v>u=1%, k=2x10^7</v>
      </c>
      <c r="BD291">
        <f t="shared" si="11"/>
        <v>4</v>
      </c>
    </row>
    <row r="292" spans="1:56">
      <c r="A292" t="s">
        <v>607</v>
      </c>
      <c r="B292" t="s">
        <v>300</v>
      </c>
      <c r="C292">
        <v>208</v>
      </c>
      <c r="D292" t="s">
        <v>64</v>
      </c>
      <c r="E292" t="s">
        <v>59</v>
      </c>
      <c r="F292" t="s">
        <v>60</v>
      </c>
      <c r="G292">
        <v>8000</v>
      </c>
      <c r="H292">
        <v>0.5</v>
      </c>
      <c r="I292">
        <v>0.5</v>
      </c>
      <c r="J292">
        <v>0</v>
      </c>
      <c r="K292">
        <v>1</v>
      </c>
      <c r="L292">
        <v>20000000</v>
      </c>
      <c r="M292">
        <v>190</v>
      </c>
      <c r="N292">
        <v>190</v>
      </c>
      <c r="O292">
        <v>190</v>
      </c>
      <c r="P292">
        <v>0</v>
      </c>
      <c r="Q292" t="s">
        <v>61</v>
      </c>
      <c r="R292">
        <v>100010811334500</v>
      </c>
      <c r="S292">
        <v>10001930</v>
      </c>
      <c r="T292">
        <v>100010811334500</v>
      </c>
      <c r="U292">
        <v>10001930</v>
      </c>
      <c r="V292" t="s">
        <v>71</v>
      </c>
      <c r="W292">
        <v>9</v>
      </c>
      <c r="X292">
        <v>219949</v>
      </c>
      <c r="Y292">
        <v>1513619</v>
      </c>
      <c r="Z292">
        <v>1733568</v>
      </c>
      <c r="AA292">
        <v>10001930</v>
      </c>
      <c r="AB292">
        <v>7.8816800000000002</v>
      </c>
      <c r="AC292">
        <v>6.6079600000000003</v>
      </c>
      <c r="AD292">
        <v>6.7695600000000002</v>
      </c>
      <c r="AE292">
        <v>8</v>
      </c>
      <c r="AF292">
        <v>360582144</v>
      </c>
      <c r="AJ292" t="s">
        <v>608</v>
      </c>
      <c r="AM292">
        <v>1847918691</v>
      </c>
      <c r="AN292">
        <v>0</v>
      </c>
      <c r="AO292">
        <v>18667793</v>
      </c>
      <c r="AP292">
        <v>1847918691</v>
      </c>
      <c r="AQ292">
        <v>1866586484</v>
      </c>
      <c r="AR292">
        <v>230989836</v>
      </c>
      <c r="AS292">
        <v>0</v>
      </c>
      <c r="AT292">
        <v>2333474</v>
      </c>
      <c r="AU292">
        <v>230989836</v>
      </c>
      <c r="AV292">
        <v>233323310</v>
      </c>
      <c r="AW292">
        <v>17.0625</v>
      </c>
      <c r="AX292">
        <v>5.7185199999999998</v>
      </c>
      <c r="AY292">
        <v>2250.9299999999998</v>
      </c>
      <c r="AZ292">
        <v>1333.92</v>
      </c>
      <c r="BA292">
        <v>1631</v>
      </c>
      <c r="BB292">
        <v>888</v>
      </c>
      <c r="BC292" t="str">
        <f t="shared" si="10"/>
        <v>u=1%, k=2x10^7</v>
      </c>
      <c r="BD292">
        <f t="shared" si="11"/>
        <v>8</v>
      </c>
    </row>
    <row r="293" spans="1:56">
      <c r="A293" t="s">
        <v>609</v>
      </c>
      <c r="B293" t="s">
        <v>300</v>
      </c>
      <c r="C293">
        <v>208</v>
      </c>
      <c r="D293" t="s">
        <v>64</v>
      </c>
      <c r="E293" t="s">
        <v>59</v>
      </c>
      <c r="F293" t="s">
        <v>60</v>
      </c>
      <c r="G293">
        <v>16000</v>
      </c>
      <c r="H293">
        <v>0.5</v>
      </c>
      <c r="I293">
        <v>0.5</v>
      </c>
      <c r="J293">
        <v>0</v>
      </c>
      <c r="K293">
        <v>1</v>
      </c>
      <c r="L293">
        <v>20000000</v>
      </c>
      <c r="M293">
        <v>190</v>
      </c>
      <c r="N293">
        <v>190</v>
      </c>
      <c r="O293">
        <v>190</v>
      </c>
      <c r="P293">
        <v>0</v>
      </c>
      <c r="Q293" t="s">
        <v>61</v>
      </c>
      <c r="R293">
        <v>99984020507495</v>
      </c>
      <c r="S293">
        <v>9999613</v>
      </c>
      <c r="T293">
        <v>99984020507495</v>
      </c>
      <c r="U293">
        <v>9999613</v>
      </c>
      <c r="V293" t="s">
        <v>71</v>
      </c>
      <c r="W293">
        <v>9</v>
      </c>
      <c r="X293">
        <v>235578</v>
      </c>
      <c r="Y293">
        <v>1619189</v>
      </c>
      <c r="Z293">
        <v>1854767</v>
      </c>
      <c r="AA293">
        <v>9999613</v>
      </c>
      <c r="AB293">
        <v>7.8732600000000001</v>
      </c>
      <c r="AC293">
        <v>6.1756900000000003</v>
      </c>
      <c r="AD293">
        <v>6.3913000000000002</v>
      </c>
      <c r="AE293">
        <v>8</v>
      </c>
      <c r="AF293">
        <v>385791536</v>
      </c>
      <c r="AJ293" t="s">
        <v>610</v>
      </c>
      <c r="AM293">
        <v>3651932095</v>
      </c>
      <c r="AN293">
        <v>0</v>
      </c>
      <c r="AO293">
        <v>36890637</v>
      </c>
      <c r="AP293">
        <v>3651932095</v>
      </c>
      <c r="AQ293">
        <v>3688822732</v>
      </c>
      <c r="AR293">
        <v>228245755</v>
      </c>
      <c r="AS293">
        <v>0</v>
      </c>
      <c r="AT293">
        <v>2305664</v>
      </c>
      <c r="AU293">
        <v>228245755</v>
      </c>
      <c r="AV293">
        <v>230551420</v>
      </c>
      <c r="AW293">
        <v>17.217700000000001</v>
      </c>
      <c r="AX293">
        <v>5.8118600000000002</v>
      </c>
      <c r="AY293">
        <v>2279.6</v>
      </c>
      <c r="AZ293">
        <v>1363.2</v>
      </c>
      <c r="BA293">
        <v>1658</v>
      </c>
      <c r="BB293">
        <v>882</v>
      </c>
      <c r="BC293" t="str">
        <f t="shared" si="10"/>
        <v>u=1%, k=2x10^7</v>
      </c>
      <c r="BD293">
        <f t="shared" si="11"/>
        <v>16</v>
      </c>
    </row>
    <row r="294" spans="1:56">
      <c r="A294" t="s">
        <v>611</v>
      </c>
      <c r="B294" t="s">
        <v>300</v>
      </c>
      <c r="C294">
        <v>208</v>
      </c>
      <c r="D294" t="s">
        <v>64</v>
      </c>
      <c r="E294" t="s">
        <v>59</v>
      </c>
      <c r="F294" t="s">
        <v>60</v>
      </c>
      <c r="G294">
        <v>32000</v>
      </c>
      <c r="H294">
        <v>0.5</v>
      </c>
      <c r="I294">
        <v>0.5</v>
      </c>
      <c r="J294">
        <v>0</v>
      </c>
      <c r="K294">
        <v>1</v>
      </c>
      <c r="L294">
        <v>20000000</v>
      </c>
      <c r="M294">
        <v>190</v>
      </c>
      <c r="N294">
        <v>190</v>
      </c>
      <c r="O294">
        <v>190</v>
      </c>
      <c r="P294">
        <v>0</v>
      </c>
      <c r="Q294" t="s">
        <v>61</v>
      </c>
      <c r="R294">
        <v>100014824061658</v>
      </c>
      <c r="S294">
        <v>10000478</v>
      </c>
      <c r="T294">
        <v>100014824061658</v>
      </c>
      <c r="U294">
        <v>10000478</v>
      </c>
      <c r="V294" t="s">
        <v>71</v>
      </c>
      <c r="W294">
        <v>9</v>
      </c>
      <c r="X294">
        <v>253478</v>
      </c>
      <c r="Y294">
        <v>1740711</v>
      </c>
      <c r="Z294">
        <v>1994189</v>
      </c>
      <c r="AA294">
        <v>10000478</v>
      </c>
      <c r="AB294">
        <v>7.8673099999999998</v>
      </c>
      <c r="AC294">
        <v>5.74505</v>
      </c>
      <c r="AD294">
        <v>6.0148099999999998</v>
      </c>
      <c r="AE294">
        <v>8</v>
      </c>
      <c r="AF294">
        <v>414791312</v>
      </c>
      <c r="AJ294">
        <v>45234</v>
      </c>
      <c r="AM294">
        <v>7204652231</v>
      </c>
      <c r="AN294">
        <v>0</v>
      </c>
      <c r="AO294">
        <v>72776419</v>
      </c>
      <c r="AP294">
        <v>7204652231</v>
      </c>
      <c r="AQ294">
        <v>7277428650</v>
      </c>
      <c r="AR294">
        <v>225145382</v>
      </c>
      <c r="AS294">
        <v>0</v>
      </c>
      <c r="AT294">
        <v>2274263</v>
      </c>
      <c r="AU294">
        <v>225145382</v>
      </c>
      <c r="AV294">
        <v>227419645</v>
      </c>
      <c r="AW294">
        <v>17.456900000000001</v>
      </c>
      <c r="AX294">
        <v>5.9194300000000002</v>
      </c>
      <c r="AY294">
        <v>2312.0100000000002</v>
      </c>
      <c r="AZ294">
        <v>1394.41</v>
      </c>
      <c r="BA294">
        <v>1720</v>
      </c>
      <c r="BB294">
        <v>952</v>
      </c>
      <c r="BC294" t="str">
        <f t="shared" si="10"/>
        <v>u=1%, k=2x10^7</v>
      </c>
      <c r="BD294">
        <f t="shared" si="11"/>
        <v>32</v>
      </c>
    </row>
    <row r="295" spans="1:56">
      <c r="A295" t="s">
        <v>612</v>
      </c>
      <c r="B295" t="s">
        <v>300</v>
      </c>
      <c r="C295">
        <v>208</v>
      </c>
      <c r="D295" t="s">
        <v>64</v>
      </c>
      <c r="E295" t="s">
        <v>59</v>
      </c>
      <c r="F295" t="s">
        <v>60</v>
      </c>
      <c r="G295">
        <v>64000</v>
      </c>
      <c r="H295">
        <v>0.5</v>
      </c>
      <c r="I295">
        <v>0.5</v>
      </c>
      <c r="J295">
        <v>0</v>
      </c>
      <c r="K295">
        <v>1</v>
      </c>
      <c r="L295">
        <v>20000000</v>
      </c>
      <c r="M295">
        <v>190</v>
      </c>
      <c r="N295">
        <v>190</v>
      </c>
      <c r="O295">
        <v>190</v>
      </c>
      <c r="P295">
        <v>0</v>
      </c>
      <c r="Q295" t="s">
        <v>61</v>
      </c>
      <c r="R295">
        <v>100004827685141</v>
      </c>
      <c r="S295">
        <v>9999786</v>
      </c>
      <c r="T295">
        <v>100004827685141</v>
      </c>
      <c r="U295">
        <v>9999786</v>
      </c>
      <c r="V295" t="s">
        <v>71</v>
      </c>
      <c r="W295">
        <v>9</v>
      </c>
      <c r="X295">
        <v>272753</v>
      </c>
      <c r="Y295">
        <v>1856852</v>
      </c>
      <c r="Z295">
        <v>2129605</v>
      </c>
      <c r="AA295">
        <v>9999786</v>
      </c>
      <c r="AB295">
        <v>7.8078200000000004</v>
      </c>
      <c r="AC295">
        <v>5.3853400000000002</v>
      </c>
      <c r="AD295">
        <v>5.6956100000000003</v>
      </c>
      <c r="AE295">
        <v>8</v>
      </c>
      <c r="AF295">
        <v>442957840</v>
      </c>
      <c r="AJ295">
        <v>87680</v>
      </c>
      <c r="AM295">
        <v>14200857613</v>
      </c>
      <c r="AN295">
        <v>0</v>
      </c>
      <c r="AO295">
        <v>143433122</v>
      </c>
      <c r="AP295">
        <v>14200857613</v>
      </c>
      <c r="AQ295">
        <v>14344290735</v>
      </c>
      <c r="AR295">
        <v>221888400</v>
      </c>
      <c r="AS295">
        <v>0</v>
      </c>
      <c r="AT295">
        <v>2241142</v>
      </c>
      <c r="AU295">
        <v>221888400</v>
      </c>
      <c r="AV295">
        <v>224129542</v>
      </c>
      <c r="AW295">
        <v>17.652899999999999</v>
      </c>
      <c r="AX295">
        <v>6.0522299999999998</v>
      </c>
      <c r="AY295">
        <v>2345.5500000000002</v>
      </c>
      <c r="AZ295">
        <v>1428.48</v>
      </c>
      <c r="BA295">
        <v>1758</v>
      </c>
      <c r="BB295">
        <v>934</v>
      </c>
      <c r="BC295" t="str">
        <f t="shared" si="10"/>
        <v>u=1%, k=2x10^7</v>
      </c>
      <c r="BD295">
        <f t="shared" si="11"/>
        <v>64</v>
      </c>
    </row>
    <row r="296" spans="1:56">
      <c r="A296" t="s">
        <v>613</v>
      </c>
      <c r="B296" t="s">
        <v>105</v>
      </c>
      <c r="D296" t="s">
        <v>64</v>
      </c>
      <c r="E296" t="s">
        <v>59</v>
      </c>
      <c r="F296" t="s">
        <v>60</v>
      </c>
      <c r="G296">
        <v>1000</v>
      </c>
      <c r="H296">
        <v>0.5</v>
      </c>
      <c r="I296">
        <v>0.5</v>
      </c>
      <c r="J296">
        <v>0</v>
      </c>
      <c r="K296">
        <v>1</v>
      </c>
      <c r="L296">
        <v>20000000</v>
      </c>
      <c r="M296">
        <v>190</v>
      </c>
      <c r="N296">
        <v>190</v>
      </c>
      <c r="O296">
        <v>190</v>
      </c>
      <c r="P296">
        <v>0</v>
      </c>
      <c r="Q296" t="s">
        <v>61</v>
      </c>
      <c r="R296">
        <v>99994229262839</v>
      </c>
      <c r="S296">
        <v>9999516</v>
      </c>
      <c r="T296">
        <v>99994229262839</v>
      </c>
      <c r="U296">
        <v>9999516</v>
      </c>
      <c r="V296" t="s">
        <v>71</v>
      </c>
      <c r="W296">
        <v>29</v>
      </c>
      <c r="X296">
        <v>5777888</v>
      </c>
      <c r="Y296">
        <v>4339252</v>
      </c>
      <c r="Z296">
        <v>10117140</v>
      </c>
      <c r="AA296">
        <v>9999516</v>
      </c>
      <c r="AB296">
        <v>1.75101</v>
      </c>
      <c r="AC296">
        <v>2.30443</v>
      </c>
      <c r="AD296">
        <v>1.98837</v>
      </c>
      <c r="AE296">
        <v>22.7544</v>
      </c>
      <c r="AF296">
        <v>566559840</v>
      </c>
      <c r="AJ296" t="s">
        <v>614</v>
      </c>
      <c r="AM296">
        <v>112574135</v>
      </c>
      <c r="AN296">
        <v>0</v>
      </c>
      <c r="AO296">
        <v>1138375</v>
      </c>
      <c r="AP296">
        <v>112574135</v>
      </c>
      <c r="AQ296">
        <v>113712510</v>
      </c>
      <c r="AR296">
        <v>112574135</v>
      </c>
      <c r="AS296">
        <v>0</v>
      </c>
      <c r="AT296">
        <v>1138375</v>
      </c>
      <c r="AU296">
        <v>112574135</v>
      </c>
      <c r="AV296">
        <v>113712510</v>
      </c>
      <c r="AW296">
        <v>28.709399999999999</v>
      </c>
      <c r="AX296">
        <v>10.461499999999999</v>
      </c>
      <c r="AY296">
        <v>4611.46</v>
      </c>
      <c r="AZ296">
        <v>3248.42</v>
      </c>
      <c r="BA296">
        <v>1763</v>
      </c>
      <c r="BB296">
        <v>473</v>
      </c>
      <c r="BC296" t="str">
        <f t="shared" si="10"/>
        <v>u=1%, k=2x10^7</v>
      </c>
      <c r="BD296">
        <f t="shared" si="11"/>
        <v>1</v>
      </c>
    </row>
    <row r="297" spans="1:56">
      <c r="A297" t="s">
        <v>615</v>
      </c>
      <c r="B297" t="s">
        <v>105</v>
      </c>
      <c r="D297" t="s">
        <v>64</v>
      </c>
      <c r="E297" t="s">
        <v>59</v>
      </c>
      <c r="F297" t="s">
        <v>60</v>
      </c>
      <c r="G297">
        <v>2000</v>
      </c>
      <c r="H297">
        <v>0.5</v>
      </c>
      <c r="I297">
        <v>0.5</v>
      </c>
      <c r="J297">
        <v>0</v>
      </c>
      <c r="K297">
        <v>1</v>
      </c>
      <c r="L297">
        <v>20000000</v>
      </c>
      <c r="M297">
        <v>190</v>
      </c>
      <c r="N297">
        <v>190</v>
      </c>
      <c r="O297">
        <v>190</v>
      </c>
      <c r="P297">
        <v>0</v>
      </c>
      <c r="Q297" t="s">
        <v>61</v>
      </c>
      <c r="R297">
        <v>100003026092650</v>
      </c>
      <c r="S297">
        <v>9999906</v>
      </c>
      <c r="T297">
        <v>100003026092650</v>
      </c>
      <c r="U297">
        <v>9999906</v>
      </c>
      <c r="V297" t="s">
        <v>71</v>
      </c>
      <c r="W297">
        <v>29</v>
      </c>
      <c r="X297">
        <v>5841022</v>
      </c>
      <c r="Y297">
        <v>4390490</v>
      </c>
      <c r="Z297">
        <v>10231512</v>
      </c>
      <c r="AA297">
        <v>9999906</v>
      </c>
      <c r="AB297">
        <v>1.75166</v>
      </c>
      <c r="AC297">
        <v>2.2776299999999998</v>
      </c>
      <c r="AD297">
        <v>1.97736</v>
      </c>
      <c r="AE297">
        <v>22.726099999999999</v>
      </c>
      <c r="AF297">
        <v>572964672</v>
      </c>
      <c r="AJ297" t="s">
        <v>616</v>
      </c>
      <c r="AM297">
        <v>228276009</v>
      </c>
      <c r="AN297">
        <v>0</v>
      </c>
      <c r="AO297">
        <v>2306766</v>
      </c>
      <c r="AP297">
        <v>228276009</v>
      </c>
      <c r="AQ297">
        <v>230582775</v>
      </c>
      <c r="AR297">
        <v>114138004</v>
      </c>
      <c r="AS297">
        <v>0</v>
      </c>
      <c r="AT297">
        <v>1153383</v>
      </c>
      <c r="AU297">
        <v>114138004</v>
      </c>
      <c r="AV297">
        <v>115291387</v>
      </c>
      <c r="AW297">
        <v>28.628499999999999</v>
      </c>
      <c r="AX297">
        <v>10.5684</v>
      </c>
      <c r="AY297">
        <v>4582.01</v>
      </c>
      <c r="AZ297">
        <v>3230.23</v>
      </c>
      <c r="BA297">
        <v>1770</v>
      </c>
      <c r="BB297">
        <v>442</v>
      </c>
      <c r="BC297" t="str">
        <f t="shared" si="10"/>
        <v>u=1%, k=2x10^7</v>
      </c>
      <c r="BD297">
        <f t="shared" si="11"/>
        <v>2</v>
      </c>
    </row>
    <row r="298" spans="1:56">
      <c r="A298" t="s">
        <v>617</v>
      </c>
      <c r="B298" t="s">
        <v>105</v>
      </c>
      <c r="D298" t="s">
        <v>64</v>
      </c>
      <c r="E298" t="s">
        <v>59</v>
      </c>
      <c r="F298" t="s">
        <v>60</v>
      </c>
      <c r="G298">
        <v>4000</v>
      </c>
      <c r="H298">
        <v>0.5</v>
      </c>
      <c r="I298">
        <v>0.5</v>
      </c>
      <c r="J298">
        <v>0</v>
      </c>
      <c r="K298">
        <v>1</v>
      </c>
      <c r="L298">
        <v>20000000</v>
      </c>
      <c r="M298">
        <v>190</v>
      </c>
      <c r="N298">
        <v>190</v>
      </c>
      <c r="O298">
        <v>190</v>
      </c>
      <c r="P298">
        <v>0</v>
      </c>
      <c r="Q298" t="s">
        <v>61</v>
      </c>
      <c r="R298">
        <v>99987008492350</v>
      </c>
      <c r="S298">
        <v>9998494</v>
      </c>
      <c r="T298">
        <v>99987008492350</v>
      </c>
      <c r="U298">
        <v>9998494</v>
      </c>
      <c r="V298" t="s">
        <v>71</v>
      </c>
      <c r="W298">
        <v>29</v>
      </c>
      <c r="X298">
        <v>5953197</v>
      </c>
      <c r="Y298">
        <v>4482524</v>
      </c>
      <c r="Z298">
        <v>10435721</v>
      </c>
      <c r="AA298">
        <v>9998494</v>
      </c>
      <c r="AB298">
        <v>1.7529600000000001</v>
      </c>
      <c r="AC298">
        <v>2.23055</v>
      </c>
      <c r="AD298">
        <v>1.9581</v>
      </c>
      <c r="AE298">
        <v>22.793600000000001</v>
      </c>
      <c r="AF298">
        <v>584400376</v>
      </c>
      <c r="AJ298" t="s">
        <v>618</v>
      </c>
      <c r="AM298">
        <v>457516728</v>
      </c>
      <c r="AN298">
        <v>0</v>
      </c>
      <c r="AO298">
        <v>4620166</v>
      </c>
      <c r="AP298">
        <v>457516728</v>
      </c>
      <c r="AQ298">
        <v>462136894</v>
      </c>
      <c r="AR298">
        <v>114379182</v>
      </c>
      <c r="AS298">
        <v>0</v>
      </c>
      <c r="AT298">
        <v>1155041</v>
      </c>
      <c r="AU298">
        <v>114379182</v>
      </c>
      <c r="AV298">
        <v>115534223</v>
      </c>
      <c r="AW298">
        <v>28.635000000000002</v>
      </c>
      <c r="AX298">
        <v>10.650600000000001</v>
      </c>
      <c r="AY298">
        <v>4575.21</v>
      </c>
      <c r="AZ298">
        <v>3217.13</v>
      </c>
      <c r="BA298">
        <v>1782</v>
      </c>
      <c r="BB298">
        <v>440</v>
      </c>
      <c r="BC298" t="str">
        <f t="shared" si="10"/>
        <v>u=1%, k=2x10^7</v>
      </c>
      <c r="BD298">
        <f t="shared" si="11"/>
        <v>4</v>
      </c>
    </row>
    <row r="299" spans="1:56">
      <c r="A299" t="s">
        <v>619</v>
      </c>
      <c r="B299" t="s">
        <v>105</v>
      </c>
      <c r="D299" t="s">
        <v>64</v>
      </c>
      <c r="E299" t="s">
        <v>59</v>
      </c>
      <c r="F299" t="s">
        <v>60</v>
      </c>
      <c r="G299">
        <v>8000</v>
      </c>
      <c r="H299">
        <v>0.5</v>
      </c>
      <c r="I299">
        <v>0.5</v>
      </c>
      <c r="J299">
        <v>0</v>
      </c>
      <c r="K299">
        <v>1</v>
      </c>
      <c r="L299">
        <v>20000000</v>
      </c>
      <c r="M299">
        <v>190</v>
      </c>
      <c r="N299">
        <v>190</v>
      </c>
      <c r="O299">
        <v>190</v>
      </c>
      <c r="P299">
        <v>0</v>
      </c>
      <c r="Q299" t="s">
        <v>61</v>
      </c>
      <c r="R299">
        <v>100011760475260</v>
      </c>
      <c r="S299">
        <v>10002403</v>
      </c>
      <c r="T299">
        <v>100011760475260</v>
      </c>
      <c r="U299">
        <v>10002403</v>
      </c>
      <c r="V299" t="s">
        <v>71</v>
      </c>
      <c r="W299">
        <v>29</v>
      </c>
      <c r="X299">
        <v>6143892</v>
      </c>
      <c r="Y299">
        <v>4635936</v>
      </c>
      <c r="Z299">
        <v>10779828</v>
      </c>
      <c r="AA299">
        <v>10002403</v>
      </c>
      <c r="AB299">
        <v>1.7545599999999999</v>
      </c>
      <c r="AC299">
        <v>2.1575799999999998</v>
      </c>
      <c r="AD299">
        <v>1.92788</v>
      </c>
      <c r="AE299">
        <v>22.894400000000001</v>
      </c>
      <c r="AF299">
        <v>603670368</v>
      </c>
      <c r="AJ299" t="s">
        <v>620</v>
      </c>
      <c r="AM299">
        <v>911851494</v>
      </c>
      <c r="AN299">
        <v>0</v>
      </c>
      <c r="AO299">
        <v>9205084</v>
      </c>
      <c r="AP299">
        <v>911851494</v>
      </c>
      <c r="AQ299">
        <v>921056578</v>
      </c>
      <c r="AR299">
        <v>113981436</v>
      </c>
      <c r="AS299">
        <v>0</v>
      </c>
      <c r="AT299">
        <v>1150635</v>
      </c>
      <c r="AU299">
        <v>113981436</v>
      </c>
      <c r="AV299">
        <v>115132072</v>
      </c>
      <c r="AW299">
        <v>28.7043</v>
      </c>
      <c r="AX299">
        <v>10.7271</v>
      </c>
      <c r="AY299">
        <v>4584.82</v>
      </c>
      <c r="AZ299">
        <v>3219.13</v>
      </c>
      <c r="BA299">
        <v>1805</v>
      </c>
      <c r="BB299">
        <v>440</v>
      </c>
      <c r="BC299" t="str">
        <f t="shared" si="10"/>
        <v>u=1%, k=2x10^7</v>
      </c>
      <c r="BD299">
        <f t="shared" si="11"/>
        <v>8</v>
      </c>
    </row>
    <row r="300" spans="1:56">
      <c r="A300" t="s">
        <v>621</v>
      </c>
      <c r="B300" t="s">
        <v>105</v>
      </c>
      <c r="D300" t="s">
        <v>64</v>
      </c>
      <c r="E300" t="s">
        <v>59</v>
      </c>
      <c r="F300" t="s">
        <v>60</v>
      </c>
      <c r="G300">
        <v>16000</v>
      </c>
      <c r="H300">
        <v>0.5</v>
      </c>
      <c r="I300">
        <v>0.5</v>
      </c>
      <c r="J300">
        <v>0</v>
      </c>
      <c r="K300">
        <v>1</v>
      </c>
      <c r="L300">
        <v>20000000</v>
      </c>
      <c r="M300">
        <v>190</v>
      </c>
      <c r="N300">
        <v>190</v>
      </c>
      <c r="O300">
        <v>190</v>
      </c>
      <c r="P300">
        <v>0</v>
      </c>
      <c r="Q300" t="s">
        <v>61</v>
      </c>
      <c r="R300">
        <v>100020249620561</v>
      </c>
      <c r="S300">
        <v>9999971</v>
      </c>
      <c r="T300">
        <v>100020249620561</v>
      </c>
      <c r="U300">
        <v>9999971</v>
      </c>
      <c r="V300" t="s">
        <v>71</v>
      </c>
      <c r="W300">
        <v>29</v>
      </c>
      <c r="X300">
        <v>6408860</v>
      </c>
      <c r="Y300">
        <v>4846945</v>
      </c>
      <c r="Z300">
        <v>11255805</v>
      </c>
      <c r="AA300">
        <v>9999971</v>
      </c>
      <c r="AB300">
        <v>1.7562899999999999</v>
      </c>
      <c r="AC300">
        <v>2.0631499999999998</v>
      </c>
      <c r="AD300">
        <v>1.8884300000000001</v>
      </c>
      <c r="AE300">
        <v>23.0623</v>
      </c>
      <c r="AF300">
        <v>630325080</v>
      </c>
      <c r="AJ300" t="s">
        <v>622</v>
      </c>
      <c r="AM300">
        <v>1814523347</v>
      </c>
      <c r="AN300">
        <v>0</v>
      </c>
      <c r="AO300">
        <v>18321616</v>
      </c>
      <c r="AP300">
        <v>1814523347</v>
      </c>
      <c r="AQ300">
        <v>1832844963</v>
      </c>
      <c r="AR300">
        <v>113407709</v>
      </c>
      <c r="AS300">
        <v>0</v>
      </c>
      <c r="AT300">
        <v>1145101</v>
      </c>
      <c r="AU300">
        <v>113407709</v>
      </c>
      <c r="AV300">
        <v>114552810</v>
      </c>
      <c r="AW300">
        <v>29.065100000000001</v>
      </c>
      <c r="AX300">
        <v>10.8078</v>
      </c>
      <c r="AY300">
        <v>4607.58</v>
      </c>
      <c r="AZ300">
        <v>3241.42</v>
      </c>
      <c r="BA300">
        <v>1836</v>
      </c>
      <c r="BB300">
        <v>432</v>
      </c>
      <c r="BC300" t="str">
        <f t="shared" si="10"/>
        <v>u=1%, k=2x10^7</v>
      </c>
      <c r="BD300">
        <f t="shared" si="11"/>
        <v>16</v>
      </c>
    </row>
    <row r="301" spans="1:56">
      <c r="A301" t="s">
        <v>623</v>
      </c>
      <c r="B301" t="s">
        <v>105</v>
      </c>
      <c r="D301" t="s">
        <v>64</v>
      </c>
      <c r="E301" t="s">
        <v>59</v>
      </c>
      <c r="F301" t="s">
        <v>60</v>
      </c>
      <c r="G301">
        <v>32000</v>
      </c>
      <c r="H301">
        <v>0.5</v>
      </c>
      <c r="I301">
        <v>0.5</v>
      </c>
      <c r="J301">
        <v>0</v>
      </c>
      <c r="K301">
        <v>1</v>
      </c>
      <c r="L301">
        <v>20000000</v>
      </c>
      <c r="M301">
        <v>190</v>
      </c>
      <c r="N301">
        <v>190</v>
      </c>
      <c r="O301">
        <v>190</v>
      </c>
      <c r="P301">
        <v>0</v>
      </c>
      <c r="Q301" t="s">
        <v>61</v>
      </c>
      <c r="R301">
        <v>99977190156727</v>
      </c>
      <c r="S301">
        <v>9996516</v>
      </c>
      <c r="T301">
        <v>99977190156727</v>
      </c>
      <c r="U301">
        <v>9996516</v>
      </c>
      <c r="V301" t="s">
        <v>71</v>
      </c>
      <c r="W301">
        <v>29</v>
      </c>
      <c r="X301">
        <v>6671795</v>
      </c>
      <c r="Y301">
        <v>5053120</v>
      </c>
      <c r="Z301">
        <v>11724915</v>
      </c>
      <c r="AA301">
        <v>9996516</v>
      </c>
      <c r="AB301">
        <v>1.75739</v>
      </c>
      <c r="AC301">
        <v>1.9782900000000001</v>
      </c>
      <c r="AD301">
        <v>1.85259</v>
      </c>
      <c r="AE301">
        <v>23.1676</v>
      </c>
      <c r="AF301">
        <v>656595240</v>
      </c>
      <c r="AJ301" t="s">
        <v>624</v>
      </c>
      <c r="AM301">
        <v>3555884775</v>
      </c>
      <c r="AN301">
        <v>0</v>
      </c>
      <c r="AO301">
        <v>35919800</v>
      </c>
      <c r="AP301">
        <v>3555884775</v>
      </c>
      <c r="AQ301">
        <v>3591804575</v>
      </c>
      <c r="AR301">
        <v>111121399</v>
      </c>
      <c r="AS301">
        <v>0</v>
      </c>
      <c r="AT301">
        <v>1122493</v>
      </c>
      <c r="AU301">
        <v>111121399</v>
      </c>
      <c r="AV301">
        <v>112243892</v>
      </c>
      <c r="AW301">
        <v>28.952000000000002</v>
      </c>
      <c r="AX301">
        <v>10.8994</v>
      </c>
      <c r="AY301">
        <v>4696.1000000000004</v>
      </c>
      <c r="AZ301">
        <v>3258.79</v>
      </c>
      <c r="BA301">
        <v>1866</v>
      </c>
      <c r="BB301">
        <v>427</v>
      </c>
      <c r="BC301" t="str">
        <f t="shared" si="10"/>
        <v>u=1%, k=2x10^7</v>
      </c>
      <c r="BD301">
        <f t="shared" si="11"/>
        <v>32</v>
      </c>
    </row>
    <row r="302" spans="1:56">
      <c r="A302" t="s">
        <v>625</v>
      </c>
      <c r="B302" t="s">
        <v>105</v>
      </c>
      <c r="D302" t="s">
        <v>64</v>
      </c>
      <c r="E302" t="s">
        <v>59</v>
      </c>
      <c r="F302" t="s">
        <v>60</v>
      </c>
      <c r="G302">
        <v>64000</v>
      </c>
      <c r="H302">
        <v>0.5</v>
      </c>
      <c r="I302">
        <v>0.5</v>
      </c>
      <c r="J302">
        <v>0</v>
      </c>
      <c r="K302">
        <v>1</v>
      </c>
      <c r="L302">
        <v>20000000</v>
      </c>
      <c r="M302">
        <v>190</v>
      </c>
      <c r="N302">
        <v>190</v>
      </c>
      <c r="O302">
        <v>190</v>
      </c>
      <c r="P302">
        <v>0</v>
      </c>
      <c r="Q302" t="s">
        <v>61</v>
      </c>
      <c r="R302">
        <v>99925928642962</v>
      </c>
      <c r="S302">
        <v>9993634</v>
      </c>
      <c r="T302">
        <v>99925928642962</v>
      </c>
      <c r="U302">
        <v>9993634</v>
      </c>
      <c r="V302" t="s">
        <v>71</v>
      </c>
      <c r="W302">
        <v>29</v>
      </c>
      <c r="X302">
        <v>6824242</v>
      </c>
      <c r="Y302">
        <v>5176425</v>
      </c>
      <c r="Z302">
        <v>12000667</v>
      </c>
      <c r="AA302">
        <v>9993634</v>
      </c>
      <c r="AB302">
        <v>1.7585299999999999</v>
      </c>
      <c r="AC302">
        <v>1.9306099999999999</v>
      </c>
      <c r="AD302">
        <v>1.8327599999999999</v>
      </c>
      <c r="AE302">
        <v>23.268899999999999</v>
      </c>
      <c r="AF302">
        <v>672037352</v>
      </c>
      <c r="AJ302">
        <v>42674</v>
      </c>
      <c r="AM302">
        <v>7135989991</v>
      </c>
      <c r="AN302">
        <v>0</v>
      </c>
      <c r="AO302">
        <v>72068105</v>
      </c>
      <c r="AP302">
        <v>7135989991</v>
      </c>
      <c r="AQ302">
        <v>7208058096</v>
      </c>
      <c r="AR302">
        <v>111499843</v>
      </c>
      <c r="AS302">
        <v>0</v>
      </c>
      <c r="AT302">
        <v>1126064</v>
      </c>
      <c r="AU302">
        <v>111499843</v>
      </c>
      <c r="AV302">
        <v>112625907</v>
      </c>
      <c r="AW302">
        <v>29.028700000000001</v>
      </c>
      <c r="AX302">
        <v>11.002000000000001</v>
      </c>
      <c r="AY302">
        <v>4681.03</v>
      </c>
      <c r="AZ302">
        <v>3291.3</v>
      </c>
      <c r="BA302">
        <v>1886</v>
      </c>
      <c r="BB302">
        <v>427</v>
      </c>
      <c r="BC302" t="str">
        <f t="shared" si="10"/>
        <v>u=1%, k=2x10^7</v>
      </c>
      <c r="BD302">
        <f t="shared" si="11"/>
        <v>64</v>
      </c>
    </row>
    <row r="303" spans="1:56">
      <c r="A303" t="s">
        <v>626</v>
      </c>
      <c r="B303" t="s">
        <v>305</v>
      </c>
      <c r="D303" t="s">
        <v>64</v>
      </c>
      <c r="E303" t="s">
        <v>59</v>
      </c>
      <c r="F303" t="s">
        <v>60</v>
      </c>
      <c r="G303">
        <v>1000</v>
      </c>
      <c r="H303">
        <v>0.5</v>
      </c>
      <c r="I303">
        <v>0.5</v>
      </c>
      <c r="J303">
        <v>0</v>
      </c>
      <c r="K303">
        <v>1</v>
      </c>
      <c r="L303">
        <v>20000000</v>
      </c>
      <c r="M303">
        <v>190</v>
      </c>
      <c r="N303">
        <v>190</v>
      </c>
      <c r="O303">
        <v>190</v>
      </c>
      <c r="P303">
        <v>0</v>
      </c>
      <c r="Q303" t="s">
        <v>61</v>
      </c>
      <c r="R303">
        <v>100006217666526</v>
      </c>
      <c r="S303">
        <v>10000131</v>
      </c>
      <c r="T303">
        <v>100006217666526</v>
      </c>
      <c r="U303">
        <v>10000131</v>
      </c>
      <c r="V303" t="s">
        <v>71</v>
      </c>
      <c r="W303">
        <v>59</v>
      </c>
      <c r="X303">
        <v>10000130</v>
      </c>
      <c r="Y303">
        <v>10000131</v>
      </c>
      <c r="Z303">
        <v>20000261</v>
      </c>
      <c r="AA303">
        <v>10000131</v>
      </c>
      <c r="AB303">
        <v>2</v>
      </c>
      <c r="AC303">
        <v>1</v>
      </c>
      <c r="AD303">
        <v>1.5</v>
      </c>
      <c r="AE303">
        <v>30.7241</v>
      </c>
      <c r="AF303">
        <v>640008352</v>
      </c>
      <c r="AJ303" t="s">
        <v>627</v>
      </c>
      <c r="AM303">
        <v>97343959</v>
      </c>
      <c r="AN303">
        <v>0</v>
      </c>
      <c r="AO303">
        <v>983973</v>
      </c>
      <c r="AP303">
        <v>97343959</v>
      </c>
      <c r="AQ303">
        <v>98327932</v>
      </c>
      <c r="AR303">
        <v>97343959</v>
      </c>
      <c r="AS303">
        <v>0</v>
      </c>
      <c r="AT303">
        <v>983973</v>
      </c>
      <c r="AU303">
        <v>97343959</v>
      </c>
      <c r="AV303">
        <v>98327932</v>
      </c>
      <c r="AW303">
        <v>24.762599999999999</v>
      </c>
      <c r="AX303">
        <v>9.7900799999999997</v>
      </c>
      <c r="AY303">
        <v>5351.23</v>
      </c>
      <c r="AZ303">
        <v>4318.6400000000003</v>
      </c>
      <c r="BA303">
        <v>1754</v>
      </c>
      <c r="BB303">
        <v>417</v>
      </c>
      <c r="BC303" t="str">
        <f t="shared" si="10"/>
        <v>u=1%, k=2x10^7</v>
      </c>
      <c r="BD303">
        <f t="shared" si="11"/>
        <v>1</v>
      </c>
    </row>
    <row r="304" spans="1:56">
      <c r="A304" t="s">
        <v>628</v>
      </c>
      <c r="B304" t="s">
        <v>305</v>
      </c>
      <c r="D304" t="s">
        <v>64</v>
      </c>
      <c r="E304" t="s">
        <v>59</v>
      </c>
      <c r="F304" t="s">
        <v>60</v>
      </c>
      <c r="G304">
        <v>2000</v>
      </c>
      <c r="H304">
        <v>0.5</v>
      </c>
      <c r="I304">
        <v>0.5</v>
      </c>
      <c r="J304">
        <v>0</v>
      </c>
      <c r="K304">
        <v>1</v>
      </c>
      <c r="L304">
        <v>20000000</v>
      </c>
      <c r="M304">
        <v>190</v>
      </c>
      <c r="N304">
        <v>190</v>
      </c>
      <c r="O304">
        <v>190</v>
      </c>
      <c r="P304">
        <v>0</v>
      </c>
      <c r="Q304" t="s">
        <v>61</v>
      </c>
      <c r="R304">
        <v>100014517850111</v>
      </c>
      <c r="S304">
        <v>10001777</v>
      </c>
      <c r="T304">
        <v>100014517850111</v>
      </c>
      <c r="U304">
        <v>10001777</v>
      </c>
      <c r="V304" t="s">
        <v>71</v>
      </c>
      <c r="W304">
        <v>61</v>
      </c>
      <c r="X304">
        <v>10001776</v>
      </c>
      <c r="Y304">
        <v>10001777</v>
      </c>
      <c r="Z304">
        <v>20003553</v>
      </c>
      <c r="AA304">
        <v>10001777</v>
      </c>
      <c r="AB304">
        <v>2</v>
      </c>
      <c r="AC304">
        <v>1</v>
      </c>
      <c r="AD304">
        <v>1.5</v>
      </c>
      <c r="AE304">
        <v>31.264700000000001</v>
      </c>
      <c r="AF304">
        <v>640113696</v>
      </c>
      <c r="AJ304" t="s">
        <v>629</v>
      </c>
      <c r="AM304">
        <v>197016236</v>
      </c>
      <c r="AN304">
        <v>0</v>
      </c>
      <c r="AO304">
        <v>1991001</v>
      </c>
      <c r="AP304">
        <v>197016236</v>
      </c>
      <c r="AQ304">
        <v>199007237</v>
      </c>
      <c r="AR304">
        <v>98508118</v>
      </c>
      <c r="AS304">
        <v>0</v>
      </c>
      <c r="AT304">
        <v>995500</v>
      </c>
      <c r="AU304">
        <v>98508118</v>
      </c>
      <c r="AV304">
        <v>99503618</v>
      </c>
      <c r="AW304">
        <v>24.800699999999999</v>
      </c>
      <c r="AX304">
        <v>9.8984000000000005</v>
      </c>
      <c r="AY304">
        <v>5308.66</v>
      </c>
      <c r="AZ304">
        <v>4285.63</v>
      </c>
      <c r="BA304">
        <v>1754</v>
      </c>
      <c r="BB304">
        <v>423</v>
      </c>
      <c r="BC304" t="str">
        <f t="shared" si="10"/>
        <v>u=1%, k=2x10^7</v>
      </c>
      <c r="BD304">
        <f t="shared" si="11"/>
        <v>2</v>
      </c>
    </row>
    <row r="305" spans="1:56">
      <c r="A305" t="s">
        <v>630</v>
      </c>
      <c r="B305" t="s">
        <v>305</v>
      </c>
      <c r="D305" t="s">
        <v>64</v>
      </c>
      <c r="E305" t="s">
        <v>59</v>
      </c>
      <c r="F305" t="s">
        <v>60</v>
      </c>
      <c r="G305">
        <v>4000</v>
      </c>
      <c r="H305">
        <v>0.5</v>
      </c>
      <c r="I305">
        <v>0.5</v>
      </c>
      <c r="J305">
        <v>0</v>
      </c>
      <c r="K305">
        <v>1</v>
      </c>
      <c r="L305">
        <v>20000000</v>
      </c>
      <c r="M305">
        <v>190</v>
      </c>
      <c r="N305">
        <v>190</v>
      </c>
      <c r="O305">
        <v>190</v>
      </c>
      <c r="P305">
        <v>0</v>
      </c>
      <c r="Q305" t="s">
        <v>61</v>
      </c>
      <c r="R305">
        <v>99980013438360</v>
      </c>
      <c r="S305">
        <v>9998698</v>
      </c>
      <c r="T305">
        <v>99980013438360</v>
      </c>
      <c r="U305">
        <v>9998698</v>
      </c>
      <c r="V305" t="s">
        <v>71</v>
      </c>
      <c r="W305">
        <v>60</v>
      </c>
      <c r="X305">
        <v>9998697</v>
      </c>
      <c r="Y305">
        <v>9998698</v>
      </c>
      <c r="Z305">
        <v>19997395</v>
      </c>
      <c r="AA305">
        <v>9998698</v>
      </c>
      <c r="AB305">
        <v>2</v>
      </c>
      <c r="AC305">
        <v>1</v>
      </c>
      <c r="AD305">
        <v>1.5</v>
      </c>
      <c r="AE305">
        <v>31.216200000000001</v>
      </c>
      <c r="AF305">
        <v>639916640</v>
      </c>
      <c r="AJ305">
        <v>2496</v>
      </c>
      <c r="AM305">
        <v>396372503</v>
      </c>
      <c r="AN305">
        <v>0</v>
      </c>
      <c r="AO305">
        <v>4000261</v>
      </c>
      <c r="AP305">
        <v>396372503</v>
      </c>
      <c r="AQ305">
        <v>400372764</v>
      </c>
      <c r="AR305">
        <v>99093125</v>
      </c>
      <c r="AS305">
        <v>0</v>
      </c>
      <c r="AT305">
        <v>1000065</v>
      </c>
      <c r="AU305">
        <v>99093125</v>
      </c>
      <c r="AV305">
        <v>100093191</v>
      </c>
      <c r="AW305">
        <v>25.0318</v>
      </c>
      <c r="AX305">
        <v>10.0341</v>
      </c>
      <c r="AY305">
        <v>5273.14</v>
      </c>
      <c r="AZ305">
        <v>4258.62</v>
      </c>
      <c r="BA305">
        <v>1754</v>
      </c>
      <c r="BB305">
        <v>418</v>
      </c>
      <c r="BC305" t="str">
        <f t="shared" si="10"/>
        <v>u=1%, k=2x10^7</v>
      </c>
      <c r="BD305">
        <f t="shared" si="11"/>
        <v>4</v>
      </c>
    </row>
    <row r="306" spans="1:56">
      <c r="A306" t="s">
        <v>631</v>
      </c>
      <c r="B306" t="s">
        <v>305</v>
      </c>
      <c r="D306" t="s">
        <v>64</v>
      </c>
      <c r="E306" t="s">
        <v>59</v>
      </c>
      <c r="F306" t="s">
        <v>60</v>
      </c>
      <c r="G306">
        <v>8000</v>
      </c>
      <c r="H306">
        <v>0.5</v>
      </c>
      <c r="I306">
        <v>0.5</v>
      </c>
      <c r="J306">
        <v>0</v>
      </c>
      <c r="K306">
        <v>1</v>
      </c>
      <c r="L306">
        <v>20000000</v>
      </c>
      <c r="M306">
        <v>190</v>
      </c>
      <c r="N306">
        <v>190</v>
      </c>
      <c r="O306">
        <v>190</v>
      </c>
      <c r="P306">
        <v>0</v>
      </c>
      <c r="Q306" t="s">
        <v>61</v>
      </c>
      <c r="R306">
        <v>100012079058589</v>
      </c>
      <c r="S306">
        <v>10000912</v>
      </c>
      <c r="T306">
        <v>100012079058589</v>
      </c>
      <c r="U306">
        <v>10000912</v>
      </c>
      <c r="V306" t="s">
        <v>71</v>
      </c>
      <c r="W306">
        <v>60</v>
      </c>
      <c r="X306">
        <v>10000911</v>
      </c>
      <c r="Y306">
        <v>10000912</v>
      </c>
      <c r="Z306">
        <v>20001823</v>
      </c>
      <c r="AA306">
        <v>10000912</v>
      </c>
      <c r="AB306">
        <v>2</v>
      </c>
      <c r="AC306">
        <v>1</v>
      </c>
      <c r="AD306">
        <v>1.5</v>
      </c>
      <c r="AE306">
        <v>31.558599999999998</v>
      </c>
      <c r="AF306">
        <v>640058336</v>
      </c>
      <c r="AJ306">
        <v>4816</v>
      </c>
      <c r="AM306">
        <v>791957284</v>
      </c>
      <c r="AN306">
        <v>0</v>
      </c>
      <c r="AO306">
        <v>8000963</v>
      </c>
      <c r="AP306">
        <v>791957284</v>
      </c>
      <c r="AQ306">
        <v>799958247</v>
      </c>
      <c r="AR306">
        <v>98994660</v>
      </c>
      <c r="AS306">
        <v>0</v>
      </c>
      <c r="AT306">
        <v>1000120</v>
      </c>
      <c r="AU306">
        <v>98994660</v>
      </c>
      <c r="AV306">
        <v>99994780</v>
      </c>
      <c r="AW306">
        <v>24.955300000000001</v>
      </c>
      <c r="AX306">
        <v>10.131500000000001</v>
      </c>
      <c r="AY306">
        <v>5287.47</v>
      </c>
      <c r="AZ306">
        <v>4273.2700000000004</v>
      </c>
      <c r="BA306">
        <v>1756</v>
      </c>
      <c r="BB306">
        <v>405</v>
      </c>
      <c r="BC306" t="str">
        <f t="shared" si="10"/>
        <v>u=1%, k=2x10^7</v>
      </c>
      <c r="BD306">
        <f t="shared" si="11"/>
        <v>8</v>
      </c>
    </row>
    <row r="307" spans="1:56">
      <c r="A307" t="s">
        <v>632</v>
      </c>
      <c r="B307" t="s">
        <v>305</v>
      </c>
      <c r="D307" t="s">
        <v>64</v>
      </c>
      <c r="E307" t="s">
        <v>59</v>
      </c>
      <c r="F307" t="s">
        <v>60</v>
      </c>
      <c r="G307">
        <v>16000</v>
      </c>
      <c r="H307">
        <v>0.5</v>
      </c>
      <c r="I307">
        <v>0.5</v>
      </c>
      <c r="J307">
        <v>0</v>
      </c>
      <c r="K307">
        <v>1</v>
      </c>
      <c r="L307">
        <v>20000000</v>
      </c>
      <c r="M307">
        <v>190</v>
      </c>
      <c r="N307">
        <v>190</v>
      </c>
      <c r="O307">
        <v>190</v>
      </c>
      <c r="P307">
        <v>0</v>
      </c>
      <c r="Q307" t="s">
        <v>61</v>
      </c>
      <c r="R307">
        <v>100013543956022</v>
      </c>
      <c r="S307">
        <v>9999103</v>
      </c>
      <c r="T307">
        <v>100013543956022</v>
      </c>
      <c r="U307">
        <v>9999103</v>
      </c>
      <c r="V307" t="s">
        <v>71</v>
      </c>
      <c r="W307">
        <v>60</v>
      </c>
      <c r="X307">
        <v>9999102</v>
      </c>
      <c r="Y307">
        <v>9999103</v>
      </c>
      <c r="Z307">
        <v>19998205</v>
      </c>
      <c r="AA307">
        <v>9999103</v>
      </c>
      <c r="AB307">
        <v>2</v>
      </c>
      <c r="AC307">
        <v>1</v>
      </c>
      <c r="AD307">
        <v>1.5</v>
      </c>
      <c r="AE307">
        <v>30.9757</v>
      </c>
      <c r="AF307">
        <v>639942560</v>
      </c>
      <c r="AJ307">
        <v>9464</v>
      </c>
      <c r="AM307">
        <v>1586698154</v>
      </c>
      <c r="AN307">
        <v>0</v>
      </c>
      <c r="AO307">
        <v>16022761</v>
      </c>
      <c r="AP307">
        <v>1586698154</v>
      </c>
      <c r="AQ307">
        <v>1602720915</v>
      </c>
      <c r="AR307">
        <v>99168634</v>
      </c>
      <c r="AS307">
        <v>0</v>
      </c>
      <c r="AT307">
        <v>1001422</v>
      </c>
      <c r="AU307">
        <v>99168634</v>
      </c>
      <c r="AV307">
        <v>100170057</v>
      </c>
      <c r="AW307">
        <v>25.1539</v>
      </c>
      <c r="AX307">
        <v>10.2545</v>
      </c>
      <c r="AY307">
        <v>5277.3</v>
      </c>
      <c r="AZ307">
        <v>4273.08</v>
      </c>
      <c r="BA307">
        <v>1756</v>
      </c>
      <c r="BB307">
        <v>428</v>
      </c>
      <c r="BC307" t="str">
        <f t="shared" si="10"/>
        <v>u=1%, k=2x10^7</v>
      </c>
      <c r="BD307">
        <f t="shared" si="11"/>
        <v>16</v>
      </c>
    </row>
    <row r="308" spans="1:56">
      <c r="A308" t="s">
        <v>633</v>
      </c>
      <c r="B308" t="s">
        <v>305</v>
      </c>
      <c r="D308" t="s">
        <v>64</v>
      </c>
      <c r="E308" t="s">
        <v>59</v>
      </c>
      <c r="F308" t="s">
        <v>60</v>
      </c>
      <c r="G308">
        <v>32000</v>
      </c>
      <c r="H308">
        <v>0.5</v>
      </c>
      <c r="I308">
        <v>0.5</v>
      </c>
      <c r="J308">
        <v>0</v>
      </c>
      <c r="K308">
        <v>1</v>
      </c>
      <c r="L308">
        <v>20000000</v>
      </c>
      <c r="M308">
        <v>190</v>
      </c>
      <c r="N308">
        <v>190</v>
      </c>
      <c r="O308">
        <v>190</v>
      </c>
      <c r="P308">
        <v>0</v>
      </c>
      <c r="Q308" t="s">
        <v>61</v>
      </c>
      <c r="R308">
        <v>100019071436783</v>
      </c>
      <c r="S308">
        <v>10001383</v>
      </c>
      <c r="T308">
        <v>100019071436783</v>
      </c>
      <c r="U308">
        <v>10001383</v>
      </c>
      <c r="V308" t="s">
        <v>71</v>
      </c>
      <c r="W308">
        <v>60</v>
      </c>
      <c r="X308">
        <v>10001382</v>
      </c>
      <c r="Y308">
        <v>10001383</v>
      </c>
      <c r="Z308">
        <v>20002765</v>
      </c>
      <c r="AA308">
        <v>10001383</v>
      </c>
      <c r="AB308">
        <v>2</v>
      </c>
      <c r="AC308">
        <v>1</v>
      </c>
      <c r="AD308">
        <v>1.5</v>
      </c>
      <c r="AE308">
        <v>31.456700000000001</v>
      </c>
      <c r="AF308">
        <v>640088480</v>
      </c>
      <c r="AJ308">
        <v>18686</v>
      </c>
      <c r="AM308">
        <v>3158330779</v>
      </c>
      <c r="AN308">
        <v>0</v>
      </c>
      <c r="AO308">
        <v>31900390</v>
      </c>
      <c r="AP308">
        <v>3158330779</v>
      </c>
      <c r="AQ308">
        <v>3190231169</v>
      </c>
      <c r="AR308">
        <v>98697836</v>
      </c>
      <c r="AS308">
        <v>0</v>
      </c>
      <c r="AT308">
        <v>996887</v>
      </c>
      <c r="AU308">
        <v>98697836</v>
      </c>
      <c r="AV308">
        <v>99694724</v>
      </c>
      <c r="AW308">
        <v>25.2531</v>
      </c>
      <c r="AX308">
        <v>10.356999999999999</v>
      </c>
      <c r="AY308">
        <v>5305.52</v>
      </c>
      <c r="AZ308">
        <v>4304.67</v>
      </c>
      <c r="BA308">
        <v>1762</v>
      </c>
      <c r="BB308">
        <v>416</v>
      </c>
      <c r="BC308" t="str">
        <f t="shared" si="10"/>
        <v>u=1%, k=2x10^7</v>
      </c>
      <c r="BD308">
        <f t="shared" si="11"/>
        <v>32</v>
      </c>
    </row>
    <row r="309" spans="1:56">
      <c r="A309" t="s">
        <v>634</v>
      </c>
      <c r="B309" t="s">
        <v>305</v>
      </c>
      <c r="D309" t="s">
        <v>64</v>
      </c>
      <c r="E309" t="s">
        <v>59</v>
      </c>
      <c r="F309" t="s">
        <v>60</v>
      </c>
      <c r="G309">
        <v>64000</v>
      </c>
      <c r="H309">
        <v>0.5</v>
      </c>
      <c r="I309">
        <v>0.5</v>
      </c>
      <c r="J309">
        <v>0</v>
      </c>
      <c r="K309">
        <v>1</v>
      </c>
      <c r="L309">
        <v>20000000</v>
      </c>
      <c r="M309">
        <v>190</v>
      </c>
      <c r="N309">
        <v>190</v>
      </c>
      <c r="O309">
        <v>190</v>
      </c>
      <c r="P309">
        <v>0</v>
      </c>
      <c r="Q309" t="s">
        <v>61</v>
      </c>
      <c r="R309">
        <v>100044294629461</v>
      </c>
      <c r="S309">
        <v>10005219</v>
      </c>
      <c r="T309">
        <v>100044294629461</v>
      </c>
      <c r="U309">
        <v>10005219</v>
      </c>
      <c r="V309" t="s">
        <v>71</v>
      </c>
      <c r="W309">
        <v>63</v>
      </c>
      <c r="X309">
        <v>10005218</v>
      </c>
      <c r="Y309">
        <v>10005219</v>
      </c>
      <c r="Z309">
        <v>20010437</v>
      </c>
      <c r="AA309">
        <v>10005219</v>
      </c>
      <c r="AB309">
        <v>2</v>
      </c>
      <c r="AC309">
        <v>1</v>
      </c>
      <c r="AD309">
        <v>1.5</v>
      </c>
      <c r="AE309">
        <v>32.0428</v>
      </c>
      <c r="AF309">
        <v>640333984</v>
      </c>
      <c r="AJ309" t="s">
        <v>635</v>
      </c>
      <c r="AM309">
        <v>6260858560</v>
      </c>
      <c r="AN309">
        <v>0</v>
      </c>
      <c r="AO309">
        <v>63241933</v>
      </c>
      <c r="AP309">
        <v>6260858560</v>
      </c>
      <c r="AQ309">
        <v>6324100493</v>
      </c>
      <c r="AR309">
        <v>97825915</v>
      </c>
      <c r="AS309">
        <v>0</v>
      </c>
      <c r="AT309">
        <v>988155</v>
      </c>
      <c r="AU309">
        <v>97825915</v>
      </c>
      <c r="AV309">
        <v>98814070</v>
      </c>
      <c r="AW309">
        <v>25.5562</v>
      </c>
      <c r="AX309">
        <v>10.473699999999999</v>
      </c>
      <c r="AY309">
        <v>5352.96</v>
      </c>
      <c r="AZ309">
        <v>4356.88</v>
      </c>
      <c r="BA309">
        <v>1769</v>
      </c>
      <c r="BB309">
        <v>423</v>
      </c>
      <c r="BC309" t="str">
        <f t="shared" si="10"/>
        <v>u=1%, k=2x10^7</v>
      </c>
      <c r="BD309">
        <f t="shared" si="11"/>
        <v>64</v>
      </c>
    </row>
    <row r="310" spans="1:56">
      <c r="A310" t="s">
        <v>636</v>
      </c>
      <c r="B310" t="s">
        <v>63</v>
      </c>
      <c r="C310">
        <v>72</v>
      </c>
      <c r="D310" t="s">
        <v>64</v>
      </c>
      <c r="E310" t="s">
        <v>59</v>
      </c>
      <c r="F310" t="s">
        <v>60</v>
      </c>
      <c r="G310">
        <v>1000</v>
      </c>
      <c r="H310">
        <v>0.5</v>
      </c>
      <c r="I310">
        <v>0.5</v>
      </c>
      <c r="J310">
        <v>0</v>
      </c>
      <c r="K310">
        <v>1</v>
      </c>
      <c r="L310">
        <v>200000000</v>
      </c>
      <c r="M310">
        <v>190</v>
      </c>
      <c r="N310">
        <v>190</v>
      </c>
      <c r="O310">
        <v>190</v>
      </c>
      <c r="P310">
        <v>0</v>
      </c>
      <c r="Q310" t="s">
        <v>61</v>
      </c>
      <c r="R310">
        <v>9999402574214010</v>
      </c>
      <c r="S310">
        <v>100000796</v>
      </c>
      <c r="T310">
        <v>9999402574214010</v>
      </c>
      <c r="U310">
        <v>100000796</v>
      </c>
      <c r="V310" t="s">
        <v>71</v>
      </c>
      <c r="W310">
        <v>7</v>
      </c>
      <c r="X310">
        <v>11508991</v>
      </c>
      <c r="Y310">
        <v>110999481</v>
      </c>
      <c r="Z310">
        <v>122508472</v>
      </c>
      <c r="AA310">
        <v>100000796</v>
      </c>
      <c r="AB310">
        <v>10.644600000000001</v>
      </c>
      <c r="AC310">
        <v>0.90091200000000005</v>
      </c>
      <c r="AD310">
        <v>1.8162799999999999</v>
      </c>
      <c r="AE310">
        <v>4.0100300000000004</v>
      </c>
      <c r="AF310">
        <v>2696784096</v>
      </c>
      <c r="AG310" t="s">
        <v>637</v>
      </c>
      <c r="AH310" t="s">
        <v>637</v>
      </c>
      <c r="AJ310">
        <v>1236</v>
      </c>
      <c r="AM310">
        <v>200995376</v>
      </c>
      <c r="AN310">
        <v>0</v>
      </c>
      <c r="AO310">
        <v>2030173</v>
      </c>
      <c r="AP310">
        <v>200995376</v>
      </c>
      <c r="AQ310">
        <v>203025549</v>
      </c>
      <c r="AR310">
        <v>200995376</v>
      </c>
      <c r="AS310">
        <v>0</v>
      </c>
      <c r="AT310">
        <v>2030173</v>
      </c>
      <c r="AU310">
        <v>200995376</v>
      </c>
      <c r="AV310">
        <v>203025549</v>
      </c>
      <c r="AW310">
        <v>19.001799999999999</v>
      </c>
      <c r="AX310">
        <v>8.8266500000000008</v>
      </c>
      <c r="AY310">
        <v>2602.36</v>
      </c>
      <c r="AZ310">
        <v>1867.52</v>
      </c>
      <c r="BA310">
        <v>7411</v>
      </c>
      <c r="BB310">
        <v>1101</v>
      </c>
      <c r="BC310" t="str">
        <f t="shared" si="10"/>
        <v>u=1%, k=2x10^8</v>
      </c>
      <c r="BD310">
        <f t="shared" si="11"/>
        <v>1</v>
      </c>
    </row>
    <row r="311" spans="1:56">
      <c r="A311" t="s">
        <v>638</v>
      </c>
      <c r="B311" t="s">
        <v>63</v>
      </c>
      <c r="C311">
        <v>72</v>
      </c>
      <c r="D311" t="s">
        <v>64</v>
      </c>
      <c r="E311" t="s">
        <v>59</v>
      </c>
      <c r="F311" t="s">
        <v>60</v>
      </c>
      <c r="G311">
        <v>2000</v>
      </c>
      <c r="H311">
        <v>0.5</v>
      </c>
      <c r="I311">
        <v>0.5</v>
      </c>
      <c r="J311">
        <v>0</v>
      </c>
      <c r="K311">
        <v>1</v>
      </c>
      <c r="L311">
        <v>200000000</v>
      </c>
      <c r="M311">
        <v>190</v>
      </c>
      <c r="N311">
        <v>190</v>
      </c>
      <c r="O311">
        <v>190</v>
      </c>
      <c r="P311">
        <v>0</v>
      </c>
      <c r="Q311" t="s">
        <v>61</v>
      </c>
      <c r="R311">
        <v>1.00006418113648E+16</v>
      </c>
      <c r="S311">
        <v>99998229</v>
      </c>
      <c r="T311">
        <v>1.00006418113648E+16</v>
      </c>
      <c r="U311">
        <v>99998229</v>
      </c>
      <c r="V311" t="s">
        <v>71</v>
      </c>
      <c r="W311">
        <v>7</v>
      </c>
      <c r="X311">
        <v>11978155</v>
      </c>
      <c r="Y311">
        <v>111946426</v>
      </c>
      <c r="Z311">
        <v>123924581</v>
      </c>
      <c r="AA311">
        <v>99998229</v>
      </c>
      <c r="AB311">
        <v>10.3459</v>
      </c>
      <c r="AC311">
        <v>0.89326899999999998</v>
      </c>
      <c r="AD311">
        <v>1.8069299999999999</v>
      </c>
      <c r="AE311">
        <v>4.01959</v>
      </c>
      <c r="AF311">
        <v>2749659104</v>
      </c>
      <c r="AG311" t="s">
        <v>639</v>
      </c>
      <c r="AH311" t="s">
        <v>639</v>
      </c>
      <c r="AJ311">
        <v>2436</v>
      </c>
      <c r="AM311">
        <v>401534049</v>
      </c>
      <c r="AN311">
        <v>0</v>
      </c>
      <c r="AO311">
        <v>4058185</v>
      </c>
      <c r="AP311">
        <v>401534049</v>
      </c>
      <c r="AQ311">
        <v>405592234</v>
      </c>
      <c r="AR311">
        <v>200767024</v>
      </c>
      <c r="AS311">
        <v>0</v>
      </c>
      <c r="AT311">
        <v>2029092</v>
      </c>
      <c r="AU311">
        <v>200767024</v>
      </c>
      <c r="AV311">
        <v>202796117</v>
      </c>
      <c r="AW311">
        <v>19</v>
      </c>
      <c r="AX311">
        <v>8.9154300000000006</v>
      </c>
      <c r="AY311">
        <v>2606.2199999999998</v>
      </c>
      <c r="AZ311">
        <v>1870.6</v>
      </c>
      <c r="BA311">
        <v>7466</v>
      </c>
      <c r="BB311">
        <v>1077</v>
      </c>
      <c r="BC311" t="str">
        <f t="shared" si="10"/>
        <v>u=1%, k=2x10^8</v>
      </c>
      <c r="BD311">
        <f t="shared" si="11"/>
        <v>2</v>
      </c>
    </row>
    <row r="312" spans="1:56">
      <c r="A312" t="s">
        <v>640</v>
      </c>
      <c r="B312" t="s">
        <v>63</v>
      </c>
      <c r="C312">
        <v>72</v>
      </c>
      <c r="D312" t="s">
        <v>64</v>
      </c>
      <c r="E312" t="s">
        <v>59</v>
      </c>
      <c r="F312" t="s">
        <v>60</v>
      </c>
      <c r="G312">
        <v>4000</v>
      </c>
      <c r="H312">
        <v>0.5</v>
      </c>
      <c r="I312">
        <v>0.5</v>
      </c>
      <c r="J312">
        <v>0</v>
      </c>
      <c r="K312">
        <v>1</v>
      </c>
      <c r="L312">
        <v>200000000</v>
      </c>
      <c r="M312">
        <v>190</v>
      </c>
      <c r="N312">
        <v>190</v>
      </c>
      <c r="O312">
        <v>190</v>
      </c>
      <c r="P312">
        <v>0</v>
      </c>
      <c r="Q312" t="s">
        <v>61</v>
      </c>
      <c r="R312">
        <v>9999889050575380</v>
      </c>
      <c r="S312">
        <v>99998546</v>
      </c>
      <c r="T312">
        <v>9999889050575380</v>
      </c>
      <c r="U312">
        <v>99998546</v>
      </c>
      <c r="V312" t="s">
        <v>71</v>
      </c>
      <c r="W312">
        <v>7</v>
      </c>
      <c r="X312">
        <v>12799714</v>
      </c>
      <c r="Y312">
        <v>113623097</v>
      </c>
      <c r="Z312">
        <v>126422811</v>
      </c>
      <c r="AA312">
        <v>99998546</v>
      </c>
      <c r="AB312">
        <v>9.8770000000000007</v>
      </c>
      <c r="AC312">
        <v>0.88009000000000004</v>
      </c>
      <c r="AD312">
        <v>1.79098</v>
      </c>
      <c r="AE312">
        <v>4.0365500000000001</v>
      </c>
      <c r="AF312">
        <v>2842799696</v>
      </c>
      <c r="AG312" t="s">
        <v>641</v>
      </c>
      <c r="AH312" t="s">
        <v>641</v>
      </c>
      <c r="AJ312">
        <v>4874</v>
      </c>
      <c r="AM312">
        <v>796849034</v>
      </c>
      <c r="AN312">
        <v>0</v>
      </c>
      <c r="AO312">
        <v>8044765</v>
      </c>
      <c r="AP312">
        <v>796849034</v>
      </c>
      <c r="AQ312">
        <v>804893799</v>
      </c>
      <c r="AR312">
        <v>199212258</v>
      </c>
      <c r="AS312">
        <v>0</v>
      </c>
      <c r="AT312">
        <v>2011191</v>
      </c>
      <c r="AU312">
        <v>199212258</v>
      </c>
      <c r="AV312">
        <v>201223449</v>
      </c>
      <c r="AW312">
        <v>18.984500000000001</v>
      </c>
      <c r="AX312">
        <v>9.0396699999999992</v>
      </c>
      <c r="AY312">
        <v>2624.54</v>
      </c>
      <c r="AZ312">
        <v>1880.42</v>
      </c>
      <c r="BA312">
        <v>7568</v>
      </c>
      <c r="BB312">
        <v>1077</v>
      </c>
      <c r="BC312" t="str">
        <f t="shared" si="10"/>
        <v>u=1%, k=2x10^8</v>
      </c>
      <c r="BD312">
        <f t="shared" si="11"/>
        <v>4</v>
      </c>
    </row>
    <row r="313" spans="1:56">
      <c r="A313" t="s">
        <v>642</v>
      </c>
      <c r="B313" t="s">
        <v>63</v>
      </c>
      <c r="C313">
        <v>72</v>
      </c>
      <c r="D313" t="s">
        <v>64</v>
      </c>
      <c r="E313" t="s">
        <v>59</v>
      </c>
      <c r="F313" t="s">
        <v>60</v>
      </c>
      <c r="G313">
        <v>8000</v>
      </c>
      <c r="H313">
        <v>0.5</v>
      </c>
      <c r="I313">
        <v>0.5</v>
      </c>
      <c r="J313">
        <v>0</v>
      </c>
      <c r="K313">
        <v>1</v>
      </c>
      <c r="L313">
        <v>200000000</v>
      </c>
      <c r="M313">
        <v>190</v>
      </c>
      <c r="N313">
        <v>190</v>
      </c>
      <c r="O313">
        <v>190</v>
      </c>
      <c r="P313">
        <v>0</v>
      </c>
      <c r="Q313" t="s">
        <v>61</v>
      </c>
      <c r="R313">
        <v>9999561561551560</v>
      </c>
      <c r="S313">
        <v>99999370</v>
      </c>
      <c r="T313">
        <v>9999561561551560</v>
      </c>
      <c r="U313">
        <v>99999370</v>
      </c>
      <c r="V313" t="s">
        <v>71</v>
      </c>
      <c r="W313">
        <v>7</v>
      </c>
      <c r="X313">
        <v>13970273</v>
      </c>
      <c r="Y313">
        <v>116076425</v>
      </c>
      <c r="Z313">
        <v>130046698</v>
      </c>
      <c r="AA313">
        <v>99999370</v>
      </c>
      <c r="AB313">
        <v>9.3088200000000008</v>
      </c>
      <c r="AC313">
        <v>0.86149600000000004</v>
      </c>
      <c r="AD313">
        <v>1.76895</v>
      </c>
      <c r="AE313">
        <v>4.0612000000000004</v>
      </c>
      <c r="AF313">
        <v>2977066576</v>
      </c>
      <c r="AG313" t="s">
        <v>643</v>
      </c>
      <c r="AH313" t="s">
        <v>643</v>
      </c>
      <c r="AJ313">
        <v>9608</v>
      </c>
      <c r="AM313">
        <v>1564759502</v>
      </c>
      <c r="AN313">
        <v>0</v>
      </c>
      <c r="AO313">
        <v>15807408</v>
      </c>
      <c r="AP313">
        <v>1564759502</v>
      </c>
      <c r="AQ313">
        <v>1580566910</v>
      </c>
      <c r="AR313">
        <v>195594937</v>
      </c>
      <c r="AS313">
        <v>0</v>
      </c>
      <c r="AT313">
        <v>1975926</v>
      </c>
      <c r="AU313">
        <v>195594937</v>
      </c>
      <c r="AV313">
        <v>197570863</v>
      </c>
      <c r="AW313">
        <v>19.169799999999999</v>
      </c>
      <c r="AX313">
        <v>9.2406900000000007</v>
      </c>
      <c r="AY313">
        <v>2673.16</v>
      </c>
      <c r="AZ313">
        <v>1923.23</v>
      </c>
      <c r="BA313">
        <v>7756</v>
      </c>
      <c r="BB313">
        <v>1109</v>
      </c>
      <c r="BC313" t="str">
        <f t="shared" si="10"/>
        <v>u=1%, k=2x10^8</v>
      </c>
      <c r="BD313">
        <f t="shared" si="11"/>
        <v>8</v>
      </c>
    </row>
    <row r="314" spans="1:56">
      <c r="A314" t="s">
        <v>644</v>
      </c>
      <c r="B314" t="s">
        <v>63</v>
      </c>
      <c r="C314">
        <v>72</v>
      </c>
      <c r="D314" t="s">
        <v>64</v>
      </c>
      <c r="E314" t="s">
        <v>59</v>
      </c>
      <c r="F314" t="s">
        <v>60</v>
      </c>
      <c r="G314">
        <v>16000</v>
      </c>
      <c r="H314">
        <v>0.5</v>
      </c>
      <c r="I314">
        <v>0.5</v>
      </c>
      <c r="J314">
        <v>0</v>
      </c>
      <c r="K314">
        <v>1</v>
      </c>
      <c r="L314">
        <v>200000000</v>
      </c>
      <c r="M314">
        <v>190</v>
      </c>
      <c r="N314">
        <v>190</v>
      </c>
      <c r="O314">
        <v>190</v>
      </c>
      <c r="P314">
        <v>0</v>
      </c>
      <c r="Q314" t="s">
        <v>61</v>
      </c>
      <c r="R314">
        <v>1.00003538542327E+16</v>
      </c>
      <c r="S314">
        <v>99998702</v>
      </c>
      <c r="T314">
        <v>1.00003538542327E+16</v>
      </c>
      <c r="U314">
        <v>99998702</v>
      </c>
      <c r="V314" t="s">
        <v>71</v>
      </c>
      <c r="W314">
        <v>7</v>
      </c>
      <c r="X314">
        <v>14945621</v>
      </c>
      <c r="Y314">
        <v>118262759</v>
      </c>
      <c r="Z314">
        <v>133208380</v>
      </c>
      <c r="AA314">
        <v>99998702</v>
      </c>
      <c r="AB314">
        <v>8.9128699999999998</v>
      </c>
      <c r="AC314">
        <v>0.84556399999999998</v>
      </c>
      <c r="AD314">
        <v>1.7506900000000001</v>
      </c>
      <c r="AE314">
        <v>4.0821300000000003</v>
      </c>
      <c r="AF314">
        <v>3092076128</v>
      </c>
      <c r="AG314" t="s">
        <v>645</v>
      </c>
      <c r="AH314" t="s">
        <v>646</v>
      </c>
      <c r="AI314">
        <v>1</v>
      </c>
      <c r="AJ314">
        <v>19158</v>
      </c>
      <c r="AM314">
        <v>3113663370</v>
      </c>
      <c r="AN314">
        <v>0</v>
      </c>
      <c r="AO314">
        <v>31454170</v>
      </c>
      <c r="AP314">
        <v>3113663370</v>
      </c>
      <c r="AQ314">
        <v>3145117540</v>
      </c>
      <c r="AR314">
        <v>194603960</v>
      </c>
      <c r="AS314">
        <v>0</v>
      </c>
      <c r="AT314">
        <v>1965885</v>
      </c>
      <c r="AU314">
        <v>194603960</v>
      </c>
      <c r="AV314">
        <v>196569846</v>
      </c>
      <c r="AW314">
        <v>19.322800000000001</v>
      </c>
      <c r="AX314">
        <v>9.4577299999999997</v>
      </c>
      <c r="AY314">
        <v>2685.37</v>
      </c>
      <c r="AZ314">
        <v>1940.05</v>
      </c>
      <c r="BA314">
        <v>8103</v>
      </c>
      <c r="BB314">
        <v>1179</v>
      </c>
      <c r="BC314" t="str">
        <f t="shared" si="10"/>
        <v>u=1%, k=2x10^8</v>
      </c>
      <c r="BD314">
        <f t="shared" si="11"/>
        <v>16</v>
      </c>
    </row>
    <row r="315" spans="1:56">
      <c r="A315" t="s">
        <v>647</v>
      </c>
      <c r="B315" t="s">
        <v>63</v>
      </c>
      <c r="C315">
        <v>72</v>
      </c>
      <c r="D315" t="s">
        <v>64</v>
      </c>
      <c r="E315" t="s">
        <v>59</v>
      </c>
      <c r="F315" t="s">
        <v>60</v>
      </c>
      <c r="G315">
        <v>32000</v>
      </c>
      <c r="H315">
        <v>0.5</v>
      </c>
      <c r="I315">
        <v>0.5</v>
      </c>
      <c r="J315">
        <v>0</v>
      </c>
      <c r="K315">
        <v>1</v>
      </c>
      <c r="L315">
        <v>200000000</v>
      </c>
      <c r="M315">
        <v>190</v>
      </c>
      <c r="N315">
        <v>190</v>
      </c>
      <c r="O315">
        <v>190</v>
      </c>
      <c r="P315">
        <v>0</v>
      </c>
      <c r="Q315" t="s">
        <v>61</v>
      </c>
      <c r="R315">
        <v>9999809044474910</v>
      </c>
      <c r="S315">
        <v>99995295</v>
      </c>
      <c r="T315">
        <v>9999809044474910</v>
      </c>
      <c r="U315">
        <v>99995295</v>
      </c>
      <c r="V315" t="s">
        <v>71</v>
      </c>
      <c r="W315">
        <v>7</v>
      </c>
      <c r="X315">
        <v>13258420</v>
      </c>
      <c r="Y315">
        <v>114569250</v>
      </c>
      <c r="Z315">
        <v>127827670</v>
      </c>
      <c r="AA315">
        <v>99995295</v>
      </c>
      <c r="AB315">
        <v>9.6412399999999998</v>
      </c>
      <c r="AC315">
        <v>0.87279300000000004</v>
      </c>
      <c r="AD315">
        <v>1.78227</v>
      </c>
      <c r="AE315">
        <v>4.04617</v>
      </c>
      <c r="AF315">
        <v>2895096352</v>
      </c>
      <c r="AG315" t="s">
        <v>648</v>
      </c>
      <c r="AH315" t="s">
        <v>649</v>
      </c>
      <c r="AI315">
        <v>3919</v>
      </c>
      <c r="AJ315">
        <v>34204</v>
      </c>
      <c r="AM315">
        <v>6006739199</v>
      </c>
      <c r="AN315">
        <v>0</v>
      </c>
      <c r="AO315">
        <v>60663025</v>
      </c>
      <c r="AP315">
        <v>6006739199</v>
      </c>
      <c r="AQ315">
        <v>6067402224</v>
      </c>
      <c r="AR315">
        <v>187710599</v>
      </c>
      <c r="AS315">
        <v>0</v>
      </c>
      <c r="AT315">
        <v>1895719</v>
      </c>
      <c r="AU315">
        <v>187710599</v>
      </c>
      <c r="AV315">
        <v>189606319</v>
      </c>
      <c r="AW315">
        <v>19.447500000000002</v>
      </c>
      <c r="AX315">
        <v>9.5618999999999996</v>
      </c>
      <c r="AY315">
        <v>2734.16</v>
      </c>
      <c r="AZ315">
        <v>1976.19</v>
      </c>
      <c r="BA315">
        <v>13373</v>
      </c>
      <c r="BB315">
        <v>1074</v>
      </c>
      <c r="BC315" t="str">
        <f t="shared" si="10"/>
        <v>u=1%, k=2x10^8</v>
      </c>
      <c r="BD315">
        <f t="shared" si="11"/>
        <v>32</v>
      </c>
    </row>
    <row r="316" spans="1:56">
      <c r="A316" t="s">
        <v>650</v>
      </c>
      <c r="B316" t="s">
        <v>63</v>
      </c>
      <c r="C316">
        <v>72</v>
      </c>
      <c r="D316" t="s">
        <v>64</v>
      </c>
      <c r="E316" t="s">
        <v>59</v>
      </c>
      <c r="F316" t="s">
        <v>60</v>
      </c>
      <c r="G316">
        <v>64000</v>
      </c>
      <c r="H316">
        <v>0.5</v>
      </c>
      <c r="I316">
        <v>0.5</v>
      </c>
      <c r="J316">
        <v>0</v>
      </c>
      <c r="K316">
        <v>1</v>
      </c>
      <c r="L316">
        <v>200000000</v>
      </c>
      <c r="M316">
        <v>190</v>
      </c>
      <c r="N316">
        <v>190</v>
      </c>
      <c r="O316">
        <v>190</v>
      </c>
      <c r="P316">
        <v>0</v>
      </c>
      <c r="Q316" t="s">
        <v>61</v>
      </c>
      <c r="R316">
        <v>1.00012213436621E+16</v>
      </c>
      <c r="S316">
        <v>100008157</v>
      </c>
      <c r="T316">
        <v>1.00012213436621E+16</v>
      </c>
      <c r="U316">
        <v>100008157</v>
      </c>
      <c r="V316" t="s">
        <v>71</v>
      </c>
      <c r="W316">
        <v>7</v>
      </c>
      <c r="X316">
        <v>14481169</v>
      </c>
      <c r="Y316">
        <v>117196709</v>
      </c>
      <c r="Z316">
        <v>131677878</v>
      </c>
      <c r="AA316">
        <v>100008157</v>
      </c>
      <c r="AB316">
        <v>9.0930400000000002</v>
      </c>
      <c r="AC316">
        <v>0.85333599999999998</v>
      </c>
      <c r="AD316">
        <v>1.75949</v>
      </c>
      <c r="AE316">
        <v>4.0721400000000001</v>
      </c>
      <c r="AF316">
        <v>3036705328</v>
      </c>
      <c r="AG316" t="s">
        <v>651</v>
      </c>
      <c r="AH316" t="s">
        <v>652</v>
      </c>
      <c r="AI316">
        <v>8132</v>
      </c>
      <c r="AJ316">
        <v>62932</v>
      </c>
      <c r="AM316">
        <v>11986717734</v>
      </c>
      <c r="AN316">
        <v>0</v>
      </c>
      <c r="AO316">
        <v>121088557</v>
      </c>
      <c r="AP316">
        <v>11986717734</v>
      </c>
      <c r="AQ316">
        <v>12107806291</v>
      </c>
      <c r="AR316">
        <v>187292464</v>
      </c>
      <c r="AS316">
        <v>0</v>
      </c>
      <c r="AT316">
        <v>1892008</v>
      </c>
      <c r="AU316">
        <v>187292464</v>
      </c>
      <c r="AV316">
        <v>189184473</v>
      </c>
      <c r="AW316">
        <v>19.4499</v>
      </c>
      <c r="AX316">
        <v>9.6234699999999993</v>
      </c>
      <c r="AY316">
        <v>2742.43</v>
      </c>
      <c r="AZ316">
        <v>1984.68</v>
      </c>
      <c r="BA316">
        <v>13810</v>
      </c>
      <c r="BB316">
        <v>1108</v>
      </c>
      <c r="BC316" t="str">
        <f t="shared" si="10"/>
        <v>u=1%, k=2x10^8</v>
      </c>
      <c r="BD316">
        <f t="shared" si="11"/>
        <v>64</v>
      </c>
    </row>
    <row r="317" spans="1:56">
      <c r="A317" t="s">
        <v>653</v>
      </c>
      <c r="B317" t="s">
        <v>300</v>
      </c>
      <c r="C317">
        <v>208</v>
      </c>
      <c r="D317" t="s">
        <v>64</v>
      </c>
      <c r="E317" t="s">
        <v>59</v>
      </c>
      <c r="F317" t="s">
        <v>60</v>
      </c>
      <c r="G317">
        <v>1000</v>
      </c>
      <c r="H317">
        <v>0.5</v>
      </c>
      <c r="I317">
        <v>0.5</v>
      </c>
      <c r="J317">
        <v>0</v>
      </c>
      <c r="K317">
        <v>1</v>
      </c>
      <c r="L317">
        <v>200000000</v>
      </c>
      <c r="M317">
        <v>190</v>
      </c>
      <c r="N317">
        <v>190</v>
      </c>
      <c r="O317">
        <v>190</v>
      </c>
      <c r="P317">
        <v>0</v>
      </c>
      <c r="Q317" t="s">
        <v>61</v>
      </c>
      <c r="R317">
        <v>1.00004958220742E+16</v>
      </c>
      <c r="S317">
        <v>100000406</v>
      </c>
      <c r="T317">
        <v>1.00004958220742E+16</v>
      </c>
      <c r="U317">
        <v>100000406</v>
      </c>
      <c r="V317" t="s">
        <v>71</v>
      </c>
      <c r="W317">
        <v>10</v>
      </c>
      <c r="X317">
        <v>1861479</v>
      </c>
      <c r="Y317">
        <v>12806071</v>
      </c>
      <c r="Z317">
        <v>14667550</v>
      </c>
      <c r="AA317">
        <v>100000406</v>
      </c>
      <c r="AB317">
        <v>7.8795099999999998</v>
      </c>
      <c r="AC317">
        <v>7.8088300000000004</v>
      </c>
      <c r="AD317">
        <v>7.8178000000000001</v>
      </c>
      <c r="AE317">
        <v>9</v>
      </c>
      <c r="AF317">
        <v>3050850400</v>
      </c>
      <c r="AJ317" t="s">
        <v>654</v>
      </c>
      <c r="AM317">
        <v>152100525</v>
      </c>
      <c r="AN317">
        <v>0</v>
      </c>
      <c r="AO317">
        <v>1536904</v>
      </c>
      <c r="AP317">
        <v>152100525</v>
      </c>
      <c r="AQ317">
        <v>153637429</v>
      </c>
      <c r="AR317">
        <v>152100525</v>
      </c>
      <c r="AS317">
        <v>0</v>
      </c>
      <c r="AT317">
        <v>1536904</v>
      </c>
      <c r="AU317">
        <v>152100525</v>
      </c>
      <c r="AV317">
        <v>153637429</v>
      </c>
      <c r="AW317">
        <v>23.637899999999998</v>
      </c>
      <c r="AX317">
        <v>10.390700000000001</v>
      </c>
      <c r="AY317">
        <v>3427.48</v>
      </c>
      <c r="AZ317">
        <v>2450.9499999999998</v>
      </c>
      <c r="BA317">
        <v>5145</v>
      </c>
      <c r="BB317">
        <v>6044</v>
      </c>
      <c r="BC317" t="str">
        <f t="shared" si="10"/>
        <v>u=1%, k=2x10^8</v>
      </c>
      <c r="BD317">
        <f t="shared" si="11"/>
        <v>1</v>
      </c>
    </row>
    <row r="318" spans="1:56">
      <c r="A318" t="s">
        <v>655</v>
      </c>
      <c r="B318" t="s">
        <v>300</v>
      </c>
      <c r="C318">
        <v>208</v>
      </c>
      <c r="D318" t="s">
        <v>64</v>
      </c>
      <c r="E318" t="s">
        <v>59</v>
      </c>
      <c r="F318" t="s">
        <v>60</v>
      </c>
      <c r="G318">
        <v>2000</v>
      </c>
      <c r="H318">
        <v>0.5</v>
      </c>
      <c r="I318">
        <v>0.5</v>
      </c>
      <c r="J318">
        <v>0</v>
      </c>
      <c r="K318">
        <v>1</v>
      </c>
      <c r="L318">
        <v>200000000</v>
      </c>
      <c r="M318">
        <v>190</v>
      </c>
      <c r="N318">
        <v>190</v>
      </c>
      <c r="O318">
        <v>190</v>
      </c>
      <c r="P318">
        <v>0</v>
      </c>
      <c r="Q318" t="s">
        <v>61</v>
      </c>
      <c r="R318">
        <v>1.00007296838724E+16</v>
      </c>
      <c r="S318">
        <v>100000502</v>
      </c>
      <c r="T318">
        <v>1.00007296838724E+16</v>
      </c>
      <c r="U318">
        <v>100000502</v>
      </c>
      <c r="V318" t="s">
        <v>71</v>
      </c>
      <c r="W318">
        <v>10</v>
      </c>
      <c r="X318">
        <v>1867789</v>
      </c>
      <c r="Y318">
        <v>12850999</v>
      </c>
      <c r="Z318">
        <v>14718788</v>
      </c>
      <c r="AA318">
        <v>100000502</v>
      </c>
      <c r="AB318">
        <v>7.8803299999999998</v>
      </c>
      <c r="AC318">
        <v>7.7815399999999997</v>
      </c>
      <c r="AD318">
        <v>7.7940699999999996</v>
      </c>
      <c r="AE318">
        <v>9</v>
      </c>
      <c r="AF318">
        <v>3061507904</v>
      </c>
      <c r="AJ318" t="s">
        <v>656</v>
      </c>
      <c r="AM318">
        <v>305610853</v>
      </c>
      <c r="AN318">
        <v>0</v>
      </c>
      <c r="AO318">
        <v>3088760</v>
      </c>
      <c r="AP318">
        <v>305610853</v>
      </c>
      <c r="AQ318">
        <v>308699613</v>
      </c>
      <c r="AR318">
        <v>152805426</v>
      </c>
      <c r="AS318">
        <v>0</v>
      </c>
      <c r="AT318">
        <v>1544380</v>
      </c>
      <c r="AU318">
        <v>152805426</v>
      </c>
      <c r="AV318">
        <v>154349806</v>
      </c>
      <c r="AW318">
        <v>23.615400000000001</v>
      </c>
      <c r="AX318">
        <v>10.440799999999999</v>
      </c>
      <c r="AY318">
        <v>3417.43</v>
      </c>
      <c r="AZ318">
        <v>2441.91</v>
      </c>
      <c r="BA318">
        <v>5146</v>
      </c>
      <c r="BB318">
        <v>6071</v>
      </c>
      <c r="BC318" t="str">
        <f t="shared" si="10"/>
        <v>u=1%, k=2x10^8</v>
      </c>
      <c r="BD318">
        <f t="shared" si="11"/>
        <v>2</v>
      </c>
    </row>
    <row r="319" spans="1:56">
      <c r="A319" t="s">
        <v>657</v>
      </c>
      <c r="B319" t="s">
        <v>300</v>
      </c>
      <c r="C319">
        <v>208</v>
      </c>
      <c r="D319" t="s">
        <v>64</v>
      </c>
      <c r="E319" t="s">
        <v>59</v>
      </c>
      <c r="F319" t="s">
        <v>60</v>
      </c>
      <c r="G319">
        <v>4000</v>
      </c>
      <c r="H319">
        <v>0.5</v>
      </c>
      <c r="I319">
        <v>0.5</v>
      </c>
      <c r="J319">
        <v>0</v>
      </c>
      <c r="K319">
        <v>1</v>
      </c>
      <c r="L319">
        <v>200000000</v>
      </c>
      <c r="M319">
        <v>190</v>
      </c>
      <c r="N319">
        <v>190</v>
      </c>
      <c r="O319">
        <v>190</v>
      </c>
      <c r="P319">
        <v>0</v>
      </c>
      <c r="Q319" t="s">
        <v>61</v>
      </c>
      <c r="R319">
        <v>1.00000008967096E+16</v>
      </c>
      <c r="S319">
        <v>100002191</v>
      </c>
      <c r="T319">
        <v>1.00000008967096E+16</v>
      </c>
      <c r="U319">
        <v>100002191</v>
      </c>
      <c r="V319" t="s">
        <v>71</v>
      </c>
      <c r="W319">
        <v>10</v>
      </c>
      <c r="X319">
        <v>1881237</v>
      </c>
      <c r="Y319">
        <v>12939296</v>
      </c>
      <c r="Z319">
        <v>14820533</v>
      </c>
      <c r="AA319">
        <v>100002191</v>
      </c>
      <c r="AB319">
        <v>7.8780799999999997</v>
      </c>
      <c r="AC319">
        <v>7.7285700000000004</v>
      </c>
      <c r="AD319">
        <v>7.7475399999999999</v>
      </c>
      <c r="AE319">
        <v>9</v>
      </c>
      <c r="AF319">
        <v>3082670864</v>
      </c>
      <c r="AJ319" t="s">
        <v>658</v>
      </c>
      <c r="AM319">
        <v>615347384</v>
      </c>
      <c r="AN319">
        <v>0</v>
      </c>
      <c r="AO319">
        <v>6210297</v>
      </c>
      <c r="AP319">
        <v>615347384</v>
      </c>
      <c r="AQ319">
        <v>621557681</v>
      </c>
      <c r="AR319">
        <v>153836846</v>
      </c>
      <c r="AS319">
        <v>0</v>
      </c>
      <c r="AT319">
        <v>1552574</v>
      </c>
      <c r="AU319">
        <v>153836846</v>
      </c>
      <c r="AV319">
        <v>155389420</v>
      </c>
      <c r="AW319">
        <v>23.681899999999999</v>
      </c>
      <c r="AX319">
        <v>10.5402</v>
      </c>
      <c r="AY319">
        <v>3397.34</v>
      </c>
      <c r="AZ319">
        <v>2430.92</v>
      </c>
      <c r="BA319">
        <v>5165</v>
      </c>
      <c r="BB319">
        <v>6037</v>
      </c>
      <c r="BC319" t="str">
        <f t="shared" si="10"/>
        <v>u=1%, k=2x10^8</v>
      </c>
      <c r="BD319">
        <f t="shared" si="11"/>
        <v>4</v>
      </c>
    </row>
    <row r="320" spans="1:56">
      <c r="A320" t="s">
        <v>659</v>
      </c>
      <c r="B320" t="s">
        <v>300</v>
      </c>
      <c r="C320">
        <v>208</v>
      </c>
      <c r="D320" t="s">
        <v>64</v>
      </c>
      <c r="E320" t="s">
        <v>59</v>
      </c>
      <c r="F320" t="s">
        <v>60</v>
      </c>
      <c r="G320">
        <v>8000</v>
      </c>
      <c r="H320">
        <v>0.5</v>
      </c>
      <c r="I320">
        <v>0.5</v>
      </c>
      <c r="J320">
        <v>0</v>
      </c>
      <c r="K320">
        <v>1</v>
      </c>
      <c r="L320">
        <v>200000000</v>
      </c>
      <c r="M320">
        <v>190</v>
      </c>
      <c r="N320">
        <v>190</v>
      </c>
      <c r="O320">
        <v>190</v>
      </c>
      <c r="P320">
        <v>0</v>
      </c>
      <c r="Q320" t="s">
        <v>61</v>
      </c>
      <c r="R320">
        <v>9999962141636990</v>
      </c>
      <c r="S320">
        <v>99999038</v>
      </c>
      <c r="T320">
        <v>9999962141636990</v>
      </c>
      <c r="U320">
        <v>99999038</v>
      </c>
      <c r="V320" t="s">
        <v>71</v>
      </c>
      <c r="W320">
        <v>10</v>
      </c>
      <c r="X320">
        <v>1903020</v>
      </c>
      <c r="Y320">
        <v>13095436</v>
      </c>
      <c r="Z320">
        <v>14998456</v>
      </c>
      <c r="AA320">
        <v>99999038</v>
      </c>
      <c r="AB320">
        <v>7.8814000000000002</v>
      </c>
      <c r="AC320">
        <v>7.6361699999999999</v>
      </c>
      <c r="AD320">
        <v>7.6672900000000004</v>
      </c>
      <c r="AE320">
        <v>9</v>
      </c>
      <c r="AF320">
        <v>3119678848</v>
      </c>
      <c r="AJ320" t="s">
        <v>660</v>
      </c>
      <c r="AM320">
        <v>1229561868</v>
      </c>
      <c r="AN320">
        <v>0</v>
      </c>
      <c r="AO320">
        <v>12415964</v>
      </c>
      <c r="AP320">
        <v>1229561868</v>
      </c>
      <c r="AQ320">
        <v>1241977832</v>
      </c>
      <c r="AR320">
        <v>153695233</v>
      </c>
      <c r="AS320">
        <v>0</v>
      </c>
      <c r="AT320">
        <v>1551995</v>
      </c>
      <c r="AU320">
        <v>153695233</v>
      </c>
      <c r="AV320">
        <v>155247229</v>
      </c>
      <c r="AW320">
        <v>23.661999999999999</v>
      </c>
      <c r="AX320">
        <v>10.6165</v>
      </c>
      <c r="AY320">
        <v>3400.54</v>
      </c>
      <c r="AZ320">
        <v>2427.69</v>
      </c>
      <c r="BA320">
        <v>5217</v>
      </c>
      <c r="BB320">
        <v>6057</v>
      </c>
      <c r="BC320" t="str">
        <f t="shared" si="10"/>
        <v>u=1%, k=2x10^8</v>
      </c>
      <c r="BD320">
        <f t="shared" si="11"/>
        <v>8</v>
      </c>
    </row>
    <row r="321" spans="1:56">
      <c r="A321" t="s">
        <v>661</v>
      </c>
      <c r="B321" t="s">
        <v>300</v>
      </c>
      <c r="C321">
        <v>208</v>
      </c>
      <c r="D321" t="s">
        <v>64</v>
      </c>
      <c r="E321" t="s">
        <v>59</v>
      </c>
      <c r="F321" t="s">
        <v>60</v>
      </c>
      <c r="G321">
        <v>16000</v>
      </c>
      <c r="H321">
        <v>0.5</v>
      </c>
      <c r="I321">
        <v>0.5</v>
      </c>
      <c r="J321">
        <v>0</v>
      </c>
      <c r="K321">
        <v>1</v>
      </c>
      <c r="L321">
        <v>200000000</v>
      </c>
      <c r="M321">
        <v>190</v>
      </c>
      <c r="N321">
        <v>190</v>
      </c>
      <c r="O321">
        <v>190</v>
      </c>
      <c r="P321">
        <v>0</v>
      </c>
      <c r="Q321" t="s">
        <v>61</v>
      </c>
      <c r="R321">
        <v>9999930425481660</v>
      </c>
      <c r="S321">
        <v>100002559</v>
      </c>
      <c r="T321">
        <v>9999930425481660</v>
      </c>
      <c r="U321">
        <v>100002559</v>
      </c>
      <c r="V321" t="s">
        <v>71</v>
      </c>
      <c r="W321">
        <v>10</v>
      </c>
      <c r="X321">
        <v>1941679</v>
      </c>
      <c r="Y321">
        <v>13358814</v>
      </c>
      <c r="Z321">
        <v>15300493</v>
      </c>
      <c r="AA321">
        <v>100002559</v>
      </c>
      <c r="AB321">
        <v>7.8800299999999996</v>
      </c>
      <c r="AC321">
        <v>7.4858900000000004</v>
      </c>
      <c r="AD321">
        <v>7.5358999999999998</v>
      </c>
      <c r="AE321">
        <v>9</v>
      </c>
      <c r="AF321">
        <v>3182502544</v>
      </c>
      <c r="AJ321" t="s">
        <v>662</v>
      </c>
      <c r="AM321">
        <v>2462685421</v>
      </c>
      <c r="AN321">
        <v>0</v>
      </c>
      <c r="AO321">
        <v>24876767</v>
      </c>
      <c r="AP321">
        <v>2462685421</v>
      </c>
      <c r="AQ321">
        <v>2487562188</v>
      </c>
      <c r="AR321">
        <v>153917838</v>
      </c>
      <c r="AS321">
        <v>0</v>
      </c>
      <c r="AT321">
        <v>1554797</v>
      </c>
      <c r="AU321">
        <v>153917838</v>
      </c>
      <c r="AV321">
        <v>155472636</v>
      </c>
      <c r="AW321">
        <v>23.6722</v>
      </c>
      <c r="AX321">
        <v>10.686500000000001</v>
      </c>
      <c r="AY321">
        <v>3395.65</v>
      </c>
      <c r="AZ321">
        <v>2421.9299999999998</v>
      </c>
      <c r="BA321">
        <v>5315</v>
      </c>
      <c r="BB321">
        <v>6026</v>
      </c>
      <c r="BC321" t="str">
        <f t="shared" si="10"/>
        <v>u=1%, k=2x10^8</v>
      </c>
      <c r="BD321">
        <f t="shared" si="11"/>
        <v>16</v>
      </c>
    </row>
    <row r="322" spans="1:56">
      <c r="A322" t="s">
        <v>663</v>
      </c>
      <c r="B322" t="s">
        <v>300</v>
      </c>
      <c r="C322">
        <v>208</v>
      </c>
      <c r="D322" t="s">
        <v>64</v>
      </c>
      <c r="E322" t="s">
        <v>59</v>
      </c>
      <c r="F322" t="s">
        <v>60</v>
      </c>
      <c r="G322">
        <v>32000</v>
      </c>
      <c r="H322">
        <v>0.5</v>
      </c>
      <c r="I322">
        <v>0.5</v>
      </c>
      <c r="J322">
        <v>0</v>
      </c>
      <c r="K322">
        <v>1</v>
      </c>
      <c r="L322">
        <v>200000000</v>
      </c>
      <c r="M322">
        <v>190</v>
      </c>
      <c r="N322">
        <v>190</v>
      </c>
      <c r="O322">
        <v>190</v>
      </c>
      <c r="P322">
        <v>0</v>
      </c>
      <c r="Q322" t="s">
        <v>61</v>
      </c>
      <c r="R322">
        <v>9999879244756610</v>
      </c>
      <c r="S322">
        <v>99998651</v>
      </c>
      <c r="T322">
        <v>9999879244756610</v>
      </c>
      <c r="U322">
        <v>99998651</v>
      </c>
      <c r="V322" t="s">
        <v>71</v>
      </c>
      <c r="W322">
        <v>10</v>
      </c>
      <c r="X322">
        <v>2000479</v>
      </c>
      <c r="Y322">
        <v>13765435</v>
      </c>
      <c r="Z322">
        <v>15765914</v>
      </c>
      <c r="AA322">
        <v>99998651</v>
      </c>
      <c r="AB322">
        <v>7.8810700000000002</v>
      </c>
      <c r="AC322">
        <v>7.2644700000000002</v>
      </c>
      <c r="AD322">
        <v>7.3427100000000003</v>
      </c>
      <c r="AE322">
        <v>9</v>
      </c>
      <c r="AF322">
        <v>3279310112</v>
      </c>
      <c r="AJ322" t="s">
        <v>664</v>
      </c>
      <c r="AM322">
        <v>4910302338</v>
      </c>
      <c r="AN322">
        <v>0</v>
      </c>
      <c r="AO322">
        <v>49598527</v>
      </c>
      <c r="AP322">
        <v>4910302338</v>
      </c>
      <c r="AQ322">
        <v>4959900865</v>
      </c>
      <c r="AR322">
        <v>153446948</v>
      </c>
      <c r="AS322">
        <v>0</v>
      </c>
      <c r="AT322">
        <v>1549953</v>
      </c>
      <c r="AU322">
        <v>153446948</v>
      </c>
      <c r="AV322">
        <v>154996902</v>
      </c>
      <c r="AW322">
        <v>23.735499999999998</v>
      </c>
      <c r="AX322">
        <v>10.756399999999999</v>
      </c>
      <c r="AY322">
        <v>3406.3</v>
      </c>
      <c r="AZ322">
        <v>2434.19</v>
      </c>
      <c r="BA322">
        <v>5386</v>
      </c>
      <c r="BB322">
        <v>5943</v>
      </c>
      <c r="BC322" t="str">
        <f t="shared" si="10"/>
        <v>u=1%, k=2x10^8</v>
      </c>
      <c r="BD322">
        <f t="shared" si="11"/>
        <v>32</v>
      </c>
    </row>
    <row r="323" spans="1:56">
      <c r="A323" t="s">
        <v>665</v>
      </c>
      <c r="B323" t="s">
        <v>300</v>
      </c>
      <c r="C323">
        <v>208</v>
      </c>
      <c r="D323" t="s">
        <v>64</v>
      </c>
      <c r="E323" t="s">
        <v>59</v>
      </c>
      <c r="F323" t="s">
        <v>60</v>
      </c>
      <c r="G323">
        <v>64000</v>
      </c>
      <c r="H323">
        <v>0.5</v>
      </c>
      <c r="I323">
        <v>0.5</v>
      </c>
      <c r="J323">
        <v>0</v>
      </c>
      <c r="K323">
        <v>1</v>
      </c>
      <c r="L323">
        <v>200000000</v>
      </c>
      <c r="M323">
        <v>190</v>
      </c>
      <c r="N323">
        <v>190</v>
      </c>
      <c r="O323">
        <v>190</v>
      </c>
      <c r="P323">
        <v>0</v>
      </c>
      <c r="Q323" t="s">
        <v>61</v>
      </c>
      <c r="R323">
        <v>1.0000023781572E+16</v>
      </c>
      <c r="S323">
        <v>100003237</v>
      </c>
      <c r="T323">
        <v>1.0000023781572E+16</v>
      </c>
      <c r="U323">
        <v>100003237</v>
      </c>
      <c r="V323" t="s">
        <v>71</v>
      </c>
      <c r="W323">
        <v>10</v>
      </c>
      <c r="X323">
        <v>2088895</v>
      </c>
      <c r="Y323">
        <v>14366895</v>
      </c>
      <c r="Z323">
        <v>16455790</v>
      </c>
      <c r="AA323">
        <v>100003237</v>
      </c>
      <c r="AB323">
        <v>7.8777499999999998</v>
      </c>
      <c r="AC323">
        <v>6.9606700000000004</v>
      </c>
      <c r="AD323">
        <v>7.0770900000000001</v>
      </c>
      <c r="AE323">
        <v>9</v>
      </c>
      <c r="AF323">
        <v>3422804320</v>
      </c>
      <c r="AJ323" t="s">
        <v>666</v>
      </c>
      <c r="AM323">
        <v>9768086752</v>
      </c>
      <c r="AN323">
        <v>0</v>
      </c>
      <c r="AO323">
        <v>98677603</v>
      </c>
      <c r="AP323">
        <v>9768086752</v>
      </c>
      <c r="AQ323">
        <v>9866764355</v>
      </c>
      <c r="AR323">
        <v>152626355</v>
      </c>
      <c r="AS323">
        <v>0</v>
      </c>
      <c r="AT323">
        <v>1541837</v>
      </c>
      <c r="AU323">
        <v>152626355</v>
      </c>
      <c r="AV323">
        <v>154168193</v>
      </c>
      <c r="AW323">
        <v>23.8108</v>
      </c>
      <c r="AX323">
        <v>10.861000000000001</v>
      </c>
      <c r="AY323">
        <v>3425.48</v>
      </c>
      <c r="AZ323">
        <v>2449.09</v>
      </c>
      <c r="BA323">
        <v>5536</v>
      </c>
      <c r="BB323">
        <v>6070</v>
      </c>
      <c r="BC323" t="str">
        <f t="shared" si="10"/>
        <v>u=1%, k=2x10^8</v>
      </c>
      <c r="BD323">
        <f t="shared" si="11"/>
        <v>64</v>
      </c>
    </row>
    <row r="324" spans="1:56">
      <c r="A324" t="s">
        <v>667</v>
      </c>
      <c r="B324" t="s">
        <v>105</v>
      </c>
      <c r="D324" t="s">
        <v>64</v>
      </c>
      <c r="E324" t="s">
        <v>59</v>
      </c>
      <c r="F324" t="s">
        <v>60</v>
      </c>
      <c r="G324">
        <v>1000</v>
      </c>
      <c r="H324">
        <v>0.5</v>
      </c>
      <c r="I324">
        <v>0.5</v>
      </c>
      <c r="J324">
        <v>0</v>
      </c>
      <c r="K324">
        <v>1</v>
      </c>
      <c r="L324">
        <v>200000000</v>
      </c>
      <c r="M324">
        <v>190</v>
      </c>
      <c r="N324">
        <v>190</v>
      </c>
      <c r="O324">
        <v>190</v>
      </c>
      <c r="P324">
        <v>0</v>
      </c>
      <c r="Q324" t="s">
        <v>61</v>
      </c>
      <c r="R324">
        <v>9999492608641920</v>
      </c>
      <c r="S324">
        <v>99999685</v>
      </c>
      <c r="T324">
        <v>9999492608641920</v>
      </c>
      <c r="U324">
        <v>99999685</v>
      </c>
      <c r="V324" t="s">
        <v>71</v>
      </c>
      <c r="W324">
        <v>33</v>
      </c>
      <c r="X324">
        <v>57181233</v>
      </c>
      <c r="Y324">
        <v>42891579</v>
      </c>
      <c r="Z324">
        <v>100072812</v>
      </c>
      <c r="AA324">
        <v>99999685</v>
      </c>
      <c r="AB324">
        <v>1.7501</v>
      </c>
      <c r="AC324">
        <v>2.3314499999999998</v>
      </c>
      <c r="AD324">
        <v>1.9992700000000001</v>
      </c>
      <c r="AE324">
        <v>26.094100000000001</v>
      </c>
      <c r="AF324">
        <v>5604077472</v>
      </c>
      <c r="AJ324" t="s">
        <v>668</v>
      </c>
      <c r="AM324">
        <v>68040081</v>
      </c>
      <c r="AN324">
        <v>0</v>
      </c>
      <c r="AO324">
        <v>686807</v>
      </c>
      <c r="AP324">
        <v>68040081</v>
      </c>
      <c r="AQ324">
        <v>68726888</v>
      </c>
      <c r="AR324">
        <v>68040081</v>
      </c>
      <c r="AS324">
        <v>0</v>
      </c>
      <c r="AT324">
        <v>686807</v>
      </c>
      <c r="AU324">
        <v>68040081</v>
      </c>
      <c r="AV324">
        <v>68726888</v>
      </c>
      <c r="AW324">
        <v>40.984099999999998</v>
      </c>
      <c r="AX324">
        <v>19.218800000000002</v>
      </c>
      <c r="AY324">
        <v>7697.13</v>
      </c>
      <c r="AZ324">
        <v>6250.33</v>
      </c>
      <c r="BA324">
        <v>7580</v>
      </c>
      <c r="BB324">
        <v>2771</v>
      </c>
      <c r="BC324" t="str">
        <f t="shared" si="10"/>
        <v>u=1%, k=2x10^8</v>
      </c>
      <c r="BD324">
        <f t="shared" si="11"/>
        <v>1</v>
      </c>
    </row>
    <row r="325" spans="1:56">
      <c r="A325" t="s">
        <v>669</v>
      </c>
      <c r="B325" t="s">
        <v>105</v>
      </c>
      <c r="D325" t="s">
        <v>64</v>
      </c>
      <c r="E325" t="s">
        <v>59</v>
      </c>
      <c r="F325" t="s">
        <v>60</v>
      </c>
      <c r="G325">
        <v>2000</v>
      </c>
      <c r="H325">
        <v>0.5</v>
      </c>
      <c r="I325">
        <v>0.5</v>
      </c>
      <c r="J325">
        <v>0</v>
      </c>
      <c r="K325">
        <v>1</v>
      </c>
      <c r="L325">
        <v>200000000</v>
      </c>
      <c r="M325">
        <v>190</v>
      </c>
      <c r="N325">
        <v>190</v>
      </c>
      <c r="O325">
        <v>190</v>
      </c>
      <c r="P325">
        <v>0</v>
      </c>
      <c r="Q325" t="s">
        <v>61</v>
      </c>
      <c r="R325">
        <v>1.00000163466347E+16</v>
      </c>
      <c r="S325">
        <v>100000748</v>
      </c>
      <c r="T325">
        <v>1.00000163466347E+16</v>
      </c>
      <c r="U325">
        <v>100000748</v>
      </c>
      <c r="V325" t="s">
        <v>71</v>
      </c>
      <c r="W325">
        <v>33</v>
      </c>
      <c r="X325">
        <v>57222237</v>
      </c>
      <c r="Y325">
        <v>42924949</v>
      </c>
      <c r="Z325">
        <v>100147186</v>
      </c>
      <c r="AA325">
        <v>100000748</v>
      </c>
      <c r="AB325">
        <v>1.75014</v>
      </c>
      <c r="AC325">
        <v>2.3296600000000001</v>
      </c>
      <c r="AD325">
        <v>1.99854</v>
      </c>
      <c r="AE325">
        <v>26.056699999999999</v>
      </c>
      <c r="AF325">
        <v>5608242416</v>
      </c>
      <c r="AJ325" t="s">
        <v>670</v>
      </c>
      <c r="AM325">
        <v>136094101</v>
      </c>
      <c r="AN325">
        <v>0</v>
      </c>
      <c r="AO325">
        <v>1376380</v>
      </c>
      <c r="AP325">
        <v>136094101</v>
      </c>
      <c r="AQ325">
        <v>137470481</v>
      </c>
      <c r="AR325">
        <v>68047050</v>
      </c>
      <c r="AS325">
        <v>0</v>
      </c>
      <c r="AT325">
        <v>688190</v>
      </c>
      <c r="AU325">
        <v>68047050</v>
      </c>
      <c r="AV325">
        <v>68735240</v>
      </c>
      <c r="AW325">
        <v>41.176600000000001</v>
      </c>
      <c r="AX325">
        <v>19.3645</v>
      </c>
      <c r="AY325">
        <v>7695.64</v>
      </c>
      <c r="AZ325">
        <v>6240.1</v>
      </c>
      <c r="BA325">
        <v>7587</v>
      </c>
      <c r="BB325">
        <v>2765</v>
      </c>
      <c r="BC325" t="str">
        <f t="shared" si="10"/>
        <v>u=1%, k=2x10^8</v>
      </c>
      <c r="BD325">
        <f t="shared" si="11"/>
        <v>2</v>
      </c>
    </row>
    <row r="326" spans="1:56">
      <c r="A326" t="s">
        <v>671</v>
      </c>
      <c r="B326" t="s">
        <v>105</v>
      </c>
      <c r="D326" t="s">
        <v>64</v>
      </c>
      <c r="E326" t="s">
        <v>59</v>
      </c>
      <c r="F326" t="s">
        <v>60</v>
      </c>
      <c r="G326">
        <v>4000</v>
      </c>
      <c r="H326">
        <v>0.5</v>
      </c>
      <c r="I326">
        <v>0.5</v>
      </c>
      <c r="J326">
        <v>0</v>
      </c>
      <c r="K326">
        <v>1</v>
      </c>
      <c r="L326">
        <v>200000000</v>
      </c>
      <c r="M326">
        <v>190</v>
      </c>
      <c r="N326">
        <v>190</v>
      </c>
      <c r="O326">
        <v>190</v>
      </c>
      <c r="P326">
        <v>0</v>
      </c>
      <c r="Q326" t="s">
        <v>61</v>
      </c>
      <c r="R326">
        <v>9999970261334050</v>
      </c>
      <c r="S326">
        <v>99998860</v>
      </c>
      <c r="T326">
        <v>9999970261334050</v>
      </c>
      <c r="U326">
        <v>99998860</v>
      </c>
      <c r="V326" t="s">
        <v>71</v>
      </c>
      <c r="W326">
        <v>33</v>
      </c>
      <c r="X326">
        <v>57300501</v>
      </c>
      <c r="Y326">
        <v>42991210</v>
      </c>
      <c r="Z326">
        <v>100291711</v>
      </c>
      <c r="AA326">
        <v>99998860</v>
      </c>
      <c r="AB326">
        <v>1.7502800000000001</v>
      </c>
      <c r="AC326">
        <v>2.3260299999999998</v>
      </c>
      <c r="AD326">
        <v>1.99708</v>
      </c>
      <c r="AE326">
        <v>26.090699999999998</v>
      </c>
      <c r="AF326">
        <v>5616335816</v>
      </c>
      <c r="AJ326" t="s">
        <v>672</v>
      </c>
      <c r="AM326">
        <v>273355515</v>
      </c>
      <c r="AN326">
        <v>0</v>
      </c>
      <c r="AO326">
        <v>2760334</v>
      </c>
      <c r="AP326">
        <v>273355515</v>
      </c>
      <c r="AQ326">
        <v>276115849</v>
      </c>
      <c r="AR326">
        <v>68338878</v>
      </c>
      <c r="AS326">
        <v>0</v>
      </c>
      <c r="AT326">
        <v>690083</v>
      </c>
      <c r="AU326">
        <v>68338878</v>
      </c>
      <c r="AV326">
        <v>69028962</v>
      </c>
      <c r="AW326">
        <v>41.410899999999998</v>
      </c>
      <c r="AX326">
        <v>19.533300000000001</v>
      </c>
      <c r="AY326">
        <v>7663.43</v>
      </c>
      <c r="AZ326">
        <v>6209.9</v>
      </c>
      <c r="BA326">
        <v>7596</v>
      </c>
      <c r="BB326">
        <v>2754</v>
      </c>
      <c r="BC326" t="str">
        <f t="shared" si="10"/>
        <v>u=1%, k=2x10^8</v>
      </c>
      <c r="BD326">
        <f t="shared" si="11"/>
        <v>4</v>
      </c>
    </row>
    <row r="327" spans="1:56">
      <c r="A327" t="s">
        <v>673</v>
      </c>
      <c r="B327" t="s">
        <v>105</v>
      </c>
      <c r="D327" t="s">
        <v>64</v>
      </c>
      <c r="E327" t="s">
        <v>59</v>
      </c>
      <c r="F327" t="s">
        <v>60</v>
      </c>
      <c r="G327">
        <v>8000</v>
      </c>
      <c r="H327">
        <v>0.5</v>
      </c>
      <c r="I327">
        <v>0.5</v>
      </c>
      <c r="J327">
        <v>0</v>
      </c>
      <c r="K327">
        <v>1</v>
      </c>
      <c r="L327">
        <v>200000000</v>
      </c>
      <c r="M327">
        <v>190</v>
      </c>
      <c r="N327">
        <v>190</v>
      </c>
      <c r="O327">
        <v>190</v>
      </c>
      <c r="P327">
        <v>0</v>
      </c>
      <c r="Q327" t="s">
        <v>61</v>
      </c>
      <c r="R327">
        <v>9999960988656430</v>
      </c>
      <c r="S327">
        <v>100000314</v>
      </c>
      <c r="T327">
        <v>9999960988656430</v>
      </c>
      <c r="U327">
        <v>100000314</v>
      </c>
      <c r="V327" t="s">
        <v>71</v>
      </c>
      <c r="W327">
        <v>33</v>
      </c>
      <c r="X327">
        <v>57464308</v>
      </c>
      <c r="Y327">
        <v>43121797</v>
      </c>
      <c r="Z327">
        <v>100586105</v>
      </c>
      <c r="AA327">
        <v>100000314</v>
      </c>
      <c r="AB327">
        <v>1.75041</v>
      </c>
      <c r="AC327">
        <v>2.3190200000000001</v>
      </c>
      <c r="AD327">
        <v>1.9941800000000001</v>
      </c>
      <c r="AE327">
        <v>26.0731</v>
      </c>
      <c r="AF327">
        <v>5632821880</v>
      </c>
      <c r="AJ327" t="s">
        <v>674</v>
      </c>
      <c r="AM327">
        <v>549290319</v>
      </c>
      <c r="AN327">
        <v>0</v>
      </c>
      <c r="AO327">
        <v>5547774</v>
      </c>
      <c r="AP327">
        <v>549290319</v>
      </c>
      <c r="AQ327">
        <v>554838093</v>
      </c>
      <c r="AR327">
        <v>68661289</v>
      </c>
      <c r="AS327">
        <v>0</v>
      </c>
      <c r="AT327">
        <v>693471</v>
      </c>
      <c r="AU327">
        <v>68661289</v>
      </c>
      <c r="AV327">
        <v>69354761</v>
      </c>
      <c r="AW327">
        <v>41.533900000000003</v>
      </c>
      <c r="AX327">
        <v>19.712199999999999</v>
      </c>
      <c r="AY327">
        <v>7626.41</v>
      </c>
      <c r="AZ327">
        <v>6165</v>
      </c>
      <c r="BA327">
        <v>7615</v>
      </c>
      <c r="BB327">
        <v>2756</v>
      </c>
      <c r="BC327" t="str">
        <f t="shared" si="10"/>
        <v>u=1%, k=2x10^8</v>
      </c>
      <c r="BD327">
        <f t="shared" si="11"/>
        <v>8</v>
      </c>
    </row>
    <row r="328" spans="1:56">
      <c r="A328" t="s">
        <v>675</v>
      </c>
      <c r="B328" t="s">
        <v>105</v>
      </c>
      <c r="D328" t="s">
        <v>64</v>
      </c>
      <c r="E328" t="s">
        <v>59</v>
      </c>
      <c r="F328" t="s">
        <v>60</v>
      </c>
      <c r="G328">
        <v>16000</v>
      </c>
      <c r="H328">
        <v>0.5</v>
      </c>
      <c r="I328">
        <v>0.5</v>
      </c>
      <c r="J328">
        <v>0</v>
      </c>
      <c r="K328">
        <v>1</v>
      </c>
      <c r="L328">
        <v>200000000</v>
      </c>
      <c r="M328">
        <v>190</v>
      </c>
      <c r="N328">
        <v>190</v>
      </c>
      <c r="O328">
        <v>190</v>
      </c>
      <c r="P328">
        <v>0</v>
      </c>
      <c r="Q328" t="s">
        <v>61</v>
      </c>
      <c r="R328">
        <v>1.00002146334061E+16</v>
      </c>
      <c r="S328">
        <v>99997521</v>
      </c>
      <c r="T328">
        <v>1.00002146334061E+16</v>
      </c>
      <c r="U328">
        <v>99997521</v>
      </c>
      <c r="V328" t="s">
        <v>71</v>
      </c>
      <c r="W328">
        <v>33</v>
      </c>
      <c r="X328">
        <v>57774938</v>
      </c>
      <c r="Y328">
        <v>43383302</v>
      </c>
      <c r="Z328">
        <v>101158240</v>
      </c>
      <c r="AA328">
        <v>99997521</v>
      </c>
      <c r="AB328">
        <v>1.7508999999999999</v>
      </c>
      <c r="AC328">
        <v>2.30498</v>
      </c>
      <c r="AD328">
        <v>1.9885299999999999</v>
      </c>
      <c r="AE328">
        <v>26.1233</v>
      </c>
      <c r="AF328">
        <v>5664861440</v>
      </c>
      <c r="AJ328" t="s">
        <v>676</v>
      </c>
      <c r="AM328">
        <v>1105771066</v>
      </c>
      <c r="AN328">
        <v>0</v>
      </c>
      <c r="AO328">
        <v>11169038</v>
      </c>
      <c r="AP328">
        <v>1105771066</v>
      </c>
      <c r="AQ328">
        <v>1116940104</v>
      </c>
      <c r="AR328">
        <v>69110691</v>
      </c>
      <c r="AS328">
        <v>0</v>
      </c>
      <c r="AT328">
        <v>698064</v>
      </c>
      <c r="AU328">
        <v>69110691</v>
      </c>
      <c r="AV328">
        <v>69808756</v>
      </c>
      <c r="AW328">
        <v>41.157800000000002</v>
      </c>
      <c r="AX328">
        <v>19.928799999999999</v>
      </c>
      <c r="AY328">
        <v>7577.16</v>
      </c>
      <c r="AZ328">
        <v>6106.73</v>
      </c>
      <c r="BA328">
        <v>7650</v>
      </c>
      <c r="BB328">
        <v>2756</v>
      </c>
      <c r="BC328" t="str">
        <f t="shared" si="10"/>
        <v>u=1%, k=2x10^8</v>
      </c>
      <c r="BD328">
        <f t="shared" si="11"/>
        <v>16</v>
      </c>
    </row>
    <row r="329" spans="1:56">
      <c r="A329" t="s">
        <v>677</v>
      </c>
      <c r="B329" t="s">
        <v>105</v>
      </c>
      <c r="D329" t="s">
        <v>64</v>
      </c>
      <c r="E329" t="s">
        <v>59</v>
      </c>
      <c r="F329" t="s">
        <v>60</v>
      </c>
      <c r="G329">
        <v>32000</v>
      </c>
      <c r="H329">
        <v>0.5</v>
      </c>
      <c r="I329">
        <v>0.5</v>
      </c>
      <c r="J329">
        <v>0</v>
      </c>
      <c r="K329">
        <v>1</v>
      </c>
      <c r="L329">
        <v>200000000</v>
      </c>
      <c r="M329">
        <v>190</v>
      </c>
      <c r="N329">
        <v>190</v>
      </c>
      <c r="O329">
        <v>190</v>
      </c>
      <c r="P329">
        <v>0</v>
      </c>
      <c r="Q329" t="s">
        <v>61</v>
      </c>
      <c r="R329">
        <v>9999389765913080</v>
      </c>
      <c r="S329">
        <v>100001631</v>
      </c>
      <c r="T329">
        <v>9999389765913080</v>
      </c>
      <c r="U329">
        <v>100001631</v>
      </c>
      <c r="V329" t="s">
        <v>71</v>
      </c>
      <c r="W329">
        <v>33</v>
      </c>
      <c r="X329">
        <v>58380994</v>
      </c>
      <c r="Y329">
        <v>43886875</v>
      </c>
      <c r="Z329">
        <v>102267869</v>
      </c>
      <c r="AA329">
        <v>100001631</v>
      </c>
      <c r="AB329">
        <v>1.75173</v>
      </c>
      <c r="AC329">
        <v>2.2786200000000001</v>
      </c>
      <c r="AD329">
        <v>1.97784</v>
      </c>
      <c r="AE329">
        <v>26.1387</v>
      </c>
      <c r="AF329">
        <v>5727000664</v>
      </c>
      <c r="AJ329" t="s">
        <v>678</v>
      </c>
      <c r="AM329">
        <v>2225621635</v>
      </c>
      <c r="AN329">
        <v>0</v>
      </c>
      <c r="AO329">
        <v>22480962</v>
      </c>
      <c r="AP329">
        <v>2225621635</v>
      </c>
      <c r="AQ329">
        <v>2248102597</v>
      </c>
      <c r="AR329">
        <v>69550676</v>
      </c>
      <c r="AS329">
        <v>0</v>
      </c>
      <c r="AT329">
        <v>702530</v>
      </c>
      <c r="AU329">
        <v>69550676</v>
      </c>
      <c r="AV329">
        <v>70253206</v>
      </c>
      <c r="AW329">
        <v>41.540199999999999</v>
      </c>
      <c r="AX329">
        <v>20.079899999999999</v>
      </c>
      <c r="AY329">
        <v>7528.57</v>
      </c>
      <c r="AZ329">
        <v>6053.38</v>
      </c>
      <c r="BA329">
        <v>7723</v>
      </c>
      <c r="BB329">
        <v>2759</v>
      </c>
      <c r="BC329" t="str">
        <f t="shared" si="10"/>
        <v>u=1%, k=2x10^8</v>
      </c>
      <c r="BD329">
        <f t="shared" si="11"/>
        <v>32</v>
      </c>
    </row>
    <row r="330" spans="1:56">
      <c r="A330" t="s">
        <v>679</v>
      </c>
      <c r="B330" t="s">
        <v>105</v>
      </c>
      <c r="D330" t="s">
        <v>64</v>
      </c>
      <c r="E330" t="s">
        <v>59</v>
      </c>
      <c r="F330" t="s">
        <v>60</v>
      </c>
      <c r="G330">
        <v>64000</v>
      </c>
      <c r="H330">
        <v>0.5</v>
      </c>
      <c r="I330">
        <v>0.5</v>
      </c>
      <c r="J330">
        <v>0</v>
      </c>
      <c r="K330">
        <v>1</v>
      </c>
      <c r="L330">
        <v>200000000</v>
      </c>
      <c r="M330">
        <v>190</v>
      </c>
      <c r="N330">
        <v>190</v>
      </c>
      <c r="O330">
        <v>190</v>
      </c>
      <c r="P330">
        <v>0</v>
      </c>
      <c r="Q330" t="s">
        <v>61</v>
      </c>
      <c r="R330">
        <v>1.00011348229299E+16</v>
      </c>
      <c r="S330">
        <v>100004124</v>
      </c>
      <c r="T330">
        <v>1.00011348229299E+16</v>
      </c>
      <c r="U330">
        <v>100004124</v>
      </c>
      <c r="V330" t="s">
        <v>71</v>
      </c>
      <c r="W330">
        <v>33</v>
      </c>
      <c r="X330">
        <v>59472393</v>
      </c>
      <c r="Y330">
        <v>44779886</v>
      </c>
      <c r="Z330">
        <v>104252279</v>
      </c>
      <c r="AA330">
        <v>100004124</v>
      </c>
      <c r="AB330">
        <v>1.75295</v>
      </c>
      <c r="AC330">
        <v>2.2332399999999999</v>
      </c>
      <c r="AD330">
        <v>1.9592499999999999</v>
      </c>
      <c r="AE330">
        <v>26.229600000000001</v>
      </c>
      <c r="AF330">
        <v>5838127624</v>
      </c>
      <c r="AJ330" t="s">
        <v>680</v>
      </c>
      <c r="AM330">
        <v>4422516279</v>
      </c>
      <c r="AN330">
        <v>0</v>
      </c>
      <c r="AO330">
        <v>44672303</v>
      </c>
      <c r="AP330">
        <v>4422516279</v>
      </c>
      <c r="AQ330">
        <v>4467188582</v>
      </c>
      <c r="AR330">
        <v>69101816</v>
      </c>
      <c r="AS330">
        <v>0</v>
      </c>
      <c r="AT330">
        <v>698004</v>
      </c>
      <c r="AU330">
        <v>69101816</v>
      </c>
      <c r="AV330">
        <v>69799821</v>
      </c>
      <c r="AW330">
        <v>41.5852</v>
      </c>
      <c r="AX330">
        <v>20.239899999999999</v>
      </c>
      <c r="AY330">
        <v>7577.45</v>
      </c>
      <c r="AZ330">
        <v>6022.61</v>
      </c>
      <c r="BA330">
        <v>7850</v>
      </c>
      <c r="BB330">
        <v>2758</v>
      </c>
      <c r="BC330" t="str">
        <f t="shared" si="10"/>
        <v>u=1%, k=2x10^8</v>
      </c>
      <c r="BD330">
        <f t="shared" si="11"/>
        <v>64</v>
      </c>
    </row>
    <row r="331" spans="1:56">
      <c r="A331" t="s">
        <v>681</v>
      </c>
      <c r="B331" t="s">
        <v>305</v>
      </c>
      <c r="D331" t="s">
        <v>64</v>
      </c>
      <c r="E331" t="s">
        <v>59</v>
      </c>
      <c r="F331" t="s">
        <v>60</v>
      </c>
      <c r="G331">
        <v>1000</v>
      </c>
      <c r="H331">
        <v>0.5</v>
      </c>
      <c r="I331">
        <v>0.5</v>
      </c>
      <c r="J331">
        <v>0</v>
      </c>
      <c r="K331">
        <v>1</v>
      </c>
      <c r="L331">
        <v>200000000</v>
      </c>
      <c r="M331">
        <v>190</v>
      </c>
      <c r="N331">
        <v>190</v>
      </c>
      <c r="O331">
        <v>190</v>
      </c>
      <c r="P331">
        <v>0</v>
      </c>
      <c r="Q331" t="s">
        <v>61</v>
      </c>
      <c r="R331">
        <v>1.00001127932567E+16</v>
      </c>
      <c r="S331">
        <v>100000464</v>
      </c>
      <c r="T331">
        <v>1.00001127932567E+16</v>
      </c>
      <c r="U331">
        <v>100000464</v>
      </c>
      <c r="V331" t="s">
        <v>71</v>
      </c>
      <c r="W331">
        <v>67</v>
      </c>
      <c r="X331">
        <v>100000463</v>
      </c>
      <c r="Y331">
        <v>100000464</v>
      </c>
      <c r="Z331">
        <v>200000927</v>
      </c>
      <c r="AA331">
        <v>100000464</v>
      </c>
      <c r="AB331">
        <v>2</v>
      </c>
      <c r="AC331">
        <v>1</v>
      </c>
      <c r="AD331">
        <v>1.5</v>
      </c>
      <c r="AE331">
        <v>35.668599999999998</v>
      </c>
      <c r="AF331">
        <v>6400029664</v>
      </c>
      <c r="AJ331" t="s">
        <v>682</v>
      </c>
      <c r="AM331">
        <v>57796689</v>
      </c>
      <c r="AN331">
        <v>0</v>
      </c>
      <c r="AO331">
        <v>583913</v>
      </c>
      <c r="AP331">
        <v>57796689</v>
      </c>
      <c r="AQ331">
        <v>58380602</v>
      </c>
      <c r="AR331">
        <v>57796689</v>
      </c>
      <c r="AS331">
        <v>0</v>
      </c>
      <c r="AT331">
        <v>583913</v>
      </c>
      <c r="AU331">
        <v>57796689</v>
      </c>
      <c r="AV331">
        <v>58380602</v>
      </c>
      <c r="AW331">
        <v>38.161299999999997</v>
      </c>
      <c r="AX331">
        <v>18.825900000000001</v>
      </c>
      <c r="AY331">
        <v>9057.61</v>
      </c>
      <c r="AZ331">
        <v>7929.12</v>
      </c>
      <c r="BA331">
        <v>7576</v>
      </c>
      <c r="BB331">
        <v>2827</v>
      </c>
      <c r="BC331" t="str">
        <f t="shared" si="10"/>
        <v>u=1%, k=2x10^8</v>
      </c>
      <c r="BD331">
        <f t="shared" si="11"/>
        <v>1</v>
      </c>
    </row>
    <row r="332" spans="1:56">
      <c r="A332" t="s">
        <v>683</v>
      </c>
      <c r="B332" t="s">
        <v>305</v>
      </c>
      <c r="D332" t="s">
        <v>64</v>
      </c>
      <c r="E332" t="s">
        <v>59</v>
      </c>
      <c r="F332" t="s">
        <v>60</v>
      </c>
      <c r="G332">
        <v>2000</v>
      </c>
      <c r="H332">
        <v>0.5</v>
      </c>
      <c r="I332">
        <v>0.5</v>
      </c>
      <c r="J332">
        <v>0</v>
      </c>
      <c r="K332">
        <v>1</v>
      </c>
      <c r="L332">
        <v>200000000</v>
      </c>
      <c r="M332">
        <v>190</v>
      </c>
      <c r="N332">
        <v>190</v>
      </c>
      <c r="O332">
        <v>190</v>
      </c>
      <c r="P332">
        <v>0</v>
      </c>
      <c r="Q332" t="s">
        <v>61</v>
      </c>
      <c r="R332">
        <v>1.00004499224202E+16</v>
      </c>
      <c r="S332">
        <v>100000409</v>
      </c>
      <c r="T332">
        <v>1.00004499224202E+16</v>
      </c>
      <c r="U332">
        <v>100000409</v>
      </c>
      <c r="V332" t="s">
        <v>71</v>
      </c>
      <c r="W332">
        <v>68</v>
      </c>
      <c r="X332">
        <v>100000408</v>
      </c>
      <c r="Y332">
        <v>100000409</v>
      </c>
      <c r="Z332">
        <v>200000817</v>
      </c>
      <c r="AA332">
        <v>100000409</v>
      </c>
      <c r="AB332">
        <v>2</v>
      </c>
      <c r="AC332">
        <v>1</v>
      </c>
      <c r="AD332">
        <v>1.5</v>
      </c>
      <c r="AE332">
        <v>36.536200000000001</v>
      </c>
      <c r="AF332">
        <v>6400026144</v>
      </c>
      <c r="AJ332" t="s">
        <v>684</v>
      </c>
      <c r="AM332">
        <v>115481991</v>
      </c>
      <c r="AN332">
        <v>0</v>
      </c>
      <c r="AO332">
        <v>1168007</v>
      </c>
      <c r="AP332">
        <v>115481991</v>
      </c>
      <c r="AQ332">
        <v>116649998</v>
      </c>
      <c r="AR332">
        <v>57740995</v>
      </c>
      <c r="AS332">
        <v>0</v>
      </c>
      <c r="AT332">
        <v>584003</v>
      </c>
      <c r="AU332">
        <v>57740995</v>
      </c>
      <c r="AV332">
        <v>58324999</v>
      </c>
      <c r="AW332">
        <v>38.221800000000002</v>
      </c>
      <c r="AX332">
        <v>18.868300000000001</v>
      </c>
      <c r="AY332">
        <v>9071.5499999999993</v>
      </c>
      <c r="AZ332">
        <v>7926.98</v>
      </c>
      <c r="BA332">
        <v>7575</v>
      </c>
      <c r="BB332">
        <v>2853</v>
      </c>
      <c r="BC332" t="str">
        <f t="shared" si="10"/>
        <v>u=1%, k=2x10^8</v>
      </c>
      <c r="BD332">
        <f t="shared" si="11"/>
        <v>2</v>
      </c>
    </row>
    <row r="333" spans="1:56">
      <c r="A333" t="s">
        <v>685</v>
      </c>
      <c r="B333" t="s">
        <v>305</v>
      </c>
      <c r="D333" t="s">
        <v>64</v>
      </c>
      <c r="E333" t="s">
        <v>59</v>
      </c>
      <c r="F333" t="s">
        <v>60</v>
      </c>
      <c r="G333">
        <v>4000</v>
      </c>
      <c r="H333">
        <v>0.5</v>
      </c>
      <c r="I333">
        <v>0.5</v>
      </c>
      <c r="J333">
        <v>0</v>
      </c>
      <c r="K333">
        <v>1</v>
      </c>
      <c r="L333">
        <v>200000000</v>
      </c>
      <c r="M333">
        <v>190</v>
      </c>
      <c r="N333">
        <v>190</v>
      </c>
      <c r="O333">
        <v>190</v>
      </c>
      <c r="P333">
        <v>0</v>
      </c>
      <c r="Q333" t="s">
        <v>61</v>
      </c>
      <c r="R333">
        <v>1.00000137102201E+16</v>
      </c>
      <c r="S333">
        <v>100000929</v>
      </c>
      <c r="T333">
        <v>1.00000137102201E+16</v>
      </c>
      <c r="U333">
        <v>100000929</v>
      </c>
      <c r="V333" t="s">
        <v>71</v>
      </c>
      <c r="W333">
        <v>69</v>
      </c>
      <c r="X333">
        <v>100000928</v>
      </c>
      <c r="Y333">
        <v>100000929</v>
      </c>
      <c r="Z333">
        <v>200001857</v>
      </c>
      <c r="AA333">
        <v>100000929</v>
      </c>
      <c r="AB333">
        <v>2</v>
      </c>
      <c r="AC333">
        <v>1</v>
      </c>
      <c r="AD333">
        <v>1.5</v>
      </c>
      <c r="AE333">
        <v>36.966700000000003</v>
      </c>
      <c r="AF333">
        <v>6400059424</v>
      </c>
      <c r="AJ333" t="s">
        <v>686</v>
      </c>
      <c r="AM333">
        <v>231789417</v>
      </c>
      <c r="AN333">
        <v>0</v>
      </c>
      <c r="AO333">
        <v>2341254</v>
      </c>
      <c r="AP333">
        <v>231789417</v>
      </c>
      <c r="AQ333">
        <v>234130671</v>
      </c>
      <c r="AR333">
        <v>57947354</v>
      </c>
      <c r="AS333">
        <v>0</v>
      </c>
      <c r="AT333">
        <v>585313</v>
      </c>
      <c r="AU333">
        <v>57947354</v>
      </c>
      <c r="AV333">
        <v>58532667</v>
      </c>
      <c r="AW333">
        <v>38.239699999999999</v>
      </c>
      <c r="AX333">
        <v>18.952400000000001</v>
      </c>
      <c r="AY333">
        <v>9040.91</v>
      </c>
      <c r="AZ333">
        <v>7894.4</v>
      </c>
      <c r="BA333">
        <v>7576</v>
      </c>
      <c r="BB333">
        <v>2869</v>
      </c>
      <c r="BC333" t="str">
        <f t="shared" si="10"/>
        <v>u=1%, k=2x10^8</v>
      </c>
      <c r="BD333">
        <f t="shared" si="11"/>
        <v>4</v>
      </c>
    </row>
    <row r="334" spans="1:56">
      <c r="A334" t="s">
        <v>687</v>
      </c>
      <c r="B334" t="s">
        <v>305</v>
      </c>
      <c r="D334" t="s">
        <v>64</v>
      </c>
      <c r="E334" t="s">
        <v>59</v>
      </c>
      <c r="F334" t="s">
        <v>60</v>
      </c>
      <c r="G334">
        <v>8000</v>
      </c>
      <c r="H334">
        <v>0.5</v>
      </c>
      <c r="I334">
        <v>0.5</v>
      </c>
      <c r="J334">
        <v>0</v>
      </c>
      <c r="K334">
        <v>1</v>
      </c>
      <c r="L334">
        <v>200000000</v>
      </c>
      <c r="M334">
        <v>190</v>
      </c>
      <c r="N334">
        <v>190</v>
      </c>
      <c r="O334">
        <v>190</v>
      </c>
      <c r="P334">
        <v>0</v>
      </c>
      <c r="Q334" t="s">
        <v>61</v>
      </c>
      <c r="R334">
        <v>9999156262123120</v>
      </c>
      <c r="S334">
        <v>99998851</v>
      </c>
      <c r="T334">
        <v>9999156262123120</v>
      </c>
      <c r="U334">
        <v>99998851</v>
      </c>
      <c r="V334" t="s">
        <v>71</v>
      </c>
      <c r="W334">
        <v>74</v>
      </c>
      <c r="X334">
        <v>99998850</v>
      </c>
      <c r="Y334">
        <v>99998851</v>
      </c>
      <c r="Z334">
        <v>199997701</v>
      </c>
      <c r="AA334">
        <v>99998851</v>
      </c>
      <c r="AB334">
        <v>2</v>
      </c>
      <c r="AC334">
        <v>1</v>
      </c>
      <c r="AD334">
        <v>1.5</v>
      </c>
      <c r="AE334">
        <v>36.731900000000003</v>
      </c>
      <c r="AF334">
        <v>6399926432</v>
      </c>
      <c r="AJ334" t="s">
        <v>688</v>
      </c>
      <c r="AM334">
        <v>465636894</v>
      </c>
      <c r="AN334">
        <v>0</v>
      </c>
      <c r="AO334">
        <v>4703967</v>
      </c>
      <c r="AP334">
        <v>465636894</v>
      </c>
      <c r="AQ334">
        <v>470340861</v>
      </c>
      <c r="AR334">
        <v>58204611</v>
      </c>
      <c r="AS334">
        <v>0</v>
      </c>
      <c r="AT334">
        <v>587995</v>
      </c>
      <c r="AU334">
        <v>58204611</v>
      </c>
      <c r="AV334">
        <v>58792607</v>
      </c>
      <c r="AW334">
        <v>38.200299999999999</v>
      </c>
      <c r="AX334">
        <v>19.065799999999999</v>
      </c>
      <c r="AY334">
        <v>9000.58</v>
      </c>
      <c r="AZ334">
        <v>7854.36</v>
      </c>
      <c r="BA334">
        <v>7576</v>
      </c>
      <c r="BB334">
        <v>2848</v>
      </c>
      <c r="BC334" t="str">
        <f t="shared" si="10"/>
        <v>u=1%, k=2x10^8</v>
      </c>
      <c r="BD334">
        <f t="shared" si="11"/>
        <v>8</v>
      </c>
    </row>
    <row r="335" spans="1:56">
      <c r="A335" t="s">
        <v>689</v>
      </c>
      <c r="B335" t="s">
        <v>305</v>
      </c>
      <c r="D335" t="s">
        <v>64</v>
      </c>
      <c r="E335" t="s">
        <v>59</v>
      </c>
      <c r="F335" t="s">
        <v>60</v>
      </c>
      <c r="G335">
        <v>16000</v>
      </c>
      <c r="H335">
        <v>0.5</v>
      </c>
      <c r="I335">
        <v>0.5</v>
      </c>
      <c r="J335">
        <v>0</v>
      </c>
      <c r="K335">
        <v>1</v>
      </c>
      <c r="L335">
        <v>200000000</v>
      </c>
      <c r="M335">
        <v>190</v>
      </c>
      <c r="N335">
        <v>190</v>
      </c>
      <c r="O335">
        <v>190</v>
      </c>
      <c r="P335">
        <v>0</v>
      </c>
      <c r="Q335" t="s">
        <v>61</v>
      </c>
      <c r="R335">
        <v>1.00003200071849E+16</v>
      </c>
      <c r="S335">
        <v>99999638</v>
      </c>
      <c r="T335">
        <v>1.00003200071849E+16</v>
      </c>
      <c r="U335">
        <v>99999638</v>
      </c>
      <c r="V335" t="s">
        <v>71</v>
      </c>
      <c r="W335">
        <v>69</v>
      </c>
      <c r="X335">
        <v>99999637</v>
      </c>
      <c r="Y335">
        <v>99999638</v>
      </c>
      <c r="Z335">
        <v>199999275</v>
      </c>
      <c r="AA335">
        <v>99999638</v>
      </c>
      <c r="AB335">
        <v>2</v>
      </c>
      <c r="AC335">
        <v>1</v>
      </c>
      <c r="AD335">
        <v>1.5</v>
      </c>
      <c r="AE335">
        <v>35.573799999999999</v>
      </c>
      <c r="AF335">
        <v>6399976800</v>
      </c>
      <c r="AJ335" t="s">
        <v>690</v>
      </c>
      <c r="AM335">
        <v>934588173</v>
      </c>
      <c r="AN335">
        <v>0</v>
      </c>
      <c r="AO335">
        <v>9440355</v>
      </c>
      <c r="AP335">
        <v>934588173</v>
      </c>
      <c r="AQ335">
        <v>944028528</v>
      </c>
      <c r="AR335">
        <v>58411760</v>
      </c>
      <c r="AS335">
        <v>0</v>
      </c>
      <c r="AT335">
        <v>590022</v>
      </c>
      <c r="AU335">
        <v>58411760</v>
      </c>
      <c r="AV335">
        <v>59001783</v>
      </c>
      <c r="AW335">
        <v>38.312800000000003</v>
      </c>
      <c r="AX335">
        <v>19.213899999999999</v>
      </c>
      <c r="AY335">
        <v>8967.5400000000009</v>
      </c>
      <c r="AZ335">
        <v>7815.49</v>
      </c>
      <c r="BA335">
        <v>7575</v>
      </c>
      <c r="BB335">
        <v>2859</v>
      </c>
      <c r="BC335" t="str">
        <f t="shared" si="10"/>
        <v>u=1%, k=2x10^8</v>
      </c>
      <c r="BD335">
        <f t="shared" si="11"/>
        <v>16</v>
      </c>
    </row>
    <row r="336" spans="1:56">
      <c r="A336" t="s">
        <v>691</v>
      </c>
      <c r="B336" t="s">
        <v>305</v>
      </c>
      <c r="D336" t="s">
        <v>64</v>
      </c>
      <c r="E336" t="s">
        <v>59</v>
      </c>
      <c r="F336" t="s">
        <v>60</v>
      </c>
      <c r="G336">
        <v>32000</v>
      </c>
      <c r="H336">
        <v>0.5</v>
      </c>
      <c r="I336">
        <v>0.5</v>
      </c>
      <c r="J336">
        <v>0</v>
      </c>
      <c r="K336">
        <v>1</v>
      </c>
      <c r="L336">
        <v>200000000</v>
      </c>
      <c r="M336">
        <v>190</v>
      </c>
      <c r="N336">
        <v>190</v>
      </c>
      <c r="O336">
        <v>190</v>
      </c>
      <c r="P336">
        <v>0</v>
      </c>
      <c r="Q336" t="s">
        <v>61</v>
      </c>
      <c r="R336">
        <v>9999868199806490</v>
      </c>
      <c r="S336">
        <v>100001985</v>
      </c>
      <c r="T336">
        <v>9999868199806490</v>
      </c>
      <c r="U336">
        <v>100001985</v>
      </c>
      <c r="V336" t="s">
        <v>71</v>
      </c>
      <c r="W336">
        <v>71</v>
      </c>
      <c r="X336">
        <v>100001984</v>
      </c>
      <c r="Y336">
        <v>100001985</v>
      </c>
      <c r="Z336">
        <v>200003969</v>
      </c>
      <c r="AA336">
        <v>100001985</v>
      </c>
      <c r="AB336">
        <v>2</v>
      </c>
      <c r="AC336">
        <v>1</v>
      </c>
      <c r="AD336">
        <v>1.5</v>
      </c>
      <c r="AE336">
        <v>35.4908</v>
      </c>
      <c r="AF336">
        <v>6400127008</v>
      </c>
      <c r="AJ336" t="s">
        <v>692</v>
      </c>
      <c r="AM336">
        <v>1877384873</v>
      </c>
      <c r="AN336">
        <v>0</v>
      </c>
      <c r="AO336">
        <v>18971775</v>
      </c>
      <c r="AP336">
        <v>1877384873</v>
      </c>
      <c r="AQ336">
        <v>1896356648</v>
      </c>
      <c r="AR336">
        <v>58668277</v>
      </c>
      <c r="AS336">
        <v>0</v>
      </c>
      <c r="AT336">
        <v>592867</v>
      </c>
      <c r="AU336">
        <v>58668277</v>
      </c>
      <c r="AV336">
        <v>59261145</v>
      </c>
      <c r="AW336">
        <v>38.411299999999997</v>
      </c>
      <c r="AX336">
        <v>19.396000000000001</v>
      </c>
      <c r="AY336">
        <v>8927.75</v>
      </c>
      <c r="AZ336">
        <v>7772.56</v>
      </c>
      <c r="BA336">
        <v>7578</v>
      </c>
      <c r="BB336">
        <v>2869</v>
      </c>
      <c r="BC336" t="str">
        <f t="shared" si="10"/>
        <v>u=1%, k=2x10^8</v>
      </c>
      <c r="BD336">
        <f t="shared" si="11"/>
        <v>32</v>
      </c>
    </row>
    <row r="337" spans="1:56">
      <c r="A337" t="s">
        <v>693</v>
      </c>
      <c r="B337" t="s">
        <v>305</v>
      </c>
      <c r="D337" t="s">
        <v>64</v>
      </c>
      <c r="E337" t="s">
        <v>59</v>
      </c>
      <c r="F337" t="s">
        <v>60</v>
      </c>
      <c r="G337">
        <v>64000</v>
      </c>
      <c r="H337">
        <v>0.5</v>
      </c>
      <c r="I337">
        <v>0.5</v>
      </c>
      <c r="J337">
        <v>0</v>
      </c>
      <c r="K337">
        <v>1</v>
      </c>
      <c r="L337">
        <v>200000000</v>
      </c>
      <c r="M337">
        <v>190</v>
      </c>
      <c r="N337">
        <v>190</v>
      </c>
      <c r="O337">
        <v>190</v>
      </c>
      <c r="P337">
        <v>0</v>
      </c>
      <c r="Q337" t="s">
        <v>61</v>
      </c>
      <c r="R337">
        <v>9999568642950440</v>
      </c>
      <c r="S337">
        <v>99997001</v>
      </c>
      <c r="T337">
        <v>9999568642950440</v>
      </c>
      <c r="U337">
        <v>99997001</v>
      </c>
      <c r="V337" t="s">
        <v>71</v>
      </c>
      <c r="W337">
        <v>70</v>
      </c>
      <c r="X337">
        <v>99997000</v>
      </c>
      <c r="Y337">
        <v>99997001</v>
      </c>
      <c r="Z337">
        <v>199994001</v>
      </c>
      <c r="AA337">
        <v>99997001</v>
      </c>
      <c r="AB337">
        <v>2</v>
      </c>
      <c r="AC337">
        <v>1</v>
      </c>
      <c r="AD337">
        <v>1.5</v>
      </c>
      <c r="AE337">
        <v>35.091799999999999</v>
      </c>
      <c r="AF337">
        <v>6399808032</v>
      </c>
      <c r="AJ337" t="s">
        <v>694</v>
      </c>
      <c r="AM337">
        <v>3783234580</v>
      </c>
      <c r="AN337">
        <v>0</v>
      </c>
      <c r="AO337">
        <v>38215606</v>
      </c>
      <c r="AP337">
        <v>3783234580</v>
      </c>
      <c r="AQ337">
        <v>3821450186</v>
      </c>
      <c r="AR337">
        <v>59113040</v>
      </c>
      <c r="AS337">
        <v>0</v>
      </c>
      <c r="AT337">
        <v>597118</v>
      </c>
      <c r="AU337">
        <v>59113040</v>
      </c>
      <c r="AV337">
        <v>59710159</v>
      </c>
      <c r="AW337">
        <v>38.4773</v>
      </c>
      <c r="AX337">
        <v>19.559000000000001</v>
      </c>
      <c r="AY337">
        <v>8859.48</v>
      </c>
      <c r="AZ337">
        <v>7707.47</v>
      </c>
      <c r="BA337">
        <v>7584</v>
      </c>
      <c r="BB337">
        <v>2847</v>
      </c>
      <c r="BC337" t="str">
        <f t="shared" si="10"/>
        <v>u=1%, k=2x10^8</v>
      </c>
      <c r="BD337">
        <f t="shared" si="11"/>
        <v>64</v>
      </c>
    </row>
    <row r="338" spans="1:56">
      <c r="A338" t="s">
        <v>695</v>
      </c>
      <c r="B338" t="s">
        <v>63</v>
      </c>
      <c r="C338">
        <v>72</v>
      </c>
      <c r="D338" t="s">
        <v>64</v>
      </c>
      <c r="E338" t="s">
        <v>59</v>
      </c>
      <c r="F338" t="s">
        <v>60</v>
      </c>
      <c r="G338">
        <v>1000</v>
      </c>
      <c r="H338">
        <v>0</v>
      </c>
      <c r="I338">
        <v>0</v>
      </c>
      <c r="J338">
        <v>0</v>
      </c>
      <c r="K338">
        <v>1</v>
      </c>
      <c r="L338">
        <v>2000000</v>
      </c>
      <c r="M338">
        <v>190</v>
      </c>
      <c r="N338">
        <v>190</v>
      </c>
      <c r="O338">
        <v>190</v>
      </c>
      <c r="P338">
        <v>0</v>
      </c>
      <c r="Q338" t="s">
        <v>61</v>
      </c>
      <c r="R338">
        <v>999811583846</v>
      </c>
      <c r="S338">
        <v>1000001</v>
      </c>
      <c r="T338">
        <v>999811583846</v>
      </c>
      <c r="U338">
        <v>1000001</v>
      </c>
      <c r="V338" t="s">
        <v>71</v>
      </c>
      <c r="W338">
        <v>5</v>
      </c>
      <c r="X338">
        <v>33035</v>
      </c>
      <c r="Y338">
        <v>1032033</v>
      </c>
      <c r="Z338">
        <v>1065068</v>
      </c>
      <c r="AA338">
        <v>1000001</v>
      </c>
      <c r="AB338">
        <v>32.240600000000001</v>
      </c>
      <c r="AC338">
        <v>0.96896199999999999</v>
      </c>
      <c r="AD338">
        <v>1.9389099999999999</v>
      </c>
      <c r="AE338">
        <v>3</v>
      </c>
      <c r="AF338">
        <v>19155312</v>
      </c>
      <c r="AJ338">
        <v>3462</v>
      </c>
      <c r="AM338">
        <v>497248631</v>
      </c>
      <c r="AN338">
        <v>0</v>
      </c>
      <c r="AO338">
        <v>0</v>
      </c>
      <c r="AP338">
        <v>497248631</v>
      </c>
      <c r="AQ338">
        <v>497248631</v>
      </c>
      <c r="AR338">
        <v>497248631</v>
      </c>
      <c r="AS338">
        <v>0</v>
      </c>
      <c r="AT338">
        <v>0</v>
      </c>
      <c r="AU338">
        <v>497248631</v>
      </c>
      <c r="AV338">
        <v>497248631</v>
      </c>
      <c r="AW338">
        <v>8.7451000000000008</v>
      </c>
      <c r="AX338">
        <v>9.5754500000000006E-2</v>
      </c>
      <c r="AY338">
        <v>1058.07</v>
      </c>
      <c r="AZ338">
        <v>329.87</v>
      </c>
      <c r="BA338">
        <v>1217</v>
      </c>
      <c r="BB338">
        <v>300</v>
      </c>
      <c r="BC338" t="str">
        <f t="shared" si="10"/>
        <v>u=0%, k=2x10^6</v>
      </c>
      <c r="BD338">
        <f t="shared" si="11"/>
        <v>1</v>
      </c>
    </row>
    <row r="339" spans="1:56">
      <c r="A339" t="s">
        <v>696</v>
      </c>
      <c r="B339" t="s">
        <v>63</v>
      </c>
      <c r="C339">
        <v>72</v>
      </c>
      <c r="D339" t="s">
        <v>64</v>
      </c>
      <c r="E339" t="s">
        <v>59</v>
      </c>
      <c r="F339" t="s">
        <v>60</v>
      </c>
      <c r="G339">
        <v>2000</v>
      </c>
      <c r="H339">
        <v>0</v>
      </c>
      <c r="I339">
        <v>0</v>
      </c>
      <c r="J339">
        <v>0</v>
      </c>
      <c r="K339">
        <v>1</v>
      </c>
      <c r="L339">
        <v>2000000</v>
      </c>
      <c r="M339">
        <v>190</v>
      </c>
      <c r="N339">
        <v>190</v>
      </c>
      <c r="O339">
        <v>190</v>
      </c>
      <c r="P339">
        <v>0</v>
      </c>
      <c r="Q339" t="s">
        <v>61</v>
      </c>
      <c r="R339">
        <v>999607195726</v>
      </c>
      <c r="S339">
        <v>1000001</v>
      </c>
      <c r="T339">
        <v>999607195726</v>
      </c>
      <c r="U339">
        <v>1000001</v>
      </c>
      <c r="V339" t="s">
        <v>71</v>
      </c>
      <c r="W339">
        <v>5</v>
      </c>
      <c r="X339">
        <v>33035</v>
      </c>
      <c r="Y339">
        <v>1032033</v>
      </c>
      <c r="Z339">
        <v>1065068</v>
      </c>
      <c r="AA339">
        <v>1000001</v>
      </c>
      <c r="AB339">
        <v>32.240600000000001</v>
      </c>
      <c r="AC339">
        <v>0.96896199999999999</v>
      </c>
      <c r="AD339">
        <v>1.9389099999999999</v>
      </c>
      <c r="AE339">
        <v>3</v>
      </c>
      <c r="AF339">
        <v>19155312</v>
      </c>
      <c r="AJ339">
        <v>6916</v>
      </c>
      <c r="AM339">
        <v>1013172468</v>
      </c>
      <c r="AN339">
        <v>0</v>
      </c>
      <c r="AO339">
        <v>0</v>
      </c>
      <c r="AP339">
        <v>1013172468</v>
      </c>
      <c r="AQ339">
        <v>1013172468</v>
      </c>
      <c r="AR339">
        <v>506586234</v>
      </c>
      <c r="AS339">
        <v>0</v>
      </c>
      <c r="AT339">
        <v>0</v>
      </c>
      <c r="AU339">
        <v>506586234</v>
      </c>
      <c r="AV339">
        <v>506586234</v>
      </c>
      <c r="AW339">
        <v>8.3311299999999999</v>
      </c>
      <c r="AX339">
        <v>9.4015199999999993E-2</v>
      </c>
      <c r="AY339">
        <v>1037.95</v>
      </c>
      <c r="AZ339">
        <v>317.25400000000002</v>
      </c>
      <c r="BA339">
        <v>1216</v>
      </c>
      <c r="BB339">
        <v>282</v>
      </c>
      <c r="BC339" t="str">
        <f t="shared" si="10"/>
        <v>u=0%, k=2x10^6</v>
      </c>
      <c r="BD339">
        <f t="shared" si="11"/>
        <v>2</v>
      </c>
    </row>
    <row r="340" spans="1:56">
      <c r="A340" t="s">
        <v>697</v>
      </c>
      <c r="B340" t="s">
        <v>63</v>
      </c>
      <c r="C340">
        <v>72</v>
      </c>
      <c r="D340" t="s">
        <v>64</v>
      </c>
      <c r="E340" t="s">
        <v>59</v>
      </c>
      <c r="F340" t="s">
        <v>60</v>
      </c>
      <c r="G340">
        <v>4000</v>
      </c>
      <c r="H340">
        <v>0</v>
      </c>
      <c r="I340">
        <v>0</v>
      </c>
      <c r="J340">
        <v>0</v>
      </c>
      <c r="K340">
        <v>1</v>
      </c>
      <c r="L340">
        <v>2000000</v>
      </c>
      <c r="M340">
        <v>190</v>
      </c>
      <c r="N340">
        <v>190</v>
      </c>
      <c r="O340">
        <v>190</v>
      </c>
      <c r="P340">
        <v>0</v>
      </c>
      <c r="Q340" t="s">
        <v>61</v>
      </c>
      <c r="R340">
        <v>1000250178303</v>
      </c>
      <c r="S340">
        <v>1000001</v>
      </c>
      <c r="T340">
        <v>1000250178303</v>
      </c>
      <c r="U340">
        <v>1000001</v>
      </c>
      <c r="V340" t="s">
        <v>71</v>
      </c>
      <c r="W340">
        <v>5</v>
      </c>
      <c r="X340">
        <v>33035</v>
      </c>
      <c r="Y340">
        <v>1032033</v>
      </c>
      <c r="Z340">
        <v>1065068</v>
      </c>
      <c r="AA340">
        <v>1000001</v>
      </c>
      <c r="AB340">
        <v>32.240600000000001</v>
      </c>
      <c r="AC340">
        <v>0.96896199999999999</v>
      </c>
      <c r="AD340">
        <v>1.9389099999999999</v>
      </c>
      <c r="AE340">
        <v>3</v>
      </c>
      <c r="AF340">
        <v>19155312</v>
      </c>
      <c r="AJ340">
        <v>13540</v>
      </c>
      <c r="AM340">
        <v>1978627520</v>
      </c>
      <c r="AN340">
        <v>0</v>
      </c>
      <c r="AO340">
        <v>0</v>
      </c>
      <c r="AP340">
        <v>1978627520</v>
      </c>
      <c r="AQ340">
        <v>1978627520</v>
      </c>
      <c r="AR340">
        <v>494656880</v>
      </c>
      <c r="AS340">
        <v>0</v>
      </c>
      <c r="AT340">
        <v>0</v>
      </c>
      <c r="AU340">
        <v>494656880</v>
      </c>
      <c r="AV340">
        <v>494656880</v>
      </c>
      <c r="AW340">
        <v>8.3633199999999999</v>
      </c>
      <c r="AX340">
        <v>9.5428200000000005E-2</v>
      </c>
      <c r="AY340">
        <v>1057.05</v>
      </c>
      <c r="AZ340">
        <v>330.93099999999998</v>
      </c>
      <c r="BA340">
        <v>1213</v>
      </c>
      <c r="BB340">
        <v>335</v>
      </c>
      <c r="BC340" t="str">
        <f t="shared" si="10"/>
        <v>u=0%, k=2x10^6</v>
      </c>
      <c r="BD340">
        <f t="shared" si="11"/>
        <v>4</v>
      </c>
    </row>
    <row r="341" spans="1:56">
      <c r="A341" t="s">
        <v>698</v>
      </c>
      <c r="B341" t="s">
        <v>63</v>
      </c>
      <c r="C341">
        <v>72</v>
      </c>
      <c r="D341" t="s">
        <v>64</v>
      </c>
      <c r="E341" t="s">
        <v>59</v>
      </c>
      <c r="F341" t="s">
        <v>60</v>
      </c>
      <c r="G341">
        <v>8000</v>
      </c>
      <c r="H341">
        <v>0</v>
      </c>
      <c r="I341">
        <v>0</v>
      </c>
      <c r="J341">
        <v>0</v>
      </c>
      <c r="K341">
        <v>1</v>
      </c>
      <c r="L341">
        <v>2000000</v>
      </c>
      <c r="M341">
        <v>190</v>
      </c>
      <c r="N341">
        <v>190</v>
      </c>
      <c r="O341">
        <v>190</v>
      </c>
      <c r="P341">
        <v>0</v>
      </c>
      <c r="Q341" t="s">
        <v>61</v>
      </c>
      <c r="R341">
        <v>999247294422</v>
      </c>
      <c r="S341">
        <v>1000001</v>
      </c>
      <c r="T341">
        <v>999247294422</v>
      </c>
      <c r="U341">
        <v>1000001</v>
      </c>
      <c r="V341" t="s">
        <v>71</v>
      </c>
      <c r="W341">
        <v>5</v>
      </c>
      <c r="X341">
        <v>33035</v>
      </c>
      <c r="Y341">
        <v>1032033</v>
      </c>
      <c r="Z341">
        <v>1065068</v>
      </c>
      <c r="AA341">
        <v>1000001</v>
      </c>
      <c r="AB341">
        <v>32.240600000000001</v>
      </c>
      <c r="AC341">
        <v>0.96896199999999999</v>
      </c>
      <c r="AD341">
        <v>1.9389099999999999</v>
      </c>
      <c r="AE341">
        <v>3</v>
      </c>
      <c r="AF341">
        <v>19155312</v>
      </c>
      <c r="AJ341">
        <v>27298</v>
      </c>
      <c r="AM341">
        <v>3944785596</v>
      </c>
      <c r="AN341">
        <v>0</v>
      </c>
      <c r="AO341">
        <v>0</v>
      </c>
      <c r="AP341">
        <v>3944785596</v>
      </c>
      <c r="AQ341">
        <v>3944785596</v>
      </c>
      <c r="AR341">
        <v>493098199</v>
      </c>
      <c r="AS341">
        <v>0</v>
      </c>
      <c r="AT341">
        <v>0</v>
      </c>
      <c r="AU341">
        <v>493098199</v>
      </c>
      <c r="AV341">
        <v>493098199</v>
      </c>
      <c r="AW341">
        <v>8.3229500000000005</v>
      </c>
      <c r="AX341">
        <v>9.4603199999999998E-2</v>
      </c>
      <c r="AY341">
        <v>1056.46</v>
      </c>
      <c r="AZ341">
        <v>328.96300000000002</v>
      </c>
      <c r="BA341">
        <v>1218</v>
      </c>
      <c r="BB341">
        <v>251</v>
      </c>
      <c r="BC341" t="str">
        <f t="shared" si="10"/>
        <v>u=0%, k=2x10^6</v>
      </c>
      <c r="BD341">
        <f t="shared" si="11"/>
        <v>8</v>
      </c>
    </row>
    <row r="342" spans="1:56">
      <c r="A342" t="s">
        <v>699</v>
      </c>
      <c r="B342" t="s">
        <v>63</v>
      </c>
      <c r="C342">
        <v>72</v>
      </c>
      <c r="D342" t="s">
        <v>64</v>
      </c>
      <c r="E342" t="s">
        <v>59</v>
      </c>
      <c r="F342" t="s">
        <v>60</v>
      </c>
      <c r="G342">
        <v>16000</v>
      </c>
      <c r="H342">
        <v>0</v>
      </c>
      <c r="I342">
        <v>0</v>
      </c>
      <c r="J342">
        <v>0</v>
      </c>
      <c r="K342">
        <v>1</v>
      </c>
      <c r="L342">
        <v>2000000</v>
      </c>
      <c r="M342">
        <v>190</v>
      </c>
      <c r="N342">
        <v>190</v>
      </c>
      <c r="O342">
        <v>190</v>
      </c>
      <c r="P342">
        <v>0</v>
      </c>
      <c r="Q342" t="s">
        <v>61</v>
      </c>
      <c r="R342">
        <v>1000331105540</v>
      </c>
      <c r="S342">
        <v>1000001</v>
      </c>
      <c r="T342">
        <v>1000331105540</v>
      </c>
      <c r="U342">
        <v>1000001</v>
      </c>
      <c r="V342" t="s">
        <v>71</v>
      </c>
      <c r="W342">
        <v>5</v>
      </c>
      <c r="X342">
        <v>33035</v>
      </c>
      <c r="Y342">
        <v>1032033</v>
      </c>
      <c r="Z342">
        <v>1065068</v>
      </c>
      <c r="AA342">
        <v>1000001</v>
      </c>
      <c r="AB342">
        <v>32.240600000000001</v>
      </c>
      <c r="AC342">
        <v>0.96896199999999999</v>
      </c>
      <c r="AD342">
        <v>1.9389099999999999</v>
      </c>
      <c r="AE342">
        <v>3</v>
      </c>
      <c r="AF342">
        <v>19155312</v>
      </c>
      <c r="AJ342">
        <v>53676</v>
      </c>
      <c r="AM342">
        <v>7798462394</v>
      </c>
      <c r="AN342">
        <v>0</v>
      </c>
      <c r="AO342">
        <v>0</v>
      </c>
      <c r="AP342">
        <v>7798462394</v>
      </c>
      <c r="AQ342">
        <v>7798462394</v>
      </c>
      <c r="AR342">
        <v>487403899</v>
      </c>
      <c r="AS342">
        <v>0</v>
      </c>
      <c r="AT342">
        <v>0</v>
      </c>
      <c r="AU342">
        <v>487403899</v>
      </c>
      <c r="AV342">
        <v>487403899</v>
      </c>
      <c r="AW342">
        <v>8.4391700000000007</v>
      </c>
      <c r="AX342">
        <v>8.7568000000000007E-2</v>
      </c>
      <c r="AY342">
        <v>1068.33</v>
      </c>
      <c r="AZ342">
        <v>343.72800000000001</v>
      </c>
      <c r="BA342">
        <v>1216</v>
      </c>
      <c r="BB342">
        <v>331</v>
      </c>
      <c r="BC342" t="str">
        <f t="shared" ref="BC342:BC405" si="12">"u="&amp;(H342+I342)&amp;"%, k=2x10^"&amp;LOG10(L342/2)</f>
        <v>u=0%, k=2x10^6</v>
      </c>
      <c r="BD342">
        <f t="shared" ref="BD342:BD405" si="13">G342/1000</f>
        <v>16</v>
      </c>
    </row>
    <row r="343" spans="1:56">
      <c r="A343" t="s">
        <v>700</v>
      </c>
      <c r="B343" t="s">
        <v>63</v>
      </c>
      <c r="C343">
        <v>72</v>
      </c>
      <c r="D343" t="s">
        <v>64</v>
      </c>
      <c r="E343" t="s">
        <v>59</v>
      </c>
      <c r="F343" t="s">
        <v>60</v>
      </c>
      <c r="G343">
        <v>32000</v>
      </c>
      <c r="H343">
        <v>0</v>
      </c>
      <c r="I343">
        <v>0</v>
      </c>
      <c r="J343">
        <v>0</v>
      </c>
      <c r="K343">
        <v>1</v>
      </c>
      <c r="L343">
        <v>2000000</v>
      </c>
      <c r="M343">
        <v>190</v>
      </c>
      <c r="N343">
        <v>190</v>
      </c>
      <c r="O343">
        <v>190</v>
      </c>
      <c r="P343">
        <v>0</v>
      </c>
      <c r="Q343" t="s">
        <v>61</v>
      </c>
      <c r="R343">
        <v>999984098154</v>
      </c>
      <c r="S343">
        <v>1000001</v>
      </c>
      <c r="T343">
        <v>999984098154</v>
      </c>
      <c r="U343">
        <v>1000001</v>
      </c>
      <c r="V343" t="s">
        <v>71</v>
      </c>
      <c r="W343">
        <v>5</v>
      </c>
      <c r="X343">
        <v>33035</v>
      </c>
      <c r="Y343">
        <v>1032033</v>
      </c>
      <c r="Z343">
        <v>1065068</v>
      </c>
      <c r="AA343">
        <v>1000001</v>
      </c>
      <c r="AB343">
        <v>32.240600000000001</v>
      </c>
      <c r="AC343">
        <v>0.96896199999999999</v>
      </c>
      <c r="AD343">
        <v>1.9389099999999999</v>
      </c>
      <c r="AE343">
        <v>3</v>
      </c>
      <c r="AF343">
        <v>19155312</v>
      </c>
      <c r="AJ343">
        <v>109592</v>
      </c>
      <c r="AM343">
        <v>15598673507</v>
      </c>
      <c r="AN343">
        <v>0</v>
      </c>
      <c r="AO343">
        <v>0</v>
      </c>
      <c r="AP343">
        <v>15598673507</v>
      </c>
      <c r="AQ343">
        <v>15598673507</v>
      </c>
      <c r="AR343">
        <v>487458547</v>
      </c>
      <c r="AS343">
        <v>0</v>
      </c>
      <c r="AT343">
        <v>0</v>
      </c>
      <c r="AU343">
        <v>487458547</v>
      </c>
      <c r="AV343">
        <v>487458547</v>
      </c>
      <c r="AW343">
        <v>8.2908600000000003</v>
      </c>
      <c r="AX343">
        <v>9.2529E-2</v>
      </c>
      <c r="AY343">
        <v>1066.95</v>
      </c>
      <c r="AZ343">
        <v>331.923</v>
      </c>
      <c r="BA343">
        <v>1218</v>
      </c>
      <c r="BB343">
        <v>353</v>
      </c>
      <c r="BC343" t="str">
        <f t="shared" si="12"/>
        <v>u=0%, k=2x10^6</v>
      </c>
      <c r="BD343">
        <f t="shared" si="13"/>
        <v>32</v>
      </c>
    </row>
    <row r="344" spans="1:56">
      <c r="A344" t="s">
        <v>701</v>
      </c>
      <c r="B344" t="s">
        <v>63</v>
      </c>
      <c r="C344">
        <v>72</v>
      </c>
      <c r="D344" t="s">
        <v>64</v>
      </c>
      <c r="E344" t="s">
        <v>59</v>
      </c>
      <c r="F344" t="s">
        <v>60</v>
      </c>
      <c r="G344">
        <v>64000</v>
      </c>
      <c r="H344">
        <v>0</v>
      </c>
      <c r="I344">
        <v>0</v>
      </c>
      <c r="J344">
        <v>0</v>
      </c>
      <c r="K344">
        <v>1</v>
      </c>
      <c r="L344">
        <v>2000000</v>
      </c>
      <c r="M344">
        <v>190</v>
      </c>
      <c r="N344">
        <v>190</v>
      </c>
      <c r="O344">
        <v>190</v>
      </c>
      <c r="P344">
        <v>0</v>
      </c>
      <c r="Q344" t="s">
        <v>61</v>
      </c>
      <c r="R344">
        <v>1000663998729</v>
      </c>
      <c r="S344">
        <v>1000001</v>
      </c>
      <c r="T344">
        <v>1000663998729</v>
      </c>
      <c r="U344">
        <v>1000001</v>
      </c>
      <c r="V344" t="s">
        <v>71</v>
      </c>
      <c r="W344">
        <v>5</v>
      </c>
      <c r="X344">
        <v>33035</v>
      </c>
      <c r="Y344">
        <v>1032033</v>
      </c>
      <c r="Z344">
        <v>1065068</v>
      </c>
      <c r="AA344">
        <v>1000001</v>
      </c>
      <c r="AB344">
        <v>32.240600000000001</v>
      </c>
      <c r="AC344">
        <v>0.96896199999999999</v>
      </c>
      <c r="AD344">
        <v>1.9389099999999999</v>
      </c>
      <c r="AE344">
        <v>3</v>
      </c>
      <c r="AF344">
        <v>19155312</v>
      </c>
      <c r="AJ344">
        <v>217506</v>
      </c>
      <c r="AM344">
        <v>31383752311</v>
      </c>
      <c r="AN344">
        <v>0</v>
      </c>
      <c r="AO344">
        <v>0</v>
      </c>
      <c r="AP344">
        <v>31383752311</v>
      </c>
      <c r="AQ344">
        <v>31383752311</v>
      </c>
      <c r="AR344">
        <v>490371129</v>
      </c>
      <c r="AS344">
        <v>0</v>
      </c>
      <c r="AT344">
        <v>0</v>
      </c>
      <c r="AU344">
        <v>490371129</v>
      </c>
      <c r="AV344">
        <v>490371129</v>
      </c>
      <c r="AW344">
        <v>8.5403500000000001</v>
      </c>
      <c r="AX344">
        <v>9.3821600000000005E-2</v>
      </c>
      <c r="AY344">
        <v>1062.7</v>
      </c>
      <c r="AZ344">
        <v>347.26499999999999</v>
      </c>
      <c r="BA344">
        <v>1217</v>
      </c>
      <c r="BB344">
        <v>307</v>
      </c>
      <c r="BC344" t="str">
        <f t="shared" si="12"/>
        <v>u=0%, k=2x10^6</v>
      </c>
      <c r="BD344">
        <f t="shared" si="13"/>
        <v>64</v>
      </c>
    </row>
    <row r="345" spans="1:56">
      <c r="A345" t="s">
        <v>702</v>
      </c>
      <c r="B345" t="s">
        <v>300</v>
      </c>
      <c r="C345">
        <v>208</v>
      </c>
      <c r="D345" t="s">
        <v>64</v>
      </c>
      <c r="E345" t="s">
        <v>59</v>
      </c>
      <c r="F345" t="s">
        <v>60</v>
      </c>
      <c r="G345">
        <v>1000</v>
      </c>
      <c r="H345">
        <v>0</v>
      </c>
      <c r="I345">
        <v>0</v>
      </c>
      <c r="J345">
        <v>0</v>
      </c>
      <c r="K345">
        <v>1</v>
      </c>
      <c r="L345">
        <v>2000000</v>
      </c>
      <c r="M345">
        <v>190</v>
      </c>
      <c r="N345">
        <v>190</v>
      </c>
      <c r="O345">
        <v>190</v>
      </c>
      <c r="P345">
        <v>0</v>
      </c>
      <c r="Q345" t="s">
        <v>61</v>
      </c>
      <c r="R345">
        <v>1000461892585</v>
      </c>
      <c r="S345">
        <v>1000000</v>
      </c>
      <c r="T345">
        <v>1000461892585</v>
      </c>
      <c r="U345">
        <v>1000000</v>
      </c>
      <c r="V345" t="s">
        <v>71</v>
      </c>
      <c r="W345">
        <v>8</v>
      </c>
      <c r="X345">
        <v>18543</v>
      </c>
      <c r="Y345">
        <v>127573</v>
      </c>
      <c r="Z345">
        <v>146116</v>
      </c>
      <c r="AA345">
        <v>1000000</v>
      </c>
      <c r="AB345">
        <v>7.8798500000000002</v>
      </c>
      <c r="AC345">
        <v>7.8386500000000003</v>
      </c>
      <c r="AD345">
        <v>7.8438800000000004</v>
      </c>
      <c r="AE345">
        <v>7</v>
      </c>
      <c r="AF345">
        <v>30392128</v>
      </c>
      <c r="AJ345">
        <v>3294</v>
      </c>
      <c r="AM345">
        <v>428704613</v>
      </c>
      <c r="AN345">
        <v>0</v>
      </c>
      <c r="AO345">
        <v>0</v>
      </c>
      <c r="AP345">
        <v>428704613</v>
      </c>
      <c r="AQ345">
        <v>428704613</v>
      </c>
      <c r="AR345">
        <v>428704613</v>
      </c>
      <c r="AS345">
        <v>0</v>
      </c>
      <c r="AT345">
        <v>0</v>
      </c>
      <c r="AU345">
        <v>428704613</v>
      </c>
      <c r="AV345">
        <v>428704613</v>
      </c>
      <c r="AW345">
        <v>8.6469799999999992</v>
      </c>
      <c r="AX345">
        <v>0.36780099999999999</v>
      </c>
      <c r="AY345">
        <v>1227.56</v>
      </c>
      <c r="AZ345">
        <v>345.98500000000001</v>
      </c>
      <c r="BA345">
        <v>1156</v>
      </c>
      <c r="BB345">
        <v>318</v>
      </c>
      <c r="BC345" t="str">
        <f t="shared" si="12"/>
        <v>u=0%, k=2x10^6</v>
      </c>
      <c r="BD345">
        <f t="shared" si="13"/>
        <v>1</v>
      </c>
    </row>
    <row r="346" spans="1:56">
      <c r="A346" t="s">
        <v>703</v>
      </c>
      <c r="B346" t="s">
        <v>300</v>
      </c>
      <c r="C346">
        <v>208</v>
      </c>
      <c r="D346" t="s">
        <v>64</v>
      </c>
      <c r="E346" t="s">
        <v>59</v>
      </c>
      <c r="F346" t="s">
        <v>60</v>
      </c>
      <c r="G346">
        <v>2000</v>
      </c>
      <c r="H346">
        <v>0</v>
      </c>
      <c r="I346">
        <v>0</v>
      </c>
      <c r="J346">
        <v>0</v>
      </c>
      <c r="K346">
        <v>1</v>
      </c>
      <c r="L346">
        <v>2000000</v>
      </c>
      <c r="M346">
        <v>190</v>
      </c>
      <c r="N346">
        <v>190</v>
      </c>
      <c r="O346">
        <v>190</v>
      </c>
      <c r="P346">
        <v>0</v>
      </c>
      <c r="Q346" t="s">
        <v>61</v>
      </c>
      <c r="R346">
        <v>999359443841</v>
      </c>
      <c r="S346">
        <v>1000000</v>
      </c>
      <c r="T346">
        <v>999359443841</v>
      </c>
      <c r="U346">
        <v>1000000</v>
      </c>
      <c r="V346" t="s">
        <v>71</v>
      </c>
      <c r="W346">
        <v>8</v>
      </c>
      <c r="X346">
        <v>18594</v>
      </c>
      <c r="Y346">
        <v>127524</v>
      </c>
      <c r="Z346">
        <v>146118</v>
      </c>
      <c r="AA346">
        <v>1000000</v>
      </c>
      <c r="AB346">
        <v>7.8583400000000001</v>
      </c>
      <c r="AC346">
        <v>7.8416600000000001</v>
      </c>
      <c r="AD346">
        <v>7.8437799999999998</v>
      </c>
      <c r="AE346">
        <v>7</v>
      </c>
      <c r="AF346">
        <v>30392544</v>
      </c>
      <c r="AJ346">
        <v>6040</v>
      </c>
      <c r="AM346">
        <v>840489229</v>
      </c>
      <c r="AN346">
        <v>0</v>
      </c>
      <c r="AO346">
        <v>0</v>
      </c>
      <c r="AP346">
        <v>840489229</v>
      </c>
      <c r="AQ346">
        <v>840489229</v>
      </c>
      <c r="AR346">
        <v>420244614</v>
      </c>
      <c r="AS346">
        <v>0</v>
      </c>
      <c r="AT346">
        <v>0</v>
      </c>
      <c r="AU346">
        <v>420244614</v>
      </c>
      <c r="AV346">
        <v>420244614</v>
      </c>
      <c r="AW346">
        <v>8.5138400000000001</v>
      </c>
      <c r="AX346">
        <v>0.36502000000000001</v>
      </c>
      <c r="AY346">
        <v>1242.3599999999999</v>
      </c>
      <c r="AZ346">
        <v>350.05200000000002</v>
      </c>
      <c r="BA346">
        <v>1143</v>
      </c>
      <c r="BB346">
        <v>214</v>
      </c>
      <c r="BC346" t="str">
        <f t="shared" si="12"/>
        <v>u=0%, k=2x10^6</v>
      </c>
      <c r="BD346">
        <f t="shared" si="13"/>
        <v>2</v>
      </c>
    </row>
    <row r="347" spans="1:56">
      <c r="A347" t="s">
        <v>704</v>
      </c>
      <c r="B347" t="s">
        <v>300</v>
      </c>
      <c r="C347">
        <v>208</v>
      </c>
      <c r="D347" t="s">
        <v>64</v>
      </c>
      <c r="E347" t="s">
        <v>59</v>
      </c>
      <c r="F347" t="s">
        <v>60</v>
      </c>
      <c r="G347">
        <v>4000</v>
      </c>
      <c r="H347">
        <v>0</v>
      </c>
      <c r="I347">
        <v>0</v>
      </c>
      <c r="J347">
        <v>0</v>
      </c>
      <c r="K347">
        <v>1</v>
      </c>
      <c r="L347">
        <v>2000000</v>
      </c>
      <c r="M347">
        <v>190</v>
      </c>
      <c r="N347">
        <v>190</v>
      </c>
      <c r="O347">
        <v>190</v>
      </c>
      <c r="P347">
        <v>0</v>
      </c>
      <c r="Q347" t="s">
        <v>61</v>
      </c>
      <c r="R347">
        <v>999899488333</v>
      </c>
      <c r="S347">
        <v>1000000</v>
      </c>
      <c r="T347">
        <v>999899488333</v>
      </c>
      <c r="U347">
        <v>1000000</v>
      </c>
      <c r="V347" t="s">
        <v>71</v>
      </c>
      <c r="W347">
        <v>8</v>
      </c>
      <c r="X347">
        <v>18497</v>
      </c>
      <c r="Y347">
        <v>127534</v>
      </c>
      <c r="Z347">
        <v>146031</v>
      </c>
      <c r="AA347">
        <v>1000000</v>
      </c>
      <c r="AB347">
        <v>7.8948499999999999</v>
      </c>
      <c r="AC347">
        <v>7.8410500000000001</v>
      </c>
      <c r="AD347">
        <v>7.8478599999999998</v>
      </c>
      <c r="AE347">
        <v>7</v>
      </c>
      <c r="AF347">
        <v>30374448</v>
      </c>
      <c r="AJ347">
        <v>11698</v>
      </c>
      <c r="AM347">
        <v>1645871543</v>
      </c>
      <c r="AN347">
        <v>0</v>
      </c>
      <c r="AO347">
        <v>0</v>
      </c>
      <c r="AP347">
        <v>1645871543</v>
      </c>
      <c r="AQ347">
        <v>1645871543</v>
      </c>
      <c r="AR347">
        <v>411467885</v>
      </c>
      <c r="AS347">
        <v>0</v>
      </c>
      <c r="AT347">
        <v>0</v>
      </c>
      <c r="AU347">
        <v>411467885</v>
      </c>
      <c r="AV347">
        <v>411467885</v>
      </c>
      <c r="AW347">
        <v>8.6534600000000008</v>
      </c>
      <c r="AX347">
        <v>0.37043900000000002</v>
      </c>
      <c r="AY347">
        <v>1252.03</v>
      </c>
      <c r="AZ347">
        <v>363.44799999999998</v>
      </c>
      <c r="BA347">
        <v>1156</v>
      </c>
      <c r="BB347">
        <v>294</v>
      </c>
      <c r="BC347" t="str">
        <f t="shared" si="12"/>
        <v>u=0%, k=2x10^6</v>
      </c>
      <c r="BD347">
        <f t="shared" si="13"/>
        <v>4</v>
      </c>
    </row>
    <row r="348" spans="1:56">
      <c r="A348" t="s">
        <v>705</v>
      </c>
      <c r="B348" t="s">
        <v>300</v>
      </c>
      <c r="C348">
        <v>208</v>
      </c>
      <c r="D348" t="s">
        <v>64</v>
      </c>
      <c r="E348" t="s">
        <v>59</v>
      </c>
      <c r="F348" t="s">
        <v>60</v>
      </c>
      <c r="G348">
        <v>8000</v>
      </c>
      <c r="H348">
        <v>0</v>
      </c>
      <c r="I348">
        <v>0</v>
      </c>
      <c r="J348">
        <v>0</v>
      </c>
      <c r="K348">
        <v>1</v>
      </c>
      <c r="L348">
        <v>2000000</v>
      </c>
      <c r="M348">
        <v>190</v>
      </c>
      <c r="N348">
        <v>190</v>
      </c>
      <c r="O348">
        <v>190</v>
      </c>
      <c r="P348">
        <v>0</v>
      </c>
      <c r="Q348" t="s">
        <v>61</v>
      </c>
      <c r="R348">
        <v>999936230908</v>
      </c>
      <c r="S348">
        <v>1000000</v>
      </c>
      <c r="T348">
        <v>999936230908</v>
      </c>
      <c r="U348">
        <v>1000000</v>
      </c>
      <c r="V348" t="s">
        <v>71</v>
      </c>
      <c r="W348">
        <v>8</v>
      </c>
      <c r="X348">
        <v>18556</v>
      </c>
      <c r="Y348">
        <v>127661</v>
      </c>
      <c r="Z348">
        <v>146217</v>
      </c>
      <c r="AA348">
        <v>1000000</v>
      </c>
      <c r="AB348">
        <v>7.8797699999999997</v>
      </c>
      <c r="AC348">
        <v>7.8332499999999996</v>
      </c>
      <c r="AD348">
        <v>7.8391500000000001</v>
      </c>
      <c r="AE348">
        <v>7</v>
      </c>
      <c r="AF348">
        <v>30413136</v>
      </c>
      <c r="AJ348">
        <v>23212</v>
      </c>
      <c r="AM348">
        <v>3284739115</v>
      </c>
      <c r="AN348">
        <v>0</v>
      </c>
      <c r="AO348">
        <v>0</v>
      </c>
      <c r="AP348">
        <v>3284739115</v>
      </c>
      <c r="AQ348">
        <v>3284739115</v>
      </c>
      <c r="AR348">
        <v>410592389</v>
      </c>
      <c r="AS348">
        <v>0</v>
      </c>
      <c r="AT348">
        <v>0</v>
      </c>
      <c r="AU348">
        <v>410592389</v>
      </c>
      <c r="AV348">
        <v>410592389</v>
      </c>
      <c r="AW348">
        <v>8.5716999999999999</v>
      </c>
      <c r="AX348">
        <v>0.37787300000000001</v>
      </c>
      <c r="AY348">
        <v>1248.6400000000001</v>
      </c>
      <c r="AZ348">
        <v>364.83600000000001</v>
      </c>
      <c r="BA348">
        <v>1149</v>
      </c>
      <c r="BB348">
        <v>267</v>
      </c>
      <c r="BC348" t="str">
        <f t="shared" si="12"/>
        <v>u=0%, k=2x10^6</v>
      </c>
      <c r="BD348">
        <f t="shared" si="13"/>
        <v>8</v>
      </c>
    </row>
    <row r="349" spans="1:56">
      <c r="A349" t="s">
        <v>706</v>
      </c>
      <c r="B349" t="s">
        <v>300</v>
      </c>
      <c r="C349">
        <v>208</v>
      </c>
      <c r="D349" t="s">
        <v>64</v>
      </c>
      <c r="E349" t="s">
        <v>59</v>
      </c>
      <c r="F349" t="s">
        <v>60</v>
      </c>
      <c r="G349">
        <v>16000</v>
      </c>
      <c r="H349">
        <v>0</v>
      </c>
      <c r="I349">
        <v>0</v>
      </c>
      <c r="J349">
        <v>0</v>
      </c>
      <c r="K349">
        <v>1</v>
      </c>
      <c r="L349">
        <v>2000000</v>
      </c>
      <c r="M349">
        <v>190</v>
      </c>
      <c r="N349">
        <v>190</v>
      </c>
      <c r="O349">
        <v>190</v>
      </c>
      <c r="P349">
        <v>0</v>
      </c>
      <c r="Q349" t="s">
        <v>61</v>
      </c>
      <c r="R349">
        <v>1000727351342</v>
      </c>
      <c r="S349">
        <v>1000000</v>
      </c>
      <c r="T349">
        <v>1000727351342</v>
      </c>
      <c r="U349">
        <v>1000000</v>
      </c>
      <c r="V349" t="s">
        <v>71</v>
      </c>
      <c r="W349">
        <v>8</v>
      </c>
      <c r="X349">
        <v>18603</v>
      </c>
      <c r="Y349">
        <v>127588</v>
      </c>
      <c r="Z349">
        <v>146191</v>
      </c>
      <c r="AA349">
        <v>1000000</v>
      </c>
      <c r="AB349">
        <v>7.85846</v>
      </c>
      <c r="AC349">
        <v>7.8377299999999996</v>
      </c>
      <c r="AD349">
        <v>7.8403700000000001</v>
      </c>
      <c r="AE349">
        <v>7</v>
      </c>
      <c r="AF349">
        <v>30407728</v>
      </c>
      <c r="AJ349" t="s">
        <v>707</v>
      </c>
      <c r="AM349">
        <v>6586447055</v>
      </c>
      <c r="AN349">
        <v>0</v>
      </c>
      <c r="AO349">
        <v>0</v>
      </c>
      <c r="AP349">
        <v>6586447055</v>
      </c>
      <c r="AQ349">
        <v>6586447055</v>
      </c>
      <c r="AR349">
        <v>411652940</v>
      </c>
      <c r="AS349">
        <v>0</v>
      </c>
      <c r="AT349">
        <v>0</v>
      </c>
      <c r="AU349">
        <v>411652940</v>
      </c>
      <c r="AV349">
        <v>411652940</v>
      </c>
      <c r="AW349">
        <v>8.6737000000000002</v>
      </c>
      <c r="AX349">
        <v>0.37956800000000002</v>
      </c>
      <c r="AY349">
        <v>1235.53</v>
      </c>
      <c r="AZ349">
        <v>358.334</v>
      </c>
      <c r="BA349">
        <v>1156</v>
      </c>
      <c r="BB349">
        <v>339</v>
      </c>
      <c r="BC349" t="str">
        <f t="shared" si="12"/>
        <v>u=0%, k=2x10^6</v>
      </c>
      <c r="BD349">
        <f t="shared" si="13"/>
        <v>16</v>
      </c>
    </row>
    <row r="350" spans="1:56">
      <c r="A350" t="s">
        <v>708</v>
      </c>
      <c r="B350" t="s">
        <v>300</v>
      </c>
      <c r="C350">
        <v>208</v>
      </c>
      <c r="D350" t="s">
        <v>64</v>
      </c>
      <c r="E350" t="s">
        <v>59</v>
      </c>
      <c r="F350" t="s">
        <v>60</v>
      </c>
      <c r="G350">
        <v>32000</v>
      </c>
      <c r="H350">
        <v>0</v>
      </c>
      <c r="I350">
        <v>0</v>
      </c>
      <c r="J350">
        <v>0</v>
      </c>
      <c r="K350">
        <v>1</v>
      </c>
      <c r="L350">
        <v>2000000</v>
      </c>
      <c r="M350">
        <v>190</v>
      </c>
      <c r="N350">
        <v>190</v>
      </c>
      <c r="O350">
        <v>190</v>
      </c>
      <c r="P350">
        <v>0</v>
      </c>
      <c r="Q350" t="s">
        <v>61</v>
      </c>
      <c r="R350">
        <v>999797443711</v>
      </c>
      <c r="S350">
        <v>1000000</v>
      </c>
      <c r="T350">
        <v>999797443711</v>
      </c>
      <c r="U350">
        <v>1000000</v>
      </c>
      <c r="V350" t="s">
        <v>71</v>
      </c>
      <c r="W350">
        <v>8</v>
      </c>
      <c r="X350">
        <v>18540</v>
      </c>
      <c r="Y350">
        <v>127616</v>
      </c>
      <c r="Z350">
        <v>146156</v>
      </c>
      <c r="AA350">
        <v>1000000</v>
      </c>
      <c r="AB350">
        <v>7.8832800000000001</v>
      </c>
      <c r="AC350">
        <v>7.8360099999999999</v>
      </c>
      <c r="AD350">
        <v>7.8419999999999996</v>
      </c>
      <c r="AE350">
        <v>7</v>
      </c>
      <c r="AF350">
        <v>30400448</v>
      </c>
      <c r="AJ350">
        <v>92368</v>
      </c>
      <c r="AM350">
        <v>13201314965</v>
      </c>
      <c r="AN350">
        <v>0</v>
      </c>
      <c r="AO350">
        <v>0</v>
      </c>
      <c r="AP350">
        <v>13201314965</v>
      </c>
      <c r="AQ350">
        <v>13201314965</v>
      </c>
      <c r="AR350">
        <v>412541092</v>
      </c>
      <c r="AS350">
        <v>0</v>
      </c>
      <c r="AT350">
        <v>0</v>
      </c>
      <c r="AU350">
        <v>412541092</v>
      </c>
      <c r="AV350">
        <v>412541092</v>
      </c>
      <c r="AW350">
        <v>8.6208899999999993</v>
      </c>
      <c r="AX350">
        <v>0.36711300000000002</v>
      </c>
      <c r="AY350">
        <v>1234.3900000000001</v>
      </c>
      <c r="AZ350">
        <v>356.76799999999997</v>
      </c>
      <c r="BA350">
        <v>1150</v>
      </c>
      <c r="BB350">
        <v>308</v>
      </c>
      <c r="BC350" t="str">
        <f t="shared" si="12"/>
        <v>u=0%, k=2x10^6</v>
      </c>
      <c r="BD350">
        <f t="shared" si="13"/>
        <v>32</v>
      </c>
    </row>
    <row r="351" spans="1:56">
      <c r="A351" t="s">
        <v>709</v>
      </c>
      <c r="B351" t="s">
        <v>300</v>
      </c>
      <c r="C351">
        <v>208</v>
      </c>
      <c r="D351" t="s">
        <v>64</v>
      </c>
      <c r="E351" t="s">
        <v>59</v>
      </c>
      <c r="F351" t="s">
        <v>60</v>
      </c>
      <c r="G351">
        <v>64000</v>
      </c>
      <c r="H351">
        <v>0</v>
      </c>
      <c r="I351">
        <v>0</v>
      </c>
      <c r="J351">
        <v>0</v>
      </c>
      <c r="K351">
        <v>1</v>
      </c>
      <c r="L351">
        <v>2000000</v>
      </c>
      <c r="M351">
        <v>190</v>
      </c>
      <c r="N351">
        <v>190</v>
      </c>
      <c r="O351">
        <v>190</v>
      </c>
      <c r="P351">
        <v>0</v>
      </c>
      <c r="Q351" t="s">
        <v>61</v>
      </c>
      <c r="R351">
        <v>999874811374</v>
      </c>
      <c r="S351">
        <v>1000000</v>
      </c>
      <c r="T351">
        <v>999874811374</v>
      </c>
      <c r="U351">
        <v>1000000</v>
      </c>
      <c r="V351" t="s">
        <v>71</v>
      </c>
      <c r="W351">
        <v>8</v>
      </c>
      <c r="X351">
        <v>18558</v>
      </c>
      <c r="Y351">
        <v>127614</v>
      </c>
      <c r="Z351">
        <v>146172</v>
      </c>
      <c r="AA351">
        <v>1000000</v>
      </c>
      <c r="AB351">
        <v>7.8765000000000001</v>
      </c>
      <c r="AC351">
        <v>7.8361299999999998</v>
      </c>
      <c r="AD351">
        <v>7.8412600000000001</v>
      </c>
      <c r="AE351">
        <v>7</v>
      </c>
      <c r="AF351">
        <v>30403776</v>
      </c>
      <c r="AJ351">
        <v>184944</v>
      </c>
      <c r="AM351">
        <v>26126848313</v>
      </c>
      <c r="AN351">
        <v>0</v>
      </c>
      <c r="AO351">
        <v>0</v>
      </c>
      <c r="AP351">
        <v>26126848313</v>
      </c>
      <c r="AQ351">
        <v>26126848313</v>
      </c>
      <c r="AR351">
        <v>408232004</v>
      </c>
      <c r="AS351">
        <v>0</v>
      </c>
      <c r="AT351">
        <v>0</v>
      </c>
      <c r="AU351">
        <v>408232004</v>
      </c>
      <c r="AV351">
        <v>408232004</v>
      </c>
      <c r="AW351">
        <v>8.5098699999999994</v>
      </c>
      <c r="AX351">
        <v>0.35733999999999999</v>
      </c>
      <c r="AY351">
        <v>1249.5999999999999</v>
      </c>
      <c r="AZ351">
        <v>362</v>
      </c>
      <c r="BA351">
        <v>1143</v>
      </c>
      <c r="BB351">
        <v>233</v>
      </c>
      <c r="BC351" t="str">
        <f t="shared" si="12"/>
        <v>u=0%, k=2x10^6</v>
      </c>
      <c r="BD351">
        <f t="shared" si="13"/>
        <v>64</v>
      </c>
    </row>
    <row r="352" spans="1:56">
      <c r="A352" t="s">
        <v>710</v>
      </c>
      <c r="B352" t="s">
        <v>105</v>
      </c>
      <c r="D352" t="s">
        <v>64</v>
      </c>
      <c r="E352" t="s">
        <v>59</v>
      </c>
      <c r="F352" t="s">
        <v>60</v>
      </c>
      <c r="G352">
        <v>1000</v>
      </c>
      <c r="H352">
        <v>0</v>
      </c>
      <c r="I352">
        <v>0</v>
      </c>
      <c r="J352">
        <v>0</v>
      </c>
      <c r="K352">
        <v>1</v>
      </c>
      <c r="L352">
        <v>2000000</v>
      </c>
      <c r="M352">
        <v>190</v>
      </c>
      <c r="N352">
        <v>190</v>
      </c>
      <c r="O352">
        <v>190</v>
      </c>
      <c r="P352">
        <v>0</v>
      </c>
      <c r="Q352" t="s">
        <v>61</v>
      </c>
      <c r="R352">
        <v>1000026536685</v>
      </c>
      <c r="S352">
        <v>1000000</v>
      </c>
      <c r="T352">
        <v>1000026536685</v>
      </c>
      <c r="U352">
        <v>1000000</v>
      </c>
      <c r="V352" t="s">
        <v>71</v>
      </c>
      <c r="W352">
        <v>25</v>
      </c>
      <c r="X352">
        <v>571361</v>
      </c>
      <c r="Y352">
        <v>428640</v>
      </c>
      <c r="Z352">
        <v>1000001</v>
      </c>
      <c r="AA352">
        <v>1000000</v>
      </c>
      <c r="AB352">
        <v>1.75021</v>
      </c>
      <c r="AC352">
        <v>2.3329599999999999</v>
      </c>
      <c r="AD352">
        <v>2</v>
      </c>
      <c r="AE352">
        <v>19.323399999999999</v>
      </c>
      <c r="AF352">
        <v>56000056</v>
      </c>
      <c r="AJ352">
        <v>1688</v>
      </c>
      <c r="AM352">
        <v>231694743</v>
      </c>
      <c r="AN352">
        <v>0</v>
      </c>
      <c r="AO352">
        <v>0</v>
      </c>
      <c r="AP352">
        <v>231694743</v>
      </c>
      <c r="AQ352">
        <v>231694743</v>
      </c>
      <c r="AR352">
        <v>231694743</v>
      </c>
      <c r="AS352">
        <v>0</v>
      </c>
      <c r="AT352">
        <v>0</v>
      </c>
      <c r="AU352">
        <v>231694743</v>
      </c>
      <c r="AV352">
        <v>231694743</v>
      </c>
      <c r="AW352">
        <v>15.7392</v>
      </c>
      <c r="AX352">
        <v>2.1056400000000002</v>
      </c>
      <c r="AY352">
        <v>2274.7800000000002</v>
      </c>
      <c r="AZ352">
        <v>991.33</v>
      </c>
      <c r="BA352">
        <v>1167</v>
      </c>
      <c r="BB352">
        <v>357</v>
      </c>
      <c r="BC352" t="str">
        <f t="shared" si="12"/>
        <v>u=0%, k=2x10^6</v>
      </c>
      <c r="BD352">
        <f t="shared" si="13"/>
        <v>1</v>
      </c>
    </row>
    <row r="353" spans="1:56">
      <c r="A353" t="s">
        <v>711</v>
      </c>
      <c r="B353" t="s">
        <v>105</v>
      </c>
      <c r="D353" t="s">
        <v>64</v>
      </c>
      <c r="E353" t="s">
        <v>59</v>
      </c>
      <c r="F353" t="s">
        <v>60</v>
      </c>
      <c r="G353">
        <v>2000</v>
      </c>
      <c r="H353">
        <v>0</v>
      </c>
      <c r="I353">
        <v>0</v>
      </c>
      <c r="J353">
        <v>0</v>
      </c>
      <c r="K353">
        <v>1</v>
      </c>
      <c r="L353">
        <v>2000000</v>
      </c>
      <c r="M353">
        <v>190</v>
      </c>
      <c r="N353">
        <v>190</v>
      </c>
      <c r="O353">
        <v>190</v>
      </c>
      <c r="P353">
        <v>0</v>
      </c>
      <c r="Q353" t="s">
        <v>61</v>
      </c>
      <c r="R353">
        <v>999648097981</v>
      </c>
      <c r="S353">
        <v>1000000</v>
      </c>
      <c r="T353">
        <v>999648097981</v>
      </c>
      <c r="U353">
        <v>1000000</v>
      </c>
      <c r="V353" t="s">
        <v>71</v>
      </c>
      <c r="W353">
        <v>25</v>
      </c>
      <c r="X353">
        <v>571611</v>
      </c>
      <c r="Y353">
        <v>428390</v>
      </c>
      <c r="Z353">
        <v>1000001</v>
      </c>
      <c r="AA353">
        <v>1000000</v>
      </c>
      <c r="AB353">
        <v>1.7494400000000001</v>
      </c>
      <c r="AC353">
        <v>2.33432</v>
      </c>
      <c r="AD353">
        <v>2</v>
      </c>
      <c r="AE353">
        <v>19.306000000000001</v>
      </c>
      <c r="AF353">
        <v>56000056</v>
      </c>
      <c r="AJ353">
        <v>3162</v>
      </c>
      <c r="AM353">
        <v>452242404</v>
      </c>
      <c r="AN353">
        <v>0</v>
      </c>
      <c r="AO353">
        <v>0</v>
      </c>
      <c r="AP353">
        <v>452242404</v>
      </c>
      <c r="AQ353">
        <v>452242404</v>
      </c>
      <c r="AR353">
        <v>226121202</v>
      </c>
      <c r="AS353">
        <v>0</v>
      </c>
      <c r="AT353">
        <v>0</v>
      </c>
      <c r="AU353">
        <v>226121202</v>
      </c>
      <c r="AV353">
        <v>226121202</v>
      </c>
      <c r="AW353">
        <v>15.7279</v>
      </c>
      <c r="AX353">
        <v>2.1127899999999999</v>
      </c>
      <c r="AY353">
        <v>2313.92</v>
      </c>
      <c r="AZ353">
        <v>996.09100000000001</v>
      </c>
      <c r="BA353">
        <v>1167</v>
      </c>
      <c r="BB353">
        <v>377</v>
      </c>
      <c r="BC353" t="str">
        <f t="shared" si="12"/>
        <v>u=0%, k=2x10^6</v>
      </c>
      <c r="BD353">
        <f t="shared" si="13"/>
        <v>2</v>
      </c>
    </row>
    <row r="354" spans="1:56">
      <c r="A354" t="s">
        <v>712</v>
      </c>
      <c r="B354" t="s">
        <v>105</v>
      </c>
      <c r="D354" t="s">
        <v>64</v>
      </c>
      <c r="E354" t="s">
        <v>59</v>
      </c>
      <c r="F354" t="s">
        <v>60</v>
      </c>
      <c r="G354">
        <v>4000</v>
      </c>
      <c r="H354">
        <v>0</v>
      </c>
      <c r="I354">
        <v>0</v>
      </c>
      <c r="J354">
        <v>0</v>
      </c>
      <c r="K354">
        <v>1</v>
      </c>
      <c r="L354">
        <v>2000000</v>
      </c>
      <c r="M354">
        <v>190</v>
      </c>
      <c r="N354">
        <v>190</v>
      </c>
      <c r="O354">
        <v>190</v>
      </c>
      <c r="P354">
        <v>0</v>
      </c>
      <c r="Q354" t="s">
        <v>61</v>
      </c>
      <c r="R354">
        <v>1000177478863</v>
      </c>
      <c r="S354">
        <v>1000000</v>
      </c>
      <c r="T354">
        <v>1000177478863</v>
      </c>
      <c r="U354">
        <v>1000000</v>
      </c>
      <c r="V354" t="s">
        <v>71</v>
      </c>
      <c r="W354">
        <v>25</v>
      </c>
      <c r="X354">
        <v>571391</v>
      </c>
      <c r="Y354">
        <v>428610</v>
      </c>
      <c r="Z354">
        <v>1000001</v>
      </c>
      <c r="AA354">
        <v>1000000</v>
      </c>
      <c r="AB354">
        <v>1.7501199999999999</v>
      </c>
      <c r="AC354">
        <v>2.3331200000000001</v>
      </c>
      <c r="AD354">
        <v>2</v>
      </c>
      <c r="AE354">
        <v>19.299099999999999</v>
      </c>
      <c r="AF354">
        <v>56000056</v>
      </c>
      <c r="AJ354" t="s">
        <v>713</v>
      </c>
      <c r="AM354">
        <v>896881205</v>
      </c>
      <c r="AN354">
        <v>0</v>
      </c>
      <c r="AO354">
        <v>0</v>
      </c>
      <c r="AP354">
        <v>896881205</v>
      </c>
      <c r="AQ354">
        <v>896881205</v>
      </c>
      <c r="AR354">
        <v>224220301</v>
      </c>
      <c r="AS354">
        <v>0</v>
      </c>
      <c r="AT354">
        <v>0</v>
      </c>
      <c r="AU354">
        <v>224220301</v>
      </c>
      <c r="AV354">
        <v>224220301</v>
      </c>
      <c r="AW354">
        <v>15.6723</v>
      </c>
      <c r="AX354">
        <v>2.1074999999999999</v>
      </c>
      <c r="AY354">
        <v>2306.5</v>
      </c>
      <c r="AZ354">
        <v>1019.87</v>
      </c>
      <c r="BA354">
        <v>1166</v>
      </c>
      <c r="BB354">
        <v>340</v>
      </c>
      <c r="BC354" t="str">
        <f t="shared" si="12"/>
        <v>u=0%, k=2x10^6</v>
      </c>
      <c r="BD354">
        <f t="shared" si="13"/>
        <v>4</v>
      </c>
    </row>
    <row r="355" spans="1:56">
      <c r="A355" t="s">
        <v>714</v>
      </c>
      <c r="B355" t="s">
        <v>105</v>
      </c>
      <c r="D355" t="s">
        <v>64</v>
      </c>
      <c r="E355" t="s">
        <v>59</v>
      </c>
      <c r="F355" t="s">
        <v>60</v>
      </c>
      <c r="G355">
        <v>8000</v>
      </c>
      <c r="H355">
        <v>0</v>
      </c>
      <c r="I355">
        <v>0</v>
      </c>
      <c r="J355">
        <v>0</v>
      </c>
      <c r="K355">
        <v>1</v>
      </c>
      <c r="L355">
        <v>2000000</v>
      </c>
      <c r="M355">
        <v>190</v>
      </c>
      <c r="N355">
        <v>190</v>
      </c>
      <c r="O355">
        <v>190</v>
      </c>
      <c r="P355">
        <v>0</v>
      </c>
      <c r="Q355" t="s">
        <v>61</v>
      </c>
      <c r="R355">
        <v>999772873166</v>
      </c>
      <c r="S355">
        <v>1000000</v>
      </c>
      <c r="T355">
        <v>999772873166</v>
      </c>
      <c r="U355">
        <v>1000000</v>
      </c>
      <c r="V355" t="s">
        <v>71</v>
      </c>
      <c r="W355">
        <v>25</v>
      </c>
      <c r="X355">
        <v>571298</v>
      </c>
      <c r="Y355">
        <v>428703</v>
      </c>
      <c r="Z355">
        <v>1000001</v>
      </c>
      <c r="AA355">
        <v>1000000</v>
      </c>
      <c r="AB355">
        <v>1.7504</v>
      </c>
      <c r="AC355">
        <v>2.3326199999999999</v>
      </c>
      <c r="AD355">
        <v>2</v>
      </c>
      <c r="AE355">
        <v>19.327200000000001</v>
      </c>
      <c r="AF355">
        <v>56000056</v>
      </c>
      <c r="AJ355">
        <v>11340</v>
      </c>
      <c r="AM355">
        <v>1772099692</v>
      </c>
      <c r="AN355">
        <v>0</v>
      </c>
      <c r="AO355">
        <v>0</v>
      </c>
      <c r="AP355">
        <v>1772099692</v>
      </c>
      <c r="AQ355">
        <v>1772099692</v>
      </c>
      <c r="AR355">
        <v>221512461</v>
      </c>
      <c r="AS355">
        <v>0</v>
      </c>
      <c r="AT355">
        <v>0</v>
      </c>
      <c r="AU355">
        <v>221512461</v>
      </c>
      <c r="AV355">
        <v>221512461</v>
      </c>
      <c r="AW355">
        <v>15.7545</v>
      </c>
      <c r="AX355">
        <v>2.1122999999999998</v>
      </c>
      <c r="AY355">
        <v>2320.35</v>
      </c>
      <c r="AZ355">
        <v>1027.96</v>
      </c>
      <c r="BA355">
        <v>1167</v>
      </c>
      <c r="BB355">
        <v>234</v>
      </c>
      <c r="BC355" t="str">
        <f t="shared" si="12"/>
        <v>u=0%, k=2x10^6</v>
      </c>
      <c r="BD355">
        <f t="shared" si="13"/>
        <v>8</v>
      </c>
    </row>
    <row r="356" spans="1:56">
      <c r="A356" t="s">
        <v>715</v>
      </c>
      <c r="B356" t="s">
        <v>105</v>
      </c>
      <c r="D356" t="s">
        <v>64</v>
      </c>
      <c r="E356" t="s">
        <v>59</v>
      </c>
      <c r="F356" t="s">
        <v>60</v>
      </c>
      <c r="G356">
        <v>16000</v>
      </c>
      <c r="H356">
        <v>0</v>
      </c>
      <c r="I356">
        <v>0</v>
      </c>
      <c r="J356">
        <v>0</v>
      </c>
      <c r="K356">
        <v>1</v>
      </c>
      <c r="L356">
        <v>2000000</v>
      </c>
      <c r="M356">
        <v>190</v>
      </c>
      <c r="N356">
        <v>190</v>
      </c>
      <c r="O356">
        <v>190</v>
      </c>
      <c r="P356">
        <v>0</v>
      </c>
      <c r="Q356" t="s">
        <v>61</v>
      </c>
      <c r="R356">
        <v>999831551286</v>
      </c>
      <c r="S356">
        <v>1000000</v>
      </c>
      <c r="T356">
        <v>999831551286</v>
      </c>
      <c r="U356">
        <v>1000000</v>
      </c>
      <c r="V356" t="s">
        <v>71</v>
      </c>
      <c r="W356">
        <v>25</v>
      </c>
      <c r="X356">
        <v>571354</v>
      </c>
      <c r="Y356">
        <v>428647</v>
      </c>
      <c r="Z356">
        <v>1000001</v>
      </c>
      <c r="AA356">
        <v>1000000</v>
      </c>
      <c r="AB356">
        <v>1.75023</v>
      </c>
      <c r="AC356">
        <v>2.3329200000000001</v>
      </c>
      <c r="AD356">
        <v>2</v>
      </c>
      <c r="AE356">
        <v>19.327200000000001</v>
      </c>
      <c r="AF356">
        <v>56000056</v>
      </c>
      <c r="AJ356">
        <v>22556</v>
      </c>
      <c r="AM356">
        <v>3520961743</v>
      </c>
      <c r="AN356">
        <v>0</v>
      </c>
      <c r="AO356">
        <v>0</v>
      </c>
      <c r="AP356">
        <v>3520961743</v>
      </c>
      <c r="AQ356">
        <v>3520961743</v>
      </c>
      <c r="AR356">
        <v>220060108</v>
      </c>
      <c r="AS356">
        <v>0</v>
      </c>
      <c r="AT356">
        <v>0</v>
      </c>
      <c r="AU356">
        <v>220060108</v>
      </c>
      <c r="AV356">
        <v>220060108</v>
      </c>
      <c r="AW356">
        <v>15.6868</v>
      </c>
      <c r="AX356">
        <v>2.1081300000000001</v>
      </c>
      <c r="AY356">
        <v>2329.1799999999998</v>
      </c>
      <c r="AZ356">
        <v>1034.93</v>
      </c>
      <c r="BA356">
        <v>1166</v>
      </c>
      <c r="BB356">
        <v>261</v>
      </c>
      <c r="BC356" t="str">
        <f t="shared" si="12"/>
        <v>u=0%, k=2x10^6</v>
      </c>
      <c r="BD356">
        <f t="shared" si="13"/>
        <v>16</v>
      </c>
    </row>
    <row r="357" spans="1:56">
      <c r="A357" t="s">
        <v>716</v>
      </c>
      <c r="B357" t="s">
        <v>105</v>
      </c>
      <c r="D357" t="s">
        <v>64</v>
      </c>
      <c r="E357" t="s">
        <v>59</v>
      </c>
      <c r="F357" t="s">
        <v>60</v>
      </c>
      <c r="G357">
        <v>32000</v>
      </c>
      <c r="H357">
        <v>0</v>
      </c>
      <c r="I357">
        <v>0</v>
      </c>
      <c r="J357">
        <v>0</v>
      </c>
      <c r="K357">
        <v>1</v>
      </c>
      <c r="L357">
        <v>2000000</v>
      </c>
      <c r="M357">
        <v>190</v>
      </c>
      <c r="N357">
        <v>190</v>
      </c>
      <c r="O357">
        <v>190</v>
      </c>
      <c r="P357">
        <v>0</v>
      </c>
      <c r="Q357" t="s">
        <v>61</v>
      </c>
      <c r="R357">
        <v>1000572078810</v>
      </c>
      <c r="S357">
        <v>1000000</v>
      </c>
      <c r="T357">
        <v>1000572078810</v>
      </c>
      <c r="U357">
        <v>1000000</v>
      </c>
      <c r="V357" t="s">
        <v>71</v>
      </c>
      <c r="W357">
        <v>25</v>
      </c>
      <c r="X357">
        <v>571710</v>
      </c>
      <c r="Y357">
        <v>428291</v>
      </c>
      <c r="Z357">
        <v>1000001</v>
      </c>
      <c r="AA357">
        <v>1000000</v>
      </c>
      <c r="AB357">
        <v>1.7491399999999999</v>
      </c>
      <c r="AC357">
        <v>2.3348599999999999</v>
      </c>
      <c r="AD357">
        <v>2</v>
      </c>
      <c r="AE357">
        <v>19.324400000000001</v>
      </c>
      <c r="AF357">
        <v>56000056</v>
      </c>
      <c r="AJ357">
        <v>45224</v>
      </c>
      <c r="AM357">
        <v>7066164964</v>
      </c>
      <c r="AN357">
        <v>0</v>
      </c>
      <c r="AO357">
        <v>0</v>
      </c>
      <c r="AP357">
        <v>7066164964</v>
      </c>
      <c r="AQ357">
        <v>7066164964</v>
      </c>
      <c r="AR357">
        <v>220817655</v>
      </c>
      <c r="AS357">
        <v>0</v>
      </c>
      <c r="AT357">
        <v>0</v>
      </c>
      <c r="AU357">
        <v>220817655</v>
      </c>
      <c r="AV357">
        <v>220817655</v>
      </c>
      <c r="AW357">
        <v>15.6845</v>
      </c>
      <c r="AX357">
        <v>2.1037599999999999</v>
      </c>
      <c r="AY357">
        <v>2317.3000000000002</v>
      </c>
      <c r="AZ357">
        <v>1036.07</v>
      </c>
      <c r="BA357">
        <v>1167</v>
      </c>
      <c r="BB357">
        <v>388</v>
      </c>
      <c r="BC357" t="str">
        <f t="shared" si="12"/>
        <v>u=0%, k=2x10^6</v>
      </c>
      <c r="BD357">
        <f t="shared" si="13"/>
        <v>32</v>
      </c>
    </row>
    <row r="358" spans="1:56">
      <c r="A358" t="s">
        <v>717</v>
      </c>
      <c r="B358" t="s">
        <v>105</v>
      </c>
      <c r="D358" t="s">
        <v>64</v>
      </c>
      <c r="E358" t="s">
        <v>59</v>
      </c>
      <c r="F358" t="s">
        <v>60</v>
      </c>
      <c r="G358">
        <v>64000</v>
      </c>
      <c r="H358">
        <v>0</v>
      </c>
      <c r="I358">
        <v>0</v>
      </c>
      <c r="J358">
        <v>0</v>
      </c>
      <c r="K358">
        <v>1</v>
      </c>
      <c r="L358">
        <v>2000000</v>
      </c>
      <c r="M358">
        <v>190</v>
      </c>
      <c r="N358">
        <v>190</v>
      </c>
      <c r="O358">
        <v>190</v>
      </c>
      <c r="P358">
        <v>0</v>
      </c>
      <c r="Q358" t="s">
        <v>61</v>
      </c>
      <c r="R358">
        <v>1001096211043</v>
      </c>
      <c r="S358">
        <v>1000000</v>
      </c>
      <c r="T358">
        <v>1001096211043</v>
      </c>
      <c r="U358">
        <v>1000000</v>
      </c>
      <c r="V358" t="s">
        <v>71</v>
      </c>
      <c r="W358">
        <v>25</v>
      </c>
      <c r="X358">
        <v>571469</v>
      </c>
      <c r="Y358">
        <v>428532</v>
      </c>
      <c r="Z358">
        <v>1000001</v>
      </c>
      <c r="AA358">
        <v>1000000</v>
      </c>
      <c r="AB358">
        <v>1.7498800000000001</v>
      </c>
      <c r="AC358">
        <v>2.3335499999999998</v>
      </c>
      <c r="AD358">
        <v>2</v>
      </c>
      <c r="AE358">
        <v>19.3186</v>
      </c>
      <c r="AF358">
        <v>56000056</v>
      </c>
      <c r="AJ358">
        <v>89658</v>
      </c>
      <c r="AM358">
        <v>14076422915</v>
      </c>
      <c r="AN358">
        <v>0</v>
      </c>
      <c r="AO358">
        <v>0</v>
      </c>
      <c r="AP358">
        <v>14076422915</v>
      </c>
      <c r="AQ358">
        <v>14076422915</v>
      </c>
      <c r="AR358">
        <v>219944108</v>
      </c>
      <c r="AS358">
        <v>0</v>
      </c>
      <c r="AT358">
        <v>0</v>
      </c>
      <c r="AU358">
        <v>219944108</v>
      </c>
      <c r="AV358">
        <v>219944108</v>
      </c>
      <c r="AW358">
        <v>15.671200000000001</v>
      </c>
      <c r="AX358">
        <v>2.1115200000000001</v>
      </c>
      <c r="AY358">
        <v>2324.83</v>
      </c>
      <c r="AZ358">
        <v>1038.29</v>
      </c>
      <c r="BA358">
        <v>1166</v>
      </c>
      <c r="BB358">
        <v>262</v>
      </c>
      <c r="BC358" t="str">
        <f t="shared" si="12"/>
        <v>u=0%, k=2x10^6</v>
      </c>
      <c r="BD358">
        <f t="shared" si="13"/>
        <v>64</v>
      </c>
    </row>
    <row r="359" spans="1:56">
      <c r="A359" t="s">
        <v>718</v>
      </c>
      <c r="B359" t="s">
        <v>305</v>
      </c>
      <c r="D359" t="s">
        <v>64</v>
      </c>
      <c r="E359" t="s">
        <v>59</v>
      </c>
      <c r="F359" t="s">
        <v>60</v>
      </c>
      <c r="G359">
        <v>1000</v>
      </c>
      <c r="H359">
        <v>0</v>
      </c>
      <c r="I359">
        <v>0</v>
      </c>
      <c r="J359">
        <v>0</v>
      </c>
      <c r="K359">
        <v>1</v>
      </c>
      <c r="L359">
        <v>2000000</v>
      </c>
      <c r="M359">
        <v>190</v>
      </c>
      <c r="N359">
        <v>190</v>
      </c>
      <c r="O359">
        <v>190</v>
      </c>
      <c r="P359">
        <v>0</v>
      </c>
      <c r="Q359" t="s">
        <v>61</v>
      </c>
      <c r="R359">
        <v>999401238734</v>
      </c>
      <c r="S359">
        <v>1000000</v>
      </c>
      <c r="T359">
        <v>999401238734</v>
      </c>
      <c r="U359">
        <v>1000000</v>
      </c>
      <c r="V359" t="s">
        <v>71</v>
      </c>
      <c r="W359">
        <v>57</v>
      </c>
      <c r="X359">
        <v>999999</v>
      </c>
      <c r="Y359">
        <v>1000000</v>
      </c>
      <c r="Z359">
        <v>1999999</v>
      </c>
      <c r="AA359">
        <v>1000000</v>
      </c>
      <c r="AB359">
        <v>2</v>
      </c>
      <c r="AC359">
        <v>1</v>
      </c>
      <c r="AD359">
        <v>1.5</v>
      </c>
      <c r="AE359">
        <v>26.853000000000002</v>
      </c>
      <c r="AF359">
        <v>63999968</v>
      </c>
      <c r="AJ359" t="s">
        <v>719</v>
      </c>
      <c r="AM359">
        <v>216574047</v>
      </c>
      <c r="AN359">
        <v>0</v>
      </c>
      <c r="AO359">
        <v>0</v>
      </c>
      <c r="AP359">
        <v>216574047</v>
      </c>
      <c r="AQ359">
        <v>216574047</v>
      </c>
      <c r="AR359">
        <v>216574047</v>
      </c>
      <c r="AS359">
        <v>0</v>
      </c>
      <c r="AT359">
        <v>0</v>
      </c>
      <c r="AU359">
        <v>216574047</v>
      </c>
      <c r="AV359">
        <v>216574047</v>
      </c>
      <c r="AW359">
        <v>11.847099999999999</v>
      </c>
      <c r="AX359">
        <v>1.80447</v>
      </c>
      <c r="AY359">
        <v>2440.94</v>
      </c>
      <c r="AZ359">
        <v>1494.8</v>
      </c>
      <c r="BA359">
        <v>1167</v>
      </c>
      <c r="BB359">
        <v>309</v>
      </c>
      <c r="BC359" t="str">
        <f t="shared" si="12"/>
        <v>u=0%, k=2x10^6</v>
      </c>
      <c r="BD359">
        <f t="shared" si="13"/>
        <v>1</v>
      </c>
    </row>
    <row r="360" spans="1:56">
      <c r="A360" t="s">
        <v>720</v>
      </c>
      <c r="B360" t="s">
        <v>305</v>
      </c>
      <c r="D360" t="s">
        <v>64</v>
      </c>
      <c r="E360" t="s">
        <v>59</v>
      </c>
      <c r="F360" t="s">
        <v>60</v>
      </c>
      <c r="G360">
        <v>2000</v>
      </c>
      <c r="H360">
        <v>0</v>
      </c>
      <c r="I360">
        <v>0</v>
      </c>
      <c r="J360">
        <v>0</v>
      </c>
      <c r="K360">
        <v>1</v>
      </c>
      <c r="L360">
        <v>2000000</v>
      </c>
      <c r="M360">
        <v>190</v>
      </c>
      <c r="N360">
        <v>190</v>
      </c>
      <c r="O360">
        <v>190</v>
      </c>
      <c r="P360">
        <v>0</v>
      </c>
      <c r="Q360" t="s">
        <v>61</v>
      </c>
      <c r="R360">
        <v>999220855838</v>
      </c>
      <c r="S360">
        <v>1000000</v>
      </c>
      <c r="T360">
        <v>999220855838</v>
      </c>
      <c r="U360">
        <v>1000000</v>
      </c>
      <c r="V360" t="s">
        <v>71</v>
      </c>
      <c r="W360">
        <v>54</v>
      </c>
      <c r="X360">
        <v>999999</v>
      </c>
      <c r="Y360">
        <v>1000000</v>
      </c>
      <c r="Z360">
        <v>1999999</v>
      </c>
      <c r="AA360">
        <v>1000000</v>
      </c>
      <c r="AB360">
        <v>2</v>
      </c>
      <c r="AC360">
        <v>1</v>
      </c>
      <c r="AD360">
        <v>1.5</v>
      </c>
      <c r="AE360">
        <v>28.6767</v>
      </c>
      <c r="AF360">
        <v>63999968</v>
      </c>
      <c r="AJ360">
        <v>2872</v>
      </c>
      <c r="AM360">
        <v>430149253</v>
      </c>
      <c r="AN360">
        <v>0</v>
      </c>
      <c r="AO360">
        <v>0</v>
      </c>
      <c r="AP360">
        <v>430149253</v>
      </c>
      <c r="AQ360">
        <v>430149253</v>
      </c>
      <c r="AR360">
        <v>215074626</v>
      </c>
      <c r="AS360">
        <v>0</v>
      </c>
      <c r="AT360">
        <v>0</v>
      </c>
      <c r="AU360">
        <v>215074626</v>
      </c>
      <c r="AV360">
        <v>215074626</v>
      </c>
      <c r="AW360">
        <v>11.9116</v>
      </c>
      <c r="AX360">
        <v>1.8136399999999999</v>
      </c>
      <c r="AY360">
        <v>2459.62</v>
      </c>
      <c r="AZ360">
        <v>1514.67</v>
      </c>
      <c r="BA360">
        <v>1167</v>
      </c>
      <c r="BB360">
        <v>276</v>
      </c>
      <c r="BC360" t="str">
        <f t="shared" si="12"/>
        <v>u=0%, k=2x10^6</v>
      </c>
      <c r="BD360">
        <f t="shared" si="13"/>
        <v>2</v>
      </c>
    </row>
    <row r="361" spans="1:56">
      <c r="A361" t="s">
        <v>721</v>
      </c>
      <c r="B361" t="s">
        <v>305</v>
      </c>
      <c r="D361" t="s">
        <v>64</v>
      </c>
      <c r="E361" t="s">
        <v>59</v>
      </c>
      <c r="F361" t="s">
        <v>60</v>
      </c>
      <c r="G361">
        <v>4000</v>
      </c>
      <c r="H361">
        <v>0</v>
      </c>
      <c r="I361">
        <v>0</v>
      </c>
      <c r="J361">
        <v>0</v>
      </c>
      <c r="K361">
        <v>1</v>
      </c>
      <c r="L361">
        <v>2000000</v>
      </c>
      <c r="M361">
        <v>190</v>
      </c>
      <c r="N361">
        <v>190</v>
      </c>
      <c r="O361">
        <v>190</v>
      </c>
      <c r="P361">
        <v>0</v>
      </c>
      <c r="Q361" t="s">
        <v>61</v>
      </c>
      <c r="R361">
        <v>1000405941862</v>
      </c>
      <c r="S361">
        <v>1000000</v>
      </c>
      <c r="T361">
        <v>1000405941862</v>
      </c>
      <c r="U361">
        <v>1000000</v>
      </c>
      <c r="V361" t="s">
        <v>71</v>
      </c>
      <c r="W361">
        <v>51</v>
      </c>
      <c r="X361">
        <v>999999</v>
      </c>
      <c r="Y361">
        <v>1000000</v>
      </c>
      <c r="Z361">
        <v>1999999</v>
      </c>
      <c r="AA361">
        <v>1000000</v>
      </c>
      <c r="AB361">
        <v>2</v>
      </c>
      <c r="AC361">
        <v>1</v>
      </c>
      <c r="AD361">
        <v>1.5</v>
      </c>
      <c r="AE361">
        <v>27.1906</v>
      </c>
      <c r="AF361">
        <v>63999968</v>
      </c>
      <c r="AJ361">
        <v>5512</v>
      </c>
      <c r="AM361">
        <v>860296849</v>
      </c>
      <c r="AN361">
        <v>0</v>
      </c>
      <c r="AO361">
        <v>0</v>
      </c>
      <c r="AP361">
        <v>860296849</v>
      </c>
      <c r="AQ361">
        <v>860296849</v>
      </c>
      <c r="AR361">
        <v>215074212</v>
      </c>
      <c r="AS361">
        <v>0</v>
      </c>
      <c r="AT361">
        <v>0</v>
      </c>
      <c r="AU361">
        <v>215074212</v>
      </c>
      <c r="AV361">
        <v>215074212</v>
      </c>
      <c r="AW361">
        <v>11.8888</v>
      </c>
      <c r="AX361">
        <v>1.8130299999999999</v>
      </c>
      <c r="AY361">
        <v>2459.77</v>
      </c>
      <c r="AZ361">
        <v>1510.57</v>
      </c>
      <c r="BA361">
        <v>1167</v>
      </c>
      <c r="BB361">
        <v>318</v>
      </c>
      <c r="BC361" t="str">
        <f t="shared" si="12"/>
        <v>u=0%, k=2x10^6</v>
      </c>
      <c r="BD361">
        <f t="shared" si="13"/>
        <v>4</v>
      </c>
    </row>
    <row r="362" spans="1:56">
      <c r="A362" t="s">
        <v>722</v>
      </c>
      <c r="B362" t="s">
        <v>305</v>
      </c>
      <c r="D362" t="s">
        <v>64</v>
      </c>
      <c r="E362" t="s">
        <v>59</v>
      </c>
      <c r="F362" t="s">
        <v>60</v>
      </c>
      <c r="G362">
        <v>8000</v>
      </c>
      <c r="H362">
        <v>0</v>
      </c>
      <c r="I362">
        <v>0</v>
      </c>
      <c r="J362">
        <v>0</v>
      </c>
      <c r="K362">
        <v>1</v>
      </c>
      <c r="L362">
        <v>2000000</v>
      </c>
      <c r="M362">
        <v>190</v>
      </c>
      <c r="N362">
        <v>190</v>
      </c>
      <c r="O362">
        <v>190</v>
      </c>
      <c r="P362">
        <v>0</v>
      </c>
      <c r="Q362" t="s">
        <v>61</v>
      </c>
      <c r="R362">
        <v>1000198646629</v>
      </c>
      <c r="S362">
        <v>1000000</v>
      </c>
      <c r="T362">
        <v>1000198646629</v>
      </c>
      <c r="U362">
        <v>1000000</v>
      </c>
      <c r="V362" t="s">
        <v>71</v>
      </c>
      <c r="W362">
        <v>49</v>
      </c>
      <c r="X362">
        <v>999999</v>
      </c>
      <c r="Y362">
        <v>1000000</v>
      </c>
      <c r="Z362">
        <v>1999999</v>
      </c>
      <c r="AA362">
        <v>1000000</v>
      </c>
      <c r="AB362">
        <v>2</v>
      </c>
      <c r="AC362">
        <v>1</v>
      </c>
      <c r="AD362">
        <v>1.5</v>
      </c>
      <c r="AE362">
        <v>26.402000000000001</v>
      </c>
      <c r="AF362">
        <v>63999968</v>
      </c>
      <c r="AJ362">
        <v>10822</v>
      </c>
      <c r="AM362">
        <v>1731683766</v>
      </c>
      <c r="AN362">
        <v>0</v>
      </c>
      <c r="AO362">
        <v>0</v>
      </c>
      <c r="AP362">
        <v>1731683766</v>
      </c>
      <c r="AQ362">
        <v>1731683766</v>
      </c>
      <c r="AR362">
        <v>216460470</v>
      </c>
      <c r="AS362">
        <v>0</v>
      </c>
      <c r="AT362">
        <v>0</v>
      </c>
      <c r="AU362">
        <v>216460470</v>
      </c>
      <c r="AV362">
        <v>216460470</v>
      </c>
      <c r="AW362">
        <v>11.875500000000001</v>
      </c>
      <c r="AX362">
        <v>1.8055399999999999</v>
      </c>
      <c r="AY362">
        <v>2444.36</v>
      </c>
      <c r="AZ362">
        <v>1495.14</v>
      </c>
      <c r="BA362">
        <v>1166</v>
      </c>
      <c r="BB362">
        <v>264</v>
      </c>
      <c r="BC362" t="str">
        <f t="shared" si="12"/>
        <v>u=0%, k=2x10^6</v>
      </c>
      <c r="BD362">
        <f t="shared" si="13"/>
        <v>8</v>
      </c>
    </row>
    <row r="363" spans="1:56">
      <c r="A363" t="s">
        <v>723</v>
      </c>
      <c r="B363" t="s">
        <v>305</v>
      </c>
      <c r="D363" t="s">
        <v>64</v>
      </c>
      <c r="E363" t="s">
        <v>59</v>
      </c>
      <c r="F363" t="s">
        <v>60</v>
      </c>
      <c r="G363">
        <v>16000</v>
      </c>
      <c r="H363">
        <v>0</v>
      </c>
      <c r="I363">
        <v>0</v>
      </c>
      <c r="J363">
        <v>0</v>
      </c>
      <c r="K363">
        <v>1</v>
      </c>
      <c r="L363">
        <v>2000000</v>
      </c>
      <c r="M363">
        <v>190</v>
      </c>
      <c r="N363">
        <v>190</v>
      </c>
      <c r="O363">
        <v>190</v>
      </c>
      <c r="P363">
        <v>0</v>
      </c>
      <c r="Q363" t="s">
        <v>61</v>
      </c>
      <c r="R363">
        <v>1000494943132</v>
      </c>
      <c r="S363">
        <v>1000000</v>
      </c>
      <c r="T363">
        <v>1000494943132</v>
      </c>
      <c r="U363">
        <v>1000000</v>
      </c>
      <c r="V363" t="s">
        <v>71</v>
      </c>
      <c r="W363">
        <v>51</v>
      </c>
      <c r="X363">
        <v>999999</v>
      </c>
      <c r="Y363">
        <v>1000000</v>
      </c>
      <c r="Z363">
        <v>1999999</v>
      </c>
      <c r="AA363">
        <v>1000000</v>
      </c>
      <c r="AB363">
        <v>2</v>
      </c>
      <c r="AC363">
        <v>1</v>
      </c>
      <c r="AD363">
        <v>1.5</v>
      </c>
      <c r="AE363">
        <v>26.189800000000002</v>
      </c>
      <c r="AF363">
        <v>63999968</v>
      </c>
      <c r="AJ363" t="s">
        <v>724</v>
      </c>
      <c r="AM363">
        <v>3494503243</v>
      </c>
      <c r="AN363">
        <v>0</v>
      </c>
      <c r="AO363">
        <v>0</v>
      </c>
      <c r="AP363">
        <v>3494503243</v>
      </c>
      <c r="AQ363">
        <v>3494503243</v>
      </c>
      <c r="AR363">
        <v>218406452</v>
      </c>
      <c r="AS363">
        <v>0</v>
      </c>
      <c r="AT363">
        <v>0</v>
      </c>
      <c r="AU363">
        <v>218406452</v>
      </c>
      <c r="AV363">
        <v>218406452</v>
      </c>
      <c r="AW363">
        <v>11.8621</v>
      </c>
      <c r="AX363">
        <v>1.79817</v>
      </c>
      <c r="AY363">
        <v>2422.61</v>
      </c>
      <c r="AZ363">
        <v>1480.1</v>
      </c>
      <c r="BA363">
        <v>1167</v>
      </c>
      <c r="BB363">
        <v>308</v>
      </c>
      <c r="BC363" t="str">
        <f t="shared" si="12"/>
        <v>u=0%, k=2x10^6</v>
      </c>
      <c r="BD363">
        <f t="shared" si="13"/>
        <v>16</v>
      </c>
    </row>
    <row r="364" spans="1:56">
      <c r="A364" t="s">
        <v>725</v>
      </c>
      <c r="B364" t="s">
        <v>305</v>
      </c>
      <c r="D364" t="s">
        <v>64</v>
      </c>
      <c r="E364" t="s">
        <v>59</v>
      </c>
      <c r="F364" t="s">
        <v>60</v>
      </c>
      <c r="G364">
        <v>32000</v>
      </c>
      <c r="H364">
        <v>0</v>
      </c>
      <c r="I364">
        <v>0</v>
      </c>
      <c r="J364">
        <v>0</v>
      </c>
      <c r="K364">
        <v>1</v>
      </c>
      <c r="L364">
        <v>2000000</v>
      </c>
      <c r="M364">
        <v>190</v>
      </c>
      <c r="N364">
        <v>190</v>
      </c>
      <c r="O364">
        <v>190</v>
      </c>
      <c r="P364">
        <v>0</v>
      </c>
      <c r="Q364" t="s">
        <v>61</v>
      </c>
      <c r="R364">
        <v>1000158074789</v>
      </c>
      <c r="S364">
        <v>1000000</v>
      </c>
      <c r="T364">
        <v>1000158074789</v>
      </c>
      <c r="U364">
        <v>1000000</v>
      </c>
      <c r="V364" t="s">
        <v>71</v>
      </c>
      <c r="W364">
        <v>51</v>
      </c>
      <c r="X364">
        <v>999999</v>
      </c>
      <c r="Y364">
        <v>1000000</v>
      </c>
      <c r="Z364">
        <v>1999999</v>
      </c>
      <c r="AA364">
        <v>1000000</v>
      </c>
      <c r="AB364">
        <v>2</v>
      </c>
      <c r="AC364">
        <v>1</v>
      </c>
      <c r="AD364">
        <v>1.5</v>
      </c>
      <c r="AE364">
        <v>26.994800000000001</v>
      </c>
      <c r="AF364">
        <v>63999968</v>
      </c>
      <c r="AJ364">
        <v>42516</v>
      </c>
      <c r="AM364">
        <v>6885539731</v>
      </c>
      <c r="AN364">
        <v>0</v>
      </c>
      <c r="AO364">
        <v>0</v>
      </c>
      <c r="AP364">
        <v>6885539731</v>
      </c>
      <c r="AQ364">
        <v>6885539731</v>
      </c>
      <c r="AR364">
        <v>215173116</v>
      </c>
      <c r="AS364">
        <v>0</v>
      </c>
      <c r="AT364">
        <v>0</v>
      </c>
      <c r="AU364">
        <v>215173116</v>
      </c>
      <c r="AV364">
        <v>215173116</v>
      </c>
      <c r="AW364">
        <v>11.8947</v>
      </c>
      <c r="AX364">
        <v>1.81576</v>
      </c>
      <c r="AY364">
        <v>2459.29</v>
      </c>
      <c r="AZ364">
        <v>1508.99</v>
      </c>
      <c r="BA364">
        <v>1166</v>
      </c>
      <c r="BB364">
        <v>235</v>
      </c>
      <c r="BC364" t="str">
        <f t="shared" si="12"/>
        <v>u=0%, k=2x10^6</v>
      </c>
      <c r="BD364">
        <f t="shared" si="13"/>
        <v>32</v>
      </c>
    </row>
    <row r="365" spans="1:56">
      <c r="A365" t="s">
        <v>726</v>
      </c>
      <c r="B365" t="s">
        <v>305</v>
      </c>
      <c r="D365" t="s">
        <v>64</v>
      </c>
      <c r="E365" t="s">
        <v>59</v>
      </c>
      <c r="F365" t="s">
        <v>60</v>
      </c>
      <c r="G365">
        <v>64000</v>
      </c>
      <c r="H365">
        <v>0</v>
      </c>
      <c r="I365">
        <v>0</v>
      </c>
      <c r="J365">
        <v>0</v>
      </c>
      <c r="K365">
        <v>1</v>
      </c>
      <c r="L365">
        <v>2000000</v>
      </c>
      <c r="M365">
        <v>190</v>
      </c>
      <c r="N365">
        <v>190</v>
      </c>
      <c r="O365">
        <v>190</v>
      </c>
      <c r="P365">
        <v>0</v>
      </c>
      <c r="Q365" t="s">
        <v>61</v>
      </c>
      <c r="R365">
        <v>1000424786282</v>
      </c>
      <c r="S365">
        <v>1000000</v>
      </c>
      <c r="T365">
        <v>1000424786282</v>
      </c>
      <c r="U365">
        <v>1000000</v>
      </c>
      <c r="V365" t="s">
        <v>71</v>
      </c>
      <c r="W365">
        <v>48</v>
      </c>
      <c r="X365">
        <v>999999</v>
      </c>
      <c r="Y365">
        <v>1000000</v>
      </c>
      <c r="Z365">
        <v>1999999</v>
      </c>
      <c r="AA365">
        <v>1000000</v>
      </c>
      <c r="AB365">
        <v>2</v>
      </c>
      <c r="AC365">
        <v>1</v>
      </c>
      <c r="AD365">
        <v>1.5</v>
      </c>
      <c r="AE365">
        <v>26.145299999999999</v>
      </c>
      <c r="AF365">
        <v>63999968</v>
      </c>
      <c r="AJ365">
        <v>85092</v>
      </c>
      <c r="AM365">
        <v>13825369195</v>
      </c>
      <c r="AN365">
        <v>0</v>
      </c>
      <c r="AO365">
        <v>0</v>
      </c>
      <c r="AP365">
        <v>13825369195</v>
      </c>
      <c r="AQ365">
        <v>13825369195</v>
      </c>
      <c r="AR365">
        <v>216021393</v>
      </c>
      <c r="AS365">
        <v>0</v>
      </c>
      <c r="AT365">
        <v>0</v>
      </c>
      <c r="AU365">
        <v>216021393</v>
      </c>
      <c r="AV365">
        <v>216021393</v>
      </c>
      <c r="AW365">
        <v>11.811</v>
      </c>
      <c r="AX365">
        <v>1.8104</v>
      </c>
      <c r="AY365">
        <v>2449.21</v>
      </c>
      <c r="AZ365">
        <v>1501.81</v>
      </c>
      <c r="BA365">
        <v>1167</v>
      </c>
      <c r="BB365">
        <v>281</v>
      </c>
      <c r="BC365" t="str">
        <f t="shared" si="12"/>
        <v>u=0%, k=2x10^6</v>
      </c>
      <c r="BD365">
        <f t="shared" si="13"/>
        <v>64</v>
      </c>
    </row>
    <row r="366" spans="1:56">
      <c r="A366" t="s">
        <v>727</v>
      </c>
      <c r="B366" t="s">
        <v>63</v>
      </c>
      <c r="C366">
        <v>72</v>
      </c>
      <c r="D366" t="s">
        <v>64</v>
      </c>
      <c r="E366" t="s">
        <v>59</v>
      </c>
      <c r="F366" t="s">
        <v>60</v>
      </c>
      <c r="G366">
        <v>1000</v>
      </c>
      <c r="H366">
        <v>0</v>
      </c>
      <c r="I366">
        <v>0</v>
      </c>
      <c r="J366">
        <v>0</v>
      </c>
      <c r="K366">
        <v>1</v>
      </c>
      <c r="L366">
        <v>20000000</v>
      </c>
      <c r="M366">
        <v>190</v>
      </c>
      <c r="N366">
        <v>190</v>
      </c>
      <c r="O366">
        <v>190</v>
      </c>
      <c r="P366">
        <v>0</v>
      </c>
      <c r="Q366" t="s">
        <v>61</v>
      </c>
      <c r="R366">
        <v>99992339527669</v>
      </c>
      <c r="S366">
        <v>10000001</v>
      </c>
      <c r="T366">
        <v>99992339527669</v>
      </c>
      <c r="U366">
        <v>10000001</v>
      </c>
      <c r="V366" t="s">
        <v>71</v>
      </c>
      <c r="W366">
        <v>6</v>
      </c>
      <c r="X366">
        <v>1625784</v>
      </c>
      <c r="Y366">
        <v>11442329</v>
      </c>
      <c r="Z366">
        <v>13068113</v>
      </c>
      <c r="AA366">
        <v>10000001</v>
      </c>
      <c r="AB366">
        <v>8.0380400000000005</v>
      </c>
      <c r="AC366">
        <v>0.87394799999999995</v>
      </c>
      <c r="AD366">
        <v>1.76522</v>
      </c>
      <c r="AE366">
        <v>4</v>
      </c>
      <c r="AF366">
        <v>313139968</v>
      </c>
      <c r="AJ366">
        <v>1796</v>
      </c>
      <c r="AM366">
        <v>286176895</v>
      </c>
      <c r="AN366">
        <v>0</v>
      </c>
      <c r="AO366">
        <v>0</v>
      </c>
      <c r="AP366">
        <v>286176895</v>
      </c>
      <c r="AQ366">
        <v>286176895</v>
      </c>
      <c r="AR366">
        <v>286176895</v>
      </c>
      <c r="AS366">
        <v>0</v>
      </c>
      <c r="AT366">
        <v>0</v>
      </c>
      <c r="AU366">
        <v>286176895</v>
      </c>
      <c r="AV366">
        <v>286176895</v>
      </c>
      <c r="AW366">
        <v>15.448</v>
      </c>
      <c r="AX366">
        <v>6.2014500000000004</v>
      </c>
      <c r="AY366">
        <v>1846.64</v>
      </c>
      <c r="AZ366">
        <v>1081.67</v>
      </c>
      <c r="BA366">
        <v>1848</v>
      </c>
      <c r="BB366">
        <v>410</v>
      </c>
      <c r="BC366" t="str">
        <f t="shared" si="12"/>
        <v>u=0%, k=2x10^7</v>
      </c>
      <c r="BD366">
        <f t="shared" si="13"/>
        <v>1</v>
      </c>
    </row>
    <row r="367" spans="1:56">
      <c r="A367" t="s">
        <v>728</v>
      </c>
      <c r="B367" t="s">
        <v>63</v>
      </c>
      <c r="C367">
        <v>72</v>
      </c>
      <c r="D367" t="s">
        <v>64</v>
      </c>
      <c r="E367" t="s">
        <v>59</v>
      </c>
      <c r="F367" t="s">
        <v>60</v>
      </c>
      <c r="G367">
        <v>2000</v>
      </c>
      <c r="H367">
        <v>0</v>
      </c>
      <c r="I367">
        <v>0</v>
      </c>
      <c r="J367">
        <v>0</v>
      </c>
      <c r="K367">
        <v>1</v>
      </c>
      <c r="L367">
        <v>20000000</v>
      </c>
      <c r="M367">
        <v>190</v>
      </c>
      <c r="N367">
        <v>190</v>
      </c>
      <c r="O367">
        <v>190</v>
      </c>
      <c r="P367">
        <v>0</v>
      </c>
      <c r="Q367" t="s">
        <v>61</v>
      </c>
      <c r="R367">
        <v>100034919848861</v>
      </c>
      <c r="S367">
        <v>10000001</v>
      </c>
      <c r="T367">
        <v>100034919848861</v>
      </c>
      <c r="U367">
        <v>10000001</v>
      </c>
      <c r="V367" t="s">
        <v>71</v>
      </c>
      <c r="W367">
        <v>6</v>
      </c>
      <c r="X367">
        <v>1625784</v>
      </c>
      <c r="Y367">
        <v>11442329</v>
      </c>
      <c r="Z367">
        <v>13068113</v>
      </c>
      <c r="AA367">
        <v>10000001</v>
      </c>
      <c r="AB367">
        <v>8.0380400000000005</v>
      </c>
      <c r="AC367">
        <v>0.87394799999999995</v>
      </c>
      <c r="AD367">
        <v>1.76522</v>
      </c>
      <c r="AE367">
        <v>4</v>
      </c>
      <c r="AF367">
        <v>313139968</v>
      </c>
      <c r="AJ367">
        <v>3484</v>
      </c>
      <c r="AM367">
        <v>573686854</v>
      </c>
      <c r="AN367">
        <v>0</v>
      </c>
      <c r="AO367">
        <v>0</v>
      </c>
      <c r="AP367">
        <v>573686854</v>
      </c>
      <c r="AQ367">
        <v>573686854</v>
      </c>
      <c r="AR367">
        <v>286843427</v>
      </c>
      <c r="AS367">
        <v>0</v>
      </c>
      <c r="AT367">
        <v>0</v>
      </c>
      <c r="AU367">
        <v>286843427</v>
      </c>
      <c r="AV367">
        <v>286843427</v>
      </c>
      <c r="AW367">
        <v>15.4764</v>
      </c>
      <c r="AX367">
        <v>6.2169600000000003</v>
      </c>
      <c r="AY367">
        <v>1839.8</v>
      </c>
      <c r="AZ367">
        <v>1080.17</v>
      </c>
      <c r="BA367">
        <v>1845</v>
      </c>
      <c r="BB367">
        <v>451</v>
      </c>
      <c r="BC367" t="str">
        <f t="shared" si="12"/>
        <v>u=0%, k=2x10^7</v>
      </c>
      <c r="BD367">
        <f t="shared" si="13"/>
        <v>2</v>
      </c>
    </row>
    <row r="368" spans="1:56">
      <c r="A368" t="s">
        <v>729</v>
      </c>
      <c r="B368" t="s">
        <v>63</v>
      </c>
      <c r="C368">
        <v>72</v>
      </c>
      <c r="D368" t="s">
        <v>64</v>
      </c>
      <c r="E368" t="s">
        <v>59</v>
      </c>
      <c r="F368" t="s">
        <v>60</v>
      </c>
      <c r="G368">
        <v>4000</v>
      </c>
      <c r="H368">
        <v>0</v>
      </c>
      <c r="I368">
        <v>0</v>
      </c>
      <c r="J368">
        <v>0</v>
      </c>
      <c r="K368">
        <v>1</v>
      </c>
      <c r="L368">
        <v>20000000</v>
      </c>
      <c r="M368">
        <v>190</v>
      </c>
      <c r="N368">
        <v>190</v>
      </c>
      <c r="O368">
        <v>190</v>
      </c>
      <c r="P368">
        <v>0</v>
      </c>
      <c r="Q368" t="s">
        <v>61</v>
      </c>
      <c r="R368">
        <v>99996387027661</v>
      </c>
      <c r="S368">
        <v>10000001</v>
      </c>
      <c r="T368">
        <v>99996387027661</v>
      </c>
      <c r="U368">
        <v>10000001</v>
      </c>
      <c r="V368" t="s">
        <v>71</v>
      </c>
      <c r="W368">
        <v>6</v>
      </c>
      <c r="X368">
        <v>1625784</v>
      </c>
      <c r="Y368">
        <v>11442329</v>
      </c>
      <c r="Z368">
        <v>13068113</v>
      </c>
      <c r="AA368">
        <v>10000001</v>
      </c>
      <c r="AB368">
        <v>8.0380400000000005</v>
      </c>
      <c r="AC368">
        <v>0.87394799999999995</v>
      </c>
      <c r="AD368">
        <v>1.76522</v>
      </c>
      <c r="AE368">
        <v>4</v>
      </c>
      <c r="AF368">
        <v>313139968</v>
      </c>
      <c r="AJ368">
        <v>7174</v>
      </c>
      <c r="AM368">
        <v>1128601003</v>
      </c>
      <c r="AN368">
        <v>0</v>
      </c>
      <c r="AO368">
        <v>0</v>
      </c>
      <c r="AP368">
        <v>1128601003</v>
      </c>
      <c r="AQ368">
        <v>1128601003</v>
      </c>
      <c r="AR368">
        <v>282150250</v>
      </c>
      <c r="AS368">
        <v>0</v>
      </c>
      <c r="AT368">
        <v>0</v>
      </c>
      <c r="AU368">
        <v>282150250</v>
      </c>
      <c r="AV368">
        <v>282150250</v>
      </c>
      <c r="AW368">
        <v>15.4718</v>
      </c>
      <c r="AX368">
        <v>6.2366999999999999</v>
      </c>
      <c r="AY368">
        <v>1868.33</v>
      </c>
      <c r="AZ368">
        <v>1098.33</v>
      </c>
      <c r="BA368">
        <v>1849</v>
      </c>
      <c r="BB368">
        <v>388</v>
      </c>
      <c r="BC368" t="str">
        <f t="shared" si="12"/>
        <v>u=0%, k=2x10^7</v>
      </c>
      <c r="BD368">
        <f t="shared" si="13"/>
        <v>4</v>
      </c>
    </row>
    <row r="369" spans="1:56">
      <c r="A369" t="s">
        <v>730</v>
      </c>
      <c r="B369" t="s">
        <v>63</v>
      </c>
      <c r="C369">
        <v>72</v>
      </c>
      <c r="D369" t="s">
        <v>64</v>
      </c>
      <c r="E369" t="s">
        <v>59</v>
      </c>
      <c r="F369" t="s">
        <v>60</v>
      </c>
      <c r="G369">
        <v>8000</v>
      </c>
      <c r="H369">
        <v>0</v>
      </c>
      <c r="I369">
        <v>0</v>
      </c>
      <c r="J369">
        <v>0</v>
      </c>
      <c r="K369">
        <v>1</v>
      </c>
      <c r="L369">
        <v>20000000</v>
      </c>
      <c r="M369">
        <v>190</v>
      </c>
      <c r="N369">
        <v>190</v>
      </c>
      <c r="O369">
        <v>190</v>
      </c>
      <c r="P369">
        <v>0</v>
      </c>
      <c r="Q369" t="s">
        <v>61</v>
      </c>
      <c r="R369">
        <v>100001185386707</v>
      </c>
      <c r="S369">
        <v>10000001</v>
      </c>
      <c r="T369">
        <v>100001185386707</v>
      </c>
      <c r="U369">
        <v>10000001</v>
      </c>
      <c r="V369" t="s">
        <v>71</v>
      </c>
      <c r="W369">
        <v>6</v>
      </c>
      <c r="X369">
        <v>1625784</v>
      </c>
      <c r="Y369">
        <v>11442329</v>
      </c>
      <c r="Z369">
        <v>13068113</v>
      </c>
      <c r="AA369">
        <v>10000001</v>
      </c>
      <c r="AB369">
        <v>8.0380400000000005</v>
      </c>
      <c r="AC369">
        <v>0.87394799999999995</v>
      </c>
      <c r="AD369">
        <v>1.76522</v>
      </c>
      <c r="AE369">
        <v>4</v>
      </c>
      <c r="AF369">
        <v>313139968</v>
      </c>
      <c r="AJ369">
        <v>14424</v>
      </c>
      <c r="AM369">
        <v>2255256894</v>
      </c>
      <c r="AN369">
        <v>0</v>
      </c>
      <c r="AO369">
        <v>0</v>
      </c>
      <c r="AP369">
        <v>2255256894</v>
      </c>
      <c r="AQ369">
        <v>2255256894</v>
      </c>
      <c r="AR369">
        <v>281907111</v>
      </c>
      <c r="AS369">
        <v>0</v>
      </c>
      <c r="AT369">
        <v>0</v>
      </c>
      <c r="AU369">
        <v>281907111</v>
      </c>
      <c r="AV369">
        <v>281907111</v>
      </c>
      <c r="AW369">
        <v>15.454800000000001</v>
      </c>
      <c r="AX369">
        <v>6.24498</v>
      </c>
      <c r="AY369">
        <v>1868.15</v>
      </c>
      <c r="AZ369">
        <v>1102.2</v>
      </c>
      <c r="BA369">
        <v>1850</v>
      </c>
      <c r="BB369">
        <v>366</v>
      </c>
      <c r="BC369" t="str">
        <f t="shared" si="12"/>
        <v>u=0%, k=2x10^7</v>
      </c>
      <c r="BD369">
        <f t="shared" si="13"/>
        <v>8</v>
      </c>
    </row>
    <row r="370" spans="1:56">
      <c r="A370" t="s">
        <v>731</v>
      </c>
      <c r="B370" t="s">
        <v>63</v>
      </c>
      <c r="C370">
        <v>72</v>
      </c>
      <c r="D370" t="s">
        <v>64</v>
      </c>
      <c r="E370" t="s">
        <v>59</v>
      </c>
      <c r="F370" t="s">
        <v>60</v>
      </c>
      <c r="G370">
        <v>16000</v>
      </c>
      <c r="H370">
        <v>0</v>
      </c>
      <c r="I370">
        <v>0</v>
      </c>
      <c r="J370">
        <v>0</v>
      </c>
      <c r="K370">
        <v>1</v>
      </c>
      <c r="L370">
        <v>20000000</v>
      </c>
      <c r="M370">
        <v>190</v>
      </c>
      <c r="N370">
        <v>190</v>
      </c>
      <c r="O370">
        <v>190</v>
      </c>
      <c r="P370">
        <v>0</v>
      </c>
      <c r="Q370" t="s">
        <v>61</v>
      </c>
      <c r="R370">
        <v>100004888438517</v>
      </c>
      <c r="S370">
        <v>10000001</v>
      </c>
      <c r="T370">
        <v>100004888438517</v>
      </c>
      <c r="U370">
        <v>10000001</v>
      </c>
      <c r="V370" t="s">
        <v>71</v>
      </c>
      <c r="W370">
        <v>6</v>
      </c>
      <c r="X370">
        <v>1625784</v>
      </c>
      <c r="Y370">
        <v>11442329</v>
      </c>
      <c r="Z370">
        <v>13068113</v>
      </c>
      <c r="AA370">
        <v>10000001</v>
      </c>
      <c r="AB370">
        <v>8.0380400000000005</v>
      </c>
      <c r="AC370">
        <v>0.87394799999999995</v>
      </c>
      <c r="AD370">
        <v>1.76522</v>
      </c>
      <c r="AE370">
        <v>4</v>
      </c>
      <c r="AF370">
        <v>313139968</v>
      </c>
      <c r="AJ370">
        <v>28610</v>
      </c>
      <c r="AM370">
        <v>4472251072</v>
      </c>
      <c r="AN370">
        <v>0</v>
      </c>
      <c r="AO370">
        <v>0</v>
      </c>
      <c r="AP370">
        <v>4472251072</v>
      </c>
      <c r="AQ370">
        <v>4472251072</v>
      </c>
      <c r="AR370">
        <v>279515692</v>
      </c>
      <c r="AS370">
        <v>0</v>
      </c>
      <c r="AT370">
        <v>0</v>
      </c>
      <c r="AU370">
        <v>279515692</v>
      </c>
      <c r="AV370">
        <v>279515692</v>
      </c>
      <c r="AW370">
        <v>15.4459</v>
      </c>
      <c r="AX370">
        <v>6.2528300000000003</v>
      </c>
      <c r="AY370">
        <v>1883.71</v>
      </c>
      <c r="AZ370">
        <v>1110.26</v>
      </c>
      <c r="BA370">
        <v>1850</v>
      </c>
      <c r="BB370">
        <v>355</v>
      </c>
      <c r="BC370" t="str">
        <f t="shared" si="12"/>
        <v>u=0%, k=2x10^7</v>
      </c>
      <c r="BD370">
        <f t="shared" si="13"/>
        <v>16</v>
      </c>
    </row>
    <row r="371" spans="1:56">
      <c r="A371" t="s">
        <v>732</v>
      </c>
      <c r="B371" t="s">
        <v>63</v>
      </c>
      <c r="C371">
        <v>72</v>
      </c>
      <c r="D371" t="s">
        <v>64</v>
      </c>
      <c r="E371" t="s">
        <v>59</v>
      </c>
      <c r="F371" t="s">
        <v>60</v>
      </c>
      <c r="G371">
        <v>32000</v>
      </c>
      <c r="H371">
        <v>0</v>
      </c>
      <c r="I371">
        <v>0</v>
      </c>
      <c r="J371">
        <v>0</v>
      </c>
      <c r="K371">
        <v>1</v>
      </c>
      <c r="L371">
        <v>20000000</v>
      </c>
      <c r="M371">
        <v>190</v>
      </c>
      <c r="N371">
        <v>190</v>
      </c>
      <c r="O371">
        <v>190</v>
      </c>
      <c r="P371">
        <v>0</v>
      </c>
      <c r="Q371" t="s">
        <v>61</v>
      </c>
      <c r="R371">
        <v>99983133528047</v>
      </c>
      <c r="S371">
        <v>10000001</v>
      </c>
      <c r="T371">
        <v>99983133528047</v>
      </c>
      <c r="U371">
        <v>10000001</v>
      </c>
      <c r="V371" t="s">
        <v>71</v>
      </c>
      <c r="W371">
        <v>6</v>
      </c>
      <c r="X371">
        <v>1625784</v>
      </c>
      <c r="Y371">
        <v>11442329</v>
      </c>
      <c r="Z371">
        <v>13068113</v>
      </c>
      <c r="AA371">
        <v>10000001</v>
      </c>
      <c r="AB371">
        <v>8.0380400000000005</v>
      </c>
      <c r="AC371">
        <v>0.87394799999999995</v>
      </c>
      <c r="AD371">
        <v>1.76522</v>
      </c>
      <c r="AE371">
        <v>4</v>
      </c>
      <c r="AF371">
        <v>313139968</v>
      </c>
      <c r="AJ371">
        <v>57538</v>
      </c>
      <c r="AM371">
        <v>8910188333</v>
      </c>
      <c r="AN371">
        <v>0</v>
      </c>
      <c r="AO371">
        <v>0</v>
      </c>
      <c r="AP371">
        <v>8910188333</v>
      </c>
      <c r="AQ371">
        <v>8910188333</v>
      </c>
      <c r="AR371">
        <v>278443385</v>
      </c>
      <c r="AS371">
        <v>0</v>
      </c>
      <c r="AT371">
        <v>0</v>
      </c>
      <c r="AU371">
        <v>278443385</v>
      </c>
      <c r="AV371">
        <v>278443385</v>
      </c>
      <c r="AW371">
        <v>15.389200000000001</v>
      </c>
      <c r="AX371">
        <v>6.2462099999999996</v>
      </c>
      <c r="AY371">
        <v>1890.02</v>
      </c>
      <c r="AZ371">
        <v>1112.58</v>
      </c>
      <c r="BA371">
        <v>1850</v>
      </c>
      <c r="BB371">
        <v>385</v>
      </c>
      <c r="BC371" t="str">
        <f t="shared" si="12"/>
        <v>u=0%, k=2x10^7</v>
      </c>
      <c r="BD371">
        <f t="shared" si="13"/>
        <v>32</v>
      </c>
    </row>
    <row r="372" spans="1:56">
      <c r="A372" t="s">
        <v>733</v>
      </c>
      <c r="B372" t="s">
        <v>63</v>
      </c>
      <c r="C372">
        <v>72</v>
      </c>
      <c r="D372" t="s">
        <v>64</v>
      </c>
      <c r="E372" t="s">
        <v>59</v>
      </c>
      <c r="F372" t="s">
        <v>60</v>
      </c>
      <c r="G372">
        <v>64000</v>
      </c>
      <c r="H372">
        <v>0</v>
      </c>
      <c r="I372">
        <v>0</v>
      </c>
      <c r="J372">
        <v>0</v>
      </c>
      <c r="K372">
        <v>1</v>
      </c>
      <c r="L372">
        <v>20000000</v>
      </c>
      <c r="M372">
        <v>190</v>
      </c>
      <c r="N372">
        <v>190</v>
      </c>
      <c r="O372">
        <v>190</v>
      </c>
      <c r="P372">
        <v>0</v>
      </c>
      <c r="Q372" t="s">
        <v>61</v>
      </c>
      <c r="R372">
        <v>99978907314392</v>
      </c>
      <c r="S372">
        <v>10000001</v>
      </c>
      <c r="T372">
        <v>99978907314392</v>
      </c>
      <c r="U372">
        <v>10000001</v>
      </c>
      <c r="V372" t="s">
        <v>71</v>
      </c>
      <c r="W372">
        <v>6</v>
      </c>
      <c r="X372">
        <v>1625784</v>
      </c>
      <c r="Y372">
        <v>11442329</v>
      </c>
      <c r="Z372">
        <v>13068113</v>
      </c>
      <c r="AA372">
        <v>10000001</v>
      </c>
      <c r="AB372">
        <v>8.0380400000000005</v>
      </c>
      <c r="AC372">
        <v>0.87394799999999995</v>
      </c>
      <c r="AD372">
        <v>1.76522</v>
      </c>
      <c r="AE372">
        <v>4</v>
      </c>
      <c r="AF372">
        <v>313139968</v>
      </c>
      <c r="AJ372">
        <v>115232</v>
      </c>
      <c r="AM372">
        <v>17783628603</v>
      </c>
      <c r="AN372">
        <v>0</v>
      </c>
      <c r="AO372">
        <v>0</v>
      </c>
      <c r="AP372">
        <v>17783628603</v>
      </c>
      <c r="AQ372">
        <v>17783628603</v>
      </c>
      <c r="AR372">
        <v>277869196</v>
      </c>
      <c r="AS372">
        <v>0</v>
      </c>
      <c r="AT372">
        <v>0</v>
      </c>
      <c r="AU372">
        <v>277869196</v>
      </c>
      <c r="AV372">
        <v>277869196</v>
      </c>
      <c r="AW372">
        <v>15.4057</v>
      </c>
      <c r="AX372">
        <v>6.2486199999999998</v>
      </c>
      <c r="AY372">
        <v>1893.94</v>
      </c>
      <c r="AZ372">
        <v>1117.6199999999999</v>
      </c>
      <c r="BA372">
        <v>1849</v>
      </c>
      <c r="BB372">
        <v>374</v>
      </c>
      <c r="BC372" t="str">
        <f t="shared" si="12"/>
        <v>u=0%, k=2x10^7</v>
      </c>
      <c r="BD372">
        <f t="shared" si="13"/>
        <v>64</v>
      </c>
    </row>
    <row r="373" spans="1:56">
      <c r="A373" t="s">
        <v>734</v>
      </c>
      <c r="B373" t="s">
        <v>300</v>
      </c>
      <c r="C373">
        <v>208</v>
      </c>
      <c r="D373" t="s">
        <v>64</v>
      </c>
      <c r="E373" t="s">
        <v>59</v>
      </c>
      <c r="F373" t="s">
        <v>60</v>
      </c>
      <c r="G373">
        <v>1000</v>
      </c>
      <c r="H373">
        <v>0</v>
      </c>
      <c r="I373">
        <v>0</v>
      </c>
      <c r="J373">
        <v>0</v>
      </c>
      <c r="K373">
        <v>1</v>
      </c>
      <c r="L373">
        <v>20000000</v>
      </c>
      <c r="M373">
        <v>190</v>
      </c>
      <c r="N373">
        <v>190</v>
      </c>
      <c r="O373">
        <v>190</v>
      </c>
      <c r="P373">
        <v>0</v>
      </c>
      <c r="Q373" t="s">
        <v>61</v>
      </c>
      <c r="R373">
        <v>100009321191790</v>
      </c>
      <c r="S373">
        <v>10000000</v>
      </c>
      <c r="T373">
        <v>100009321191790</v>
      </c>
      <c r="U373">
        <v>10000000</v>
      </c>
      <c r="V373" t="s">
        <v>71</v>
      </c>
      <c r="W373">
        <v>9</v>
      </c>
      <c r="X373">
        <v>185279</v>
      </c>
      <c r="Y373">
        <v>1275719</v>
      </c>
      <c r="Z373">
        <v>1460998</v>
      </c>
      <c r="AA373">
        <v>10000000</v>
      </c>
      <c r="AB373">
        <v>7.8853900000000001</v>
      </c>
      <c r="AC373">
        <v>7.8387200000000004</v>
      </c>
      <c r="AD373">
        <v>7.8446400000000001</v>
      </c>
      <c r="AE373">
        <v>8</v>
      </c>
      <c r="AF373">
        <v>303887584</v>
      </c>
      <c r="AJ373" t="s">
        <v>735</v>
      </c>
      <c r="AM373">
        <v>244127232</v>
      </c>
      <c r="AN373">
        <v>0</v>
      </c>
      <c r="AO373">
        <v>0</v>
      </c>
      <c r="AP373">
        <v>244127232</v>
      </c>
      <c r="AQ373">
        <v>244127232</v>
      </c>
      <c r="AR373">
        <v>244127232</v>
      </c>
      <c r="AS373">
        <v>0</v>
      </c>
      <c r="AT373">
        <v>0</v>
      </c>
      <c r="AU373">
        <v>244127232</v>
      </c>
      <c r="AV373">
        <v>244127232</v>
      </c>
      <c r="AW373">
        <v>16.512899999999998</v>
      </c>
      <c r="AX373">
        <v>5.51518</v>
      </c>
      <c r="AY373">
        <v>2130.34</v>
      </c>
      <c r="AZ373">
        <v>1210.44</v>
      </c>
      <c r="BA373">
        <v>1607</v>
      </c>
      <c r="BB373">
        <v>930</v>
      </c>
      <c r="BC373" t="str">
        <f t="shared" si="12"/>
        <v>u=0%, k=2x10^7</v>
      </c>
      <c r="BD373">
        <f t="shared" si="13"/>
        <v>1</v>
      </c>
    </row>
    <row r="374" spans="1:56">
      <c r="A374" t="s">
        <v>736</v>
      </c>
      <c r="B374" t="s">
        <v>300</v>
      </c>
      <c r="C374">
        <v>208</v>
      </c>
      <c r="D374" t="s">
        <v>64</v>
      </c>
      <c r="E374" t="s">
        <v>59</v>
      </c>
      <c r="F374" t="s">
        <v>60</v>
      </c>
      <c r="G374">
        <v>2000</v>
      </c>
      <c r="H374">
        <v>0</v>
      </c>
      <c r="I374">
        <v>0</v>
      </c>
      <c r="J374">
        <v>0</v>
      </c>
      <c r="K374">
        <v>1</v>
      </c>
      <c r="L374">
        <v>20000000</v>
      </c>
      <c r="M374">
        <v>190</v>
      </c>
      <c r="N374">
        <v>190</v>
      </c>
      <c r="O374">
        <v>190</v>
      </c>
      <c r="P374">
        <v>0</v>
      </c>
      <c r="Q374" t="s">
        <v>61</v>
      </c>
      <c r="R374">
        <v>100007748822158</v>
      </c>
      <c r="S374">
        <v>10000000</v>
      </c>
      <c r="T374">
        <v>100007748822158</v>
      </c>
      <c r="U374">
        <v>10000000</v>
      </c>
      <c r="V374" t="s">
        <v>71</v>
      </c>
      <c r="W374">
        <v>9</v>
      </c>
      <c r="X374">
        <v>185396</v>
      </c>
      <c r="Y374">
        <v>1275956</v>
      </c>
      <c r="Z374">
        <v>1461352</v>
      </c>
      <c r="AA374">
        <v>10000000</v>
      </c>
      <c r="AB374">
        <v>7.8823299999999996</v>
      </c>
      <c r="AC374">
        <v>7.8372599999999997</v>
      </c>
      <c r="AD374">
        <v>7.8429799999999998</v>
      </c>
      <c r="AE374">
        <v>8</v>
      </c>
      <c r="AF374">
        <v>303961216</v>
      </c>
      <c r="AJ374" t="s">
        <v>737</v>
      </c>
      <c r="AM374">
        <v>492811651</v>
      </c>
      <c r="AN374">
        <v>0</v>
      </c>
      <c r="AO374">
        <v>0</v>
      </c>
      <c r="AP374">
        <v>492811651</v>
      </c>
      <c r="AQ374">
        <v>492811651</v>
      </c>
      <c r="AR374">
        <v>246405825</v>
      </c>
      <c r="AS374">
        <v>0</v>
      </c>
      <c r="AT374">
        <v>0</v>
      </c>
      <c r="AU374">
        <v>246405825</v>
      </c>
      <c r="AV374">
        <v>246405825</v>
      </c>
      <c r="AW374">
        <v>16.526299999999999</v>
      </c>
      <c r="AX374">
        <v>5.5408799999999996</v>
      </c>
      <c r="AY374">
        <v>2125.94</v>
      </c>
      <c r="AZ374">
        <v>1212.06</v>
      </c>
      <c r="BA374">
        <v>1595</v>
      </c>
      <c r="BB374">
        <v>919</v>
      </c>
      <c r="BC374" t="str">
        <f t="shared" si="12"/>
        <v>u=0%, k=2x10^7</v>
      </c>
      <c r="BD374">
        <f t="shared" si="13"/>
        <v>2</v>
      </c>
    </row>
    <row r="375" spans="1:56">
      <c r="A375" t="s">
        <v>738</v>
      </c>
      <c r="B375" t="s">
        <v>300</v>
      </c>
      <c r="C375">
        <v>208</v>
      </c>
      <c r="D375" t="s">
        <v>64</v>
      </c>
      <c r="E375" t="s">
        <v>59</v>
      </c>
      <c r="F375" t="s">
        <v>60</v>
      </c>
      <c r="G375">
        <v>4000</v>
      </c>
      <c r="H375">
        <v>0</v>
      </c>
      <c r="I375">
        <v>0</v>
      </c>
      <c r="J375">
        <v>0</v>
      </c>
      <c r="K375">
        <v>1</v>
      </c>
      <c r="L375">
        <v>20000000</v>
      </c>
      <c r="M375">
        <v>190</v>
      </c>
      <c r="N375">
        <v>190</v>
      </c>
      <c r="O375">
        <v>190</v>
      </c>
      <c r="P375">
        <v>0</v>
      </c>
      <c r="Q375" t="s">
        <v>61</v>
      </c>
      <c r="R375">
        <v>99972333692746</v>
      </c>
      <c r="S375">
        <v>10000000</v>
      </c>
      <c r="T375">
        <v>99972333692746</v>
      </c>
      <c r="U375">
        <v>10000000</v>
      </c>
      <c r="V375" t="s">
        <v>71</v>
      </c>
      <c r="W375">
        <v>9</v>
      </c>
      <c r="X375">
        <v>185429</v>
      </c>
      <c r="Y375">
        <v>1275893</v>
      </c>
      <c r="Z375">
        <v>1461322</v>
      </c>
      <c r="AA375">
        <v>10000000</v>
      </c>
      <c r="AB375">
        <v>7.8807600000000004</v>
      </c>
      <c r="AC375">
        <v>7.83765</v>
      </c>
      <c r="AD375">
        <v>7.8431199999999999</v>
      </c>
      <c r="AE375">
        <v>8</v>
      </c>
      <c r="AF375">
        <v>303954976</v>
      </c>
      <c r="AJ375" t="s">
        <v>739</v>
      </c>
      <c r="AM375">
        <v>970319258</v>
      </c>
      <c r="AN375">
        <v>0</v>
      </c>
      <c r="AO375">
        <v>0</v>
      </c>
      <c r="AP375">
        <v>970319258</v>
      </c>
      <c r="AQ375">
        <v>970319258</v>
      </c>
      <c r="AR375">
        <v>242579814</v>
      </c>
      <c r="AS375">
        <v>0</v>
      </c>
      <c r="AT375">
        <v>0</v>
      </c>
      <c r="AU375">
        <v>242579814</v>
      </c>
      <c r="AV375">
        <v>242579814</v>
      </c>
      <c r="AW375">
        <v>16.5349</v>
      </c>
      <c r="AX375">
        <v>5.5501500000000004</v>
      </c>
      <c r="AY375">
        <v>2161.34</v>
      </c>
      <c r="AZ375">
        <v>1242.7</v>
      </c>
      <c r="BA375">
        <v>1590</v>
      </c>
      <c r="BB375">
        <v>877</v>
      </c>
      <c r="BC375" t="str">
        <f t="shared" si="12"/>
        <v>u=0%, k=2x10^7</v>
      </c>
      <c r="BD375">
        <f t="shared" si="13"/>
        <v>4</v>
      </c>
    </row>
    <row r="376" spans="1:56">
      <c r="A376" t="s">
        <v>740</v>
      </c>
      <c r="B376" t="s">
        <v>300</v>
      </c>
      <c r="C376">
        <v>208</v>
      </c>
      <c r="D376" t="s">
        <v>64</v>
      </c>
      <c r="E376" t="s">
        <v>59</v>
      </c>
      <c r="F376" t="s">
        <v>60</v>
      </c>
      <c r="G376">
        <v>8000</v>
      </c>
      <c r="H376">
        <v>0</v>
      </c>
      <c r="I376">
        <v>0</v>
      </c>
      <c r="J376">
        <v>0</v>
      </c>
      <c r="K376">
        <v>1</v>
      </c>
      <c r="L376">
        <v>20000000</v>
      </c>
      <c r="M376">
        <v>190</v>
      </c>
      <c r="N376">
        <v>190</v>
      </c>
      <c r="O376">
        <v>190</v>
      </c>
      <c r="P376">
        <v>0</v>
      </c>
      <c r="Q376" t="s">
        <v>61</v>
      </c>
      <c r="R376">
        <v>99989563227204</v>
      </c>
      <c r="S376">
        <v>10000000</v>
      </c>
      <c r="T376">
        <v>99989563227204</v>
      </c>
      <c r="U376">
        <v>10000000</v>
      </c>
      <c r="V376" t="s">
        <v>71</v>
      </c>
      <c r="W376">
        <v>9</v>
      </c>
      <c r="X376">
        <v>185291</v>
      </c>
      <c r="Y376">
        <v>1275647</v>
      </c>
      <c r="Z376">
        <v>1460938</v>
      </c>
      <c r="AA376">
        <v>10000000</v>
      </c>
      <c r="AB376">
        <v>7.8845599999999996</v>
      </c>
      <c r="AC376">
        <v>7.8391599999999997</v>
      </c>
      <c r="AD376">
        <v>7.8449200000000001</v>
      </c>
      <c r="AE376">
        <v>8</v>
      </c>
      <c r="AF376">
        <v>303875104</v>
      </c>
      <c r="AJ376">
        <v>12466</v>
      </c>
      <c r="AM376">
        <v>1943307959</v>
      </c>
      <c r="AN376">
        <v>0</v>
      </c>
      <c r="AO376">
        <v>0</v>
      </c>
      <c r="AP376">
        <v>1943307959</v>
      </c>
      <c r="AQ376">
        <v>1943307959</v>
      </c>
      <c r="AR376">
        <v>242913494</v>
      </c>
      <c r="AS376">
        <v>0</v>
      </c>
      <c r="AT376">
        <v>0</v>
      </c>
      <c r="AU376">
        <v>242913494</v>
      </c>
      <c r="AV376">
        <v>242913494</v>
      </c>
      <c r="AW376">
        <v>16.568300000000001</v>
      </c>
      <c r="AX376">
        <v>5.5668699999999998</v>
      </c>
      <c r="AY376">
        <v>2160.91</v>
      </c>
      <c r="AZ376">
        <v>1247.44</v>
      </c>
      <c r="BA376">
        <v>1581</v>
      </c>
      <c r="BB376">
        <v>893</v>
      </c>
      <c r="BC376" t="str">
        <f t="shared" si="12"/>
        <v>u=0%, k=2x10^7</v>
      </c>
      <c r="BD376">
        <f t="shared" si="13"/>
        <v>8</v>
      </c>
    </row>
    <row r="377" spans="1:56">
      <c r="A377" t="s">
        <v>741</v>
      </c>
      <c r="B377" t="s">
        <v>300</v>
      </c>
      <c r="C377">
        <v>208</v>
      </c>
      <c r="D377" t="s">
        <v>64</v>
      </c>
      <c r="E377" t="s">
        <v>59</v>
      </c>
      <c r="F377" t="s">
        <v>60</v>
      </c>
      <c r="G377">
        <v>16000</v>
      </c>
      <c r="H377">
        <v>0</v>
      </c>
      <c r="I377">
        <v>0</v>
      </c>
      <c r="J377">
        <v>0</v>
      </c>
      <c r="K377">
        <v>1</v>
      </c>
      <c r="L377">
        <v>20000000</v>
      </c>
      <c r="M377">
        <v>190</v>
      </c>
      <c r="N377">
        <v>190</v>
      </c>
      <c r="O377">
        <v>190</v>
      </c>
      <c r="P377">
        <v>0</v>
      </c>
      <c r="Q377" t="s">
        <v>61</v>
      </c>
      <c r="R377">
        <v>100005772832365</v>
      </c>
      <c r="S377">
        <v>10000000</v>
      </c>
      <c r="T377">
        <v>100005772832365</v>
      </c>
      <c r="U377">
        <v>10000000</v>
      </c>
      <c r="V377" t="s">
        <v>71</v>
      </c>
      <c r="W377">
        <v>9</v>
      </c>
      <c r="X377">
        <v>185001</v>
      </c>
      <c r="Y377">
        <v>1275570</v>
      </c>
      <c r="Z377">
        <v>1460571</v>
      </c>
      <c r="AA377">
        <v>10000000</v>
      </c>
      <c r="AB377">
        <v>7.8949400000000001</v>
      </c>
      <c r="AC377">
        <v>7.8396299999999997</v>
      </c>
      <c r="AD377">
        <v>7.8466399999999998</v>
      </c>
      <c r="AE377">
        <v>8</v>
      </c>
      <c r="AF377">
        <v>303798768</v>
      </c>
      <c r="AJ377" t="s">
        <v>742</v>
      </c>
      <c r="AM377">
        <v>3893527508</v>
      </c>
      <c r="AN377">
        <v>0</v>
      </c>
      <c r="AO377">
        <v>0</v>
      </c>
      <c r="AP377">
        <v>3893527508</v>
      </c>
      <c r="AQ377">
        <v>3893527508</v>
      </c>
      <c r="AR377">
        <v>243345469</v>
      </c>
      <c r="AS377">
        <v>0</v>
      </c>
      <c r="AT377">
        <v>0</v>
      </c>
      <c r="AU377">
        <v>243345469</v>
      </c>
      <c r="AV377">
        <v>243345469</v>
      </c>
      <c r="AW377">
        <v>16.504100000000001</v>
      </c>
      <c r="AX377">
        <v>5.56053</v>
      </c>
      <c r="AY377">
        <v>2156.5500000000002</v>
      </c>
      <c r="AZ377">
        <v>1248.81</v>
      </c>
      <c r="BA377">
        <v>1562</v>
      </c>
      <c r="BB377">
        <v>861</v>
      </c>
      <c r="BC377" t="str">
        <f t="shared" si="12"/>
        <v>u=0%, k=2x10^7</v>
      </c>
      <c r="BD377">
        <f t="shared" si="13"/>
        <v>16</v>
      </c>
    </row>
    <row r="378" spans="1:56">
      <c r="A378" t="s">
        <v>743</v>
      </c>
      <c r="B378" t="s">
        <v>300</v>
      </c>
      <c r="C378">
        <v>208</v>
      </c>
      <c r="D378" t="s">
        <v>64</v>
      </c>
      <c r="E378" t="s">
        <v>59</v>
      </c>
      <c r="F378" t="s">
        <v>60</v>
      </c>
      <c r="G378">
        <v>32000</v>
      </c>
      <c r="H378">
        <v>0</v>
      </c>
      <c r="I378">
        <v>0</v>
      </c>
      <c r="J378">
        <v>0</v>
      </c>
      <c r="K378">
        <v>1</v>
      </c>
      <c r="L378">
        <v>20000000</v>
      </c>
      <c r="M378">
        <v>190</v>
      </c>
      <c r="N378">
        <v>190</v>
      </c>
      <c r="O378">
        <v>190</v>
      </c>
      <c r="P378">
        <v>0</v>
      </c>
      <c r="Q378" t="s">
        <v>61</v>
      </c>
      <c r="R378">
        <v>100020144338452</v>
      </c>
      <c r="S378">
        <v>10000000</v>
      </c>
      <c r="T378">
        <v>100020144338452</v>
      </c>
      <c r="U378">
        <v>10000000</v>
      </c>
      <c r="V378" t="s">
        <v>71</v>
      </c>
      <c r="W378">
        <v>9</v>
      </c>
      <c r="X378">
        <v>185464</v>
      </c>
      <c r="Y378">
        <v>1275768</v>
      </c>
      <c r="Z378">
        <v>1461232</v>
      </c>
      <c r="AA378">
        <v>10000000</v>
      </c>
      <c r="AB378">
        <v>7.8787900000000004</v>
      </c>
      <c r="AC378">
        <v>7.8384200000000002</v>
      </c>
      <c r="AD378">
        <v>7.84354</v>
      </c>
      <c r="AE378">
        <v>8</v>
      </c>
      <c r="AF378">
        <v>303936256</v>
      </c>
      <c r="AJ378" t="s">
        <v>744</v>
      </c>
      <c r="AM378">
        <v>7767194362</v>
      </c>
      <c r="AN378">
        <v>0</v>
      </c>
      <c r="AO378">
        <v>0</v>
      </c>
      <c r="AP378">
        <v>7767194362</v>
      </c>
      <c r="AQ378">
        <v>7767194362</v>
      </c>
      <c r="AR378">
        <v>242724823</v>
      </c>
      <c r="AS378">
        <v>0</v>
      </c>
      <c r="AT378">
        <v>0</v>
      </c>
      <c r="AU378">
        <v>242724823</v>
      </c>
      <c r="AV378">
        <v>242724823</v>
      </c>
      <c r="AW378">
        <v>16.553699999999999</v>
      </c>
      <c r="AX378">
        <v>5.5670000000000002</v>
      </c>
      <c r="AY378">
        <v>2164.66</v>
      </c>
      <c r="AZ378">
        <v>1257.55</v>
      </c>
      <c r="BA378">
        <v>1602</v>
      </c>
      <c r="BB378">
        <v>904</v>
      </c>
      <c r="BC378" t="str">
        <f t="shared" si="12"/>
        <v>u=0%, k=2x10^7</v>
      </c>
      <c r="BD378">
        <f t="shared" si="13"/>
        <v>32</v>
      </c>
    </row>
    <row r="379" spans="1:56">
      <c r="A379" t="s">
        <v>745</v>
      </c>
      <c r="B379" t="s">
        <v>300</v>
      </c>
      <c r="C379">
        <v>208</v>
      </c>
      <c r="D379" t="s">
        <v>64</v>
      </c>
      <c r="E379" t="s">
        <v>59</v>
      </c>
      <c r="F379" t="s">
        <v>60</v>
      </c>
      <c r="G379">
        <v>64000</v>
      </c>
      <c r="H379">
        <v>0</v>
      </c>
      <c r="I379">
        <v>0</v>
      </c>
      <c r="J379">
        <v>0</v>
      </c>
      <c r="K379">
        <v>1</v>
      </c>
      <c r="L379">
        <v>20000000</v>
      </c>
      <c r="M379">
        <v>190</v>
      </c>
      <c r="N379">
        <v>190</v>
      </c>
      <c r="O379">
        <v>190</v>
      </c>
      <c r="P379">
        <v>0</v>
      </c>
      <c r="Q379" t="s">
        <v>61</v>
      </c>
      <c r="R379">
        <v>99988815496026</v>
      </c>
      <c r="S379">
        <v>10000000</v>
      </c>
      <c r="T379">
        <v>99988815496026</v>
      </c>
      <c r="U379">
        <v>10000000</v>
      </c>
      <c r="V379" t="s">
        <v>71</v>
      </c>
      <c r="W379">
        <v>9</v>
      </c>
      <c r="X379">
        <v>185299</v>
      </c>
      <c r="Y379">
        <v>1275575</v>
      </c>
      <c r="Z379">
        <v>1460874</v>
      </c>
      <c r="AA379">
        <v>10000000</v>
      </c>
      <c r="AB379">
        <v>7.8838699999999999</v>
      </c>
      <c r="AC379">
        <v>7.8395999999999999</v>
      </c>
      <c r="AD379">
        <v>7.8452200000000003</v>
      </c>
      <c r="AE379">
        <v>8</v>
      </c>
      <c r="AF379">
        <v>303861792</v>
      </c>
      <c r="AJ379">
        <v>95398</v>
      </c>
      <c r="AM379">
        <v>15463272951</v>
      </c>
      <c r="AN379">
        <v>0</v>
      </c>
      <c r="AO379">
        <v>0</v>
      </c>
      <c r="AP379">
        <v>15463272951</v>
      </c>
      <c r="AQ379">
        <v>15463272951</v>
      </c>
      <c r="AR379">
        <v>241613639</v>
      </c>
      <c r="AS379">
        <v>0</v>
      </c>
      <c r="AT379">
        <v>0</v>
      </c>
      <c r="AU379">
        <v>241613639</v>
      </c>
      <c r="AV379">
        <v>241613639</v>
      </c>
      <c r="AW379">
        <v>16.541499999999999</v>
      </c>
      <c r="AX379">
        <v>5.5791599999999999</v>
      </c>
      <c r="AY379">
        <v>2173.06</v>
      </c>
      <c r="AZ379">
        <v>1262.45</v>
      </c>
      <c r="BA379">
        <v>1602</v>
      </c>
      <c r="BB379">
        <v>901</v>
      </c>
      <c r="BC379" t="str">
        <f t="shared" si="12"/>
        <v>u=0%, k=2x10^7</v>
      </c>
      <c r="BD379">
        <f t="shared" si="13"/>
        <v>64</v>
      </c>
    </row>
    <row r="380" spans="1:56">
      <c r="A380" t="s">
        <v>746</v>
      </c>
      <c r="B380" t="s">
        <v>105</v>
      </c>
      <c r="D380" t="s">
        <v>64</v>
      </c>
      <c r="E380" t="s">
        <v>59</v>
      </c>
      <c r="F380" t="s">
        <v>60</v>
      </c>
      <c r="G380">
        <v>1000</v>
      </c>
      <c r="H380">
        <v>0</v>
      </c>
      <c r="I380">
        <v>0</v>
      </c>
      <c r="J380">
        <v>0</v>
      </c>
      <c r="K380">
        <v>1</v>
      </c>
      <c r="L380">
        <v>20000000</v>
      </c>
      <c r="M380">
        <v>190</v>
      </c>
      <c r="N380">
        <v>190</v>
      </c>
      <c r="O380">
        <v>190</v>
      </c>
      <c r="P380">
        <v>0</v>
      </c>
      <c r="Q380" t="s">
        <v>61</v>
      </c>
      <c r="R380">
        <v>99996944822052</v>
      </c>
      <c r="S380">
        <v>10000000</v>
      </c>
      <c r="T380">
        <v>99996944822052</v>
      </c>
      <c r="U380">
        <v>10000000</v>
      </c>
      <c r="V380" t="s">
        <v>71</v>
      </c>
      <c r="W380">
        <v>29</v>
      </c>
      <c r="X380">
        <v>5714457</v>
      </c>
      <c r="Y380">
        <v>4285544</v>
      </c>
      <c r="Z380">
        <v>10000001</v>
      </c>
      <c r="AA380">
        <v>10000000</v>
      </c>
      <c r="AB380">
        <v>1.7499499999999999</v>
      </c>
      <c r="AC380">
        <v>2.3334299999999999</v>
      </c>
      <c r="AD380">
        <v>2</v>
      </c>
      <c r="AE380">
        <v>22.694800000000001</v>
      </c>
      <c r="AF380">
        <v>560000056</v>
      </c>
      <c r="AJ380" t="s">
        <v>747</v>
      </c>
      <c r="AM380">
        <v>113916421</v>
      </c>
      <c r="AN380">
        <v>0</v>
      </c>
      <c r="AO380">
        <v>0</v>
      </c>
      <c r="AP380">
        <v>113916421</v>
      </c>
      <c r="AQ380">
        <v>113916421</v>
      </c>
      <c r="AR380">
        <v>113916421</v>
      </c>
      <c r="AS380">
        <v>0</v>
      </c>
      <c r="AT380">
        <v>0</v>
      </c>
      <c r="AU380">
        <v>113916421</v>
      </c>
      <c r="AV380">
        <v>113916421</v>
      </c>
      <c r="AW380">
        <v>28.542300000000001</v>
      </c>
      <c r="AX380">
        <v>10.4176</v>
      </c>
      <c r="AY380">
        <v>4628.76</v>
      </c>
      <c r="AZ380">
        <v>3210.78</v>
      </c>
      <c r="BA380">
        <v>1754</v>
      </c>
      <c r="BB380">
        <v>443</v>
      </c>
      <c r="BC380" t="str">
        <f t="shared" si="12"/>
        <v>u=0%, k=2x10^7</v>
      </c>
      <c r="BD380">
        <f t="shared" si="13"/>
        <v>1</v>
      </c>
    </row>
    <row r="381" spans="1:56">
      <c r="A381" t="s">
        <v>748</v>
      </c>
      <c r="B381" t="s">
        <v>105</v>
      </c>
      <c r="D381" t="s">
        <v>64</v>
      </c>
      <c r="E381" t="s">
        <v>59</v>
      </c>
      <c r="F381" t="s">
        <v>60</v>
      </c>
      <c r="G381">
        <v>2000</v>
      </c>
      <c r="H381">
        <v>0</v>
      </c>
      <c r="I381">
        <v>0</v>
      </c>
      <c r="J381">
        <v>0</v>
      </c>
      <c r="K381">
        <v>1</v>
      </c>
      <c r="L381">
        <v>20000000</v>
      </c>
      <c r="M381">
        <v>190</v>
      </c>
      <c r="N381">
        <v>190</v>
      </c>
      <c r="O381">
        <v>190</v>
      </c>
      <c r="P381">
        <v>0</v>
      </c>
      <c r="Q381" t="s">
        <v>61</v>
      </c>
      <c r="R381">
        <v>99998474530447</v>
      </c>
      <c r="S381">
        <v>10000000</v>
      </c>
      <c r="T381">
        <v>99998474530447</v>
      </c>
      <c r="U381">
        <v>10000000</v>
      </c>
      <c r="V381" t="s">
        <v>71</v>
      </c>
      <c r="W381">
        <v>29</v>
      </c>
      <c r="X381">
        <v>5714424</v>
      </c>
      <c r="Y381">
        <v>4285577</v>
      </c>
      <c r="Z381">
        <v>10000001</v>
      </c>
      <c r="AA381">
        <v>10000000</v>
      </c>
      <c r="AB381">
        <v>1.74996</v>
      </c>
      <c r="AC381">
        <v>2.3334100000000002</v>
      </c>
      <c r="AD381">
        <v>2</v>
      </c>
      <c r="AE381">
        <v>22.714400000000001</v>
      </c>
      <c r="AF381">
        <v>560000056</v>
      </c>
      <c r="AJ381" t="s">
        <v>749</v>
      </c>
      <c r="AM381">
        <v>230186181</v>
      </c>
      <c r="AN381">
        <v>0</v>
      </c>
      <c r="AO381">
        <v>0</v>
      </c>
      <c r="AP381">
        <v>230186181</v>
      </c>
      <c r="AQ381">
        <v>230186181</v>
      </c>
      <c r="AR381">
        <v>115093090</v>
      </c>
      <c r="AS381">
        <v>0</v>
      </c>
      <c r="AT381">
        <v>0</v>
      </c>
      <c r="AU381">
        <v>115093090</v>
      </c>
      <c r="AV381">
        <v>115093090</v>
      </c>
      <c r="AW381">
        <v>28.396100000000001</v>
      </c>
      <c r="AX381">
        <v>10.528</v>
      </c>
      <c r="AY381">
        <v>4590.38</v>
      </c>
      <c r="AZ381">
        <v>3167.49</v>
      </c>
      <c r="BA381">
        <v>1753</v>
      </c>
      <c r="BB381">
        <v>439</v>
      </c>
      <c r="BC381" t="str">
        <f t="shared" si="12"/>
        <v>u=0%, k=2x10^7</v>
      </c>
      <c r="BD381">
        <f t="shared" si="13"/>
        <v>2</v>
      </c>
    </row>
    <row r="382" spans="1:56">
      <c r="A382" t="s">
        <v>750</v>
      </c>
      <c r="B382" t="s">
        <v>105</v>
      </c>
      <c r="D382" t="s">
        <v>64</v>
      </c>
      <c r="E382" t="s">
        <v>59</v>
      </c>
      <c r="F382" t="s">
        <v>60</v>
      </c>
      <c r="G382">
        <v>4000</v>
      </c>
      <c r="H382">
        <v>0</v>
      </c>
      <c r="I382">
        <v>0</v>
      </c>
      <c r="J382">
        <v>0</v>
      </c>
      <c r="K382">
        <v>1</v>
      </c>
      <c r="L382">
        <v>20000000</v>
      </c>
      <c r="M382">
        <v>190</v>
      </c>
      <c r="N382">
        <v>190</v>
      </c>
      <c r="O382">
        <v>190</v>
      </c>
      <c r="P382">
        <v>0</v>
      </c>
      <c r="Q382" t="s">
        <v>61</v>
      </c>
      <c r="R382">
        <v>100012185180112</v>
      </c>
      <c r="S382">
        <v>10000000</v>
      </c>
      <c r="T382">
        <v>100012185180112</v>
      </c>
      <c r="U382">
        <v>10000000</v>
      </c>
      <c r="V382" t="s">
        <v>71</v>
      </c>
      <c r="W382">
        <v>29</v>
      </c>
      <c r="X382">
        <v>5714399</v>
      </c>
      <c r="Y382">
        <v>4285602</v>
      </c>
      <c r="Z382">
        <v>10000001</v>
      </c>
      <c r="AA382">
        <v>10000000</v>
      </c>
      <c r="AB382">
        <v>1.74997</v>
      </c>
      <c r="AC382">
        <v>2.3333900000000001</v>
      </c>
      <c r="AD382">
        <v>2</v>
      </c>
      <c r="AE382">
        <v>22.701699999999999</v>
      </c>
      <c r="AF382">
        <v>560000056</v>
      </c>
      <c r="AJ382" t="s">
        <v>751</v>
      </c>
      <c r="AM382">
        <v>467280870</v>
      </c>
      <c r="AN382">
        <v>0</v>
      </c>
      <c r="AO382">
        <v>0</v>
      </c>
      <c r="AP382">
        <v>467280870</v>
      </c>
      <c r="AQ382">
        <v>467280870</v>
      </c>
      <c r="AR382">
        <v>116820217</v>
      </c>
      <c r="AS382">
        <v>0</v>
      </c>
      <c r="AT382">
        <v>0</v>
      </c>
      <c r="AU382">
        <v>116820217</v>
      </c>
      <c r="AV382">
        <v>116820217</v>
      </c>
      <c r="AW382">
        <v>28.449000000000002</v>
      </c>
      <c r="AX382">
        <v>10.616</v>
      </c>
      <c r="AY382">
        <v>4520.3900000000003</v>
      </c>
      <c r="AZ382">
        <v>3158.67</v>
      </c>
      <c r="BA382">
        <v>1754</v>
      </c>
      <c r="BB382">
        <v>443</v>
      </c>
      <c r="BC382" t="str">
        <f t="shared" si="12"/>
        <v>u=0%, k=2x10^7</v>
      </c>
      <c r="BD382">
        <f t="shared" si="13"/>
        <v>4</v>
      </c>
    </row>
    <row r="383" spans="1:56">
      <c r="A383" t="s">
        <v>752</v>
      </c>
      <c r="B383" t="s">
        <v>105</v>
      </c>
      <c r="D383" t="s">
        <v>64</v>
      </c>
      <c r="E383" t="s">
        <v>59</v>
      </c>
      <c r="F383" t="s">
        <v>60</v>
      </c>
      <c r="G383">
        <v>8000</v>
      </c>
      <c r="H383">
        <v>0</v>
      </c>
      <c r="I383">
        <v>0</v>
      </c>
      <c r="J383">
        <v>0</v>
      </c>
      <c r="K383">
        <v>1</v>
      </c>
      <c r="L383">
        <v>20000000</v>
      </c>
      <c r="M383">
        <v>190</v>
      </c>
      <c r="N383">
        <v>190</v>
      </c>
      <c r="O383">
        <v>190</v>
      </c>
      <c r="P383">
        <v>0</v>
      </c>
      <c r="Q383" t="s">
        <v>61</v>
      </c>
      <c r="R383">
        <v>99990191826086</v>
      </c>
      <c r="S383">
        <v>10000000</v>
      </c>
      <c r="T383">
        <v>99990191826086</v>
      </c>
      <c r="U383">
        <v>10000000</v>
      </c>
      <c r="V383" t="s">
        <v>71</v>
      </c>
      <c r="W383">
        <v>29</v>
      </c>
      <c r="X383">
        <v>5714479</v>
      </c>
      <c r="Y383">
        <v>4285522</v>
      </c>
      <c r="Z383">
        <v>10000001</v>
      </c>
      <c r="AA383">
        <v>10000000</v>
      </c>
      <c r="AB383">
        <v>1.7499400000000001</v>
      </c>
      <c r="AC383">
        <v>2.33344</v>
      </c>
      <c r="AD383">
        <v>2</v>
      </c>
      <c r="AE383">
        <v>22.710599999999999</v>
      </c>
      <c r="AF383">
        <v>560000056</v>
      </c>
      <c r="AJ383" t="s">
        <v>753</v>
      </c>
      <c r="AM383">
        <v>932259836</v>
      </c>
      <c r="AN383">
        <v>0</v>
      </c>
      <c r="AO383">
        <v>0</v>
      </c>
      <c r="AP383">
        <v>932259836</v>
      </c>
      <c r="AQ383">
        <v>932259836</v>
      </c>
      <c r="AR383">
        <v>116532479</v>
      </c>
      <c r="AS383">
        <v>0</v>
      </c>
      <c r="AT383">
        <v>0</v>
      </c>
      <c r="AU383">
        <v>116532479</v>
      </c>
      <c r="AV383">
        <v>116532479</v>
      </c>
      <c r="AW383">
        <v>28.4436</v>
      </c>
      <c r="AX383">
        <v>10.6785</v>
      </c>
      <c r="AY383">
        <v>4526.32</v>
      </c>
      <c r="AZ383">
        <v>3163.37</v>
      </c>
      <c r="BA383">
        <v>1755</v>
      </c>
      <c r="BB383">
        <v>445</v>
      </c>
      <c r="BC383" t="str">
        <f t="shared" si="12"/>
        <v>u=0%, k=2x10^7</v>
      </c>
      <c r="BD383">
        <f t="shared" si="13"/>
        <v>8</v>
      </c>
    </row>
    <row r="384" spans="1:56">
      <c r="A384" t="s">
        <v>754</v>
      </c>
      <c r="B384" t="s">
        <v>105</v>
      </c>
      <c r="D384" t="s">
        <v>64</v>
      </c>
      <c r="E384" t="s">
        <v>59</v>
      </c>
      <c r="F384" t="s">
        <v>60</v>
      </c>
      <c r="G384">
        <v>16000</v>
      </c>
      <c r="H384">
        <v>0</v>
      </c>
      <c r="I384">
        <v>0</v>
      </c>
      <c r="J384">
        <v>0</v>
      </c>
      <c r="K384">
        <v>1</v>
      </c>
      <c r="L384">
        <v>20000000</v>
      </c>
      <c r="M384">
        <v>190</v>
      </c>
      <c r="N384">
        <v>190</v>
      </c>
      <c r="O384">
        <v>190</v>
      </c>
      <c r="P384">
        <v>0</v>
      </c>
      <c r="Q384" t="s">
        <v>61</v>
      </c>
      <c r="R384">
        <v>100009010819342</v>
      </c>
      <c r="S384">
        <v>10000000</v>
      </c>
      <c r="T384">
        <v>100009010819342</v>
      </c>
      <c r="U384">
        <v>10000000</v>
      </c>
      <c r="V384" t="s">
        <v>71</v>
      </c>
      <c r="W384">
        <v>29</v>
      </c>
      <c r="X384">
        <v>5714071</v>
      </c>
      <c r="Y384">
        <v>4285930</v>
      </c>
      <c r="Z384">
        <v>10000001</v>
      </c>
      <c r="AA384">
        <v>10000000</v>
      </c>
      <c r="AB384">
        <v>1.75007</v>
      </c>
      <c r="AC384">
        <v>2.3332199999999998</v>
      </c>
      <c r="AD384">
        <v>2</v>
      </c>
      <c r="AE384">
        <v>22.762499999999999</v>
      </c>
      <c r="AF384">
        <v>560000056</v>
      </c>
      <c r="AJ384" t="s">
        <v>755</v>
      </c>
      <c r="AM384">
        <v>1872854496</v>
      </c>
      <c r="AN384">
        <v>0</v>
      </c>
      <c r="AO384">
        <v>0</v>
      </c>
      <c r="AP384">
        <v>1872854496</v>
      </c>
      <c r="AQ384">
        <v>1872854496</v>
      </c>
      <c r="AR384">
        <v>117053406</v>
      </c>
      <c r="AS384">
        <v>0</v>
      </c>
      <c r="AT384">
        <v>0</v>
      </c>
      <c r="AU384">
        <v>117053406</v>
      </c>
      <c r="AV384">
        <v>117053406</v>
      </c>
      <c r="AW384">
        <v>28.613700000000001</v>
      </c>
      <c r="AX384">
        <v>10.721299999999999</v>
      </c>
      <c r="AY384">
        <v>4506.33</v>
      </c>
      <c r="AZ384">
        <v>3151.56</v>
      </c>
      <c r="BA384">
        <v>1755</v>
      </c>
      <c r="BB384">
        <v>455</v>
      </c>
      <c r="BC384" t="str">
        <f t="shared" si="12"/>
        <v>u=0%, k=2x10^7</v>
      </c>
      <c r="BD384">
        <f t="shared" si="13"/>
        <v>16</v>
      </c>
    </row>
    <row r="385" spans="1:56">
      <c r="A385" t="s">
        <v>756</v>
      </c>
      <c r="B385" t="s">
        <v>105</v>
      </c>
      <c r="D385" t="s">
        <v>64</v>
      </c>
      <c r="E385" t="s">
        <v>59</v>
      </c>
      <c r="F385" t="s">
        <v>60</v>
      </c>
      <c r="G385">
        <v>32000</v>
      </c>
      <c r="H385">
        <v>0</v>
      </c>
      <c r="I385">
        <v>0</v>
      </c>
      <c r="J385">
        <v>0</v>
      </c>
      <c r="K385">
        <v>1</v>
      </c>
      <c r="L385">
        <v>20000000</v>
      </c>
      <c r="M385">
        <v>190</v>
      </c>
      <c r="N385">
        <v>190</v>
      </c>
      <c r="O385">
        <v>190</v>
      </c>
      <c r="P385">
        <v>0</v>
      </c>
      <c r="Q385" t="s">
        <v>61</v>
      </c>
      <c r="R385">
        <v>99979016337639</v>
      </c>
      <c r="S385">
        <v>10000000</v>
      </c>
      <c r="T385">
        <v>99979016337639</v>
      </c>
      <c r="U385">
        <v>10000000</v>
      </c>
      <c r="V385" t="s">
        <v>71</v>
      </c>
      <c r="W385">
        <v>29</v>
      </c>
      <c r="X385">
        <v>5713709</v>
      </c>
      <c r="Y385">
        <v>4286292</v>
      </c>
      <c r="Z385">
        <v>10000001</v>
      </c>
      <c r="AA385">
        <v>10000000</v>
      </c>
      <c r="AB385">
        <v>1.7501800000000001</v>
      </c>
      <c r="AC385">
        <v>2.3330199999999999</v>
      </c>
      <c r="AD385">
        <v>2</v>
      </c>
      <c r="AE385">
        <v>22.6831</v>
      </c>
      <c r="AF385">
        <v>560000056</v>
      </c>
      <c r="AJ385" t="s">
        <v>757</v>
      </c>
      <c r="AM385">
        <v>3739142460</v>
      </c>
      <c r="AN385">
        <v>0</v>
      </c>
      <c r="AO385">
        <v>0</v>
      </c>
      <c r="AP385">
        <v>3739142460</v>
      </c>
      <c r="AQ385">
        <v>3739142460</v>
      </c>
      <c r="AR385">
        <v>116848201</v>
      </c>
      <c r="AS385">
        <v>0</v>
      </c>
      <c r="AT385">
        <v>0</v>
      </c>
      <c r="AU385">
        <v>116848201</v>
      </c>
      <c r="AV385">
        <v>116848201</v>
      </c>
      <c r="AW385">
        <v>28.592199999999998</v>
      </c>
      <c r="AX385">
        <v>10.7417</v>
      </c>
      <c r="AY385">
        <v>4511.5600000000004</v>
      </c>
      <c r="AZ385">
        <v>3149.8</v>
      </c>
      <c r="BA385">
        <v>1755</v>
      </c>
      <c r="BB385">
        <v>432</v>
      </c>
      <c r="BC385" t="str">
        <f t="shared" si="12"/>
        <v>u=0%, k=2x10^7</v>
      </c>
      <c r="BD385">
        <f t="shared" si="13"/>
        <v>32</v>
      </c>
    </row>
    <row r="386" spans="1:56">
      <c r="A386" t="s">
        <v>758</v>
      </c>
      <c r="B386" t="s">
        <v>105</v>
      </c>
      <c r="D386" t="s">
        <v>64</v>
      </c>
      <c r="E386" t="s">
        <v>59</v>
      </c>
      <c r="F386" t="s">
        <v>60</v>
      </c>
      <c r="G386">
        <v>64000</v>
      </c>
      <c r="H386">
        <v>0</v>
      </c>
      <c r="I386">
        <v>0</v>
      </c>
      <c r="J386">
        <v>0</v>
      </c>
      <c r="K386">
        <v>1</v>
      </c>
      <c r="L386">
        <v>20000000</v>
      </c>
      <c r="M386">
        <v>190</v>
      </c>
      <c r="N386">
        <v>190</v>
      </c>
      <c r="O386">
        <v>190</v>
      </c>
      <c r="P386">
        <v>0</v>
      </c>
      <c r="Q386" t="s">
        <v>61</v>
      </c>
      <c r="R386">
        <v>100005963668108</v>
      </c>
      <c r="S386">
        <v>10000000</v>
      </c>
      <c r="T386">
        <v>100005963668108</v>
      </c>
      <c r="U386">
        <v>10000000</v>
      </c>
      <c r="V386" t="s">
        <v>71</v>
      </c>
      <c r="W386">
        <v>29</v>
      </c>
      <c r="X386">
        <v>5713158</v>
      </c>
      <c r="Y386">
        <v>4286843</v>
      </c>
      <c r="Z386">
        <v>10000001</v>
      </c>
      <c r="AA386">
        <v>10000000</v>
      </c>
      <c r="AB386">
        <v>1.7503500000000001</v>
      </c>
      <c r="AC386">
        <v>2.3327200000000001</v>
      </c>
      <c r="AD386">
        <v>2</v>
      </c>
      <c r="AE386">
        <v>22.714200000000002</v>
      </c>
      <c r="AF386">
        <v>560000056</v>
      </c>
      <c r="AJ386">
        <v>44528</v>
      </c>
      <c r="AM386">
        <v>7535730900</v>
      </c>
      <c r="AN386">
        <v>0</v>
      </c>
      <c r="AO386">
        <v>0</v>
      </c>
      <c r="AP386">
        <v>7535730900</v>
      </c>
      <c r="AQ386">
        <v>7535730900</v>
      </c>
      <c r="AR386">
        <v>117745795</v>
      </c>
      <c r="AS386">
        <v>0</v>
      </c>
      <c r="AT386">
        <v>0</v>
      </c>
      <c r="AU386">
        <v>117745795</v>
      </c>
      <c r="AV386">
        <v>117745795</v>
      </c>
      <c r="AW386">
        <v>28.864899999999999</v>
      </c>
      <c r="AX386">
        <v>10.7498</v>
      </c>
      <c r="AY386">
        <v>4476.3100000000004</v>
      </c>
      <c r="AZ386">
        <v>3152.35</v>
      </c>
      <c r="BA386">
        <v>1755</v>
      </c>
      <c r="BB386">
        <v>447</v>
      </c>
      <c r="BC386" t="str">
        <f t="shared" si="12"/>
        <v>u=0%, k=2x10^7</v>
      </c>
      <c r="BD386">
        <f t="shared" si="13"/>
        <v>64</v>
      </c>
    </row>
    <row r="387" spans="1:56">
      <c r="A387" t="s">
        <v>759</v>
      </c>
      <c r="B387" t="s">
        <v>305</v>
      </c>
      <c r="D387" t="s">
        <v>64</v>
      </c>
      <c r="E387" t="s">
        <v>59</v>
      </c>
      <c r="F387" t="s">
        <v>60</v>
      </c>
      <c r="G387">
        <v>1000</v>
      </c>
      <c r="H387">
        <v>0</v>
      </c>
      <c r="I387">
        <v>0</v>
      </c>
      <c r="J387">
        <v>0</v>
      </c>
      <c r="K387">
        <v>1</v>
      </c>
      <c r="L387">
        <v>20000000</v>
      </c>
      <c r="M387">
        <v>190</v>
      </c>
      <c r="N387">
        <v>190</v>
      </c>
      <c r="O387">
        <v>190</v>
      </c>
      <c r="P387">
        <v>0</v>
      </c>
      <c r="Q387" t="s">
        <v>61</v>
      </c>
      <c r="R387">
        <v>100004486363397</v>
      </c>
      <c r="S387">
        <v>10000000</v>
      </c>
      <c r="T387">
        <v>100004486363397</v>
      </c>
      <c r="U387">
        <v>10000000</v>
      </c>
      <c r="V387" t="s">
        <v>71</v>
      </c>
      <c r="W387">
        <v>59</v>
      </c>
      <c r="X387">
        <v>9999999</v>
      </c>
      <c r="Y387">
        <v>10000000</v>
      </c>
      <c r="Z387">
        <v>19999999</v>
      </c>
      <c r="AA387">
        <v>10000000</v>
      </c>
      <c r="AB387">
        <v>2</v>
      </c>
      <c r="AC387">
        <v>1</v>
      </c>
      <c r="AD387">
        <v>1.5</v>
      </c>
      <c r="AE387">
        <v>30.773399999999999</v>
      </c>
      <c r="AF387">
        <v>639999968</v>
      </c>
      <c r="AJ387">
        <v>744</v>
      </c>
      <c r="AM387">
        <v>98811355</v>
      </c>
      <c r="AN387">
        <v>0</v>
      </c>
      <c r="AO387">
        <v>0</v>
      </c>
      <c r="AP387">
        <v>98811355</v>
      </c>
      <c r="AQ387">
        <v>98811355</v>
      </c>
      <c r="AR387">
        <v>98811355</v>
      </c>
      <c r="AS387">
        <v>0</v>
      </c>
      <c r="AT387">
        <v>0</v>
      </c>
      <c r="AU387">
        <v>98811355</v>
      </c>
      <c r="AV387">
        <v>98811355</v>
      </c>
      <c r="AW387">
        <v>24.613499999999998</v>
      </c>
      <c r="AX387">
        <v>9.7536100000000001</v>
      </c>
      <c r="AY387">
        <v>5341.84</v>
      </c>
      <c r="AZ387">
        <v>4310.88</v>
      </c>
      <c r="BA387">
        <v>1754</v>
      </c>
      <c r="BB387">
        <v>409</v>
      </c>
      <c r="BC387" t="str">
        <f t="shared" si="12"/>
        <v>u=0%, k=2x10^7</v>
      </c>
      <c r="BD387">
        <f t="shared" si="13"/>
        <v>1</v>
      </c>
    </row>
    <row r="388" spans="1:56">
      <c r="A388" t="s">
        <v>760</v>
      </c>
      <c r="B388" t="s">
        <v>305</v>
      </c>
      <c r="D388" t="s">
        <v>64</v>
      </c>
      <c r="E388" t="s">
        <v>59</v>
      </c>
      <c r="F388" t="s">
        <v>60</v>
      </c>
      <c r="G388">
        <v>2000</v>
      </c>
      <c r="H388">
        <v>0</v>
      </c>
      <c r="I388">
        <v>0</v>
      </c>
      <c r="J388">
        <v>0</v>
      </c>
      <c r="K388">
        <v>1</v>
      </c>
      <c r="L388">
        <v>20000000</v>
      </c>
      <c r="M388">
        <v>190</v>
      </c>
      <c r="N388">
        <v>190</v>
      </c>
      <c r="O388">
        <v>190</v>
      </c>
      <c r="P388">
        <v>0</v>
      </c>
      <c r="Q388" t="s">
        <v>61</v>
      </c>
      <c r="R388">
        <v>100013300889356</v>
      </c>
      <c r="S388">
        <v>10000000</v>
      </c>
      <c r="T388">
        <v>100013300889356</v>
      </c>
      <c r="U388">
        <v>10000000</v>
      </c>
      <c r="V388" t="s">
        <v>71</v>
      </c>
      <c r="W388">
        <v>58</v>
      </c>
      <c r="X388">
        <v>9999999</v>
      </c>
      <c r="Y388">
        <v>10000000</v>
      </c>
      <c r="Z388">
        <v>19999999</v>
      </c>
      <c r="AA388">
        <v>10000000</v>
      </c>
      <c r="AB388">
        <v>2</v>
      </c>
      <c r="AC388">
        <v>1</v>
      </c>
      <c r="AD388">
        <v>1.5</v>
      </c>
      <c r="AE388">
        <v>30.9329</v>
      </c>
      <c r="AF388">
        <v>639999968</v>
      </c>
      <c r="AJ388" t="s">
        <v>761</v>
      </c>
      <c r="AM388">
        <v>200809061</v>
      </c>
      <c r="AN388">
        <v>0</v>
      </c>
      <c r="AO388">
        <v>0</v>
      </c>
      <c r="AP388">
        <v>200809061</v>
      </c>
      <c r="AQ388">
        <v>200809061</v>
      </c>
      <c r="AR388">
        <v>100404530</v>
      </c>
      <c r="AS388">
        <v>0</v>
      </c>
      <c r="AT388">
        <v>0</v>
      </c>
      <c r="AU388">
        <v>100404530</v>
      </c>
      <c r="AV388">
        <v>100404530</v>
      </c>
      <c r="AW388">
        <v>24.651299999999999</v>
      </c>
      <c r="AX388">
        <v>9.8698200000000007</v>
      </c>
      <c r="AY388">
        <v>5251.02</v>
      </c>
      <c r="AZ388">
        <v>4234.5</v>
      </c>
      <c r="BA388">
        <v>1753</v>
      </c>
      <c r="BB388">
        <v>417</v>
      </c>
      <c r="BC388" t="str">
        <f t="shared" si="12"/>
        <v>u=0%, k=2x10^7</v>
      </c>
      <c r="BD388">
        <f t="shared" si="13"/>
        <v>2</v>
      </c>
    </row>
    <row r="389" spans="1:56">
      <c r="A389" t="s">
        <v>762</v>
      </c>
      <c r="B389" t="s">
        <v>305</v>
      </c>
      <c r="D389" t="s">
        <v>64</v>
      </c>
      <c r="E389" t="s">
        <v>59</v>
      </c>
      <c r="F389" t="s">
        <v>60</v>
      </c>
      <c r="G389">
        <v>4000</v>
      </c>
      <c r="H389">
        <v>0</v>
      </c>
      <c r="I389">
        <v>0</v>
      </c>
      <c r="J389">
        <v>0</v>
      </c>
      <c r="K389">
        <v>1</v>
      </c>
      <c r="L389">
        <v>20000000</v>
      </c>
      <c r="M389">
        <v>190</v>
      </c>
      <c r="N389">
        <v>190</v>
      </c>
      <c r="O389">
        <v>190</v>
      </c>
      <c r="P389">
        <v>0</v>
      </c>
      <c r="Q389" t="s">
        <v>61</v>
      </c>
      <c r="R389">
        <v>99984934030931</v>
      </c>
      <c r="S389">
        <v>10000000</v>
      </c>
      <c r="T389">
        <v>99984934030931</v>
      </c>
      <c r="U389">
        <v>10000000</v>
      </c>
      <c r="V389" t="s">
        <v>71</v>
      </c>
      <c r="W389">
        <v>61</v>
      </c>
      <c r="X389">
        <v>9999999</v>
      </c>
      <c r="Y389">
        <v>10000000</v>
      </c>
      <c r="Z389">
        <v>19999999</v>
      </c>
      <c r="AA389">
        <v>10000000</v>
      </c>
      <c r="AB389">
        <v>2</v>
      </c>
      <c r="AC389">
        <v>1</v>
      </c>
      <c r="AD389">
        <v>1.5</v>
      </c>
      <c r="AE389">
        <v>31.275300000000001</v>
      </c>
      <c r="AF389">
        <v>639999968</v>
      </c>
      <c r="AJ389" t="s">
        <v>763</v>
      </c>
      <c r="AM389">
        <v>404357373</v>
      </c>
      <c r="AN389">
        <v>0</v>
      </c>
      <c r="AO389">
        <v>0</v>
      </c>
      <c r="AP389">
        <v>404357373</v>
      </c>
      <c r="AQ389">
        <v>404357373</v>
      </c>
      <c r="AR389">
        <v>101089343</v>
      </c>
      <c r="AS389">
        <v>0</v>
      </c>
      <c r="AT389">
        <v>0</v>
      </c>
      <c r="AU389">
        <v>101089343</v>
      </c>
      <c r="AV389">
        <v>101089343</v>
      </c>
      <c r="AW389">
        <v>24.798999999999999</v>
      </c>
      <c r="AX389">
        <v>9.9592200000000002</v>
      </c>
      <c r="AY389">
        <v>5229.7700000000004</v>
      </c>
      <c r="AZ389">
        <v>4220.1400000000003</v>
      </c>
      <c r="BA389">
        <v>1754</v>
      </c>
      <c r="BB389">
        <v>407</v>
      </c>
      <c r="BC389" t="str">
        <f t="shared" si="12"/>
        <v>u=0%, k=2x10^7</v>
      </c>
      <c r="BD389">
        <f t="shared" si="13"/>
        <v>4</v>
      </c>
    </row>
    <row r="390" spans="1:56">
      <c r="A390" t="s">
        <v>764</v>
      </c>
      <c r="B390" t="s">
        <v>305</v>
      </c>
      <c r="D390" t="s">
        <v>64</v>
      </c>
      <c r="E390" t="s">
        <v>59</v>
      </c>
      <c r="F390" t="s">
        <v>60</v>
      </c>
      <c r="G390">
        <v>8000</v>
      </c>
      <c r="H390">
        <v>0</v>
      </c>
      <c r="I390">
        <v>0</v>
      </c>
      <c r="J390">
        <v>0</v>
      </c>
      <c r="K390">
        <v>1</v>
      </c>
      <c r="L390">
        <v>20000000</v>
      </c>
      <c r="M390">
        <v>190</v>
      </c>
      <c r="N390">
        <v>190</v>
      </c>
      <c r="O390">
        <v>190</v>
      </c>
      <c r="P390">
        <v>0</v>
      </c>
      <c r="Q390" t="s">
        <v>61</v>
      </c>
      <c r="R390">
        <v>100005116866607</v>
      </c>
      <c r="S390">
        <v>10000000</v>
      </c>
      <c r="T390">
        <v>100005116866607</v>
      </c>
      <c r="U390">
        <v>10000000</v>
      </c>
      <c r="V390" t="s">
        <v>71</v>
      </c>
      <c r="W390">
        <v>62</v>
      </c>
      <c r="X390">
        <v>9999999</v>
      </c>
      <c r="Y390">
        <v>10000000</v>
      </c>
      <c r="Z390">
        <v>19999999</v>
      </c>
      <c r="AA390">
        <v>10000000</v>
      </c>
      <c r="AB390">
        <v>2</v>
      </c>
      <c r="AC390">
        <v>1</v>
      </c>
      <c r="AD390">
        <v>1.5</v>
      </c>
      <c r="AE390">
        <v>31.7333</v>
      </c>
      <c r="AF390">
        <v>639999968</v>
      </c>
      <c r="AJ390" t="s">
        <v>765</v>
      </c>
      <c r="AM390">
        <v>815397036</v>
      </c>
      <c r="AN390">
        <v>0</v>
      </c>
      <c r="AO390">
        <v>0</v>
      </c>
      <c r="AP390">
        <v>815397036</v>
      </c>
      <c r="AQ390">
        <v>815397036</v>
      </c>
      <c r="AR390">
        <v>101924629</v>
      </c>
      <c r="AS390">
        <v>0</v>
      </c>
      <c r="AT390">
        <v>0</v>
      </c>
      <c r="AU390">
        <v>101924629</v>
      </c>
      <c r="AV390">
        <v>101924629</v>
      </c>
      <c r="AW390">
        <v>24.705100000000002</v>
      </c>
      <c r="AX390">
        <v>10.0365</v>
      </c>
      <c r="AY390">
        <v>5183.43</v>
      </c>
      <c r="AZ390">
        <v>4180</v>
      </c>
      <c r="BA390">
        <v>1753</v>
      </c>
      <c r="BB390">
        <v>429</v>
      </c>
      <c r="BC390" t="str">
        <f t="shared" si="12"/>
        <v>u=0%, k=2x10^7</v>
      </c>
      <c r="BD390">
        <f t="shared" si="13"/>
        <v>8</v>
      </c>
    </row>
    <row r="391" spans="1:56">
      <c r="A391" t="s">
        <v>766</v>
      </c>
      <c r="B391" t="s">
        <v>305</v>
      </c>
      <c r="D391" t="s">
        <v>64</v>
      </c>
      <c r="E391" t="s">
        <v>59</v>
      </c>
      <c r="F391" t="s">
        <v>60</v>
      </c>
      <c r="G391">
        <v>16000</v>
      </c>
      <c r="H391">
        <v>0</v>
      </c>
      <c r="I391">
        <v>0</v>
      </c>
      <c r="J391">
        <v>0</v>
      </c>
      <c r="K391">
        <v>1</v>
      </c>
      <c r="L391">
        <v>20000000</v>
      </c>
      <c r="M391">
        <v>190</v>
      </c>
      <c r="N391">
        <v>190</v>
      </c>
      <c r="O391">
        <v>190</v>
      </c>
      <c r="P391">
        <v>0</v>
      </c>
      <c r="Q391" t="s">
        <v>61</v>
      </c>
      <c r="R391">
        <v>100006671529995</v>
      </c>
      <c r="S391">
        <v>10000000</v>
      </c>
      <c r="T391">
        <v>100006671529995</v>
      </c>
      <c r="U391">
        <v>10000000</v>
      </c>
      <c r="V391" t="s">
        <v>71</v>
      </c>
      <c r="W391">
        <v>58</v>
      </c>
      <c r="X391">
        <v>9999999</v>
      </c>
      <c r="Y391">
        <v>10000000</v>
      </c>
      <c r="Z391">
        <v>19999999</v>
      </c>
      <c r="AA391">
        <v>10000000</v>
      </c>
      <c r="AB391">
        <v>2</v>
      </c>
      <c r="AC391">
        <v>1</v>
      </c>
      <c r="AD391">
        <v>1.5</v>
      </c>
      <c r="AE391">
        <v>31.138200000000001</v>
      </c>
      <c r="AF391">
        <v>639999968</v>
      </c>
      <c r="AJ391" t="s">
        <v>767</v>
      </c>
      <c r="AM391">
        <v>1639060215</v>
      </c>
      <c r="AN391">
        <v>0</v>
      </c>
      <c r="AO391">
        <v>0</v>
      </c>
      <c r="AP391">
        <v>1639060215</v>
      </c>
      <c r="AQ391">
        <v>1639060215</v>
      </c>
      <c r="AR391">
        <v>102441263</v>
      </c>
      <c r="AS391">
        <v>0</v>
      </c>
      <c r="AT391">
        <v>0</v>
      </c>
      <c r="AU391">
        <v>102441263</v>
      </c>
      <c r="AV391">
        <v>102441263</v>
      </c>
      <c r="AW391">
        <v>24.8429</v>
      </c>
      <c r="AX391">
        <v>10.076700000000001</v>
      </c>
      <c r="AY391">
        <v>5162.67</v>
      </c>
      <c r="AZ391">
        <v>4168.68</v>
      </c>
      <c r="BA391">
        <v>1754</v>
      </c>
      <c r="BB391">
        <v>413</v>
      </c>
      <c r="BC391" t="str">
        <f t="shared" si="12"/>
        <v>u=0%, k=2x10^7</v>
      </c>
      <c r="BD391">
        <f t="shared" si="13"/>
        <v>16</v>
      </c>
    </row>
    <row r="392" spans="1:56">
      <c r="A392" t="s">
        <v>768</v>
      </c>
      <c r="B392" t="s">
        <v>305</v>
      </c>
      <c r="D392" t="s">
        <v>64</v>
      </c>
      <c r="E392" t="s">
        <v>59</v>
      </c>
      <c r="F392" t="s">
        <v>60</v>
      </c>
      <c r="G392">
        <v>32000</v>
      </c>
      <c r="H392">
        <v>0</v>
      </c>
      <c r="I392">
        <v>0</v>
      </c>
      <c r="J392">
        <v>0</v>
      </c>
      <c r="K392">
        <v>1</v>
      </c>
      <c r="L392">
        <v>20000000</v>
      </c>
      <c r="M392">
        <v>190</v>
      </c>
      <c r="N392">
        <v>190</v>
      </c>
      <c r="O392">
        <v>190</v>
      </c>
      <c r="P392">
        <v>0</v>
      </c>
      <c r="Q392" t="s">
        <v>61</v>
      </c>
      <c r="R392">
        <v>99994543969199</v>
      </c>
      <c r="S392">
        <v>10000000</v>
      </c>
      <c r="T392">
        <v>99994543969199</v>
      </c>
      <c r="U392">
        <v>10000000</v>
      </c>
      <c r="V392" t="s">
        <v>71</v>
      </c>
      <c r="W392">
        <v>63</v>
      </c>
      <c r="X392">
        <v>9999999</v>
      </c>
      <c r="Y392">
        <v>10000000</v>
      </c>
      <c r="Z392">
        <v>19999999</v>
      </c>
      <c r="AA392">
        <v>10000000</v>
      </c>
      <c r="AB392">
        <v>2</v>
      </c>
      <c r="AC392">
        <v>1</v>
      </c>
      <c r="AD392">
        <v>1.5</v>
      </c>
      <c r="AE392">
        <v>30.6846</v>
      </c>
      <c r="AF392">
        <v>639999968</v>
      </c>
      <c r="AJ392" t="s">
        <v>769</v>
      </c>
      <c r="AM392">
        <v>3286252043</v>
      </c>
      <c r="AN392">
        <v>0</v>
      </c>
      <c r="AO392">
        <v>0</v>
      </c>
      <c r="AP392">
        <v>3286252043</v>
      </c>
      <c r="AQ392">
        <v>3286252043</v>
      </c>
      <c r="AR392">
        <v>102695376</v>
      </c>
      <c r="AS392">
        <v>0</v>
      </c>
      <c r="AT392">
        <v>0</v>
      </c>
      <c r="AU392">
        <v>102695376</v>
      </c>
      <c r="AV392">
        <v>102695376</v>
      </c>
      <c r="AW392">
        <v>24.792899999999999</v>
      </c>
      <c r="AX392">
        <v>10.104900000000001</v>
      </c>
      <c r="AY392">
        <v>5149.6899999999996</v>
      </c>
      <c r="AZ392">
        <v>4160.49</v>
      </c>
      <c r="BA392">
        <v>1754</v>
      </c>
      <c r="BB392">
        <v>418</v>
      </c>
      <c r="BC392" t="str">
        <f t="shared" si="12"/>
        <v>u=0%, k=2x10^7</v>
      </c>
      <c r="BD392">
        <f t="shared" si="13"/>
        <v>32</v>
      </c>
    </row>
    <row r="393" spans="1:56">
      <c r="A393" t="s">
        <v>770</v>
      </c>
      <c r="B393" t="s">
        <v>305</v>
      </c>
      <c r="D393" t="s">
        <v>64</v>
      </c>
      <c r="E393" t="s">
        <v>59</v>
      </c>
      <c r="F393" t="s">
        <v>60</v>
      </c>
      <c r="G393">
        <v>64000</v>
      </c>
      <c r="H393">
        <v>0</v>
      </c>
      <c r="I393">
        <v>0</v>
      </c>
      <c r="J393">
        <v>0</v>
      </c>
      <c r="K393">
        <v>1</v>
      </c>
      <c r="L393">
        <v>20000000</v>
      </c>
      <c r="M393">
        <v>190</v>
      </c>
      <c r="N393">
        <v>190</v>
      </c>
      <c r="O393">
        <v>190</v>
      </c>
      <c r="P393">
        <v>0</v>
      </c>
      <c r="Q393" t="s">
        <v>61</v>
      </c>
      <c r="R393">
        <v>99992487906925</v>
      </c>
      <c r="S393">
        <v>10000000</v>
      </c>
      <c r="T393">
        <v>99992487906925</v>
      </c>
      <c r="U393">
        <v>10000000</v>
      </c>
      <c r="V393" t="s">
        <v>71</v>
      </c>
      <c r="W393">
        <v>61</v>
      </c>
      <c r="X393">
        <v>9999999</v>
      </c>
      <c r="Y393">
        <v>10000000</v>
      </c>
      <c r="Z393">
        <v>19999999</v>
      </c>
      <c r="AA393">
        <v>10000000</v>
      </c>
      <c r="AB393">
        <v>2</v>
      </c>
      <c r="AC393">
        <v>1</v>
      </c>
      <c r="AD393">
        <v>1.5</v>
      </c>
      <c r="AE393">
        <v>31.3886</v>
      </c>
      <c r="AF393">
        <v>639999968</v>
      </c>
      <c r="AJ393" t="s">
        <v>771</v>
      </c>
      <c r="AM393">
        <v>6582738508</v>
      </c>
      <c r="AN393">
        <v>0</v>
      </c>
      <c r="AO393">
        <v>0</v>
      </c>
      <c r="AP393">
        <v>6582738508</v>
      </c>
      <c r="AQ393">
        <v>6582738508</v>
      </c>
      <c r="AR393">
        <v>102855289</v>
      </c>
      <c r="AS393">
        <v>0</v>
      </c>
      <c r="AT393">
        <v>0</v>
      </c>
      <c r="AU393">
        <v>102855289</v>
      </c>
      <c r="AV393">
        <v>102855289</v>
      </c>
      <c r="AW393">
        <v>24.725899999999999</v>
      </c>
      <c r="AX393">
        <v>10.108599999999999</v>
      </c>
      <c r="AY393">
        <v>5141.67</v>
      </c>
      <c r="AZ393">
        <v>4147.88</v>
      </c>
      <c r="BA393">
        <v>1754</v>
      </c>
      <c r="BB393">
        <v>405</v>
      </c>
      <c r="BC393" t="str">
        <f t="shared" si="12"/>
        <v>u=0%, k=2x10^7</v>
      </c>
      <c r="BD393">
        <f t="shared" si="13"/>
        <v>64</v>
      </c>
    </row>
    <row r="394" spans="1:56">
      <c r="A394" t="s">
        <v>772</v>
      </c>
      <c r="B394" t="s">
        <v>63</v>
      </c>
      <c r="C394">
        <v>72</v>
      </c>
      <c r="D394" t="s">
        <v>64</v>
      </c>
      <c r="E394" t="s">
        <v>59</v>
      </c>
      <c r="F394" t="s">
        <v>60</v>
      </c>
      <c r="G394">
        <v>1000</v>
      </c>
      <c r="H394">
        <v>0</v>
      </c>
      <c r="I394">
        <v>0</v>
      </c>
      <c r="J394">
        <v>0</v>
      </c>
      <c r="K394">
        <v>1</v>
      </c>
      <c r="L394">
        <v>200000000</v>
      </c>
      <c r="M394">
        <v>190</v>
      </c>
      <c r="N394">
        <v>190</v>
      </c>
      <c r="O394">
        <v>190</v>
      </c>
      <c r="P394">
        <v>0</v>
      </c>
      <c r="Q394" t="s">
        <v>61</v>
      </c>
      <c r="R394">
        <v>1.00000052454126E+16</v>
      </c>
      <c r="S394">
        <v>100000001</v>
      </c>
      <c r="T394">
        <v>1.00000052454126E+16</v>
      </c>
      <c r="U394">
        <v>100000001</v>
      </c>
      <c r="V394" t="s">
        <v>71</v>
      </c>
      <c r="W394">
        <v>6</v>
      </c>
      <c r="X394">
        <v>11011103</v>
      </c>
      <c r="Y394">
        <v>110001001</v>
      </c>
      <c r="Z394">
        <v>121012104</v>
      </c>
      <c r="AA394">
        <v>100000001</v>
      </c>
      <c r="AB394">
        <v>10.99</v>
      </c>
      <c r="AC394">
        <v>0.90908299999999997</v>
      </c>
      <c r="AD394">
        <v>1.82636</v>
      </c>
      <c r="AE394">
        <v>4</v>
      </c>
      <c r="AF394">
        <v>2640904240</v>
      </c>
      <c r="AJ394">
        <v>1242</v>
      </c>
      <c r="AM394">
        <v>205718696</v>
      </c>
      <c r="AN394">
        <v>0</v>
      </c>
      <c r="AO394">
        <v>0</v>
      </c>
      <c r="AP394">
        <v>205718696</v>
      </c>
      <c r="AQ394">
        <v>205718696</v>
      </c>
      <c r="AR394">
        <v>205718696</v>
      </c>
      <c r="AS394">
        <v>0</v>
      </c>
      <c r="AT394">
        <v>0</v>
      </c>
      <c r="AU394">
        <v>205718696</v>
      </c>
      <c r="AV394">
        <v>205718696</v>
      </c>
      <c r="AW394">
        <v>18.851500000000001</v>
      </c>
      <c r="AX394">
        <v>8.7280200000000008</v>
      </c>
      <c r="AY394">
        <v>2569.83</v>
      </c>
      <c r="AZ394">
        <v>1819.52</v>
      </c>
      <c r="BA394">
        <v>7356</v>
      </c>
      <c r="BB394">
        <v>1049</v>
      </c>
      <c r="BC394" t="str">
        <f t="shared" si="12"/>
        <v>u=0%, k=2x10^8</v>
      </c>
      <c r="BD394">
        <f t="shared" si="13"/>
        <v>1</v>
      </c>
    </row>
    <row r="395" spans="1:56">
      <c r="A395" t="s">
        <v>773</v>
      </c>
      <c r="B395" t="s">
        <v>63</v>
      </c>
      <c r="C395">
        <v>72</v>
      </c>
      <c r="D395" t="s">
        <v>64</v>
      </c>
      <c r="E395" t="s">
        <v>59</v>
      </c>
      <c r="F395" t="s">
        <v>60</v>
      </c>
      <c r="G395">
        <v>2000</v>
      </c>
      <c r="H395">
        <v>0</v>
      </c>
      <c r="I395">
        <v>0</v>
      </c>
      <c r="J395">
        <v>0</v>
      </c>
      <c r="K395">
        <v>1</v>
      </c>
      <c r="L395">
        <v>200000000</v>
      </c>
      <c r="M395">
        <v>190</v>
      </c>
      <c r="N395">
        <v>190</v>
      </c>
      <c r="O395">
        <v>190</v>
      </c>
      <c r="P395">
        <v>0</v>
      </c>
      <c r="Q395" t="s">
        <v>61</v>
      </c>
      <c r="R395">
        <v>1.00000541446654E+16</v>
      </c>
      <c r="S395">
        <v>100000001</v>
      </c>
      <c r="T395">
        <v>1.00000541446654E+16</v>
      </c>
      <c r="U395">
        <v>100000001</v>
      </c>
      <c r="V395" t="s">
        <v>71</v>
      </c>
      <c r="W395">
        <v>6</v>
      </c>
      <c r="X395">
        <v>11011103</v>
      </c>
      <c r="Y395">
        <v>110001001</v>
      </c>
      <c r="Z395">
        <v>121012104</v>
      </c>
      <c r="AA395">
        <v>100000001</v>
      </c>
      <c r="AB395">
        <v>10.99</v>
      </c>
      <c r="AC395">
        <v>0.90908299999999997</v>
      </c>
      <c r="AD395">
        <v>1.82636</v>
      </c>
      <c r="AE395">
        <v>4</v>
      </c>
      <c r="AF395">
        <v>2640904240</v>
      </c>
      <c r="AJ395">
        <v>2506</v>
      </c>
      <c r="AM395">
        <v>411334342</v>
      </c>
      <c r="AN395">
        <v>0</v>
      </c>
      <c r="AO395">
        <v>0</v>
      </c>
      <c r="AP395">
        <v>411334342</v>
      </c>
      <c r="AQ395">
        <v>411334342</v>
      </c>
      <c r="AR395">
        <v>205667171</v>
      </c>
      <c r="AS395">
        <v>0</v>
      </c>
      <c r="AT395">
        <v>0</v>
      </c>
      <c r="AU395">
        <v>205667171</v>
      </c>
      <c r="AV395">
        <v>205667171</v>
      </c>
      <c r="AW395">
        <v>18.796099999999999</v>
      </c>
      <c r="AX395">
        <v>8.7989999999999995</v>
      </c>
      <c r="AY395">
        <v>2569.33</v>
      </c>
      <c r="AZ395">
        <v>1816.78</v>
      </c>
      <c r="BA395">
        <v>7356</v>
      </c>
      <c r="BB395">
        <v>1146</v>
      </c>
      <c r="BC395" t="str">
        <f t="shared" si="12"/>
        <v>u=0%, k=2x10^8</v>
      </c>
      <c r="BD395">
        <f t="shared" si="13"/>
        <v>2</v>
      </c>
    </row>
    <row r="396" spans="1:56">
      <c r="A396" t="s">
        <v>774</v>
      </c>
      <c r="B396" t="s">
        <v>63</v>
      </c>
      <c r="C396">
        <v>72</v>
      </c>
      <c r="D396" t="s">
        <v>64</v>
      </c>
      <c r="E396" t="s">
        <v>59</v>
      </c>
      <c r="F396" t="s">
        <v>60</v>
      </c>
      <c r="G396">
        <v>4000</v>
      </c>
      <c r="H396">
        <v>0</v>
      </c>
      <c r="I396">
        <v>0</v>
      </c>
      <c r="J396">
        <v>0</v>
      </c>
      <c r="K396">
        <v>1</v>
      </c>
      <c r="L396">
        <v>200000000</v>
      </c>
      <c r="M396">
        <v>190</v>
      </c>
      <c r="N396">
        <v>190</v>
      </c>
      <c r="O396">
        <v>190</v>
      </c>
      <c r="P396">
        <v>0</v>
      </c>
      <c r="Q396" t="s">
        <v>61</v>
      </c>
      <c r="R396">
        <v>9999836967999850</v>
      </c>
      <c r="S396">
        <v>100000001</v>
      </c>
      <c r="T396">
        <v>9999836967999850</v>
      </c>
      <c r="U396">
        <v>100000001</v>
      </c>
      <c r="V396" t="s">
        <v>71</v>
      </c>
      <c r="W396">
        <v>6</v>
      </c>
      <c r="X396">
        <v>11011103</v>
      </c>
      <c r="Y396">
        <v>110001001</v>
      </c>
      <c r="Z396">
        <v>121012104</v>
      </c>
      <c r="AA396">
        <v>100000001</v>
      </c>
      <c r="AB396">
        <v>10.99</v>
      </c>
      <c r="AC396">
        <v>0.90908299999999997</v>
      </c>
      <c r="AD396">
        <v>1.82636</v>
      </c>
      <c r="AE396">
        <v>4</v>
      </c>
      <c r="AF396">
        <v>2640904240</v>
      </c>
      <c r="AJ396">
        <v>5024</v>
      </c>
      <c r="AM396">
        <v>823828677</v>
      </c>
      <c r="AN396">
        <v>0</v>
      </c>
      <c r="AO396">
        <v>0</v>
      </c>
      <c r="AP396">
        <v>823828677</v>
      </c>
      <c r="AQ396">
        <v>823828677</v>
      </c>
      <c r="AR396">
        <v>205957169</v>
      </c>
      <c r="AS396">
        <v>0</v>
      </c>
      <c r="AT396">
        <v>0</v>
      </c>
      <c r="AU396">
        <v>205957169</v>
      </c>
      <c r="AV396">
        <v>205957169</v>
      </c>
      <c r="AW396">
        <v>18.793199999999999</v>
      </c>
      <c r="AX396">
        <v>8.8867399999999996</v>
      </c>
      <c r="AY396">
        <v>2564.84</v>
      </c>
      <c r="AZ396">
        <v>1819.3</v>
      </c>
      <c r="BA396">
        <v>7351</v>
      </c>
      <c r="BB396">
        <v>1061</v>
      </c>
      <c r="BC396" t="str">
        <f t="shared" si="12"/>
        <v>u=0%, k=2x10^8</v>
      </c>
      <c r="BD396">
        <f t="shared" si="13"/>
        <v>4</v>
      </c>
    </row>
    <row r="397" spans="1:56">
      <c r="A397" t="s">
        <v>775</v>
      </c>
      <c r="B397" t="s">
        <v>63</v>
      </c>
      <c r="C397">
        <v>72</v>
      </c>
      <c r="D397" t="s">
        <v>64</v>
      </c>
      <c r="E397" t="s">
        <v>59</v>
      </c>
      <c r="F397" t="s">
        <v>60</v>
      </c>
      <c r="G397">
        <v>8000</v>
      </c>
      <c r="H397">
        <v>0</v>
      </c>
      <c r="I397">
        <v>0</v>
      </c>
      <c r="J397">
        <v>0</v>
      </c>
      <c r="K397">
        <v>1</v>
      </c>
      <c r="L397">
        <v>200000000</v>
      </c>
      <c r="M397">
        <v>190</v>
      </c>
      <c r="N397">
        <v>190</v>
      </c>
      <c r="O397">
        <v>190</v>
      </c>
      <c r="P397">
        <v>0</v>
      </c>
      <c r="Q397" t="s">
        <v>61</v>
      </c>
      <c r="R397">
        <v>9999850980070260</v>
      </c>
      <c r="S397">
        <v>100000001</v>
      </c>
      <c r="T397">
        <v>9999850980070260</v>
      </c>
      <c r="U397">
        <v>100000001</v>
      </c>
      <c r="V397" t="s">
        <v>71</v>
      </c>
      <c r="W397">
        <v>6</v>
      </c>
      <c r="X397">
        <v>11011103</v>
      </c>
      <c r="Y397">
        <v>110001001</v>
      </c>
      <c r="Z397">
        <v>121012104</v>
      </c>
      <c r="AA397">
        <v>100000001</v>
      </c>
      <c r="AB397">
        <v>10.99</v>
      </c>
      <c r="AC397">
        <v>0.90908299999999997</v>
      </c>
      <c r="AD397">
        <v>1.82636</v>
      </c>
      <c r="AE397">
        <v>4</v>
      </c>
      <c r="AF397">
        <v>2640904240</v>
      </c>
      <c r="AJ397">
        <v>10088</v>
      </c>
      <c r="AM397">
        <v>1645063772</v>
      </c>
      <c r="AN397">
        <v>0</v>
      </c>
      <c r="AO397">
        <v>0</v>
      </c>
      <c r="AP397">
        <v>1645063772</v>
      </c>
      <c r="AQ397">
        <v>1645063772</v>
      </c>
      <c r="AR397">
        <v>205632971</v>
      </c>
      <c r="AS397">
        <v>0</v>
      </c>
      <c r="AT397">
        <v>0</v>
      </c>
      <c r="AU397">
        <v>205632971</v>
      </c>
      <c r="AV397">
        <v>205632971</v>
      </c>
      <c r="AW397">
        <v>18.7484</v>
      </c>
      <c r="AX397">
        <v>9.0094499999999993</v>
      </c>
      <c r="AY397">
        <v>2568.0500000000002</v>
      </c>
      <c r="AZ397">
        <v>1815.44</v>
      </c>
      <c r="BA397">
        <v>7351</v>
      </c>
      <c r="BB397">
        <v>1092</v>
      </c>
      <c r="BC397" t="str">
        <f t="shared" si="12"/>
        <v>u=0%, k=2x10^8</v>
      </c>
      <c r="BD397">
        <f t="shared" si="13"/>
        <v>8</v>
      </c>
    </row>
    <row r="398" spans="1:56">
      <c r="A398" t="s">
        <v>776</v>
      </c>
      <c r="B398" t="s">
        <v>63</v>
      </c>
      <c r="C398">
        <v>72</v>
      </c>
      <c r="D398" t="s">
        <v>64</v>
      </c>
      <c r="E398" t="s">
        <v>59</v>
      </c>
      <c r="F398" t="s">
        <v>60</v>
      </c>
      <c r="G398">
        <v>16000</v>
      </c>
      <c r="H398">
        <v>0</v>
      </c>
      <c r="I398">
        <v>0</v>
      </c>
      <c r="J398">
        <v>0</v>
      </c>
      <c r="K398">
        <v>1</v>
      </c>
      <c r="L398">
        <v>200000000</v>
      </c>
      <c r="M398">
        <v>190</v>
      </c>
      <c r="N398">
        <v>190</v>
      </c>
      <c r="O398">
        <v>190</v>
      </c>
      <c r="P398">
        <v>0</v>
      </c>
      <c r="Q398" t="s">
        <v>61</v>
      </c>
      <c r="R398">
        <v>1.00001881464627E+16</v>
      </c>
      <c r="S398">
        <v>100000001</v>
      </c>
      <c r="T398">
        <v>1.00001881464627E+16</v>
      </c>
      <c r="U398">
        <v>100000001</v>
      </c>
      <c r="V398" t="s">
        <v>71</v>
      </c>
      <c r="W398">
        <v>6</v>
      </c>
      <c r="X398">
        <v>11011103</v>
      </c>
      <c r="Y398">
        <v>110001001</v>
      </c>
      <c r="Z398">
        <v>121012104</v>
      </c>
      <c r="AA398">
        <v>100000001</v>
      </c>
      <c r="AB398">
        <v>10.99</v>
      </c>
      <c r="AC398">
        <v>0.90908299999999997</v>
      </c>
      <c r="AD398">
        <v>1.82636</v>
      </c>
      <c r="AE398">
        <v>4</v>
      </c>
      <c r="AF398">
        <v>2640904240</v>
      </c>
      <c r="AJ398">
        <v>20220</v>
      </c>
      <c r="AM398">
        <v>3289665796</v>
      </c>
      <c r="AN398">
        <v>0</v>
      </c>
      <c r="AO398">
        <v>0</v>
      </c>
      <c r="AP398">
        <v>3289665796</v>
      </c>
      <c r="AQ398">
        <v>3289665796</v>
      </c>
      <c r="AR398">
        <v>205604112</v>
      </c>
      <c r="AS398">
        <v>0</v>
      </c>
      <c r="AT398">
        <v>0</v>
      </c>
      <c r="AU398">
        <v>205604112</v>
      </c>
      <c r="AV398">
        <v>205604112</v>
      </c>
      <c r="AW398">
        <v>18.844100000000001</v>
      </c>
      <c r="AX398">
        <v>9.1477900000000005</v>
      </c>
      <c r="AY398">
        <v>2566.9</v>
      </c>
      <c r="AZ398">
        <v>1808.19</v>
      </c>
      <c r="BA398">
        <v>7355</v>
      </c>
      <c r="BB398">
        <v>1084</v>
      </c>
      <c r="BC398" t="str">
        <f t="shared" si="12"/>
        <v>u=0%, k=2x10^8</v>
      </c>
      <c r="BD398">
        <f t="shared" si="13"/>
        <v>16</v>
      </c>
    </row>
    <row r="399" spans="1:56">
      <c r="A399" t="s">
        <v>777</v>
      </c>
      <c r="B399" t="s">
        <v>63</v>
      </c>
      <c r="C399">
        <v>72</v>
      </c>
      <c r="D399" t="s">
        <v>64</v>
      </c>
      <c r="E399" t="s">
        <v>59</v>
      </c>
      <c r="F399" t="s">
        <v>60</v>
      </c>
      <c r="G399">
        <v>32000</v>
      </c>
      <c r="H399">
        <v>0</v>
      </c>
      <c r="I399">
        <v>0</v>
      </c>
      <c r="J399">
        <v>0</v>
      </c>
      <c r="K399">
        <v>1</v>
      </c>
      <c r="L399">
        <v>200000000</v>
      </c>
      <c r="M399">
        <v>190</v>
      </c>
      <c r="N399">
        <v>190</v>
      </c>
      <c r="O399">
        <v>190</v>
      </c>
      <c r="P399">
        <v>0</v>
      </c>
      <c r="Q399" t="s">
        <v>61</v>
      </c>
      <c r="R399">
        <v>1.00005020699171E+16</v>
      </c>
      <c r="S399">
        <v>100000001</v>
      </c>
      <c r="T399">
        <v>1.00005020699171E+16</v>
      </c>
      <c r="U399">
        <v>100000001</v>
      </c>
      <c r="V399" t="s">
        <v>71</v>
      </c>
      <c r="W399">
        <v>6</v>
      </c>
      <c r="X399">
        <v>11011103</v>
      </c>
      <c r="Y399">
        <v>110001001</v>
      </c>
      <c r="Z399">
        <v>121012104</v>
      </c>
      <c r="AA399">
        <v>100000001</v>
      </c>
      <c r="AB399">
        <v>10.99</v>
      </c>
      <c r="AC399">
        <v>0.90908299999999997</v>
      </c>
      <c r="AD399">
        <v>1.82636</v>
      </c>
      <c r="AE399">
        <v>4</v>
      </c>
      <c r="AF399">
        <v>2640904240</v>
      </c>
      <c r="AJ399">
        <v>40236</v>
      </c>
      <c r="AM399">
        <v>6556455904</v>
      </c>
      <c r="AN399">
        <v>0</v>
      </c>
      <c r="AO399">
        <v>0</v>
      </c>
      <c r="AP399">
        <v>6556455904</v>
      </c>
      <c r="AQ399">
        <v>6556455904</v>
      </c>
      <c r="AR399">
        <v>204889247</v>
      </c>
      <c r="AS399">
        <v>0</v>
      </c>
      <c r="AT399">
        <v>0</v>
      </c>
      <c r="AU399">
        <v>204889247</v>
      </c>
      <c r="AV399">
        <v>204889247</v>
      </c>
      <c r="AW399">
        <v>18.795100000000001</v>
      </c>
      <c r="AX399">
        <v>9.2699800000000003</v>
      </c>
      <c r="AY399">
        <v>2574.11</v>
      </c>
      <c r="AZ399">
        <v>1804.4</v>
      </c>
      <c r="BA399">
        <v>7352</v>
      </c>
      <c r="BB399">
        <v>1119</v>
      </c>
      <c r="BC399" t="str">
        <f t="shared" si="12"/>
        <v>u=0%, k=2x10^8</v>
      </c>
      <c r="BD399">
        <f t="shared" si="13"/>
        <v>32</v>
      </c>
    </row>
    <row r="400" spans="1:56">
      <c r="A400" t="s">
        <v>778</v>
      </c>
      <c r="B400" t="s">
        <v>63</v>
      </c>
      <c r="C400">
        <v>72</v>
      </c>
      <c r="D400" t="s">
        <v>64</v>
      </c>
      <c r="E400" t="s">
        <v>59</v>
      </c>
      <c r="F400" t="s">
        <v>60</v>
      </c>
      <c r="G400">
        <v>64000</v>
      </c>
      <c r="H400">
        <v>0</v>
      </c>
      <c r="I400">
        <v>0</v>
      </c>
      <c r="J400">
        <v>0</v>
      </c>
      <c r="K400">
        <v>1</v>
      </c>
      <c r="L400">
        <v>200000000</v>
      </c>
      <c r="M400">
        <v>190</v>
      </c>
      <c r="N400">
        <v>190</v>
      </c>
      <c r="O400">
        <v>190</v>
      </c>
      <c r="P400">
        <v>0</v>
      </c>
      <c r="Q400" t="s">
        <v>61</v>
      </c>
      <c r="R400">
        <v>1.0000268188034E+16</v>
      </c>
      <c r="S400">
        <v>100000001</v>
      </c>
      <c r="T400">
        <v>1.0000268188034E+16</v>
      </c>
      <c r="U400">
        <v>100000001</v>
      </c>
      <c r="V400" t="s">
        <v>71</v>
      </c>
      <c r="W400">
        <v>6</v>
      </c>
      <c r="X400">
        <v>11011103</v>
      </c>
      <c r="Y400">
        <v>110001001</v>
      </c>
      <c r="Z400">
        <v>121012104</v>
      </c>
      <c r="AA400">
        <v>100000001</v>
      </c>
      <c r="AB400">
        <v>10.99</v>
      </c>
      <c r="AC400">
        <v>0.90908299999999997</v>
      </c>
      <c r="AD400">
        <v>1.82636</v>
      </c>
      <c r="AE400">
        <v>4</v>
      </c>
      <c r="AF400">
        <v>2640904240</v>
      </c>
      <c r="AJ400">
        <v>80586</v>
      </c>
      <c r="AM400">
        <v>13166194024</v>
      </c>
      <c r="AN400">
        <v>0</v>
      </c>
      <c r="AO400">
        <v>0</v>
      </c>
      <c r="AP400">
        <v>13166194024</v>
      </c>
      <c r="AQ400">
        <v>13166194024</v>
      </c>
      <c r="AR400">
        <v>205721781</v>
      </c>
      <c r="AS400">
        <v>0</v>
      </c>
      <c r="AT400">
        <v>0</v>
      </c>
      <c r="AU400">
        <v>205721781</v>
      </c>
      <c r="AV400">
        <v>205721781</v>
      </c>
      <c r="AW400">
        <v>18.87</v>
      </c>
      <c r="AX400">
        <v>9.3474199999999996</v>
      </c>
      <c r="AY400">
        <v>2564.8000000000002</v>
      </c>
      <c r="AZ400">
        <v>1803.93</v>
      </c>
      <c r="BA400">
        <v>7358</v>
      </c>
      <c r="BB400">
        <v>1096</v>
      </c>
      <c r="BC400" t="str">
        <f t="shared" si="12"/>
        <v>u=0%, k=2x10^8</v>
      </c>
      <c r="BD400">
        <f t="shared" si="13"/>
        <v>64</v>
      </c>
    </row>
    <row r="401" spans="1:56">
      <c r="A401" t="s">
        <v>779</v>
      </c>
      <c r="B401" t="s">
        <v>300</v>
      </c>
      <c r="C401">
        <v>208</v>
      </c>
      <c r="D401" t="s">
        <v>64</v>
      </c>
      <c r="E401" t="s">
        <v>59</v>
      </c>
      <c r="F401" t="s">
        <v>60</v>
      </c>
      <c r="G401">
        <v>1000</v>
      </c>
      <c r="H401">
        <v>0</v>
      </c>
      <c r="I401">
        <v>0</v>
      </c>
      <c r="J401">
        <v>0</v>
      </c>
      <c r="K401">
        <v>1</v>
      </c>
      <c r="L401">
        <v>200000000</v>
      </c>
      <c r="M401">
        <v>190</v>
      </c>
      <c r="N401">
        <v>190</v>
      </c>
      <c r="O401">
        <v>190</v>
      </c>
      <c r="P401">
        <v>0</v>
      </c>
      <c r="Q401" t="s">
        <v>61</v>
      </c>
      <c r="R401">
        <v>1.00002968819171E+16</v>
      </c>
      <c r="S401">
        <v>100000000</v>
      </c>
      <c r="T401">
        <v>1.00002968819171E+16</v>
      </c>
      <c r="U401">
        <v>100000000</v>
      </c>
      <c r="V401" t="s">
        <v>71</v>
      </c>
      <c r="W401">
        <v>10</v>
      </c>
      <c r="X401">
        <v>1853617</v>
      </c>
      <c r="Y401">
        <v>12756099</v>
      </c>
      <c r="Z401">
        <v>14609716</v>
      </c>
      <c r="AA401">
        <v>100000000</v>
      </c>
      <c r="AB401">
        <v>7.8817300000000001</v>
      </c>
      <c r="AC401">
        <v>7.8393899999999999</v>
      </c>
      <c r="AD401">
        <v>7.84476</v>
      </c>
      <c r="AE401">
        <v>9</v>
      </c>
      <c r="AF401">
        <v>3038820928</v>
      </c>
      <c r="AJ401" t="s">
        <v>780</v>
      </c>
      <c r="AM401">
        <v>153808693</v>
      </c>
      <c r="AN401">
        <v>0</v>
      </c>
      <c r="AO401">
        <v>0</v>
      </c>
      <c r="AP401">
        <v>153808693</v>
      </c>
      <c r="AQ401">
        <v>153808693</v>
      </c>
      <c r="AR401">
        <v>153808693</v>
      </c>
      <c r="AS401">
        <v>0</v>
      </c>
      <c r="AT401">
        <v>0</v>
      </c>
      <c r="AU401">
        <v>153808693</v>
      </c>
      <c r="AV401">
        <v>153808693</v>
      </c>
      <c r="AW401">
        <v>23.465800000000002</v>
      </c>
      <c r="AX401">
        <v>10.297700000000001</v>
      </c>
      <c r="AY401">
        <v>3422.71</v>
      </c>
      <c r="AZ401">
        <v>2434.3200000000002</v>
      </c>
      <c r="BA401">
        <v>5124</v>
      </c>
      <c r="BB401">
        <v>6074</v>
      </c>
      <c r="BC401" t="str">
        <f t="shared" si="12"/>
        <v>u=0%, k=2x10^8</v>
      </c>
      <c r="BD401">
        <f t="shared" si="13"/>
        <v>1</v>
      </c>
    </row>
    <row r="402" spans="1:56">
      <c r="A402" t="s">
        <v>781</v>
      </c>
      <c r="B402" t="s">
        <v>300</v>
      </c>
      <c r="C402">
        <v>208</v>
      </c>
      <c r="D402" t="s">
        <v>64</v>
      </c>
      <c r="E402" t="s">
        <v>59</v>
      </c>
      <c r="F402" t="s">
        <v>60</v>
      </c>
      <c r="G402">
        <v>2000</v>
      </c>
      <c r="H402">
        <v>0</v>
      </c>
      <c r="I402">
        <v>0</v>
      </c>
      <c r="J402">
        <v>0</v>
      </c>
      <c r="K402">
        <v>1</v>
      </c>
      <c r="L402">
        <v>200000000</v>
      </c>
      <c r="M402">
        <v>190</v>
      </c>
      <c r="N402">
        <v>190</v>
      </c>
      <c r="O402">
        <v>190</v>
      </c>
      <c r="P402">
        <v>0</v>
      </c>
      <c r="Q402" t="s">
        <v>61</v>
      </c>
      <c r="R402">
        <v>9999415210139700</v>
      </c>
      <c r="S402">
        <v>100000000</v>
      </c>
      <c r="T402">
        <v>9999415210139700</v>
      </c>
      <c r="U402">
        <v>100000000</v>
      </c>
      <c r="V402" t="s">
        <v>71</v>
      </c>
      <c r="W402">
        <v>10</v>
      </c>
      <c r="X402">
        <v>1853478</v>
      </c>
      <c r="Y402">
        <v>12756046</v>
      </c>
      <c r="Z402">
        <v>14609524</v>
      </c>
      <c r="AA402">
        <v>100000000</v>
      </c>
      <c r="AB402">
        <v>7.8822200000000002</v>
      </c>
      <c r="AC402">
        <v>7.8394199999999996</v>
      </c>
      <c r="AD402">
        <v>7.8448500000000001</v>
      </c>
      <c r="AE402">
        <v>9</v>
      </c>
      <c r="AF402">
        <v>3038780992</v>
      </c>
      <c r="AJ402" t="s">
        <v>782</v>
      </c>
      <c r="AM402">
        <v>312740909</v>
      </c>
      <c r="AN402">
        <v>0</v>
      </c>
      <c r="AO402">
        <v>0</v>
      </c>
      <c r="AP402">
        <v>312740909</v>
      </c>
      <c r="AQ402">
        <v>312740909</v>
      </c>
      <c r="AR402">
        <v>156370454</v>
      </c>
      <c r="AS402">
        <v>0</v>
      </c>
      <c r="AT402">
        <v>0</v>
      </c>
      <c r="AU402">
        <v>156370454</v>
      </c>
      <c r="AV402">
        <v>156370454</v>
      </c>
      <c r="AW402">
        <v>23.443000000000001</v>
      </c>
      <c r="AX402">
        <v>10.416499999999999</v>
      </c>
      <c r="AY402">
        <v>3373.94</v>
      </c>
      <c r="AZ402">
        <v>2398.5300000000002</v>
      </c>
      <c r="BA402">
        <v>5126</v>
      </c>
      <c r="BB402">
        <v>5977</v>
      </c>
      <c r="BC402" t="str">
        <f t="shared" si="12"/>
        <v>u=0%, k=2x10^8</v>
      </c>
      <c r="BD402">
        <f t="shared" si="13"/>
        <v>2</v>
      </c>
    </row>
    <row r="403" spans="1:56">
      <c r="A403" t="s">
        <v>783</v>
      </c>
      <c r="B403" t="s">
        <v>300</v>
      </c>
      <c r="C403">
        <v>208</v>
      </c>
      <c r="D403" t="s">
        <v>64</v>
      </c>
      <c r="E403" t="s">
        <v>59</v>
      </c>
      <c r="F403" t="s">
        <v>60</v>
      </c>
      <c r="G403">
        <v>4000</v>
      </c>
      <c r="H403">
        <v>0</v>
      </c>
      <c r="I403">
        <v>0</v>
      </c>
      <c r="J403">
        <v>0</v>
      </c>
      <c r="K403">
        <v>1</v>
      </c>
      <c r="L403">
        <v>200000000</v>
      </c>
      <c r="M403">
        <v>190</v>
      </c>
      <c r="N403">
        <v>190</v>
      </c>
      <c r="O403">
        <v>190</v>
      </c>
      <c r="P403">
        <v>0</v>
      </c>
      <c r="Q403" t="s">
        <v>61</v>
      </c>
      <c r="R403">
        <v>9999437640871140</v>
      </c>
      <c r="S403">
        <v>100000000</v>
      </c>
      <c r="T403">
        <v>9999437640871140</v>
      </c>
      <c r="U403">
        <v>100000000</v>
      </c>
      <c r="V403" t="s">
        <v>71</v>
      </c>
      <c r="W403">
        <v>10</v>
      </c>
      <c r="X403">
        <v>1854315</v>
      </c>
      <c r="Y403">
        <v>12758101</v>
      </c>
      <c r="Z403">
        <v>14612416</v>
      </c>
      <c r="AA403">
        <v>100000000</v>
      </c>
      <c r="AB403">
        <v>7.8802199999999996</v>
      </c>
      <c r="AC403">
        <v>7.8381600000000002</v>
      </c>
      <c r="AD403">
        <v>7.8434999999999997</v>
      </c>
      <c r="AE403">
        <v>9</v>
      </c>
      <c r="AF403">
        <v>3039382528</v>
      </c>
      <c r="AJ403" t="s">
        <v>784</v>
      </c>
      <c r="AM403">
        <v>626924356</v>
      </c>
      <c r="AN403">
        <v>0</v>
      </c>
      <c r="AO403">
        <v>0</v>
      </c>
      <c r="AP403">
        <v>626924356</v>
      </c>
      <c r="AQ403">
        <v>626924356</v>
      </c>
      <c r="AR403">
        <v>156731089</v>
      </c>
      <c r="AS403">
        <v>0</v>
      </c>
      <c r="AT403">
        <v>0</v>
      </c>
      <c r="AU403">
        <v>156731089</v>
      </c>
      <c r="AV403">
        <v>156731089</v>
      </c>
      <c r="AW403">
        <v>23.4038</v>
      </c>
      <c r="AX403">
        <v>10.491199999999999</v>
      </c>
      <c r="AY403">
        <v>3368.14</v>
      </c>
      <c r="AZ403">
        <v>2388.77</v>
      </c>
      <c r="BA403">
        <v>5125</v>
      </c>
      <c r="BB403">
        <v>6004</v>
      </c>
      <c r="BC403" t="str">
        <f t="shared" si="12"/>
        <v>u=0%, k=2x10^8</v>
      </c>
      <c r="BD403">
        <f t="shared" si="13"/>
        <v>4</v>
      </c>
    </row>
    <row r="404" spans="1:56">
      <c r="A404" t="s">
        <v>785</v>
      </c>
      <c r="B404" t="s">
        <v>300</v>
      </c>
      <c r="C404">
        <v>208</v>
      </c>
      <c r="D404" t="s">
        <v>64</v>
      </c>
      <c r="E404" t="s">
        <v>59</v>
      </c>
      <c r="F404" t="s">
        <v>60</v>
      </c>
      <c r="G404">
        <v>8000</v>
      </c>
      <c r="H404">
        <v>0</v>
      </c>
      <c r="I404">
        <v>0</v>
      </c>
      <c r="J404">
        <v>0</v>
      </c>
      <c r="K404">
        <v>1</v>
      </c>
      <c r="L404">
        <v>200000000</v>
      </c>
      <c r="M404">
        <v>190</v>
      </c>
      <c r="N404">
        <v>190</v>
      </c>
      <c r="O404">
        <v>190</v>
      </c>
      <c r="P404">
        <v>0</v>
      </c>
      <c r="Q404" t="s">
        <v>61</v>
      </c>
      <c r="R404">
        <v>9999123908516920</v>
      </c>
      <c r="S404">
        <v>100000000</v>
      </c>
      <c r="T404">
        <v>9999123908516920</v>
      </c>
      <c r="U404">
        <v>100000000</v>
      </c>
      <c r="V404" t="s">
        <v>71</v>
      </c>
      <c r="W404">
        <v>10</v>
      </c>
      <c r="X404">
        <v>1854543</v>
      </c>
      <c r="Y404">
        <v>12756937</v>
      </c>
      <c r="Z404">
        <v>14611480</v>
      </c>
      <c r="AA404">
        <v>100000000</v>
      </c>
      <c r="AB404">
        <v>7.8787500000000001</v>
      </c>
      <c r="AC404">
        <v>7.83887</v>
      </c>
      <c r="AD404">
        <v>7.8439300000000003</v>
      </c>
      <c r="AE404">
        <v>9</v>
      </c>
      <c r="AF404">
        <v>3039187840</v>
      </c>
      <c r="AJ404" t="s">
        <v>786</v>
      </c>
      <c r="AM404">
        <v>1255401274</v>
      </c>
      <c r="AN404">
        <v>0</v>
      </c>
      <c r="AO404">
        <v>0</v>
      </c>
      <c r="AP404">
        <v>1255401274</v>
      </c>
      <c r="AQ404">
        <v>1255401274</v>
      </c>
      <c r="AR404">
        <v>156925159</v>
      </c>
      <c r="AS404">
        <v>0</v>
      </c>
      <c r="AT404">
        <v>0</v>
      </c>
      <c r="AU404">
        <v>156925159</v>
      </c>
      <c r="AV404">
        <v>156925159</v>
      </c>
      <c r="AW404">
        <v>23.4269</v>
      </c>
      <c r="AX404">
        <v>10.5707</v>
      </c>
      <c r="AY404">
        <v>3363.67</v>
      </c>
      <c r="AZ404">
        <v>2380.35</v>
      </c>
      <c r="BA404">
        <v>5134</v>
      </c>
      <c r="BB404">
        <v>6041</v>
      </c>
      <c r="BC404" t="str">
        <f t="shared" si="12"/>
        <v>u=0%, k=2x10^8</v>
      </c>
      <c r="BD404">
        <f t="shared" si="13"/>
        <v>8</v>
      </c>
    </row>
    <row r="405" spans="1:56">
      <c r="A405" t="s">
        <v>787</v>
      </c>
      <c r="B405" t="s">
        <v>300</v>
      </c>
      <c r="C405">
        <v>208</v>
      </c>
      <c r="D405" t="s">
        <v>64</v>
      </c>
      <c r="E405" t="s">
        <v>59</v>
      </c>
      <c r="F405" t="s">
        <v>60</v>
      </c>
      <c r="G405">
        <v>16000</v>
      </c>
      <c r="H405">
        <v>0</v>
      </c>
      <c r="I405">
        <v>0</v>
      </c>
      <c r="J405">
        <v>0</v>
      </c>
      <c r="K405">
        <v>1</v>
      </c>
      <c r="L405">
        <v>200000000</v>
      </c>
      <c r="M405">
        <v>190</v>
      </c>
      <c r="N405">
        <v>190</v>
      </c>
      <c r="O405">
        <v>190</v>
      </c>
      <c r="P405">
        <v>0</v>
      </c>
      <c r="Q405" t="s">
        <v>61</v>
      </c>
      <c r="R405">
        <v>1.00002323244293E+16</v>
      </c>
      <c r="S405">
        <v>100000000</v>
      </c>
      <c r="T405">
        <v>1.00002323244293E+16</v>
      </c>
      <c r="U405">
        <v>100000000</v>
      </c>
      <c r="V405" t="s">
        <v>71</v>
      </c>
      <c r="W405">
        <v>10</v>
      </c>
      <c r="X405">
        <v>1854038</v>
      </c>
      <c r="Y405">
        <v>12758003</v>
      </c>
      <c r="Z405">
        <v>14612041</v>
      </c>
      <c r="AA405">
        <v>100000000</v>
      </c>
      <c r="AB405">
        <v>7.8811999999999998</v>
      </c>
      <c r="AC405">
        <v>7.8382199999999997</v>
      </c>
      <c r="AD405">
        <v>7.8436700000000004</v>
      </c>
      <c r="AE405">
        <v>9</v>
      </c>
      <c r="AF405">
        <v>3039304528</v>
      </c>
      <c r="AJ405" t="s">
        <v>788</v>
      </c>
      <c r="AM405">
        <v>2525883322</v>
      </c>
      <c r="AN405">
        <v>0</v>
      </c>
      <c r="AO405">
        <v>0</v>
      </c>
      <c r="AP405">
        <v>2525883322</v>
      </c>
      <c r="AQ405">
        <v>2525883322</v>
      </c>
      <c r="AR405">
        <v>157867707</v>
      </c>
      <c r="AS405">
        <v>0</v>
      </c>
      <c r="AT405">
        <v>0</v>
      </c>
      <c r="AU405">
        <v>157867707</v>
      </c>
      <c r="AV405">
        <v>157867707</v>
      </c>
      <c r="AW405">
        <v>23.373999999999999</v>
      </c>
      <c r="AX405">
        <v>10.6592</v>
      </c>
      <c r="AY405">
        <v>3343.23</v>
      </c>
      <c r="AZ405">
        <v>2368.1799999999998</v>
      </c>
      <c r="BA405">
        <v>5132</v>
      </c>
      <c r="BB405">
        <v>5993</v>
      </c>
      <c r="BC405" t="str">
        <f t="shared" si="12"/>
        <v>u=0%, k=2x10^8</v>
      </c>
      <c r="BD405">
        <f t="shared" si="13"/>
        <v>16</v>
      </c>
    </row>
    <row r="406" spans="1:56">
      <c r="A406" t="s">
        <v>789</v>
      </c>
      <c r="B406" t="s">
        <v>300</v>
      </c>
      <c r="C406">
        <v>208</v>
      </c>
      <c r="D406" t="s">
        <v>64</v>
      </c>
      <c r="E406" t="s">
        <v>59</v>
      </c>
      <c r="F406" t="s">
        <v>60</v>
      </c>
      <c r="G406">
        <v>32000</v>
      </c>
      <c r="H406">
        <v>0</v>
      </c>
      <c r="I406">
        <v>0</v>
      </c>
      <c r="J406">
        <v>0</v>
      </c>
      <c r="K406">
        <v>1</v>
      </c>
      <c r="L406">
        <v>200000000</v>
      </c>
      <c r="M406">
        <v>190</v>
      </c>
      <c r="N406">
        <v>190</v>
      </c>
      <c r="O406">
        <v>190</v>
      </c>
      <c r="P406">
        <v>0</v>
      </c>
      <c r="Q406" t="s">
        <v>61</v>
      </c>
      <c r="R406">
        <v>9999798636866190</v>
      </c>
      <c r="S406">
        <v>100000000</v>
      </c>
      <c r="T406">
        <v>9999798636866190</v>
      </c>
      <c r="U406">
        <v>100000000</v>
      </c>
      <c r="V406" t="s">
        <v>71</v>
      </c>
      <c r="W406">
        <v>10</v>
      </c>
      <c r="X406">
        <v>1854153</v>
      </c>
      <c r="Y406">
        <v>12755903</v>
      </c>
      <c r="Z406">
        <v>14610056</v>
      </c>
      <c r="AA406">
        <v>100000000</v>
      </c>
      <c r="AB406">
        <v>7.8796400000000002</v>
      </c>
      <c r="AC406">
        <v>7.8395099999999998</v>
      </c>
      <c r="AD406">
        <v>7.8445999999999998</v>
      </c>
      <c r="AE406">
        <v>9</v>
      </c>
      <c r="AF406">
        <v>3038891648</v>
      </c>
      <c r="AJ406" t="s">
        <v>790</v>
      </c>
      <c r="AM406">
        <v>5074275539</v>
      </c>
      <c r="AN406">
        <v>0</v>
      </c>
      <c r="AO406">
        <v>0</v>
      </c>
      <c r="AP406">
        <v>5074275539</v>
      </c>
      <c r="AQ406">
        <v>5074275539</v>
      </c>
      <c r="AR406">
        <v>158571110</v>
      </c>
      <c r="AS406">
        <v>0</v>
      </c>
      <c r="AT406">
        <v>0</v>
      </c>
      <c r="AU406">
        <v>158571110</v>
      </c>
      <c r="AV406">
        <v>158571110</v>
      </c>
      <c r="AW406">
        <v>23.319299999999998</v>
      </c>
      <c r="AX406">
        <v>10.7745</v>
      </c>
      <c r="AY406">
        <v>3328.15</v>
      </c>
      <c r="AZ406">
        <v>2350.9899999999998</v>
      </c>
      <c r="BA406">
        <v>5114</v>
      </c>
      <c r="BB406">
        <v>6006</v>
      </c>
      <c r="BC406" t="str">
        <f t="shared" ref="BC406:BC469" si="14">"u="&amp;(H406+I406)&amp;"%, k=2x10^"&amp;LOG10(L406/2)</f>
        <v>u=0%, k=2x10^8</v>
      </c>
      <c r="BD406">
        <f t="shared" ref="BD406:BD469" si="15">G406/1000</f>
        <v>32</v>
      </c>
    </row>
    <row r="407" spans="1:56">
      <c r="A407" t="s">
        <v>791</v>
      </c>
      <c r="B407" t="s">
        <v>300</v>
      </c>
      <c r="C407">
        <v>208</v>
      </c>
      <c r="D407" t="s">
        <v>64</v>
      </c>
      <c r="E407" t="s">
        <v>59</v>
      </c>
      <c r="F407" t="s">
        <v>60</v>
      </c>
      <c r="G407">
        <v>64000</v>
      </c>
      <c r="H407">
        <v>0</v>
      </c>
      <c r="I407">
        <v>0</v>
      </c>
      <c r="J407">
        <v>0</v>
      </c>
      <c r="K407">
        <v>1</v>
      </c>
      <c r="L407">
        <v>200000000</v>
      </c>
      <c r="M407">
        <v>190</v>
      </c>
      <c r="N407">
        <v>190</v>
      </c>
      <c r="O407">
        <v>190</v>
      </c>
      <c r="P407">
        <v>0</v>
      </c>
      <c r="Q407" t="s">
        <v>61</v>
      </c>
      <c r="R407">
        <v>9999789948729420</v>
      </c>
      <c r="S407">
        <v>100000000</v>
      </c>
      <c r="T407">
        <v>9999789948729420</v>
      </c>
      <c r="U407">
        <v>100000000</v>
      </c>
      <c r="V407" t="s">
        <v>71</v>
      </c>
      <c r="W407">
        <v>10</v>
      </c>
      <c r="X407">
        <v>1853453</v>
      </c>
      <c r="Y407">
        <v>12757234</v>
      </c>
      <c r="Z407">
        <v>14610687</v>
      </c>
      <c r="AA407">
        <v>100000000</v>
      </c>
      <c r="AB407">
        <v>7.8829599999999997</v>
      </c>
      <c r="AC407">
        <v>7.8386899999999997</v>
      </c>
      <c r="AD407">
        <v>7.8443100000000001</v>
      </c>
      <c r="AE407">
        <v>9</v>
      </c>
      <c r="AF407">
        <v>3039022896</v>
      </c>
      <c r="AJ407" t="s">
        <v>792</v>
      </c>
      <c r="AM407">
        <v>10233734451</v>
      </c>
      <c r="AN407">
        <v>0</v>
      </c>
      <c r="AO407">
        <v>0</v>
      </c>
      <c r="AP407">
        <v>10233734451</v>
      </c>
      <c r="AQ407">
        <v>10233734451</v>
      </c>
      <c r="AR407">
        <v>159902100</v>
      </c>
      <c r="AS407">
        <v>0</v>
      </c>
      <c r="AT407">
        <v>0</v>
      </c>
      <c r="AU407">
        <v>159902100</v>
      </c>
      <c r="AV407">
        <v>159902100</v>
      </c>
      <c r="AW407">
        <v>23.3748</v>
      </c>
      <c r="AX407">
        <v>10.8841</v>
      </c>
      <c r="AY407">
        <v>3298.79</v>
      </c>
      <c r="AZ407">
        <v>2332.8000000000002</v>
      </c>
      <c r="BA407">
        <v>5122</v>
      </c>
      <c r="BB407">
        <v>6002</v>
      </c>
      <c r="BC407" t="str">
        <f t="shared" si="14"/>
        <v>u=0%, k=2x10^8</v>
      </c>
      <c r="BD407">
        <f t="shared" si="15"/>
        <v>64</v>
      </c>
    </row>
    <row r="408" spans="1:56">
      <c r="A408" t="s">
        <v>793</v>
      </c>
      <c r="B408" t="s">
        <v>105</v>
      </c>
      <c r="D408" t="s">
        <v>64</v>
      </c>
      <c r="E408" t="s">
        <v>59</v>
      </c>
      <c r="F408" t="s">
        <v>60</v>
      </c>
      <c r="G408">
        <v>1000</v>
      </c>
      <c r="H408">
        <v>0</v>
      </c>
      <c r="I408">
        <v>0</v>
      </c>
      <c r="J408">
        <v>0</v>
      </c>
      <c r="K408">
        <v>1</v>
      </c>
      <c r="L408">
        <v>200000000</v>
      </c>
      <c r="M408">
        <v>190</v>
      </c>
      <c r="N408">
        <v>190</v>
      </c>
      <c r="O408">
        <v>190</v>
      </c>
      <c r="P408">
        <v>0</v>
      </c>
      <c r="Q408" t="s">
        <v>61</v>
      </c>
      <c r="R408">
        <v>9999833791094970</v>
      </c>
      <c r="S408">
        <v>100000000</v>
      </c>
      <c r="T408">
        <v>9999833791094970</v>
      </c>
      <c r="U408">
        <v>100000000</v>
      </c>
      <c r="V408" t="s">
        <v>71</v>
      </c>
      <c r="W408">
        <v>33</v>
      </c>
      <c r="X408">
        <v>57143212</v>
      </c>
      <c r="Y408">
        <v>42856789</v>
      </c>
      <c r="Z408">
        <v>100000001</v>
      </c>
      <c r="AA408">
        <v>100000000</v>
      </c>
      <c r="AB408">
        <v>1.7499899999999999</v>
      </c>
      <c r="AC408">
        <v>2.3333499999999998</v>
      </c>
      <c r="AD408">
        <v>2</v>
      </c>
      <c r="AE408">
        <v>26.0627</v>
      </c>
      <c r="AF408">
        <v>5600000056</v>
      </c>
      <c r="AJ408" t="s">
        <v>794</v>
      </c>
      <c r="AM408">
        <v>68948712</v>
      </c>
      <c r="AN408">
        <v>0</v>
      </c>
      <c r="AO408">
        <v>0</v>
      </c>
      <c r="AP408">
        <v>68948712</v>
      </c>
      <c r="AQ408">
        <v>68948712</v>
      </c>
      <c r="AR408">
        <v>68948712</v>
      </c>
      <c r="AS408">
        <v>0</v>
      </c>
      <c r="AT408">
        <v>0</v>
      </c>
      <c r="AU408">
        <v>68948712</v>
      </c>
      <c r="AV408">
        <v>68948712</v>
      </c>
      <c r="AW408">
        <v>40.926900000000003</v>
      </c>
      <c r="AX408">
        <v>19.1555</v>
      </c>
      <c r="AY408">
        <v>7671.39</v>
      </c>
      <c r="AZ408">
        <v>6224.12</v>
      </c>
      <c r="BA408">
        <v>7576</v>
      </c>
      <c r="BB408">
        <v>2751</v>
      </c>
      <c r="BC408" t="str">
        <f t="shared" si="14"/>
        <v>u=0%, k=2x10^8</v>
      </c>
      <c r="BD408">
        <f t="shared" si="15"/>
        <v>1</v>
      </c>
    </row>
    <row r="409" spans="1:56">
      <c r="A409" t="s">
        <v>795</v>
      </c>
      <c r="B409" t="s">
        <v>105</v>
      </c>
      <c r="D409" t="s">
        <v>64</v>
      </c>
      <c r="E409" t="s">
        <v>59</v>
      </c>
      <c r="F409" t="s">
        <v>60</v>
      </c>
      <c r="G409">
        <v>2000</v>
      </c>
      <c r="H409">
        <v>0</v>
      </c>
      <c r="I409">
        <v>0</v>
      </c>
      <c r="J409">
        <v>0</v>
      </c>
      <c r="K409">
        <v>1</v>
      </c>
      <c r="L409">
        <v>200000000</v>
      </c>
      <c r="M409">
        <v>190</v>
      </c>
      <c r="N409">
        <v>190</v>
      </c>
      <c r="O409">
        <v>190</v>
      </c>
      <c r="P409">
        <v>0</v>
      </c>
      <c r="Q409" t="s">
        <v>61</v>
      </c>
      <c r="R409">
        <v>9999124988430890</v>
      </c>
      <c r="S409">
        <v>100000000</v>
      </c>
      <c r="T409">
        <v>9999124988430890</v>
      </c>
      <c r="U409">
        <v>100000000</v>
      </c>
      <c r="V409" t="s">
        <v>71</v>
      </c>
      <c r="W409">
        <v>33</v>
      </c>
      <c r="X409">
        <v>57144435</v>
      </c>
      <c r="Y409">
        <v>42855566</v>
      </c>
      <c r="Z409">
        <v>100000001</v>
      </c>
      <c r="AA409">
        <v>100000000</v>
      </c>
      <c r="AB409">
        <v>1.7499499999999999</v>
      </c>
      <c r="AC409">
        <v>2.3334199999999998</v>
      </c>
      <c r="AD409">
        <v>2</v>
      </c>
      <c r="AE409">
        <v>26.083400000000001</v>
      </c>
      <c r="AF409">
        <v>5600000056</v>
      </c>
      <c r="AJ409" t="s">
        <v>796</v>
      </c>
      <c r="AM409">
        <v>138175283</v>
      </c>
      <c r="AN409">
        <v>0</v>
      </c>
      <c r="AO409">
        <v>0</v>
      </c>
      <c r="AP409">
        <v>138175283</v>
      </c>
      <c r="AQ409">
        <v>138175283</v>
      </c>
      <c r="AR409">
        <v>69087641</v>
      </c>
      <c r="AS409">
        <v>0</v>
      </c>
      <c r="AT409">
        <v>0</v>
      </c>
      <c r="AU409">
        <v>69087641</v>
      </c>
      <c r="AV409">
        <v>69087641</v>
      </c>
      <c r="AW409">
        <v>40.798000000000002</v>
      </c>
      <c r="AX409">
        <v>19.3124</v>
      </c>
      <c r="AY409">
        <v>7655.75</v>
      </c>
      <c r="AZ409">
        <v>6208.45</v>
      </c>
      <c r="BA409">
        <v>7574</v>
      </c>
      <c r="BB409">
        <v>2735</v>
      </c>
      <c r="BC409" t="str">
        <f t="shared" si="14"/>
        <v>u=0%, k=2x10^8</v>
      </c>
      <c r="BD409">
        <f t="shared" si="15"/>
        <v>2</v>
      </c>
    </row>
    <row r="410" spans="1:56">
      <c r="A410" t="s">
        <v>797</v>
      </c>
      <c r="B410" t="s">
        <v>105</v>
      </c>
      <c r="D410" t="s">
        <v>64</v>
      </c>
      <c r="E410" t="s">
        <v>59</v>
      </c>
      <c r="F410" t="s">
        <v>60</v>
      </c>
      <c r="G410">
        <v>4000</v>
      </c>
      <c r="H410">
        <v>0</v>
      </c>
      <c r="I410">
        <v>0</v>
      </c>
      <c r="J410">
        <v>0</v>
      </c>
      <c r="K410">
        <v>1</v>
      </c>
      <c r="L410">
        <v>200000000</v>
      </c>
      <c r="M410">
        <v>190</v>
      </c>
      <c r="N410">
        <v>190</v>
      </c>
      <c r="O410">
        <v>190</v>
      </c>
      <c r="P410">
        <v>0</v>
      </c>
      <c r="Q410" t="s">
        <v>61</v>
      </c>
      <c r="R410">
        <v>1.00001122084548E+16</v>
      </c>
      <c r="S410">
        <v>100000000</v>
      </c>
      <c r="T410">
        <v>1.00001122084548E+16</v>
      </c>
      <c r="U410">
        <v>100000000</v>
      </c>
      <c r="V410" t="s">
        <v>71</v>
      </c>
      <c r="W410">
        <v>33</v>
      </c>
      <c r="X410">
        <v>57144372</v>
      </c>
      <c r="Y410">
        <v>42855629</v>
      </c>
      <c r="Z410">
        <v>100000001</v>
      </c>
      <c r="AA410">
        <v>100000000</v>
      </c>
      <c r="AB410">
        <v>1.7499499999999999</v>
      </c>
      <c r="AC410">
        <v>2.3334199999999998</v>
      </c>
      <c r="AD410">
        <v>2</v>
      </c>
      <c r="AE410">
        <v>26.087499999999999</v>
      </c>
      <c r="AF410">
        <v>5600000056</v>
      </c>
      <c r="AJ410" t="s">
        <v>798</v>
      </c>
      <c r="AM410">
        <v>277636149</v>
      </c>
      <c r="AN410">
        <v>0</v>
      </c>
      <c r="AO410">
        <v>0</v>
      </c>
      <c r="AP410">
        <v>277636149</v>
      </c>
      <c r="AQ410">
        <v>277636149</v>
      </c>
      <c r="AR410">
        <v>69409037</v>
      </c>
      <c r="AS410">
        <v>0</v>
      </c>
      <c r="AT410">
        <v>0</v>
      </c>
      <c r="AU410">
        <v>69409037</v>
      </c>
      <c r="AV410">
        <v>69409037</v>
      </c>
      <c r="AW410">
        <v>40.812100000000001</v>
      </c>
      <c r="AX410">
        <v>19.465299999999999</v>
      </c>
      <c r="AY410">
        <v>7621.82</v>
      </c>
      <c r="AZ410">
        <v>6165.25</v>
      </c>
      <c r="BA410">
        <v>7575</v>
      </c>
      <c r="BB410">
        <v>2747</v>
      </c>
      <c r="BC410" t="str">
        <f t="shared" si="14"/>
        <v>u=0%, k=2x10^8</v>
      </c>
      <c r="BD410">
        <f t="shared" si="15"/>
        <v>4</v>
      </c>
    </row>
    <row r="411" spans="1:56">
      <c r="A411" t="s">
        <v>799</v>
      </c>
      <c r="B411" t="s">
        <v>105</v>
      </c>
      <c r="D411" t="s">
        <v>64</v>
      </c>
      <c r="E411" t="s">
        <v>59</v>
      </c>
      <c r="F411" t="s">
        <v>60</v>
      </c>
      <c r="G411">
        <v>8000</v>
      </c>
      <c r="H411">
        <v>0</v>
      </c>
      <c r="I411">
        <v>0</v>
      </c>
      <c r="J411">
        <v>0</v>
      </c>
      <c r="K411">
        <v>1</v>
      </c>
      <c r="L411">
        <v>200000000</v>
      </c>
      <c r="M411">
        <v>190</v>
      </c>
      <c r="N411">
        <v>190</v>
      </c>
      <c r="O411">
        <v>190</v>
      </c>
      <c r="P411">
        <v>0</v>
      </c>
      <c r="Q411" t="s">
        <v>61</v>
      </c>
      <c r="R411">
        <v>1.00006108989361E+16</v>
      </c>
      <c r="S411">
        <v>100000000</v>
      </c>
      <c r="T411">
        <v>1.00006108989361E+16</v>
      </c>
      <c r="U411">
        <v>100000000</v>
      </c>
      <c r="V411" t="s">
        <v>71</v>
      </c>
      <c r="W411">
        <v>33</v>
      </c>
      <c r="X411">
        <v>57142722</v>
      </c>
      <c r="Y411">
        <v>42857279</v>
      </c>
      <c r="Z411">
        <v>100000001</v>
      </c>
      <c r="AA411">
        <v>100000000</v>
      </c>
      <c r="AB411">
        <v>1.75</v>
      </c>
      <c r="AC411">
        <v>2.3333300000000001</v>
      </c>
      <c r="AD411">
        <v>2</v>
      </c>
      <c r="AE411">
        <v>26.076699999999999</v>
      </c>
      <c r="AF411">
        <v>5600000056</v>
      </c>
      <c r="AJ411" t="s">
        <v>800</v>
      </c>
      <c r="AM411">
        <v>555277845</v>
      </c>
      <c r="AN411">
        <v>0</v>
      </c>
      <c r="AO411">
        <v>0</v>
      </c>
      <c r="AP411">
        <v>555277845</v>
      </c>
      <c r="AQ411">
        <v>555277845</v>
      </c>
      <c r="AR411">
        <v>69409730</v>
      </c>
      <c r="AS411">
        <v>0</v>
      </c>
      <c r="AT411">
        <v>0</v>
      </c>
      <c r="AU411">
        <v>69409730</v>
      </c>
      <c r="AV411">
        <v>69409730</v>
      </c>
      <c r="AW411">
        <v>41.733899999999998</v>
      </c>
      <c r="AX411">
        <v>19.661999999999999</v>
      </c>
      <c r="AY411">
        <v>7620.65</v>
      </c>
      <c r="AZ411">
        <v>6157.4</v>
      </c>
      <c r="BA411">
        <v>7576</v>
      </c>
      <c r="BB411">
        <v>2818</v>
      </c>
      <c r="BC411" t="str">
        <f t="shared" si="14"/>
        <v>u=0%, k=2x10^8</v>
      </c>
      <c r="BD411">
        <f t="shared" si="15"/>
        <v>8</v>
      </c>
    </row>
    <row r="412" spans="1:56">
      <c r="A412" t="s">
        <v>801</v>
      </c>
      <c r="B412" t="s">
        <v>105</v>
      </c>
      <c r="D412" t="s">
        <v>64</v>
      </c>
      <c r="E412" t="s">
        <v>59</v>
      </c>
      <c r="F412" t="s">
        <v>60</v>
      </c>
      <c r="G412">
        <v>16000</v>
      </c>
      <c r="H412">
        <v>0</v>
      </c>
      <c r="I412">
        <v>0</v>
      </c>
      <c r="J412">
        <v>0</v>
      </c>
      <c r="K412">
        <v>1</v>
      </c>
      <c r="L412">
        <v>200000000</v>
      </c>
      <c r="M412">
        <v>190</v>
      </c>
      <c r="N412">
        <v>190</v>
      </c>
      <c r="O412">
        <v>190</v>
      </c>
      <c r="P412">
        <v>0</v>
      </c>
      <c r="Q412" t="s">
        <v>61</v>
      </c>
      <c r="R412">
        <v>1.00001449772393E+16</v>
      </c>
      <c r="S412">
        <v>100000000</v>
      </c>
      <c r="T412">
        <v>1.00001449772393E+16</v>
      </c>
      <c r="U412">
        <v>100000000</v>
      </c>
      <c r="V412" t="s">
        <v>71</v>
      </c>
      <c r="W412">
        <v>33</v>
      </c>
      <c r="X412">
        <v>57143322</v>
      </c>
      <c r="Y412">
        <v>42856679</v>
      </c>
      <c r="Z412">
        <v>100000001</v>
      </c>
      <c r="AA412">
        <v>100000000</v>
      </c>
      <c r="AB412">
        <v>1.7499899999999999</v>
      </c>
      <c r="AC412">
        <v>2.3333599999999999</v>
      </c>
      <c r="AD412">
        <v>2</v>
      </c>
      <c r="AE412">
        <v>26.036000000000001</v>
      </c>
      <c r="AF412">
        <v>5600000056</v>
      </c>
      <c r="AJ412" t="s">
        <v>802</v>
      </c>
      <c r="AM412">
        <v>1113895570</v>
      </c>
      <c r="AN412">
        <v>0</v>
      </c>
      <c r="AO412">
        <v>0</v>
      </c>
      <c r="AP412">
        <v>1113895570</v>
      </c>
      <c r="AQ412">
        <v>1113895570</v>
      </c>
      <c r="AR412">
        <v>69618473</v>
      </c>
      <c r="AS412">
        <v>0</v>
      </c>
      <c r="AT412">
        <v>0</v>
      </c>
      <c r="AU412">
        <v>69618473</v>
      </c>
      <c r="AV412">
        <v>69618473</v>
      </c>
      <c r="AW412">
        <v>41.828200000000002</v>
      </c>
      <c r="AX412">
        <v>19.852900000000002</v>
      </c>
      <c r="AY412">
        <v>7596.73</v>
      </c>
      <c r="AZ412">
        <v>6122.22</v>
      </c>
      <c r="BA412">
        <v>7576</v>
      </c>
      <c r="BB412">
        <v>2781</v>
      </c>
      <c r="BC412" t="str">
        <f t="shared" si="14"/>
        <v>u=0%, k=2x10^8</v>
      </c>
      <c r="BD412">
        <f t="shared" si="15"/>
        <v>16</v>
      </c>
    </row>
    <row r="413" spans="1:56">
      <c r="A413" t="s">
        <v>803</v>
      </c>
      <c r="B413" t="s">
        <v>105</v>
      </c>
      <c r="D413" t="s">
        <v>64</v>
      </c>
      <c r="E413" t="s">
        <v>59</v>
      </c>
      <c r="F413" t="s">
        <v>60</v>
      </c>
      <c r="G413">
        <v>32000</v>
      </c>
      <c r="H413">
        <v>0</v>
      </c>
      <c r="I413">
        <v>0</v>
      </c>
      <c r="J413">
        <v>0</v>
      </c>
      <c r="K413">
        <v>1</v>
      </c>
      <c r="L413">
        <v>200000000</v>
      </c>
      <c r="M413">
        <v>190</v>
      </c>
      <c r="N413">
        <v>190</v>
      </c>
      <c r="O413">
        <v>190</v>
      </c>
      <c r="P413">
        <v>0</v>
      </c>
      <c r="Q413" t="s">
        <v>61</v>
      </c>
      <c r="R413">
        <v>9999920455273810</v>
      </c>
      <c r="S413">
        <v>100000000</v>
      </c>
      <c r="T413">
        <v>9999920455273810</v>
      </c>
      <c r="U413">
        <v>100000000</v>
      </c>
      <c r="V413" t="s">
        <v>71</v>
      </c>
      <c r="W413">
        <v>33</v>
      </c>
      <c r="X413">
        <v>57141822</v>
      </c>
      <c r="Y413">
        <v>42858179</v>
      </c>
      <c r="Z413">
        <v>100000001</v>
      </c>
      <c r="AA413">
        <v>100000000</v>
      </c>
      <c r="AB413">
        <v>1.75003</v>
      </c>
      <c r="AC413">
        <v>2.3332799999999998</v>
      </c>
      <c r="AD413">
        <v>2</v>
      </c>
      <c r="AE413">
        <v>26.092400000000001</v>
      </c>
      <c r="AF413">
        <v>5600000056</v>
      </c>
      <c r="AJ413" t="s">
        <v>804</v>
      </c>
      <c r="AM413">
        <v>2266792985</v>
      </c>
      <c r="AN413">
        <v>0</v>
      </c>
      <c r="AO413">
        <v>0</v>
      </c>
      <c r="AP413">
        <v>2266792985</v>
      </c>
      <c r="AQ413">
        <v>2266792985</v>
      </c>
      <c r="AR413">
        <v>70837280</v>
      </c>
      <c r="AS413">
        <v>0</v>
      </c>
      <c r="AT413">
        <v>0</v>
      </c>
      <c r="AU413">
        <v>70837280</v>
      </c>
      <c r="AV413">
        <v>70837280</v>
      </c>
      <c r="AW413">
        <v>40.720100000000002</v>
      </c>
      <c r="AX413">
        <v>20.038</v>
      </c>
      <c r="AY413">
        <v>7466.55</v>
      </c>
      <c r="AZ413">
        <v>5993.87</v>
      </c>
      <c r="BA413">
        <v>7574</v>
      </c>
      <c r="BB413">
        <v>2749</v>
      </c>
      <c r="BC413" t="str">
        <f t="shared" si="14"/>
        <v>u=0%, k=2x10^8</v>
      </c>
      <c r="BD413">
        <f t="shared" si="15"/>
        <v>32</v>
      </c>
    </row>
    <row r="414" spans="1:56">
      <c r="A414" t="s">
        <v>805</v>
      </c>
      <c r="B414" t="s">
        <v>105</v>
      </c>
      <c r="D414" t="s">
        <v>64</v>
      </c>
      <c r="E414" t="s">
        <v>59</v>
      </c>
      <c r="F414" t="s">
        <v>60</v>
      </c>
      <c r="G414">
        <v>64000</v>
      </c>
      <c r="H414">
        <v>0</v>
      </c>
      <c r="I414">
        <v>0</v>
      </c>
      <c r="J414">
        <v>0</v>
      </c>
      <c r="K414">
        <v>1</v>
      </c>
      <c r="L414">
        <v>200000000</v>
      </c>
      <c r="M414">
        <v>190</v>
      </c>
      <c r="N414">
        <v>190</v>
      </c>
      <c r="O414">
        <v>190</v>
      </c>
      <c r="P414">
        <v>0</v>
      </c>
      <c r="Q414" t="s">
        <v>61</v>
      </c>
      <c r="R414">
        <v>1.00002462685677E+16</v>
      </c>
      <c r="S414">
        <v>100000000</v>
      </c>
      <c r="T414">
        <v>1.00002462685677E+16</v>
      </c>
      <c r="U414">
        <v>100000000</v>
      </c>
      <c r="V414" t="s">
        <v>71</v>
      </c>
      <c r="W414">
        <v>33</v>
      </c>
      <c r="X414">
        <v>57143396</v>
      </c>
      <c r="Y414">
        <v>42856605</v>
      </c>
      <c r="Z414">
        <v>100000001</v>
      </c>
      <c r="AA414">
        <v>100000000</v>
      </c>
      <c r="AB414">
        <v>1.7499800000000001</v>
      </c>
      <c r="AC414">
        <v>2.3333599999999999</v>
      </c>
      <c r="AD414">
        <v>2</v>
      </c>
      <c r="AE414">
        <v>26.0562</v>
      </c>
      <c r="AF414">
        <v>5600000056</v>
      </c>
      <c r="AJ414" t="s">
        <v>806</v>
      </c>
      <c r="AM414">
        <v>4554186120</v>
      </c>
      <c r="AN414">
        <v>0</v>
      </c>
      <c r="AO414">
        <v>0</v>
      </c>
      <c r="AP414">
        <v>4554186120</v>
      </c>
      <c r="AQ414">
        <v>4554186120</v>
      </c>
      <c r="AR414">
        <v>71159158</v>
      </c>
      <c r="AS414">
        <v>0</v>
      </c>
      <c r="AT414">
        <v>0</v>
      </c>
      <c r="AU414">
        <v>71159158</v>
      </c>
      <c r="AV414">
        <v>71159158</v>
      </c>
      <c r="AW414">
        <v>40.900500000000001</v>
      </c>
      <c r="AX414">
        <v>20.224699999999999</v>
      </c>
      <c r="AY414">
        <v>7431.08</v>
      </c>
      <c r="AZ414">
        <v>5956.82</v>
      </c>
      <c r="BA414">
        <v>7577</v>
      </c>
      <c r="BB414">
        <v>2764</v>
      </c>
      <c r="BC414" t="str">
        <f t="shared" si="14"/>
        <v>u=0%, k=2x10^8</v>
      </c>
      <c r="BD414">
        <f t="shared" si="15"/>
        <v>64</v>
      </c>
    </row>
    <row r="415" spans="1:56">
      <c r="A415" t="s">
        <v>807</v>
      </c>
      <c r="B415" t="s">
        <v>305</v>
      </c>
      <c r="D415" t="s">
        <v>64</v>
      </c>
      <c r="E415" t="s">
        <v>59</v>
      </c>
      <c r="F415" t="s">
        <v>60</v>
      </c>
      <c r="G415">
        <v>1000</v>
      </c>
      <c r="H415">
        <v>0</v>
      </c>
      <c r="I415">
        <v>0</v>
      </c>
      <c r="J415">
        <v>0</v>
      </c>
      <c r="K415">
        <v>1</v>
      </c>
      <c r="L415">
        <v>200000000</v>
      </c>
      <c r="M415">
        <v>190</v>
      </c>
      <c r="N415">
        <v>190</v>
      </c>
      <c r="O415">
        <v>190</v>
      </c>
      <c r="P415">
        <v>0</v>
      </c>
      <c r="Q415" t="s">
        <v>61</v>
      </c>
      <c r="R415">
        <v>1.00004013626494E+16</v>
      </c>
      <c r="S415">
        <v>100000000</v>
      </c>
      <c r="T415">
        <v>1.00004013626494E+16</v>
      </c>
      <c r="U415">
        <v>100000000</v>
      </c>
      <c r="V415" t="s">
        <v>71</v>
      </c>
      <c r="W415">
        <v>69</v>
      </c>
      <c r="X415">
        <v>99999999</v>
      </c>
      <c r="Y415">
        <v>100000000</v>
      </c>
      <c r="Z415">
        <v>199999999</v>
      </c>
      <c r="AA415">
        <v>100000000</v>
      </c>
      <c r="AB415">
        <v>2</v>
      </c>
      <c r="AC415">
        <v>1</v>
      </c>
      <c r="AD415">
        <v>1.5</v>
      </c>
      <c r="AE415">
        <v>36.210500000000003</v>
      </c>
      <c r="AF415">
        <v>6399999968</v>
      </c>
      <c r="AJ415" t="s">
        <v>808</v>
      </c>
      <c r="AM415">
        <v>58408178</v>
      </c>
      <c r="AN415">
        <v>0</v>
      </c>
      <c r="AO415">
        <v>0</v>
      </c>
      <c r="AP415">
        <v>58408178</v>
      </c>
      <c r="AQ415">
        <v>58408178</v>
      </c>
      <c r="AR415">
        <v>58408178</v>
      </c>
      <c r="AS415">
        <v>0</v>
      </c>
      <c r="AT415">
        <v>0</v>
      </c>
      <c r="AU415">
        <v>58408178</v>
      </c>
      <c r="AV415">
        <v>58408178</v>
      </c>
      <c r="AW415">
        <v>38.144399999999997</v>
      </c>
      <c r="AX415">
        <v>18.776</v>
      </c>
      <c r="AY415">
        <v>9058.64</v>
      </c>
      <c r="AZ415">
        <v>7925.79</v>
      </c>
      <c r="BA415">
        <v>7575</v>
      </c>
      <c r="BB415">
        <v>2833</v>
      </c>
      <c r="BC415" t="str">
        <f t="shared" si="14"/>
        <v>u=0%, k=2x10^8</v>
      </c>
      <c r="BD415">
        <f t="shared" si="15"/>
        <v>1</v>
      </c>
    </row>
    <row r="416" spans="1:56">
      <c r="A416" t="s">
        <v>809</v>
      </c>
      <c r="B416" t="s">
        <v>305</v>
      </c>
      <c r="D416" t="s">
        <v>64</v>
      </c>
      <c r="E416" t="s">
        <v>59</v>
      </c>
      <c r="F416" t="s">
        <v>60</v>
      </c>
      <c r="G416">
        <v>2000</v>
      </c>
      <c r="H416">
        <v>0</v>
      </c>
      <c r="I416">
        <v>0</v>
      </c>
      <c r="J416">
        <v>0</v>
      </c>
      <c r="K416">
        <v>1</v>
      </c>
      <c r="L416">
        <v>200000000</v>
      </c>
      <c r="M416">
        <v>190</v>
      </c>
      <c r="N416">
        <v>190</v>
      </c>
      <c r="O416">
        <v>190</v>
      </c>
      <c r="P416">
        <v>0</v>
      </c>
      <c r="Q416" t="s">
        <v>61</v>
      </c>
      <c r="R416">
        <v>1.00000907366844E+16</v>
      </c>
      <c r="S416">
        <v>100000000</v>
      </c>
      <c r="T416">
        <v>1.00000907366844E+16</v>
      </c>
      <c r="U416">
        <v>100000000</v>
      </c>
      <c r="V416" t="s">
        <v>71</v>
      </c>
      <c r="W416">
        <v>69</v>
      </c>
      <c r="X416">
        <v>99999999</v>
      </c>
      <c r="Y416">
        <v>100000000</v>
      </c>
      <c r="Z416">
        <v>199999999</v>
      </c>
      <c r="AA416">
        <v>100000000</v>
      </c>
      <c r="AB416">
        <v>2</v>
      </c>
      <c r="AC416">
        <v>1</v>
      </c>
      <c r="AD416">
        <v>1.5</v>
      </c>
      <c r="AE416">
        <v>35.929400000000001</v>
      </c>
      <c r="AF416">
        <v>6399999968</v>
      </c>
      <c r="AJ416" t="s">
        <v>810</v>
      </c>
      <c r="AM416">
        <v>116923913</v>
      </c>
      <c r="AN416">
        <v>0</v>
      </c>
      <c r="AO416">
        <v>0</v>
      </c>
      <c r="AP416">
        <v>116923913</v>
      </c>
      <c r="AQ416">
        <v>116923913</v>
      </c>
      <c r="AR416">
        <v>58461956</v>
      </c>
      <c r="AS416">
        <v>0</v>
      </c>
      <c r="AT416">
        <v>0</v>
      </c>
      <c r="AU416">
        <v>58461956</v>
      </c>
      <c r="AV416">
        <v>58461956</v>
      </c>
      <c r="AW416">
        <v>38.082900000000002</v>
      </c>
      <c r="AX416">
        <v>18.814900000000002</v>
      </c>
      <c r="AY416">
        <v>9051.08</v>
      </c>
      <c r="AZ416">
        <v>7913.39</v>
      </c>
      <c r="BA416">
        <v>7575</v>
      </c>
      <c r="BB416">
        <v>2815</v>
      </c>
      <c r="BC416" t="str">
        <f t="shared" si="14"/>
        <v>u=0%, k=2x10^8</v>
      </c>
      <c r="BD416">
        <f t="shared" si="15"/>
        <v>2</v>
      </c>
    </row>
    <row r="417" spans="1:56">
      <c r="A417" t="s">
        <v>811</v>
      </c>
      <c r="B417" t="s">
        <v>305</v>
      </c>
      <c r="D417" t="s">
        <v>64</v>
      </c>
      <c r="E417" t="s">
        <v>59</v>
      </c>
      <c r="F417" t="s">
        <v>60</v>
      </c>
      <c r="G417">
        <v>4000</v>
      </c>
      <c r="H417">
        <v>0</v>
      </c>
      <c r="I417">
        <v>0</v>
      </c>
      <c r="J417">
        <v>0</v>
      </c>
      <c r="K417">
        <v>1</v>
      </c>
      <c r="L417">
        <v>200000000</v>
      </c>
      <c r="M417">
        <v>190</v>
      </c>
      <c r="N417">
        <v>190</v>
      </c>
      <c r="O417">
        <v>190</v>
      </c>
      <c r="P417">
        <v>0</v>
      </c>
      <c r="Q417" t="s">
        <v>61</v>
      </c>
      <c r="R417">
        <v>1.000001148383E+16</v>
      </c>
      <c r="S417">
        <v>100000000</v>
      </c>
      <c r="T417">
        <v>1.000001148383E+16</v>
      </c>
      <c r="U417">
        <v>100000000</v>
      </c>
      <c r="V417" t="s">
        <v>71</v>
      </c>
      <c r="W417">
        <v>69</v>
      </c>
      <c r="X417">
        <v>99999999</v>
      </c>
      <c r="Y417">
        <v>100000000</v>
      </c>
      <c r="Z417">
        <v>199999999</v>
      </c>
      <c r="AA417">
        <v>100000000</v>
      </c>
      <c r="AB417">
        <v>2</v>
      </c>
      <c r="AC417">
        <v>1</v>
      </c>
      <c r="AD417">
        <v>1.5</v>
      </c>
      <c r="AE417">
        <v>35.416400000000003</v>
      </c>
      <c r="AF417">
        <v>6399999968</v>
      </c>
      <c r="AJ417" t="s">
        <v>812</v>
      </c>
      <c r="AM417">
        <v>235012036</v>
      </c>
      <c r="AN417">
        <v>0</v>
      </c>
      <c r="AO417">
        <v>0</v>
      </c>
      <c r="AP417">
        <v>235012036</v>
      </c>
      <c r="AQ417">
        <v>235012036</v>
      </c>
      <c r="AR417">
        <v>58753009</v>
      </c>
      <c r="AS417">
        <v>0</v>
      </c>
      <c r="AT417">
        <v>0</v>
      </c>
      <c r="AU417">
        <v>58753009</v>
      </c>
      <c r="AV417">
        <v>58753009</v>
      </c>
      <c r="AW417">
        <v>38.1188</v>
      </c>
      <c r="AX417">
        <v>18.920500000000001</v>
      </c>
      <c r="AY417">
        <v>9004.61</v>
      </c>
      <c r="AZ417">
        <v>7867.79</v>
      </c>
      <c r="BA417">
        <v>7575</v>
      </c>
      <c r="BB417">
        <v>2845</v>
      </c>
      <c r="BC417" t="str">
        <f t="shared" si="14"/>
        <v>u=0%, k=2x10^8</v>
      </c>
      <c r="BD417">
        <f t="shared" si="15"/>
        <v>4</v>
      </c>
    </row>
    <row r="418" spans="1:56">
      <c r="A418" t="s">
        <v>813</v>
      </c>
      <c r="B418" t="s">
        <v>305</v>
      </c>
      <c r="D418" t="s">
        <v>64</v>
      </c>
      <c r="E418" t="s">
        <v>59</v>
      </c>
      <c r="F418" t="s">
        <v>60</v>
      </c>
      <c r="G418">
        <v>8000</v>
      </c>
      <c r="H418">
        <v>0</v>
      </c>
      <c r="I418">
        <v>0</v>
      </c>
      <c r="J418">
        <v>0</v>
      </c>
      <c r="K418">
        <v>1</v>
      </c>
      <c r="L418">
        <v>200000000</v>
      </c>
      <c r="M418">
        <v>190</v>
      </c>
      <c r="N418">
        <v>190</v>
      </c>
      <c r="O418">
        <v>190</v>
      </c>
      <c r="P418">
        <v>0</v>
      </c>
      <c r="Q418" t="s">
        <v>61</v>
      </c>
      <c r="R418">
        <v>9999157505797570</v>
      </c>
      <c r="S418">
        <v>100000000</v>
      </c>
      <c r="T418">
        <v>9999157505797570</v>
      </c>
      <c r="U418">
        <v>100000000</v>
      </c>
      <c r="V418" t="s">
        <v>71</v>
      </c>
      <c r="W418">
        <v>70</v>
      </c>
      <c r="X418">
        <v>99999999</v>
      </c>
      <c r="Y418">
        <v>100000000</v>
      </c>
      <c r="Z418">
        <v>199999999</v>
      </c>
      <c r="AA418">
        <v>100000000</v>
      </c>
      <c r="AB418">
        <v>2</v>
      </c>
      <c r="AC418">
        <v>1</v>
      </c>
      <c r="AD418">
        <v>1.5</v>
      </c>
      <c r="AE418">
        <v>35.766599999999997</v>
      </c>
      <c r="AF418">
        <v>6399999968</v>
      </c>
      <c r="AJ418" t="s">
        <v>814</v>
      </c>
      <c r="AM418">
        <v>470453906</v>
      </c>
      <c r="AN418">
        <v>0</v>
      </c>
      <c r="AO418">
        <v>0</v>
      </c>
      <c r="AP418">
        <v>470453906</v>
      </c>
      <c r="AQ418">
        <v>470453906</v>
      </c>
      <c r="AR418">
        <v>58806738</v>
      </c>
      <c r="AS418">
        <v>0</v>
      </c>
      <c r="AT418">
        <v>0</v>
      </c>
      <c r="AU418">
        <v>58806738</v>
      </c>
      <c r="AV418">
        <v>58806738</v>
      </c>
      <c r="AW418">
        <v>38.221600000000002</v>
      </c>
      <c r="AX418">
        <v>19.026599999999998</v>
      </c>
      <c r="AY418">
        <v>8996.98</v>
      </c>
      <c r="AZ418">
        <v>7849.72</v>
      </c>
      <c r="BA418">
        <v>7573</v>
      </c>
      <c r="BB418">
        <v>2851</v>
      </c>
      <c r="BC418" t="str">
        <f t="shared" si="14"/>
        <v>u=0%, k=2x10^8</v>
      </c>
      <c r="BD418">
        <f t="shared" si="15"/>
        <v>8</v>
      </c>
    </row>
    <row r="419" spans="1:56">
      <c r="A419" t="s">
        <v>815</v>
      </c>
      <c r="B419" t="s">
        <v>305</v>
      </c>
      <c r="D419" t="s">
        <v>64</v>
      </c>
      <c r="E419" t="s">
        <v>59</v>
      </c>
      <c r="F419" t="s">
        <v>60</v>
      </c>
      <c r="G419">
        <v>16000</v>
      </c>
      <c r="H419">
        <v>0</v>
      </c>
      <c r="I419">
        <v>0</v>
      </c>
      <c r="J419">
        <v>0</v>
      </c>
      <c r="K419">
        <v>1</v>
      </c>
      <c r="L419">
        <v>200000000</v>
      </c>
      <c r="M419">
        <v>190</v>
      </c>
      <c r="N419">
        <v>190</v>
      </c>
      <c r="O419">
        <v>190</v>
      </c>
      <c r="P419">
        <v>0</v>
      </c>
      <c r="Q419" t="s">
        <v>61</v>
      </c>
      <c r="R419">
        <v>1.00005683474583E+16</v>
      </c>
      <c r="S419">
        <v>100000000</v>
      </c>
      <c r="T419">
        <v>1.00005683474583E+16</v>
      </c>
      <c r="U419">
        <v>100000000</v>
      </c>
      <c r="V419" t="s">
        <v>71</v>
      </c>
      <c r="W419">
        <v>68</v>
      </c>
      <c r="X419">
        <v>99999999</v>
      </c>
      <c r="Y419">
        <v>100000000</v>
      </c>
      <c r="Z419">
        <v>199999999</v>
      </c>
      <c r="AA419">
        <v>100000000</v>
      </c>
      <c r="AB419">
        <v>2</v>
      </c>
      <c r="AC419">
        <v>1</v>
      </c>
      <c r="AD419">
        <v>1.5</v>
      </c>
      <c r="AE419">
        <v>35.542299999999997</v>
      </c>
      <c r="AF419">
        <v>6399999968</v>
      </c>
      <c r="AJ419" t="s">
        <v>816</v>
      </c>
      <c r="AM419">
        <v>948313450</v>
      </c>
      <c r="AN419">
        <v>0</v>
      </c>
      <c r="AO419">
        <v>0</v>
      </c>
      <c r="AP419">
        <v>948313450</v>
      </c>
      <c r="AQ419">
        <v>948313450</v>
      </c>
      <c r="AR419">
        <v>59269590</v>
      </c>
      <c r="AS419">
        <v>0</v>
      </c>
      <c r="AT419">
        <v>0</v>
      </c>
      <c r="AU419">
        <v>59269590</v>
      </c>
      <c r="AV419">
        <v>59269590</v>
      </c>
      <c r="AW419">
        <v>38.189</v>
      </c>
      <c r="AX419">
        <v>19.161799999999999</v>
      </c>
      <c r="AY419">
        <v>8927.1200000000008</v>
      </c>
      <c r="AZ419">
        <v>7778.54</v>
      </c>
      <c r="BA419">
        <v>7574</v>
      </c>
      <c r="BB419">
        <v>2834</v>
      </c>
      <c r="BC419" t="str">
        <f t="shared" si="14"/>
        <v>u=0%, k=2x10^8</v>
      </c>
      <c r="BD419">
        <f t="shared" si="15"/>
        <v>16</v>
      </c>
    </row>
    <row r="420" spans="1:56">
      <c r="A420" t="s">
        <v>817</v>
      </c>
      <c r="B420" t="s">
        <v>305</v>
      </c>
      <c r="D420" t="s">
        <v>64</v>
      </c>
      <c r="E420" t="s">
        <v>59</v>
      </c>
      <c r="F420" t="s">
        <v>60</v>
      </c>
      <c r="G420">
        <v>32000</v>
      </c>
      <c r="H420">
        <v>0</v>
      </c>
      <c r="I420">
        <v>0</v>
      </c>
      <c r="J420">
        <v>0</v>
      </c>
      <c r="K420">
        <v>1</v>
      </c>
      <c r="L420">
        <v>200000000</v>
      </c>
      <c r="M420">
        <v>190</v>
      </c>
      <c r="N420">
        <v>190</v>
      </c>
      <c r="O420">
        <v>190</v>
      </c>
      <c r="P420">
        <v>0</v>
      </c>
      <c r="Q420" t="s">
        <v>61</v>
      </c>
      <c r="R420">
        <v>9999945620347970</v>
      </c>
      <c r="S420">
        <v>100000000</v>
      </c>
      <c r="T420">
        <v>9999945620347970</v>
      </c>
      <c r="U420">
        <v>100000000</v>
      </c>
      <c r="V420" t="s">
        <v>71</v>
      </c>
      <c r="W420">
        <v>69</v>
      </c>
      <c r="X420">
        <v>99999999</v>
      </c>
      <c r="Y420">
        <v>100000000</v>
      </c>
      <c r="Z420">
        <v>199999999</v>
      </c>
      <c r="AA420">
        <v>100000000</v>
      </c>
      <c r="AB420">
        <v>2</v>
      </c>
      <c r="AC420">
        <v>1</v>
      </c>
      <c r="AD420">
        <v>1.5</v>
      </c>
      <c r="AE420">
        <v>35.541200000000003</v>
      </c>
      <c r="AF420">
        <v>6399999968</v>
      </c>
      <c r="AJ420" t="s">
        <v>818</v>
      </c>
      <c r="AM420">
        <v>1907452214</v>
      </c>
      <c r="AN420">
        <v>0</v>
      </c>
      <c r="AO420">
        <v>0</v>
      </c>
      <c r="AP420">
        <v>1907452214</v>
      </c>
      <c r="AQ420">
        <v>1907452214</v>
      </c>
      <c r="AR420">
        <v>59607881</v>
      </c>
      <c r="AS420">
        <v>0</v>
      </c>
      <c r="AT420">
        <v>0</v>
      </c>
      <c r="AU420">
        <v>59607881</v>
      </c>
      <c r="AV420">
        <v>59607881</v>
      </c>
      <c r="AW420">
        <v>38.304299999999998</v>
      </c>
      <c r="AX420">
        <v>19.304400000000001</v>
      </c>
      <c r="AY420">
        <v>8875.8799999999992</v>
      </c>
      <c r="AZ420">
        <v>7723.96</v>
      </c>
      <c r="BA420">
        <v>7576</v>
      </c>
      <c r="BB420">
        <v>2840</v>
      </c>
      <c r="BC420" t="str">
        <f t="shared" si="14"/>
        <v>u=0%, k=2x10^8</v>
      </c>
      <c r="BD420">
        <f t="shared" si="15"/>
        <v>32</v>
      </c>
    </row>
    <row r="421" spans="1:56">
      <c r="A421" t="s">
        <v>819</v>
      </c>
      <c r="B421" t="s">
        <v>305</v>
      </c>
      <c r="D421" t="s">
        <v>64</v>
      </c>
      <c r="E421" t="s">
        <v>59</v>
      </c>
      <c r="F421" t="s">
        <v>60</v>
      </c>
      <c r="G421">
        <v>64000</v>
      </c>
      <c r="H421">
        <v>0</v>
      </c>
      <c r="I421">
        <v>0</v>
      </c>
      <c r="J421">
        <v>0</v>
      </c>
      <c r="K421">
        <v>1</v>
      </c>
      <c r="L421">
        <v>200000000</v>
      </c>
      <c r="M421">
        <v>190</v>
      </c>
      <c r="N421">
        <v>190</v>
      </c>
      <c r="O421">
        <v>190</v>
      </c>
      <c r="P421">
        <v>0</v>
      </c>
      <c r="Q421" t="s">
        <v>61</v>
      </c>
      <c r="R421">
        <v>9999926618841520</v>
      </c>
      <c r="S421">
        <v>100000000</v>
      </c>
      <c r="T421">
        <v>9999926618841520</v>
      </c>
      <c r="U421">
        <v>100000000</v>
      </c>
      <c r="V421" t="s">
        <v>71</v>
      </c>
      <c r="W421">
        <v>68</v>
      </c>
      <c r="X421">
        <v>99999999</v>
      </c>
      <c r="Y421">
        <v>100000000</v>
      </c>
      <c r="Z421">
        <v>199999999</v>
      </c>
      <c r="AA421">
        <v>100000000</v>
      </c>
      <c r="AB421">
        <v>2</v>
      </c>
      <c r="AC421">
        <v>1</v>
      </c>
      <c r="AD421">
        <v>1.5</v>
      </c>
      <c r="AE421">
        <v>35.515300000000003</v>
      </c>
      <c r="AF421">
        <v>6399999968</v>
      </c>
      <c r="AJ421" t="s">
        <v>820</v>
      </c>
      <c r="AM421">
        <v>3844571470</v>
      </c>
      <c r="AN421">
        <v>0</v>
      </c>
      <c r="AO421">
        <v>0</v>
      </c>
      <c r="AP421">
        <v>3844571470</v>
      </c>
      <c r="AQ421">
        <v>3844571470</v>
      </c>
      <c r="AR421">
        <v>60071429</v>
      </c>
      <c r="AS421">
        <v>0</v>
      </c>
      <c r="AT421">
        <v>0</v>
      </c>
      <c r="AU421">
        <v>60071429</v>
      </c>
      <c r="AV421">
        <v>60071429</v>
      </c>
      <c r="AW421">
        <v>38.2087</v>
      </c>
      <c r="AX421">
        <v>19.462</v>
      </c>
      <c r="AY421">
        <v>8807.02</v>
      </c>
      <c r="AZ421">
        <v>7652.89</v>
      </c>
      <c r="BA421">
        <v>7576</v>
      </c>
      <c r="BB421">
        <v>2831</v>
      </c>
      <c r="BC421" t="str">
        <f t="shared" si="14"/>
        <v>u=0%, k=2x10^8</v>
      </c>
      <c r="BD421">
        <f t="shared" si="15"/>
        <v>64</v>
      </c>
    </row>
    <row r="422" spans="1:56">
      <c r="A422" t="s">
        <v>821</v>
      </c>
      <c r="B422" t="s">
        <v>63</v>
      </c>
      <c r="C422">
        <v>72</v>
      </c>
      <c r="D422" t="s">
        <v>64</v>
      </c>
      <c r="E422" t="s">
        <v>59</v>
      </c>
      <c r="F422" t="s">
        <v>60</v>
      </c>
      <c r="G422">
        <v>1000</v>
      </c>
      <c r="H422">
        <v>20</v>
      </c>
      <c r="I422">
        <v>20</v>
      </c>
      <c r="J422">
        <v>0</v>
      </c>
      <c r="K422">
        <v>1</v>
      </c>
      <c r="L422">
        <v>2000000</v>
      </c>
      <c r="M422">
        <v>190</v>
      </c>
      <c r="N422">
        <v>190</v>
      </c>
      <c r="O422">
        <v>190</v>
      </c>
      <c r="P422">
        <v>0</v>
      </c>
      <c r="Q422" t="s">
        <v>61</v>
      </c>
      <c r="R422">
        <v>999730841833</v>
      </c>
      <c r="S422">
        <v>1000031</v>
      </c>
      <c r="T422">
        <v>999730841833</v>
      </c>
      <c r="U422">
        <v>1000031</v>
      </c>
      <c r="V422" t="s">
        <v>71</v>
      </c>
      <c r="W422">
        <v>6</v>
      </c>
      <c r="X422">
        <v>33078</v>
      </c>
      <c r="Y422">
        <v>1032160</v>
      </c>
      <c r="Z422">
        <v>1065238</v>
      </c>
      <c r="AA422">
        <v>1000031</v>
      </c>
      <c r="AB422">
        <v>32.203800000000001</v>
      </c>
      <c r="AC422">
        <v>0.96887199999999996</v>
      </c>
      <c r="AD422">
        <v>1.93879</v>
      </c>
      <c r="AE422">
        <v>3.0000900000000001</v>
      </c>
      <c r="AF422">
        <v>19160784</v>
      </c>
      <c r="AG422" t="s">
        <v>822</v>
      </c>
      <c r="AH422" t="s">
        <v>823</v>
      </c>
      <c r="AI422">
        <v>777157</v>
      </c>
      <c r="AJ422">
        <v>670</v>
      </c>
      <c r="AM422">
        <v>56199591</v>
      </c>
      <c r="AN422">
        <v>0</v>
      </c>
      <c r="AO422">
        <v>37464002</v>
      </c>
      <c r="AP422">
        <v>56199591</v>
      </c>
      <c r="AQ422">
        <v>93663593</v>
      </c>
      <c r="AR422">
        <v>56199591</v>
      </c>
      <c r="AS422">
        <v>0</v>
      </c>
      <c r="AT422">
        <v>37464002</v>
      </c>
      <c r="AU422">
        <v>56199591</v>
      </c>
      <c r="AV422">
        <v>93663593</v>
      </c>
      <c r="AW422">
        <v>25.046099999999999</v>
      </c>
      <c r="AX422">
        <v>11.855600000000001</v>
      </c>
      <c r="AY422">
        <v>5551.89</v>
      </c>
      <c r="AZ422">
        <v>4263.71</v>
      </c>
      <c r="BA422">
        <v>1560</v>
      </c>
      <c r="BB422">
        <v>350</v>
      </c>
      <c r="BC422" t="str">
        <f t="shared" si="14"/>
        <v>u=40%, k=2x10^6</v>
      </c>
      <c r="BD422">
        <f t="shared" si="15"/>
        <v>1</v>
      </c>
    </row>
    <row r="423" spans="1:56">
      <c r="A423" t="s">
        <v>824</v>
      </c>
      <c r="B423" t="s">
        <v>63</v>
      </c>
      <c r="C423">
        <v>72</v>
      </c>
      <c r="D423" t="s">
        <v>64</v>
      </c>
      <c r="E423" t="s">
        <v>59</v>
      </c>
      <c r="F423" t="s">
        <v>60</v>
      </c>
      <c r="G423">
        <v>2000</v>
      </c>
      <c r="H423">
        <v>20</v>
      </c>
      <c r="I423">
        <v>20</v>
      </c>
      <c r="J423">
        <v>0</v>
      </c>
      <c r="K423">
        <v>1</v>
      </c>
      <c r="L423">
        <v>2000000</v>
      </c>
      <c r="M423">
        <v>190</v>
      </c>
      <c r="N423">
        <v>190</v>
      </c>
      <c r="O423">
        <v>190</v>
      </c>
      <c r="P423">
        <v>0</v>
      </c>
      <c r="Q423" t="s">
        <v>61</v>
      </c>
      <c r="R423">
        <v>999031886501</v>
      </c>
      <c r="S423">
        <v>999587</v>
      </c>
      <c r="T423">
        <v>999031886501</v>
      </c>
      <c r="U423">
        <v>999587</v>
      </c>
      <c r="V423" t="s">
        <v>71</v>
      </c>
      <c r="W423">
        <v>6</v>
      </c>
      <c r="X423">
        <v>33043</v>
      </c>
      <c r="Y423">
        <v>1031669</v>
      </c>
      <c r="Z423">
        <v>1064712</v>
      </c>
      <c r="AA423">
        <v>999587</v>
      </c>
      <c r="AB423">
        <v>32.222000000000001</v>
      </c>
      <c r="AC423">
        <v>0.96890299999999996</v>
      </c>
      <c r="AD423">
        <v>1.9388300000000001</v>
      </c>
      <c r="AE423">
        <v>3.0000800000000001</v>
      </c>
      <c r="AF423">
        <v>19150128</v>
      </c>
      <c r="AG423" t="s">
        <v>825</v>
      </c>
      <c r="AH423" t="s">
        <v>826</v>
      </c>
      <c r="AI423">
        <v>1558907</v>
      </c>
      <c r="AJ423">
        <v>1350</v>
      </c>
      <c r="AM423">
        <v>113130716</v>
      </c>
      <c r="AN423">
        <v>0</v>
      </c>
      <c r="AO423">
        <v>75419299</v>
      </c>
      <c r="AP423">
        <v>113130716</v>
      </c>
      <c r="AQ423">
        <v>188550015</v>
      </c>
      <c r="AR423">
        <v>56565358</v>
      </c>
      <c r="AS423">
        <v>0</v>
      </c>
      <c r="AT423">
        <v>37709649</v>
      </c>
      <c r="AU423">
        <v>56565358</v>
      </c>
      <c r="AV423">
        <v>94275007</v>
      </c>
      <c r="AW423">
        <v>25.079000000000001</v>
      </c>
      <c r="AX423">
        <v>11.8872</v>
      </c>
      <c r="AY423">
        <v>5589.25</v>
      </c>
      <c r="AZ423">
        <v>4307.05</v>
      </c>
      <c r="BA423">
        <v>1597</v>
      </c>
      <c r="BB423">
        <v>219</v>
      </c>
      <c r="BC423" t="str">
        <f t="shared" si="14"/>
        <v>u=40%, k=2x10^6</v>
      </c>
      <c r="BD423">
        <f t="shared" si="15"/>
        <v>2</v>
      </c>
    </row>
    <row r="424" spans="1:56">
      <c r="A424" t="s">
        <v>827</v>
      </c>
      <c r="B424" t="s">
        <v>63</v>
      </c>
      <c r="C424">
        <v>72</v>
      </c>
      <c r="D424" t="s">
        <v>64</v>
      </c>
      <c r="E424" t="s">
        <v>59</v>
      </c>
      <c r="F424" t="s">
        <v>60</v>
      </c>
      <c r="G424">
        <v>4000</v>
      </c>
      <c r="H424">
        <v>20</v>
      </c>
      <c r="I424">
        <v>20</v>
      </c>
      <c r="J424">
        <v>0</v>
      </c>
      <c r="K424">
        <v>1</v>
      </c>
      <c r="L424">
        <v>2000000</v>
      </c>
      <c r="M424">
        <v>190</v>
      </c>
      <c r="N424">
        <v>190</v>
      </c>
      <c r="O424">
        <v>190</v>
      </c>
      <c r="P424">
        <v>0</v>
      </c>
      <c r="Q424" t="s">
        <v>61</v>
      </c>
      <c r="R424">
        <v>999769241739</v>
      </c>
      <c r="S424">
        <v>999423</v>
      </c>
      <c r="T424">
        <v>999769241739</v>
      </c>
      <c r="U424">
        <v>999423</v>
      </c>
      <c r="V424" t="s">
        <v>71</v>
      </c>
      <c r="W424">
        <v>6</v>
      </c>
      <c r="X424">
        <v>33041</v>
      </c>
      <c r="Y424">
        <v>1031514</v>
      </c>
      <c r="Z424">
        <v>1064555</v>
      </c>
      <c r="AA424">
        <v>999423</v>
      </c>
      <c r="AB424">
        <v>32.219200000000001</v>
      </c>
      <c r="AC424">
        <v>0.968889</v>
      </c>
      <c r="AD424">
        <v>1.93882</v>
      </c>
      <c r="AE424">
        <v>3.0000800000000001</v>
      </c>
      <c r="AF424">
        <v>19147488</v>
      </c>
      <c r="AG424" t="s">
        <v>828</v>
      </c>
      <c r="AH424" t="s">
        <v>829</v>
      </c>
      <c r="AI424">
        <v>3117693</v>
      </c>
      <c r="AJ424">
        <v>2716</v>
      </c>
      <c r="AM424">
        <v>227112450</v>
      </c>
      <c r="AN424">
        <v>0</v>
      </c>
      <c r="AO424">
        <v>151380844</v>
      </c>
      <c r="AP424">
        <v>227112450</v>
      </c>
      <c r="AQ424">
        <v>378493294</v>
      </c>
      <c r="AR424">
        <v>56778112</v>
      </c>
      <c r="AS424">
        <v>0</v>
      </c>
      <c r="AT424">
        <v>37845211</v>
      </c>
      <c r="AU424">
        <v>56778112</v>
      </c>
      <c r="AV424">
        <v>94623323</v>
      </c>
      <c r="AW424">
        <v>25.057700000000001</v>
      </c>
      <c r="AX424">
        <v>11.9034</v>
      </c>
      <c r="AY424">
        <v>5579.86</v>
      </c>
      <c r="AZ424">
        <v>4296.46</v>
      </c>
      <c r="BA424">
        <v>1633</v>
      </c>
      <c r="BB424">
        <v>262</v>
      </c>
      <c r="BC424" t="str">
        <f t="shared" si="14"/>
        <v>u=40%, k=2x10^6</v>
      </c>
      <c r="BD424">
        <f t="shared" si="15"/>
        <v>4</v>
      </c>
    </row>
    <row r="425" spans="1:56">
      <c r="A425" t="s">
        <v>830</v>
      </c>
      <c r="B425" t="s">
        <v>63</v>
      </c>
      <c r="C425">
        <v>72</v>
      </c>
      <c r="D425" t="s">
        <v>64</v>
      </c>
      <c r="E425" t="s">
        <v>59</v>
      </c>
      <c r="F425" t="s">
        <v>60</v>
      </c>
      <c r="G425">
        <v>8000</v>
      </c>
      <c r="H425">
        <v>20</v>
      </c>
      <c r="I425">
        <v>20</v>
      </c>
      <c r="J425">
        <v>0</v>
      </c>
      <c r="K425">
        <v>1</v>
      </c>
      <c r="L425">
        <v>2000000</v>
      </c>
      <c r="M425">
        <v>190</v>
      </c>
      <c r="N425">
        <v>190</v>
      </c>
      <c r="O425">
        <v>190</v>
      </c>
      <c r="P425">
        <v>0</v>
      </c>
      <c r="Q425" t="s">
        <v>61</v>
      </c>
      <c r="R425">
        <v>1000797265262</v>
      </c>
      <c r="S425">
        <v>1000183</v>
      </c>
      <c r="T425">
        <v>1000797265262</v>
      </c>
      <c r="U425">
        <v>1000183</v>
      </c>
      <c r="V425" t="s">
        <v>71</v>
      </c>
      <c r="W425">
        <v>6</v>
      </c>
      <c r="X425">
        <v>55038</v>
      </c>
      <c r="Y425">
        <v>1077316</v>
      </c>
      <c r="Z425">
        <v>1132354</v>
      </c>
      <c r="AA425">
        <v>1000183</v>
      </c>
      <c r="AB425">
        <v>20.574000000000002</v>
      </c>
      <c r="AC425">
        <v>0.92840299999999998</v>
      </c>
      <c r="AD425">
        <v>1.8832800000000001</v>
      </c>
      <c r="AE425">
        <v>3.0461200000000002</v>
      </c>
      <c r="AF425">
        <v>21663008</v>
      </c>
      <c r="AG425" t="s">
        <v>831</v>
      </c>
      <c r="AH425" t="s">
        <v>832</v>
      </c>
      <c r="AI425">
        <v>6233604</v>
      </c>
      <c r="AJ425">
        <v>5440</v>
      </c>
      <c r="AM425">
        <v>454634500</v>
      </c>
      <c r="AN425">
        <v>0</v>
      </c>
      <c r="AO425">
        <v>303082155</v>
      </c>
      <c r="AP425">
        <v>454634500</v>
      </c>
      <c r="AQ425">
        <v>757716655</v>
      </c>
      <c r="AR425">
        <v>56829312</v>
      </c>
      <c r="AS425">
        <v>0</v>
      </c>
      <c r="AT425">
        <v>37885269</v>
      </c>
      <c r="AU425">
        <v>56829312</v>
      </c>
      <c r="AV425">
        <v>94714581</v>
      </c>
      <c r="AW425">
        <v>25.032499999999999</v>
      </c>
      <c r="AX425">
        <v>11.8995</v>
      </c>
      <c r="AY425">
        <v>5579.63</v>
      </c>
      <c r="AZ425">
        <v>4294.47</v>
      </c>
      <c r="BA425">
        <v>1672</v>
      </c>
      <c r="BB425">
        <v>309</v>
      </c>
      <c r="BC425" t="str">
        <f t="shared" si="14"/>
        <v>u=40%, k=2x10^6</v>
      </c>
      <c r="BD425">
        <f t="shared" si="15"/>
        <v>8</v>
      </c>
    </row>
    <row r="426" spans="1:56">
      <c r="A426" t="s">
        <v>833</v>
      </c>
      <c r="B426" t="s">
        <v>63</v>
      </c>
      <c r="C426">
        <v>72</v>
      </c>
      <c r="D426" t="s">
        <v>64</v>
      </c>
      <c r="E426" t="s">
        <v>59</v>
      </c>
      <c r="F426" t="s">
        <v>60</v>
      </c>
      <c r="G426">
        <v>16000</v>
      </c>
      <c r="H426">
        <v>20</v>
      </c>
      <c r="I426">
        <v>20</v>
      </c>
      <c r="J426">
        <v>0</v>
      </c>
      <c r="K426">
        <v>1</v>
      </c>
      <c r="L426">
        <v>2000000</v>
      </c>
      <c r="M426">
        <v>190</v>
      </c>
      <c r="N426">
        <v>190</v>
      </c>
      <c r="O426">
        <v>190</v>
      </c>
      <c r="P426">
        <v>0</v>
      </c>
      <c r="Q426" t="s">
        <v>61</v>
      </c>
      <c r="R426">
        <v>999513238933</v>
      </c>
      <c r="S426">
        <v>999450</v>
      </c>
      <c r="T426">
        <v>999513238933</v>
      </c>
      <c r="U426">
        <v>999450</v>
      </c>
      <c r="V426" t="s">
        <v>71</v>
      </c>
      <c r="W426">
        <v>6</v>
      </c>
      <c r="X426">
        <v>57834</v>
      </c>
      <c r="Y426">
        <v>1082493</v>
      </c>
      <c r="Z426">
        <v>1140327</v>
      </c>
      <c r="AA426">
        <v>999450</v>
      </c>
      <c r="AB426">
        <v>19.717199999999998</v>
      </c>
      <c r="AC426">
        <v>0.92328500000000002</v>
      </c>
      <c r="AD426">
        <v>1.87646</v>
      </c>
      <c r="AE426">
        <v>3.0522</v>
      </c>
      <c r="AF426">
        <v>21973920</v>
      </c>
      <c r="AG426" t="s">
        <v>834</v>
      </c>
      <c r="AH426" t="s">
        <v>835</v>
      </c>
      <c r="AI426">
        <v>12459224</v>
      </c>
      <c r="AJ426">
        <v>10858</v>
      </c>
      <c r="AM426">
        <v>908119744</v>
      </c>
      <c r="AN426">
        <v>0</v>
      </c>
      <c r="AO426">
        <v>605462839</v>
      </c>
      <c r="AP426">
        <v>908119744</v>
      </c>
      <c r="AQ426">
        <v>1513582583</v>
      </c>
      <c r="AR426">
        <v>56757484</v>
      </c>
      <c r="AS426">
        <v>0</v>
      </c>
      <c r="AT426">
        <v>37841427</v>
      </c>
      <c r="AU426">
        <v>56757484</v>
      </c>
      <c r="AV426">
        <v>94598911</v>
      </c>
      <c r="AW426">
        <v>25.0566</v>
      </c>
      <c r="AX426">
        <v>11.8957</v>
      </c>
      <c r="AY426">
        <v>5589.05</v>
      </c>
      <c r="AZ426">
        <v>4307.8</v>
      </c>
      <c r="BA426">
        <v>1698</v>
      </c>
      <c r="BB426">
        <v>331</v>
      </c>
      <c r="BC426" t="str">
        <f t="shared" si="14"/>
        <v>u=40%, k=2x10^6</v>
      </c>
      <c r="BD426">
        <f t="shared" si="15"/>
        <v>16</v>
      </c>
    </row>
    <row r="427" spans="1:56">
      <c r="A427" t="s">
        <v>836</v>
      </c>
      <c r="B427" t="s">
        <v>63</v>
      </c>
      <c r="C427">
        <v>72</v>
      </c>
      <c r="D427" t="s">
        <v>64</v>
      </c>
      <c r="E427" t="s">
        <v>59</v>
      </c>
      <c r="F427" t="s">
        <v>60</v>
      </c>
      <c r="G427">
        <v>32000</v>
      </c>
      <c r="H427">
        <v>20</v>
      </c>
      <c r="I427">
        <v>20</v>
      </c>
      <c r="J427">
        <v>0</v>
      </c>
      <c r="K427">
        <v>1</v>
      </c>
      <c r="L427">
        <v>2000000</v>
      </c>
      <c r="M427">
        <v>190</v>
      </c>
      <c r="N427">
        <v>190</v>
      </c>
      <c r="O427">
        <v>190</v>
      </c>
      <c r="P427">
        <v>0</v>
      </c>
      <c r="Q427" t="s">
        <v>61</v>
      </c>
      <c r="R427">
        <v>999909161929</v>
      </c>
      <c r="S427">
        <v>1000222</v>
      </c>
      <c r="T427">
        <v>999909161929</v>
      </c>
      <c r="U427">
        <v>1000222</v>
      </c>
      <c r="V427" t="s">
        <v>71</v>
      </c>
      <c r="W427">
        <v>6</v>
      </c>
      <c r="X427">
        <v>54204</v>
      </c>
      <c r="Y427">
        <v>1075574</v>
      </c>
      <c r="Z427">
        <v>1129778</v>
      </c>
      <c r="AA427">
        <v>1000222</v>
      </c>
      <c r="AB427">
        <v>20.8431</v>
      </c>
      <c r="AC427">
        <v>0.92994299999999996</v>
      </c>
      <c r="AD427">
        <v>1.88533</v>
      </c>
      <c r="AE427">
        <v>3.0441600000000002</v>
      </c>
      <c r="AF427">
        <v>21565824</v>
      </c>
      <c r="AG427" t="s">
        <v>837</v>
      </c>
      <c r="AH427" t="s">
        <v>838</v>
      </c>
      <c r="AI427">
        <v>24795190</v>
      </c>
      <c r="AJ427">
        <v>21628</v>
      </c>
      <c r="AM427">
        <v>1810554122</v>
      </c>
      <c r="AN427">
        <v>0</v>
      </c>
      <c r="AO427">
        <v>1207095311</v>
      </c>
      <c r="AP427">
        <v>1810554122</v>
      </c>
      <c r="AQ427">
        <v>3017649433</v>
      </c>
      <c r="AR427">
        <v>56579816</v>
      </c>
      <c r="AS427">
        <v>0</v>
      </c>
      <c r="AT427">
        <v>37721728</v>
      </c>
      <c r="AU427">
        <v>56579816</v>
      </c>
      <c r="AV427">
        <v>94301544</v>
      </c>
      <c r="AW427">
        <v>25.0565</v>
      </c>
      <c r="AX427">
        <v>11.9024</v>
      </c>
      <c r="AY427">
        <v>5604.37</v>
      </c>
      <c r="AZ427">
        <v>4310.5200000000004</v>
      </c>
      <c r="BA427">
        <v>1797</v>
      </c>
      <c r="BB427">
        <v>284</v>
      </c>
      <c r="BC427" t="str">
        <f t="shared" si="14"/>
        <v>u=40%, k=2x10^6</v>
      </c>
      <c r="BD427">
        <f t="shared" si="15"/>
        <v>32</v>
      </c>
    </row>
    <row r="428" spans="1:56">
      <c r="A428" t="s">
        <v>839</v>
      </c>
      <c r="B428" t="s">
        <v>63</v>
      </c>
      <c r="C428">
        <v>72</v>
      </c>
      <c r="D428" t="s">
        <v>64</v>
      </c>
      <c r="E428" t="s">
        <v>59</v>
      </c>
      <c r="F428" t="s">
        <v>60</v>
      </c>
      <c r="G428">
        <v>64000</v>
      </c>
      <c r="H428">
        <v>20</v>
      </c>
      <c r="I428">
        <v>20</v>
      </c>
      <c r="J428">
        <v>0</v>
      </c>
      <c r="K428">
        <v>1</v>
      </c>
      <c r="L428">
        <v>2000000</v>
      </c>
      <c r="M428">
        <v>190</v>
      </c>
      <c r="N428">
        <v>190</v>
      </c>
      <c r="O428">
        <v>190</v>
      </c>
      <c r="P428">
        <v>0</v>
      </c>
      <c r="Q428" t="s">
        <v>61</v>
      </c>
      <c r="R428">
        <v>1000199400561</v>
      </c>
      <c r="S428">
        <v>999990</v>
      </c>
      <c r="T428">
        <v>1000199400561</v>
      </c>
      <c r="U428">
        <v>999990</v>
      </c>
      <c r="V428" t="s">
        <v>71</v>
      </c>
      <c r="W428">
        <v>6</v>
      </c>
      <c r="X428">
        <v>52810</v>
      </c>
      <c r="Y428">
        <v>1071942</v>
      </c>
      <c r="Z428">
        <v>1124752</v>
      </c>
      <c r="AA428">
        <v>999990</v>
      </c>
      <c r="AB428">
        <v>21.298100000000002</v>
      </c>
      <c r="AC428">
        <v>0.93287699999999996</v>
      </c>
      <c r="AD428">
        <v>1.8890800000000001</v>
      </c>
      <c r="AE428">
        <v>3.0413899999999998</v>
      </c>
      <c r="AF428">
        <v>21395312</v>
      </c>
      <c r="AG428" t="s">
        <v>840</v>
      </c>
      <c r="AH428" t="s">
        <v>841</v>
      </c>
      <c r="AI428">
        <v>49902748</v>
      </c>
      <c r="AJ428">
        <v>43314</v>
      </c>
      <c r="AM428">
        <v>3627072268</v>
      </c>
      <c r="AN428">
        <v>0</v>
      </c>
      <c r="AO428">
        <v>2418067679</v>
      </c>
      <c r="AP428">
        <v>3627072268</v>
      </c>
      <c r="AQ428">
        <v>6045139947</v>
      </c>
      <c r="AR428">
        <v>56673004</v>
      </c>
      <c r="AS428">
        <v>0</v>
      </c>
      <c r="AT428">
        <v>37782307</v>
      </c>
      <c r="AU428">
        <v>56673004</v>
      </c>
      <c r="AV428">
        <v>94455311</v>
      </c>
      <c r="AW428">
        <v>25.061499999999999</v>
      </c>
      <c r="AX428">
        <v>11.9137</v>
      </c>
      <c r="AY428">
        <v>5592.56</v>
      </c>
      <c r="AZ428">
        <v>4313.12</v>
      </c>
      <c r="BA428">
        <v>1877</v>
      </c>
      <c r="BB428">
        <v>264</v>
      </c>
      <c r="BC428" t="str">
        <f t="shared" si="14"/>
        <v>u=40%, k=2x10^6</v>
      </c>
      <c r="BD428">
        <f t="shared" si="15"/>
        <v>64</v>
      </c>
    </row>
    <row r="429" spans="1:56">
      <c r="A429" t="s">
        <v>842</v>
      </c>
      <c r="B429" t="s">
        <v>300</v>
      </c>
      <c r="C429">
        <v>208</v>
      </c>
      <c r="D429" t="s">
        <v>64</v>
      </c>
      <c r="E429" t="s">
        <v>59</v>
      </c>
      <c r="F429" t="s">
        <v>60</v>
      </c>
      <c r="G429">
        <v>1000</v>
      </c>
      <c r="H429">
        <v>20</v>
      </c>
      <c r="I429">
        <v>20</v>
      </c>
      <c r="J429">
        <v>0</v>
      </c>
      <c r="K429">
        <v>1</v>
      </c>
      <c r="L429">
        <v>2000000</v>
      </c>
      <c r="M429">
        <v>190</v>
      </c>
      <c r="N429">
        <v>190</v>
      </c>
      <c r="O429">
        <v>190</v>
      </c>
      <c r="P429">
        <v>0</v>
      </c>
      <c r="Q429" t="s">
        <v>61</v>
      </c>
      <c r="R429">
        <v>998468653700</v>
      </c>
      <c r="S429">
        <v>999011</v>
      </c>
      <c r="T429">
        <v>998468653700</v>
      </c>
      <c r="U429">
        <v>999011</v>
      </c>
      <c r="V429" t="s">
        <v>71</v>
      </c>
      <c r="W429">
        <v>8</v>
      </c>
      <c r="X429">
        <v>30505</v>
      </c>
      <c r="Y429">
        <v>196292</v>
      </c>
      <c r="Z429">
        <v>226797</v>
      </c>
      <c r="AA429">
        <v>999011</v>
      </c>
      <c r="AB429">
        <v>7.4347500000000002</v>
      </c>
      <c r="AC429">
        <v>5.08941</v>
      </c>
      <c r="AD429">
        <v>5.4048699999999998</v>
      </c>
      <c r="AE429">
        <v>7</v>
      </c>
      <c r="AF429">
        <v>47173776</v>
      </c>
      <c r="AJ429">
        <v>1550</v>
      </c>
      <c r="AM429">
        <v>72787805</v>
      </c>
      <c r="AN429">
        <v>0</v>
      </c>
      <c r="AO429">
        <v>48525626</v>
      </c>
      <c r="AP429">
        <v>72787805</v>
      </c>
      <c r="AQ429">
        <v>121313431</v>
      </c>
      <c r="AR429">
        <v>72787805</v>
      </c>
      <c r="AS429">
        <v>0</v>
      </c>
      <c r="AT429">
        <v>48525626</v>
      </c>
      <c r="AU429">
        <v>72787805</v>
      </c>
      <c r="AV429">
        <v>121313431</v>
      </c>
      <c r="AW429">
        <v>15.673400000000001</v>
      </c>
      <c r="AX429">
        <v>5.7523200000000001</v>
      </c>
      <c r="AY429">
        <v>3879.27</v>
      </c>
      <c r="AZ429">
        <v>1661.63</v>
      </c>
      <c r="BA429">
        <v>1262</v>
      </c>
      <c r="BB429">
        <v>324</v>
      </c>
      <c r="BC429" t="str">
        <f t="shared" si="14"/>
        <v>u=40%, k=2x10^6</v>
      </c>
      <c r="BD429">
        <f t="shared" si="15"/>
        <v>1</v>
      </c>
    </row>
    <row r="430" spans="1:56">
      <c r="A430" t="s">
        <v>843</v>
      </c>
      <c r="B430" t="s">
        <v>300</v>
      </c>
      <c r="C430">
        <v>208</v>
      </c>
      <c r="D430" t="s">
        <v>64</v>
      </c>
      <c r="E430" t="s">
        <v>59</v>
      </c>
      <c r="F430" t="s">
        <v>60</v>
      </c>
      <c r="G430">
        <v>2000</v>
      </c>
      <c r="H430">
        <v>20</v>
      </c>
      <c r="I430">
        <v>20</v>
      </c>
      <c r="J430">
        <v>0</v>
      </c>
      <c r="K430">
        <v>1</v>
      </c>
      <c r="L430">
        <v>2000000</v>
      </c>
      <c r="M430">
        <v>190</v>
      </c>
      <c r="N430">
        <v>190</v>
      </c>
      <c r="O430">
        <v>190</v>
      </c>
      <c r="P430">
        <v>0</v>
      </c>
      <c r="Q430" t="s">
        <v>61</v>
      </c>
      <c r="R430">
        <v>1000247924137</v>
      </c>
      <c r="S430">
        <v>1000542</v>
      </c>
      <c r="T430">
        <v>1000247924137</v>
      </c>
      <c r="U430">
        <v>1000542</v>
      </c>
      <c r="V430" t="s">
        <v>71</v>
      </c>
      <c r="W430">
        <v>8</v>
      </c>
      <c r="X430">
        <v>31998</v>
      </c>
      <c r="Y430">
        <v>196165</v>
      </c>
      <c r="Z430">
        <v>228163</v>
      </c>
      <c r="AA430">
        <v>1000542</v>
      </c>
      <c r="AB430">
        <v>7.1305399999999999</v>
      </c>
      <c r="AC430">
        <v>5.1005099999999999</v>
      </c>
      <c r="AD430">
        <v>5.3852099999999998</v>
      </c>
      <c r="AE430">
        <v>7</v>
      </c>
      <c r="AF430">
        <v>47457904</v>
      </c>
      <c r="AJ430" t="s">
        <v>844</v>
      </c>
      <c r="AM430">
        <v>143949664</v>
      </c>
      <c r="AN430">
        <v>0</v>
      </c>
      <c r="AO430">
        <v>95995189</v>
      </c>
      <c r="AP430">
        <v>143949664</v>
      </c>
      <c r="AQ430">
        <v>239944853</v>
      </c>
      <c r="AR430">
        <v>71974832</v>
      </c>
      <c r="AS430">
        <v>0</v>
      </c>
      <c r="AT430">
        <v>47997594</v>
      </c>
      <c r="AU430">
        <v>71974832</v>
      </c>
      <c r="AV430">
        <v>119972426</v>
      </c>
      <c r="AW430">
        <v>15.680899999999999</v>
      </c>
      <c r="AX430">
        <v>5.8284399999999996</v>
      </c>
      <c r="AY430">
        <v>3906.56</v>
      </c>
      <c r="AZ430">
        <v>1672.09</v>
      </c>
      <c r="BA430">
        <v>1270</v>
      </c>
      <c r="BB430">
        <v>298</v>
      </c>
      <c r="BC430" t="str">
        <f t="shared" si="14"/>
        <v>u=40%, k=2x10^6</v>
      </c>
      <c r="BD430">
        <f t="shared" si="15"/>
        <v>2</v>
      </c>
    </row>
    <row r="431" spans="1:56">
      <c r="A431" t="s">
        <v>845</v>
      </c>
      <c r="B431" t="s">
        <v>300</v>
      </c>
      <c r="C431">
        <v>208</v>
      </c>
      <c r="D431" t="s">
        <v>64</v>
      </c>
      <c r="E431" t="s">
        <v>59</v>
      </c>
      <c r="F431" t="s">
        <v>60</v>
      </c>
      <c r="G431">
        <v>4000</v>
      </c>
      <c r="H431">
        <v>20</v>
      </c>
      <c r="I431">
        <v>20</v>
      </c>
      <c r="J431">
        <v>0</v>
      </c>
      <c r="K431">
        <v>1</v>
      </c>
      <c r="L431">
        <v>2000000</v>
      </c>
      <c r="M431">
        <v>190</v>
      </c>
      <c r="N431">
        <v>190</v>
      </c>
      <c r="O431">
        <v>190</v>
      </c>
      <c r="P431">
        <v>0</v>
      </c>
      <c r="Q431" t="s">
        <v>61</v>
      </c>
      <c r="R431">
        <v>999549302655</v>
      </c>
      <c r="S431">
        <v>999228</v>
      </c>
      <c r="T431">
        <v>999549302655</v>
      </c>
      <c r="U431">
        <v>999228</v>
      </c>
      <c r="V431" t="s">
        <v>71</v>
      </c>
      <c r="W431">
        <v>8</v>
      </c>
      <c r="X431">
        <v>33279</v>
      </c>
      <c r="Y431">
        <v>195181</v>
      </c>
      <c r="Z431">
        <v>228460</v>
      </c>
      <c r="AA431">
        <v>999228</v>
      </c>
      <c r="AB431">
        <v>6.8649899999999997</v>
      </c>
      <c r="AC431">
        <v>5.1194899999999999</v>
      </c>
      <c r="AD431">
        <v>5.3737500000000002</v>
      </c>
      <c r="AE431">
        <v>7</v>
      </c>
      <c r="AF431">
        <v>47519680</v>
      </c>
      <c r="AJ431" t="s">
        <v>846</v>
      </c>
      <c r="AM431">
        <v>292068051</v>
      </c>
      <c r="AN431">
        <v>0</v>
      </c>
      <c r="AO431">
        <v>194708367</v>
      </c>
      <c r="AP431">
        <v>292068051</v>
      </c>
      <c r="AQ431">
        <v>486776418</v>
      </c>
      <c r="AR431">
        <v>73017012</v>
      </c>
      <c r="AS431">
        <v>0</v>
      </c>
      <c r="AT431">
        <v>48677091</v>
      </c>
      <c r="AU431">
        <v>73017012</v>
      </c>
      <c r="AV431">
        <v>121694104</v>
      </c>
      <c r="AW431">
        <v>15.789199999999999</v>
      </c>
      <c r="AX431">
        <v>5.8304600000000004</v>
      </c>
      <c r="AY431">
        <v>3901.15</v>
      </c>
      <c r="AZ431">
        <v>1691.44</v>
      </c>
      <c r="BA431">
        <v>1273</v>
      </c>
      <c r="BB431">
        <v>312</v>
      </c>
      <c r="BC431" t="str">
        <f t="shared" si="14"/>
        <v>u=40%, k=2x10^6</v>
      </c>
      <c r="BD431">
        <f t="shared" si="15"/>
        <v>4</v>
      </c>
    </row>
    <row r="432" spans="1:56">
      <c r="A432" t="s">
        <v>847</v>
      </c>
      <c r="B432" t="s">
        <v>300</v>
      </c>
      <c r="C432">
        <v>208</v>
      </c>
      <c r="D432" t="s">
        <v>64</v>
      </c>
      <c r="E432" t="s">
        <v>59</v>
      </c>
      <c r="F432" t="s">
        <v>60</v>
      </c>
      <c r="G432">
        <v>8000</v>
      </c>
      <c r="H432">
        <v>20</v>
      </c>
      <c r="I432">
        <v>20</v>
      </c>
      <c r="J432">
        <v>0</v>
      </c>
      <c r="K432">
        <v>1</v>
      </c>
      <c r="L432">
        <v>2000000</v>
      </c>
      <c r="M432">
        <v>190</v>
      </c>
      <c r="N432">
        <v>190</v>
      </c>
      <c r="O432">
        <v>190</v>
      </c>
      <c r="P432">
        <v>0</v>
      </c>
      <c r="Q432" t="s">
        <v>61</v>
      </c>
      <c r="R432">
        <v>1000672884178</v>
      </c>
      <c r="S432">
        <v>999764</v>
      </c>
      <c r="T432">
        <v>1000672884178</v>
      </c>
      <c r="U432">
        <v>999764</v>
      </c>
      <c r="V432" t="s">
        <v>71</v>
      </c>
      <c r="W432">
        <v>8</v>
      </c>
      <c r="X432">
        <v>34261</v>
      </c>
      <c r="Y432">
        <v>195142</v>
      </c>
      <c r="Z432">
        <v>229403</v>
      </c>
      <c r="AA432">
        <v>999764</v>
      </c>
      <c r="AB432">
        <v>6.6957500000000003</v>
      </c>
      <c r="AC432">
        <v>5.1232600000000001</v>
      </c>
      <c r="AD432">
        <v>5.3581099999999999</v>
      </c>
      <c r="AE432">
        <v>7</v>
      </c>
      <c r="AF432">
        <v>47715824</v>
      </c>
      <c r="AJ432">
        <v>11082</v>
      </c>
      <c r="AM432">
        <v>588583151</v>
      </c>
      <c r="AN432">
        <v>0</v>
      </c>
      <c r="AO432">
        <v>392378614</v>
      </c>
      <c r="AP432">
        <v>588583151</v>
      </c>
      <c r="AQ432">
        <v>980961765</v>
      </c>
      <c r="AR432">
        <v>73572893</v>
      </c>
      <c r="AS432">
        <v>0</v>
      </c>
      <c r="AT432">
        <v>49047326</v>
      </c>
      <c r="AU432">
        <v>73572893</v>
      </c>
      <c r="AV432">
        <v>122620220</v>
      </c>
      <c r="AW432">
        <v>15.9122</v>
      </c>
      <c r="AX432">
        <v>5.8646200000000004</v>
      </c>
      <c r="AY432">
        <v>3889.1</v>
      </c>
      <c r="AZ432">
        <v>1685.25</v>
      </c>
      <c r="BA432">
        <v>1279</v>
      </c>
      <c r="BB432">
        <v>323</v>
      </c>
      <c r="BC432" t="str">
        <f t="shared" si="14"/>
        <v>u=40%, k=2x10^6</v>
      </c>
      <c r="BD432">
        <f t="shared" si="15"/>
        <v>8</v>
      </c>
    </row>
    <row r="433" spans="1:56">
      <c r="A433" t="s">
        <v>848</v>
      </c>
      <c r="B433" t="s">
        <v>300</v>
      </c>
      <c r="C433">
        <v>208</v>
      </c>
      <c r="D433" t="s">
        <v>64</v>
      </c>
      <c r="E433" t="s">
        <v>59</v>
      </c>
      <c r="F433" t="s">
        <v>60</v>
      </c>
      <c r="G433">
        <v>16000</v>
      </c>
      <c r="H433">
        <v>20</v>
      </c>
      <c r="I433">
        <v>20</v>
      </c>
      <c r="J433">
        <v>0</v>
      </c>
      <c r="K433">
        <v>1</v>
      </c>
      <c r="L433">
        <v>2000000</v>
      </c>
      <c r="M433">
        <v>190</v>
      </c>
      <c r="N433">
        <v>190</v>
      </c>
      <c r="O433">
        <v>190</v>
      </c>
      <c r="P433">
        <v>0</v>
      </c>
      <c r="Q433" t="s">
        <v>61</v>
      </c>
      <c r="R433">
        <v>998864875424</v>
      </c>
      <c r="S433">
        <v>998676</v>
      </c>
      <c r="T433">
        <v>998864875424</v>
      </c>
      <c r="U433">
        <v>998676</v>
      </c>
      <c r="V433" t="s">
        <v>71</v>
      </c>
      <c r="W433">
        <v>8</v>
      </c>
      <c r="X433">
        <v>35070</v>
      </c>
      <c r="Y433">
        <v>194758</v>
      </c>
      <c r="Z433">
        <v>229828</v>
      </c>
      <c r="AA433">
        <v>998676</v>
      </c>
      <c r="AB433">
        <v>6.5534100000000004</v>
      </c>
      <c r="AC433">
        <v>5.1277799999999996</v>
      </c>
      <c r="AD433">
        <v>5.3453200000000001</v>
      </c>
      <c r="AE433">
        <v>7</v>
      </c>
      <c r="AF433">
        <v>47804224</v>
      </c>
      <c r="AJ433">
        <v>21808</v>
      </c>
      <c r="AM433">
        <v>1188774311</v>
      </c>
      <c r="AN433">
        <v>0</v>
      </c>
      <c r="AO433">
        <v>792564018</v>
      </c>
      <c r="AP433">
        <v>1188774311</v>
      </c>
      <c r="AQ433">
        <v>1981338329</v>
      </c>
      <c r="AR433">
        <v>74298394</v>
      </c>
      <c r="AS433">
        <v>0</v>
      </c>
      <c r="AT433">
        <v>49535251</v>
      </c>
      <c r="AU433">
        <v>74298394</v>
      </c>
      <c r="AV433">
        <v>123833645</v>
      </c>
      <c r="AW433">
        <v>15.977399999999999</v>
      </c>
      <c r="AX433">
        <v>5.8651999999999997</v>
      </c>
      <c r="AY433">
        <v>3879.27</v>
      </c>
      <c r="AZ433">
        <v>1690.36</v>
      </c>
      <c r="BA433">
        <v>1282</v>
      </c>
      <c r="BB433">
        <v>304</v>
      </c>
      <c r="BC433" t="str">
        <f t="shared" si="14"/>
        <v>u=40%, k=2x10^6</v>
      </c>
      <c r="BD433">
        <f t="shared" si="15"/>
        <v>16</v>
      </c>
    </row>
    <row r="434" spans="1:56">
      <c r="A434" t="s">
        <v>849</v>
      </c>
      <c r="B434" t="s">
        <v>300</v>
      </c>
      <c r="C434">
        <v>208</v>
      </c>
      <c r="D434" t="s">
        <v>64</v>
      </c>
      <c r="E434" t="s">
        <v>59</v>
      </c>
      <c r="F434" t="s">
        <v>60</v>
      </c>
      <c r="G434">
        <v>32000</v>
      </c>
      <c r="H434">
        <v>20</v>
      </c>
      <c r="I434">
        <v>20</v>
      </c>
      <c r="J434">
        <v>0</v>
      </c>
      <c r="K434">
        <v>1</v>
      </c>
      <c r="L434">
        <v>2000000</v>
      </c>
      <c r="M434">
        <v>190</v>
      </c>
      <c r="N434">
        <v>190</v>
      </c>
      <c r="O434">
        <v>190</v>
      </c>
      <c r="P434">
        <v>0</v>
      </c>
      <c r="Q434" t="s">
        <v>61</v>
      </c>
      <c r="R434">
        <v>999484372735</v>
      </c>
      <c r="S434">
        <v>999717</v>
      </c>
      <c r="T434">
        <v>999484372735</v>
      </c>
      <c r="U434">
        <v>999717</v>
      </c>
      <c r="V434" t="s">
        <v>71</v>
      </c>
      <c r="W434">
        <v>8</v>
      </c>
      <c r="X434">
        <v>35966</v>
      </c>
      <c r="Y434">
        <v>194600</v>
      </c>
      <c r="Z434">
        <v>230566</v>
      </c>
      <c r="AA434">
        <v>999717</v>
      </c>
      <c r="AB434">
        <v>6.4106699999999996</v>
      </c>
      <c r="AC434">
        <v>5.1372900000000001</v>
      </c>
      <c r="AD434">
        <v>5.3359300000000003</v>
      </c>
      <c r="AE434">
        <v>7</v>
      </c>
      <c r="AF434">
        <v>47957728</v>
      </c>
      <c r="AJ434">
        <v>43502</v>
      </c>
      <c r="AM434">
        <v>2362791323</v>
      </c>
      <c r="AN434">
        <v>0</v>
      </c>
      <c r="AO434">
        <v>1575110205</v>
      </c>
      <c r="AP434">
        <v>2362791323</v>
      </c>
      <c r="AQ434">
        <v>3937901528</v>
      </c>
      <c r="AR434">
        <v>73837228</v>
      </c>
      <c r="AS434">
        <v>0</v>
      </c>
      <c r="AT434">
        <v>49222193</v>
      </c>
      <c r="AU434">
        <v>73837228</v>
      </c>
      <c r="AV434">
        <v>123059422</v>
      </c>
      <c r="AW434">
        <v>16.103999999999999</v>
      </c>
      <c r="AX434">
        <v>5.8792299999999997</v>
      </c>
      <c r="AY434">
        <v>3887.36</v>
      </c>
      <c r="AZ434">
        <v>1691.02</v>
      </c>
      <c r="BA434">
        <v>1375</v>
      </c>
      <c r="BB434">
        <v>307</v>
      </c>
      <c r="BC434" t="str">
        <f t="shared" si="14"/>
        <v>u=40%, k=2x10^6</v>
      </c>
      <c r="BD434">
        <f t="shared" si="15"/>
        <v>32</v>
      </c>
    </row>
    <row r="435" spans="1:56">
      <c r="A435" t="s">
        <v>850</v>
      </c>
      <c r="B435" t="s">
        <v>300</v>
      </c>
      <c r="C435">
        <v>208</v>
      </c>
      <c r="D435" t="s">
        <v>64</v>
      </c>
      <c r="E435" t="s">
        <v>59</v>
      </c>
      <c r="F435" t="s">
        <v>60</v>
      </c>
      <c r="G435">
        <v>64000</v>
      </c>
      <c r="H435">
        <v>20</v>
      </c>
      <c r="I435">
        <v>20</v>
      </c>
      <c r="J435">
        <v>0</v>
      </c>
      <c r="K435">
        <v>1</v>
      </c>
      <c r="L435">
        <v>2000000</v>
      </c>
      <c r="M435">
        <v>190</v>
      </c>
      <c r="N435">
        <v>190</v>
      </c>
      <c r="O435">
        <v>190</v>
      </c>
      <c r="P435">
        <v>0</v>
      </c>
      <c r="Q435" t="s">
        <v>61</v>
      </c>
      <c r="R435">
        <v>1000031208718</v>
      </c>
      <c r="S435">
        <v>1000053</v>
      </c>
      <c r="T435">
        <v>1000031208718</v>
      </c>
      <c r="U435">
        <v>1000053</v>
      </c>
      <c r="V435" t="s">
        <v>71</v>
      </c>
      <c r="W435">
        <v>8</v>
      </c>
      <c r="X435">
        <v>36676</v>
      </c>
      <c r="Y435">
        <v>194524</v>
      </c>
      <c r="Z435">
        <v>231200</v>
      </c>
      <c r="AA435">
        <v>1000053</v>
      </c>
      <c r="AB435">
        <v>6.3038499999999997</v>
      </c>
      <c r="AC435">
        <v>5.1410299999999998</v>
      </c>
      <c r="AD435">
        <v>5.3254900000000003</v>
      </c>
      <c r="AE435">
        <v>7</v>
      </c>
      <c r="AF435">
        <v>48089600</v>
      </c>
      <c r="AJ435">
        <v>86274</v>
      </c>
      <c r="AM435">
        <v>4744774839</v>
      </c>
      <c r="AN435">
        <v>0</v>
      </c>
      <c r="AO435">
        <v>3163325773</v>
      </c>
      <c r="AP435">
        <v>4744774839</v>
      </c>
      <c r="AQ435">
        <v>7908100612</v>
      </c>
      <c r="AR435">
        <v>74137106</v>
      </c>
      <c r="AS435">
        <v>0</v>
      </c>
      <c r="AT435">
        <v>49426965</v>
      </c>
      <c r="AU435">
        <v>74137106</v>
      </c>
      <c r="AV435">
        <v>123564072</v>
      </c>
      <c r="AW435">
        <v>16.183599999999998</v>
      </c>
      <c r="AX435">
        <v>5.8998600000000003</v>
      </c>
      <c r="AY435">
        <v>3889.79</v>
      </c>
      <c r="AZ435">
        <v>1695.34</v>
      </c>
      <c r="BA435">
        <v>1416</v>
      </c>
      <c r="BB435">
        <v>332</v>
      </c>
      <c r="BC435" t="str">
        <f t="shared" si="14"/>
        <v>u=40%, k=2x10^6</v>
      </c>
      <c r="BD435">
        <f t="shared" si="15"/>
        <v>64</v>
      </c>
    </row>
    <row r="436" spans="1:56">
      <c r="A436" t="s">
        <v>851</v>
      </c>
      <c r="B436" t="s">
        <v>105</v>
      </c>
      <c r="D436" t="s">
        <v>64</v>
      </c>
      <c r="E436" t="s">
        <v>59</v>
      </c>
      <c r="F436" t="s">
        <v>60</v>
      </c>
      <c r="G436">
        <v>1000</v>
      </c>
      <c r="H436">
        <v>20</v>
      </c>
      <c r="I436">
        <v>20</v>
      </c>
      <c r="J436">
        <v>0</v>
      </c>
      <c r="K436">
        <v>1</v>
      </c>
      <c r="L436">
        <v>2000000</v>
      </c>
      <c r="M436">
        <v>190</v>
      </c>
      <c r="N436">
        <v>190</v>
      </c>
      <c r="O436">
        <v>190</v>
      </c>
      <c r="P436">
        <v>0</v>
      </c>
      <c r="Q436" t="s">
        <v>61</v>
      </c>
      <c r="R436">
        <v>1000409563326</v>
      </c>
      <c r="S436">
        <v>1000155</v>
      </c>
      <c r="T436">
        <v>1000409563326</v>
      </c>
      <c r="U436">
        <v>1000155</v>
      </c>
      <c r="V436" t="s">
        <v>71</v>
      </c>
      <c r="W436">
        <v>25</v>
      </c>
      <c r="X436">
        <v>685937</v>
      </c>
      <c r="Y436">
        <v>520545</v>
      </c>
      <c r="Z436">
        <v>1206482</v>
      </c>
      <c r="AA436">
        <v>1000155</v>
      </c>
      <c r="AB436">
        <v>1.75888</v>
      </c>
      <c r="AC436">
        <v>1.92136</v>
      </c>
      <c r="AD436">
        <v>1.8289800000000001</v>
      </c>
      <c r="AE436">
        <v>19.8825</v>
      </c>
      <c r="AF436">
        <v>67562992</v>
      </c>
      <c r="AJ436">
        <v>1082</v>
      </c>
      <c r="AM436">
        <v>81426029</v>
      </c>
      <c r="AN436">
        <v>0</v>
      </c>
      <c r="AO436">
        <v>54278762</v>
      </c>
      <c r="AP436">
        <v>81426029</v>
      </c>
      <c r="AQ436">
        <v>135704791</v>
      </c>
      <c r="AR436">
        <v>81426029</v>
      </c>
      <c r="AS436">
        <v>0</v>
      </c>
      <c r="AT436">
        <v>54278762</v>
      </c>
      <c r="AU436">
        <v>81426029</v>
      </c>
      <c r="AV436">
        <v>135704791</v>
      </c>
      <c r="AW436">
        <v>20.525400000000001</v>
      </c>
      <c r="AX436">
        <v>4.9614099999999999</v>
      </c>
      <c r="AY436">
        <v>3867.05</v>
      </c>
      <c r="AZ436">
        <v>1972.07</v>
      </c>
      <c r="BA436">
        <v>1239</v>
      </c>
      <c r="BB436">
        <v>232</v>
      </c>
      <c r="BC436" t="str">
        <f t="shared" si="14"/>
        <v>u=40%, k=2x10^6</v>
      </c>
      <c r="BD436">
        <f t="shared" si="15"/>
        <v>1</v>
      </c>
    </row>
    <row r="437" spans="1:56">
      <c r="A437" t="s">
        <v>852</v>
      </c>
      <c r="B437" t="s">
        <v>105</v>
      </c>
      <c r="D437" t="s">
        <v>64</v>
      </c>
      <c r="E437" t="s">
        <v>59</v>
      </c>
      <c r="F437" t="s">
        <v>60</v>
      </c>
      <c r="G437">
        <v>2000</v>
      </c>
      <c r="H437">
        <v>20</v>
      </c>
      <c r="I437">
        <v>20</v>
      </c>
      <c r="J437">
        <v>0</v>
      </c>
      <c r="K437">
        <v>1</v>
      </c>
      <c r="L437">
        <v>2000000</v>
      </c>
      <c r="M437">
        <v>190</v>
      </c>
      <c r="N437">
        <v>190</v>
      </c>
      <c r="O437">
        <v>190</v>
      </c>
      <c r="P437">
        <v>0</v>
      </c>
      <c r="Q437" t="s">
        <v>61</v>
      </c>
      <c r="R437">
        <v>1000856632645</v>
      </c>
      <c r="S437">
        <v>999934</v>
      </c>
      <c r="T437">
        <v>1000856632645</v>
      </c>
      <c r="U437">
        <v>999934</v>
      </c>
      <c r="V437" t="s">
        <v>71</v>
      </c>
      <c r="W437">
        <v>25</v>
      </c>
      <c r="X437">
        <v>686113</v>
      </c>
      <c r="Y437">
        <v>520293</v>
      </c>
      <c r="Z437">
        <v>1206406</v>
      </c>
      <c r="AA437">
        <v>999934</v>
      </c>
      <c r="AB437">
        <v>1.7583200000000001</v>
      </c>
      <c r="AC437">
        <v>1.92187</v>
      </c>
      <c r="AD437">
        <v>1.8288500000000001</v>
      </c>
      <c r="AE437">
        <v>19.843800000000002</v>
      </c>
      <c r="AF437">
        <v>67558736</v>
      </c>
      <c r="AJ437">
        <v>2092</v>
      </c>
      <c r="AM437">
        <v>171192095</v>
      </c>
      <c r="AN437">
        <v>0</v>
      </c>
      <c r="AO437">
        <v>114134775</v>
      </c>
      <c r="AP437">
        <v>171192095</v>
      </c>
      <c r="AQ437">
        <v>285326870</v>
      </c>
      <c r="AR437">
        <v>85596047</v>
      </c>
      <c r="AS437">
        <v>0</v>
      </c>
      <c r="AT437">
        <v>57067387</v>
      </c>
      <c r="AU437">
        <v>85596047</v>
      </c>
      <c r="AV437">
        <v>142663435</v>
      </c>
      <c r="AW437">
        <v>20.842099999999999</v>
      </c>
      <c r="AX437">
        <v>4.9802600000000004</v>
      </c>
      <c r="AY437">
        <v>3671.38</v>
      </c>
      <c r="AZ437">
        <v>1972.47</v>
      </c>
      <c r="BA437">
        <v>1249</v>
      </c>
      <c r="BB437">
        <v>363</v>
      </c>
      <c r="BC437" t="str">
        <f t="shared" si="14"/>
        <v>u=40%, k=2x10^6</v>
      </c>
      <c r="BD437">
        <f t="shared" si="15"/>
        <v>2</v>
      </c>
    </row>
    <row r="438" spans="1:56">
      <c r="A438" t="s">
        <v>853</v>
      </c>
      <c r="B438" t="s">
        <v>105</v>
      </c>
      <c r="D438" t="s">
        <v>64</v>
      </c>
      <c r="E438" t="s">
        <v>59</v>
      </c>
      <c r="F438" t="s">
        <v>60</v>
      </c>
      <c r="G438">
        <v>4000</v>
      </c>
      <c r="H438">
        <v>20</v>
      </c>
      <c r="I438">
        <v>20</v>
      </c>
      <c r="J438">
        <v>0</v>
      </c>
      <c r="K438">
        <v>1</v>
      </c>
      <c r="L438">
        <v>2000000</v>
      </c>
      <c r="M438">
        <v>190</v>
      </c>
      <c r="N438">
        <v>190</v>
      </c>
      <c r="O438">
        <v>190</v>
      </c>
      <c r="P438">
        <v>0</v>
      </c>
      <c r="Q438" t="s">
        <v>61</v>
      </c>
      <c r="R438">
        <v>1000110422309</v>
      </c>
      <c r="S438">
        <v>1000197</v>
      </c>
      <c r="T438">
        <v>1000110422309</v>
      </c>
      <c r="U438">
        <v>1000197</v>
      </c>
      <c r="V438" t="s">
        <v>71</v>
      </c>
      <c r="W438">
        <v>25</v>
      </c>
      <c r="X438">
        <v>686064</v>
      </c>
      <c r="Y438">
        <v>520186</v>
      </c>
      <c r="Z438">
        <v>1206250</v>
      </c>
      <c r="AA438">
        <v>1000197</v>
      </c>
      <c r="AB438">
        <v>1.7582199999999999</v>
      </c>
      <c r="AC438">
        <v>1.9227700000000001</v>
      </c>
      <c r="AD438">
        <v>1.82918</v>
      </c>
      <c r="AE438">
        <v>19.8461</v>
      </c>
      <c r="AF438">
        <v>67550000</v>
      </c>
      <c r="AJ438">
        <v>3878</v>
      </c>
      <c r="AM438">
        <v>342575671</v>
      </c>
      <c r="AN438">
        <v>0</v>
      </c>
      <c r="AO438">
        <v>228376091</v>
      </c>
      <c r="AP438">
        <v>342575671</v>
      </c>
      <c r="AQ438">
        <v>570951762</v>
      </c>
      <c r="AR438">
        <v>85643917</v>
      </c>
      <c r="AS438">
        <v>0</v>
      </c>
      <c r="AT438">
        <v>57094022</v>
      </c>
      <c r="AU438">
        <v>85643917</v>
      </c>
      <c r="AV438">
        <v>142737940</v>
      </c>
      <c r="AW438">
        <v>21.198499999999999</v>
      </c>
      <c r="AX438">
        <v>4.9561900000000003</v>
      </c>
      <c r="AY438">
        <v>3677.63</v>
      </c>
      <c r="AZ438">
        <v>2053.64</v>
      </c>
      <c r="BA438">
        <v>1253</v>
      </c>
      <c r="BB438">
        <v>368</v>
      </c>
      <c r="BC438" t="str">
        <f t="shared" si="14"/>
        <v>u=40%, k=2x10^6</v>
      </c>
      <c r="BD438">
        <f t="shared" si="15"/>
        <v>4</v>
      </c>
    </row>
    <row r="439" spans="1:56">
      <c r="A439" t="s">
        <v>854</v>
      </c>
      <c r="B439" t="s">
        <v>105</v>
      </c>
      <c r="D439" t="s">
        <v>64</v>
      </c>
      <c r="E439" t="s">
        <v>59</v>
      </c>
      <c r="F439" t="s">
        <v>60</v>
      </c>
      <c r="G439">
        <v>8000</v>
      </c>
      <c r="H439">
        <v>20</v>
      </c>
      <c r="I439">
        <v>20</v>
      </c>
      <c r="J439">
        <v>0</v>
      </c>
      <c r="K439">
        <v>1</v>
      </c>
      <c r="L439">
        <v>2000000</v>
      </c>
      <c r="M439">
        <v>190</v>
      </c>
      <c r="N439">
        <v>190</v>
      </c>
      <c r="O439">
        <v>190</v>
      </c>
      <c r="P439">
        <v>0</v>
      </c>
      <c r="Q439" t="s">
        <v>61</v>
      </c>
      <c r="R439">
        <v>1000659586390</v>
      </c>
      <c r="S439">
        <v>1000615</v>
      </c>
      <c r="T439">
        <v>1000659586390</v>
      </c>
      <c r="U439">
        <v>1000615</v>
      </c>
      <c r="V439" t="s">
        <v>71</v>
      </c>
      <c r="W439">
        <v>25</v>
      </c>
      <c r="X439">
        <v>685802</v>
      </c>
      <c r="Y439">
        <v>520230</v>
      </c>
      <c r="Z439">
        <v>1206032</v>
      </c>
      <c r="AA439">
        <v>1000615</v>
      </c>
      <c r="AB439">
        <v>1.75857</v>
      </c>
      <c r="AC439">
        <v>1.9234100000000001</v>
      </c>
      <c r="AD439">
        <v>1.82968</v>
      </c>
      <c r="AE439">
        <v>19.8261</v>
      </c>
      <c r="AF439">
        <v>67537792</v>
      </c>
      <c r="AJ439">
        <v>7300</v>
      </c>
      <c r="AM439">
        <v>682978766</v>
      </c>
      <c r="AN439">
        <v>0</v>
      </c>
      <c r="AO439">
        <v>455302306</v>
      </c>
      <c r="AP439">
        <v>682978766</v>
      </c>
      <c r="AQ439">
        <v>1138281072</v>
      </c>
      <c r="AR439">
        <v>85372345</v>
      </c>
      <c r="AS439">
        <v>0</v>
      </c>
      <c r="AT439">
        <v>56912788</v>
      </c>
      <c r="AU439">
        <v>85372345</v>
      </c>
      <c r="AV439">
        <v>142285134</v>
      </c>
      <c r="AW439">
        <v>21.4618</v>
      </c>
      <c r="AX439">
        <v>4.9238799999999996</v>
      </c>
      <c r="AY439">
        <v>3689.04</v>
      </c>
      <c r="AZ439">
        <v>2091.36</v>
      </c>
      <c r="BA439">
        <v>1255</v>
      </c>
      <c r="BB439">
        <v>272</v>
      </c>
      <c r="BC439" t="str">
        <f t="shared" si="14"/>
        <v>u=40%, k=2x10^6</v>
      </c>
      <c r="BD439">
        <f t="shared" si="15"/>
        <v>8</v>
      </c>
    </row>
    <row r="440" spans="1:56">
      <c r="A440" t="s">
        <v>855</v>
      </c>
      <c r="B440" t="s">
        <v>105</v>
      </c>
      <c r="D440" t="s">
        <v>64</v>
      </c>
      <c r="E440" t="s">
        <v>59</v>
      </c>
      <c r="F440" t="s">
        <v>60</v>
      </c>
      <c r="G440">
        <v>16000</v>
      </c>
      <c r="H440">
        <v>20</v>
      </c>
      <c r="I440">
        <v>20</v>
      </c>
      <c r="J440">
        <v>0</v>
      </c>
      <c r="K440">
        <v>1</v>
      </c>
      <c r="L440">
        <v>2000000</v>
      </c>
      <c r="M440">
        <v>190</v>
      </c>
      <c r="N440">
        <v>190</v>
      </c>
      <c r="O440">
        <v>190</v>
      </c>
      <c r="P440">
        <v>0</v>
      </c>
      <c r="Q440" t="s">
        <v>61</v>
      </c>
      <c r="R440">
        <v>1000030955842</v>
      </c>
      <c r="S440">
        <v>1000294</v>
      </c>
      <c r="T440">
        <v>1000030955842</v>
      </c>
      <c r="U440">
        <v>1000294</v>
      </c>
      <c r="V440" t="s">
        <v>71</v>
      </c>
      <c r="W440">
        <v>25</v>
      </c>
      <c r="X440">
        <v>686553</v>
      </c>
      <c r="Y440">
        <v>520261</v>
      </c>
      <c r="Z440">
        <v>1206814</v>
      </c>
      <c r="AA440">
        <v>1000294</v>
      </c>
      <c r="AB440">
        <v>1.75779</v>
      </c>
      <c r="AC440">
        <v>1.9226799999999999</v>
      </c>
      <c r="AD440">
        <v>1.82887</v>
      </c>
      <c r="AE440">
        <v>19.853100000000001</v>
      </c>
      <c r="AF440">
        <v>67581584</v>
      </c>
      <c r="AJ440">
        <v>14362</v>
      </c>
      <c r="AM440">
        <v>1372928471</v>
      </c>
      <c r="AN440">
        <v>0</v>
      </c>
      <c r="AO440">
        <v>915278790</v>
      </c>
      <c r="AP440">
        <v>1372928471</v>
      </c>
      <c r="AQ440">
        <v>2288207261</v>
      </c>
      <c r="AR440">
        <v>85808029</v>
      </c>
      <c r="AS440">
        <v>0</v>
      </c>
      <c r="AT440">
        <v>57204924</v>
      </c>
      <c r="AU440">
        <v>85808029</v>
      </c>
      <c r="AV440">
        <v>143012953</v>
      </c>
      <c r="AW440">
        <v>21.600100000000001</v>
      </c>
      <c r="AX440">
        <v>4.9165000000000001</v>
      </c>
      <c r="AY440">
        <v>3667.19</v>
      </c>
      <c r="AZ440">
        <v>2104.19</v>
      </c>
      <c r="BA440">
        <v>1256</v>
      </c>
      <c r="BB440">
        <v>245</v>
      </c>
      <c r="BC440" t="str">
        <f t="shared" si="14"/>
        <v>u=40%, k=2x10^6</v>
      </c>
      <c r="BD440">
        <f t="shared" si="15"/>
        <v>16</v>
      </c>
    </row>
    <row r="441" spans="1:56">
      <c r="A441" t="s">
        <v>856</v>
      </c>
      <c r="B441" t="s">
        <v>105</v>
      </c>
      <c r="D441" t="s">
        <v>64</v>
      </c>
      <c r="E441" t="s">
        <v>59</v>
      </c>
      <c r="F441" t="s">
        <v>60</v>
      </c>
      <c r="G441">
        <v>32000</v>
      </c>
      <c r="H441">
        <v>20</v>
      </c>
      <c r="I441">
        <v>20</v>
      </c>
      <c r="J441">
        <v>0</v>
      </c>
      <c r="K441">
        <v>1</v>
      </c>
      <c r="L441">
        <v>2000000</v>
      </c>
      <c r="M441">
        <v>190</v>
      </c>
      <c r="N441">
        <v>190</v>
      </c>
      <c r="O441">
        <v>190</v>
      </c>
      <c r="P441">
        <v>0</v>
      </c>
      <c r="Q441" t="s">
        <v>61</v>
      </c>
      <c r="R441">
        <v>1000107258392</v>
      </c>
      <c r="S441">
        <v>999668</v>
      </c>
      <c r="T441">
        <v>1000107258392</v>
      </c>
      <c r="U441">
        <v>999668</v>
      </c>
      <c r="V441" t="s">
        <v>71</v>
      </c>
      <c r="W441">
        <v>25</v>
      </c>
      <c r="X441">
        <v>685369</v>
      </c>
      <c r="Y441">
        <v>520281</v>
      </c>
      <c r="Z441">
        <v>1205650</v>
      </c>
      <c r="AA441">
        <v>999668</v>
      </c>
      <c r="AB441">
        <v>1.7591300000000001</v>
      </c>
      <c r="AC441">
        <v>1.9214</v>
      </c>
      <c r="AD441">
        <v>1.8291500000000001</v>
      </c>
      <c r="AE441">
        <v>19.7849</v>
      </c>
      <c r="AF441">
        <v>67516400</v>
      </c>
      <c r="AJ441">
        <v>28434</v>
      </c>
      <c r="AM441">
        <v>2725800454</v>
      </c>
      <c r="AN441">
        <v>0</v>
      </c>
      <c r="AO441">
        <v>1817193590</v>
      </c>
      <c r="AP441">
        <v>2725800454</v>
      </c>
      <c r="AQ441">
        <v>4542994044</v>
      </c>
      <c r="AR441">
        <v>85181264</v>
      </c>
      <c r="AS441">
        <v>0</v>
      </c>
      <c r="AT441">
        <v>56787299</v>
      </c>
      <c r="AU441">
        <v>85181264</v>
      </c>
      <c r="AV441">
        <v>141968563</v>
      </c>
      <c r="AW441">
        <v>21.744499999999999</v>
      </c>
      <c r="AX441">
        <v>4.90036</v>
      </c>
      <c r="AY441">
        <v>3685.28</v>
      </c>
      <c r="AZ441">
        <v>2127.4899999999998</v>
      </c>
      <c r="BA441">
        <v>1257</v>
      </c>
      <c r="BB441">
        <v>373</v>
      </c>
      <c r="BC441" t="str">
        <f t="shared" si="14"/>
        <v>u=40%, k=2x10^6</v>
      </c>
      <c r="BD441">
        <f t="shared" si="15"/>
        <v>32</v>
      </c>
    </row>
    <row r="442" spans="1:56">
      <c r="A442" t="s">
        <v>857</v>
      </c>
      <c r="B442" t="s">
        <v>105</v>
      </c>
      <c r="D442" t="s">
        <v>64</v>
      </c>
      <c r="E442" t="s">
        <v>59</v>
      </c>
      <c r="F442" t="s">
        <v>60</v>
      </c>
      <c r="G442">
        <v>64000</v>
      </c>
      <c r="H442">
        <v>20</v>
      </c>
      <c r="I442">
        <v>20</v>
      </c>
      <c r="J442">
        <v>0</v>
      </c>
      <c r="K442">
        <v>1</v>
      </c>
      <c r="L442">
        <v>2000000</v>
      </c>
      <c r="M442">
        <v>190</v>
      </c>
      <c r="N442">
        <v>190</v>
      </c>
      <c r="O442">
        <v>190</v>
      </c>
      <c r="P442">
        <v>0</v>
      </c>
      <c r="Q442" t="s">
        <v>61</v>
      </c>
      <c r="R442">
        <v>1001909705857</v>
      </c>
      <c r="S442">
        <v>1001756</v>
      </c>
      <c r="T442">
        <v>1001909705857</v>
      </c>
      <c r="U442">
        <v>1001756</v>
      </c>
      <c r="V442" t="s">
        <v>71</v>
      </c>
      <c r="W442">
        <v>25</v>
      </c>
      <c r="X442">
        <v>686846</v>
      </c>
      <c r="Y442">
        <v>520539</v>
      </c>
      <c r="Z442">
        <v>1207385</v>
      </c>
      <c r="AA442">
        <v>1001756</v>
      </c>
      <c r="AB442">
        <v>1.75787</v>
      </c>
      <c r="AC442">
        <v>1.9244600000000001</v>
      </c>
      <c r="AD442">
        <v>1.82969</v>
      </c>
      <c r="AE442">
        <v>19.828700000000001</v>
      </c>
      <c r="AF442">
        <v>67613560</v>
      </c>
      <c r="AJ442">
        <v>56246</v>
      </c>
      <c r="AM442">
        <v>5456817156</v>
      </c>
      <c r="AN442">
        <v>0</v>
      </c>
      <c r="AO442">
        <v>3637914475</v>
      </c>
      <c r="AP442">
        <v>5456817156</v>
      </c>
      <c r="AQ442">
        <v>9094731631</v>
      </c>
      <c r="AR442">
        <v>85262768</v>
      </c>
      <c r="AS442">
        <v>0</v>
      </c>
      <c r="AT442">
        <v>56842413</v>
      </c>
      <c r="AU442">
        <v>85262768</v>
      </c>
      <c r="AV442">
        <v>142105181</v>
      </c>
      <c r="AW442">
        <v>21.8232</v>
      </c>
      <c r="AX442">
        <v>4.8958199999999996</v>
      </c>
      <c r="AY442">
        <v>3684.91</v>
      </c>
      <c r="AZ442">
        <v>2129.61</v>
      </c>
      <c r="BA442">
        <v>1258</v>
      </c>
      <c r="BB442">
        <v>250</v>
      </c>
      <c r="BC442" t="str">
        <f t="shared" si="14"/>
        <v>u=40%, k=2x10^6</v>
      </c>
      <c r="BD442">
        <f t="shared" si="15"/>
        <v>64</v>
      </c>
    </row>
    <row r="443" spans="1:56">
      <c r="A443" t="s">
        <v>858</v>
      </c>
      <c r="B443" t="s">
        <v>305</v>
      </c>
      <c r="D443" t="s">
        <v>64</v>
      </c>
      <c r="E443" t="s">
        <v>59</v>
      </c>
      <c r="F443" t="s">
        <v>60</v>
      </c>
      <c r="G443">
        <v>1000</v>
      </c>
      <c r="H443">
        <v>20</v>
      </c>
      <c r="I443">
        <v>20</v>
      </c>
      <c r="J443">
        <v>0</v>
      </c>
      <c r="K443">
        <v>1</v>
      </c>
      <c r="L443">
        <v>2000000</v>
      </c>
      <c r="M443">
        <v>190</v>
      </c>
      <c r="N443">
        <v>190</v>
      </c>
      <c r="O443">
        <v>190</v>
      </c>
      <c r="P443">
        <v>0</v>
      </c>
      <c r="Q443" t="s">
        <v>61</v>
      </c>
      <c r="R443">
        <v>999608071381</v>
      </c>
      <c r="S443">
        <v>999058</v>
      </c>
      <c r="T443">
        <v>999608071381</v>
      </c>
      <c r="U443">
        <v>999058</v>
      </c>
      <c r="V443" t="s">
        <v>71</v>
      </c>
      <c r="W443">
        <v>46</v>
      </c>
      <c r="X443">
        <v>999057</v>
      </c>
      <c r="Y443">
        <v>999058</v>
      </c>
      <c r="Z443">
        <v>1998115</v>
      </c>
      <c r="AA443">
        <v>999058</v>
      </c>
      <c r="AB443">
        <v>2</v>
      </c>
      <c r="AC443">
        <v>1</v>
      </c>
      <c r="AD443">
        <v>1.5</v>
      </c>
      <c r="AE443">
        <v>25.425799999999999</v>
      </c>
      <c r="AF443">
        <v>63939680</v>
      </c>
      <c r="AJ443">
        <v>1068</v>
      </c>
      <c r="AM443">
        <v>51430942</v>
      </c>
      <c r="AN443">
        <v>0</v>
      </c>
      <c r="AO443">
        <v>34285977</v>
      </c>
      <c r="AP443">
        <v>51430942</v>
      </c>
      <c r="AQ443">
        <v>85716919</v>
      </c>
      <c r="AR443">
        <v>51430942</v>
      </c>
      <c r="AS443">
        <v>0</v>
      </c>
      <c r="AT443">
        <v>34285977</v>
      </c>
      <c r="AU443">
        <v>51430942</v>
      </c>
      <c r="AV443">
        <v>85716919</v>
      </c>
      <c r="AW443">
        <v>17.153300000000002</v>
      </c>
      <c r="AX443">
        <v>4.6206500000000004</v>
      </c>
      <c r="AY443">
        <v>5205.57</v>
      </c>
      <c r="AZ443">
        <v>2577.67</v>
      </c>
      <c r="BA443">
        <v>1232</v>
      </c>
      <c r="BB443">
        <v>214</v>
      </c>
      <c r="BC443" t="str">
        <f t="shared" si="14"/>
        <v>u=40%, k=2x10^6</v>
      </c>
      <c r="BD443">
        <f t="shared" si="15"/>
        <v>1</v>
      </c>
    </row>
    <row r="444" spans="1:56">
      <c r="A444" t="s">
        <v>859</v>
      </c>
      <c r="B444" t="s">
        <v>305</v>
      </c>
      <c r="D444" t="s">
        <v>64</v>
      </c>
      <c r="E444" t="s">
        <v>59</v>
      </c>
      <c r="F444" t="s">
        <v>60</v>
      </c>
      <c r="G444">
        <v>2000</v>
      </c>
      <c r="H444">
        <v>20</v>
      </c>
      <c r="I444">
        <v>20</v>
      </c>
      <c r="J444">
        <v>0</v>
      </c>
      <c r="K444">
        <v>1</v>
      </c>
      <c r="L444">
        <v>2000000</v>
      </c>
      <c r="M444">
        <v>190</v>
      </c>
      <c r="N444">
        <v>190</v>
      </c>
      <c r="O444">
        <v>190</v>
      </c>
      <c r="P444">
        <v>0</v>
      </c>
      <c r="Q444" t="s">
        <v>61</v>
      </c>
      <c r="R444">
        <v>1000313331037</v>
      </c>
      <c r="S444">
        <v>999877</v>
      </c>
      <c r="T444">
        <v>1000313331037</v>
      </c>
      <c r="U444">
        <v>999877</v>
      </c>
      <c r="V444" t="s">
        <v>71</v>
      </c>
      <c r="W444">
        <v>52</v>
      </c>
      <c r="X444">
        <v>999876</v>
      </c>
      <c r="Y444">
        <v>999877</v>
      </c>
      <c r="Z444">
        <v>1999753</v>
      </c>
      <c r="AA444">
        <v>999877</v>
      </c>
      <c r="AB444">
        <v>2</v>
      </c>
      <c r="AC444">
        <v>1</v>
      </c>
      <c r="AD444">
        <v>1.5</v>
      </c>
      <c r="AE444">
        <v>27.183499999999999</v>
      </c>
      <c r="AF444">
        <v>63992096</v>
      </c>
      <c r="AJ444">
        <v>1974</v>
      </c>
      <c r="AM444">
        <v>126226655</v>
      </c>
      <c r="AN444">
        <v>0</v>
      </c>
      <c r="AO444">
        <v>84142925</v>
      </c>
      <c r="AP444">
        <v>126226655</v>
      </c>
      <c r="AQ444">
        <v>210369580</v>
      </c>
      <c r="AR444">
        <v>63113327</v>
      </c>
      <c r="AS444">
        <v>0</v>
      </c>
      <c r="AT444">
        <v>42071462</v>
      </c>
      <c r="AU444">
        <v>63113327</v>
      </c>
      <c r="AV444">
        <v>105184790</v>
      </c>
      <c r="AW444">
        <v>17.1236</v>
      </c>
      <c r="AX444">
        <v>4.5543199999999997</v>
      </c>
      <c r="AY444">
        <v>4630.8900000000003</v>
      </c>
      <c r="AZ444">
        <v>2518.15</v>
      </c>
      <c r="BA444">
        <v>1235</v>
      </c>
      <c r="BB444">
        <v>251</v>
      </c>
      <c r="BC444" t="str">
        <f t="shared" si="14"/>
        <v>u=40%, k=2x10^6</v>
      </c>
      <c r="BD444">
        <f t="shared" si="15"/>
        <v>2</v>
      </c>
    </row>
    <row r="445" spans="1:56">
      <c r="A445" t="s">
        <v>860</v>
      </c>
      <c r="B445" t="s">
        <v>305</v>
      </c>
      <c r="D445" t="s">
        <v>64</v>
      </c>
      <c r="E445" t="s">
        <v>59</v>
      </c>
      <c r="F445" t="s">
        <v>60</v>
      </c>
      <c r="G445">
        <v>4000</v>
      </c>
      <c r="H445">
        <v>20</v>
      </c>
      <c r="I445">
        <v>20</v>
      </c>
      <c r="J445">
        <v>0</v>
      </c>
      <c r="K445">
        <v>1</v>
      </c>
      <c r="L445">
        <v>2000000</v>
      </c>
      <c r="M445">
        <v>190</v>
      </c>
      <c r="N445">
        <v>190</v>
      </c>
      <c r="O445">
        <v>190</v>
      </c>
      <c r="P445">
        <v>0</v>
      </c>
      <c r="Q445" t="s">
        <v>61</v>
      </c>
      <c r="R445">
        <v>999685528690</v>
      </c>
      <c r="S445">
        <v>1000311</v>
      </c>
      <c r="T445">
        <v>999685528690</v>
      </c>
      <c r="U445">
        <v>1000311</v>
      </c>
      <c r="V445" t="s">
        <v>71</v>
      </c>
      <c r="W445">
        <v>50</v>
      </c>
      <c r="X445">
        <v>1000310</v>
      </c>
      <c r="Y445">
        <v>1000311</v>
      </c>
      <c r="Z445">
        <v>2000621</v>
      </c>
      <c r="AA445">
        <v>1000311</v>
      </c>
      <c r="AB445">
        <v>2</v>
      </c>
      <c r="AC445">
        <v>1</v>
      </c>
      <c r="AD445">
        <v>1.5</v>
      </c>
      <c r="AE445">
        <v>25.673999999999999</v>
      </c>
      <c r="AF445">
        <v>64019872</v>
      </c>
      <c r="AJ445">
        <v>3852</v>
      </c>
      <c r="AM445">
        <v>272699914</v>
      </c>
      <c r="AN445">
        <v>0</v>
      </c>
      <c r="AO445">
        <v>181788994</v>
      </c>
      <c r="AP445">
        <v>272699914</v>
      </c>
      <c r="AQ445">
        <v>454488908</v>
      </c>
      <c r="AR445">
        <v>68174978</v>
      </c>
      <c r="AS445">
        <v>0</v>
      </c>
      <c r="AT445">
        <v>45447248</v>
      </c>
      <c r="AU445">
        <v>68174978</v>
      </c>
      <c r="AV445">
        <v>113622227</v>
      </c>
      <c r="AW445">
        <v>17.068899999999999</v>
      </c>
      <c r="AX445">
        <v>4.49817</v>
      </c>
      <c r="AY445">
        <v>4463.29</v>
      </c>
      <c r="AZ445">
        <v>2493.48</v>
      </c>
      <c r="BA445">
        <v>1243</v>
      </c>
      <c r="BB445">
        <v>300</v>
      </c>
      <c r="BC445" t="str">
        <f t="shared" si="14"/>
        <v>u=40%, k=2x10^6</v>
      </c>
      <c r="BD445">
        <f t="shared" si="15"/>
        <v>4</v>
      </c>
    </row>
    <row r="446" spans="1:56">
      <c r="A446" t="s">
        <v>861</v>
      </c>
      <c r="B446" t="s">
        <v>305</v>
      </c>
      <c r="D446" t="s">
        <v>64</v>
      </c>
      <c r="E446" t="s">
        <v>59</v>
      </c>
      <c r="F446" t="s">
        <v>60</v>
      </c>
      <c r="G446">
        <v>8000</v>
      </c>
      <c r="H446">
        <v>20</v>
      </c>
      <c r="I446">
        <v>20</v>
      </c>
      <c r="J446">
        <v>0</v>
      </c>
      <c r="K446">
        <v>1</v>
      </c>
      <c r="L446">
        <v>2000000</v>
      </c>
      <c r="M446">
        <v>190</v>
      </c>
      <c r="N446">
        <v>190</v>
      </c>
      <c r="O446">
        <v>190</v>
      </c>
      <c r="P446">
        <v>0</v>
      </c>
      <c r="Q446" t="s">
        <v>61</v>
      </c>
      <c r="R446">
        <v>1000063750653</v>
      </c>
      <c r="S446">
        <v>999725</v>
      </c>
      <c r="T446">
        <v>1000063750653</v>
      </c>
      <c r="U446">
        <v>999725</v>
      </c>
      <c r="V446" t="s">
        <v>71</v>
      </c>
      <c r="W446">
        <v>47</v>
      </c>
      <c r="X446">
        <v>999724</v>
      </c>
      <c r="Y446">
        <v>999725</v>
      </c>
      <c r="Z446">
        <v>1999449</v>
      </c>
      <c r="AA446">
        <v>999725</v>
      </c>
      <c r="AB446">
        <v>2</v>
      </c>
      <c r="AC446">
        <v>1</v>
      </c>
      <c r="AD446">
        <v>1.5</v>
      </c>
      <c r="AE446">
        <v>26.2136</v>
      </c>
      <c r="AF446">
        <v>63982368</v>
      </c>
      <c r="AJ446">
        <v>7360</v>
      </c>
      <c r="AM446">
        <v>566303457</v>
      </c>
      <c r="AN446">
        <v>0</v>
      </c>
      <c r="AO446">
        <v>377526185</v>
      </c>
      <c r="AP446">
        <v>566303457</v>
      </c>
      <c r="AQ446">
        <v>943829642</v>
      </c>
      <c r="AR446">
        <v>70787932</v>
      </c>
      <c r="AS446">
        <v>0</v>
      </c>
      <c r="AT446">
        <v>47190773</v>
      </c>
      <c r="AU446">
        <v>70787932</v>
      </c>
      <c r="AV446">
        <v>117978705</v>
      </c>
      <c r="AW446">
        <v>16.967700000000001</v>
      </c>
      <c r="AX446">
        <v>4.4427500000000002</v>
      </c>
      <c r="AY446">
        <v>4384.21</v>
      </c>
      <c r="AZ446">
        <v>2504.06</v>
      </c>
      <c r="BA446">
        <v>1231</v>
      </c>
      <c r="BB446">
        <v>232</v>
      </c>
      <c r="BC446" t="str">
        <f t="shared" si="14"/>
        <v>u=40%, k=2x10^6</v>
      </c>
      <c r="BD446">
        <f t="shared" si="15"/>
        <v>8</v>
      </c>
    </row>
    <row r="447" spans="1:56">
      <c r="A447" t="s">
        <v>862</v>
      </c>
      <c r="B447" t="s">
        <v>305</v>
      </c>
      <c r="D447" t="s">
        <v>64</v>
      </c>
      <c r="E447" t="s">
        <v>59</v>
      </c>
      <c r="F447" t="s">
        <v>60</v>
      </c>
      <c r="G447">
        <v>16000</v>
      </c>
      <c r="H447">
        <v>20</v>
      </c>
      <c r="I447">
        <v>20</v>
      </c>
      <c r="J447">
        <v>0</v>
      </c>
      <c r="K447">
        <v>1</v>
      </c>
      <c r="L447">
        <v>2000000</v>
      </c>
      <c r="M447">
        <v>190</v>
      </c>
      <c r="N447">
        <v>190</v>
      </c>
      <c r="O447">
        <v>190</v>
      </c>
      <c r="P447">
        <v>0</v>
      </c>
      <c r="Q447" t="s">
        <v>61</v>
      </c>
      <c r="R447">
        <v>1000681889481</v>
      </c>
      <c r="S447">
        <v>1000922</v>
      </c>
      <c r="T447">
        <v>1000681889481</v>
      </c>
      <c r="U447">
        <v>1000922</v>
      </c>
      <c r="V447" t="s">
        <v>71</v>
      </c>
      <c r="W447">
        <v>48</v>
      </c>
      <c r="X447">
        <v>1000921</v>
      </c>
      <c r="Y447">
        <v>1000922</v>
      </c>
      <c r="Z447">
        <v>2001843</v>
      </c>
      <c r="AA447">
        <v>1000922</v>
      </c>
      <c r="AB447">
        <v>2</v>
      </c>
      <c r="AC447">
        <v>1</v>
      </c>
      <c r="AD447">
        <v>1.5</v>
      </c>
      <c r="AE447">
        <v>25.433</v>
      </c>
      <c r="AF447">
        <v>64058976</v>
      </c>
      <c r="AJ447">
        <v>14674</v>
      </c>
      <c r="AM447">
        <v>1165872305</v>
      </c>
      <c r="AN447">
        <v>0</v>
      </c>
      <c r="AO447">
        <v>777293311</v>
      </c>
      <c r="AP447">
        <v>1165872305</v>
      </c>
      <c r="AQ447">
        <v>1943165616</v>
      </c>
      <c r="AR447">
        <v>72867019</v>
      </c>
      <c r="AS447">
        <v>0</v>
      </c>
      <c r="AT447">
        <v>48580831</v>
      </c>
      <c r="AU447">
        <v>72867019</v>
      </c>
      <c r="AV447">
        <v>121447851</v>
      </c>
      <c r="AW447">
        <v>16.792200000000001</v>
      </c>
      <c r="AX447">
        <v>4.3863000000000003</v>
      </c>
      <c r="AY447">
        <v>4307.1400000000003</v>
      </c>
      <c r="AZ447">
        <v>2466.39</v>
      </c>
      <c r="BA447">
        <v>1222</v>
      </c>
      <c r="BB447">
        <v>229</v>
      </c>
      <c r="BC447" t="str">
        <f t="shared" si="14"/>
        <v>u=40%, k=2x10^6</v>
      </c>
      <c r="BD447">
        <f t="shared" si="15"/>
        <v>16</v>
      </c>
    </row>
    <row r="448" spans="1:56">
      <c r="A448" t="s">
        <v>863</v>
      </c>
      <c r="B448" t="s">
        <v>305</v>
      </c>
      <c r="D448" t="s">
        <v>64</v>
      </c>
      <c r="E448" t="s">
        <v>59</v>
      </c>
      <c r="F448" t="s">
        <v>60</v>
      </c>
      <c r="G448">
        <v>32000</v>
      </c>
      <c r="H448">
        <v>20</v>
      </c>
      <c r="I448">
        <v>20</v>
      </c>
      <c r="J448">
        <v>0</v>
      </c>
      <c r="K448">
        <v>1</v>
      </c>
      <c r="L448">
        <v>2000000</v>
      </c>
      <c r="M448">
        <v>190</v>
      </c>
      <c r="N448">
        <v>190</v>
      </c>
      <c r="O448">
        <v>190</v>
      </c>
      <c r="P448">
        <v>0</v>
      </c>
      <c r="Q448" t="s">
        <v>61</v>
      </c>
      <c r="R448">
        <v>1002173291576</v>
      </c>
      <c r="S448">
        <v>1002003</v>
      </c>
      <c r="T448">
        <v>1002173291576</v>
      </c>
      <c r="U448">
        <v>1002003</v>
      </c>
      <c r="V448" t="s">
        <v>71</v>
      </c>
      <c r="W448">
        <v>50</v>
      </c>
      <c r="X448">
        <v>1002002</v>
      </c>
      <c r="Y448">
        <v>1002003</v>
      </c>
      <c r="Z448">
        <v>2004005</v>
      </c>
      <c r="AA448">
        <v>1002003</v>
      </c>
      <c r="AB448">
        <v>2</v>
      </c>
      <c r="AC448">
        <v>1</v>
      </c>
      <c r="AD448">
        <v>1.5</v>
      </c>
      <c r="AE448">
        <v>25.342199999999998</v>
      </c>
      <c r="AF448">
        <v>64128160</v>
      </c>
      <c r="AJ448">
        <v>29474</v>
      </c>
      <c r="AM448">
        <v>2381516672</v>
      </c>
      <c r="AN448">
        <v>0</v>
      </c>
      <c r="AO448">
        <v>1587705624</v>
      </c>
      <c r="AP448">
        <v>2381516672</v>
      </c>
      <c r="AQ448">
        <v>3969222296</v>
      </c>
      <c r="AR448">
        <v>74422396</v>
      </c>
      <c r="AS448">
        <v>0</v>
      </c>
      <c r="AT448">
        <v>49615800</v>
      </c>
      <c r="AU448">
        <v>74422396</v>
      </c>
      <c r="AV448">
        <v>124038196</v>
      </c>
      <c r="AW448">
        <v>16.802299999999999</v>
      </c>
      <c r="AX448">
        <v>4.3482399999999997</v>
      </c>
      <c r="AY448">
        <v>4241.18</v>
      </c>
      <c r="AZ448">
        <v>2436.7199999999998</v>
      </c>
      <c r="BA448">
        <v>1223</v>
      </c>
      <c r="BB448">
        <v>230</v>
      </c>
      <c r="BC448" t="str">
        <f t="shared" si="14"/>
        <v>u=40%, k=2x10^6</v>
      </c>
      <c r="BD448">
        <f t="shared" si="15"/>
        <v>32</v>
      </c>
    </row>
    <row r="449" spans="1:56">
      <c r="A449" t="s">
        <v>864</v>
      </c>
      <c r="B449" t="s">
        <v>305</v>
      </c>
      <c r="D449" t="s">
        <v>64</v>
      </c>
      <c r="E449" t="s">
        <v>59</v>
      </c>
      <c r="F449" t="s">
        <v>60</v>
      </c>
      <c r="G449">
        <v>64000</v>
      </c>
      <c r="H449">
        <v>20</v>
      </c>
      <c r="I449">
        <v>20</v>
      </c>
      <c r="J449">
        <v>0</v>
      </c>
      <c r="K449">
        <v>1</v>
      </c>
      <c r="L449">
        <v>2000000</v>
      </c>
      <c r="M449">
        <v>190</v>
      </c>
      <c r="N449">
        <v>190</v>
      </c>
      <c r="O449">
        <v>190</v>
      </c>
      <c r="P449">
        <v>0</v>
      </c>
      <c r="Q449" t="s">
        <v>61</v>
      </c>
      <c r="R449">
        <v>999725475049</v>
      </c>
      <c r="S449">
        <v>999947</v>
      </c>
      <c r="T449">
        <v>999725475049</v>
      </c>
      <c r="U449">
        <v>999947</v>
      </c>
      <c r="V449" t="s">
        <v>71</v>
      </c>
      <c r="W449">
        <v>46</v>
      </c>
      <c r="X449">
        <v>999946</v>
      </c>
      <c r="Y449">
        <v>999947</v>
      </c>
      <c r="Z449">
        <v>1999893</v>
      </c>
      <c r="AA449">
        <v>999947</v>
      </c>
      <c r="AB449">
        <v>2</v>
      </c>
      <c r="AC449">
        <v>1</v>
      </c>
      <c r="AD449">
        <v>1.5</v>
      </c>
      <c r="AE449">
        <v>25.2285</v>
      </c>
      <c r="AF449">
        <v>63996576</v>
      </c>
      <c r="AJ449">
        <v>59096</v>
      </c>
      <c r="AM449">
        <v>4796100833</v>
      </c>
      <c r="AN449">
        <v>0</v>
      </c>
      <c r="AO449">
        <v>3197339050</v>
      </c>
      <c r="AP449">
        <v>4796100833</v>
      </c>
      <c r="AQ449">
        <v>7993439883</v>
      </c>
      <c r="AR449">
        <v>74939075</v>
      </c>
      <c r="AS449">
        <v>0</v>
      </c>
      <c r="AT449">
        <v>49958422</v>
      </c>
      <c r="AU449">
        <v>74939075</v>
      </c>
      <c r="AV449">
        <v>124897498</v>
      </c>
      <c r="AW449">
        <v>16.692</v>
      </c>
      <c r="AX449">
        <v>4.3216900000000003</v>
      </c>
      <c r="AY449">
        <v>4220.38</v>
      </c>
      <c r="AZ449">
        <v>2423.62</v>
      </c>
      <c r="BA449">
        <v>1223</v>
      </c>
      <c r="BB449">
        <v>269</v>
      </c>
      <c r="BC449" t="str">
        <f t="shared" si="14"/>
        <v>u=40%, k=2x10^6</v>
      </c>
      <c r="BD449">
        <f t="shared" si="15"/>
        <v>64</v>
      </c>
    </row>
    <row r="450" spans="1:56">
      <c r="A450" t="s">
        <v>865</v>
      </c>
      <c r="B450" t="s">
        <v>63</v>
      </c>
      <c r="C450">
        <v>72</v>
      </c>
      <c r="D450" t="s">
        <v>64</v>
      </c>
      <c r="E450" t="s">
        <v>59</v>
      </c>
      <c r="F450" t="s">
        <v>60</v>
      </c>
      <c r="G450">
        <v>1000</v>
      </c>
      <c r="H450">
        <v>20</v>
      </c>
      <c r="I450">
        <v>20</v>
      </c>
      <c r="J450">
        <v>0</v>
      </c>
      <c r="K450">
        <v>1</v>
      </c>
      <c r="L450">
        <v>20000000</v>
      </c>
      <c r="M450">
        <v>190</v>
      </c>
      <c r="N450">
        <v>190</v>
      </c>
      <c r="O450">
        <v>190</v>
      </c>
      <c r="P450">
        <v>0</v>
      </c>
      <c r="Q450" t="s">
        <v>61</v>
      </c>
      <c r="R450">
        <v>100038151664349</v>
      </c>
      <c r="S450">
        <v>10003513</v>
      </c>
      <c r="T450">
        <v>100038151664349</v>
      </c>
      <c r="U450">
        <v>10003513</v>
      </c>
      <c r="V450" t="s">
        <v>71</v>
      </c>
      <c r="W450">
        <v>7</v>
      </c>
      <c r="X450">
        <v>1871807</v>
      </c>
      <c r="Y450">
        <v>11957089</v>
      </c>
      <c r="Z450">
        <v>13828896</v>
      </c>
      <c r="AA450">
        <v>10003513</v>
      </c>
      <c r="AB450">
        <v>7.3879900000000003</v>
      </c>
      <c r="AC450">
        <v>0.83661799999999997</v>
      </c>
      <c r="AD450">
        <v>1.7233799999999999</v>
      </c>
      <c r="AE450">
        <v>4.0492800000000004</v>
      </c>
      <c r="AF450">
        <v>341071760</v>
      </c>
      <c r="AG450" t="s">
        <v>866</v>
      </c>
      <c r="AH450" t="s">
        <v>867</v>
      </c>
      <c r="AI450">
        <v>89317</v>
      </c>
      <c r="AJ450">
        <v>700</v>
      </c>
      <c r="AM450">
        <v>55279351</v>
      </c>
      <c r="AN450">
        <v>0</v>
      </c>
      <c r="AO450">
        <v>36858792</v>
      </c>
      <c r="AP450">
        <v>55279351</v>
      </c>
      <c r="AQ450">
        <v>92138143</v>
      </c>
      <c r="AR450">
        <v>55279351</v>
      </c>
      <c r="AS450">
        <v>0</v>
      </c>
      <c r="AT450">
        <v>36858792</v>
      </c>
      <c r="AU450">
        <v>55279351</v>
      </c>
      <c r="AV450">
        <v>92138143</v>
      </c>
      <c r="AW450">
        <v>28.183599999999998</v>
      </c>
      <c r="AX450">
        <v>14.819000000000001</v>
      </c>
      <c r="AY450">
        <v>5061.07</v>
      </c>
      <c r="AZ450">
        <v>3475.05</v>
      </c>
      <c r="BA450">
        <v>2849</v>
      </c>
      <c r="BB450">
        <v>393</v>
      </c>
      <c r="BC450" t="str">
        <f t="shared" si="14"/>
        <v>u=40%, k=2x10^7</v>
      </c>
      <c r="BD450">
        <f t="shared" si="15"/>
        <v>1</v>
      </c>
    </row>
    <row r="451" spans="1:56">
      <c r="A451" t="s">
        <v>868</v>
      </c>
      <c r="B451" t="s">
        <v>63</v>
      </c>
      <c r="C451">
        <v>72</v>
      </c>
      <c r="D451" t="s">
        <v>64</v>
      </c>
      <c r="E451" t="s">
        <v>59</v>
      </c>
      <c r="F451" t="s">
        <v>60</v>
      </c>
      <c r="G451">
        <v>2000</v>
      </c>
      <c r="H451">
        <v>20</v>
      </c>
      <c r="I451">
        <v>20</v>
      </c>
      <c r="J451">
        <v>0</v>
      </c>
      <c r="K451">
        <v>1</v>
      </c>
      <c r="L451">
        <v>20000000</v>
      </c>
      <c r="M451">
        <v>190</v>
      </c>
      <c r="N451">
        <v>190</v>
      </c>
      <c r="O451">
        <v>190</v>
      </c>
      <c r="P451">
        <v>0</v>
      </c>
      <c r="Q451" t="s">
        <v>61</v>
      </c>
      <c r="R451">
        <v>99997171231249</v>
      </c>
      <c r="S451">
        <v>9999154</v>
      </c>
      <c r="T451">
        <v>99997171231249</v>
      </c>
      <c r="U451">
        <v>9999154</v>
      </c>
      <c r="V451" t="s">
        <v>71</v>
      </c>
      <c r="W451">
        <v>7</v>
      </c>
      <c r="X451">
        <v>1764781</v>
      </c>
      <c r="Y451">
        <v>11724882</v>
      </c>
      <c r="Z451">
        <v>13489663</v>
      </c>
      <c r="AA451">
        <v>9999154</v>
      </c>
      <c r="AB451">
        <v>7.6438199999999998</v>
      </c>
      <c r="AC451">
        <v>0.85281499999999999</v>
      </c>
      <c r="AD451">
        <v>1.74125</v>
      </c>
      <c r="AE451">
        <v>4.0278099999999997</v>
      </c>
      <c r="AF451">
        <v>328781664</v>
      </c>
      <c r="AG451" t="s">
        <v>869</v>
      </c>
      <c r="AH451" t="s">
        <v>870</v>
      </c>
      <c r="AI451">
        <v>189132</v>
      </c>
      <c r="AJ451">
        <v>1444</v>
      </c>
      <c r="AM451">
        <v>113560231</v>
      </c>
      <c r="AN451">
        <v>0</v>
      </c>
      <c r="AO451">
        <v>75709829</v>
      </c>
      <c r="AP451">
        <v>113560231</v>
      </c>
      <c r="AQ451">
        <v>189270060</v>
      </c>
      <c r="AR451">
        <v>56780115</v>
      </c>
      <c r="AS451">
        <v>0</v>
      </c>
      <c r="AT451">
        <v>37854914</v>
      </c>
      <c r="AU451">
        <v>56780115</v>
      </c>
      <c r="AV451">
        <v>94635030</v>
      </c>
      <c r="AW451">
        <v>28.451799999999999</v>
      </c>
      <c r="AX451">
        <v>15.159000000000001</v>
      </c>
      <c r="AY451">
        <v>5195.7299999999996</v>
      </c>
      <c r="AZ451">
        <v>3571.64</v>
      </c>
      <c r="BA451">
        <v>2879</v>
      </c>
      <c r="BB451">
        <v>361</v>
      </c>
      <c r="BC451" t="str">
        <f t="shared" si="14"/>
        <v>u=40%, k=2x10^7</v>
      </c>
      <c r="BD451">
        <f t="shared" si="15"/>
        <v>2</v>
      </c>
    </row>
    <row r="452" spans="1:56">
      <c r="A452" t="s">
        <v>871</v>
      </c>
      <c r="B452" t="s">
        <v>63</v>
      </c>
      <c r="C452">
        <v>72</v>
      </c>
      <c r="D452" t="s">
        <v>64</v>
      </c>
      <c r="E452" t="s">
        <v>59</v>
      </c>
      <c r="F452" t="s">
        <v>60</v>
      </c>
      <c r="G452">
        <v>4000</v>
      </c>
      <c r="H452">
        <v>20</v>
      </c>
      <c r="I452">
        <v>20</v>
      </c>
      <c r="J452">
        <v>0</v>
      </c>
      <c r="K452">
        <v>1</v>
      </c>
      <c r="L452">
        <v>20000000</v>
      </c>
      <c r="M452">
        <v>190</v>
      </c>
      <c r="N452">
        <v>190</v>
      </c>
      <c r="O452">
        <v>190</v>
      </c>
      <c r="P452">
        <v>0</v>
      </c>
      <c r="Q452" t="s">
        <v>61</v>
      </c>
      <c r="R452">
        <v>99983121934351</v>
      </c>
      <c r="S452">
        <v>10000033</v>
      </c>
      <c r="T452">
        <v>99983121934351</v>
      </c>
      <c r="U452">
        <v>10000033</v>
      </c>
      <c r="V452" t="s">
        <v>71</v>
      </c>
      <c r="W452">
        <v>7</v>
      </c>
      <c r="X452">
        <v>1843795</v>
      </c>
      <c r="Y452">
        <v>11905908</v>
      </c>
      <c r="Z452">
        <v>13749703</v>
      </c>
      <c r="AA452">
        <v>10000033</v>
      </c>
      <c r="AB452">
        <v>7.4572799999999999</v>
      </c>
      <c r="AC452">
        <v>0.83992199999999995</v>
      </c>
      <c r="AD452">
        <v>1.72729</v>
      </c>
      <c r="AE452">
        <v>4.04352</v>
      </c>
      <c r="AF452">
        <v>338030592</v>
      </c>
      <c r="AG452" t="s">
        <v>872</v>
      </c>
      <c r="AH452" t="s">
        <v>873</v>
      </c>
      <c r="AI452">
        <v>384634</v>
      </c>
      <c r="AJ452">
        <v>2932</v>
      </c>
      <c r="AM452">
        <v>230067484</v>
      </c>
      <c r="AN452">
        <v>0</v>
      </c>
      <c r="AO452">
        <v>153363243</v>
      </c>
      <c r="AP452">
        <v>230067484</v>
      </c>
      <c r="AQ452">
        <v>383430727</v>
      </c>
      <c r="AR452">
        <v>57516871</v>
      </c>
      <c r="AS452">
        <v>0</v>
      </c>
      <c r="AT452">
        <v>38340810</v>
      </c>
      <c r="AU452">
        <v>57516871</v>
      </c>
      <c r="AV452">
        <v>95857681</v>
      </c>
      <c r="AW452">
        <v>28.4635</v>
      </c>
      <c r="AX452">
        <v>15.1723</v>
      </c>
      <c r="AY452">
        <v>5246.7</v>
      </c>
      <c r="AZ452">
        <v>3601.98</v>
      </c>
      <c r="BA452">
        <v>2909</v>
      </c>
      <c r="BB452">
        <v>392</v>
      </c>
      <c r="BC452" t="str">
        <f t="shared" si="14"/>
        <v>u=40%, k=2x10^7</v>
      </c>
      <c r="BD452">
        <f t="shared" si="15"/>
        <v>4</v>
      </c>
    </row>
    <row r="453" spans="1:56">
      <c r="A453" t="s">
        <v>874</v>
      </c>
      <c r="B453" t="s">
        <v>63</v>
      </c>
      <c r="C453">
        <v>72</v>
      </c>
      <c r="D453" t="s">
        <v>64</v>
      </c>
      <c r="E453" t="s">
        <v>59</v>
      </c>
      <c r="F453" t="s">
        <v>60</v>
      </c>
      <c r="G453">
        <v>8000</v>
      </c>
      <c r="H453">
        <v>20</v>
      </c>
      <c r="I453">
        <v>20</v>
      </c>
      <c r="J453">
        <v>0</v>
      </c>
      <c r="K453">
        <v>1</v>
      </c>
      <c r="L453">
        <v>20000000</v>
      </c>
      <c r="M453">
        <v>190</v>
      </c>
      <c r="N453">
        <v>190</v>
      </c>
      <c r="O453">
        <v>190</v>
      </c>
      <c r="P453">
        <v>0</v>
      </c>
      <c r="Q453" t="s">
        <v>61</v>
      </c>
      <c r="R453">
        <v>100008303685002</v>
      </c>
      <c r="S453">
        <v>10000718</v>
      </c>
      <c r="T453">
        <v>100008303685002</v>
      </c>
      <c r="U453">
        <v>10000718</v>
      </c>
      <c r="V453" t="s">
        <v>71</v>
      </c>
      <c r="W453">
        <v>7</v>
      </c>
      <c r="X453">
        <v>1748307</v>
      </c>
      <c r="Y453">
        <v>11697004</v>
      </c>
      <c r="Z453">
        <v>13445311</v>
      </c>
      <c r="AA453">
        <v>10000718</v>
      </c>
      <c r="AB453">
        <v>7.6904700000000004</v>
      </c>
      <c r="AC453">
        <v>0.85498099999999999</v>
      </c>
      <c r="AD453">
        <v>1.7438100000000001</v>
      </c>
      <c r="AE453">
        <v>4.0252299999999996</v>
      </c>
      <c r="AF453">
        <v>327018880</v>
      </c>
      <c r="AG453" t="s">
        <v>875</v>
      </c>
      <c r="AH453" t="s">
        <v>876</v>
      </c>
      <c r="AI453">
        <v>786923</v>
      </c>
      <c r="AJ453">
        <v>5904</v>
      </c>
      <c r="AM453">
        <v>463806012</v>
      </c>
      <c r="AN453">
        <v>0</v>
      </c>
      <c r="AO453">
        <v>309223835</v>
      </c>
      <c r="AP453">
        <v>463806012</v>
      </c>
      <c r="AQ453">
        <v>773029847</v>
      </c>
      <c r="AR453">
        <v>57975751</v>
      </c>
      <c r="AS453">
        <v>0</v>
      </c>
      <c r="AT453">
        <v>38652979</v>
      </c>
      <c r="AU453">
        <v>57975751</v>
      </c>
      <c r="AV453">
        <v>96628730</v>
      </c>
      <c r="AW453">
        <v>28.588000000000001</v>
      </c>
      <c r="AX453">
        <v>15.2683</v>
      </c>
      <c r="AY453">
        <v>5262.07</v>
      </c>
      <c r="AZ453">
        <v>3631.19</v>
      </c>
      <c r="BA453">
        <v>2924</v>
      </c>
      <c r="BB453">
        <v>363</v>
      </c>
      <c r="BC453" t="str">
        <f t="shared" si="14"/>
        <v>u=40%, k=2x10^7</v>
      </c>
      <c r="BD453">
        <f t="shared" si="15"/>
        <v>8</v>
      </c>
    </row>
    <row r="454" spans="1:56">
      <c r="A454" t="s">
        <v>877</v>
      </c>
      <c r="B454" t="s">
        <v>63</v>
      </c>
      <c r="C454">
        <v>72</v>
      </c>
      <c r="D454" t="s">
        <v>64</v>
      </c>
      <c r="E454" t="s">
        <v>59</v>
      </c>
      <c r="F454" t="s">
        <v>60</v>
      </c>
      <c r="G454">
        <v>16000</v>
      </c>
      <c r="H454">
        <v>20</v>
      </c>
      <c r="I454">
        <v>20</v>
      </c>
      <c r="J454">
        <v>0</v>
      </c>
      <c r="K454">
        <v>1</v>
      </c>
      <c r="L454">
        <v>20000000</v>
      </c>
      <c r="M454">
        <v>190</v>
      </c>
      <c r="N454">
        <v>190</v>
      </c>
      <c r="O454">
        <v>190</v>
      </c>
      <c r="P454">
        <v>0</v>
      </c>
      <c r="Q454" t="s">
        <v>61</v>
      </c>
      <c r="R454">
        <v>100024778386896</v>
      </c>
      <c r="S454">
        <v>10001355</v>
      </c>
      <c r="T454">
        <v>100024778386896</v>
      </c>
      <c r="U454">
        <v>10001355</v>
      </c>
      <c r="V454" t="s">
        <v>71</v>
      </c>
      <c r="W454">
        <v>7</v>
      </c>
      <c r="X454">
        <v>1757473</v>
      </c>
      <c r="Y454">
        <v>11722664</v>
      </c>
      <c r="Z454">
        <v>13480137</v>
      </c>
      <c r="AA454">
        <v>10001355</v>
      </c>
      <c r="AB454">
        <v>7.6701800000000002</v>
      </c>
      <c r="AC454">
        <v>0.85316400000000003</v>
      </c>
      <c r="AD454">
        <v>1.74193</v>
      </c>
      <c r="AE454">
        <v>4.0264300000000004</v>
      </c>
      <c r="AF454">
        <v>328176032</v>
      </c>
      <c r="AG454" t="s">
        <v>878</v>
      </c>
      <c r="AH454" t="s">
        <v>879</v>
      </c>
      <c r="AI454">
        <v>1554923</v>
      </c>
      <c r="AJ454">
        <v>11870</v>
      </c>
      <c r="AM454">
        <v>928107264</v>
      </c>
      <c r="AN454">
        <v>0</v>
      </c>
      <c r="AO454">
        <v>618745280</v>
      </c>
      <c r="AP454">
        <v>928107264</v>
      </c>
      <c r="AQ454">
        <v>1546852544</v>
      </c>
      <c r="AR454">
        <v>58006704</v>
      </c>
      <c r="AS454">
        <v>0</v>
      </c>
      <c r="AT454">
        <v>38671580</v>
      </c>
      <c r="AU454">
        <v>58006704</v>
      </c>
      <c r="AV454">
        <v>96678284</v>
      </c>
      <c r="AW454">
        <v>28.6358</v>
      </c>
      <c r="AX454">
        <v>15.289899999999999</v>
      </c>
      <c r="AY454">
        <v>5288.48</v>
      </c>
      <c r="AZ454">
        <v>3638.64</v>
      </c>
      <c r="BA454">
        <v>2932</v>
      </c>
      <c r="BB454">
        <v>390</v>
      </c>
      <c r="BC454" t="str">
        <f t="shared" si="14"/>
        <v>u=40%, k=2x10^7</v>
      </c>
      <c r="BD454">
        <f t="shared" si="15"/>
        <v>16</v>
      </c>
    </row>
    <row r="455" spans="1:56">
      <c r="A455" t="s">
        <v>880</v>
      </c>
      <c r="B455" t="s">
        <v>63</v>
      </c>
      <c r="C455">
        <v>72</v>
      </c>
      <c r="D455" t="s">
        <v>64</v>
      </c>
      <c r="E455" t="s">
        <v>59</v>
      </c>
      <c r="F455" t="s">
        <v>60</v>
      </c>
      <c r="G455">
        <v>32000</v>
      </c>
      <c r="H455">
        <v>20</v>
      </c>
      <c r="I455">
        <v>20</v>
      </c>
      <c r="J455">
        <v>0</v>
      </c>
      <c r="K455">
        <v>1</v>
      </c>
      <c r="L455">
        <v>20000000</v>
      </c>
      <c r="M455">
        <v>190</v>
      </c>
      <c r="N455">
        <v>190</v>
      </c>
      <c r="O455">
        <v>190</v>
      </c>
      <c r="P455">
        <v>0</v>
      </c>
      <c r="Q455" t="s">
        <v>61</v>
      </c>
      <c r="R455">
        <v>100061101608541</v>
      </c>
      <c r="S455">
        <v>10004817</v>
      </c>
      <c r="T455">
        <v>100061101608541</v>
      </c>
      <c r="U455">
        <v>10004817</v>
      </c>
      <c r="V455" t="s">
        <v>71</v>
      </c>
      <c r="W455">
        <v>7</v>
      </c>
      <c r="X455">
        <v>1626338</v>
      </c>
      <c r="Y455">
        <v>11447688</v>
      </c>
      <c r="Z455">
        <v>13074026</v>
      </c>
      <c r="AA455">
        <v>10004817</v>
      </c>
      <c r="AB455">
        <v>8.0389400000000002</v>
      </c>
      <c r="AC455">
        <v>0.87395999999999996</v>
      </c>
      <c r="AD455">
        <v>1.7652399999999999</v>
      </c>
      <c r="AE455">
        <v>4.0000099999999996</v>
      </c>
      <c r="AF455">
        <v>313270032</v>
      </c>
      <c r="AG455" t="s">
        <v>881</v>
      </c>
      <c r="AH455" t="s">
        <v>882</v>
      </c>
      <c r="AI455">
        <v>3111689</v>
      </c>
      <c r="AJ455">
        <v>23716</v>
      </c>
      <c r="AM455">
        <v>1852317375</v>
      </c>
      <c r="AN455">
        <v>0</v>
      </c>
      <c r="AO455">
        <v>1234837449</v>
      </c>
      <c r="AP455">
        <v>1852317375</v>
      </c>
      <c r="AQ455">
        <v>3087154824</v>
      </c>
      <c r="AR455">
        <v>57884917</v>
      </c>
      <c r="AS455">
        <v>0</v>
      </c>
      <c r="AT455">
        <v>38588670</v>
      </c>
      <c r="AU455">
        <v>57884917</v>
      </c>
      <c r="AV455">
        <v>96473588</v>
      </c>
      <c r="AW455">
        <v>28.657399999999999</v>
      </c>
      <c r="AX455">
        <v>15.3071</v>
      </c>
      <c r="AY455">
        <v>5309.81</v>
      </c>
      <c r="AZ455">
        <v>3646.37</v>
      </c>
      <c r="BA455">
        <v>2950</v>
      </c>
      <c r="BB455">
        <v>482</v>
      </c>
      <c r="BC455" t="str">
        <f t="shared" si="14"/>
        <v>u=40%, k=2x10^7</v>
      </c>
      <c r="BD455">
        <f t="shared" si="15"/>
        <v>32</v>
      </c>
    </row>
    <row r="456" spans="1:56">
      <c r="A456" t="s">
        <v>883</v>
      </c>
      <c r="B456" t="s">
        <v>63</v>
      </c>
      <c r="C456">
        <v>72</v>
      </c>
      <c r="D456" t="s">
        <v>64</v>
      </c>
      <c r="E456" t="s">
        <v>59</v>
      </c>
      <c r="F456" t="s">
        <v>60</v>
      </c>
      <c r="G456">
        <v>64000</v>
      </c>
      <c r="H456">
        <v>20</v>
      </c>
      <c r="I456">
        <v>20</v>
      </c>
      <c r="J456">
        <v>0</v>
      </c>
      <c r="K456">
        <v>1</v>
      </c>
      <c r="L456">
        <v>20000000</v>
      </c>
      <c r="M456">
        <v>190</v>
      </c>
      <c r="N456">
        <v>190</v>
      </c>
      <c r="O456">
        <v>190</v>
      </c>
      <c r="P456">
        <v>0</v>
      </c>
      <c r="Q456" t="s">
        <v>61</v>
      </c>
      <c r="R456">
        <v>99993770389931</v>
      </c>
      <c r="S456">
        <v>9999832</v>
      </c>
      <c r="T456">
        <v>99993770389931</v>
      </c>
      <c r="U456">
        <v>9999832</v>
      </c>
      <c r="V456" t="s">
        <v>71</v>
      </c>
      <c r="W456">
        <v>7</v>
      </c>
      <c r="X456">
        <v>1762143</v>
      </c>
      <c r="Y456">
        <v>11732067</v>
      </c>
      <c r="Z456">
        <v>13494210</v>
      </c>
      <c r="AA456">
        <v>9999832</v>
      </c>
      <c r="AB456">
        <v>7.6578400000000002</v>
      </c>
      <c r="AC456">
        <v>0.85235000000000005</v>
      </c>
      <c r="AD456">
        <v>1.74105</v>
      </c>
      <c r="AE456">
        <v>4.0274200000000002</v>
      </c>
      <c r="AF456">
        <v>328701872</v>
      </c>
      <c r="AG456" t="s">
        <v>884</v>
      </c>
      <c r="AH456" t="s">
        <v>885</v>
      </c>
      <c r="AI456">
        <v>6251650</v>
      </c>
      <c r="AJ456">
        <v>47246</v>
      </c>
      <c r="AM456">
        <v>3709900743</v>
      </c>
      <c r="AN456">
        <v>0</v>
      </c>
      <c r="AO456">
        <v>2473401776</v>
      </c>
      <c r="AP456">
        <v>3709900743</v>
      </c>
      <c r="AQ456">
        <v>6183302519</v>
      </c>
      <c r="AR456">
        <v>57967199</v>
      </c>
      <c r="AS456">
        <v>0</v>
      </c>
      <c r="AT456">
        <v>38646902</v>
      </c>
      <c r="AU456">
        <v>57967199</v>
      </c>
      <c r="AV456">
        <v>96614101</v>
      </c>
      <c r="AW456">
        <v>28.682600000000001</v>
      </c>
      <c r="AX456">
        <v>15.314</v>
      </c>
      <c r="AY456">
        <v>5315.21</v>
      </c>
      <c r="AZ456">
        <v>3666.95</v>
      </c>
      <c r="BA456">
        <v>2963</v>
      </c>
      <c r="BB456">
        <v>334</v>
      </c>
      <c r="BC456" t="str">
        <f t="shared" si="14"/>
        <v>u=40%, k=2x10^7</v>
      </c>
      <c r="BD456">
        <f t="shared" si="15"/>
        <v>64</v>
      </c>
    </row>
    <row r="457" spans="1:56">
      <c r="A457" t="s">
        <v>886</v>
      </c>
      <c r="B457" t="s">
        <v>300</v>
      </c>
      <c r="C457">
        <v>208</v>
      </c>
      <c r="D457" t="s">
        <v>64</v>
      </c>
      <c r="E457" t="s">
        <v>59</v>
      </c>
      <c r="F457" t="s">
        <v>60</v>
      </c>
      <c r="G457">
        <v>1000</v>
      </c>
      <c r="H457">
        <v>20</v>
      </c>
      <c r="I457">
        <v>20</v>
      </c>
      <c r="J457">
        <v>0</v>
      </c>
      <c r="K457">
        <v>1</v>
      </c>
      <c r="L457">
        <v>20000000</v>
      </c>
      <c r="M457">
        <v>190</v>
      </c>
      <c r="N457">
        <v>190</v>
      </c>
      <c r="O457">
        <v>190</v>
      </c>
      <c r="P457">
        <v>0</v>
      </c>
      <c r="Q457" t="s">
        <v>61</v>
      </c>
      <c r="R457">
        <v>99991430903350</v>
      </c>
      <c r="S457">
        <v>10001443</v>
      </c>
      <c r="T457">
        <v>99991430903350</v>
      </c>
      <c r="U457">
        <v>10001443</v>
      </c>
      <c r="V457" t="s">
        <v>71</v>
      </c>
      <c r="W457">
        <v>9</v>
      </c>
      <c r="X457">
        <v>243049</v>
      </c>
      <c r="Y457">
        <v>1668813</v>
      </c>
      <c r="Z457">
        <v>1911862</v>
      </c>
      <c r="AA457">
        <v>10001443</v>
      </c>
      <c r="AB457">
        <v>7.8661599999999998</v>
      </c>
      <c r="AC457">
        <v>5.99315</v>
      </c>
      <c r="AD457">
        <v>6.2312599999999998</v>
      </c>
      <c r="AE457">
        <v>8</v>
      </c>
      <c r="AF457">
        <v>397667296</v>
      </c>
      <c r="AJ457" t="s">
        <v>887</v>
      </c>
      <c r="AM457">
        <v>73581142</v>
      </c>
      <c r="AN457">
        <v>0</v>
      </c>
      <c r="AO457">
        <v>49049726</v>
      </c>
      <c r="AP457">
        <v>73581142</v>
      </c>
      <c r="AQ457">
        <v>122630868</v>
      </c>
      <c r="AR457">
        <v>73581142</v>
      </c>
      <c r="AS457">
        <v>0</v>
      </c>
      <c r="AT457">
        <v>49049726</v>
      </c>
      <c r="AU457">
        <v>73581142</v>
      </c>
      <c r="AV457">
        <v>122630868</v>
      </c>
      <c r="AW457">
        <v>22.2333</v>
      </c>
      <c r="AX457">
        <v>8.6820599999999999</v>
      </c>
      <c r="AY457">
        <v>4073.16</v>
      </c>
      <c r="AZ457">
        <v>2267.79</v>
      </c>
      <c r="BA457">
        <v>2036</v>
      </c>
      <c r="BB457">
        <v>890</v>
      </c>
      <c r="BC457" t="str">
        <f t="shared" si="14"/>
        <v>u=40%, k=2x10^7</v>
      </c>
      <c r="BD457">
        <f t="shared" si="15"/>
        <v>1</v>
      </c>
    </row>
    <row r="458" spans="1:56">
      <c r="A458" t="s">
        <v>888</v>
      </c>
      <c r="B458" t="s">
        <v>300</v>
      </c>
      <c r="C458">
        <v>208</v>
      </c>
      <c r="D458" t="s">
        <v>64</v>
      </c>
      <c r="E458" t="s">
        <v>59</v>
      </c>
      <c r="F458" t="s">
        <v>60</v>
      </c>
      <c r="G458">
        <v>2000</v>
      </c>
      <c r="H458">
        <v>20</v>
      </c>
      <c r="I458">
        <v>20</v>
      </c>
      <c r="J458">
        <v>0</v>
      </c>
      <c r="K458">
        <v>1</v>
      </c>
      <c r="L458">
        <v>20000000</v>
      </c>
      <c r="M458">
        <v>190</v>
      </c>
      <c r="N458">
        <v>190</v>
      </c>
      <c r="O458">
        <v>190</v>
      </c>
      <c r="P458">
        <v>0</v>
      </c>
      <c r="Q458" t="s">
        <v>61</v>
      </c>
      <c r="R458">
        <v>100005912324556</v>
      </c>
      <c r="S458">
        <v>9999505</v>
      </c>
      <c r="T458">
        <v>100005912324556</v>
      </c>
      <c r="U458">
        <v>9999505</v>
      </c>
      <c r="V458" t="s">
        <v>71</v>
      </c>
      <c r="W458">
        <v>9</v>
      </c>
      <c r="X458">
        <v>261815</v>
      </c>
      <c r="Y458">
        <v>1792544</v>
      </c>
      <c r="Z458">
        <v>2054359</v>
      </c>
      <c r="AA458">
        <v>9999505</v>
      </c>
      <c r="AB458">
        <v>7.8466100000000001</v>
      </c>
      <c r="AC458">
        <v>5.5783899999999997</v>
      </c>
      <c r="AD458">
        <v>5.8674600000000003</v>
      </c>
      <c r="AE458">
        <v>8</v>
      </c>
      <c r="AF458">
        <v>427306672</v>
      </c>
      <c r="AJ458">
        <v>2620</v>
      </c>
      <c r="AM458">
        <v>146024883</v>
      </c>
      <c r="AN458">
        <v>0</v>
      </c>
      <c r="AO458">
        <v>97356788</v>
      </c>
      <c r="AP458">
        <v>146024883</v>
      </c>
      <c r="AQ458">
        <v>243381671</v>
      </c>
      <c r="AR458">
        <v>73012441</v>
      </c>
      <c r="AS458">
        <v>0</v>
      </c>
      <c r="AT458">
        <v>48678394</v>
      </c>
      <c r="AU458">
        <v>73012441</v>
      </c>
      <c r="AV458">
        <v>121690835</v>
      </c>
      <c r="AW458">
        <v>22.270499999999998</v>
      </c>
      <c r="AX458">
        <v>8.7634500000000006</v>
      </c>
      <c r="AY458">
        <v>4188.8</v>
      </c>
      <c r="AZ458">
        <v>2307.12</v>
      </c>
      <c r="BA458">
        <v>2130</v>
      </c>
      <c r="BB458">
        <v>941</v>
      </c>
      <c r="BC458" t="str">
        <f t="shared" si="14"/>
        <v>u=40%, k=2x10^7</v>
      </c>
      <c r="BD458">
        <f t="shared" si="15"/>
        <v>2</v>
      </c>
    </row>
    <row r="459" spans="1:56">
      <c r="A459" t="s">
        <v>889</v>
      </c>
      <c r="B459" t="s">
        <v>300</v>
      </c>
      <c r="C459">
        <v>208</v>
      </c>
      <c r="D459" t="s">
        <v>64</v>
      </c>
      <c r="E459" t="s">
        <v>59</v>
      </c>
      <c r="F459" t="s">
        <v>60</v>
      </c>
      <c r="G459">
        <v>4000</v>
      </c>
      <c r="H459">
        <v>20</v>
      </c>
      <c r="I459">
        <v>20</v>
      </c>
      <c r="J459">
        <v>0</v>
      </c>
      <c r="K459">
        <v>1</v>
      </c>
      <c r="L459">
        <v>20000000</v>
      </c>
      <c r="M459">
        <v>190</v>
      </c>
      <c r="N459">
        <v>190</v>
      </c>
      <c r="O459">
        <v>190</v>
      </c>
      <c r="P459">
        <v>0</v>
      </c>
      <c r="Q459" t="s">
        <v>61</v>
      </c>
      <c r="R459">
        <v>100006520190599</v>
      </c>
      <c r="S459">
        <v>10000555</v>
      </c>
      <c r="T459">
        <v>100006520190599</v>
      </c>
      <c r="U459">
        <v>10000555</v>
      </c>
      <c r="V459" t="s">
        <v>71</v>
      </c>
      <c r="W459">
        <v>9</v>
      </c>
      <c r="X459">
        <v>282253</v>
      </c>
      <c r="Y459">
        <v>1904804</v>
      </c>
      <c r="Z459">
        <v>2187057</v>
      </c>
      <c r="AA459">
        <v>10000555</v>
      </c>
      <c r="AB459">
        <v>7.74857</v>
      </c>
      <c r="AC459">
        <v>5.2501800000000003</v>
      </c>
      <c r="AD459">
        <v>5.5726100000000001</v>
      </c>
      <c r="AE459">
        <v>8</v>
      </c>
      <c r="AF459">
        <v>454907856</v>
      </c>
      <c r="AJ459">
        <v>4536</v>
      </c>
      <c r="AM459">
        <v>302151314</v>
      </c>
      <c r="AN459">
        <v>0</v>
      </c>
      <c r="AO459">
        <v>201440353</v>
      </c>
      <c r="AP459">
        <v>302151314</v>
      </c>
      <c r="AQ459">
        <v>503591667</v>
      </c>
      <c r="AR459">
        <v>75537828</v>
      </c>
      <c r="AS459">
        <v>0</v>
      </c>
      <c r="AT459">
        <v>50360088</v>
      </c>
      <c r="AU459">
        <v>75537828</v>
      </c>
      <c r="AV459">
        <v>125897916</v>
      </c>
      <c r="AW459">
        <v>22.431000000000001</v>
      </c>
      <c r="AX459">
        <v>8.8606800000000003</v>
      </c>
      <c r="AY459">
        <v>4139.59</v>
      </c>
      <c r="AZ459">
        <v>2334.34</v>
      </c>
      <c r="BA459">
        <v>2138</v>
      </c>
      <c r="BB459">
        <v>935</v>
      </c>
      <c r="BC459" t="str">
        <f t="shared" si="14"/>
        <v>u=40%, k=2x10^7</v>
      </c>
      <c r="BD459">
        <f t="shared" si="15"/>
        <v>4</v>
      </c>
    </row>
    <row r="460" spans="1:56">
      <c r="A460" t="s">
        <v>890</v>
      </c>
      <c r="B460" t="s">
        <v>300</v>
      </c>
      <c r="C460">
        <v>208</v>
      </c>
      <c r="D460" t="s">
        <v>64</v>
      </c>
      <c r="E460" t="s">
        <v>59</v>
      </c>
      <c r="F460" t="s">
        <v>60</v>
      </c>
      <c r="G460">
        <v>8000</v>
      </c>
      <c r="H460">
        <v>20</v>
      </c>
      <c r="I460">
        <v>20</v>
      </c>
      <c r="J460">
        <v>0</v>
      </c>
      <c r="K460">
        <v>1</v>
      </c>
      <c r="L460">
        <v>20000000</v>
      </c>
      <c r="M460">
        <v>190</v>
      </c>
      <c r="N460">
        <v>190</v>
      </c>
      <c r="O460">
        <v>190</v>
      </c>
      <c r="P460">
        <v>0</v>
      </c>
      <c r="Q460" t="s">
        <v>61</v>
      </c>
      <c r="R460">
        <v>100002758546088</v>
      </c>
      <c r="S460">
        <v>10001519</v>
      </c>
      <c r="T460">
        <v>100002758546088</v>
      </c>
      <c r="U460">
        <v>10001519</v>
      </c>
      <c r="V460" t="s">
        <v>71</v>
      </c>
      <c r="W460">
        <v>9</v>
      </c>
      <c r="X460">
        <v>300317</v>
      </c>
      <c r="Y460">
        <v>1960745</v>
      </c>
      <c r="Z460">
        <v>2261062</v>
      </c>
      <c r="AA460">
        <v>10001519</v>
      </c>
      <c r="AB460">
        <v>7.5289200000000003</v>
      </c>
      <c r="AC460">
        <v>5.1008800000000001</v>
      </c>
      <c r="AD460">
        <v>5.4233700000000002</v>
      </c>
      <c r="AE460">
        <v>8</v>
      </c>
      <c r="AF460">
        <v>470300896</v>
      </c>
      <c r="AJ460" t="s">
        <v>891</v>
      </c>
      <c r="AM460">
        <v>596916447</v>
      </c>
      <c r="AN460">
        <v>0</v>
      </c>
      <c r="AO460">
        <v>397927843</v>
      </c>
      <c r="AP460">
        <v>596916447</v>
      </c>
      <c r="AQ460">
        <v>994844290</v>
      </c>
      <c r="AR460">
        <v>74614555</v>
      </c>
      <c r="AS460">
        <v>0</v>
      </c>
      <c r="AT460">
        <v>49740980</v>
      </c>
      <c r="AU460">
        <v>74614555</v>
      </c>
      <c r="AV460">
        <v>124355536</v>
      </c>
      <c r="AW460">
        <v>22.624400000000001</v>
      </c>
      <c r="AX460">
        <v>8.9625900000000005</v>
      </c>
      <c r="AY460">
        <v>4206.12</v>
      </c>
      <c r="AZ460">
        <v>2364.34</v>
      </c>
      <c r="BA460">
        <v>2164</v>
      </c>
      <c r="BB460">
        <v>918</v>
      </c>
      <c r="BC460" t="str">
        <f t="shared" si="14"/>
        <v>u=40%, k=2x10^7</v>
      </c>
      <c r="BD460">
        <f t="shared" si="15"/>
        <v>8</v>
      </c>
    </row>
    <row r="461" spans="1:56">
      <c r="A461" t="s">
        <v>892</v>
      </c>
      <c r="B461" t="s">
        <v>300</v>
      </c>
      <c r="C461">
        <v>208</v>
      </c>
      <c r="D461" t="s">
        <v>64</v>
      </c>
      <c r="E461" t="s">
        <v>59</v>
      </c>
      <c r="F461" t="s">
        <v>60</v>
      </c>
      <c r="G461">
        <v>16000</v>
      </c>
      <c r="H461">
        <v>20</v>
      </c>
      <c r="I461">
        <v>20</v>
      </c>
      <c r="J461">
        <v>0</v>
      </c>
      <c r="K461">
        <v>1</v>
      </c>
      <c r="L461">
        <v>20000000</v>
      </c>
      <c r="M461">
        <v>190</v>
      </c>
      <c r="N461">
        <v>190</v>
      </c>
      <c r="O461">
        <v>190</v>
      </c>
      <c r="P461">
        <v>0</v>
      </c>
      <c r="Q461" t="s">
        <v>61</v>
      </c>
      <c r="R461">
        <v>99975363116140</v>
      </c>
      <c r="S461">
        <v>9997812</v>
      </c>
      <c r="T461">
        <v>99975363116140</v>
      </c>
      <c r="U461">
        <v>9997812</v>
      </c>
      <c r="V461" t="s">
        <v>71</v>
      </c>
      <c r="W461">
        <v>9</v>
      </c>
      <c r="X461">
        <v>315599</v>
      </c>
      <c r="Y461">
        <v>1962650</v>
      </c>
      <c r="Z461">
        <v>2278249</v>
      </c>
      <c r="AA461">
        <v>9997812</v>
      </c>
      <c r="AB461">
        <v>7.2188100000000004</v>
      </c>
      <c r="AC461">
        <v>5.0940399999999997</v>
      </c>
      <c r="AD461">
        <v>5.3883799999999997</v>
      </c>
      <c r="AE461">
        <v>8</v>
      </c>
      <c r="AF461">
        <v>473875792</v>
      </c>
      <c r="AJ461" t="s">
        <v>893</v>
      </c>
      <c r="AM461">
        <v>1178397777</v>
      </c>
      <c r="AN461">
        <v>0</v>
      </c>
      <c r="AO461">
        <v>785622047</v>
      </c>
      <c r="AP461">
        <v>1178397777</v>
      </c>
      <c r="AQ461">
        <v>1964019824</v>
      </c>
      <c r="AR461">
        <v>73649861</v>
      </c>
      <c r="AS461">
        <v>0</v>
      </c>
      <c r="AT461">
        <v>49101377</v>
      </c>
      <c r="AU461">
        <v>73649861</v>
      </c>
      <c r="AV461">
        <v>122751239</v>
      </c>
      <c r="AW461">
        <v>22.732199999999999</v>
      </c>
      <c r="AX461">
        <v>9.0340100000000003</v>
      </c>
      <c r="AY461">
        <v>4262.47</v>
      </c>
      <c r="AZ461">
        <v>2401.27</v>
      </c>
      <c r="BA461">
        <v>2253</v>
      </c>
      <c r="BB461">
        <v>928</v>
      </c>
      <c r="BC461" t="str">
        <f t="shared" si="14"/>
        <v>u=40%, k=2x10^7</v>
      </c>
      <c r="BD461">
        <f t="shared" si="15"/>
        <v>16</v>
      </c>
    </row>
    <row r="462" spans="1:56">
      <c r="A462" t="s">
        <v>894</v>
      </c>
      <c r="B462" t="s">
        <v>300</v>
      </c>
      <c r="C462">
        <v>208</v>
      </c>
      <c r="D462" t="s">
        <v>64</v>
      </c>
      <c r="E462" t="s">
        <v>59</v>
      </c>
      <c r="F462" t="s">
        <v>60</v>
      </c>
      <c r="G462">
        <v>32000</v>
      </c>
      <c r="H462">
        <v>20</v>
      </c>
      <c r="I462">
        <v>20</v>
      </c>
      <c r="J462">
        <v>0</v>
      </c>
      <c r="K462">
        <v>1</v>
      </c>
      <c r="L462">
        <v>20000000</v>
      </c>
      <c r="M462">
        <v>190</v>
      </c>
      <c r="N462">
        <v>190</v>
      </c>
      <c r="O462">
        <v>190</v>
      </c>
      <c r="P462">
        <v>0</v>
      </c>
      <c r="Q462" t="s">
        <v>61</v>
      </c>
      <c r="R462">
        <v>99988785271786</v>
      </c>
      <c r="S462">
        <v>9999379</v>
      </c>
      <c r="T462">
        <v>99988785271786</v>
      </c>
      <c r="U462">
        <v>9999379</v>
      </c>
      <c r="V462" t="s">
        <v>71</v>
      </c>
      <c r="W462">
        <v>10</v>
      </c>
      <c r="X462">
        <v>328508</v>
      </c>
      <c r="Y462">
        <v>1954796</v>
      </c>
      <c r="Z462">
        <v>2283304</v>
      </c>
      <c r="AA462">
        <v>9999379</v>
      </c>
      <c r="AB462">
        <v>6.9505299999999997</v>
      </c>
      <c r="AC462">
        <v>5.11531</v>
      </c>
      <c r="AD462">
        <v>5.3793499999999996</v>
      </c>
      <c r="AE462">
        <v>9</v>
      </c>
      <c r="AF462">
        <v>474927232</v>
      </c>
      <c r="AJ462" t="s">
        <v>895</v>
      </c>
      <c r="AM462">
        <v>2362545429</v>
      </c>
      <c r="AN462">
        <v>0</v>
      </c>
      <c r="AO462">
        <v>1575006743</v>
      </c>
      <c r="AP462">
        <v>2362545429</v>
      </c>
      <c r="AQ462">
        <v>3937552172</v>
      </c>
      <c r="AR462">
        <v>73829544</v>
      </c>
      <c r="AS462">
        <v>0</v>
      </c>
      <c r="AT462">
        <v>49218960</v>
      </c>
      <c r="AU462">
        <v>73829544</v>
      </c>
      <c r="AV462">
        <v>123048505</v>
      </c>
      <c r="AW462">
        <v>22.788</v>
      </c>
      <c r="AX462">
        <v>9.0741700000000005</v>
      </c>
      <c r="AY462">
        <v>4273.45</v>
      </c>
      <c r="AZ462">
        <v>2421.62</v>
      </c>
      <c r="BA462">
        <v>2232</v>
      </c>
      <c r="BB462">
        <v>936</v>
      </c>
      <c r="BC462" t="str">
        <f t="shared" si="14"/>
        <v>u=40%, k=2x10^7</v>
      </c>
      <c r="BD462">
        <f t="shared" si="15"/>
        <v>32</v>
      </c>
    </row>
    <row r="463" spans="1:56">
      <c r="A463" t="s">
        <v>896</v>
      </c>
      <c r="B463" t="s">
        <v>300</v>
      </c>
      <c r="C463">
        <v>208</v>
      </c>
      <c r="D463" t="s">
        <v>64</v>
      </c>
      <c r="E463" t="s">
        <v>59</v>
      </c>
      <c r="F463" t="s">
        <v>60</v>
      </c>
      <c r="G463">
        <v>64000</v>
      </c>
      <c r="H463">
        <v>20</v>
      </c>
      <c r="I463">
        <v>20</v>
      </c>
      <c r="J463">
        <v>0</v>
      </c>
      <c r="K463">
        <v>1</v>
      </c>
      <c r="L463">
        <v>20000000</v>
      </c>
      <c r="M463">
        <v>190</v>
      </c>
      <c r="N463">
        <v>190</v>
      </c>
      <c r="O463">
        <v>190</v>
      </c>
      <c r="P463">
        <v>0</v>
      </c>
      <c r="Q463" t="s">
        <v>61</v>
      </c>
      <c r="R463">
        <v>100002165129747</v>
      </c>
      <c r="S463">
        <v>9999070</v>
      </c>
      <c r="T463">
        <v>100002165129747</v>
      </c>
      <c r="U463">
        <v>9999070</v>
      </c>
      <c r="V463" t="s">
        <v>71</v>
      </c>
      <c r="W463">
        <v>9</v>
      </c>
      <c r="X463">
        <v>339353</v>
      </c>
      <c r="Y463">
        <v>1951167</v>
      </c>
      <c r="Z463">
        <v>2290520</v>
      </c>
      <c r="AA463">
        <v>9999070</v>
      </c>
      <c r="AB463">
        <v>6.7496700000000001</v>
      </c>
      <c r="AC463">
        <v>5.1246600000000004</v>
      </c>
      <c r="AD463">
        <v>5.3654099999999998</v>
      </c>
      <c r="AE463">
        <v>8</v>
      </c>
      <c r="AF463">
        <v>476428160</v>
      </c>
      <c r="AJ463">
        <v>61530</v>
      </c>
      <c r="AM463">
        <v>4733082087</v>
      </c>
      <c r="AN463">
        <v>0</v>
      </c>
      <c r="AO463">
        <v>3155475729</v>
      </c>
      <c r="AP463">
        <v>4733082087</v>
      </c>
      <c r="AQ463">
        <v>7888557816</v>
      </c>
      <c r="AR463">
        <v>73954407</v>
      </c>
      <c r="AS463">
        <v>0</v>
      </c>
      <c r="AT463">
        <v>49304308</v>
      </c>
      <c r="AU463">
        <v>73954407</v>
      </c>
      <c r="AV463">
        <v>123258715</v>
      </c>
      <c r="AW463">
        <v>23.030799999999999</v>
      </c>
      <c r="AX463">
        <v>9.1732399999999998</v>
      </c>
      <c r="AY463">
        <v>4267.58</v>
      </c>
      <c r="AZ463">
        <v>2422.9699999999998</v>
      </c>
      <c r="BA463">
        <v>2182</v>
      </c>
      <c r="BB463">
        <v>923</v>
      </c>
      <c r="BC463" t="str">
        <f t="shared" si="14"/>
        <v>u=40%, k=2x10^7</v>
      </c>
      <c r="BD463">
        <f t="shared" si="15"/>
        <v>64</v>
      </c>
    </row>
    <row r="464" spans="1:56">
      <c r="A464" t="s">
        <v>897</v>
      </c>
      <c r="B464" t="s">
        <v>105</v>
      </c>
      <c r="D464" t="s">
        <v>64</v>
      </c>
      <c r="E464" t="s">
        <v>59</v>
      </c>
      <c r="F464" t="s">
        <v>60</v>
      </c>
      <c r="G464">
        <v>1000</v>
      </c>
      <c r="H464">
        <v>20</v>
      </c>
      <c r="I464">
        <v>20</v>
      </c>
      <c r="J464">
        <v>0</v>
      </c>
      <c r="K464">
        <v>1</v>
      </c>
      <c r="L464">
        <v>20000000</v>
      </c>
      <c r="M464">
        <v>190</v>
      </c>
      <c r="N464">
        <v>190</v>
      </c>
      <c r="O464">
        <v>190</v>
      </c>
      <c r="P464">
        <v>0</v>
      </c>
      <c r="Q464" t="s">
        <v>61</v>
      </c>
      <c r="R464">
        <v>100025271481220</v>
      </c>
      <c r="S464">
        <v>10001416</v>
      </c>
      <c r="T464">
        <v>100025271481220</v>
      </c>
      <c r="U464">
        <v>10001416</v>
      </c>
      <c r="V464" t="s">
        <v>71</v>
      </c>
      <c r="W464">
        <v>29</v>
      </c>
      <c r="X464">
        <v>6697097</v>
      </c>
      <c r="Y464">
        <v>5073115</v>
      </c>
      <c r="Z464">
        <v>11770212</v>
      </c>
      <c r="AA464">
        <v>10001416</v>
      </c>
      <c r="AB464">
        <v>1.7575099999999999</v>
      </c>
      <c r="AC464">
        <v>1.9714499999999999</v>
      </c>
      <c r="AD464">
        <v>1.84972</v>
      </c>
      <c r="AE464">
        <v>23.215699999999998</v>
      </c>
      <c r="AF464">
        <v>659131872</v>
      </c>
      <c r="AJ464" t="s">
        <v>898</v>
      </c>
      <c r="AM464">
        <v>57663429</v>
      </c>
      <c r="AN464">
        <v>0</v>
      </c>
      <c r="AO464">
        <v>38438875</v>
      </c>
      <c r="AP464">
        <v>57663429</v>
      </c>
      <c r="AQ464">
        <v>96102304</v>
      </c>
      <c r="AR464">
        <v>57663429</v>
      </c>
      <c r="AS464">
        <v>0</v>
      </c>
      <c r="AT464">
        <v>38438875</v>
      </c>
      <c r="AU464">
        <v>57663429</v>
      </c>
      <c r="AV464">
        <v>96102304</v>
      </c>
      <c r="AW464">
        <v>31.207699999999999</v>
      </c>
      <c r="AX464">
        <v>11.504300000000001</v>
      </c>
      <c r="AY464">
        <v>5424</v>
      </c>
      <c r="AZ464">
        <v>3804.36</v>
      </c>
      <c r="BA464">
        <v>1951</v>
      </c>
      <c r="BB464">
        <v>434</v>
      </c>
      <c r="BC464" t="str">
        <f t="shared" si="14"/>
        <v>u=40%, k=2x10^7</v>
      </c>
      <c r="BD464">
        <f t="shared" si="15"/>
        <v>1</v>
      </c>
    </row>
    <row r="465" spans="1:56">
      <c r="A465" t="s">
        <v>899</v>
      </c>
      <c r="B465" t="s">
        <v>105</v>
      </c>
      <c r="D465" t="s">
        <v>64</v>
      </c>
      <c r="E465" t="s">
        <v>59</v>
      </c>
      <c r="F465" t="s">
        <v>60</v>
      </c>
      <c r="G465">
        <v>2000</v>
      </c>
      <c r="H465">
        <v>20</v>
      </c>
      <c r="I465">
        <v>20</v>
      </c>
      <c r="J465">
        <v>0</v>
      </c>
      <c r="K465">
        <v>1</v>
      </c>
      <c r="L465">
        <v>20000000</v>
      </c>
      <c r="M465">
        <v>190</v>
      </c>
      <c r="N465">
        <v>190</v>
      </c>
      <c r="O465">
        <v>190</v>
      </c>
      <c r="P465">
        <v>0</v>
      </c>
      <c r="Q465" t="s">
        <v>61</v>
      </c>
      <c r="R465">
        <v>100024084003247</v>
      </c>
      <c r="S465">
        <v>10002391</v>
      </c>
      <c r="T465">
        <v>100024084003247</v>
      </c>
      <c r="U465">
        <v>10002391</v>
      </c>
      <c r="V465" t="s">
        <v>71</v>
      </c>
      <c r="W465">
        <v>29</v>
      </c>
      <c r="X465">
        <v>6835419</v>
      </c>
      <c r="Y465">
        <v>5184100</v>
      </c>
      <c r="Z465">
        <v>12019519</v>
      </c>
      <c r="AA465">
        <v>10002391</v>
      </c>
      <c r="AB465">
        <v>1.7584200000000001</v>
      </c>
      <c r="AC465">
        <v>1.92944</v>
      </c>
      <c r="AD465">
        <v>1.8321799999999999</v>
      </c>
      <c r="AE465">
        <v>23.215299999999999</v>
      </c>
      <c r="AF465">
        <v>673093064</v>
      </c>
      <c r="AJ465" t="s">
        <v>900</v>
      </c>
      <c r="AM465">
        <v>115145954</v>
      </c>
      <c r="AN465">
        <v>0</v>
      </c>
      <c r="AO465">
        <v>76730082</v>
      </c>
      <c r="AP465">
        <v>115145954</v>
      </c>
      <c r="AQ465">
        <v>191876036</v>
      </c>
      <c r="AR465">
        <v>57572977</v>
      </c>
      <c r="AS465">
        <v>0</v>
      </c>
      <c r="AT465">
        <v>38365041</v>
      </c>
      <c r="AU465">
        <v>57572977</v>
      </c>
      <c r="AV465">
        <v>95938018</v>
      </c>
      <c r="AW465">
        <v>31.497499999999999</v>
      </c>
      <c r="AX465">
        <v>11.6572</v>
      </c>
      <c r="AY465">
        <v>5498.14</v>
      </c>
      <c r="AZ465">
        <v>3886.73</v>
      </c>
      <c r="BA465">
        <v>2059</v>
      </c>
      <c r="BB465">
        <v>443</v>
      </c>
      <c r="BC465" t="str">
        <f t="shared" si="14"/>
        <v>u=40%, k=2x10^7</v>
      </c>
      <c r="BD465">
        <f t="shared" si="15"/>
        <v>2</v>
      </c>
    </row>
    <row r="466" spans="1:56">
      <c r="A466" t="s">
        <v>901</v>
      </c>
      <c r="B466" t="s">
        <v>105</v>
      </c>
      <c r="D466" t="s">
        <v>64</v>
      </c>
      <c r="E466" t="s">
        <v>59</v>
      </c>
      <c r="F466" t="s">
        <v>60</v>
      </c>
      <c r="G466">
        <v>4000</v>
      </c>
      <c r="H466">
        <v>20</v>
      </c>
      <c r="I466">
        <v>20</v>
      </c>
      <c r="J466">
        <v>0</v>
      </c>
      <c r="K466">
        <v>1</v>
      </c>
      <c r="L466">
        <v>20000000</v>
      </c>
      <c r="M466">
        <v>190</v>
      </c>
      <c r="N466">
        <v>190</v>
      </c>
      <c r="O466">
        <v>190</v>
      </c>
      <c r="P466">
        <v>0</v>
      </c>
      <c r="Q466" t="s">
        <v>61</v>
      </c>
      <c r="R466">
        <v>100004677647771</v>
      </c>
      <c r="S466">
        <v>10000258</v>
      </c>
      <c r="T466">
        <v>100004677647771</v>
      </c>
      <c r="U466">
        <v>10000258</v>
      </c>
      <c r="V466" t="s">
        <v>71</v>
      </c>
      <c r="W466">
        <v>29</v>
      </c>
      <c r="X466">
        <v>6857503</v>
      </c>
      <c r="Y466">
        <v>5202355</v>
      </c>
      <c r="Z466">
        <v>12059858</v>
      </c>
      <c r="AA466">
        <v>10000258</v>
      </c>
      <c r="AB466">
        <v>1.75864</v>
      </c>
      <c r="AC466">
        <v>1.9222600000000001</v>
      </c>
      <c r="AD466">
        <v>1.8292200000000001</v>
      </c>
      <c r="AE466">
        <v>23.255600000000001</v>
      </c>
      <c r="AF466">
        <v>675352048</v>
      </c>
      <c r="AJ466" t="s">
        <v>902</v>
      </c>
      <c r="AM466">
        <v>227498528</v>
      </c>
      <c r="AN466">
        <v>0</v>
      </c>
      <c r="AO466">
        <v>151682252</v>
      </c>
      <c r="AP466">
        <v>227498528</v>
      </c>
      <c r="AQ466">
        <v>379180780</v>
      </c>
      <c r="AR466">
        <v>56874632</v>
      </c>
      <c r="AS466">
        <v>0</v>
      </c>
      <c r="AT466">
        <v>37920563</v>
      </c>
      <c r="AU466">
        <v>56874632</v>
      </c>
      <c r="AV466">
        <v>94795195</v>
      </c>
      <c r="AW466">
        <v>31.8232</v>
      </c>
      <c r="AX466">
        <v>11.776</v>
      </c>
      <c r="AY466">
        <v>5572.84</v>
      </c>
      <c r="AZ466">
        <v>3956.98</v>
      </c>
      <c r="BA466">
        <v>2193</v>
      </c>
      <c r="BB466">
        <v>435</v>
      </c>
      <c r="BC466" t="str">
        <f t="shared" si="14"/>
        <v>u=40%, k=2x10^7</v>
      </c>
      <c r="BD466">
        <f t="shared" si="15"/>
        <v>4</v>
      </c>
    </row>
    <row r="467" spans="1:56">
      <c r="A467" t="s">
        <v>903</v>
      </c>
      <c r="B467" t="s">
        <v>105</v>
      </c>
      <c r="D467" t="s">
        <v>64</v>
      </c>
      <c r="E467" t="s">
        <v>59</v>
      </c>
      <c r="F467" t="s">
        <v>60</v>
      </c>
      <c r="G467">
        <v>8000</v>
      </c>
      <c r="H467">
        <v>20</v>
      </c>
      <c r="I467">
        <v>20</v>
      </c>
      <c r="J467">
        <v>0</v>
      </c>
      <c r="K467">
        <v>1</v>
      </c>
      <c r="L467">
        <v>20000000</v>
      </c>
      <c r="M467">
        <v>190</v>
      </c>
      <c r="N467">
        <v>190</v>
      </c>
      <c r="O467">
        <v>190</v>
      </c>
      <c r="P467">
        <v>0</v>
      </c>
      <c r="Q467" t="s">
        <v>61</v>
      </c>
      <c r="R467">
        <v>99967111190992</v>
      </c>
      <c r="S467">
        <v>9999122</v>
      </c>
      <c r="T467">
        <v>99967111190992</v>
      </c>
      <c r="U467">
        <v>9999122</v>
      </c>
      <c r="V467" t="s">
        <v>71</v>
      </c>
      <c r="W467">
        <v>29</v>
      </c>
      <c r="X467">
        <v>6858017</v>
      </c>
      <c r="Y467">
        <v>5202537</v>
      </c>
      <c r="Z467">
        <v>12060554</v>
      </c>
      <c r="AA467">
        <v>9999122</v>
      </c>
      <c r="AB467">
        <v>1.75861</v>
      </c>
      <c r="AC467">
        <v>1.92197</v>
      </c>
      <c r="AD467">
        <v>1.82908</v>
      </c>
      <c r="AE467">
        <v>23.238700000000001</v>
      </c>
      <c r="AF467">
        <v>675391024</v>
      </c>
      <c r="AJ467" t="s">
        <v>904</v>
      </c>
      <c r="AM467">
        <v>451253658</v>
      </c>
      <c r="AN467">
        <v>0</v>
      </c>
      <c r="AO467">
        <v>300853349</v>
      </c>
      <c r="AP467">
        <v>451253658</v>
      </c>
      <c r="AQ467">
        <v>752107007</v>
      </c>
      <c r="AR467">
        <v>56406707</v>
      </c>
      <c r="AS467">
        <v>0</v>
      </c>
      <c r="AT467">
        <v>37606668</v>
      </c>
      <c r="AU467">
        <v>56406707</v>
      </c>
      <c r="AV467">
        <v>94013375</v>
      </c>
      <c r="AW467">
        <v>32.051600000000001</v>
      </c>
      <c r="AX467">
        <v>11.950100000000001</v>
      </c>
      <c r="AY467">
        <v>5614.33</v>
      </c>
      <c r="AZ467">
        <v>4029.35</v>
      </c>
      <c r="BA467">
        <v>2346</v>
      </c>
      <c r="BB467">
        <v>447</v>
      </c>
      <c r="BC467" t="str">
        <f t="shared" si="14"/>
        <v>u=40%, k=2x10^7</v>
      </c>
      <c r="BD467">
        <f t="shared" si="15"/>
        <v>8</v>
      </c>
    </row>
    <row r="468" spans="1:56">
      <c r="A468" t="s">
        <v>905</v>
      </c>
      <c r="B468" t="s">
        <v>105</v>
      </c>
      <c r="D468" t="s">
        <v>64</v>
      </c>
      <c r="E468" t="s">
        <v>59</v>
      </c>
      <c r="F468" t="s">
        <v>60</v>
      </c>
      <c r="G468">
        <v>16000</v>
      </c>
      <c r="H468">
        <v>20</v>
      </c>
      <c r="I468">
        <v>20</v>
      </c>
      <c r="J468">
        <v>0</v>
      </c>
      <c r="K468">
        <v>1</v>
      </c>
      <c r="L468">
        <v>20000000</v>
      </c>
      <c r="M468">
        <v>190</v>
      </c>
      <c r="N468">
        <v>190</v>
      </c>
      <c r="O468">
        <v>190</v>
      </c>
      <c r="P468">
        <v>0</v>
      </c>
      <c r="Q468" t="s">
        <v>61</v>
      </c>
      <c r="R468">
        <v>99986827360420</v>
      </c>
      <c r="S468">
        <v>9999347</v>
      </c>
      <c r="T468">
        <v>99986827360420</v>
      </c>
      <c r="U468">
        <v>9999347</v>
      </c>
      <c r="V468" t="s">
        <v>71</v>
      </c>
      <c r="W468">
        <v>29</v>
      </c>
      <c r="X468">
        <v>6857619</v>
      </c>
      <c r="Y468">
        <v>5202396</v>
      </c>
      <c r="Z468">
        <v>12060015</v>
      </c>
      <c r="AA468">
        <v>9999347</v>
      </c>
      <c r="AB468">
        <v>1.7586299999999999</v>
      </c>
      <c r="AC468">
        <v>1.9220699999999999</v>
      </c>
      <c r="AD468">
        <v>1.8291299999999999</v>
      </c>
      <c r="AE468">
        <v>23.234100000000002</v>
      </c>
      <c r="AF468">
        <v>675360840</v>
      </c>
      <c r="AJ468" t="s">
        <v>906</v>
      </c>
      <c r="AM468">
        <v>883422124</v>
      </c>
      <c r="AN468">
        <v>0</v>
      </c>
      <c r="AO468">
        <v>588900633</v>
      </c>
      <c r="AP468">
        <v>883422124</v>
      </c>
      <c r="AQ468">
        <v>1472322757</v>
      </c>
      <c r="AR468">
        <v>55213882</v>
      </c>
      <c r="AS468">
        <v>0</v>
      </c>
      <c r="AT468">
        <v>36806289</v>
      </c>
      <c r="AU468">
        <v>55213882</v>
      </c>
      <c r="AV468">
        <v>92020172</v>
      </c>
      <c r="AW468">
        <v>32.484299999999998</v>
      </c>
      <c r="AX468">
        <v>12.1286</v>
      </c>
      <c r="AY468">
        <v>5739.9</v>
      </c>
      <c r="AZ468">
        <v>4105.91</v>
      </c>
      <c r="BA468">
        <v>2455</v>
      </c>
      <c r="BB468">
        <v>451</v>
      </c>
      <c r="BC468" t="str">
        <f t="shared" si="14"/>
        <v>u=40%, k=2x10^7</v>
      </c>
      <c r="BD468">
        <f t="shared" si="15"/>
        <v>16</v>
      </c>
    </row>
    <row r="469" spans="1:56">
      <c r="A469" t="s">
        <v>907</v>
      </c>
      <c r="B469" t="s">
        <v>105</v>
      </c>
      <c r="D469" t="s">
        <v>64</v>
      </c>
      <c r="E469" t="s">
        <v>59</v>
      </c>
      <c r="F469" t="s">
        <v>60</v>
      </c>
      <c r="G469">
        <v>32000</v>
      </c>
      <c r="H469">
        <v>20</v>
      </c>
      <c r="I469">
        <v>20</v>
      </c>
      <c r="J469">
        <v>0</v>
      </c>
      <c r="K469">
        <v>1</v>
      </c>
      <c r="L469">
        <v>20000000</v>
      </c>
      <c r="M469">
        <v>190</v>
      </c>
      <c r="N469">
        <v>190</v>
      </c>
      <c r="O469">
        <v>190</v>
      </c>
      <c r="P469">
        <v>0</v>
      </c>
      <c r="Q469" t="s">
        <v>61</v>
      </c>
      <c r="R469">
        <v>99990491558451</v>
      </c>
      <c r="S469">
        <v>10000583</v>
      </c>
      <c r="T469">
        <v>99990491558451</v>
      </c>
      <c r="U469">
        <v>10000583</v>
      </c>
      <c r="V469" t="s">
        <v>71</v>
      </c>
      <c r="W469">
        <v>29</v>
      </c>
      <c r="X469">
        <v>6858467</v>
      </c>
      <c r="Y469">
        <v>5203352</v>
      </c>
      <c r="Z469">
        <v>12061819</v>
      </c>
      <c r="AA469">
        <v>10000583</v>
      </c>
      <c r="AB469">
        <v>1.75868</v>
      </c>
      <c r="AC469">
        <v>1.92195</v>
      </c>
      <c r="AD469">
        <v>1.82911</v>
      </c>
      <c r="AE469">
        <v>23.2272</v>
      </c>
      <c r="AF469">
        <v>675461864</v>
      </c>
      <c r="AJ469" t="s">
        <v>908</v>
      </c>
      <c r="AM469">
        <v>1758211436</v>
      </c>
      <c r="AN469">
        <v>0</v>
      </c>
      <c r="AO469">
        <v>1172242371</v>
      </c>
      <c r="AP469">
        <v>1758211436</v>
      </c>
      <c r="AQ469">
        <v>2930453807</v>
      </c>
      <c r="AR469">
        <v>54944107</v>
      </c>
      <c r="AS469">
        <v>0</v>
      </c>
      <c r="AT469">
        <v>36632574</v>
      </c>
      <c r="AU469">
        <v>54944107</v>
      </c>
      <c r="AV469">
        <v>91576681</v>
      </c>
      <c r="AW469">
        <v>32.805700000000002</v>
      </c>
      <c r="AX469">
        <v>12.309200000000001</v>
      </c>
      <c r="AY469">
        <v>5768.79</v>
      </c>
      <c r="AZ469">
        <v>4155.8599999999997</v>
      </c>
      <c r="BA469">
        <v>2512</v>
      </c>
      <c r="BB469">
        <v>435</v>
      </c>
      <c r="BC469" t="str">
        <f t="shared" si="14"/>
        <v>u=40%, k=2x10^7</v>
      </c>
      <c r="BD469">
        <f t="shared" si="15"/>
        <v>32</v>
      </c>
    </row>
    <row r="470" spans="1:56">
      <c r="A470" t="s">
        <v>909</v>
      </c>
      <c r="B470" t="s">
        <v>105</v>
      </c>
      <c r="D470" t="s">
        <v>64</v>
      </c>
      <c r="E470" t="s">
        <v>59</v>
      </c>
      <c r="F470" t="s">
        <v>60</v>
      </c>
      <c r="G470">
        <v>64000</v>
      </c>
      <c r="H470">
        <v>20</v>
      </c>
      <c r="I470">
        <v>20</v>
      </c>
      <c r="J470">
        <v>0</v>
      </c>
      <c r="K470">
        <v>1</v>
      </c>
      <c r="L470">
        <v>20000000</v>
      </c>
      <c r="M470">
        <v>190</v>
      </c>
      <c r="N470">
        <v>190</v>
      </c>
      <c r="O470">
        <v>190</v>
      </c>
      <c r="P470">
        <v>0</v>
      </c>
      <c r="Q470" t="s">
        <v>61</v>
      </c>
      <c r="R470">
        <v>100003717248071</v>
      </c>
      <c r="S470">
        <v>10003012</v>
      </c>
      <c r="T470">
        <v>100003717248071</v>
      </c>
      <c r="U470">
        <v>10003012</v>
      </c>
      <c r="V470" t="s">
        <v>71</v>
      </c>
      <c r="W470">
        <v>29</v>
      </c>
      <c r="X470">
        <v>6860285</v>
      </c>
      <c r="Y470">
        <v>5204030</v>
      </c>
      <c r="Z470">
        <v>12064315</v>
      </c>
      <c r="AA470">
        <v>10003012</v>
      </c>
      <c r="AB470">
        <v>1.75857</v>
      </c>
      <c r="AC470">
        <v>1.9221699999999999</v>
      </c>
      <c r="AD470">
        <v>1.82914</v>
      </c>
      <c r="AE470">
        <v>23.2104</v>
      </c>
      <c r="AF470">
        <v>675601640</v>
      </c>
      <c r="AJ470">
        <v>34388</v>
      </c>
      <c r="AM470">
        <v>3480253158</v>
      </c>
      <c r="AN470">
        <v>0</v>
      </c>
      <c r="AO470">
        <v>2320001196</v>
      </c>
      <c r="AP470">
        <v>3480253158</v>
      </c>
      <c r="AQ470">
        <v>5800254354</v>
      </c>
      <c r="AR470">
        <v>54378955</v>
      </c>
      <c r="AS470">
        <v>0</v>
      </c>
      <c r="AT470">
        <v>36250018</v>
      </c>
      <c r="AU470">
        <v>54378955</v>
      </c>
      <c r="AV470">
        <v>90628974</v>
      </c>
      <c r="AW470">
        <v>33.136099999999999</v>
      </c>
      <c r="AX470">
        <v>12.423</v>
      </c>
      <c r="AY470">
        <v>5828.83</v>
      </c>
      <c r="AZ470">
        <v>4193.91</v>
      </c>
      <c r="BA470">
        <v>2533</v>
      </c>
      <c r="BB470">
        <v>440</v>
      </c>
      <c r="BC470" t="str">
        <f t="shared" ref="BC470:BC533" si="16">"u="&amp;(H470+I470)&amp;"%, k=2x10^"&amp;LOG10(L470/2)</f>
        <v>u=40%, k=2x10^7</v>
      </c>
      <c r="BD470">
        <f t="shared" ref="BD470:BD533" si="17">G470/1000</f>
        <v>64</v>
      </c>
    </row>
    <row r="471" spans="1:56">
      <c r="A471" t="s">
        <v>910</v>
      </c>
      <c r="B471" t="s">
        <v>305</v>
      </c>
      <c r="D471" t="s">
        <v>64</v>
      </c>
      <c r="E471" t="s">
        <v>59</v>
      </c>
      <c r="F471" t="s">
        <v>60</v>
      </c>
      <c r="G471">
        <v>1000</v>
      </c>
      <c r="H471">
        <v>20</v>
      </c>
      <c r="I471">
        <v>20</v>
      </c>
      <c r="J471">
        <v>0</v>
      </c>
      <c r="K471">
        <v>1</v>
      </c>
      <c r="L471">
        <v>20000000</v>
      </c>
      <c r="M471">
        <v>190</v>
      </c>
      <c r="N471">
        <v>190</v>
      </c>
      <c r="O471">
        <v>190</v>
      </c>
      <c r="P471">
        <v>0</v>
      </c>
      <c r="Q471" t="s">
        <v>61</v>
      </c>
      <c r="R471">
        <v>100021288328499</v>
      </c>
      <c r="S471">
        <v>10000197</v>
      </c>
      <c r="T471">
        <v>100021288328499</v>
      </c>
      <c r="U471">
        <v>10000197</v>
      </c>
      <c r="V471" t="s">
        <v>71</v>
      </c>
      <c r="W471">
        <v>58</v>
      </c>
      <c r="X471">
        <v>10000196</v>
      </c>
      <c r="Y471">
        <v>10000197</v>
      </c>
      <c r="Z471">
        <v>20000393</v>
      </c>
      <c r="AA471">
        <v>10000197</v>
      </c>
      <c r="AB471">
        <v>2</v>
      </c>
      <c r="AC471">
        <v>1</v>
      </c>
      <c r="AD471">
        <v>1.5</v>
      </c>
      <c r="AE471">
        <v>30.4758</v>
      </c>
      <c r="AF471">
        <v>640012576</v>
      </c>
      <c r="AJ471" t="s">
        <v>911</v>
      </c>
      <c r="AM471">
        <v>41137853</v>
      </c>
      <c r="AN471">
        <v>0</v>
      </c>
      <c r="AO471">
        <v>27419159</v>
      </c>
      <c r="AP471">
        <v>41137853</v>
      </c>
      <c r="AQ471">
        <v>68557012</v>
      </c>
      <c r="AR471">
        <v>41137853</v>
      </c>
      <c r="AS471">
        <v>0</v>
      </c>
      <c r="AT471">
        <v>27419159</v>
      </c>
      <c r="AU471">
        <v>41137853</v>
      </c>
      <c r="AV471">
        <v>68557012</v>
      </c>
      <c r="AW471">
        <v>27.996200000000002</v>
      </c>
      <c r="AX471">
        <v>11.267200000000001</v>
      </c>
      <c r="AY471">
        <v>7585.09</v>
      </c>
      <c r="AZ471">
        <v>4997.49</v>
      </c>
      <c r="BA471">
        <v>1932</v>
      </c>
      <c r="BB471">
        <v>406</v>
      </c>
      <c r="BC471" t="str">
        <f t="shared" si="16"/>
        <v>u=40%, k=2x10^7</v>
      </c>
      <c r="BD471">
        <f t="shared" si="17"/>
        <v>1</v>
      </c>
    </row>
    <row r="472" spans="1:56">
      <c r="A472" t="s">
        <v>912</v>
      </c>
      <c r="B472" t="s">
        <v>305</v>
      </c>
      <c r="D472" t="s">
        <v>64</v>
      </c>
      <c r="E472" t="s">
        <v>59</v>
      </c>
      <c r="F472" t="s">
        <v>60</v>
      </c>
      <c r="G472">
        <v>2000</v>
      </c>
      <c r="H472">
        <v>20</v>
      </c>
      <c r="I472">
        <v>20</v>
      </c>
      <c r="J472">
        <v>0</v>
      </c>
      <c r="K472">
        <v>1</v>
      </c>
      <c r="L472">
        <v>20000000</v>
      </c>
      <c r="M472">
        <v>190</v>
      </c>
      <c r="N472">
        <v>190</v>
      </c>
      <c r="O472">
        <v>190</v>
      </c>
      <c r="P472">
        <v>0</v>
      </c>
      <c r="Q472" t="s">
        <v>61</v>
      </c>
      <c r="R472">
        <v>99998927120984</v>
      </c>
      <c r="S472">
        <v>10000735</v>
      </c>
      <c r="T472">
        <v>99998927120984</v>
      </c>
      <c r="U472">
        <v>10000735</v>
      </c>
      <c r="V472" t="s">
        <v>71</v>
      </c>
      <c r="W472">
        <v>58</v>
      </c>
      <c r="X472">
        <v>10000734</v>
      </c>
      <c r="Y472">
        <v>10000735</v>
      </c>
      <c r="Z472">
        <v>20001469</v>
      </c>
      <c r="AA472">
        <v>10000735</v>
      </c>
      <c r="AB472">
        <v>2</v>
      </c>
      <c r="AC472">
        <v>1</v>
      </c>
      <c r="AD472">
        <v>1.5</v>
      </c>
      <c r="AE472">
        <v>30.8155</v>
      </c>
      <c r="AF472">
        <v>640047008</v>
      </c>
      <c r="AJ472" t="s">
        <v>913</v>
      </c>
      <c r="AM472">
        <v>84646869</v>
      </c>
      <c r="AN472">
        <v>0</v>
      </c>
      <c r="AO472">
        <v>56440730</v>
      </c>
      <c r="AP472">
        <v>84646869</v>
      </c>
      <c r="AQ472">
        <v>141087599</v>
      </c>
      <c r="AR472">
        <v>42323434</v>
      </c>
      <c r="AS472">
        <v>0</v>
      </c>
      <c r="AT472">
        <v>28220365</v>
      </c>
      <c r="AU472">
        <v>42323434</v>
      </c>
      <c r="AV472">
        <v>70543799</v>
      </c>
      <c r="AW472">
        <v>28.292300000000001</v>
      </c>
      <c r="AX472">
        <v>11.487399999999999</v>
      </c>
      <c r="AY472">
        <v>7444.9</v>
      </c>
      <c r="AZ472">
        <v>5094.43</v>
      </c>
      <c r="BA472">
        <v>2060</v>
      </c>
      <c r="BB472">
        <v>414</v>
      </c>
      <c r="BC472" t="str">
        <f t="shared" si="16"/>
        <v>u=40%, k=2x10^7</v>
      </c>
      <c r="BD472">
        <f t="shared" si="17"/>
        <v>2</v>
      </c>
    </row>
    <row r="473" spans="1:56">
      <c r="A473" t="s">
        <v>914</v>
      </c>
      <c r="B473" t="s">
        <v>305</v>
      </c>
      <c r="D473" t="s">
        <v>64</v>
      </c>
      <c r="E473" t="s">
        <v>59</v>
      </c>
      <c r="F473" t="s">
        <v>60</v>
      </c>
      <c r="G473">
        <v>4000</v>
      </c>
      <c r="H473">
        <v>20</v>
      </c>
      <c r="I473">
        <v>20</v>
      </c>
      <c r="J473">
        <v>0</v>
      </c>
      <c r="K473">
        <v>1</v>
      </c>
      <c r="L473">
        <v>20000000</v>
      </c>
      <c r="M473">
        <v>190</v>
      </c>
      <c r="N473">
        <v>190</v>
      </c>
      <c r="O473">
        <v>190</v>
      </c>
      <c r="P473">
        <v>0</v>
      </c>
      <c r="Q473" t="s">
        <v>61</v>
      </c>
      <c r="R473">
        <v>100027505862029</v>
      </c>
      <c r="S473">
        <v>10002147</v>
      </c>
      <c r="T473">
        <v>100027505862029</v>
      </c>
      <c r="U473">
        <v>10002147</v>
      </c>
      <c r="V473" t="s">
        <v>71</v>
      </c>
      <c r="W473">
        <v>59</v>
      </c>
      <c r="X473">
        <v>10002146</v>
      </c>
      <c r="Y473">
        <v>10002147</v>
      </c>
      <c r="Z473">
        <v>20004293</v>
      </c>
      <c r="AA473">
        <v>10002147</v>
      </c>
      <c r="AB473">
        <v>2</v>
      </c>
      <c r="AC473">
        <v>1</v>
      </c>
      <c r="AD473">
        <v>1.5</v>
      </c>
      <c r="AE473">
        <v>31.9236</v>
      </c>
      <c r="AF473">
        <v>640137376</v>
      </c>
      <c r="AJ473" t="s">
        <v>915</v>
      </c>
      <c r="AM473">
        <v>175230286</v>
      </c>
      <c r="AN473">
        <v>0</v>
      </c>
      <c r="AO473">
        <v>116841508</v>
      </c>
      <c r="AP473">
        <v>175230286</v>
      </c>
      <c r="AQ473">
        <v>292071794</v>
      </c>
      <c r="AR473">
        <v>43807571</v>
      </c>
      <c r="AS473">
        <v>0</v>
      </c>
      <c r="AT473">
        <v>29210377</v>
      </c>
      <c r="AU473">
        <v>43807571</v>
      </c>
      <c r="AV473">
        <v>73017948</v>
      </c>
      <c r="AW473">
        <v>28.6828</v>
      </c>
      <c r="AX473">
        <v>11.7523</v>
      </c>
      <c r="AY473">
        <v>7224.08</v>
      </c>
      <c r="AZ473">
        <v>5175.9399999999996</v>
      </c>
      <c r="BA473">
        <v>2213</v>
      </c>
      <c r="BB473">
        <v>413</v>
      </c>
      <c r="BC473" t="str">
        <f t="shared" si="16"/>
        <v>u=40%, k=2x10^7</v>
      </c>
      <c r="BD473">
        <f t="shared" si="17"/>
        <v>4</v>
      </c>
    </row>
    <row r="474" spans="1:56">
      <c r="A474" t="s">
        <v>916</v>
      </c>
      <c r="B474" t="s">
        <v>305</v>
      </c>
      <c r="D474" t="s">
        <v>64</v>
      </c>
      <c r="E474" t="s">
        <v>59</v>
      </c>
      <c r="F474" t="s">
        <v>60</v>
      </c>
      <c r="G474">
        <v>8000</v>
      </c>
      <c r="H474">
        <v>20</v>
      </c>
      <c r="I474">
        <v>20</v>
      </c>
      <c r="J474">
        <v>0</v>
      </c>
      <c r="K474">
        <v>1</v>
      </c>
      <c r="L474">
        <v>20000000</v>
      </c>
      <c r="M474">
        <v>190</v>
      </c>
      <c r="N474">
        <v>190</v>
      </c>
      <c r="O474">
        <v>190</v>
      </c>
      <c r="P474">
        <v>0</v>
      </c>
      <c r="Q474" t="s">
        <v>61</v>
      </c>
      <c r="R474">
        <v>100019194550176</v>
      </c>
      <c r="S474">
        <v>9999843</v>
      </c>
      <c r="T474">
        <v>100019194550176</v>
      </c>
      <c r="U474">
        <v>9999843</v>
      </c>
      <c r="V474" t="s">
        <v>71</v>
      </c>
      <c r="W474">
        <v>64</v>
      </c>
      <c r="X474">
        <v>9999842</v>
      </c>
      <c r="Y474">
        <v>9999843</v>
      </c>
      <c r="Z474">
        <v>19999685</v>
      </c>
      <c r="AA474">
        <v>9999843</v>
      </c>
      <c r="AB474">
        <v>2</v>
      </c>
      <c r="AC474">
        <v>1</v>
      </c>
      <c r="AD474">
        <v>1.5</v>
      </c>
      <c r="AE474">
        <v>31.140499999999999</v>
      </c>
      <c r="AF474">
        <v>639989920</v>
      </c>
      <c r="AJ474" t="s">
        <v>917</v>
      </c>
      <c r="AM474">
        <v>348780180</v>
      </c>
      <c r="AN474">
        <v>0</v>
      </c>
      <c r="AO474">
        <v>232490804</v>
      </c>
      <c r="AP474">
        <v>348780180</v>
      </c>
      <c r="AQ474">
        <v>581270984</v>
      </c>
      <c r="AR474">
        <v>43597522</v>
      </c>
      <c r="AS474">
        <v>0</v>
      </c>
      <c r="AT474">
        <v>29061350</v>
      </c>
      <c r="AU474">
        <v>43597522</v>
      </c>
      <c r="AV474">
        <v>72658873</v>
      </c>
      <c r="AW474">
        <v>29.074300000000001</v>
      </c>
      <c r="AX474">
        <v>11.9817</v>
      </c>
      <c r="AY474">
        <v>7263.89</v>
      </c>
      <c r="AZ474">
        <v>5246.51</v>
      </c>
      <c r="BA474">
        <v>2309</v>
      </c>
      <c r="BB474">
        <v>397</v>
      </c>
      <c r="BC474" t="str">
        <f t="shared" si="16"/>
        <v>u=40%, k=2x10^7</v>
      </c>
      <c r="BD474">
        <f t="shared" si="17"/>
        <v>8</v>
      </c>
    </row>
    <row r="475" spans="1:56">
      <c r="A475" t="s">
        <v>918</v>
      </c>
      <c r="B475" t="s">
        <v>305</v>
      </c>
      <c r="D475" t="s">
        <v>64</v>
      </c>
      <c r="E475" t="s">
        <v>59</v>
      </c>
      <c r="F475" t="s">
        <v>60</v>
      </c>
      <c r="G475">
        <v>16000</v>
      </c>
      <c r="H475">
        <v>20</v>
      </c>
      <c r="I475">
        <v>20</v>
      </c>
      <c r="J475">
        <v>0</v>
      </c>
      <c r="K475">
        <v>1</v>
      </c>
      <c r="L475">
        <v>20000000</v>
      </c>
      <c r="M475">
        <v>190</v>
      </c>
      <c r="N475">
        <v>190</v>
      </c>
      <c r="O475">
        <v>190</v>
      </c>
      <c r="P475">
        <v>0</v>
      </c>
      <c r="Q475" t="s">
        <v>61</v>
      </c>
      <c r="R475">
        <v>100043716906120</v>
      </c>
      <c r="S475">
        <v>10003059</v>
      </c>
      <c r="T475">
        <v>100043716906120</v>
      </c>
      <c r="U475">
        <v>10003059</v>
      </c>
      <c r="V475" t="s">
        <v>71</v>
      </c>
      <c r="W475">
        <v>60</v>
      </c>
      <c r="X475">
        <v>10003058</v>
      </c>
      <c r="Y475">
        <v>10003059</v>
      </c>
      <c r="Z475">
        <v>20006117</v>
      </c>
      <c r="AA475">
        <v>10003059</v>
      </c>
      <c r="AB475">
        <v>2</v>
      </c>
      <c r="AC475">
        <v>1</v>
      </c>
      <c r="AD475">
        <v>1.5</v>
      </c>
      <c r="AE475">
        <v>30.298300000000001</v>
      </c>
      <c r="AF475">
        <v>640195744</v>
      </c>
      <c r="AJ475">
        <v>7670</v>
      </c>
      <c r="AM475">
        <v>691921611</v>
      </c>
      <c r="AN475">
        <v>0</v>
      </c>
      <c r="AO475">
        <v>461293201</v>
      </c>
      <c r="AP475">
        <v>691921611</v>
      </c>
      <c r="AQ475">
        <v>1153214812</v>
      </c>
      <c r="AR475">
        <v>43245100</v>
      </c>
      <c r="AS475">
        <v>0</v>
      </c>
      <c r="AT475">
        <v>28830825</v>
      </c>
      <c r="AU475">
        <v>43245100</v>
      </c>
      <c r="AV475">
        <v>72075925</v>
      </c>
      <c r="AW475">
        <v>29.2346</v>
      </c>
      <c r="AX475">
        <v>12.107100000000001</v>
      </c>
      <c r="AY475">
        <v>7325.72</v>
      </c>
      <c r="AZ475">
        <v>5291</v>
      </c>
      <c r="BA475">
        <v>2337</v>
      </c>
      <c r="BB475">
        <v>408</v>
      </c>
      <c r="BC475" t="str">
        <f t="shared" si="16"/>
        <v>u=40%, k=2x10^7</v>
      </c>
      <c r="BD475">
        <f t="shared" si="17"/>
        <v>16</v>
      </c>
    </row>
    <row r="476" spans="1:56">
      <c r="A476" t="s">
        <v>919</v>
      </c>
      <c r="B476" t="s">
        <v>305</v>
      </c>
      <c r="D476" t="s">
        <v>64</v>
      </c>
      <c r="E476" t="s">
        <v>59</v>
      </c>
      <c r="F476" t="s">
        <v>60</v>
      </c>
      <c r="G476">
        <v>32000</v>
      </c>
      <c r="H476">
        <v>20</v>
      </c>
      <c r="I476">
        <v>20</v>
      </c>
      <c r="J476">
        <v>0</v>
      </c>
      <c r="K476">
        <v>1</v>
      </c>
      <c r="L476">
        <v>20000000</v>
      </c>
      <c r="M476">
        <v>190</v>
      </c>
      <c r="N476">
        <v>190</v>
      </c>
      <c r="O476">
        <v>190</v>
      </c>
      <c r="P476">
        <v>0</v>
      </c>
      <c r="Q476" t="s">
        <v>61</v>
      </c>
      <c r="R476">
        <v>99979058014303</v>
      </c>
      <c r="S476">
        <v>9995870</v>
      </c>
      <c r="T476">
        <v>99979058014303</v>
      </c>
      <c r="U476">
        <v>9995870</v>
      </c>
      <c r="V476" t="s">
        <v>71</v>
      </c>
      <c r="W476">
        <v>55</v>
      </c>
      <c r="X476">
        <v>9995869</v>
      </c>
      <c r="Y476">
        <v>9995870</v>
      </c>
      <c r="Z476">
        <v>19991739</v>
      </c>
      <c r="AA476">
        <v>9995870</v>
      </c>
      <c r="AB476">
        <v>2</v>
      </c>
      <c r="AC476">
        <v>1</v>
      </c>
      <c r="AD476">
        <v>1.5</v>
      </c>
      <c r="AE476">
        <v>30.476900000000001</v>
      </c>
      <c r="AF476">
        <v>639735648</v>
      </c>
      <c r="AJ476" t="s">
        <v>920</v>
      </c>
      <c r="AM476">
        <v>1382393458</v>
      </c>
      <c r="AN476">
        <v>0</v>
      </c>
      <c r="AO476">
        <v>921608664</v>
      </c>
      <c r="AP476">
        <v>1382393458</v>
      </c>
      <c r="AQ476">
        <v>2304002122</v>
      </c>
      <c r="AR476">
        <v>43199795</v>
      </c>
      <c r="AS476">
        <v>0</v>
      </c>
      <c r="AT476">
        <v>28800270</v>
      </c>
      <c r="AU476">
        <v>43199795</v>
      </c>
      <c r="AV476">
        <v>72000066</v>
      </c>
      <c r="AW476">
        <v>29.134799999999998</v>
      </c>
      <c r="AX476">
        <v>12.116300000000001</v>
      </c>
      <c r="AY476">
        <v>7330.07</v>
      </c>
      <c r="AZ476">
        <v>5274.2</v>
      </c>
      <c r="BA476">
        <v>2316</v>
      </c>
      <c r="BB476">
        <v>434</v>
      </c>
      <c r="BC476" t="str">
        <f t="shared" si="16"/>
        <v>u=40%, k=2x10^7</v>
      </c>
      <c r="BD476">
        <f t="shared" si="17"/>
        <v>32</v>
      </c>
    </row>
    <row r="477" spans="1:56">
      <c r="A477" t="s">
        <v>921</v>
      </c>
      <c r="B477" t="s">
        <v>305</v>
      </c>
      <c r="D477" t="s">
        <v>64</v>
      </c>
      <c r="E477" t="s">
        <v>59</v>
      </c>
      <c r="F477" t="s">
        <v>60</v>
      </c>
      <c r="G477">
        <v>64000</v>
      </c>
      <c r="H477">
        <v>20</v>
      </c>
      <c r="I477">
        <v>20</v>
      </c>
      <c r="J477">
        <v>0</v>
      </c>
      <c r="K477">
        <v>1</v>
      </c>
      <c r="L477">
        <v>20000000</v>
      </c>
      <c r="M477">
        <v>190</v>
      </c>
      <c r="N477">
        <v>190</v>
      </c>
      <c r="O477">
        <v>190</v>
      </c>
      <c r="P477">
        <v>0</v>
      </c>
      <c r="Q477" t="s">
        <v>61</v>
      </c>
      <c r="R477">
        <v>100030364758940</v>
      </c>
      <c r="S477">
        <v>10002916</v>
      </c>
      <c r="T477">
        <v>100030364758940</v>
      </c>
      <c r="U477">
        <v>10002916</v>
      </c>
      <c r="V477" t="s">
        <v>71</v>
      </c>
      <c r="W477">
        <v>57</v>
      </c>
      <c r="X477">
        <v>10002915</v>
      </c>
      <c r="Y477">
        <v>10002916</v>
      </c>
      <c r="Z477">
        <v>20005831</v>
      </c>
      <c r="AA477">
        <v>10002916</v>
      </c>
      <c r="AB477">
        <v>2</v>
      </c>
      <c r="AC477">
        <v>1</v>
      </c>
      <c r="AD477">
        <v>1.5</v>
      </c>
      <c r="AE477">
        <v>30.039200000000001</v>
      </c>
      <c r="AF477">
        <v>640186592</v>
      </c>
      <c r="AJ477" t="s">
        <v>922</v>
      </c>
      <c r="AM477">
        <v>2763395108</v>
      </c>
      <c r="AN477">
        <v>0</v>
      </c>
      <c r="AO477">
        <v>1842294534</v>
      </c>
      <c r="AP477">
        <v>2763395108</v>
      </c>
      <c r="AQ477">
        <v>4605689642</v>
      </c>
      <c r="AR477">
        <v>43178048</v>
      </c>
      <c r="AS477">
        <v>0</v>
      </c>
      <c r="AT477">
        <v>28785852</v>
      </c>
      <c r="AU477">
        <v>43178048</v>
      </c>
      <c r="AV477">
        <v>71963900</v>
      </c>
      <c r="AW477">
        <v>29.151399999999999</v>
      </c>
      <c r="AX477">
        <v>12.0829</v>
      </c>
      <c r="AY477">
        <v>7331.83</v>
      </c>
      <c r="AZ477">
        <v>5261.87</v>
      </c>
      <c r="BA477">
        <v>2315</v>
      </c>
      <c r="BB477">
        <v>426</v>
      </c>
      <c r="BC477" t="str">
        <f t="shared" si="16"/>
        <v>u=40%, k=2x10^7</v>
      </c>
      <c r="BD477">
        <f t="shared" si="17"/>
        <v>64</v>
      </c>
    </row>
    <row r="478" spans="1:56">
      <c r="A478" t="s">
        <v>923</v>
      </c>
      <c r="B478" t="s">
        <v>63</v>
      </c>
      <c r="C478">
        <v>72</v>
      </c>
      <c r="D478" t="s">
        <v>64</v>
      </c>
      <c r="E478" t="s">
        <v>59</v>
      </c>
      <c r="F478" t="s">
        <v>60</v>
      </c>
      <c r="G478">
        <v>1000</v>
      </c>
      <c r="H478">
        <v>20</v>
      </c>
      <c r="I478">
        <v>20</v>
      </c>
      <c r="J478">
        <v>0</v>
      </c>
      <c r="K478">
        <v>1</v>
      </c>
      <c r="L478">
        <v>200000000</v>
      </c>
      <c r="M478">
        <v>190</v>
      </c>
      <c r="N478">
        <v>190</v>
      </c>
      <c r="O478">
        <v>190</v>
      </c>
      <c r="P478">
        <v>0</v>
      </c>
      <c r="Q478" t="s">
        <v>61</v>
      </c>
      <c r="R478">
        <v>9999327113588230</v>
      </c>
      <c r="S478">
        <v>99991720</v>
      </c>
      <c r="T478">
        <v>9999327113588230</v>
      </c>
      <c r="U478">
        <v>99991720</v>
      </c>
      <c r="V478" t="s">
        <v>71</v>
      </c>
      <c r="W478">
        <v>7</v>
      </c>
      <c r="X478">
        <v>13321077</v>
      </c>
      <c r="Y478">
        <v>114755410</v>
      </c>
      <c r="Z478">
        <v>128076487</v>
      </c>
      <c r="AA478">
        <v>99991720</v>
      </c>
      <c r="AB478">
        <v>9.6145700000000005</v>
      </c>
      <c r="AC478">
        <v>0.87134599999999995</v>
      </c>
      <c r="AD478">
        <v>1.7807200000000001</v>
      </c>
      <c r="AE478">
        <v>4.0457000000000001</v>
      </c>
      <c r="AF478">
        <v>2904169104</v>
      </c>
      <c r="AG478" t="s">
        <v>924</v>
      </c>
      <c r="AH478" t="s">
        <v>925</v>
      </c>
      <c r="AI478">
        <v>10851</v>
      </c>
      <c r="AJ478">
        <v>734</v>
      </c>
      <c r="AM478">
        <v>67331749</v>
      </c>
      <c r="AN478">
        <v>0</v>
      </c>
      <c r="AO478">
        <v>44868730</v>
      </c>
      <c r="AP478">
        <v>67331749</v>
      </c>
      <c r="AQ478">
        <v>112200479</v>
      </c>
      <c r="AR478">
        <v>67331749</v>
      </c>
      <c r="AS478">
        <v>0</v>
      </c>
      <c r="AT478">
        <v>44868730</v>
      </c>
      <c r="AU478">
        <v>67331749</v>
      </c>
      <c r="AV478">
        <v>112200479</v>
      </c>
      <c r="AW478">
        <v>25.540800000000001</v>
      </c>
      <c r="AX478">
        <v>12.943300000000001</v>
      </c>
      <c r="AY478">
        <v>4313.99</v>
      </c>
      <c r="AZ478">
        <v>3174.89</v>
      </c>
      <c r="BA478">
        <v>9701</v>
      </c>
      <c r="BB478">
        <v>1089</v>
      </c>
      <c r="BC478" t="str">
        <f t="shared" si="16"/>
        <v>u=40%, k=2x10^8</v>
      </c>
      <c r="BD478">
        <f t="shared" si="17"/>
        <v>1</v>
      </c>
    </row>
    <row r="479" spans="1:56">
      <c r="A479" t="s">
        <v>926</v>
      </c>
      <c r="B479" t="s">
        <v>63</v>
      </c>
      <c r="C479">
        <v>72</v>
      </c>
      <c r="D479" t="s">
        <v>64</v>
      </c>
      <c r="E479" t="s">
        <v>59</v>
      </c>
      <c r="F479" t="s">
        <v>60</v>
      </c>
      <c r="G479">
        <v>2000</v>
      </c>
      <c r="H479">
        <v>20</v>
      </c>
      <c r="I479">
        <v>20</v>
      </c>
      <c r="J479">
        <v>0</v>
      </c>
      <c r="K479">
        <v>1</v>
      </c>
      <c r="L479">
        <v>200000000</v>
      </c>
      <c r="M479">
        <v>190</v>
      </c>
      <c r="N479">
        <v>190</v>
      </c>
      <c r="O479">
        <v>190</v>
      </c>
      <c r="P479">
        <v>0</v>
      </c>
      <c r="Q479" t="s">
        <v>61</v>
      </c>
      <c r="R479">
        <v>9999125553593030</v>
      </c>
      <c r="S479">
        <v>99996411</v>
      </c>
      <c r="T479">
        <v>9999125553593030</v>
      </c>
      <c r="U479">
        <v>99996411</v>
      </c>
      <c r="V479" t="s">
        <v>71</v>
      </c>
      <c r="W479">
        <v>7</v>
      </c>
      <c r="X479">
        <v>14044608</v>
      </c>
      <c r="Y479">
        <v>116235588</v>
      </c>
      <c r="Z479">
        <v>130280196</v>
      </c>
      <c r="AA479">
        <v>99996411</v>
      </c>
      <c r="AB479">
        <v>9.2761700000000005</v>
      </c>
      <c r="AC479">
        <v>0.86029100000000003</v>
      </c>
      <c r="AD479">
        <v>1.76755</v>
      </c>
      <c r="AE479">
        <v>4.0628099999999998</v>
      </c>
      <c r="AF479">
        <v>2985682160</v>
      </c>
      <c r="AG479" t="s">
        <v>927</v>
      </c>
      <c r="AH479" t="s">
        <v>928</v>
      </c>
      <c r="AI479">
        <v>28853</v>
      </c>
      <c r="AJ479">
        <v>1106</v>
      </c>
      <c r="AM479">
        <v>99676946</v>
      </c>
      <c r="AN479">
        <v>0</v>
      </c>
      <c r="AO479">
        <v>66470295</v>
      </c>
      <c r="AP479">
        <v>99676946</v>
      </c>
      <c r="AQ479">
        <v>166147241</v>
      </c>
      <c r="AR479">
        <v>49838473</v>
      </c>
      <c r="AS479">
        <v>0</v>
      </c>
      <c r="AT479">
        <v>33235147</v>
      </c>
      <c r="AU479">
        <v>49838473</v>
      </c>
      <c r="AV479">
        <v>83073620</v>
      </c>
      <c r="AW479">
        <v>28.651800000000001</v>
      </c>
      <c r="AX479">
        <v>14.883100000000001</v>
      </c>
      <c r="AY479">
        <v>4828.62</v>
      </c>
      <c r="AZ479">
        <v>3555.62</v>
      </c>
      <c r="BA479">
        <v>13903</v>
      </c>
      <c r="BB479">
        <v>1157</v>
      </c>
      <c r="BC479" t="str">
        <f t="shared" si="16"/>
        <v>u=40%, k=2x10^8</v>
      </c>
      <c r="BD479">
        <f t="shared" si="17"/>
        <v>2</v>
      </c>
    </row>
    <row r="480" spans="1:56">
      <c r="A480" t="s">
        <v>929</v>
      </c>
      <c r="B480" t="s">
        <v>63</v>
      </c>
      <c r="C480">
        <v>72</v>
      </c>
      <c r="D480" t="s">
        <v>64</v>
      </c>
      <c r="E480" t="s">
        <v>59</v>
      </c>
      <c r="F480" t="s">
        <v>60</v>
      </c>
      <c r="G480">
        <v>4000</v>
      </c>
      <c r="H480">
        <v>20</v>
      </c>
      <c r="I480">
        <v>20</v>
      </c>
      <c r="J480">
        <v>0</v>
      </c>
      <c r="K480">
        <v>1</v>
      </c>
      <c r="L480">
        <v>200000000</v>
      </c>
      <c r="M480">
        <v>190</v>
      </c>
      <c r="N480">
        <v>190</v>
      </c>
      <c r="O480">
        <v>190</v>
      </c>
      <c r="P480">
        <v>0</v>
      </c>
      <c r="Q480" t="s">
        <v>61</v>
      </c>
      <c r="R480">
        <v>1.00004729144912E+16</v>
      </c>
      <c r="S480">
        <v>100009901</v>
      </c>
      <c r="T480">
        <v>1.00004729144912E+16</v>
      </c>
      <c r="U480">
        <v>100009901</v>
      </c>
      <c r="V480" t="s">
        <v>71</v>
      </c>
      <c r="W480">
        <v>7</v>
      </c>
      <c r="X480">
        <v>13643840</v>
      </c>
      <c r="Y480">
        <v>115453718</v>
      </c>
      <c r="Z480">
        <v>129097558</v>
      </c>
      <c r="AA480">
        <v>100009901</v>
      </c>
      <c r="AB480">
        <v>9.4619700000000009</v>
      </c>
      <c r="AC480">
        <v>0.86623399999999995</v>
      </c>
      <c r="AD480">
        <v>1.77468</v>
      </c>
      <c r="AE480">
        <v>4.0523199999999999</v>
      </c>
      <c r="AF480">
        <v>2941555312</v>
      </c>
      <c r="AG480" t="s">
        <v>930</v>
      </c>
      <c r="AH480" t="s">
        <v>931</v>
      </c>
      <c r="AI480">
        <v>61916</v>
      </c>
      <c r="AJ480">
        <v>2400</v>
      </c>
      <c r="AM480">
        <v>216630126</v>
      </c>
      <c r="AN480">
        <v>0</v>
      </c>
      <c r="AO480">
        <v>144442675</v>
      </c>
      <c r="AP480">
        <v>216630126</v>
      </c>
      <c r="AQ480">
        <v>361072801</v>
      </c>
      <c r="AR480">
        <v>54157531</v>
      </c>
      <c r="AS480">
        <v>0</v>
      </c>
      <c r="AT480">
        <v>36110668</v>
      </c>
      <c r="AU480">
        <v>54157531</v>
      </c>
      <c r="AV480">
        <v>90268200</v>
      </c>
      <c r="AW480">
        <v>29.336500000000001</v>
      </c>
      <c r="AX480">
        <v>15.7018</v>
      </c>
      <c r="AY480">
        <v>5111.8999999999996</v>
      </c>
      <c r="AZ480">
        <v>3767.34</v>
      </c>
      <c r="BA480">
        <v>14380</v>
      </c>
      <c r="BB480">
        <v>1092</v>
      </c>
      <c r="BC480" t="str">
        <f t="shared" si="16"/>
        <v>u=40%, k=2x10^8</v>
      </c>
      <c r="BD480">
        <f t="shared" si="17"/>
        <v>4</v>
      </c>
    </row>
    <row r="481" spans="1:56">
      <c r="A481" t="s">
        <v>932</v>
      </c>
      <c r="B481" t="s">
        <v>63</v>
      </c>
      <c r="C481">
        <v>72</v>
      </c>
      <c r="D481" t="s">
        <v>64</v>
      </c>
      <c r="E481" t="s">
        <v>59</v>
      </c>
      <c r="F481" t="s">
        <v>60</v>
      </c>
      <c r="G481">
        <v>8000</v>
      </c>
      <c r="H481">
        <v>20</v>
      </c>
      <c r="I481">
        <v>20</v>
      </c>
      <c r="J481">
        <v>0</v>
      </c>
      <c r="K481">
        <v>1</v>
      </c>
      <c r="L481">
        <v>200000000</v>
      </c>
      <c r="M481">
        <v>190</v>
      </c>
      <c r="N481">
        <v>190</v>
      </c>
      <c r="O481">
        <v>190</v>
      </c>
      <c r="P481">
        <v>0</v>
      </c>
      <c r="Q481" t="s">
        <v>61</v>
      </c>
      <c r="R481">
        <v>1.00004925889336E+16</v>
      </c>
      <c r="S481">
        <v>100003021</v>
      </c>
      <c r="T481">
        <v>1.00004925889336E+16</v>
      </c>
      <c r="U481">
        <v>100003021</v>
      </c>
      <c r="V481" t="s">
        <v>71</v>
      </c>
      <c r="W481">
        <v>7</v>
      </c>
      <c r="X481">
        <v>14947749</v>
      </c>
      <c r="Y481">
        <v>118269479</v>
      </c>
      <c r="Z481">
        <v>133217228</v>
      </c>
      <c r="AA481">
        <v>100003021</v>
      </c>
      <c r="AB481">
        <v>8.9121900000000007</v>
      </c>
      <c r="AC481">
        <v>0.84555199999999997</v>
      </c>
      <c r="AD481">
        <v>1.75068</v>
      </c>
      <c r="AE481">
        <v>4.0821899999999998</v>
      </c>
      <c r="AF481">
        <v>3092396560</v>
      </c>
      <c r="AG481" t="s">
        <v>933</v>
      </c>
      <c r="AH481" t="s">
        <v>934</v>
      </c>
      <c r="AI481">
        <v>134689</v>
      </c>
      <c r="AJ481">
        <v>4116</v>
      </c>
      <c r="AM481">
        <v>422527120</v>
      </c>
      <c r="AN481">
        <v>0</v>
      </c>
      <c r="AO481">
        <v>281659463</v>
      </c>
      <c r="AP481">
        <v>422527120</v>
      </c>
      <c r="AQ481">
        <v>704186583</v>
      </c>
      <c r="AR481">
        <v>52815890</v>
      </c>
      <c r="AS481">
        <v>0</v>
      </c>
      <c r="AT481">
        <v>35207432</v>
      </c>
      <c r="AU481">
        <v>52815890</v>
      </c>
      <c r="AV481">
        <v>88023322</v>
      </c>
      <c r="AW481">
        <v>30.491199999999999</v>
      </c>
      <c r="AX481">
        <v>16.694900000000001</v>
      </c>
      <c r="AY481">
        <v>5414.79</v>
      </c>
      <c r="AZ481">
        <v>4011.66</v>
      </c>
      <c r="BA481">
        <v>14400</v>
      </c>
      <c r="BB481">
        <v>1202</v>
      </c>
      <c r="BC481" t="str">
        <f t="shared" si="16"/>
        <v>u=40%, k=2x10^8</v>
      </c>
      <c r="BD481">
        <f t="shared" si="17"/>
        <v>8</v>
      </c>
    </row>
    <row r="482" spans="1:56">
      <c r="A482" t="s">
        <v>935</v>
      </c>
      <c r="B482" t="s">
        <v>63</v>
      </c>
      <c r="C482">
        <v>72</v>
      </c>
      <c r="D482" t="s">
        <v>64</v>
      </c>
      <c r="E482" t="s">
        <v>59</v>
      </c>
      <c r="F482" t="s">
        <v>60</v>
      </c>
      <c r="G482">
        <v>16000</v>
      </c>
      <c r="H482">
        <v>20</v>
      </c>
      <c r="I482">
        <v>20</v>
      </c>
      <c r="J482">
        <v>0</v>
      </c>
      <c r="K482">
        <v>1</v>
      </c>
      <c r="L482">
        <v>200000000</v>
      </c>
      <c r="M482">
        <v>190</v>
      </c>
      <c r="N482">
        <v>190</v>
      </c>
      <c r="O482">
        <v>190</v>
      </c>
      <c r="P482">
        <v>0</v>
      </c>
      <c r="Q482" t="s">
        <v>61</v>
      </c>
      <c r="R482">
        <v>1.00007912324555E+16</v>
      </c>
      <c r="S482">
        <v>100007509</v>
      </c>
      <c r="T482">
        <v>1.00007912324555E+16</v>
      </c>
      <c r="U482">
        <v>100007509</v>
      </c>
      <c r="V482" t="s">
        <v>71</v>
      </c>
      <c r="W482">
        <v>7</v>
      </c>
      <c r="X482">
        <v>12736222</v>
      </c>
      <c r="Y482">
        <v>113533830</v>
      </c>
      <c r="Z482">
        <v>126270052</v>
      </c>
      <c r="AA482">
        <v>100007509</v>
      </c>
      <c r="AB482">
        <v>9.9142499999999991</v>
      </c>
      <c r="AC482">
        <v>0.88086100000000001</v>
      </c>
      <c r="AD482">
        <v>1.7920100000000001</v>
      </c>
      <c r="AE482">
        <v>4.0336999999999996</v>
      </c>
      <c r="AF482">
        <v>2837107664</v>
      </c>
      <c r="AG482" t="s">
        <v>936</v>
      </c>
      <c r="AH482" t="s">
        <v>937</v>
      </c>
      <c r="AI482">
        <v>271281</v>
      </c>
      <c r="AJ482">
        <v>7408</v>
      </c>
      <c r="AM482">
        <v>818398546</v>
      </c>
      <c r="AN482">
        <v>0</v>
      </c>
      <c r="AO482">
        <v>545574755</v>
      </c>
      <c r="AP482">
        <v>818398546</v>
      </c>
      <c r="AQ482">
        <v>1363973301</v>
      </c>
      <c r="AR482">
        <v>51149909</v>
      </c>
      <c r="AS482">
        <v>0</v>
      </c>
      <c r="AT482">
        <v>34098422</v>
      </c>
      <c r="AU482">
        <v>51149909</v>
      </c>
      <c r="AV482">
        <v>85248331</v>
      </c>
      <c r="AW482">
        <v>31.056799999999999</v>
      </c>
      <c r="AX482">
        <v>17.2668</v>
      </c>
      <c r="AY482">
        <v>5573.7</v>
      </c>
      <c r="AZ482">
        <v>4130.58</v>
      </c>
      <c r="BA482">
        <v>14398</v>
      </c>
      <c r="BB482">
        <v>1105</v>
      </c>
      <c r="BC482" t="str">
        <f t="shared" si="16"/>
        <v>u=40%, k=2x10^8</v>
      </c>
      <c r="BD482">
        <f t="shared" si="17"/>
        <v>16</v>
      </c>
    </row>
    <row r="483" spans="1:56">
      <c r="A483" t="s">
        <v>938</v>
      </c>
      <c r="B483" t="s">
        <v>63</v>
      </c>
      <c r="C483">
        <v>72</v>
      </c>
      <c r="D483" t="s">
        <v>64</v>
      </c>
      <c r="E483" t="s">
        <v>59</v>
      </c>
      <c r="F483" t="s">
        <v>60</v>
      </c>
      <c r="G483">
        <v>32000</v>
      </c>
      <c r="H483">
        <v>20</v>
      </c>
      <c r="I483">
        <v>20</v>
      </c>
      <c r="J483">
        <v>0</v>
      </c>
      <c r="K483">
        <v>1</v>
      </c>
      <c r="L483">
        <v>200000000</v>
      </c>
      <c r="M483">
        <v>190</v>
      </c>
      <c r="N483">
        <v>190</v>
      </c>
      <c r="O483">
        <v>190</v>
      </c>
      <c r="P483">
        <v>0</v>
      </c>
      <c r="Q483" t="s">
        <v>61</v>
      </c>
      <c r="R483">
        <v>1.00019033765606E+16</v>
      </c>
      <c r="S483">
        <v>100011282</v>
      </c>
      <c r="T483">
        <v>1.00019033765606E+16</v>
      </c>
      <c r="U483">
        <v>100011282</v>
      </c>
      <c r="V483" t="s">
        <v>71</v>
      </c>
      <c r="W483">
        <v>7</v>
      </c>
      <c r="X483">
        <v>14593069</v>
      </c>
      <c r="Y483">
        <v>117363708</v>
      </c>
      <c r="Z483">
        <v>131956777</v>
      </c>
      <c r="AA483">
        <v>100011282</v>
      </c>
      <c r="AB483">
        <v>9.0424299999999995</v>
      </c>
      <c r="AC483">
        <v>0.85214800000000002</v>
      </c>
      <c r="AD483">
        <v>1.7579100000000001</v>
      </c>
      <c r="AE483">
        <v>4.0730700000000004</v>
      </c>
      <c r="AF483">
        <v>3048441936</v>
      </c>
      <c r="AG483" t="s">
        <v>939</v>
      </c>
      <c r="AH483" t="s">
        <v>940</v>
      </c>
      <c r="AI483">
        <v>537347</v>
      </c>
      <c r="AJ483">
        <v>13470</v>
      </c>
      <c r="AM483">
        <v>1607554095</v>
      </c>
      <c r="AN483">
        <v>0</v>
      </c>
      <c r="AO483">
        <v>1071654964</v>
      </c>
      <c r="AP483">
        <v>1607554095</v>
      </c>
      <c r="AQ483">
        <v>2679209059</v>
      </c>
      <c r="AR483">
        <v>50236065</v>
      </c>
      <c r="AS483">
        <v>0</v>
      </c>
      <c r="AT483">
        <v>33489217</v>
      </c>
      <c r="AU483">
        <v>50236065</v>
      </c>
      <c r="AV483">
        <v>83725283</v>
      </c>
      <c r="AW483">
        <v>31.3325</v>
      </c>
      <c r="AX483">
        <v>17.530200000000001</v>
      </c>
      <c r="AY483">
        <v>5675.53</v>
      </c>
      <c r="AZ483">
        <v>4216.24</v>
      </c>
      <c r="BA483">
        <v>14420</v>
      </c>
      <c r="BB483">
        <v>1096</v>
      </c>
      <c r="BC483" t="str">
        <f t="shared" si="16"/>
        <v>u=40%, k=2x10^8</v>
      </c>
      <c r="BD483">
        <f t="shared" si="17"/>
        <v>32</v>
      </c>
    </row>
    <row r="484" spans="1:56">
      <c r="A484" t="s">
        <v>941</v>
      </c>
      <c r="B484" t="s">
        <v>63</v>
      </c>
      <c r="C484">
        <v>72</v>
      </c>
      <c r="D484" t="s">
        <v>64</v>
      </c>
      <c r="E484" t="s">
        <v>59</v>
      </c>
      <c r="F484" t="s">
        <v>60</v>
      </c>
      <c r="G484">
        <v>64000</v>
      </c>
      <c r="H484">
        <v>20</v>
      </c>
      <c r="I484">
        <v>20</v>
      </c>
      <c r="J484">
        <v>0</v>
      </c>
      <c r="K484">
        <v>1</v>
      </c>
      <c r="L484">
        <v>200000000</v>
      </c>
      <c r="M484">
        <v>190</v>
      </c>
      <c r="N484">
        <v>190</v>
      </c>
      <c r="O484">
        <v>190</v>
      </c>
      <c r="P484">
        <v>0</v>
      </c>
      <c r="Q484" t="s">
        <v>61</v>
      </c>
      <c r="R484">
        <v>1.00006238018456E+16</v>
      </c>
      <c r="S484">
        <v>100008790</v>
      </c>
      <c r="T484">
        <v>1.00006238018456E+16</v>
      </c>
      <c r="U484">
        <v>100008790</v>
      </c>
      <c r="V484" t="s">
        <v>71</v>
      </c>
      <c r="W484">
        <v>7</v>
      </c>
      <c r="X484">
        <v>14870886</v>
      </c>
      <c r="Y484">
        <v>118084986</v>
      </c>
      <c r="Z484">
        <v>132955872</v>
      </c>
      <c r="AA484">
        <v>100008790</v>
      </c>
      <c r="AB484">
        <v>8.9406800000000004</v>
      </c>
      <c r="AC484">
        <v>0.84692199999999995</v>
      </c>
      <c r="AD484">
        <v>1.7522</v>
      </c>
      <c r="AE484">
        <v>4.0805999999999996</v>
      </c>
      <c r="AF484">
        <v>3082983792</v>
      </c>
      <c r="AG484" t="s">
        <v>942</v>
      </c>
      <c r="AH484" t="s">
        <v>943</v>
      </c>
      <c r="AI484">
        <v>1064229</v>
      </c>
      <c r="AJ484">
        <v>26038</v>
      </c>
      <c r="AM484">
        <v>3192048228</v>
      </c>
      <c r="AN484">
        <v>0</v>
      </c>
      <c r="AO484">
        <v>2128013872</v>
      </c>
      <c r="AP484">
        <v>3192048228</v>
      </c>
      <c r="AQ484">
        <v>5320062100</v>
      </c>
      <c r="AR484">
        <v>49875753</v>
      </c>
      <c r="AS484">
        <v>0</v>
      </c>
      <c r="AT484">
        <v>33250216</v>
      </c>
      <c r="AU484">
        <v>49875753</v>
      </c>
      <c r="AV484">
        <v>83125970</v>
      </c>
      <c r="AW484">
        <v>31.4742</v>
      </c>
      <c r="AX484">
        <v>17.6312</v>
      </c>
      <c r="AY484">
        <v>5695.25</v>
      </c>
      <c r="AZ484">
        <v>4224.66</v>
      </c>
      <c r="BA484">
        <v>14487</v>
      </c>
      <c r="BB484">
        <v>1134</v>
      </c>
      <c r="BC484" t="str">
        <f t="shared" si="16"/>
        <v>u=40%, k=2x10^8</v>
      </c>
      <c r="BD484">
        <f t="shared" si="17"/>
        <v>64</v>
      </c>
    </row>
    <row r="485" spans="1:56">
      <c r="A485" t="s">
        <v>944</v>
      </c>
      <c r="B485" t="s">
        <v>300</v>
      </c>
      <c r="C485">
        <v>208</v>
      </c>
      <c r="D485" t="s">
        <v>64</v>
      </c>
      <c r="E485" t="s">
        <v>59</v>
      </c>
      <c r="F485" t="s">
        <v>60</v>
      </c>
      <c r="G485">
        <v>1000</v>
      </c>
      <c r="H485">
        <v>20</v>
      </c>
      <c r="I485">
        <v>20</v>
      </c>
      <c r="J485">
        <v>0</v>
      </c>
      <c r="K485">
        <v>1</v>
      </c>
      <c r="L485">
        <v>200000000</v>
      </c>
      <c r="M485">
        <v>190</v>
      </c>
      <c r="N485">
        <v>190</v>
      </c>
      <c r="O485">
        <v>190</v>
      </c>
      <c r="P485">
        <v>0</v>
      </c>
      <c r="Q485" t="s">
        <v>61</v>
      </c>
      <c r="R485">
        <v>9999894297019780</v>
      </c>
      <c r="S485">
        <v>99997690</v>
      </c>
      <c r="T485">
        <v>9999894297019780</v>
      </c>
      <c r="U485">
        <v>99997690</v>
      </c>
      <c r="V485" t="s">
        <v>71</v>
      </c>
      <c r="W485">
        <v>10</v>
      </c>
      <c r="X485">
        <v>1961905</v>
      </c>
      <c r="Y485">
        <v>13497520</v>
      </c>
      <c r="Z485">
        <v>15459425</v>
      </c>
      <c r="AA485">
        <v>99997690</v>
      </c>
      <c r="AB485">
        <v>7.8798000000000004</v>
      </c>
      <c r="AC485">
        <v>7.4085999999999999</v>
      </c>
      <c r="AD485">
        <v>7.4683999999999999</v>
      </c>
      <c r="AE485">
        <v>9</v>
      </c>
      <c r="AF485">
        <v>3215560400</v>
      </c>
      <c r="AJ485" t="s">
        <v>945</v>
      </c>
      <c r="AM485">
        <v>48951949</v>
      </c>
      <c r="AN485">
        <v>0</v>
      </c>
      <c r="AO485">
        <v>32631501</v>
      </c>
      <c r="AP485">
        <v>48951949</v>
      </c>
      <c r="AQ485">
        <v>81583450</v>
      </c>
      <c r="AR485">
        <v>48951949</v>
      </c>
      <c r="AS485">
        <v>0</v>
      </c>
      <c r="AT485">
        <v>32631501</v>
      </c>
      <c r="AU485">
        <v>48951949</v>
      </c>
      <c r="AV485">
        <v>81583450</v>
      </c>
      <c r="AW485">
        <v>28.650600000000001</v>
      </c>
      <c r="AX485">
        <v>13.2362</v>
      </c>
      <c r="AY485">
        <v>5902.37</v>
      </c>
      <c r="AZ485">
        <v>3476.75</v>
      </c>
      <c r="BA485">
        <v>6827</v>
      </c>
      <c r="BB485">
        <v>6072</v>
      </c>
      <c r="BC485" t="str">
        <f t="shared" si="16"/>
        <v>u=40%, k=2x10^8</v>
      </c>
      <c r="BD485">
        <f t="shared" si="17"/>
        <v>1</v>
      </c>
    </row>
    <row r="486" spans="1:56">
      <c r="A486" t="s">
        <v>946</v>
      </c>
      <c r="B486" t="s">
        <v>300</v>
      </c>
      <c r="C486">
        <v>208</v>
      </c>
      <c r="D486" t="s">
        <v>64</v>
      </c>
      <c r="E486" t="s">
        <v>59</v>
      </c>
      <c r="F486" t="s">
        <v>60</v>
      </c>
      <c r="G486">
        <v>2000</v>
      </c>
      <c r="H486">
        <v>20</v>
      </c>
      <c r="I486">
        <v>20</v>
      </c>
      <c r="J486">
        <v>0</v>
      </c>
      <c r="K486">
        <v>1</v>
      </c>
      <c r="L486">
        <v>200000000</v>
      </c>
      <c r="M486">
        <v>190</v>
      </c>
      <c r="N486">
        <v>190</v>
      </c>
      <c r="O486">
        <v>190</v>
      </c>
      <c r="P486">
        <v>0</v>
      </c>
      <c r="Q486" t="s">
        <v>61</v>
      </c>
      <c r="R486">
        <v>9999733042381470</v>
      </c>
      <c r="S486">
        <v>99997776</v>
      </c>
      <c r="T486">
        <v>9999733042381470</v>
      </c>
      <c r="U486">
        <v>99997776</v>
      </c>
      <c r="V486" t="s">
        <v>71</v>
      </c>
      <c r="W486">
        <v>10</v>
      </c>
      <c r="X486">
        <v>2046359</v>
      </c>
      <c r="Y486">
        <v>14078352</v>
      </c>
      <c r="Z486">
        <v>16124711</v>
      </c>
      <c r="AA486">
        <v>99997776</v>
      </c>
      <c r="AB486">
        <v>7.8797100000000002</v>
      </c>
      <c r="AC486">
        <v>7.1029499999999999</v>
      </c>
      <c r="AD486">
        <v>7.2015200000000004</v>
      </c>
      <c r="AE486">
        <v>9</v>
      </c>
      <c r="AF486">
        <v>3353939888</v>
      </c>
      <c r="AJ486" t="s">
        <v>947</v>
      </c>
      <c r="AM486">
        <v>109749315</v>
      </c>
      <c r="AN486">
        <v>0</v>
      </c>
      <c r="AO486">
        <v>73172121</v>
      </c>
      <c r="AP486">
        <v>109749315</v>
      </c>
      <c r="AQ486">
        <v>182921436</v>
      </c>
      <c r="AR486">
        <v>54874657</v>
      </c>
      <c r="AS486">
        <v>0</v>
      </c>
      <c r="AT486">
        <v>36586060</v>
      </c>
      <c r="AU486">
        <v>54874657</v>
      </c>
      <c r="AV486">
        <v>91460718</v>
      </c>
      <c r="AW486">
        <v>28.8431</v>
      </c>
      <c r="AX486">
        <v>13.5716</v>
      </c>
      <c r="AY486">
        <v>5441.62</v>
      </c>
      <c r="AZ486">
        <v>3481.06</v>
      </c>
      <c r="BA486">
        <v>7827</v>
      </c>
      <c r="BB486">
        <v>6031</v>
      </c>
      <c r="BC486" t="str">
        <f t="shared" si="16"/>
        <v>u=40%, k=2x10^8</v>
      </c>
      <c r="BD486">
        <f t="shared" si="17"/>
        <v>2</v>
      </c>
    </row>
    <row r="487" spans="1:56">
      <c r="A487" t="s">
        <v>948</v>
      </c>
      <c r="B487" t="s">
        <v>300</v>
      </c>
      <c r="C487">
        <v>208</v>
      </c>
      <c r="D487" t="s">
        <v>64</v>
      </c>
      <c r="E487" t="s">
        <v>59</v>
      </c>
      <c r="F487" t="s">
        <v>60</v>
      </c>
      <c r="G487">
        <v>4000</v>
      </c>
      <c r="H487">
        <v>20</v>
      </c>
      <c r="I487">
        <v>20</v>
      </c>
      <c r="J487">
        <v>0</v>
      </c>
      <c r="K487">
        <v>1</v>
      </c>
      <c r="L487">
        <v>200000000</v>
      </c>
      <c r="M487">
        <v>190</v>
      </c>
      <c r="N487">
        <v>190</v>
      </c>
      <c r="O487">
        <v>190</v>
      </c>
      <c r="P487">
        <v>0</v>
      </c>
      <c r="Q487" t="s">
        <v>61</v>
      </c>
      <c r="R487">
        <v>9999913420202570</v>
      </c>
      <c r="S487">
        <v>100004686</v>
      </c>
      <c r="T487">
        <v>9999913420202570</v>
      </c>
      <c r="U487">
        <v>100004686</v>
      </c>
      <c r="V487" t="s">
        <v>71</v>
      </c>
      <c r="W487">
        <v>10</v>
      </c>
      <c r="X487">
        <v>2160128</v>
      </c>
      <c r="Y487">
        <v>14857848</v>
      </c>
      <c r="Z487">
        <v>17017976</v>
      </c>
      <c r="AA487">
        <v>100004686</v>
      </c>
      <c r="AB487">
        <v>7.8782300000000003</v>
      </c>
      <c r="AC487">
        <v>6.7307699999999997</v>
      </c>
      <c r="AD487">
        <v>6.8764099999999999</v>
      </c>
      <c r="AE487">
        <v>9</v>
      </c>
      <c r="AF487">
        <v>3539739008</v>
      </c>
      <c r="AJ487" t="s">
        <v>949</v>
      </c>
      <c r="AM487">
        <v>228294290</v>
      </c>
      <c r="AN487">
        <v>0</v>
      </c>
      <c r="AO487">
        <v>152183869</v>
      </c>
      <c r="AP487">
        <v>228294290</v>
      </c>
      <c r="AQ487">
        <v>380478159</v>
      </c>
      <c r="AR487">
        <v>57073572</v>
      </c>
      <c r="AS487">
        <v>0</v>
      </c>
      <c r="AT487">
        <v>38045967</v>
      </c>
      <c r="AU487">
        <v>57073572</v>
      </c>
      <c r="AV487">
        <v>95119539</v>
      </c>
      <c r="AW487">
        <v>28.988700000000001</v>
      </c>
      <c r="AX487">
        <v>13.7477</v>
      </c>
      <c r="AY487">
        <v>5360.22</v>
      </c>
      <c r="AZ487">
        <v>3516.09</v>
      </c>
      <c r="BA487">
        <v>8568</v>
      </c>
      <c r="BB487">
        <v>6046</v>
      </c>
      <c r="BC487" t="str">
        <f t="shared" si="16"/>
        <v>u=40%, k=2x10^8</v>
      </c>
      <c r="BD487">
        <f t="shared" si="17"/>
        <v>4</v>
      </c>
    </row>
    <row r="488" spans="1:56">
      <c r="A488" t="s">
        <v>950</v>
      </c>
      <c r="B488" t="s">
        <v>300</v>
      </c>
      <c r="C488">
        <v>208</v>
      </c>
      <c r="D488" t="s">
        <v>64</v>
      </c>
      <c r="E488" t="s">
        <v>59</v>
      </c>
      <c r="F488" t="s">
        <v>60</v>
      </c>
      <c r="G488">
        <v>8000</v>
      </c>
      <c r="H488">
        <v>20</v>
      </c>
      <c r="I488">
        <v>20</v>
      </c>
      <c r="J488">
        <v>0</v>
      </c>
      <c r="K488">
        <v>1</v>
      </c>
      <c r="L488">
        <v>200000000</v>
      </c>
      <c r="M488">
        <v>190</v>
      </c>
      <c r="N488">
        <v>190</v>
      </c>
      <c r="O488">
        <v>190</v>
      </c>
      <c r="P488">
        <v>0</v>
      </c>
      <c r="Q488" t="s">
        <v>61</v>
      </c>
      <c r="R488">
        <v>1.0000603701264E+16</v>
      </c>
      <c r="S488">
        <v>99994999</v>
      </c>
      <c r="T488">
        <v>1.0000603701264E+16</v>
      </c>
      <c r="U488">
        <v>99994999</v>
      </c>
      <c r="V488" t="s">
        <v>71</v>
      </c>
      <c r="W488">
        <v>10</v>
      </c>
      <c r="X488">
        <v>2313806</v>
      </c>
      <c r="Y488">
        <v>15902883</v>
      </c>
      <c r="Z488">
        <v>18216689</v>
      </c>
      <c r="AA488">
        <v>99994999</v>
      </c>
      <c r="AB488">
        <v>7.8730399999999996</v>
      </c>
      <c r="AC488">
        <v>6.2878499999999997</v>
      </c>
      <c r="AD488">
        <v>6.4892000000000003</v>
      </c>
      <c r="AE488">
        <v>9</v>
      </c>
      <c r="AF488">
        <v>3789071312</v>
      </c>
      <c r="AJ488" t="s">
        <v>951</v>
      </c>
      <c r="AM488">
        <v>464214627</v>
      </c>
      <c r="AN488">
        <v>0</v>
      </c>
      <c r="AO488">
        <v>309466253</v>
      </c>
      <c r="AP488">
        <v>464214627</v>
      </c>
      <c r="AQ488">
        <v>773680880</v>
      </c>
      <c r="AR488">
        <v>58026828</v>
      </c>
      <c r="AS488">
        <v>0</v>
      </c>
      <c r="AT488">
        <v>38683281</v>
      </c>
      <c r="AU488">
        <v>58026828</v>
      </c>
      <c r="AV488">
        <v>96710110</v>
      </c>
      <c r="AW488">
        <v>29.161100000000001</v>
      </c>
      <c r="AX488">
        <v>13.8589</v>
      </c>
      <c r="AY488">
        <v>5368.35</v>
      </c>
      <c r="AZ488">
        <v>3528.71</v>
      </c>
      <c r="BA488">
        <v>9073</v>
      </c>
      <c r="BB488">
        <v>5991</v>
      </c>
      <c r="BC488" t="str">
        <f t="shared" si="16"/>
        <v>u=40%, k=2x10^8</v>
      </c>
      <c r="BD488">
        <f t="shared" si="17"/>
        <v>8</v>
      </c>
    </row>
    <row r="489" spans="1:56">
      <c r="A489" t="s">
        <v>952</v>
      </c>
      <c r="B489" t="s">
        <v>300</v>
      </c>
      <c r="C489">
        <v>208</v>
      </c>
      <c r="D489" t="s">
        <v>64</v>
      </c>
      <c r="E489" t="s">
        <v>59</v>
      </c>
      <c r="F489" t="s">
        <v>60</v>
      </c>
      <c r="G489">
        <v>16000</v>
      </c>
      <c r="H489">
        <v>20</v>
      </c>
      <c r="I489">
        <v>20</v>
      </c>
      <c r="J489">
        <v>0</v>
      </c>
      <c r="K489">
        <v>1</v>
      </c>
      <c r="L489">
        <v>200000000</v>
      </c>
      <c r="M489">
        <v>190</v>
      </c>
      <c r="N489">
        <v>190</v>
      </c>
      <c r="O489">
        <v>190</v>
      </c>
      <c r="P489">
        <v>0</v>
      </c>
      <c r="Q489" t="s">
        <v>61</v>
      </c>
      <c r="R489">
        <v>1.00001530949465E+16</v>
      </c>
      <c r="S489">
        <v>100005106</v>
      </c>
      <c r="T489">
        <v>1.00001530949465E+16</v>
      </c>
      <c r="U489">
        <v>100005106</v>
      </c>
      <c r="V489" t="s">
        <v>71</v>
      </c>
      <c r="W489">
        <v>11</v>
      </c>
      <c r="X489">
        <v>2494313</v>
      </c>
      <c r="Y489">
        <v>17122822</v>
      </c>
      <c r="Z489">
        <v>19617135</v>
      </c>
      <c r="AA489">
        <v>100005106</v>
      </c>
      <c r="AB489">
        <v>7.8647400000000003</v>
      </c>
      <c r="AC489">
        <v>5.8404600000000002</v>
      </c>
      <c r="AD489">
        <v>6.0978399999999997</v>
      </c>
      <c r="AE489">
        <v>10</v>
      </c>
      <c r="AF489">
        <v>4080364080</v>
      </c>
      <c r="AJ489" t="s">
        <v>953</v>
      </c>
      <c r="AM489">
        <v>932824359</v>
      </c>
      <c r="AN489">
        <v>0</v>
      </c>
      <c r="AO489">
        <v>621819400</v>
      </c>
      <c r="AP489">
        <v>932824359</v>
      </c>
      <c r="AQ489">
        <v>1554643759</v>
      </c>
      <c r="AR489">
        <v>58301522</v>
      </c>
      <c r="AS489">
        <v>0</v>
      </c>
      <c r="AT489">
        <v>38863712</v>
      </c>
      <c r="AU489">
        <v>58301522</v>
      </c>
      <c r="AV489">
        <v>97165234</v>
      </c>
      <c r="AW489">
        <v>29.3688</v>
      </c>
      <c r="AX489">
        <v>13.863</v>
      </c>
      <c r="AY489">
        <v>5387.29</v>
      </c>
      <c r="AZ489">
        <v>3534.88</v>
      </c>
      <c r="BA489">
        <v>9464</v>
      </c>
      <c r="BB489">
        <v>6026</v>
      </c>
      <c r="BC489" t="str">
        <f t="shared" si="16"/>
        <v>u=40%, k=2x10^8</v>
      </c>
      <c r="BD489">
        <f t="shared" si="17"/>
        <v>16</v>
      </c>
    </row>
    <row r="490" spans="1:56">
      <c r="A490" t="s">
        <v>954</v>
      </c>
      <c r="B490" t="s">
        <v>300</v>
      </c>
      <c r="C490">
        <v>208</v>
      </c>
      <c r="D490" t="s">
        <v>64</v>
      </c>
      <c r="E490" t="s">
        <v>59</v>
      </c>
      <c r="F490" t="s">
        <v>60</v>
      </c>
      <c r="G490">
        <v>32000</v>
      </c>
      <c r="H490">
        <v>20</v>
      </c>
      <c r="I490">
        <v>20</v>
      </c>
      <c r="J490">
        <v>0</v>
      </c>
      <c r="K490">
        <v>1</v>
      </c>
      <c r="L490">
        <v>200000000</v>
      </c>
      <c r="M490">
        <v>190</v>
      </c>
      <c r="N490">
        <v>190</v>
      </c>
      <c r="O490">
        <v>190</v>
      </c>
      <c r="P490">
        <v>0</v>
      </c>
      <c r="Q490" t="s">
        <v>61</v>
      </c>
      <c r="R490">
        <v>1.00008760444644E+16</v>
      </c>
      <c r="S490">
        <v>100005393</v>
      </c>
      <c r="T490">
        <v>1.00008760444644E+16</v>
      </c>
      <c r="U490">
        <v>100005393</v>
      </c>
      <c r="V490" t="s">
        <v>71</v>
      </c>
      <c r="W490">
        <v>11</v>
      </c>
      <c r="X490">
        <v>2686412</v>
      </c>
      <c r="Y490">
        <v>18331304</v>
      </c>
      <c r="Z490">
        <v>21017716</v>
      </c>
      <c r="AA490">
        <v>100005393</v>
      </c>
      <c r="AB490">
        <v>7.8237100000000002</v>
      </c>
      <c r="AC490">
        <v>5.4554400000000003</v>
      </c>
      <c r="AD490">
        <v>5.7581499999999997</v>
      </c>
      <c r="AE490">
        <v>10</v>
      </c>
      <c r="AF490">
        <v>4371684928</v>
      </c>
      <c r="AJ490" t="s">
        <v>955</v>
      </c>
      <c r="AM490">
        <v>1855648895</v>
      </c>
      <c r="AN490">
        <v>0</v>
      </c>
      <c r="AO490">
        <v>1237089589</v>
      </c>
      <c r="AP490">
        <v>1855648895</v>
      </c>
      <c r="AQ490">
        <v>3092738484</v>
      </c>
      <c r="AR490">
        <v>57989027</v>
      </c>
      <c r="AS490">
        <v>0</v>
      </c>
      <c r="AT490">
        <v>38659049</v>
      </c>
      <c r="AU490">
        <v>57989027</v>
      </c>
      <c r="AV490">
        <v>96648077</v>
      </c>
      <c r="AW490">
        <v>29.5275</v>
      </c>
      <c r="AX490">
        <v>13.902799999999999</v>
      </c>
      <c r="AY490">
        <v>5431.57</v>
      </c>
      <c r="AZ490">
        <v>3558.59</v>
      </c>
      <c r="BA490">
        <v>9780</v>
      </c>
      <c r="BB490">
        <v>6054</v>
      </c>
      <c r="BC490" t="str">
        <f t="shared" si="16"/>
        <v>u=40%, k=2x10^8</v>
      </c>
      <c r="BD490">
        <f t="shared" si="17"/>
        <v>32</v>
      </c>
    </row>
    <row r="491" spans="1:56">
      <c r="A491" t="s">
        <v>956</v>
      </c>
      <c r="B491" t="s">
        <v>300</v>
      </c>
      <c r="C491">
        <v>208</v>
      </c>
      <c r="D491" t="s">
        <v>64</v>
      </c>
      <c r="E491" t="s">
        <v>59</v>
      </c>
      <c r="F491" t="s">
        <v>60</v>
      </c>
      <c r="G491">
        <v>64000</v>
      </c>
      <c r="H491">
        <v>20</v>
      </c>
      <c r="I491">
        <v>20</v>
      </c>
      <c r="J491">
        <v>0</v>
      </c>
      <c r="K491">
        <v>1</v>
      </c>
      <c r="L491">
        <v>200000000</v>
      </c>
      <c r="M491">
        <v>190</v>
      </c>
      <c r="N491">
        <v>190</v>
      </c>
      <c r="O491">
        <v>190</v>
      </c>
      <c r="P491">
        <v>0</v>
      </c>
      <c r="Q491" t="s">
        <v>61</v>
      </c>
      <c r="R491">
        <v>1.0001258859459E+16</v>
      </c>
      <c r="S491">
        <v>100004665</v>
      </c>
      <c r="T491">
        <v>1.0001258859459E+16</v>
      </c>
      <c r="U491">
        <v>100004665</v>
      </c>
      <c r="V491" t="s">
        <v>71</v>
      </c>
      <c r="W491">
        <v>11</v>
      </c>
      <c r="X491">
        <v>2875609</v>
      </c>
      <c r="Y491">
        <v>19273369</v>
      </c>
      <c r="Z491">
        <v>22148978</v>
      </c>
      <c r="AA491">
        <v>100004665</v>
      </c>
      <c r="AB491">
        <v>7.7023599999999997</v>
      </c>
      <c r="AC491">
        <v>5.1887499999999998</v>
      </c>
      <c r="AD491">
        <v>5.5150899999999998</v>
      </c>
      <c r="AE491">
        <v>10</v>
      </c>
      <c r="AF491">
        <v>4606987424</v>
      </c>
      <c r="AJ491" t="s">
        <v>957</v>
      </c>
      <c r="AM491">
        <v>3686985757</v>
      </c>
      <c r="AN491">
        <v>0</v>
      </c>
      <c r="AO491">
        <v>2457971757</v>
      </c>
      <c r="AP491">
        <v>3686985757</v>
      </c>
      <c r="AQ491">
        <v>6144957514</v>
      </c>
      <c r="AR491">
        <v>57609152</v>
      </c>
      <c r="AS491">
        <v>0</v>
      </c>
      <c r="AT491">
        <v>38405808</v>
      </c>
      <c r="AU491">
        <v>57609152</v>
      </c>
      <c r="AV491">
        <v>96014961</v>
      </c>
      <c r="AW491">
        <v>29.695599999999999</v>
      </c>
      <c r="AX491">
        <v>14.059100000000001</v>
      </c>
      <c r="AY491">
        <v>5478.34</v>
      </c>
      <c r="AZ491">
        <v>3584.51</v>
      </c>
      <c r="BA491">
        <v>10078</v>
      </c>
      <c r="BB491">
        <v>5991</v>
      </c>
      <c r="BC491" t="str">
        <f t="shared" si="16"/>
        <v>u=40%, k=2x10^8</v>
      </c>
      <c r="BD491">
        <f t="shared" si="17"/>
        <v>64</v>
      </c>
    </row>
    <row r="492" spans="1:56">
      <c r="A492" t="s">
        <v>958</v>
      </c>
      <c r="B492" t="s">
        <v>105</v>
      </c>
      <c r="D492" t="s">
        <v>64</v>
      </c>
      <c r="E492" t="s">
        <v>59</v>
      </c>
      <c r="F492" t="s">
        <v>60</v>
      </c>
      <c r="G492">
        <v>1000</v>
      </c>
      <c r="H492">
        <v>20</v>
      </c>
      <c r="I492">
        <v>20</v>
      </c>
      <c r="J492">
        <v>0</v>
      </c>
      <c r="K492">
        <v>1</v>
      </c>
      <c r="L492">
        <v>200000000</v>
      </c>
      <c r="M492">
        <v>190</v>
      </c>
      <c r="N492">
        <v>190</v>
      </c>
      <c r="O492">
        <v>190</v>
      </c>
      <c r="P492">
        <v>0</v>
      </c>
      <c r="Q492" t="s">
        <v>61</v>
      </c>
      <c r="R492">
        <v>9999932547758350</v>
      </c>
      <c r="S492">
        <v>100000224</v>
      </c>
      <c r="T492">
        <v>9999932547758350</v>
      </c>
      <c r="U492">
        <v>100000224</v>
      </c>
      <c r="V492" t="s">
        <v>71</v>
      </c>
      <c r="W492">
        <v>33</v>
      </c>
      <c r="X492">
        <v>58542894</v>
      </c>
      <c r="Y492">
        <v>44020889</v>
      </c>
      <c r="Z492">
        <v>102563783</v>
      </c>
      <c r="AA492">
        <v>100000224</v>
      </c>
      <c r="AB492">
        <v>1.7519400000000001</v>
      </c>
      <c r="AC492">
        <v>2.2716500000000002</v>
      </c>
      <c r="AD492">
        <v>1.9750099999999999</v>
      </c>
      <c r="AE492">
        <v>26.119800000000001</v>
      </c>
      <c r="AF492">
        <v>5743571848</v>
      </c>
      <c r="AJ492" t="s">
        <v>959</v>
      </c>
      <c r="AM492">
        <v>38449801</v>
      </c>
      <c r="AN492">
        <v>0</v>
      </c>
      <c r="AO492">
        <v>25625425</v>
      </c>
      <c r="AP492">
        <v>38449801</v>
      </c>
      <c r="AQ492">
        <v>64075226</v>
      </c>
      <c r="AR492">
        <v>38449801</v>
      </c>
      <c r="AS492">
        <v>0</v>
      </c>
      <c r="AT492">
        <v>25625425</v>
      </c>
      <c r="AU492">
        <v>38449801</v>
      </c>
      <c r="AV492">
        <v>64075226</v>
      </c>
      <c r="AW492">
        <v>43.464199999999998</v>
      </c>
      <c r="AX492">
        <v>20.238099999999999</v>
      </c>
      <c r="AY492">
        <v>8243.02</v>
      </c>
      <c r="AZ492">
        <v>6596.48</v>
      </c>
      <c r="BA492">
        <v>7779</v>
      </c>
      <c r="BB492">
        <v>2759</v>
      </c>
      <c r="BC492" t="str">
        <f t="shared" si="16"/>
        <v>u=40%, k=2x10^8</v>
      </c>
      <c r="BD492">
        <f t="shared" si="17"/>
        <v>1</v>
      </c>
    </row>
    <row r="493" spans="1:56">
      <c r="A493" t="s">
        <v>960</v>
      </c>
      <c r="B493" t="s">
        <v>105</v>
      </c>
      <c r="D493" t="s">
        <v>64</v>
      </c>
      <c r="E493" t="s">
        <v>59</v>
      </c>
      <c r="F493" t="s">
        <v>60</v>
      </c>
      <c r="G493">
        <v>2000</v>
      </c>
      <c r="H493">
        <v>20</v>
      </c>
      <c r="I493">
        <v>20</v>
      </c>
      <c r="J493">
        <v>0</v>
      </c>
      <c r="K493">
        <v>1</v>
      </c>
      <c r="L493">
        <v>200000000</v>
      </c>
      <c r="M493">
        <v>190</v>
      </c>
      <c r="N493">
        <v>190</v>
      </c>
      <c r="O493">
        <v>190</v>
      </c>
      <c r="P493">
        <v>0</v>
      </c>
      <c r="Q493" t="s">
        <v>61</v>
      </c>
      <c r="R493">
        <v>1.00016056102721E+16</v>
      </c>
      <c r="S493">
        <v>100012470</v>
      </c>
      <c r="T493">
        <v>1.00016056102721E+16</v>
      </c>
      <c r="U493">
        <v>100012470</v>
      </c>
      <c r="V493" t="s">
        <v>71</v>
      </c>
      <c r="W493">
        <v>33</v>
      </c>
      <c r="X493">
        <v>59780151</v>
      </c>
      <c r="Y493">
        <v>45027940</v>
      </c>
      <c r="Z493">
        <v>104808091</v>
      </c>
      <c r="AA493">
        <v>100012470</v>
      </c>
      <c r="AB493">
        <v>1.7532300000000001</v>
      </c>
      <c r="AC493">
        <v>2.22112</v>
      </c>
      <c r="AD493">
        <v>1.95424</v>
      </c>
      <c r="AE493">
        <v>26.197099999999999</v>
      </c>
      <c r="AF493">
        <v>5869253096</v>
      </c>
      <c r="AJ493" t="s">
        <v>961</v>
      </c>
      <c r="AM493">
        <v>77020833</v>
      </c>
      <c r="AN493">
        <v>0</v>
      </c>
      <c r="AO493">
        <v>51355115</v>
      </c>
      <c r="AP493">
        <v>77020833</v>
      </c>
      <c r="AQ493">
        <v>128375948</v>
      </c>
      <c r="AR493">
        <v>38510416</v>
      </c>
      <c r="AS493">
        <v>0</v>
      </c>
      <c r="AT493">
        <v>25677557</v>
      </c>
      <c r="AU493">
        <v>38510416</v>
      </c>
      <c r="AV493">
        <v>64187974</v>
      </c>
      <c r="AW493">
        <v>43.208599999999997</v>
      </c>
      <c r="AX493">
        <v>20.374400000000001</v>
      </c>
      <c r="AY493">
        <v>8228.26</v>
      </c>
      <c r="AZ493">
        <v>6587.04</v>
      </c>
      <c r="BA493">
        <v>7964</v>
      </c>
      <c r="BB493">
        <v>2753</v>
      </c>
      <c r="BC493" t="str">
        <f t="shared" si="16"/>
        <v>u=40%, k=2x10^8</v>
      </c>
      <c r="BD493">
        <f t="shared" si="17"/>
        <v>2</v>
      </c>
    </row>
    <row r="494" spans="1:56">
      <c r="A494" t="s">
        <v>962</v>
      </c>
      <c r="B494" t="s">
        <v>105</v>
      </c>
      <c r="D494" t="s">
        <v>64</v>
      </c>
      <c r="E494" t="s">
        <v>59</v>
      </c>
      <c r="F494" t="s">
        <v>60</v>
      </c>
      <c r="G494">
        <v>4000</v>
      </c>
      <c r="H494">
        <v>20</v>
      </c>
      <c r="I494">
        <v>20</v>
      </c>
      <c r="J494">
        <v>0</v>
      </c>
      <c r="K494">
        <v>1</v>
      </c>
      <c r="L494">
        <v>200000000</v>
      </c>
      <c r="M494">
        <v>190</v>
      </c>
      <c r="N494">
        <v>190</v>
      </c>
      <c r="O494">
        <v>190</v>
      </c>
      <c r="P494">
        <v>0</v>
      </c>
      <c r="Q494" t="s">
        <v>61</v>
      </c>
      <c r="R494">
        <v>1.00009681882977E+16</v>
      </c>
      <c r="S494">
        <v>100002242</v>
      </c>
      <c r="T494">
        <v>1.00009681882977E+16</v>
      </c>
      <c r="U494">
        <v>100002242</v>
      </c>
      <c r="V494" t="s">
        <v>71</v>
      </c>
      <c r="W494">
        <v>33</v>
      </c>
      <c r="X494">
        <v>61793995</v>
      </c>
      <c r="Y494">
        <v>46645898</v>
      </c>
      <c r="Z494">
        <v>108439893</v>
      </c>
      <c r="AA494">
        <v>100002242</v>
      </c>
      <c r="AB494">
        <v>1.7548600000000001</v>
      </c>
      <c r="AC494">
        <v>2.1438600000000001</v>
      </c>
      <c r="AD494">
        <v>1.9221900000000001</v>
      </c>
      <c r="AE494">
        <v>26.311599999999999</v>
      </c>
      <c r="AF494">
        <v>6072634008</v>
      </c>
      <c r="AJ494" t="s">
        <v>963</v>
      </c>
      <c r="AM494">
        <v>153796470</v>
      </c>
      <c r="AN494">
        <v>0</v>
      </c>
      <c r="AO494">
        <v>102535440</v>
      </c>
      <c r="AP494">
        <v>153796470</v>
      </c>
      <c r="AQ494">
        <v>256331910</v>
      </c>
      <c r="AR494">
        <v>38449117</v>
      </c>
      <c r="AS494">
        <v>0</v>
      </c>
      <c r="AT494">
        <v>25633860</v>
      </c>
      <c r="AU494">
        <v>38449117</v>
      </c>
      <c r="AV494">
        <v>64082977</v>
      </c>
      <c r="AW494">
        <v>43.385899999999999</v>
      </c>
      <c r="AX494">
        <v>20.549499999999998</v>
      </c>
      <c r="AY494">
        <v>8242.4699999999993</v>
      </c>
      <c r="AZ494">
        <v>6604.02</v>
      </c>
      <c r="BA494">
        <v>8291</v>
      </c>
      <c r="BB494">
        <v>2745</v>
      </c>
      <c r="BC494" t="str">
        <f t="shared" si="16"/>
        <v>u=40%, k=2x10^8</v>
      </c>
      <c r="BD494">
        <f t="shared" si="17"/>
        <v>4</v>
      </c>
    </row>
    <row r="495" spans="1:56">
      <c r="A495" t="s">
        <v>964</v>
      </c>
      <c r="B495" t="s">
        <v>105</v>
      </c>
      <c r="D495" t="s">
        <v>64</v>
      </c>
      <c r="E495" t="s">
        <v>59</v>
      </c>
      <c r="F495" t="s">
        <v>60</v>
      </c>
      <c r="G495">
        <v>8000</v>
      </c>
      <c r="H495">
        <v>20</v>
      </c>
      <c r="I495">
        <v>20</v>
      </c>
      <c r="J495">
        <v>0</v>
      </c>
      <c r="K495">
        <v>1</v>
      </c>
      <c r="L495">
        <v>200000000</v>
      </c>
      <c r="M495">
        <v>190</v>
      </c>
      <c r="N495">
        <v>190</v>
      </c>
      <c r="O495">
        <v>190</v>
      </c>
      <c r="P495">
        <v>0</v>
      </c>
      <c r="Q495" t="s">
        <v>61</v>
      </c>
      <c r="R495">
        <v>9999191411850130</v>
      </c>
      <c r="S495">
        <v>99996980</v>
      </c>
      <c r="T495">
        <v>9999191411850130</v>
      </c>
      <c r="U495">
        <v>99996980</v>
      </c>
      <c r="V495" t="s">
        <v>71</v>
      </c>
      <c r="W495">
        <v>33</v>
      </c>
      <c r="X495">
        <v>64500056</v>
      </c>
      <c r="Y495">
        <v>48787653</v>
      </c>
      <c r="Z495">
        <v>113287709</v>
      </c>
      <c r="AA495">
        <v>99996980</v>
      </c>
      <c r="AB495">
        <v>1.7564</v>
      </c>
      <c r="AC495">
        <v>2.0496400000000001</v>
      </c>
      <c r="AD495">
        <v>1.8826799999999999</v>
      </c>
      <c r="AE495">
        <v>26.410499999999999</v>
      </c>
      <c r="AF495">
        <v>6344111704</v>
      </c>
      <c r="AJ495" t="s">
        <v>965</v>
      </c>
      <c r="AM495">
        <v>305116081</v>
      </c>
      <c r="AN495">
        <v>0</v>
      </c>
      <c r="AO495">
        <v>203371006</v>
      </c>
      <c r="AP495">
        <v>305116081</v>
      </c>
      <c r="AQ495">
        <v>508487087</v>
      </c>
      <c r="AR495">
        <v>38139510</v>
      </c>
      <c r="AS495">
        <v>0</v>
      </c>
      <c r="AT495">
        <v>25421375</v>
      </c>
      <c r="AU495">
        <v>38139510</v>
      </c>
      <c r="AV495">
        <v>63560885</v>
      </c>
      <c r="AW495">
        <v>43.6479</v>
      </c>
      <c r="AX495">
        <v>20.7774</v>
      </c>
      <c r="AY495">
        <v>8312.9599999999991</v>
      </c>
      <c r="AZ495">
        <v>6665.98</v>
      </c>
      <c r="BA495">
        <v>8834</v>
      </c>
      <c r="BB495">
        <v>2742</v>
      </c>
      <c r="BC495" t="str">
        <f t="shared" si="16"/>
        <v>u=40%, k=2x10^8</v>
      </c>
      <c r="BD495">
        <f t="shared" si="17"/>
        <v>8</v>
      </c>
    </row>
    <row r="496" spans="1:56">
      <c r="A496" t="s">
        <v>966</v>
      </c>
      <c r="B496" t="s">
        <v>105</v>
      </c>
      <c r="D496" t="s">
        <v>64</v>
      </c>
      <c r="E496" t="s">
        <v>59</v>
      </c>
      <c r="F496" t="s">
        <v>60</v>
      </c>
      <c r="G496">
        <v>16000</v>
      </c>
      <c r="H496">
        <v>20</v>
      </c>
      <c r="I496">
        <v>20</v>
      </c>
      <c r="J496">
        <v>0</v>
      </c>
      <c r="K496">
        <v>1</v>
      </c>
      <c r="L496">
        <v>200000000</v>
      </c>
      <c r="M496">
        <v>190</v>
      </c>
      <c r="N496">
        <v>190</v>
      </c>
      <c r="O496">
        <v>190</v>
      </c>
      <c r="P496">
        <v>0</v>
      </c>
      <c r="Q496" t="s">
        <v>61</v>
      </c>
      <c r="R496">
        <v>9999987271973060</v>
      </c>
      <c r="S496">
        <v>100004181</v>
      </c>
      <c r="T496">
        <v>9999987271973060</v>
      </c>
      <c r="U496">
        <v>100004181</v>
      </c>
      <c r="V496" t="s">
        <v>71</v>
      </c>
      <c r="W496">
        <v>33</v>
      </c>
      <c r="X496">
        <v>67101803</v>
      </c>
      <c r="Y496">
        <v>50838366</v>
      </c>
      <c r="Z496">
        <v>117940169</v>
      </c>
      <c r="AA496">
        <v>100004181</v>
      </c>
      <c r="AB496">
        <v>1.75763</v>
      </c>
      <c r="AC496">
        <v>1.9671000000000001</v>
      </c>
      <c r="AD496">
        <v>1.84792</v>
      </c>
      <c r="AE496">
        <v>26.561800000000002</v>
      </c>
      <c r="AF496">
        <v>6604649464</v>
      </c>
      <c r="AJ496" t="s">
        <v>967</v>
      </c>
      <c r="AM496">
        <v>604782168</v>
      </c>
      <c r="AN496">
        <v>0</v>
      </c>
      <c r="AO496">
        <v>403188678</v>
      </c>
      <c r="AP496">
        <v>604782168</v>
      </c>
      <c r="AQ496">
        <v>1007970846</v>
      </c>
      <c r="AR496">
        <v>37798885</v>
      </c>
      <c r="AS496">
        <v>0</v>
      </c>
      <c r="AT496">
        <v>25199292</v>
      </c>
      <c r="AU496">
        <v>37798885</v>
      </c>
      <c r="AV496">
        <v>62998177</v>
      </c>
      <c r="AW496">
        <v>43.712600000000002</v>
      </c>
      <c r="AX496">
        <v>21.049900000000001</v>
      </c>
      <c r="AY496">
        <v>8389.26</v>
      </c>
      <c r="AZ496">
        <v>6728.53</v>
      </c>
      <c r="BA496">
        <v>9636</v>
      </c>
      <c r="BB496">
        <v>2753</v>
      </c>
      <c r="BC496" t="str">
        <f t="shared" si="16"/>
        <v>u=40%, k=2x10^8</v>
      </c>
      <c r="BD496">
        <f t="shared" si="17"/>
        <v>16</v>
      </c>
    </row>
    <row r="497" spans="1:56">
      <c r="A497" t="s">
        <v>968</v>
      </c>
      <c r="B497" t="s">
        <v>105</v>
      </c>
      <c r="D497" t="s">
        <v>64</v>
      </c>
      <c r="E497" t="s">
        <v>59</v>
      </c>
      <c r="F497" t="s">
        <v>60</v>
      </c>
      <c r="G497">
        <v>32000</v>
      </c>
      <c r="H497">
        <v>20</v>
      </c>
      <c r="I497">
        <v>20</v>
      </c>
      <c r="J497">
        <v>0</v>
      </c>
      <c r="K497">
        <v>1</v>
      </c>
      <c r="L497">
        <v>200000000</v>
      </c>
      <c r="M497">
        <v>190</v>
      </c>
      <c r="N497">
        <v>190</v>
      </c>
      <c r="O497">
        <v>190</v>
      </c>
      <c r="P497">
        <v>0</v>
      </c>
      <c r="Q497" t="s">
        <v>61</v>
      </c>
      <c r="R497">
        <v>9999251947097260</v>
      </c>
      <c r="S497">
        <v>99993691</v>
      </c>
      <c r="T497">
        <v>9999251947097260</v>
      </c>
      <c r="U497">
        <v>99993691</v>
      </c>
      <c r="V497" t="s">
        <v>71</v>
      </c>
      <c r="W497">
        <v>33</v>
      </c>
      <c r="X497">
        <v>68369491</v>
      </c>
      <c r="Y497">
        <v>51846040</v>
      </c>
      <c r="Z497">
        <v>120215531</v>
      </c>
      <c r="AA497">
        <v>99993691</v>
      </c>
      <c r="AB497">
        <v>1.7583200000000001</v>
      </c>
      <c r="AC497">
        <v>1.9286700000000001</v>
      </c>
      <c r="AD497">
        <v>1.83179</v>
      </c>
      <c r="AE497">
        <v>26.651499999999999</v>
      </c>
      <c r="AF497">
        <v>6732069736</v>
      </c>
      <c r="AJ497" t="s">
        <v>969</v>
      </c>
      <c r="AM497">
        <v>1195421477</v>
      </c>
      <c r="AN497">
        <v>0</v>
      </c>
      <c r="AO497">
        <v>797039711</v>
      </c>
      <c r="AP497">
        <v>1195421477</v>
      </c>
      <c r="AQ497">
        <v>1992461188</v>
      </c>
      <c r="AR497">
        <v>37356921</v>
      </c>
      <c r="AS497">
        <v>0</v>
      </c>
      <c r="AT497">
        <v>24907490</v>
      </c>
      <c r="AU497">
        <v>37356921</v>
      </c>
      <c r="AV497">
        <v>62264412</v>
      </c>
      <c r="AW497">
        <v>44.1845</v>
      </c>
      <c r="AX497">
        <v>21.3904</v>
      </c>
      <c r="AY497">
        <v>8489.7900000000009</v>
      </c>
      <c r="AZ497">
        <v>6819.52</v>
      </c>
      <c r="BA497">
        <v>10720</v>
      </c>
      <c r="BB497">
        <v>2792</v>
      </c>
      <c r="BC497" t="str">
        <f t="shared" si="16"/>
        <v>u=40%, k=2x10^8</v>
      </c>
      <c r="BD497">
        <f t="shared" si="17"/>
        <v>32</v>
      </c>
    </row>
    <row r="498" spans="1:56">
      <c r="A498" t="s">
        <v>970</v>
      </c>
      <c r="B498" t="s">
        <v>105</v>
      </c>
      <c r="D498" t="s">
        <v>64</v>
      </c>
      <c r="E498" t="s">
        <v>59</v>
      </c>
      <c r="F498" t="s">
        <v>60</v>
      </c>
      <c r="G498">
        <v>64000</v>
      </c>
      <c r="H498">
        <v>20</v>
      </c>
      <c r="I498">
        <v>20</v>
      </c>
      <c r="J498">
        <v>0</v>
      </c>
      <c r="K498">
        <v>1</v>
      </c>
      <c r="L498">
        <v>200000000</v>
      </c>
      <c r="M498">
        <v>190</v>
      </c>
      <c r="N498">
        <v>190</v>
      </c>
      <c r="O498">
        <v>190</v>
      </c>
      <c r="P498">
        <v>0</v>
      </c>
      <c r="Q498" t="s">
        <v>61</v>
      </c>
      <c r="R498">
        <v>9999007330313770</v>
      </c>
      <c r="S498">
        <v>99990155</v>
      </c>
      <c r="T498">
        <v>9999007330313770</v>
      </c>
      <c r="U498">
        <v>99990155</v>
      </c>
      <c r="V498" t="s">
        <v>71</v>
      </c>
      <c r="W498">
        <v>33</v>
      </c>
      <c r="X498">
        <v>68574498</v>
      </c>
      <c r="Y498">
        <v>52020560</v>
      </c>
      <c r="Z498">
        <v>120595058</v>
      </c>
      <c r="AA498">
        <v>99990155</v>
      </c>
      <c r="AB498">
        <v>1.7585999999999999</v>
      </c>
      <c r="AC498">
        <v>1.9221299999999999</v>
      </c>
      <c r="AD498">
        <v>1.82914</v>
      </c>
      <c r="AE498">
        <v>26.606000000000002</v>
      </c>
      <c r="AF498">
        <v>6753323248</v>
      </c>
      <c r="AJ498" t="s">
        <v>971</v>
      </c>
      <c r="AM498">
        <v>2349991190</v>
      </c>
      <c r="AN498">
        <v>0</v>
      </c>
      <c r="AO498">
        <v>1566653423</v>
      </c>
      <c r="AP498">
        <v>2349991190</v>
      </c>
      <c r="AQ498">
        <v>3916644613</v>
      </c>
      <c r="AR498">
        <v>36718612</v>
      </c>
      <c r="AS498">
        <v>0</v>
      </c>
      <c r="AT498">
        <v>24478959</v>
      </c>
      <c r="AU498">
        <v>36718612</v>
      </c>
      <c r="AV498">
        <v>61197572</v>
      </c>
      <c r="AW498">
        <v>44.169600000000003</v>
      </c>
      <c r="AX498">
        <v>21.8279</v>
      </c>
      <c r="AY498">
        <v>8640.5499999999993</v>
      </c>
      <c r="AZ498">
        <v>6961.75</v>
      </c>
      <c r="BA498">
        <v>12092</v>
      </c>
      <c r="BB498">
        <v>2792</v>
      </c>
      <c r="BC498" t="str">
        <f t="shared" si="16"/>
        <v>u=40%, k=2x10^8</v>
      </c>
      <c r="BD498">
        <f t="shared" si="17"/>
        <v>64</v>
      </c>
    </row>
    <row r="499" spans="1:56">
      <c r="A499" t="s">
        <v>972</v>
      </c>
      <c r="B499" t="s">
        <v>305</v>
      </c>
      <c r="D499" t="s">
        <v>64</v>
      </c>
      <c r="E499" t="s">
        <v>59</v>
      </c>
      <c r="F499" t="s">
        <v>60</v>
      </c>
      <c r="G499">
        <v>1000</v>
      </c>
      <c r="H499">
        <v>20</v>
      </c>
      <c r="I499">
        <v>20</v>
      </c>
      <c r="J499">
        <v>0</v>
      </c>
      <c r="K499">
        <v>1</v>
      </c>
      <c r="L499">
        <v>200000000</v>
      </c>
      <c r="M499">
        <v>190</v>
      </c>
      <c r="N499">
        <v>190</v>
      </c>
      <c r="O499">
        <v>190</v>
      </c>
      <c r="P499">
        <v>0</v>
      </c>
      <c r="Q499" t="s">
        <v>61</v>
      </c>
      <c r="R499">
        <v>1.00002259029338E+16</v>
      </c>
      <c r="S499">
        <v>99999905</v>
      </c>
      <c r="T499">
        <v>1.00002259029338E+16</v>
      </c>
      <c r="U499">
        <v>99999905</v>
      </c>
      <c r="V499" t="s">
        <v>71</v>
      </c>
      <c r="W499">
        <v>77</v>
      </c>
      <c r="X499">
        <v>99999904</v>
      </c>
      <c r="Y499">
        <v>99999905</v>
      </c>
      <c r="Z499">
        <v>199999809</v>
      </c>
      <c r="AA499">
        <v>99999905</v>
      </c>
      <c r="AB499">
        <v>2</v>
      </c>
      <c r="AC499">
        <v>1</v>
      </c>
      <c r="AD499">
        <v>1.5</v>
      </c>
      <c r="AE499">
        <v>36.844200000000001</v>
      </c>
      <c r="AF499">
        <v>6399993888</v>
      </c>
      <c r="AJ499" t="s">
        <v>973</v>
      </c>
      <c r="AM499">
        <v>29465603</v>
      </c>
      <c r="AN499">
        <v>0</v>
      </c>
      <c r="AO499">
        <v>19641771</v>
      </c>
      <c r="AP499">
        <v>29465603</v>
      </c>
      <c r="AQ499">
        <v>49107374</v>
      </c>
      <c r="AR499">
        <v>29465603</v>
      </c>
      <c r="AS499">
        <v>0</v>
      </c>
      <c r="AT499">
        <v>19641771</v>
      </c>
      <c r="AU499">
        <v>29465603</v>
      </c>
      <c r="AV499">
        <v>49107374</v>
      </c>
      <c r="AW499">
        <v>41.049700000000001</v>
      </c>
      <c r="AX499">
        <v>20.422599999999999</v>
      </c>
      <c r="AY499">
        <v>10736.3</v>
      </c>
      <c r="AZ499">
        <v>8409.33</v>
      </c>
      <c r="BA499">
        <v>7748</v>
      </c>
      <c r="BB499">
        <v>2826</v>
      </c>
      <c r="BC499" t="str">
        <f t="shared" si="16"/>
        <v>u=40%, k=2x10^8</v>
      </c>
      <c r="BD499">
        <f t="shared" si="17"/>
        <v>1</v>
      </c>
    </row>
    <row r="500" spans="1:56">
      <c r="A500" t="s">
        <v>974</v>
      </c>
      <c r="B500" t="s">
        <v>305</v>
      </c>
      <c r="D500" t="s">
        <v>64</v>
      </c>
      <c r="E500" t="s">
        <v>59</v>
      </c>
      <c r="F500" t="s">
        <v>60</v>
      </c>
      <c r="G500">
        <v>2000</v>
      </c>
      <c r="H500">
        <v>20</v>
      </c>
      <c r="I500">
        <v>20</v>
      </c>
      <c r="J500">
        <v>0</v>
      </c>
      <c r="K500">
        <v>1</v>
      </c>
      <c r="L500">
        <v>200000000</v>
      </c>
      <c r="M500">
        <v>190</v>
      </c>
      <c r="N500">
        <v>190</v>
      </c>
      <c r="O500">
        <v>190</v>
      </c>
      <c r="P500">
        <v>0</v>
      </c>
      <c r="Q500" t="s">
        <v>61</v>
      </c>
      <c r="R500">
        <v>1.00004726302207E+16</v>
      </c>
      <c r="S500">
        <v>100007200</v>
      </c>
      <c r="T500">
        <v>1.00004726302207E+16</v>
      </c>
      <c r="U500">
        <v>100007200</v>
      </c>
      <c r="V500" t="s">
        <v>71</v>
      </c>
      <c r="W500">
        <v>70</v>
      </c>
      <c r="X500">
        <v>100007199</v>
      </c>
      <c r="Y500">
        <v>100007200</v>
      </c>
      <c r="Z500">
        <v>200014399</v>
      </c>
      <c r="AA500">
        <v>100007200</v>
      </c>
      <c r="AB500">
        <v>2</v>
      </c>
      <c r="AC500">
        <v>1</v>
      </c>
      <c r="AD500">
        <v>1.5</v>
      </c>
      <c r="AE500">
        <v>35.647799999999997</v>
      </c>
      <c r="AF500">
        <v>6400460768</v>
      </c>
      <c r="AJ500" t="s">
        <v>975</v>
      </c>
      <c r="AM500">
        <v>58956149</v>
      </c>
      <c r="AN500">
        <v>0</v>
      </c>
      <c r="AO500">
        <v>39314401</v>
      </c>
      <c r="AP500">
        <v>58956149</v>
      </c>
      <c r="AQ500">
        <v>98270550</v>
      </c>
      <c r="AR500">
        <v>29478074</v>
      </c>
      <c r="AS500">
        <v>0</v>
      </c>
      <c r="AT500">
        <v>19657200</v>
      </c>
      <c r="AU500">
        <v>29478074</v>
      </c>
      <c r="AV500">
        <v>49135275</v>
      </c>
      <c r="AW500">
        <v>41.219499999999996</v>
      </c>
      <c r="AX500">
        <v>20.486599999999999</v>
      </c>
      <c r="AY500">
        <v>10742.3</v>
      </c>
      <c r="AZ500">
        <v>8435.6200000000008</v>
      </c>
      <c r="BA500">
        <v>7912</v>
      </c>
      <c r="BB500">
        <v>2867</v>
      </c>
      <c r="BC500" t="str">
        <f t="shared" si="16"/>
        <v>u=40%, k=2x10^8</v>
      </c>
      <c r="BD500">
        <f t="shared" si="17"/>
        <v>2</v>
      </c>
    </row>
    <row r="501" spans="1:56">
      <c r="A501" t="s">
        <v>976</v>
      </c>
      <c r="B501" t="s">
        <v>305</v>
      </c>
      <c r="D501" t="s">
        <v>64</v>
      </c>
      <c r="E501" t="s">
        <v>59</v>
      </c>
      <c r="F501" t="s">
        <v>60</v>
      </c>
      <c r="G501">
        <v>4000</v>
      </c>
      <c r="H501">
        <v>20</v>
      </c>
      <c r="I501">
        <v>20</v>
      </c>
      <c r="J501">
        <v>0</v>
      </c>
      <c r="K501">
        <v>1</v>
      </c>
      <c r="L501">
        <v>200000000</v>
      </c>
      <c r="M501">
        <v>190</v>
      </c>
      <c r="N501">
        <v>190</v>
      </c>
      <c r="O501">
        <v>190</v>
      </c>
      <c r="P501">
        <v>0</v>
      </c>
      <c r="Q501" t="s">
        <v>61</v>
      </c>
      <c r="R501">
        <v>1.00003208306271E+16</v>
      </c>
      <c r="S501">
        <v>99997644</v>
      </c>
      <c r="T501">
        <v>1.00003208306271E+16</v>
      </c>
      <c r="U501">
        <v>99997644</v>
      </c>
      <c r="V501" t="s">
        <v>71</v>
      </c>
      <c r="W501">
        <v>72</v>
      </c>
      <c r="X501">
        <v>99997643</v>
      </c>
      <c r="Y501">
        <v>99997644</v>
      </c>
      <c r="Z501">
        <v>199995287</v>
      </c>
      <c r="AA501">
        <v>99997644</v>
      </c>
      <c r="AB501">
        <v>2</v>
      </c>
      <c r="AC501">
        <v>1</v>
      </c>
      <c r="AD501">
        <v>1.5</v>
      </c>
      <c r="AE501">
        <v>37.2712</v>
      </c>
      <c r="AF501">
        <v>6399849184</v>
      </c>
      <c r="AJ501" t="s">
        <v>977</v>
      </c>
      <c r="AM501">
        <v>118194095</v>
      </c>
      <c r="AN501">
        <v>0</v>
      </c>
      <c r="AO501">
        <v>78818525</v>
      </c>
      <c r="AP501">
        <v>118194095</v>
      </c>
      <c r="AQ501">
        <v>197012620</v>
      </c>
      <c r="AR501">
        <v>29548523</v>
      </c>
      <c r="AS501">
        <v>0</v>
      </c>
      <c r="AT501">
        <v>19704631</v>
      </c>
      <c r="AU501">
        <v>29548523</v>
      </c>
      <c r="AV501">
        <v>49253155</v>
      </c>
      <c r="AW501">
        <v>41.1614</v>
      </c>
      <c r="AX501">
        <v>20.6313</v>
      </c>
      <c r="AY501">
        <v>10717.3</v>
      </c>
      <c r="AZ501">
        <v>8444.5300000000007</v>
      </c>
      <c r="BA501">
        <v>8226</v>
      </c>
      <c r="BB501">
        <v>2846</v>
      </c>
      <c r="BC501" t="str">
        <f t="shared" si="16"/>
        <v>u=40%, k=2x10^8</v>
      </c>
      <c r="BD501">
        <f t="shared" si="17"/>
        <v>4</v>
      </c>
    </row>
    <row r="502" spans="1:56">
      <c r="A502" t="s">
        <v>978</v>
      </c>
      <c r="B502" t="s">
        <v>305</v>
      </c>
      <c r="D502" t="s">
        <v>64</v>
      </c>
      <c r="E502" t="s">
        <v>59</v>
      </c>
      <c r="F502" t="s">
        <v>60</v>
      </c>
      <c r="G502">
        <v>8000</v>
      </c>
      <c r="H502">
        <v>20</v>
      </c>
      <c r="I502">
        <v>20</v>
      </c>
      <c r="J502">
        <v>0</v>
      </c>
      <c r="K502">
        <v>1</v>
      </c>
      <c r="L502">
        <v>200000000</v>
      </c>
      <c r="M502">
        <v>190</v>
      </c>
      <c r="N502">
        <v>190</v>
      </c>
      <c r="O502">
        <v>190</v>
      </c>
      <c r="P502">
        <v>0</v>
      </c>
      <c r="Q502" t="s">
        <v>61</v>
      </c>
      <c r="R502">
        <v>9999479638174980</v>
      </c>
      <c r="S502">
        <v>99995945</v>
      </c>
      <c r="T502">
        <v>9999479638174980</v>
      </c>
      <c r="U502">
        <v>99995945</v>
      </c>
      <c r="V502" t="s">
        <v>71</v>
      </c>
      <c r="W502">
        <v>68</v>
      </c>
      <c r="X502">
        <v>99995944</v>
      </c>
      <c r="Y502">
        <v>99995945</v>
      </c>
      <c r="Z502">
        <v>199991889</v>
      </c>
      <c r="AA502">
        <v>99995945</v>
      </c>
      <c r="AB502">
        <v>2</v>
      </c>
      <c r="AC502">
        <v>1</v>
      </c>
      <c r="AD502">
        <v>1.5</v>
      </c>
      <c r="AE502">
        <v>34.743600000000001</v>
      </c>
      <c r="AF502">
        <v>6399740448</v>
      </c>
      <c r="AJ502" t="s">
        <v>979</v>
      </c>
      <c r="AM502">
        <v>236849769</v>
      </c>
      <c r="AN502">
        <v>0</v>
      </c>
      <c r="AO502">
        <v>157897013</v>
      </c>
      <c r="AP502">
        <v>236849769</v>
      </c>
      <c r="AQ502">
        <v>394746782</v>
      </c>
      <c r="AR502">
        <v>29606221</v>
      </c>
      <c r="AS502">
        <v>0</v>
      </c>
      <c r="AT502">
        <v>19737126</v>
      </c>
      <c r="AU502">
        <v>29606221</v>
      </c>
      <c r="AV502">
        <v>49343347</v>
      </c>
      <c r="AW502">
        <v>41.321199999999997</v>
      </c>
      <c r="AX502">
        <v>20.870100000000001</v>
      </c>
      <c r="AY502">
        <v>10700.2</v>
      </c>
      <c r="AZ502">
        <v>8497.4500000000007</v>
      </c>
      <c r="BA502">
        <v>8795</v>
      </c>
      <c r="BB502">
        <v>2829</v>
      </c>
      <c r="BC502" t="str">
        <f t="shared" si="16"/>
        <v>u=40%, k=2x10^8</v>
      </c>
      <c r="BD502">
        <f t="shared" si="17"/>
        <v>8</v>
      </c>
    </row>
    <row r="503" spans="1:56">
      <c r="A503" t="s">
        <v>980</v>
      </c>
      <c r="B503" t="s">
        <v>305</v>
      </c>
      <c r="D503" t="s">
        <v>64</v>
      </c>
      <c r="E503" t="s">
        <v>59</v>
      </c>
      <c r="F503" t="s">
        <v>60</v>
      </c>
      <c r="G503">
        <v>16000</v>
      </c>
      <c r="H503">
        <v>20</v>
      </c>
      <c r="I503">
        <v>20</v>
      </c>
      <c r="J503">
        <v>0</v>
      </c>
      <c r="K503">
        <v>1</v>
      </c>
      <c r="L503">
        <v>200000000</v>
      </c>
      <c r="M503">
        <v>190</v>
      </c>
      <c r="N503">
        <v>190</v>
      </c>
      <c r="O503">
        <v>190</v>
      </c>
      <c r="P503">
        <v>0</v>
      </c>
      <c r="Q503" t="s">
        <v>61</v>
      </c>
      <c r="R503">
        <v>9999685722378100</v>
      </c>
      <c r="S503">
        <v>99996513</v>
      </c>
      <c r="T503">
        <v>9999685722378100</v>
      </c>
      <c r="U503">
        <v>99996513</v>
      </c>
      <c r="V503" t="s">
        <v>71</v>
      </c>
      <c r="W503">
        <v>68</v>
      </c>
      <c r="X503">
        <v>99996512</v>
      </c>
      <c r="Y503">
        <v>99996513</v>
      </c>
      <c r="Z503">
        <v>199993025</v>
      </c>
      <c r="AA503">
        <v>99996513</v>
      </c>
      <c r="AB503">
        <v>2</v>
      </c>
      <c r="AC503">
        <v>1</v>
      </c>
      <c r="AD503">
        <v>1.5</v>
      </c>
      <c r="AE503">
        <v>35.900799999999997</v>
      </c>
      <c r="AF503">
        <v>6399776800</v>
      </c>
      <c r="AJ503" t="s">
        <v>981</v>
      </c>
      <c r="AM503">
        <v>476945035</v>
      </c>
      <c r="AN503">
        <v>0</v>
      </c>
      <c r="AO503">
        <v>317947246</v>
      </c>
      <c r="AP503">
        <v>476945035</v>
      </c>
      <c r="AQ503">
        <v>794892281</v>
      </c>
      <c r="AR503">
        <v>29809064</v>
      </c>
      <c r="AS503">
        <v>0</v>
      </c>
      <c r="AT503">
        <v>19871702</v>
      </c>
      <c r="AU503">
        <v>29809064</v>
      </c>
      <c r="AV503">
        <v>49680767</v>
      </c>
      <c r="AW503">
        <v>41.652099999999997</v>
      </c>
      <c r="AX503">
        <v>21.2151</v>
      </c>
      <c r="AY503">
        <v>10632.6</v>
      </c>
      <c r="AZ503">
        <v>8595.01</v>
      </c>
      <c r="BA503">
        <v>9754</v>
      </c>
      <c r="BB503">
        <v>2846</v>
      </c>
      <c r="BC503" t="str">
        <f t="shared" si="16"/>
        <v>u=40%, k=2x10^8</v>
      </c>
      <c r="BD503">
        <f t="shared" si="17"/>
        <v>16</v>
      </c>
    </row>
    <row r="504" spans="1:56">
      <c r="A504" t="s">
        <v>982</v>
      </c>
      <c r="B504" t="s">
        <v>305</v>
      </c>
      <c r="D504" t="s">
        <v>64</v>
      </c>
      <c r="E504" t="s">
        <v>59</v>
      </c>
      <c r="F504" t="s">
        <v>60</v>
      </c>
      <c r="G504">
        <v>32000</v>
      </c>
      <c r="H504">
        <v>20</v>
      </c>
      <c r="I504">
        <v>20</v>
      </c>
      <c r="J504">
        <v>0</v>
      </c>
      <c r="K504">
        <v>1</v>
      </c>
      <c r="L504">
        <v>200000000</v>
      </c>
      <c r="M504">
        <v>190</v>
      </c>
      <c r="N504">
        <v>190</v>
      </c>
      <c r="O504">
        <v>190</v>
      </c>
      <c r="P504">
        <v>0</v>
      </c>
      <c r="Q504" t="s">
        <v>61</v>
      </c>
      <c r="R504">
        <v>9999305383593630</v>
      </c>
      <c r="S504">
        <v>99988374</v>
      </c>
      <c r="T504">
        <v>9999305383593630</v>
      </c>
      <c r="U504">
        <v>99988374</v>
      </c>
      <c r="V504" t="s">
        <v>71</v>
      </c>
      <c r="W504">
        <v>68</v>
      </c>
      <c r="X504">
        <v>99988373</v>
      </c>
      <c r="Y504">
        <v>99988374</v>
      </c>
      <c r="Z504">
        <v>199976747</v>
      </c>
      <c r="AA504">
        <v>99988374</v>
      </c>
      <c r="AB504">
        <v>2</v>
      </c>
      <c r="AC504">
        <v>1</v>
      </c>
      <c r="AD504">
        <v>1.5</v>
      </c>
      <c r="AE504">
        <v>35.208199999999998</v>
      </c>
      <c r="AF504">
        <v>6399255904</v>
      </c>
      <c r="AJ504" t="s">
        <v>983</v>
      </c>
      <c r="AM504">
        <v>962131075</v>
      </c>
      <c r="AN504">
        <v>0</v>
      </c>
      <c r="AO504">
        <v>641404468</v>
      </c>
      <c r="AP504">
        <v>962131075</v>
      </c>
      <c r="AQ504">
        <v>1603535543</v>
      </c>
      <c r="AR504">
        <v>30066596</v>
      </c>
      <c r="AS504">
        <v>0</v>
      </c>
      <c r="AT504">
        <v>20043889</v>
      </c>
      <c r="AU504">
        <v>30066596</v>
      </c>
      <c r="AV504">
        <v>50110485</v>
      </c>
      <c r="AW504">
        <v>42.017800000000001</v>
      </c>
      <c r="AX504">
        <v>21.6907</v>
      </c>
      <c r="AY504">
        <v>10547.7</v>
      </c>
      <c r="AZ504">
        <v>8706.1200000000008</v>
      </c>
      <c r="BA504">
        <v>11091</v>
      </c>
      <c r="BB504">
        <v>2837</v>
      </c>
      <c r="BC504" t="str">
        <f t="shared" si="16"/>
        <v>u=40%, k=2x10^8</v>
      </c>
      <c r="BD504">
        <f t="shared" si="17"/>
        <v>32</v>
      </c>
    </row>
    <row r="505" spans="1:56">
      <c r="A505" t="s">
        <v>984</v>
      </c>
      <c r="B505" t="s">
        <v>305</v>
      </c>
      <c r="D505" t="s">
        <v>64</v>
      </c>
      <c r="E505" t="s">
        <v>59</v>
      </c>
      <c r="F505" t="s">
        <v>60</v>
      </c>
      <c r="G505">
        <v>64000</v>
      </c>
      <c r="H505">
        <v>20</v>
      </c>
      <c r="I505">
        <v>20</v>
      </c>
      <c r="J505">
        <v>0</v>
      </c>
      <c r="K505">
        <v>1</v>
      </c>
      <c r="L505">
        <v>200000000</v>
      </c>
      <c r="M505">
        <v>190</v>
      </c>
      <c r="N505">
        <v>190</v>
      </c>
      <c r="O505">
        <v>190</v>
      </c>
      <c r="P505">
        <v>0</v>
      </c>
      <c r="Q505" t="s">
        <v>61</v>
      </c>
      <c r="R505">
        <v>9999424918700250</v>
      </c>
      <c r="S505">
        <v>99998803</v>
      </c>
      <c r="T505">
        <v>9999424918700250</v>
      </c>
      <c r="U505">
        <v>99998803</v>
      </c>
      <c r="V505" t="s">
        <v>71</v>
      </c>
      <c r="W505">
        <v>68</v>
      </c>
      <c r="X505">
        <v>99998802</v>
      </c>
      <c r="Y505">
        <v>99998803</v>
      </c>
      <c r="Z505">
        <v>199997605</v>
      </c>
      <c r="AA505">
        <v>99998803</v>
      </c>
      <c r="AB505">
        <v>2</v>
      </c>
      <c r="AC505">
        <v>1</v>
      </c>
      <c r="AD505">
        <v>1.5</v>
      </c>
      <c r="AE505">
        <v>35.641500000000001</v>
      </c>
      <c r="AF505">
        <v>6399923360</v>
      </c>
      <c r="AJ505" t="s">
        <v>985</v>
      </c>
      <c r="AM505">
        <v>1892817363</v>
      </c>
      <c r="AN505">
        <v>0</v>
      </c>
      <c r="AO505">
        <v>1261861381</v>
      </c>
      <c r="AP505">
        <v>1892817363</v>
      </c>
      <c r="AQ505">
        <v>3154678744</v>
      </c>
      <c r="AR505">
        <v>29575271</v>
      </c>
      <c r="AS505">
        <v>0</v>
      </c>
      <c r="AT505">
        <v>19716584</v>
      </c>
      <c r="AU505">
        <v>29575271</v>
      </c>
      <c r="AV505">
        <v>49291855</v>
      </c>
      <c r="AW505">
        <v>42.4163</v>
      </c>
      <c r="AX505">
        <v>22.1859</v>
      </c>
      <c r="AY505">
        <v>10726.5</v>
      </c>
      <c r="AZ505">
        <v>8845.7199999999993</v>
      </c>
      <c r="BA505">
        <v>12367</v>
      </c>
      <c r="BB505">
        <v>2846</v>
      </c>
      <c r="BC505" t="str">
        <f t="shared" si="16"/>
        <v>u=40%, k=2x10^8</v>
      </c>
      <c r="BD505">
        <f t="shared" si="17"/>
        <v>64</v>
      </c>
    </row>
    <row r="506" spans="1:56">
      <c r="A506" t="s">
        <v>986</v>
      </c>
      <c r="B506" t="s">
        <v>63</v>
      </c>
      <c r="C506">
        <v>72</v>
      </c>
      <c r="D506" t="s">
        <v>64</v>
      </c>
      <c r="E506" t="s">
        <v>59</v>
      </c>
      <c r="F506" t="s">
        <v>60</v>
      </c>
      <c r="G506">
        <v>1000</v>
      </c>
      <c r="H506">
        <v>5</v>
      </c>
      <c r="I506">
        <v>5</v>
      </c>
      <c r="J506">
        <v>0</v>
      </c>
      <c r="K506">
        <v>1</v>
      </c>
      <c r="L506">
        <v>2000000</v>
      </c>
      <c r="M506">
        <v>190</v>
      </c>
      <c r="N506">
        <v>190</v>
      </c>
      <c r="O506">
        <v>190</v>
      </c>
      <c r="P506">
        <v>0</v>
      </c>
      <c r="Q506" t="s">
        <v>61</v>
      </c>
      <c r="R506">
        <v>999385720036</v>
      </c>
      <c r="S506">
        <v>999432</v>
      </c>
      <c r="T506">
        <v>999385720036</v>
      </c>
      <c r="U506">
        <v>999432</v>
      </c>
      <c r="V506" t="s">
        <v>71</v>
      </c>
      <c r="W506">
        <v>6</v>
      </c>
      <c r="X506">
        <v>33039</v>
      </c>
      <c r="Y506">
        <v>1031516</v>
      </c>
      <c r="Z506">
        <v>1064555</v>
      </c>
      <c r="AA506">
        <v>999432</v>
      </c>
      <c r="AB506">
        <v>32.221200000000003</v>
      </c>
      <c r="AC506">
        <v>0.96889599999999998</v>
      </c>
      <c r="AD506">
        <v>1.9388300000000001</v>
      </c>
      <c r="AE506">
        <v>3.00007</v>
      </c>
      <c r="AF506">
        <v>19147360</v>
      </c>
      <c r="AG506" t="s">
        <v>987</v>
      </c>
      <c r="AH506" t="s">
        <v>988</v>
      </c>
      <c r="AI506">
        <v>175320</v>
      </c>
      <c r="AJ506">
        <v>1318</v>
      </c>
      <c r="AM506">
        <v>179613593</v>
      </c>
      <c r="AN506">
        <v>0</v>
      </c>
      <c r="AO506">
        <v>19966032</v>
      </c>
      <c r="AP506">
        <v>179613593</v>
      </c>
      <c r="AQ506">
        <v>199579625</v>
      </c>
      <c r="AR506">
        <v>179613593</v>
      </c>
      <c r="AS506">
        <v>0</v>
      </c>
      <c r="AT506">
        <v>19966032</v>
      </c>
      <c r="AU506">
        <v>179613593</v>
      </c>
      <c r="AV506">
        <v>199579625</v>
      </c>
      <c r="AW506">
        <v>12.9224</v>
      </c>
      <c r="AX506">
        <v>3.15</v>
      </c>
      <c r="AY506">
        <v>2616.58</v>
      </c>
      <c r="AZ506">
        <v>1785.9</v>
      </c>
      <c r="BA506">
        <v>1447</v>
      </c>
      <c r="BB506">
        <v>310</v>
      </c>
      <c r="BC506" t="str">
        <f t="shared" si="16"/>
        <v>u=10%, k=2x10^6</v>
      </c>
      <c r="BD506">
        <f t="shared" si="17"/>
        <v>1</v>
      </c>
    </row>
    <row r="507" spans="1:56">
      <c r="A507" t="s">
        <v>989</v>
      </c>
      <c r="B507" t="s">
        <v>63</v>
      </c>
      <c r="C507">
        <v>72</v>
      </c>
      <c r="D507" t="s">
        <v>64</v>
      </c>
      <c r="E507" t="s">
        <v>59</v>
      </c>
      <c r="F507" t="s">
        <v>60</v>
      </c>
      <c r="G507">
        <v>2000</v>
      </c>
      <c r="H507">
        <v>5</v>
      </c>
      <c r="I507">
        <v>5</v>
      </c>
      <c r="J507">
        <v>0</v>
      </c>
      <c r="K507">
        <v>1</v>
      </c>
      <c r="L507">
        <v>2000000</v>
      </c>
      <c r="M507">
        <v>190</v>
      </c>
      <c r="N507">
        <v>190</v>
      </c>
      <c r="O507">
        <v>190</v>
      </c>
      <c r="P507">
        <v>0</v>
      </c>
      <c r="Q507" t="s">
        <v>61</v>
      </c>
      <c r="R507">
        <v>999631137606</v>
      </c>
      <c r="S507">
        <v>999529</v>
      </c>
      <c r="T507">
        <v>999631137606</v>
      </c>
      <c r="U507">
        <v>999529</v>
      </c>
      <c r="V507" t="s">
        <v>71</v>
      </c>
      <c r="W507">
        <v>6</v>
      </c>
      <c r="X507">
        <v>54029</v>
      </c>
      <c r="Y507">
        <v>1074663</v>
      </c>
      <c r="Z507">
        <v>1128692</v>
      </c>
      <c r="AA507">
        <v>999529</v>
      </c>
      <c r="AB507">
        <v>20.890499999999999</v>
      </c>
      <c r="AC507">
        <v>0.93008599999999997</v>
      </c>
      <c r="AD507">
        <v>1.8855599999999999</v>
      </c>
      <c r="AE507">
        <v>3.0439500000000002</v>
      </c>
      <c r="AF507">
        <v>21538608</v>
      </c>
      <c r="AG507" t="s">
        <v>990</v>
      </c>
      <c r="AH507" t="s">
        <v>991</v>
      </c>
      <c r="AI507">
        <v>334499</v>
      </c>
      <c r="AJ507">
        <v>2576</v>
      </c>
      <c r="AM507">
        <v>354512814</v>
      </c>
      <c r="AN507">
        <v>0</v>
      </c>
      <c r="AO507">
        <v>39398724</v>
      </c>
      <c r="AP507">
        <v>354512814</v>
      </c>
      <c r="AQ507">
        <v>393911538</v>
      </c>
      <c r="AR507">
        <v>177256407</v>
      </c>
      <c r="AS507">
        <v>0</v>
      </c>
      <c r="AT507">
        <v>19699362</v>
      </c>
      <c r="AU507">
        <v>177256407</v>
      </c>
      <c r="AV507">
        <v>196955769</v>
      </c>
      <c r="AW507">
        <v>12.8878</v>
      </c>
      <c r="AX507">
        <v>3.1368100000000001</v>
      </c>
      <c r="AY507">
        <v>2680.24</v>
      </c>
      <c r="AZ507">
        <v>1846.93</v>
      </c>
      <c r="BA507">
        <v>1479</v>
      </c>
      <c r="BB507">
        <v>209</v>
      </c>
      <c r="BC507" t="str">
        <f t="shared" si="16"/>
        <v>u=10%, k=2x10^6</v>
      </c>
      <c r="BD507">
        <f t="shared" si="17"/>
        <v>2</v>
      </c>
    </row>
    <row r="508" spans="1:56">
      <c r="A508" t="s">
        <v>992</v>
      </c>
      <c r="B508" t="s">
        <v>63</v>
      </c>
      <c r="C508">
        <v>72</v>
      </c>
      <c r="D508" t="s">
        <v>64</v>
      </c>
      <c r="E508" t="s">
        <v>59</v>
      </c>
      <c r="F508" t="s">
        <v>60</v>
      </c>
      <c r="G508">
        <v>4000</v>
      </c>
      <c r="H508">
        <v>5</v>
      </c>
      <c r="I508">
        <v>5</v>
      </c>
      <c r="J508">
        <v>0</v>
      </c>
      <c r="K508">
        <v>1</v>
      </c>
      <c r="L508">
        <v>2000000</v>
      </c>
      <c r="M508">
        <v>190</v>
      </c>
      <c r="N508">
        <v>190</v>
      </c>
      <c r="O508">
        <v>190</v>
      </c>
      <c r="P508">
        <v>0</v>
      </c>
      <c r="Q508" t="s">
        <v>61</v>
      </c>
      <c r="R508">
        <v>998893189423</v>
      </c>
      <c r="S508">
        <v>999432</v>
      </c>
      <c r="T508">
        <v>998893189423</v>
      </c>
      <c r="U508">
        <v>999432</v>
      </c>
      <c r="V508" t="s">
        <v>71</v>
      </c>
      <c r="W508">
        <v>6</v>
      </c>
      <c r="X508">
        <v>54180</v>
      </c>
      <c r="Y508">
        <v>1074366</v>
      </c>
      <c r="Z508">
        <v>1128546</v>
      </c>
      <c r="AA508">
        <v>999432</v>
      </c>
      <c r="AB508">
        <v>20.829599999999999</v>
      </c>
      <c r="AC508">
        <v>0.930253</v>
      </c>
      <c r="AD508">
        <v>1.8855900000000001</v>
      </c>
      <c r="AE508">
        <v>3.0442399999999998</v>
      </c>
      <c r="AF508">
        <v>21545024</v>
      </c>
      <c r="AG508" t="s">
        <v>993</v>
      </c>
      <c r="AH508" t="s">
        <v>994</v>
      </c>
      <c r="AI508">
        <v>673662</v>
      </c>
      <c r="AJ508">
        <v>5204</v>
      </c>
      <c r="AM508">
        <v>714159904</v>
      </c>
      <c r="AN508">
        <v>0</v>
      </c>
      <c r="AO508">
        <v>79355473</v>
      </c>
      <c r="AP508">
        <v>714159904</v>
      </c>
      <c r="AQ508">
        <v>793515377</v>
      </c>
      <c r="AR508">
        <v>178539976</v>
      </c>
      <c r="AS508">
        <v>0</v>
      </c>
      <c r="AT508">
        <v>19838868</v>
      </c>
      <c r="AU508">
        <v>178539976</v>
      </c>
      <c r="AV508">
        <v>198378844</v>
      </c>
      <c r="AW508">
        <v>12.907500000000001</v>
      </c>
      <c r="AX508">
        <v>3.15198</v>
      </c>
      <c r="AY508">
        <v>2664.13</v>
      </c>
      <c r="AZ508">
        <v>1828.58</v>
      </c>
      <c r="BA508">
        <v>1504</v>
      </c>
      <c r="BB508">
        <v>216</v>
      </c>
      <c r="BC508" t="str">
        <f t="shared" si="16"/>
        <v>u=10%, k=2x10^6</v>
      </c>
      <c r="BD508">
        <f t="shared" si="17"/>
        <v>4</v>
      </c>
    </row>
    <row r="509" spans="1:56">
      <c r="A509" t="s">
        <v>995</v>
      </c>
      <c r="B509" t="s">
        <v>63</v>
      </c>
      <c r="C509">
        <v>72</v>
      </c>
      <c r="D509" t="s">
        <v>64</v>
      </c>
      <c r="E509" t="s">
        <v>59</v>
      </c>
      <c r="F509" t="s">
        <v>60</v>
      </c>
      <c r="G509">
        <v>8000</v>
      </c>
      <c r="H509">
        <v>5</v>
      </c>
      <c r="I509">
        <v>5</v>
      </c>
      <c r="J509">
        <v>0</v>
      </c>
      <c r="K509">
        <v>1</v>
      </c>
      <c r="L509">
        <v>2000000</v>
      </c>
      <c r="M509">
        <v>190</v>
      </c>
      <c r="N509">
        <v>190</v>
      </c>
      <c r="O509">
        <v>190</v>
      </c>
      <c r="P509">
        <v>0</v>
      </c>
      <c r="Q509" t="s">
        <v>61</v>
      </c>
      <c r="R509">
        <v>1000565497643</v>
      </c>
      <c r="S509">
        <v>1000597</v>
      </c>
      <c r="T509">
        <v>1000565497643</v>
      </c>
      <c r="U509">
        <v>1000597</v>
      </c>
      <c r="V509" t="s">
        <v>71</v>
      </c>
      <c r="W509">
        <v>6</v>
      </c>
      <c r="X509">
        <v>55156</v>
      </c>
      <c r="Y509">
        <v>1077702</v>
      </c>
      <c r="Z509">
        <v>1132858</v>
      </c>
      <c r="AA509">
        <v>1000597</v>
      </c>
      <c r="AB509">
        <v>20.539200000000001</v>
      </c>
      <c r="AC509">
        <v>0.928454</v>
      </c>
      <c r="AD509">
        <v>1.8832500000000001</v>
      </c>
      <c r="AE509">
        <v>3.0462799999999999</v>
      </c>
      <c r="AF509">
        <v>21678608</v>
      </c>
      <c r="AG509" t="s">
        <v>996</v>
      </c>
      <c r="AH509" t="s">
        <v>997</v>
      </c>
      <c r="AI509">
        <v>1355001</v>
      </c>
      <c r="AJ509">
        <v>10476</v>
      </c>
      <c r="AM509">
        <v>1432010940</v>
      </c>
      <c r="AN509">
        <v>0</v>
      </c>
      <c r="AO509">
        <v>159153218</v>
      </c>
      <c r="AP509">
        <v>1432010940</v>
      </c>
      <c r="AQ509">
        <v>1591164158</v>
      </c>
      <c r="AR509">
        <v>179001367</v>
      </c>
      <c r="AS509">
        <v>0</v>
      </c>
      <c r="AT509">
        <v>19894152</v>
      </c>
      <c r="AU509">
        <v>179001367</v>
      </c>
      <c r="AV509">
        <v>198895519</v>
      </c>
      <c r="AW509">
        <v>12.9236</v>
      </c>
      <c r="AX509">
        <v>3.15666</v>
      </c>
      <c r="AY509">
        <v>2658.2</v>
      </c>
      <c r="AZ509">
        <v>1827.76</v>
      </c>
      <c r="BA509">
        <v>1524</v>
      </c>
      <c r="BB509">
        <v>152</v>
      </c>
      <c r="BC509" t="str">
        <f t="shared" si="16"/>
        <v>u=10%, k=2x10^6</v>
      </c>
      <c r="BD509">
        <f t="shared" si="17"/>
        <v>8</v>
      </c>
    </row>
    <row r="510" spans="1:56">
      <c r="A510" t="s">
        <v>998</v>
      </c>
      <c r="B510" t="s">
        <v>63</v>
      </c>
      <c r="C510">
        <v>72</v>
      </c>
      <c r="D510" t="s">
        <v>64</v>
      </c>
      <c r="E510" t="s">
        <v>59</v>
      </c>
      <c r="F510" t="s">
        <v>60</v>
      </c>
      <c r="G510">
        <v>16000</v>
      </c>
      <c r="H510">
        <v>5</v>
      </c>
      <c r="I510">
        <v>5</v>
      </c>
      <c r="J510">
        <v>0</v>
      </c>
      <c r="K510">
        <v>1</v>
      </c>
      <c r="L510">
        <v>2000000</v>
      </c>
      <c r="M510">
        <v>190</v>
      </c>
      <c r="N510">
        <v>190</v>
      </c>
      <c r="O510">
        <v>190</v>
      </c>
      <c r="P510">
        <v>0</v>
      </c>
      <c r="Q510" t="s">
        <v>61</v>
      </c>
      <c r="R510">
        <v>999187964358</v>
      </c>
      <c r="S510">
        <v>999756</v>
      </c>
      <c r="T510">
        <v>999187964358</v>
      </c>
      <c r="U510">
        <v>999756</v>
      </c>
      <c r="V510" t="s">
        <v>71</v>
      </c>
      <c r="W510">
        <v>6</v>
      </c>
      <c r="X510">
        <v>57163</v>
      </c>
      <c r="Y510">
        <v>1080862</v>
      </c>
      <c r="Z510">
        <v>1138025</v>
      </c>
      <c r="AA510">
        <v>999756</v>
      </c>
      <c r="AB510">
        <v>19.9084</v>
      </c>
      <c r="AC510">
        <v>0.92496199999999995</v>
      </c>
      <c r="AD510">
        <v>1.8785000000000001</v>
      </c>
      <c r="AE510">
        <v>3.0508700000000002</v>
      </c>
      <c r="AF510">
        <v>21893936</v>
      </c>
      <c r="AG510" t="s">
        <v>999</v>
      </c>
      <c r="AH510" t="s">
        <v>1000</v>
      </c>
      <c r="AI510">
        <v>2727909</v>
      </c>
      <c r="AJ510">
        <v>21014</v>
      </c>
      <c r="AM510">
        <v>2887254546</v>
      </c>
      <c r="AN510">
        <v>0</v>
      </c>
      <c r="AO510">
        <v>320817471</v>
      </c>
      <c r="AP510">
        <v>2887254546</v>
      </c>
      <c r="AQ510">
        <v>3208072017</v>
      </c>
      <c r="AR510">
        <v>180453409</v>
      </c>
      <c r="AS510">
        <v>0</v>
      </c>
      <c r="AT510">
        <v>20051091</v>
      </c>
      <c r="AU510">
        <v>180453409</v>
      </c>
      <c r="AV510">
        <v>200504501</v>
      </c>
      <c r="AW510">
        <v>12.8589</v>
      </c>
      <c r="AX510">
        <v>3.1476999999999999</v>
      </c>
      <c r="AY510">
        <v>2637.05</v>
      </c>
      <c r="AZ510">
        <v>1812.96</v>
      </c>
      <c r="BA510">
        <v>1553</v>
      </c>
      <c r="BB510">
        <v>206</v>
      </c>
      <c r="BC510" t="str">
        <f t="shared" si="16"/>
        <v>u=10%, k=2x10^6</v>
      </c>
      <c r="BD510">
        <f t="shared" si="17"/>
        <v>16</v>
      </c>
    </row>
    <row r="511" spans="1:56">
      <c r="A511" t="s">
        <v>1001</v>
      </c>
      <c r="B511" t="s">
        <v>63</v>
      </c>
      <c r="C511">
        <v>72</v>
      </c>
      <c r="D511" t="s">
        <v>64</v>
      </c>
      <c r="E511" t="s">
        <v>59</v>
      </c>
      <c r="F511" t="s">
        <v>60</v>
      </c>
      <c r="G511">
        <v>32000</v>
      </c>
      <c r="H511">
        <v>5</v>
      </c>
      <c r="I511">
        <v>5</v>
      </c>
      <c r="J511">
        <v>0</v>
      </c>
      <c r="K511">
        <v>1</v>
      </c>
      <c r="L511">
        <v>2000000</v>
      </c>
      <c r="M511">
        <v>190</v>
      </c>
      <c r="N511">
        <v>190</v>
      </c>
      <c r="O511">
        <v>190</v>
      </c>
      <c r="P511">
        <v>0</v>
      </c>
      <c r="Q511" t="s">
        <v>61</v>
      </c>
      <c r="R511">
        <v>999098075841</v>
      </c>
      <c r="S511">
        <v>999497</v>
      </c>
      <c r="T511">
        <v>999098075841</v>
      </c>
      <c r="U511">
        <v>999497</v>
      </c>
      <c r="V511" t="s">
        <v>71</v>
      </c>
      <c r="W511">
        <v>6</v>
      </c>
      <c r="X511">
        <v>52306</v>
      </c>
      <c r="Y511">
        <v>1070983</v>
      </c>
      <c r="Z511">
        <v>1123289</v>
      </c>
      <c r="AA511">
        <v>999497</v>
      </c>
      <c r="AB511">
        <v>21.475300000000001</v>
      </c>
      <c r="AC511">
        <v>0.93325199999999997</v>
      </c>
      <c r="AD511">
        <v>1.8897999999999999</v>
      </c>
      <c r="AE511">
        <v>3.0404800000000001</v>
      </c>
      <c r="AF511">
        <v>21340032</v>
      </c>
      <c r="AG511" t="s">
        <v>1002</v>
      </c>
      <c r="AH511" t="s">
        <v>1003</v>
      </c>
      <c r="AI511">
        <v>5423760</v>
      </c>
      <c r="AJ511">
        <v>41908</v>
      </c>
      <c r="AM511">
        <v>5746588492</v>
      </c>
      <c r="AN511">
        <v>0</v>
      </c>
      <c r="AO511">
        <v>638496691</v>
      </c>
      <c r="AP511">
        <v>5746588492</v>
      </c>
      <c r="AQ511">
        <v>6385085183</v>
      </c>
      <c r="AR511">
        <v>179580890</v>
      </c>
      <c r="AS511">
        <v>0</v>
      </c>
      <c r="AT511">
        <v>19953021</v>
      </c>
      <c r="AU511">
        <v>179580890</v>
      </c>
      <c r="AV511">
        <v>199533911</v>
      </c>
      <c r="AW511">
        <v>12.9009</v>
      </c>
      <c r="AX511">
        <v>3.1568499999999999</v>
      </c>
      <c r="AY511">
        <v>2650.26</v>
      </c>
      <c r="AZ511">
        <v>1823.29</v>
      </c>
      <c r="BA511">
        <v>1577</v>
      </c>
      <c r="BB511">
        <v>267</v>
      </c>
      <c r="BC511" t="str">
        <f t="shared" si="16"/>
        <v>u=10%, k=2x10^6</v>
      </c>
      <c r="BD511">
        <f t="shared" si="17"/>
        <v>32</v>
      </c>
    </row>
    <row r="512" spans="1:56">
      <c r="A512" t="s">
        <v>1004</v>
      </c>
      <c r="B512" t="s">
        <v>63</v>
      </c>
      <c r="C512">
        <v>72</v>
      </c>
      <c r="D512" t="s">
        <v>64</v>
      </c>
      <c r="E512" t="s">
        <v>59</v>
      </c>
      <c r="F512" t="s">
        <v>60</v>
      </c>
      <c r="G512">
        <v>64000</v>
      </c>
      <c r="H512">
        <v>5</v>
      </c>
      <c r="I512">
        <v>5</v>
      </c>
      <c r="J512">
        <v>0</v>
      </c>
      <c r="K512">
        <v>1</v>
      </c>
      <c r="L512">
        <v>2000000</v>
      </c>
      <c r="M512">
        <v>190</v>
      </c>
      <c r="N512">
        <v>190</v>
      </c>
      <c r="O512">
        <v>190</v>
      </c>
      <c r="P512">
        <v>0</v>
      </c>
      <c r="Q512" t="s">
        <v>61</v>
      </c>
      <c r="R512">
        <v>1000486948880</v>
      </c>
      <c r="S512">
        <v>1000610</v>
      </c>
      <c r="T512">
        <v>1000486948880</v>
      </c>
      <c r="U512">
        <v>1000610</v>
      </c>
      <c r="V512" t="s">
        <v>71</v>
      </c>
      <c r="W512">
        <v>6</v>
      </c>
      <c r="X512">
        <v>53782</v>
      </c>
      <c r="Y512">
        <v>1074651</v>
      </c>
      <c r="Z512">
        <v>1128433</v>
      </c>
      <c r="AA512">
        <v>1000610</v>
      </c>
      <c r="AB512">
        <v>20.9816</v>
      </c>
      <c r="AC512">
        <v>0.93110199999999999</v>
      </c>
      <c r="AD512">
        <v>1.88673</v>
      </c>
      <c r="AE512">
        <v>3.0432600000000001</v>
      </c>
      <c r="AF512">
        <v>21516704</v>
      </c>
      <c r="AG512" t="s">
        <v>1005</v>
      </c>
      <c r="AH512" t="s">
        <v>1006</v>
      </c>
      <c r="AI512">
        <v>10844747</v>
      </c>
      <c r="AJ512">
        <v>83904</v>
      </c>
      <c r="AM512">
        <v>11483838409</v>
      </c>
      <c r="AN512">
        <v>0</v>
      </c>
      <c r="AO512">
        <v>1275993062</v>
      </c>
      <c r="AP512">
        <v>11483838409</v>
      </c>
      <c r="AQ512">
        <v>12759831471</v>
      </c>
      <c r="AR512">
        <v>179434975</v>
      </c>
      <c r="AS512">
        <v>0</v>
      </c>
      <c r="AT512">
        <v>19937391</v>
      </c>
      <c r="AU512">
        <v>179434975</v>
      </c>
      <c r="AV512">
        <v>199372366</v>
      </c>
      <c r="AW512">
        <v>12.909700000000001</v>
      </c>
      <c r="AX512">
        <v>3.1500499999999998</v>
      </c>
      <c r="AY512">
        <v>2652.77</v>
      </c>
      <c r="AZ512">
        <v>1825.05</v>
      </c>
      <c r="BA512">
        <v>1644</v>
      </c>
      <c r="BB512">
        <v>294</v>
      </c>
      <c r="BC512" t="str">
        <f t="shared" si="16"/>
        <v>u=10%, k=2x10^6</v>
      </c>
      <c r="BD512">
        <f t="shared" si="17"/>
        <v>64</v>
      </c>
    </row>
    <row r="513" spans="1:56">
      <c r="A513" t="s">
        <v>1007</v>
      </c>
      <c r="B513" t="s">
        <v>300</v>
      </c>
      <c r="C513">
        <v>208</v>
      </c>
      <c r="D513" t="s">
        <v>64</v>
      </c>
      <c r="E513" t="s">
        <v>59</v>
      </c>
      <c r="F513" t="s">
        <v>60</v>
      </c>
      <c r="G513">
        <v>1000</v>
      </c>
      <c r="H513">
        <v>5</v>
      </c>
      <c r="I513">
        <v>5</v>
      </c>
      <c r="J513">
        <v>0</v>
      </c>
      <c r="K513">
        <v>1</v>
      </c>
      <c r="L513">
        <v>2000000</v>
      </c>
      <c r="M513">
        <v>190</v>
      </c>
      <c r="N513">
        <v>190</v>
      </c>
      <c r="O513">
        <v>190</v>
      </c>
      <c r="P513">
        <v>0</v>
      </c>
      <c r="Q513" t="s">
        <v>61</v>
      </c>
      <c r="R513">
        <v>1001610420893</v>
      </c>
      <c r="S513">
        <v>1000767</v>
      </c>
      <c r="T513">
        <v>1001610420893</v>
      </c>
      <c r="U513">
        <v>1000767</v>
      </c>
      <c r="V513" t="s">
        <v>71</v>
      </c>
      <c r="W513">
        <v>8</v>
      </c>
      <c r="X513">
        <v>29586</v>
      </c>
      <c r="Y513">
        <v>195253</v>
      </c>
      <c r="Z513">
        <v>224839</v>
      </c>
      <c r="AA513">
        <v>1000767</v>
      </c>
      <c r="AB513">
        <v>7.5995100000000004</v>
      </c>
      <c r="AC513">
        <v>5.1254900000000001</v>
      </c>
      <c r="AD513">
        <v>5.4510399999999999</v>
      </c>
      <c r="AE513">
        <v>7</v>
      </c>
      <c r="AF513">
        <v>46766512</v>
      </c>
      <c r="AJ513" t="s">
        <v>1008</v>
      </c>
      <c r="AM513">
        <v>295646536</v>
      </c>
      <c r="AN513">
        <v>0</v>
      </c>
      <c r="AO513">
        <v>32843012</v>
      </c>
      <c r="AP513">
        <v>295646536</v>
      </c>
      <c r="AQ513">
        <v>328489548</v>
      </c>
      <c r="AR513">
        <v>295646536</v>
      </c>
      <c r="AS513">
        <v>0</v>
      </c>
      <c r="AT513">
        <v>32843012</v>
      </c>
      <c r="AU513">
        <v>295646536</v>
      </c>
      <c r="AV513">
        <v>328489548</v>
      </c>
      <c r="AW513">
        <v>11.0192</v>
      </c>
      <c r="AX513">
        <v>2.1722899999999998</v>
      </c>
      <c r="AY513">
        <v>1600.87</v>
      </c>
      <c r="AZ513">
        <v>682.32399999999996</v>
      </c>
      <c r="BA513">
        <v>1186</v>
      </c>
      <c r="BB513">
        <v>296</v>
      </c>
      <c r="BC513" t="str">
        <f t="shared" si="16"/>
        <v>u=10%, k=2x10^6</v>
      </c>
      <c r="BD513">
        <f t="shared" si="17"/>
        <v>1</v>
      </c>
    </row>
    <row r="514" spans="1:56">
      <c r="A514" t="s">
        <v>1009</v>
      </c>
      <c r="B514" t="s">
        <v>300</v>
      </c>
      <c r="C514">
        <v>208</v>
      </c>
      <c r="D514" t="s">
        <v>64</v>
      </c>
      <c r="E514" t="s">
        <v>59</v>
      </c>
      <c r="F514" t="s">
        <v>60</v>
      </c>
      <c r="G514">
        <v>2000</v>
      </c>
      <c r="H514">
        <v>5</v>
      </c>
      <c r="I514">
        <v>5</v>
      </c>
      <c r="J514">
        <v>0</v>
      </c>
      <c r="K514">
        <v>1</v>
      </c>
      <c r="L514">
        <v>2000000</v>
      </c>
      <c r="M514">
        <v>190</v>
      </c>
      <c r="N514">
        <v>190</v>
      </c>
      <c r="O514">
        <v>190</v>
      </c>
      <c r="P514">
        <v>0</v>
      </c>
      <c r="Q514" t="s">
        <v>61</v>
      </c>
      <c r="R514">
        <v>1000510003741</v>
      </c>
      <c r="S514">
        <v>1000981</v>
      </c>
      <c r="T514">
        <v>1000510003741</v>
      </c>
      <c r="U514">
        <v>1000981</v>
      </c>
      <c r="V514" t="s">
        <v>71</v>
      </c>
      <c r="W514">
        <v>8</v>
      </c>
      <c r="X514">
        <v>31090</v>
      </c>
      <c r="Y514">
        <v>196689</v>
      </c>
      <c r="Z514">
        <v>227779</v>
      </c>
      <c r="AA514">
        <v>1000981</v>
      </c>
      <c r="AB514">
        <v>7.3264399999999998</v>
      </c>
      <c r="AC514">
        <v>5.0891599999999997</v>
      </c>
      <c r="AD514">
        <v>5.3945299999999996</v>
      </c>
      <c r="AE514">
        <v>7</v>
      </c>
      <c r="AF514">
        <v>47378032</v>
      </c>
      <c r="AJ514">
        <v>4376</v>
      </c>
      <c r="AM514">
        <v>575811466</v>
      </c>
      <c r="AN514">
        <v>0</v>
      </c>
      <c r="AO514">
        <v>63965925</v>
      </c>
      <c r="AP514">
        <v>575811466</v>
      </c>
      <c r="AQ514">
        <v>639777391</v>
      </c>
      <c r="AR514">
        <v>287905733</v>
      </c>
      <c r="AS514">
        <v>0</v>
      </c>
      <c r="AT514">
        <v>31982962</v>
      </c>
      <c r="AU514">
        <v>287905733</v>
      </c>
      <c r="AV514">
        <v>319888695</v>
      </c>
      <c r="AW514">
        <v>11.1059</v>
      </c>
      <c r="AX514">
        <v>2.2518199999999999</v>
      </c>
      <c r="AY514">
        <v>1639.44</v>
      </c>
      <c r="AZ514">
        <v>711.83399999999995</v>
      </c>
      <c r="BA514">
        <v>1196</v>
      </c>
      <c r="BB514">
        <v>352</v>
      </c>
      <c r="BC514" t="str">
        <f t="shared" si="16"/>
        <v>u=10%, k=2x10^6</v>
      </c>
      <c r="BD514">
        <f t="shared" si="17"/>
        <v>2</v>
      </c>
    </row>
    <row r="515" spans="1:56">
      <c r="A515" t="s">
        <v>1010</v>
      </c>
      <c r="B515" t="s">
        <v>300</v>
      </c>
      <c r="C515">
        <v>208</v>
      </c>
      <c r="D515" t="s">
        <v>64</v>
      </c>
      <c r="E515" t="s">
        <v>59</v>
      </c>
      <c r="F515" t="s">
        <v>60</v>
      </c>
      <c r="G515">
        <v>4000</v>
      </c>
      <c r="H515">
        <v>5</v>
      </c>
      <c r="I515">
        <v>5</v>
      </c>
      <c r="J515">
        <v>0</v>
      </c>
      <c r="K515">
        <v>1</v>
      </c>
      <c r="L515">
        <v>2000000</v>
      </c>
      <c r="M515">
        <v>190</v>
      </c>
      <c r="N515">
        <v>190</v>
      </c>
      <c r="O515">
        <v>190</v>
      </c>
      <c r="P515">
        <v>0</v>
      </c>
      <c r="Q515" t="s">
        <v>61</v>
      </c>
      <c r="R515">
        <v>998969597593</v>
      </c>
      <c r="S515">
        <v>999183</v>
      </c>
      <c r="T515">
        <v>998969597593</v>
      </c>
      <c r="U515">
        <v>999183</v>
      </c>
      <c r="V515" t="s">
        <v>71</v>
      </c>
      <c r="W515">
        <v>8</v>
      </c>
      <c r="X515">
        <v>32410</v>
      </c>
      <c r="Y515">
        <v>195646</v>
      </c>
      <c r="Z515">
        <v>228056</v>
      </c>
      <c r="AA515">
        <v>999183</v>
      </c>
      <c r="AB515">
        <v>7.0365900000000003</v>
      </c>
      <c r="AC515">
        <v>5.1071</v>
      </c>
      <c r="AD515">
        <v>5.38131</v>
      </c>
      <c r="AE515">
        <v>7</v>
      </c>
      <c r="AF515">
        <v>47435648</v>
      </c>
      <c r="AJ515">
        <v>8200</v>
      </c>
      <c r="AM515">
        <v>1110178759</v>
      </c>
      <c r="AN515">
        <v>0</v>
      </c>
      <c r="AO515">
        <v>123338647</v>
      </c>
      <c r="AP515">
        <v>1110178759</v>
      </c>
      <c r="AQ515">
        <v>1233517406</v>
      </c>
      <c r="AR515">
        <v>277544689</v>
      </c>
      <c r="AS515">
        <v>0</v>
      </c>
      <c r="AT515">
        <v>30834661</v>
      </c>
      <c r="AU515">
        <v>277544689</v>
      </c>
      <c r="AV515">
        <v>308379351</v>
      </c>
      <c r="AW515">
        <v>11.3284</v>
      </c>
      <c r="AX515">
        <v>2.3062200000000002</v>
      </c>
      <c r="AY515">
        <v>1681.83</v>
      </c>
      <c r="AZ515">
        <v>748.40099999999995</v>
      </c>
      <c r="BA515">
        <v>1197</v>
      </c>
      <c r="BB515">
        <v>304</v>
      </c>
      <c r="BC515" t="str">
        <f t="shared" si="16"/>
        <v>u=10%, k=2x10^6</v>
      </c>
      <c r="BD515">
        <f t="shared" si="17"/>
        <v>4</v>
      </c>
    </row>
    <row r="516" spans="1:56">
      <c r="A516" t="s">
        <v>1011</v>
      </c>
      <c r="B516" t="s">
        <v>300</v>
      </c>
      <c r="C516">
        <v>208</v>
      </c>
      <c r="D516" t="s">
        <v>64</v>
      </c>
      <c r="E516" t="s">
        <v>59</v>
      </c>
      <c r="F516" t="s">
        <v>60</v>
      </c>
      <c r="G516">
        <v>8000</v>
      </c>
      <c r="H516">
        <v>5</v>
      </c>
      <c r="I516">
        <v>5</v>
      </c>
      <c r="J516">
        <v>0</v>
      </c>
      <c r="K516">
        <v>1</v>
      </c>
      <c r="L516">
        <v>2000000</v>
      </c>
      <c r="M516">
        <v>190</v>
      </c>
      <c r="N516">
        <v>190</v>
      </c>
      <c r="O516">
        <v>190</v>
      </c>
      <c r="P516">
        <v>0</v>
      </c>
      <c r="Q516" t="s">
        <v>61</v>
      </c>
      <c r="R516">
        <v>999631957310</v>
      </c>
      <c r="S516">
        <v>999613</v>
      </c>
      <c r="T516">
        <v>999631957310</v>
      </c>
      <c r="U516">
        <v>999613</v>
      </c>
      <c r="V516" t="s">
        <v>71</v>
      </c>
      <c r="W516">
        <v>8</v>
      </c>
      <c r="X516">
        <v>33614</v>
      </c>
      <c r="Y516">
        <v>195214</v>
      </c>
      <c r="Z516">
        <v>228828</v>
      </c>
      <c r="AA516">
        <v>999613</v>
      </c>
      <c r="AB516">
        <v>6.8075200000000002</v>
      </c>
      <c r="AC516">
        <v>5.1205999999999996</v>
      </c>
      <c r="AD516">
        <v>5.3684000000000003</v>
      </c>
      <c r="AE516">
        <v>7</v>
      </c>
      <c r="AF516">
        <v>47596224</v>
      </c>
      <c r="AJ516">
        <v>15930</v>
      </c>
      <c r="AM516">
        <v>2190962132</v>
      </c>
      <c r="AN516">
        <v>0</v>
      </c>
      <c r="AO516">
        <v>243462665</v>
      </c>
      <c r="AP516">
        <v>2190962132</v>
      </c>
      <c r="AQ516">
        <v>2434424797</v>
      </c>
      <c r="AR516">
        <v>273870266</v>
      </c>
      <c r="AS516">
        <v>0</v>
      </c>
      <c r="AT516">
        <v>30432833</v>
      </c>
      <c r="AU516">
        <v>273870266</v>
      </c>
      <c r="AV516">
        <v>304303099</v>
      </c>
      <c r="AW516">
        <v>11.3626</v>
      </c>
      <c r="AX516">
        <v>2.3162400000000001</v>
      </c>
      <c r="AY516">
        <v>1696.55</v>
      </c>
      <c r="AZ516">
        <v>761.976</v>
      </c>
      <c r="BA516">
        <v>1193</v>
      </c>
      <c r="BB516">
        <v>239</v>
      </c>
      <c r="BC516" t="str">
        <f t="shared" si="16"/>
        <v>u=10%, k=2x10^6</v>
      </c>
      <c r="BD516">
        <f t="shared" si="17"/>
        <v>8</v>
      </c>
    </row>
    <row r="517" spans="1:56">
      <c r="A517" t="s">
        <v>1012</v>
      </c>
      <c r="B517" t="s">
        <v>300</v>
      </c>
      <c r="C517">
        <v>208</v>
      </c>
      <c r="D517" t="s">
        <v>64</v>
      </c>
      <c r="E517" t="s">
        <v>59</v>
      </c>
      <c r="F517" t="s">
        <v>60</v>
      </c>
      <c r="G517">
        <v>16000</v>
      </c>
      <c r="H517">
        <v>5</v>
      </c>
      <c r="I517">
        <v>5</v>
      </c>
      <c r="J517">
        <v>0</v>
      </c>
      <c r="K517">
        <v>1</v>
      </c>
      <c r="L517">
        <v>2000000</v>
      </c>
      <c r="M517">
        <v>190</v>
      </c>
      <c r="N517">
        <v>190</v>
      </c>
      <c r="O517">
        <v>190</v>
      </c>
      <c r="P517">
        <v>0</v>
      </c>
      <c r="Q517" t="s">
        <v>61</v>
      </c>
      <c r="R517">
        <v>1000516627396</v>
      </c>
      <c r="S517">
        <v>1000530</v>
      </c>
      <c r="T517">
        <v>1000516627396</v>
      </c>
      <c r="U517">
        <v>1000530</v>
      </c>
      <c r="V517" t="s">
        <v>71</v>
      </c>
      <c r="W517">
        <v>8</v>
      </c>
      <c r="X517">
        <v>34402</v>
      </c>
      <c r="Y517">
        <v>195104</v>
      </c>
      <c r="Z517">
        <v>229506</v>
      </c>
      <c r="AA517">
        <v>1000530</v>
      </c>
      <c r="AB517">
        <v>6.6712999999999996</v>
      </c>
      <c r="AC517">
        <v>5.12819</v>
      </c>
      <c r="AD517">
        <v>5.3594900000000001</v>
      </c>
      <c r="AE517">
        <v>7</v>
      </c>
      <c r="AF517">
        <v>47737248</v>
      </c>
      <c r="AJ517">
        <v>31022</v>
      </c>
      <c r="AM517">
        <v>4321607386</v>
      </c>
      <c r="AN517">
        <v>0</v>
      </c>
      <c r="AO517">
        <v>480196858</v>
      </c>
      <c r="AP517">
        <v>4321607386</v>
      </c>
      <c r="AQ517">
        <v>4801804244</v>
      </c>
      <c r="AR517">
        <v>270100461</v>
      </c>
      <c r="AS517">
        <v>0</v>
      </c>
      <c r="AT517">
        <v>30012303</v>
      </c>
      <c r="AU517">
        <v>270100461</v>
      </c>
      <c r="AV517">
        <v>300112765</v>
      </c>
      <c r="AW517">
        <v>11.536300000000001</v>
      </c>
      <c r="AX517">
        <v>2.34179</v>
      </c>
      <c r="AY517">
        <v>1713.08</v>
      </c>
      <c r="AZ517">
        <v>775.41300000000001</v>
      </c>
      <c r="BA517">
        <v>1205</v>
      </c>
      <c r="BB517">
        <v>332</v>
      </c>
      <c r="BC517" t="str">
        <f t="shared" si="16"/>
        <v>u=10%, k=2x10^6</v>
      </c>
      <c r="BD517">
        <f t="shared" si="17"/>
        <v>16</v>
      </c>
    </row>
    <row r="518" spans="1:56">
      <c r="A518" t="s">
        <v>1013</v>
      </c>
      <c r="B518" t="s">
        <v>300</v>
      </c>
      <c r="C518">
        <v>208</v>
      </c>
      <c r="D518" t="s">
        <v>64</v>
      </c>
      <c r="E518" t="s">
        <v>59</v>
      </c>
      <c r="F518" t="s">
        <v>60</v>
      </c>
      <c r="G518">
        <v>32000</v>
      </c>
      <c r="H518">
        <v>5</v>
      </c>
      <c r="I518">
        <v>5</v>
      </c>
      <c r="J518">
        <v>0</v>
      </c>
      <c r="K518">
        <v>1</v>
      </c>
      <c r="L518">
        <v>2000000</v>
      </c>
      <c r="M518">
        <v>190</v>
      </c>
      <c r="N518">
        <v>190</v>
      </c>
      <c r="O518">
        <v>190</v>
      </c>
      <c r="P518">
        <v>0</v>
      </c>
      <c r="Q518" t="s">
        <v>61</v>
      </c>
      <c r="R518">
        <v>999805700506</v>
      </c>
      <c r="S518">
        <v>999809</v>
      </c>
      <c r="T518">
        <v>999805700506</v>
      </c>
      <c r="U518">
        <v>999809</v>
      </c>
      <c r="V518" t="s">
        <v>71</v>
      </c>
      <c r="W518">
        <v>8</v>
      </c>
      <c r="X518">
        <v>35430</v>
      </c>
      <c r="Y518">
        <v>195025</v>
      </c>
      <c r="Z518">
        <v>230455</v>
      </c>
      <c r="AA518">
        <v>999809</v>
      </c>
      <c r="AB518">
        <v>6.5045200000000003</v>
      </c>
      <c r="AC518">
        <v>5.1265700000000001</v>
      </c>
      <c r="AD518">
        <v>5.3384099999999997</v>
      </c>
      <c r="AE518">
        <v>7</v>
      </c>
      <c r="AF518">
        <v>47934640</v>
      </c>
      <c r="AJ518">
        <v>61390</v>
      </c>
      <c r="AM518">
        <v>8651121491</v>
      </c>
      <c r="AN518">
        <v>0</v>
      </c>
      <c r="AO518">
        <v>961204194</v>
      </c>
      <c r="AP518">
        <v>8651121491</v>
      </c>
      <c r="AQ518">
        <v>9612325685</v>
      </c>
      <c r="AR518">
        <v>270347546</v>
      </c>
      <c r="AS518">
        <v>0</v>
      </c>
      <c r="AT518">
        <v>30037631</v>
      </c>
      <c r="AU518">
        <v>270347546</v>
      </c>
      <c r="AV518">
        <v>300385177</v>
      </c>
      <c r="AW518">
        <v>11.673299999999999</v>
      </c>
      <c r="AX518">
        <v>2.3663799999999999</v>
      </c>
      <c r="AY518">
        <v>1713.06</v>
      </c>
      <c r="AZ518">
        <v>780.57899999999995</v>
      </c>
      <c r="BA518">
        <v>1219</v>
      </c>
      <c r="BB518">
        <v>247</v>
      </c>
      <c r="BC518" t="str">
        <f t="shared" si="16"/>
        <v>u=10%, k=2x10^6</v>
      </c>
      <c r="BD518">
        <f t="shared" si="17"/>
        <v>32</v>
      </c>
    </row>
    <row r="519" spans="1:56">
      <c r="A519" t="s">
        <v>1014</v>
      </c>
      <c r="B519" t="s">
        <v>300</v>
      </c>
      <c r="C519">
        <v>208</v>
      </c>
      <c r="D519" t="s">
        <v>64</v>
      </c>
      <c r="E519" t="s">
        <v>59</v>
      </c>
      <c r="F519" t="s">
        <v>60</v>
      </c>
      <c r="G519">
        <v>64000</v>
      </c>
      <c r="H519">
        <v>5</v>
      </c>
      <c r="I519">
        <v>5</v>
      </c>
      <c r="J519">
        <v>0</v>
      </c>
      <c r="K519">
        <v>1</v>
      </c>
      <c r="L519">
        <v>2000000</v>
      </c>
      <c r="M519">
        <v>190</v>
      </c>
      <c r="N519">
        <v>190</v>
      </c>
      <c r="O519">
        <v>190</v>
      </c>
      <c r="P519">
        <v>0</v>
      </c>
      <c r="Q519" t="s">
        <v>61</v>
      </c>
      <c r="R519">
        <v>1000310568019</v>
      </c>
      <c r="S519">
        <v>1000773</v>
      </c>
      <c r="T519">
        <v>1000310568019</v>
      </c>
      <c r="U519">
        <v>1000773</v>
      </c>
      <c r="V519" t="s">
        <v>71</v>
      </c>
      <c r="W519">
        <v>8</v>
      </c>
      <c r="X519">
        <v>36189</v>
      </c>
      <c r="Y519">
        <v>194841</v>
      </c>
      <c r="Z519">
        <v>231030</v>
      </c>
      <c r="AA519">
        <v>1000773</v>
      </c>
      <c r="AB519">
        <v>6.3839800000000002</v>
      </c>
      <c r="AC519">
        <v>5.1363599999999998</v>
      </c>
      <c r="AD519">
        <v>5.3317899999999998</v>
      </c>
      <c r="AE519">
        <v>7</v>
      </c>
      <c r="AF519">
        <v>48054240</v>
      </c>
      <c r="AJ519">
        <v>120054</v>
      </c>
      <c r="AM519">
        <v>16977587347</v>
      </c>
      <c r="AN519">
        <v>0</v>
      </c>
      <c r="AO519">
        <v>1886457695</v>
      </c>
      <c r="AP519">
        <v>16977587347</v>
      </c>
      <c r="AQ519">
        <v>18864045042</v>
      </c>
      <c r="AR519">
        <v>265274802</v>
      </c>
      <c r="AS519">
        <v>0</v>
      </c>
      <c r="AT519">
        <v>29475901</v>
      </c>
      <c r="AU519">
        <v>265274802</v>
      </c>
      <c r="AV519">
        <v>294750703</v>
      </c>
      <c r="AW519">
        <v>11.881</v>
      </c>
      <c r="AX519">
        <v>2.3820299999999999</v>
      </c>
      <c r="AY519">
        <v>1744.5</v>
      </c>
      <c r="AZ519">
        <v>802.40899999999999</v>
      </c>
      <c r="BA519">
        <v>1239</v>
      </c>
      <c r="BB519">
        <v>234</v>
      </c>
      <c r="BC519" t="str">
        <f t="shared" si="16"/>
        <v>u=10%, k=2x10^6</v>
      </c>
      <c r="BD519">
        <f t="shared" si="17"/>
        <v>64</v>
      </c>
    </row>
    <row r="520" spans="1:56">
      <c r="A520" t="s">
        <v>1015</v>
      </c>
      <c r="B520" t="s">
        <v>105</v>
      </c>
      <c r="D520" t="s">
        <v>64</v>
      </c>
      <c r="E520" t="s">
        <v>59</v>
      </c>
      <c r="F520" t="s">
        <v>60</v>
      </c>
      <c r="G520">
        <v>1000</v>
      </c>
      <c r="H520">
        <v>5</v>
      </c>
      <c r="I520">
        <v>5</v>
      </c>
      <c r="J520">
        <v>0</v>
      </c>
      <c r="K520">
        <v>1</v>
      </c>
      <c r="L520">
        <v>2000000</v>
      </c>
      <c r="M520">
        <v>190</v>
      </c>
      <c r="N520">
        <v>190</v>
      </c>
      <c r="O520">
        <v>190</v>
      </c>
      <c r="P520">
        <v>0</v>
      </c>
      <c r="Q520" t="s">
        <v>61</v>
      </c>
      <c r="R520">
        <v>999956457413</v>
      </c>
      <c r="S520">
        <v>999418</v>
      </c>
      <c r="T520">
        <v>999956457413</v>
      </c>
      <c r="U520">
        <v>999418</v>
      </c>
      <c r="V520" t="s">
        <v>71</v>
      </c>
      <c r="W520">
        <v>25</v>
      </c>
      <c r="X520">
        <v>685074</v>
      </c>
      <c r="Y520">
        <v>520209</v>
      </c>
      <c r="Z520">
        <v>1205283</v>
      </c>
      <c r="AA520">
        <v>999418</v>
      </c>
      <c r="AB520">
        <v>1.75935</v>
      </c>
      <c r="AC520">
        <v>1.92119</v>
      </c>
      <c r="AD520">
        <v>1.8291999999999999</v>
      </c>
      <c r="AE520">
        <v>19.888000000000002</v>
      </c>
      <c r="AF520">
        <v>67495848</v>
      </c>
      <c r="AJ520">
        <v>1448</v>
      </c>
      <c r="AM520">
        <v>180905723</v>
      </c>
      <c r="AN520">
        <v>0</v>
      </c>
      <c r="AO520">
        <v>20101016</v>
      </c>
      <c r="AP520">
        <v>180905723</v>
      </c>
      <c r="AQ520">
        <v>201006739</v>
      </c>
      <c r="AR520">
        <v>180905723</v>
      </c>
      <c r="AS520">
        <v>0</v>
      </c>
      <c r="AT520">
        <v>20101016</v>
      </c>
      <c r="AU520">
        <v>180905723</v>
      </c>
      <c r="AV520">
        <v>201006739</v>
      </c>
      <c r="AW520">
        <v>17.0108</v>
      </c>
      <c r="AX520">
        <v>3.1183999999999998</v>
      </c>
      <c r="AY520">
        <v>2613.66</v>
      </c>
      <c r="AZ520">
        <v>1298.58</v>
      </c>
      <c r="BA520">
        <v>1185</v>
      </c>
      <c r="BB520">
        <v>338</v>
      </c>
      <c r="BC520" t="str">
        <f t="shared" si="16"/>
        <v>u=10%, k=2x10^6</v>
      </c>
      <c r="BD520">
        <f t="shared" si="17"/>
        <v>1</v>
      </c>
    </row>
    <row r="521" spans="1:56">
      <c r="A521" t="s">
        <v>1016</v>
      </c>
      <c r="B521" t="s">
        <v>105</v>
      </c>
      <c r="D521" t="s">
        <v>64</v>
      </c>
      <c r="E521" t="s">
        <v>59</v>
      </c>
      <c r="F521" t="s">
        <v>60</v>
      </c>
      <c r="G521">
        <v>2000</v>
      </c>
      <c r="H521">
        <v>5</v>
      </c>
      <c r="I521">
        <v>5</v>
      </c>
      <c r="J521">
        <v>0</v>
      </c>
      <c r="K521">
        <v>1</v>
      </c>
      <c r="L521">
        <v>2000000</v>
      </c>
      <c r="M521">
        <v>190</v>
      </c>
      <c r="N521">
        <v>190</v>
      </c>
      <c r="O521">
        <v>190</v>
      </c>
      <c r="P521">
        <v>0</v>
      </c>
      <c r="Q521" t="s">
        <v>61</v>
      </c>
      <c r="R521">
        <v>998420981539</v>
      </c>
      <c r="S521">
        <v>998553</v>
      </c>
      <c r="T521">
        <v>998420981539</v>
      </c>
      <c r="U521">
        <v>998553</v>
      </c>
      <c r="V521" t="s">
        <v>71</v>
      </c>
      <c r="W521">
        <v>25</v>
      </c>
      <c r="X521">
        <v>685089</v>
      </c>
      <c r="Y521">
        <v>519704</v>
      </c>
      <c r="Z521">
        <v>1204793</v>
      </c>
      <c r="AA521">
        <v>998553</v>
      </c>
      <c r="AB521">
        <v>1.7585900000000001</v>
      </c>
      <c r="AC521">
        <v>1.9213899999999999</v>
      </c>
      <c r="AD521">
        <v>1.8288199999999999</v>
      </c>
      <c r="AE521">
        <v>19.8886</v>
      </c>
      <c r="AF521">
        <v>67468408</v>
      </c>
      <c r="AJ521" t="s">
        <v>1017</v>
      </c>
      <c r="AM521">
        <v>354128808</v>
      </c>
      <c r="AN521">
        <v>0</v>
      </c>
      <c r="AO521">
        <v>39346874</v>
      </c>
      <c r="AP521">
        <v>354128808</v>
      </c>
      <c r="AQ521">
        <v>393475682</v>
      </c>
      <c r="AR521">
        <v>177064404</v>
      </c>
      <c r="AS521">
        <v>0</v>
      </c>
      <c r="AT521">
        <v>19673437</v>
      </c>
      <c r="AU521">
        <v>177064404</v>
      </c>
      <c r="AV521">
        <v>196737841</v>
      </c>
      <c r="AW521">
        <v>17.2682</v>
      </c>
      <c r="AX521">
        <v>3.18757</v>
      </c>
      <c r="AY521">
        <v>2664.97</v>
      </c>
      <c r="AZ521">
        <v>1340.23</v>
      </c>
      <c r="BA521">
        <v>1190</v>
      </c>
      <c r="BB521">
        <v>346</v>
      </c>
      <c r="BC521" t="str">
        <f t="shared" si="16"/>
        <v>u=10%, k=2x10^6</v>
      </c>
      <c r="BD521">
        <f t="shared" si="17"/>
        <v>2</v>
      </c>
    </row>
    <row r="522" spans="1:56">
      <c r="A522" t="s">
        <v>1018</v>
      </c>
      <c r="B522" t="s">
        <v>105</v>
      </c>
      <c r="D522" t="s">
        <v>64</v>
      </c>
      <c r="E522" t="s">
        <v>59</v>
      </c>
      <c r="F522" t="s">
        <v>60</v>
      </c>
      <c r="G522">
        <v>4000</v>
      </c>
      <c r="H522">
        <v>5</v>
      </c>
      <c r="I522">
        <v>5</v>
      </c>
      <c r="J522">
        <v>0</v>
      </c>
      <c r="K522">
        <v>1</v>
      </c>
      <c r="L522">
        <v>2000000</v>
      </c>
      <c r="M522">
        <v>190</v>
      </c>
      <c r="N522">
        <v>190</v>
      </c>
      <c r="O522">
        <v>190</v>
      </c>
      <c r="P522">
        <v>0</v>
      </c>
      <c r="Q522" t="s">
        <v>61</v>
      </c>
      <c r="R522">
        <v>1000617950412</v>
      </c>
      <c r="S522">
        <v>1000182</v>
      </c>
      <c r="T522">
        <v>1000617950412</v>
      </c>
      <c r="U522">
        <v>1000182</v>
      </c>
      <c r="V522" t="s">
        <v>71</v>
      </c>
      <c r="W522">
        <v>25</v>
      </c>
      <c r="X522">
        <v>686063</v>
      </c>
      <c r="Y522">
        <v>520843</v>
      </c>
      <c r="Z522">
        <v>1206906</v>
      </c>
      <c r="AA522">
        <v>1000182</v>
      </c>
      <c r="AB522">
        <v>1.75918</v>
      </c>
      <c r="AC522">
        <v>1.92031</v>
      </c>
      <c r="AD522">
        <v>1.8287199999999999</v>
      </c>
      <c r="AE522">
        <v>19.818300000000001</v>
      </c>
      <c r="AF522">
        <v>67586736</v>
      </c>
      <c r="AJ522">
        <v>4998</v>
      </c>
      <c r="AM522">
        <v>687415533</v>
      </c>
      <c r="AN522">
        <v>0</v>
      </c>
      <c r="AO522">
        <v>76387593</v>
      </c>
      <c r="AP522">
        <v>687415533</v>
      </c>
      <c r="AQ522">
        <v>763803126</v>
      </c>
      <c r="AR522">
        <v>171853883</v>
      </c>
      <c r="AS522">
        <v>0</v>
      </c>
      <c r="AT522">
        <v>19096898</v>
      </c>
      <c r="AU522">
        <v>171853883</v>
      </c>
      <c r="AV522">
        <v>190950781</v>
      </c>
      <c r="AW522">
        <v>17.372199999999999</v>
      </c>
      <c r="AX522">
        <v>3.2702300000000002</v>
      </c>
      <c r="AY522">
        <v>2728.58</v>
      </c>
      <c r="AZ522">
        <v>1397.12</v>
      </c>
      <c r="BA522">
        <v>1196</v>
      </c>
      <c r="BB522">
        <v>367</v>
      </c>
      <c r="BC522" t="str">
        <f t="shared" si="16"/>
        <v>u=10%, k=2x10^6</v>
      </c>
      <c r="BD522">
        <f t="shared" si="17"/>
        <v>4</v>
      </c>
    </row>
    <row r="523" spans="1:56">
      <c r="A523" t="s">
        <v>1019</v>
      </c>
      <c r="B523" t="s">
        <v>105</v>
      </c>
      <c r="D523" t="s">
        <v>64</v>
      </c>
      <c r="E523" t="s">
        <v>59</v>
      </c>
      <c r="F523" t="s">
        <v>60</v>
      </c>
      <c r="G523">
        <v>8000</v>
      </c>
      <c r="H523">
        <v>5</v>
      </c>
      <c r="I523">
        <v>5</v>
      </c>
      <c r="J523">
        <v>0</v>
      </c>
      <c r="K523">
        <v>1</v>
      </c>
      <c r="L523">
        <v>2000000</v>
      </c>
      <c r="M523">
        <v>190</v>
      </c>
      <c r="N523">
        <v>190</v>
      </c>
      <c r="O523">
        <v>190</v>
      </c>
      <c r="P523">
        <v>0</v>
      </c>
      <c r="Q523" t="s">
        <v>61</v>
      </c>
      <c r="R523">
        <v>999965955530</v>
      </c>
      <c r="S523">
        <v>999316</v>
      </c>
      <c r="T523">
        <v>999965955530</v>
      </c>
      <c r="U523">
        <v>999316</v>
      </c>
      <c r="V523" t="s">
        <v>71</v>
      </c>
      <c r="W523">
        <v>25</v>
      </c>
      <c r="X523">
        <v>685710</v>
      </c>
      <c r="Y523">
        <v>519634</v>
      </c>
      <c r="Z523">
        <v>1205344</v>
      </c>
      <c r="AA523">
        <v>999316</v>
      </c>
      <c r="AB523">
        <v>1.7578</v>
      </c>
      <c r="AC523">
        <v>1.9231199999999999</v>
      </c>
      <c r="AD523">
        <v>1.82907</v>
      </c>
      <c r="AE523">
        <v>19.872199999999999</v>
      </c>
      <c r="AF523">
        <v>67499264</v>
      </c>
      <c r="AJ523">
        <v>9434</v>
      </c>
      <c r="AM523">
        <v>1346873226</v>
      </c>
      <c r="AN523">
        <v>0</v>
      </c>
      <c r="AO523">
        <v>149660512</v>
      </c>
      <c r="AP523">
        <v>1346873226</v>
      </c>
      <c r="AQ523">
        <v>1496533738</v>
      </c>
      <c r="AR523">
        <v>168359153</v>
      </c>
      <c r="AS523">
        <v>0</v>
      </c>
      <c r="AT523">
        <v>18707564</v>
      </c>
      <c r="AU523">
        <v>168359153</v>
      </c>
      <c r="AV523">
        <v>187066717</v>
      </c>
      <c r="AW523">
        <v>17.870799999999999</v>
      </c>
      <c r="AX523">
        <v>3.34544</v>
      </c>
      <c r="AY523">
        <v>2781.77</v>
      </c>
      <c r="AZ523">
        <v>1457.9</v>
      </c>
      <c r="BA523">
        <v>1202</v>
      </c>
      <c r="BB523">
        <v>326</v>
      </c>
      <c r="BC523" t="str">
        <f t="shared" si="16"/>
        <v>u=10%, k=2x10^6</v>
      </c>
      <c r="BD523">
        <f t="shared" si="17"/>
        <v>8</v>
      </c>
    </row>
    <row r="524" spans="1:56">
      <c r="A524" t="s">
        <v>1020</v>
      </c>
      <c r="B524" t="s">
        <v>105</v>
      </c>
      <c r="D524" t="s">
        <v>64</v>
      </c>
      <c r="E524" t="s">
        <v>59</v>
      </c>
      <c r="F524" t="s">
        <v>60</v>
      </c>
      <c r="G524">
        <v>16000</v>
      </c>
      <c r="H524">
        <v>5</v>
      </c>
      <c r="I524">
        <v>5</v>
      </c>
      <c r="J524">
        <v>0</v>
      </c>
      <c r="K524">
        <v>1</v>
      </c>
      <c r="L524">
        <v>2000000</v>
      </c>
      <c r="M524">
        <v>190</v>
      </c>
      <c r="N524">
        <v>190</v>
      </c>
      <c r="O524">
        <v>190</v>
      </c>
      <c r="P524">
        <v>0</v>
      </c>
      <c r="Q524" t="s">
        <v>61</v>
      </c>
      <c r="R524">
        <v>1000079544921</v>
      </c>
      <c r="S524">
        <v>999821</v>
      </c>
      <c r="T524">
        <v>1000079544921</v>
      </c>
      <c r="U524">
        <v>999821</v>
      </c>
      <c r="V524" t="s">
        <v>71</v>
      </c>
      <c r="W524">
        <v>25</v>
      </c>
      <c r="X524">
        <v>685839</v>
      </c>
      <c r="Y524">
        <v>520305</v>
      </c>
      <c r="Z524">
        <v>1206144</v>
      </c>
      <c r="AA524">
        <v>999821</v>
      </c>
      <c r="AB524">
        <v>1.75864</v>
      </c>
      <c r="AC524">
        <v>1.92161</v>
      </c>
      <c r="AD524">
        <v>1.82894</v>
      </c>
      <c r="AE524">
        <v>19.9024</v>
      </c>
      <c r="AF524">
        <v>67544064</v>
      </c>
      <c r="AJ524" t="s">
        <v>1021</v>
      </c>
      <c r="AM524">
        <v>2641918225</v>
      </c>
      <c r="AN524">
        <v>0</v>
      </c>
      <c r="AO524">
        <v>293570588</v>
      </c>
      <c r="AP524">
        <v>2641918225</v>
      </c>
      <c r="AQ524">
        <v>2935488813</v>
      </c>
      <c r="AR524">
        <v>165119889</v>
      </c>
      <c r="AS524">
        <v>0</v>
      </c>
      <c r="AT524">
        <v>18348161</v>
      </c>
      <c r="AU524">
        <v>165119889</v>
      </c>
      <c r="AV524">
        <v>183468050</v>
      </c>
      <c r="AW524">
        <v>18.317599999999999</v>
      </c>
      <c r="AX524">
        <v>3.4432499999999999</v>
      </c>
      <c r="AY524">
        <v>2832.53</v>
      </c>
      <c r="AZ524">
        <v>1515.97</v>
      </c>
      <c r="BA524">
        <v>1217</v>
      </c>
      <c r="BB524">
        <v>361</v>
      </c>
      <c r="BC524" t="str">
        <f t="shared" si="16"/>
        <v>u=10%, k=2x10^6</v>
      </c>
      <c r="BD524">
        <f t="shared" si="17"/>
        <v>16</v>
      </c>
    </row>
    <row r="525" spans="1:56">
      <c r="A525" t="s">
        <v>1022</v>
      </c>
      <c r="B525" t="s">
        <v>105</v>
      </c>
      <c r="D525" t="s">
        <v>64</v>
      </c>
      <c r="E525" t="s">
        <v>59</v>
      </c>
      <c r="F525" t="s">
        <v>60</v>
      </c>
      <c r="G525">
        <v>32000</v>
      </c>
      <c r="H525">
        <v>5</v>
      </c>
      <c r="I525">
        <v>5</v>
      </c>
      <c r="J525">
        <v>0</v>
      </c>
      <c r="K525">
        <v>1</v>
      </c>
      <c r="L525">
        <v>2000000</v>
      </c>
      <c r="M525">
        <v>190</v>
      </c>
      <c r="N525">
        <v>190</v>
      </c>
      <c r="O525">
        <v>190</v>
      </c>
      <c r="P525">
        <v>0</v>
      </c>
      <c r="Q525" t="s">
        <v>61</v>
      </c>
      <c r="R525">
        <v>1000415337807</v>
      </c>
      <c r="S525">
        <v>1000976</v>
      </c>
      <c r="T525">
        <v>1000415337807</v>
      </c>
      <c r="U525">
        <v>1000976</v>
      </c>
      <c r="V525" t="s">
        <v>71</v>
      </c>
      <c r="W525">
        <v>25</v>
      </c>
      <c r="X525">
        <v>686828</v>
      </c>
      <c r="Y525">
        <v>520899</v>
      </c>
      <c r="Z525">
        <v>1207727</v>
      </c>
      <c r="AA525">
        <v>1000976</v>
      </c>
      <c r="AB525">
        <v>1.75841</v>
      </c>
      <c r="AC525">
        <v>1.9216299999999999</v>
      </c>
      <c r="AD525">
        <v>1.82881</v>
      </c>
      <c r="AE525">
        <v>19.8995</v>
      </c>
      <c r="AF525">
        <v>67632712</v>
      </c>
      <c r="AJ525">
        <v>35546</v>
      </c>
      <c r="AM525">
        <v>5183573217</v>
      </c>
      <c r="AN525">
        <v>0</v>
      </c>
      <c r="AO525">
        <v>575954630</v>
      </c>
      <c r="AP525">
        <v>5183573217</v>
      </c>
      <c r="AQ525">
        <v>5759527847</v>
      </c>
      <c r="AR525">
        <v>161986663</v>
      </c>
      <c r="AS525">
        <v>0</v>
      </c>
      <c r="AT525">
        <v>17998582</v>
      </c>
      <c r="AU525">
        <v>161986663</v>
      </c>
      <c r="AV525">
        <v>179985245</v>
      </c>
      <c r="AW525">
        <v>18.9132</v>
      </c>
      <c r="AX525">
        <v>3.4911799999999999</v>
      </c>
      <c r="AY525">
        <v>2891.9</v>
      </c>
      <c r="AZ525">
        <v>1570.87</v>
      </c>
      <c r="BA525">
        <v>1233</v>
      </c>
      <c r="BB525">
        <v>245</v>
      </c>
      <c r="BC525" t="str">
        <f t="shared" si="16"/>
        <v>u=10%, k=2x10^6</v>
      </c>
      <c r="BD525">
        <f t="shared" si="17"/>
        <v>32</v>
      </c>
    </row>
    <row r="526" spans="1:56">
      <c r="A526" t="s">
        <v>1023</v>
      </c>
      <c r="B526" t="s">
        <v>105</v>
      </c>
      <c r="D526" t="s">
        <v>64</v>
      </c>
      <c r="E526" t="s">
        <v>59</v>
      </c>
      <c r="F526" t="s">
        <v>60</v>
      </c>
      <c r="G526">
        <v>64000</v>
      </c>
      <c r="H526">
        <v>5</v>
      </c>
      <c r="I526">
        <v>5</v>
      </c>
      <c r="J526">
        <v>0</v>
      </c>
      <c r="K526">
        <v>1</v>
      </c>
      <c r="L526">
        <v>2000000</v>
      </c>
      <c r="M526">
        <v>190</v>
      </c>
      <c r="N526">
        <v>190</v>
      </c>
      <c r="O526">
        <v>190</v>
      </c>
      <c r="P526">
        <v>0</v>
      </c>
      <c r="Q526" t="s">
        <v>61</v>
      </c>
      <c r="R526">
        <v>1000119446113</v>
      </c>
      <c r="S526">
        <v>1000312</v>
      </c>
      <c r="T526">
        <v>1000119446113</v>
      </c>
      <c r="U526">
        <v>1000312</v>
      </c>
      <c r="V526" t="s">
        <v>71</v>
      </c>
      <c r="W526">
        <v>25</v>
      </c>
      <c r="X526">
        <v>685713</v>
      </c>
      <c r="Y526">
        <v>520664</v>
      </c>
      <c r="Z526">
        <v>1206377</v>
      </c>
      <c r="AA526">
        <v>1000312</v>
      </c>
      <c r="AB526">
        <v>1.7593000000000001</v>
      </c>
      <c r="AC526">
        <v>1.9212199999999999</v>
      </c>
      <c r="AD526">
        <v>1.8291900000000001</v>
      </c>
      <c r="AE526">
        <v>19.812899999999999</v>
      </c>
      <c r="AF526">
        <v>67557112</v>
      </c>
      <c r="AJ526">
        <v>70160</v>
      </c>
      <c r="AM526">
        <v>10257618212</v>
      </c>
      <c r="AN526">
        <v>0</v>
      </c>
      <c r="AO526">
        <v>1139720084</v>
      </c>
      <c r="AP526">
        <v>10257618212</v>
      </c>
      <c r="AQ526">
        <v>11397338296</v>
      </c>
      <c r="AR526">
        <v>160275284</v>
      </c>
      <c r="AS526">
        <v>0</v>
      </c>
      <c r="AT526">
        <v>17808126</v>
      </c>
      <c r="AU526">
        <v>160275284</v>
      </c>
      <c r="AV526">
        <v>178083410</v>
      </c>
      <c r="AW526">
        <v>19.354900000000001</v>
      </c>
      <c r="AX526">
        <v>3.4761899999999999</v>
      </c>
      <c r="AY526">
        <v>2923.3</v>
      </c>
      <c r="AZ526">
        <v>1604.42</v>
      </c>
      <c r="BA526">
        <v>1246</v>
      </c>
      <c r="BB526">
        <v>258</v>
      </c>
      <c r="BC526" t="str">
        <f t="shared" si="16"/>
        <v>u=10%, k=2x10^6</v>
      </c>
      <c r="BD526">
        <f t="shared" si="17"/>
        <v>64</v>
      </c>
    </row>
    <row r="527" spans="1:56">
      <c r="A527" t="s">
        <v>1024</v>
      </c>
      <c r="B527" t="s">
        <v>305</v>
      </c>
      <c r="D527" t="s">
        <v>64</v>
      </c>
      <c r="E527" t="s">
        <v>59</v>
      </c>
      <c r="F527" t="s">
        <v>60</v>
      </c>
      <c r="G527">
        <v>1000</v>
      </c>
      <c r="H527">
        <v>5</v>
      </c>
      <c r="I527">
        <v>5</v>
      </c>
      <c r="J527">
        <v>0</v>
      </c>
      <c r="K527">
        <v>1</v>
      </c>
      <c r="L527">
        <v>2000000</v>
      </c>
      <c r="M527">
        <v>190</v>
      </c>
      <c r="N527">
        <v>190</v>
      </c>
      <c r="O527">
        <v>190</v>
      </c>
      <c r="P527">
        <v>0</v>
      </c>
      <c r="Q527" t="s">
        <v>61</v>
      </c>
      <c r="R527">
        <v>1001122516582</v>
      </c>
      <c r="S527">
        <v>1000666</v>
      </c>
      <c r="T527">
        <v>1001122516582</v>
      </c>
      <c r="U527">
        <v>1000666</v>
      </c>
      <c r="V527" t="s">
        <v>71</v>
      </c>
      <c r="W527">
        <v>49</v>
      </c>
      <c r="X527">
        <v>1000665</v>
      </c>
      <c r="Y527">
        <v>1000666</v>
      </c>
      <c r="Z527">
        <v>2001331</v>
      </c>
      <c r="AA527">
        <v>1000666</v>
      </c>
      <c r="AB527">
        <v>2</v>
      </c>
      <c r="AC527">
        <v>1</v>
      </c>
      <c r="AD527">
        <v>1.5</v>
      </c>
      <c r="AE527">
        <v>25.7804</v>
      </c>
      <c r="AF527">
        <v>64042592</v>
      </c>
      <c r="AJ527">
        <v>1358</v>
      </c>
      <c r="AM527">
        <v>174507201</v>
      </c>
      <c r="AN527">
        <v>0</v>
      </c>
      <c r="AO527">
        <v>19396287</v>
      </c>
      <c r="AP527">
        <v>174507201</v>
      </c>
      <c r="AQ527">
        <v>193903488</v>
      </c>
      <c r="AR527">
        <v>174507201</v>
      </c>
      <c r="AS527">
        <v>0</v>
      </c>
      <c r="AT527">
        <v>19396287</v>
      </c>
      <c r="AU527">
        <v>174507201</v>
      </c>
      <c r="AV527">
        <v>193903488</v>
      </c>
      <c r="AW527">
        <v>12.728300000000001</v>
      </c>
      <c r="AX527">
        <v>2.40299</v>
      </c>
      <c r="AY527">
        <v>2729</v>
      </c>
      <c r="AZ527">
        <v>1743.97</v>
      </c>
      <c r="BA527">
        <v>1176</v>
      </c>
      <c r="BB527">
        <v>231</v>
      </c>
      <c r="BC527" t="str">
        <f t="shared" si="16"/>
        <v>u=10%, k=2x10^6</v>
      </c>
      <c r="BD527">
        <f t="shared" si="17"/>
        <v>1</v>
      </c>
    </row>
    <row r="528" spans="1:56">
      <c r="A528" t="s">
        <v>1025</v>
      </c>
      <c r="B528" t="s">
        <v>305</v>
      </c>
      <c r="D528" t="s">
        <v>64</v>
      </c>
      <c r="E528" t="s">
        <v>59</v>
      </c>
      <c r="F528" t="s">
        <v>60</v>
      </c>
      <c r="G528">
        <v>2000</v>
      </c>
      <c r="H528">
        <v>5</v>
      </c>
      <c r="I528">
        <v>5</v>
      </c>
      <c r="J528">
        <v>0</v>
      </c>
      <c r="K528">
        <v>1</v>
      </c>
      <c r="L528">
        <v>2000000</v>
      </c>
      <c r="M528">
        <v>190</v>
      </c>
      <c r="N528">
        <v>190</v>
      </c>
      <c r="O528">
        <v>190</v>
      </c>
      <c r="P528">
        <v>0</v>
      </c>
      <c r="Q528" t="s">
        <v>61</v>
      </c>
      <c r="R528">
        <v>1000953507251</v>
      </c>
      <c r="S528">
        <v>1001371</v>
      </c>
      <c r="T528">
        <v>1000953507251</v>
      </c>
      <c r="U528">
        <v>1001371</v>
      </c>
      <c r="V528" t="s">
        <v>71</v>
      </c>
      <c r="W528">
        <v>47</v>
      </c>
      <c r="X528">
        <v>1001370</v>
      </c>
      <c r="Y528">
        <v>1001371</v>
      </c>
      <c r="Z528">
        <v>2002741</v>
      </c>
      <c r="AA528">
        <v>1001371</v>
      </c>
      <c r="AB528">
        <v>2</v>
      </c>
      <c r="AC528">
        <v>1</v>
      </c>
      <c r="AD528">
        <v>1.5</v>
      </c>
      <c r="AE528">
        <v>25.879100000000001</v>
      </c>
      <c r="AF528">
        <v>64087712</v>
      </c>
      <c r="AJ528">
        <v>2498</v>
      </c>
      <c r="AM528">
        <v>346857176</v>
      </c>
      <c r="AN528">
        <v>0</v>
      </c>
      <c r="AO528">
        <v>38551077</v>
      </c>
      <c r="AP528">
        <v>346857176</v>
      </c>
      <c r="AQ528">
        <v>385408253</v>
      </c>
      <c r="AR528">
        <v>173428588</v>
      </c>
      <c r="AS528">
        <v>0</v>
      </c>
      <c r="AT528">
        <v>19275538</v>
      </c>
      <c r="AU528">
        <v>173428588</v>
      </c>
      <c r="AV528">
        <v>192704126</v>
      </c>
      <c r="AW528">
        <v>12.8546</v>
      </c>
      <c r="AX528">
        <v>2.49377</v>
      </c>
      <c r="AY528">
        <v>2745.86</v>
      </c>
      <c r="AZ528">
        <v>1771.5</v>
      </c>
      <c r="BA528">
        <v>1182</v>
      </c>
      <c r="BB528">
        <v>214</v>
      </c>
      <c r="BC528" t="str">
        <f t="shared" si="16"/>
        <v>u=10%, k=2x10^6</v>
      </c>
      <c r="BD528">
        <f t="shared" si="17"/>
        <v>2</v>
      </c>
    </row>
    <row r="529" spans="1:56">
      <c r="A529" t="s">
        <v>1026</v>
      </c>
      <c r="B529" t="s">
        <v>305</v>
      </c>
      <c r="D529" t="s">
        <v>64</v>
      </c>
      <c r="E529" t="s">
        <v>59</v>
      </c>
      <c r="F529" t="s">
        <v>60</v>
      </c>
      <c r="G529">
        <v>4000</v>
      </c>
      <c r="H529">
        <v>5</v>
      </c>
      <c r="I529">
        <v>5</v>
      </c>
      <c r="J529">
        <v>0</v>
      </c>
      <c r="K529">
        <v>1</v>
      </c>
      <c r="L529">
        <v>2000000</v>
      </c>
      <c r="M529">
        <v>190</v>
      </c>
      <c r="N529">
        <v>190</v>
      </c>
      <c r="O529">
        <v>190</v>
      </c>
      <c r="P529">
        <v>0</v>
      </c>
      <c r="Q529" t="s">
        <v>61</v>
      </c>
      <c r="R529">
        <v>999072378544</v>
      </c>
      <c r="S529">
        <v>998884</v>
      </c>
      <c r="T529">
        <v>999072378544</v>
      </c>
      <c r="U529">
        <v>998884</v>
      </c>
      <c r="V529" t="s">
        <v>71</v>
      </c>
      <c r="W529">
        <v>47</v>
      </c>
      <c r="X529">
        <v>998883</v>
      </c>
      <c r="Y529">
        <v>998884</v>
      </c>
      <c r="Z529">
        <v>1997767</v>
      </c>
      <c r="AA529">
        <v>998884</v>
      </c>
      <c r="AB529">
        <v>2</v>
      </c>
      <c r="AC529">
        <v>1</v>
      </c>
      <c r="AD529">
        <v>1.5</v>
      </c>
      <c r="AE529">
        <v>26.183700000000002</v>
      </c>
      <c r="AF529">
        <v>63928544</v>
      </c>
      <c r="AJ529" t="s">
        <v>1027</v>
      </c>
      <c r="AM529">
        <v>689943484</v>
      </c>
      <c r="AN529">
        <v>0</v>
      </c>
      <c r="AO529">
        <v>76643876</v>
      </c>
      <c r="AP529">
        <v>689943484</v>
      </c>
      <c r="AQ529">
        <v>766587360</v>
      </c>
      <c r="AR529">
        <v>172485871</v>
      </c>
      <c r="AS529">
        <v>0</v>
      </c>
      <c r="AT529">
        <v>19160969</v>
      </c>
      <c r="AU529">
        <v>172485871</v>
      </c>
      <c r="AV529">
        <v>191646840</v>
      </c>
      <c r="AW529">
        <v>12.989599999999999</v>
      </c>
      <c r="AX529">
        <v>2.5930900000000001</v>
      </c>
      <c r="AY529">
        <v>2760.83</v>
      </c>
      <c r="AZ529">
        <v>1790.99</v>
      </c>
      <c r="BA529">
        <v>1192</v>
      </c>
      <c r="BB529">
        <v>270</v>
      </c>
      <c r="BC529" t="str">
        <f t="shared" si="16"/>
        <v>u=10%, k=2x10^6</v>
      </c>
      <c r="BD529">
        <f t="shared" si="17"/>
        <v>4</v>
      </c>
    </row>
    <row r="530" spans="1:56">
      <c r="A530" t="s">
        <v>1028</v>
      </c>
      <c r="B530" t="s">
        <v>305</v>
      </c>
      <c r="D530" t="s">
        <v>64</v>
      </c>
      <c r="E530" t="s">
        <v>59</v>
      </c>
      <c r="F530" t="s">
        <v>60</v>
      </c>
      <c r="G530">
        <v>8000</v>
      </c>
      <c r="H530">
        <v>5</v>
      </c>
      <c r="I530">
        <v>5</v>
      </c>
      <c r="J530">
        <v>0</v>
      </c>
      <c r="K530">
        <v>1</v>
      </c>
      <c r="L530">
        <v>2000000</v>
      </c>
      <c r="M530">
        <v>190</v>
      </c>
      <c r="N530">
        <v>190</v>
      </c>
      <c r="O530">
        <v>190</v>
      </c>
      <c r="P530">
        <v>0</v>
      </c>
      <c r="Q530" t="s">
        <v>61</v>
      </c>
      <c r="R530">
        <v>999216631999</v>
      </c>
      <c r="S530">
        <v>999666</v>
      </c>
      <c r="T530">
        <v>999216631999</v>
      </c>
      <c r="U530">
        <v>999666</v>
      </c>
      <c r="V530" t="s">
        <v>71</v>
      </c>
      <c r="W530">
        <v>48</v>
      </c>
      <c r="X530">
        <v>999665</v>
      </c>
      <c r="Y530">
        <v>999666</v>
      </c>
      <c r="Z530">
        <v>1999331</v>
      </c>
      <c r="AA530">
        <v>999666</v>
      </c>
      <c r="AB530">
        <v>2</v>
      </c>
      <c r="AC530">
        <v>1</v>
      </c>
      <c r="AD530">
        <v>1.5</v>
      </c>
      <c r="AE530">
        <v>26.300799999999999</v>
      </c>
      <c r="AF530">
        <v>63978592</v>
      </c>
      <c r="AJ530">
        <v>9270</v>
      </c>
      <c r="AM530">
        <v>1354968145</v>
      </c>
      <c r="AN530">
        <v>0</v>
      </c>
      <c r="AO530">
        <v>150559933</v>
      </c>
      <c r="AP530">
        <v>1354968145</v>
      </c>
      <c r="AQ530">
        <v>1505528078</v>
      </c>
      <c r="AR530">
        <v>169371018</v>
      </c>
      <c r="AS530">
        <v>0</v>
      </c>
      <c r="AT530">
        <v>18819991</v>
      </c>
      <c r="AU530">
        <v>169371018</v>
      </c>
      <c r="AV530">
        <v>188191009</v>
      </c>
      <c r="AW530">
        <v>13.311</v>
      </c>
      <c r="AX530">
        <v>2.6988400000000001</v>
      </c>
      <c r="AY530">
        <v>2812.3</v>
      </c>
      <c r="AZ530">
        <v>1844.57</v>
      </c>
      <c r="BA530">
        <v>1206</v>
      </c>
      <c r="BB530">
        <v>209</v>
      </c>
      <c r="BC530" t="str">
        <f t="shared" si="16"/>
        <v>u=10%, k=2x10^6</v>
      </c>
      <c r="BD530">
        <f t="shared" si="17"/>
        <v>8</v>
      </c>
    </row>
    <row r="531" spans="1:56">
      <c r="A531" t="s">
        <v>1029</v>
      </c>
      <c r="B531" t="s">
        <v>305</v>
      </c>
      <c r="D531" t="s">
        <v>64</v>
      </c>
      <c r="E531" t="s">
        <v>59</v>
      </c>
      <c r="F531" t="s">
        <v>60</v>
      </c>
      <c r="G531">
        <v>16000</v>
      </c>
      <c r="H531">
        <v>5</v>
      </c>
      <c r="I531">
        <v>5</v>
      </c>
      <c r="J531">
        <v>0</v>
      </c>
      <c r="K531">
        <v>1</v>
      </c>
      <c r="L531">
        <v>2000000</v>
      </c>
      <c r="M531">
        <v>190</v>
      </c>
      <c r="N531">
        <v>190</v>
      </c>
      <c r="O531">
        <v>190</v>
      </c>
      <c r="P531">
        <v>0</v>
      </c>
      <c r="Q531" t="s">
        <v>61</v>
      </c>
      <c r="R531">
        <v>1000111692708</v>
      </c>
      <c r="S531">
        <v>1000031</v>
      </c>
      <c r="T531">
        <v>1000111692708</v>
      </c>
      <c r="U531">
        <v>1000031</v>
      </c>
      <c r="V531" t="s">
        <v>71</v>
      </c>
      <c r="W531">
        <v>45</v>
      </c>
      <c r="X531">
        <v>1000030</v>
      </c>
      <c r="Y531">
        <v>1000031</v>
      </c>
      <c r="Z531">
        <v>2000061</v>
      </c>
      <c r="AA531">
        <v>1000031</v>
      </c>
      <c r="AB531">
        <v>2</v>
      </c>
      <c r="AC531">
        <v>1</v>
      </c>
      <c r="AD531">
        <v>1.5</v>
      </c>
      <c r="AE531">
        <v>25.3492</v>
      </c>
      <c r="AF531">
        <v>64001952</v>
      </c>
      <c r="AJ531">
        <v>18262</v>
      </c>
      <c r="AM531">
        <v>2688605602</v>
      </c>
      <c r="AN531">
        <v>0</v>
      </c>
      <c r="AO531">
        <v>298729203</v>
      </c>
      <c r="AP531">
        <v>2688605602</v>
      </c>
      <c r="AQ531">
        <v>2987334805</v>
      </c>
      <c r="AR531">
        <v>168037850</v>
      </c>
      <c r="AS531">
        <v>0</v>
      </c>
      <c r="AT531">
        <v>18670575</v>
      </c>
      <c r="AU531">
        <v>168037850</v>
      </c>
      <c r="AV531">
        <v>186708425</v>
      </c>
      <c r="AW531">
        <v>13.5868</v>
      </c>
      <c r="AX531">
        <v>2.7366299999999999</v>
      </c>
      <c r="AY531">
        <v>2834.69</v>
      </c>
      <c r="AZ531">
        <v>1871.39</v>
      </c>
      <c r="BA531">
        <v>1221</v>
      </c>
      <c r="BB531">
        <v>228</v>
      </c>
      <c r="BC531" t="str">
        <f t="shared" si="16"/>
        <v>u=10%, k=2x10^6</v>
      </c>
      <c r="BD531">
        <f t="shared" si="17"/>
        <v>16</v>
      </c>
    </row>
    <row r="532" spans="1:56">
      <c r="A532" t="s">
        <v>1030</v>
      </c>
      <c r="B532" t="s">
        <v>305</v>
      </c>
      <c r="D532" t="s">
        <v>64</v>
      </c>
      <c r="E532" t="s">
        <v>59</v>
      </c>
      <c r="F532" t="s">
        <v>60</v>
      </c>
      <c r="G532">
        <v>32000</v>
      </c>
      <c r="H532">
        <v>5</v>
      </c>
      <c r="I532">
        <v>5</v>
      </c>
      <c r="J532">
        <v>0</v>
      </c>
      <c r="K532">
        <v>1</v>
      </c>
      <c r="L532">
        <v>2000000</v>
      </c>
      <c r="M532">
        <v>190</v>
      </c>
      <c r="N532">
        <v>190</v>
      </c>
      <c r="O532">
        <v>190</v>
      </c>
      <c r="P532">
        <v>0</v>
      </c>
      <c r="Q532" t="s">
        <v>61</v>
      </c>
      <c r="R532">
        <v>998573934168</v>
      </c>
      <c r="S532">
        <v>998471</v>
      </c>
      <c r="T532">
        <v>998573934168</v>
      </c>
      <c r="U532">
        <v>998471</v>
      </c>
      <c r="V532" t="s">
        <v>71</v>
      </c>
      <c r="W532">
        <v>47</v>
      </c>
      <c r="X532">
        <v>998470</v>
      </c>
      <c r="Y532">
        <v>998471</v>
      </c>
      <c r="Z532">
        <v>1996941</v>
      </c>
      <c r="AA532">
        <v>998471</v>
      </c>
      <c r="AB532">
        <v>2</v>
      </c>
      <c r="AC532">
        <v>1</v>
      </c>
      <c r="AD532">
        <v>1.5</v>
      </c>
      <c r="AE532">
        <v>24.8459</v>
      </c>
      <c r="AF532">
        <v>63902112</v>
      </c>
      <c r="AJ532">
        <v>36254</v>
      </c>
      <c r="AM532">
        <v>5380344219</v>
      </c>
      <c r="AN532">
        <v>0</v>
      </c>
      <c r="AO532">
        <v>597818404</v>
      </c>
      <c r="AP532">
        <v>5380344219</v>
      </c>
      <c r="AQ532">
        <v>5978162623</v>
      </c>
      <c r="AR532">
        <v>168135756</v>
      </c>
      <c r="AS532">
        <v>0</v>
      </c>
      <c r="AT532">
        <v>18681825</v>
      </c>
      <c r="AU532">
        <v>168135756</v>
      </c>
      <c r="AV532">
        <v>186817581</v>
      </c>
      <c r="AW532">
        <v>13.7888</v>
      </c>
      <c r="AX532">
        <v>2.6832099999999999</v>
      </c>
      <c r="AY532">
        <v>2833.05</v>
      </c>
      <c r="AZ532">
        <v>1865.86</v>
      </c>
      <c r="BA532">
        <v>1230</v>
      </c>
      <c r="BB532">
        <v>232</v>
      </c>
      <c r="BC532" t="str">
        <f t="shared" si="16"/>
        <v>u=10%, k=2x10^6</v>
      </c>
      <c r="BD532">
        <f t="shared" si="17"/>
        <v>32</v>
      </c>
    </row>
    <row r="533" spans="1:56">
      <c r="A533" t="s">
        <v>1031</v>
      </c>
      <c r="B533" t="s">
        <v>305</v>
      </c>
      <c r="D533" t="s">
        <v>64</v>
      </c>
      <c r="E533" t="s">
        <v>59</v>
      </c>
      <c r="F533" t="s">
        <v>60</v>
      </c>
      <c r="G533">
        <v>64000</v>
      </c>
      <c r="H533">
        <v>5</v>
      </c>
      <c r="I533">
        <v>5</v>
      </c>
      <c r="J533">
        <v>0</v>
      </c>
      <c r="K533">
        <v>1</v>
      </c>
      <c r="L533">
        <v>2000000</v>
      </c>
      <c r="M533">
        <v>190</v>
      </c>
      <c r="N533">
        <v>190</v>
      </c>
      <c r="O533">
        <v>190</v>
      </c>
      <c r="P533">
        <v>0</v>
      </c>
      <c r="Q533" t="s">
        <v>61</v>
      </c>
      <c r="R533">
        <v>998391555180</v>
      </c>
      <c r="S533">
        <v>999137</v>
      </c>
      <c r="T533">
        <v>998391555180</v>
      </c>
      <c r="U533">
        <v>999137</v>
      </c>
      <c r="V533" t="s">
        <v>71</v>
      </c>
      <c r="W533">
        <v>45</v>
      </c>
      <c r="X533">
        <v>999136</v>
      </c>
      <c r="Y533">
        <v>999137</v>
      </c>
      <c r="Z533">
        <v>1998273</v>
      </c>
      <c r="AA533">
        <v>999137</v>
      </c>
      <c r="AB533">
        <v>2</v>
      </c>
      <c r="AC533">
        <v>1</v>
      </c>
      <c r="AD533">
        <v>1.5</v>
      </c>
      <c r="AE533">
        <v>25.185600000000001</v>
      </c>
      <c r="AF533">
        <v>63944736</v>
      </c>
      <c r="AJ533">
        <v>73214</v>
      </c>
      <c r="AM533">
        <v>10865801174</v>
      </c>
      <c r="AN533">
        <v>0</v>
      </c>
      <c r="AO533">
        <v>1207282331</v>
      </c>
      <c r="AP533">
        <v>10865801174</v>
      </c>
      <c r="AQ533">
        <v>12073083505</v>
      </c>
      <c r="AR533">
        <v>169778143</v>
      </c>
      <c r="AS533">
        <v>0</v>
      </c>
      <c r="AT533">
        <v>18863786</v>
      </c>
      <c r="AU533">
        <v>169778143</v>
      </c>
      <c r="AV533">
        <v>188641929</v>
      </c>
      <c r="AW533">
        <v>13.5852</v>
      </c>
      <c r="AX533">
        <v>2.61476</v>
      </c>
      <c r="AY533">
        <v>2804.93</v>
      </c>
      <c r="AZ533">
        <v>1843.44</v>
      </c>
      <c r="BA533">
        <v>1226</v>
      </c>
      <c r="BB533">
        <v>297</v>
      </c>
      <c r="BC533" t="str">
        <f t="shared" si="16"/>
        <v>u=10%, k=2x10^6</v>
      </c>
      <c r="BD533">
        <f t="shared" si="17"/>
        <v>64</v>
      </c>
    </row>
    <row r="534" spans="1:56">
      <c r="A534" t="s">
        <v>1032</v>
      </c>
      <c r="B534" t="s">
        <v>63</v>
      </c>
      <c r="C534">
        <v>72</v>
      </c>
      <c r="D534" t="s">
        <v>64</v>
      </c>
      <c r="E534" t="s">
        <v>59</v>
      </c>
      <c r="F534" t="s">
        <v>60</v>
      </c>
      <c r="G534">
        <v>1000</v>
      </c>
      <c r="H534">
        <v>5</v>
      </c>
      <c r="I534">
        <v>5</v>
      </c>
      <c r="J534">
        <v>0</v>
      </c>
      <c r="K534">
        <v>1</v>
      </c>
      <c r="L534">
        <v>20000000</v>
      </c>
      <c r="M534">
        <v>190</v>
      </c>
      <c r="N534">
        <v>190</v>
      </c>
      <c r="O534">
        <v>190</v>
      </c>
      <c r="P534">
        <v>0</v>
      </c>
      <c r="Q534" t="s">
        <v>61</v>
      </c>
      <c r="R534">
        <v>100010697628922</v>
      </c>
      <c r="S534">
        <v>10000874</v>
      </c>
      <c r="T534">
        <v>100010697628922</v>
      </c>
      <c r="U534">
        <v>10000874</v>
      </c>
      <c r="V534" t="s">
        <v>71</v>
      </c>
      <c r="W534">
        <v>7</v>
      </c>
      <c r="X534">
        <v>1841880</v>
      </c>
      <c r="Y534">
        <v>11888490</v>
      </c>
      <c r="Z534">
        <v>13730370</v>
      </c>
      <c r="AA534">
        <v>10000874</v>
      </c>
      <c r="AB534">
        <v>7.4545399999999997</v>
      </c>
      <c r="AC534">
        <v>0.84122300000000005</v>
      </c>
      <c r="AD534">
        <v>1.72838</v>
      </c>
      <c r="AE534">
        <v>4.0432600000000001</v>
      </c>
      <c r="AF534">
        <v>337573472</v>
      </c>
      <c r="AG534" t="s">
        <v>1033</v>
      </c>
      <c r="AH534" t="s">
        <v>1034</v>
      </c>
      <c r="AI534">
        <v>22808</v>
      </c>
      <c r="AJ534">
        <v>1050</v>
      </c>
      <c r="AM534">
        <v>147812150</v>
      </c>
      <c r="AN534">
        <v>0</v>
      </c>
      <c r="AO534">
        <v>16424294</v>
      </c>
      <c r="AP534">
        <v>147812150</v>
      </c>
      <c r="AQ534">
        <v>164236444</v>
      </c>
      <c r="AR534">
        <v>147812150</v>
      </c>
      <c r="AS534">
        <v>0</v>
      </c>
      <c r="AT534">
        <v>16424294</v>
      </c>
      <c r="AU534">
        <v>147812150</v>
      </c>
      <c r="AV534">
        <v>164236444</v>
      </c>
      <c r="AW534">
        <v>19.043600000000001</v>
      </c>
      <c r="AX534">
        <v>8.3405500000000004</v>
      </c>
      <c r="AY534">
        <v>2945.21</v>
      </c>
      <c r="AZ534">
        <v>2049.65</v>
      </c>
      <c r="BA534">
        <v>2772</v>
      </c>
      <c r="BB534">
        <v>394</v>
      </c>
      <c r="BC534" t="str">
        <f t="shared" ref="BC534:BC597" si="18">"u="&amp;(H534+I534)&amp;"%, k=2x10^"&amp;LOG10(L534/2)</f>
        <v>u=10%, k=2x10^7</v>
      </c>
      <c r="BD534">
        <f t="shared" ref="BD534:BD597" si="19">G534/1000</f>
        <v>1</v>
      </c>
    </row>
    <row r="535" spans="1:56">
      <c r="A535" t="s">
        <v>1035</v>
      </c>
      <c r="B535" t="s">
        <v>63</v>
      </c>
      <c r="C535">
        <v>72</v>
      </c>
      <c r="D535" t="s">
        <v>64</v>
      </c>
      <c r="E535" t="s">
        <v>59</v>
      </c>
      <c r="F535" t="s">
        <v>60</v>
      </c>
      <c r="G535">
        <v>2000</v>
      </c>
      <c r="H535">
        <v>5</v>
      </c>
      <c r="I535">
        <v>5</v>
      </c>
      <c r="J535">
        <v>0</v>
      </c>
      <c r="K535">
        <v>1</v>
      </c>
      <c r="L535">
        <v>20000000</v>
      </c>
      <c r="M535">
        <v>190</v>
      </c>
      <c r="N535">
        <v>190</v>
      </c>
      <c r="O535">
        <v>190</v>
      </c>
      <c r="P535">
        <v>0</v>
      </c>
      <c r="Q535" t="s">
        <v>61</v>
      </c>
      <c r="R535">
        <v>100001110451283</v>
      </c>
      <c r="S535">
        <v>10001926</v>
      </c>
      <c r="T535">
        <v>100001110451283</v>
      </c>
      <c r="U535">
        <v>10001926</v>
      </c>
      <c r="V535" t="s">
        <v>71</v>
      </c>
      <c r="W535">
        <v>7</v>
      </c>
      <c r="X535">
        <v>1625828</v>
      </c>
      <c r="Y535">
        <v>11444348</v>
      </c>
      <c r="Z535">
        <v>13070176</v>
      </c>
      <c r="AA535">
        <v>10001926</v>
      </c>
      <c r="AB535">
        <v>8.0390899999999998</v>
      </c>
      <c r="AC535">
        <v>0.87396200000000002</v>
      </c>
      <c r="AD535">
        <v>1.76525</v>
      </c>
      <c r="AE535">
        <v>4.0000099999999996</v>
      </c>
      <c r="AF535">
        <v>313175792</v>
      </c>
      <c r="AG535" t="s">
        <v>1036</v>
      </c>
      <c r="AH535" t="s">
        <v>1037</v>
      </c>
      <c r="AI535">
        <v>50278</v>
      </c>
      <c r="AJ535">
        <v>2254</v>
      </c>
      <c r="AM535">
        <v>314997645</v>
      </c>
      <c r="AN535">
        <v>0</v>
      </c>
      <c r="AO535">
        <v>34991912</v>
      </c>
      <c r="AP535">
        <v>314997645</v>
      </c>
      <c r="AQ535">
        <v>349989557</v>
      </c>
      <c r="AR535">
        <v>157498822</v>
      </c>
      <c r="AS535">
        <v>0</v>
      </c>
      <c r="AT535">
        <v>17495956</v>
      </c>
      <c r="AU535">
        <v>157498822</v>
      </c>
      <c r="AV535">
        <v>174994778</v>
      </c>
      <c r="AW535">
        <v>19.201899999999998</v>
      </c>
      <c r="AX535">
        <v>8.5049799999999998</v>
      </c>
      <c r="AY535">
        <v>2877.99</v>
      </c>
      <c r="AZ535">
        <v>1962.6</v>
      </c>
      <c r="BA535">
        <v>2832</v>
      </c>
      <c r="BB535">
        <v>390</v>
      </c>
      <c r="BC535" t="str">
        <f t="shared" si="18"/>
        <v>u=10%, k=2x10^7</v>
      </c>
      <c r="BD535">
        <f t="shared" si="19"/>
        <v>2</v>
      </c>
    </row>
    <row r="536" spans="1:56">
      <c r="A536" t="s">
        <v>1038</v>
      </c>
      <c r="B536" t="s">
        <v>63</v>
      </c>
      <c r="C536">
        <v>72</v>
      </c>
      <c r="D536" t="s">
        <v>64</v>
      </c>
      <c r="E536" t="s">
        <v>59</v>
      </c>
      <c r="F536" t="s">
        <v>60</v>
      </c>
      <c r="G536">
        <v>4000</v>
      </c>
      <c r="H536">
        <v>5</v>
      </c>
      <c r="I536">
        <v>5</v>
      </c>
      <c r="J536">
        <v>0</v>
      </c>
      <c r="K536">
        <v>1</v>
      </c>
      <c r="L536">
        <v>20000000</v>
      </c>
      <c r="M536">
        <v>190</v>
      </c>
      <c r="N536">
        <v>190</v>
      </c>
      <c r="O536">
        <v>190</v>
      </c>
      <c r="P536">
        <v>0</v>
      </c>
      <c r="Q536" t="s">
        <v>61</v>
      </c>
      <c r="R536">
        <v>100025174036674</v>
      </c>
      <c r="S536">
        <v>10004198</v>
      </c>
      <c r="T536">
        <v>100025174036674</v>
      </c>
      <c r="U536">
        <v>10004198</v>
      </c>
      <c r="V536" t="s">
        <v>71</v>
      </c>
      <c r="W536">
        <v>7</v>
      </c>
      <c r="X536">
        <v>1843467</v>
      </c>
      <c r="Y536">
        <v>11893889</v>
      </c>
      <c r="Z536">
        <v>13737356</v>
      </c>
      <c r="AA536">
        <v>10004198</v>
      </c>
      <c r="AB536">
        <v>7.4519099999999998</v>
      </c>
      <c r="AC536">
        <v>0.84112100000000001</v>
      </c>
      <c r="AD536">
        <v>1.7282500000000001</v>
      </c>
      <c r="AE536">
        <v>4.0435699999999999</v>
      </c>
      <c r="AF536">
        <v>337787200</v>
      </c>
      <c r="AG536" t="s">
        <v>1039</v>
      </c>
      <c r="AH536" t="s">
        <v>1040</v>
      </c>
      <c r="AI536">
        <v>104091</v>
      </c>
      <c r="AJ536">
        <v>4658</v>
      </c>
      <c r="AM536">
        <v>643162589</v>
      </c>
      <c r="AN536">
        <v>0</v>
      </c>
      <c r="AO536">
        <v>71440489</v>
      </c>
      <c r="AP536">
        <v>643162589</v>
      </c>
      <c r="AQ536">
        <v>714603078</v>
      </c>
      <c r="AR536">
        <v>160790647</v>
      </c>
      <c r="AS536">
        <v>0</v>
      </c>
      <c r="AT536">
        <v>17860122</v>
      </c>
      <c r="AU536">
        <v>160790647</v>
      </c>
      <c r="AV536">
        <v>178650769</v>
      </c>
      <c r="AW536">
        <v>19.148499999999999</v>
      </c>
      <c r="AX536">
        <v>8.5151900000000005</v>
      </c>
      <c r="AY536">
        <v>2857.94</v>
      </c>
      <c r="AZ536">
        <v>1941.57</v>
      </c>
      <c r="BA536">
        <v>2862</v>
      </c>
      <c r="BB536">
        <v>385</v>
      </c>
      <c r="BC536" t="str">
        <f t="shared" si="18"/>
        <v>u=10%, k=2x10^7</v>
      </c>
      <c r="BD536">
        <f t="shared" si="19"/>
        <v>4</v>
      </c>
    </row>
    <row r="537" spans="1:56">
      <c r="A537" t="s">
        <v>1041</v>
      </c>
      <c r="B537" t="s">
        <v>63</v>
      </c>
      <c r="C537">
        <v>72</v>
      </c>
      <c r="D537" t="s">
        <v>64</v>
      </c>
      <c r="E537" t="s">
        <v>59</v>
      </c>
      <c r="F537" t="s">
        <v>60</v>
      </c>
      <c r="G537">
        <v>8000</v>
      </c>
      <c r="H537">
        <v>5</v>
      </c>
      <c r="I537">
        <v>5</v>
      </c>
      <c r="J537">
        <v>0</v>
      </c>
      <c r="K537">
        <v>1</v>
      </c>
      <c r="L537">
        <v>20000000</v>
      </c>
      <c r="M537">
        <v>190</v>
      </c>
      <c r="N537">
        <v>190</v>
      </c>
      <c r="O537">
        <v>190</v>
      </c>
      <c r="P537">
        <v>0</v>
      </c>
      <c r="Q537" t="s">
        <v>61</v>
      </c>
      <c r="R537">
        <v>100017093864604</v>
      </c>
      <c r="S537">
        <v>10003631</v>
      </c>
      <c r="T537">
        <v>100017093864604</v>
      </c>
      <c r="U537">
        <v>10003631</v>
      </c>
      <c r="V537" t="s">
        <v>71</v>
      </c>
      <c r="W537">
        <v>7</v>
      </c>
      <c r="X537">
        <v>1903949</v>
      </c>
      <c r="Y537">
        <v>12030478</v>
      </c>
      <c r="Z537">
        <v>13934427</v>
      </c>
      <c r="AA537">
        <v>10003631</v>
      </c>
      <c r="AB537">
        <v>7.3186999999999998</v>
      </c>
      <c r="AC537">
        <v>0.83152400000000004</v>
      </c>
      <c r="AD537">
        <v>1.71791</v>
      </c>
      <c r="AE537">
        <v>4.0556799999999997</v>
      </c>
      <c r="AF537">
        <v>344835216</v>
      </c>
      <c r="AG537" t="s">
        <v>1042</v>
      </c>
      <c r="AH537" t="s">
        <v>1043</v>
      </c>
      <c r="AI537">
        <v>198315</v>
      </c>
      <c r="AJ537">
        <v>8936</v>
      </c>
      <c r="AM537">
        <v>1239468020</v>
      </c>
      <c r="AN537">
        <v>0</v>
      </c>
      <c r="AO537">
        <v>137728592</v>
      </c>
      <c r="AP537">
        <v>1239468020</v>
      </c>
      <c r="AQ537">
        <v>1377196612</v>
      </c>
      <c r="AR537">
        <v>154933502</v>
      </c>
      <c r="AS537">
        <v>0</v>
      </c>
      <c r="AT537">
        <v>17216074</v>
      </c>
      <c r="AU537">
        <v>154933502</v>
      </c>
      <c r="AV537">
        <v>172149576</v>
      </c>
      <c r="AW537">
        <v>19.2776</v>
      </c>
      <c r="AX537">
        <v>8.5261399999999998</v>
      </c>
      <c r="AY537">
        <v>2992.62</v>
      </c>
      <c r="AZ537">
        <v>2070.4299999999998</v>
      </c>
      <c r="BA537">
        <v>2865</v>
      </c>
      <c r="BB537">
        <v>454</v>
      </c>
      <c r="BC537" t="str">
        <f t="shared" si="18"/>
        <v>u=10%, k=2x10^7</v>
      </c>
      <c r="BD537">
        <f t="shared" si="19"/>
        <v>8</v>
      </c>
    </row>
    <row r="538" spans="1:56">
      <c r="A538" t="s">
        <v>1044</v>
      </c>
      <c r="B538" t="s">
        <v>63</v>
      </c>
      <c r="C538">
        <v>72</v>
      </c>
      <c r="D538" t="s">
        <v>64</v>
      </c>
      <c r="E538" t="s">
        <v>59</v>
      </c>
      <c r="F538" t="s">
        <v>60</v>
      </c>
      <c r="G538">
        <v>16000</v>
      </c>
      <c r="H538">
        <v>5</v>
      </c>
      <c r="I538">
        <v>5</v>
      </c>
      <c r="J538">
        <v>0</v>
      </c>
      <c r="K538">
        <v>1</v>
      </c>
      <c r="L538">
        <v>20000000</v>
      </c>
      <c r="M538">
        <v>190</v>
      </c>
      <c r="N538">
        <v>190</v>
      </c>
      <c r="O538">
        <v>190</v>
      </c>
      <c r="P538">
        <v>0</v>
      </c>
      <c r="Q538" t="s">
        <v>61</v>
      </c>
      <c r="R538">
        <v>100016927051698</v>
      </c>
      <c r="S538">
        <v>10002134</v>
      </c>
      <c r="T538">
        <v>100016927051698</v>
      </c>
      <c r="U538">
        <v>10002134</v>
      </c>
      <c r="V538" t="s">
        <v>71</v>
      </c>
      <c r="W538">
        <v>7</v>
      </c>
      <c r="X538">
        <v>1903700</v>
      </c>
      <c r="Y538">
        <v>12028264</v>
      </c>
      <c r="Z538">
        <v>13931964</v>
      </c>
      <c r="AA538">
        <v>10002134</v>
      </c>
      <c r="AB538">
        <v>7.3183600000000002</v>
      </c>
      <c r="AC538">
        <v>0.83155299999999999</v>
      </c>
      <c r="AD538">
        <v>1.71793</v>
      </c>
      <c r="AE538">
        <v>4.05565</v>
      </c>
      <c r="AF538">
        <v>344780048</v>
      </c>
      <c r="AG538" t="s">
        <v>1045</v>
      </c>
      <c r="AH538" t="s">
        <v>1046</v>
      </c>
      <c r="AI538">
        <v>423326</v>
      </c>
      <c r="AJ538">
        <v>18812</v>
      </c>
      <c r="AM538">
        <v>2589982930</v>
      </c>
      <c r="AN538">
        <v>0</v>
      </c>
      <c r="AO538">
        <v>287743520</v>
      </c>
      <c r="AP538">
        <v>2589982930</v>
      </c>
      <c r="AQ538">
        <v>2877726450</v>
      </c>
      <c r="AR538">
        <v>161873933</v>
      </c>
      <c r="AS538">
        <v>0</v>
      </c>
      <c r="AT538">
        <v>17983970</v>
      </c>
      <c r="AU538">
        <v>161873933</v>
      </c>
      <c r="AV538">
        <v>179857903</v>
      </c>
      <c r="AW538">
        <v>19.231999999999999</v>
      </c>
      <c r="AX538">
        <v>8.5536399999999997</v>
      </c>
      <c r="AY538">
        <v>2877.22</v>
      </c>
      <c r="AZ538">
        <v>1960.01</v>
      </c>
      <c r="BA538">
        <v>2869</v>
      </c>
      <c r="BB538">
        <v>362</v>
      </c>
      <c r="BC538" t="str">
        <f t="shared" si="18"/>
        <v>u=10%, k=2x10^7</v>
      </c>
      <c r="BD538">
        <f t="shared" si="19"/>
        <v>16</v>
      </c>
    </row>
    <row r="539" spans="1:56">
      <c r="A539" t="s">
        <v>1047</v>
      </c>
      <c r="B539" t="s">
        <v>63</v>
      </c>
      <c r="C539">
        <v>72</v>
      </c>
      <c r="D539" t="s">
        <v>64</v>
      </c>
      <c r="E539" t="s">
        <v>59</v>
      </c>
      <c r="F539" t="s">
        <v>60</v>
      </c>
      <c r="G539">
        <v>32000</v>
      </c>
      <c r="H539">
        <v>5</v>
      </c>
      <c r="I539">
        <v>5</v>
      </c>
      <c r="J539">
        <v>0</v>
      </c>
      <c r="K539">
        <v>1</v>
      </c>
      <c r="L539">
        <v>20000000</v>
      </c>
      <c r="M539">
        <v>190</v>
      </c>
      <c r="N539">
        <v>190</v>
      </c>
      <c r="O539">
        <v>190</v>
      </c>
      <c r="P539">
        <v>0</v>
      </c>
      <c r="Q539" t="s">
        <v>61</v>
      </c>
      <c r="R539">
        <v>99956261025861</v>
      </c>
      <c r="S539">
        <v>9997177</v>
      </c>
      <c r="T539">
        <v>99956261025861</v>
      </c>
      <c r="U539">
        <v>9997177</v>
      </c>
      <c r="V539" t="s">
        <v>71</v>
      </c>
      <c r="W539">
        <v>7</v>
      </c>
      <c r="X539">
        <v>1765893</v>
      </c>
      <c r="Y539">
        <v>11738697</v>
      </c>
      <c r="Z539">
        <v>13504590</v>
      </c>
      <c r="AA539">
        <v>9997177</v>
      </c>
      <c r="AB539">
        <v>7.6474599999999997</v>
      </c>
      <c r="AC539">
        <v>0.85164300000000004</v>
      </c>
      <c r="AD539">
        <v>1.74028</v>
      </c>
      <c r="AE539">
        <v>4.0281500000000001</v>
      </c>
      <c r="AF539">
        <v>329108544</v>
      </c>
      <c r="AG539" t="s">
        <v>1048</v>
      </c>
      <c r="AH539" t="s">
        <v>1049</v>
      </c>
      <c r="AI539">
        <v>836940</v>
      </c>
      <c r="AJ539">
        <v>37048</v>
      </c>
      <c r="AM539">
        <v>5117270104</v>
      </c>
      <c r="AN539">
        <v>0</v>
      </c>
      <c r="AO539">
        <v>568588136</v>
      </c>
      <c r="AP539">
        <v>5117270104</v>
      </c>
      <c r="AQ539">
        <v>5685858240</v>
      </c>
      <c r="AR539">
        <v>159914690</v>
      </c>
      <c r="AS539">
        <v>0</v>
      </c>
      <c r="AT539">
        <v>17768379</v>
      </c>
      <c r="AU539">
        <v>159914690</v>
      </c>
      <c r="AV539">
        <v>177683070</v>
      </c>
      <c r="AW539">
        <v>19.304300000000001</v>
      </c>
      <c r="AX539">
        <v>8.5621200000000002</v>
      </c>
      <c r="AY539">
        <v>2919.77</v>
      </c>
      <c r="AZ539">
        <v>1994.63</v>
      </c>
      <c r="BA539">
        <v>2870</v>
      </c>
      <c r="BB539">
        <v>414</v>
      </c>
      <c r="BC539" t="str">
        <f t="shared" si="18"/>
        <v>u=10%, k=2x10^7</v>
      </c>
      <c r="BD539">
        <f t="shared" si="19"/>
        <v>32</v>
      </c>
    </row>
    <row r="540" spans="1:56">
      <c r="A540" t="s">
        <v>1050</v>
      </c>
      <c r="B540" t="s">
        <v>63</v>
      </c>
      <c r="C540">
        <v>72</v>
      </c>
      <c r="D540" t="s">
        <v>64</v>
      </c>
      <c r="E540" t="s">
        <v>59</v>
      </c>
      <c r="F540" t="s">
        <v>60</v>
      </c>
      <c r="G540">
        <v>64000</v>
      </c>
      <c r="H540">
        <v>5</v>
      </c>
      <c r="I540">
        <v>5</v>
      </c>
      <c r="J540">
        <v>0</v>
      </c>
      <c r="K540">
        <v>1</v>
      </c>
      <c r="L540">
        <v>20000000</v>
      </c>
      <c r="M540">
        <v>190</v>
      </c>
      <c r="N540">
        <v>190</v>
      </c>
      <c r="O540">
        <v>190</v>
      </c>
      <c r="P540">
        <v>0</v>
      </c>
      <c r="Q540" t="s">
        <v>61</v>
      </c>
      <c r="R540">
        <v>99999438949769</v>
      </c>
      <c r="S540">
        <v>9998930</v>
      </c>
      <c r="T540">
        <v>99999438949769</v>
      </c>
      <c r="U540">
        <v>9998930</v>
      </c>
      <c r="V540" t="s">
        <v>71</v>
      </c>
      <c r="W540">
        <v>7</v>
      </c>
      <c r="X540">
        <v>1901794</v>
      </c>
      <c r="Y540">
        <v>12020478</v>
      </c>
      <c r="Z540">
        <v>13922272</v>
      </c>
      <c r="AA540">
        <v>9998930</v>
      </c>
      <c r="AB540">
        <v>7.3205999999999998</v>
      </c>
      <c r="AC540">
        <v>0.83182500000000004</v>
      </c>
      <c r="AD540">
        <v>1.7181999999999999</v>
      </c>
      <c r="AE540">
        <v>4.0553100000000004</v>
      </c>
      <c r="AF540">
        <v>344500448</v>
      </c>
      <c r="AG540" t="s">
        <v>1051</v>
      </c>
      <c r="AH540" t="s">
        <v>1052</v>
      </c>
      <c r="AI540">
        <v>1734864</v>
      </c>
      <c r="AJ540">
        <v>75796</v>
      </c>
      <c r="AM540">
        <v>10417245289</v>
      </c>
      <c r="AN540">
        <v>0</v>
      </c>
      <c r="AO540">
        <v>1157472087</v>
      </c>
      <c r="AP540">
        <v>10417245289</v>
      </c>
      <c r="AQ540">
        <v>11574717376</v>
      </c>
      <c r="AR540">
        <v>162769457</v>
      </c>
      <c r="AS540">
        <v>0</v>
      </c>
      <c r="AT540">
        <v>18085501</v>
      </c>
      <c r="AU540">
        <v>162769457</v>
      </c>
      <c r="AV540">
        <v>180854959</v>
      </c>
      <c r="AW540">
        <v>19.301500000000001</v>
      </c>
      <c r="AX540">
        <v>8.5694599999999994</v>
      </c>
      <c r="AY540">
        <v>2869.09</v>
      </c>
      <c r="AZ540">
        <v>1945.63</v>
      </c>
      <c r="BA540">
        <v>2878</v>
      </c>
      <c r="BB540">
        <v>423</v>
      </c>
      <c r="BC540" t="str">
        <f t="shared" si="18"/>
        <v>u=10%, k=2x10^7</v>
      </c>
      <c r="BD540">
        <f t="shared" si="19"/>
        <v>64</v>
      </c>
    </row>
    <row r="541" spans="1:56">
      <c r="A541" t="s">
        <v>1053</v>
      </c>
      <c r="B541" t="s">
        <v>300</v>
      </c>
      <c r="C541">
        <v>208</v>
      </c>
      <c r="D541" t="s">
        <v>64</v>
      </c>
      <c r="E541" t="s">
        <v>59</v>
      </c>
      <c r="F541" t="s">
        <v>60</v>
      </c>
      <c r="G541">
        <v>1000</v>
      </c>
      <c r="H541">
        <v>5</v>
      </c>
      <c r="I541">
        <v>5</v>
      </c>
      <c r="J541">
        <v>0</v>
      </c>
      <c r="K541">
        <v>1</v>
      </c>
      <c r="L541">
        <v>20000000</v>
      </c>
      <c r="M541">
        <v>190</v>
      </c>
      <c r="N541">
        <v>190</v>
      </c>
      <c r="O541">
        <v>190</v>
      </c>
      <c r="P541">
        <v>0</v>
      </c>
      <c r="Q541" t="s">
        <v>61</v>
      </c>
      <c r="R541">
        <v>99969489182200</v>
      </c>
      <c r="S541">
        <v>9998008</v>
      </c>
      <c r="T541">
        <v>99969489182200</v>
      </c>
      <c r="U541">
        <v>9998008</v>
      </c>
      <c r="V541" t="s">
        <v>71</v>
      </c>
      <c r="W541">
        <v>9</v>
      </c>
      <c r="X541">
        <v>222979</v>
      </c>
      <c r="Y541">
        <v>1532821</v>
      </c>
      <c r="Z541">
        <v>1755800</v>
      </c>
      <c r="AA541">
        <v>9998008</v>
      </c>
      <c r="AB541">
        <v>7.8742799999999997</v>
      </c>
      <c r="AC541">
        <v>6.5226199999999999</v>
      </c>
      <c r="AD541">
        <v>6.6942700000000004</v>
      </c>
      <c r="AE541">
        <v>8</v>
      </c>
      <c r="AF541">
        <v>365206400</v>
      </c>
      <c r="AJ541">
        <v>1938</v>
      </c>
      <c r="AM541">
        <v>192787006</v>
      </c>
      <c r="AN541">
        <v>0</v>
      </c>
      <c r="AO541">
        <v>21423304</v>
      </c>
      <c r="AP541">
        <v>192787006</v>
      </c>
      <c r="AQ541">
        <v>214210310</v>
      </c>
      <c r="AR541">
        <v>192787006</v>
      </c>
      <c r="AS541">
        <v>0</v>
      </c>
      <c r="AT541">
        <v>21423304</v>
      </c>
      <c r="AU541">
        <v>192787006</v>
      </c>
      <c r="AV541">
        <v>214210310</v>
      </c>
      <c r="AW541">
        <v>17.885899999999999</v>
      </c>
      <c r="AX541">
        <v>6.0458499999999997</v>
      </c>
      <c r="AY541">
        <v>2435.3000000000002</v>
      </c>
      <c r="AZ541">
        <v>1477.85</v>
      </c>
      <c r="BA541">
        <v>1689</v>
      </c>
      <c r="BB541">
        <v>932</v>
      </c>
      <c r="BC541" t="str">
        <f t="shared" si="18"/>
        <v>u=10%, k=2x10^7</v>
      </c>
      <c r="BD541">
        <f t="shared" si="19"/>
        <v>1</v>
      </c>
    </row>
    <row r="542" spans="1:56">
      <c r="A542" t="s">
        <v>1054</v>
      </c>
      <c r="B542" t="s">
        <v>300</v>
      </c>
      <c r="C542">
        <v>208</v>
      </c>
      <c r="D542" t="s">
        <v>64</v>
      </c>
      <c r="E542" t="s">
        <v>59</v>
      </c>
      <c r="F542" t="s">
        <v>60</v>
      </c>
      <c r="G542">
        <v>2000</v>
      </c>
      <c r="H542">
        <v>5</v>
      </c>
      <c r="I542">
        <v>5</v>
      </c>
      <c r="J542">
        <v>0</v>
      </c>
      <c r="K542">
        <v>1</v>
      </c>
      <c r="L542">
        <v>20000000</v>
      </c>
      <c r="M542">
        <v>190</v>
      </c>
      <c r="N542">
        <v>190</v>
      </c>
      <c r="O542">
        <v>190</v>
      </c>
      <c r="P542">
        <v>0</v>
      </c>
      <c r="Q542" t="s">
        <v>61</v>
      </c>
      <c r="R542">
        <v>100020321749257</v>
      </c>
      <c r="S542">
        <v>10000530</v>
      </c>
      <c r="T542">
        <v>100020321749257</v>
      </c>
      <c r="U542">
        <v>10000530</v>
      </c>
      <c r="V542" t="s">
        <v>71</v>
      </c>
      <c r="W542">
        <v>9</v>
      </c>
      <c r="X542">
        <v>239518</v>
      </c>
      <c r="Y542">
        <v>1645535</v>
      </c>
      <c r="Z542">
        <v>1885053</v>
      </c>
      <c r="AA542">
        <v>10000530</v>
      </c>
      <c r="AB542">
        <v>7.87019</v>
      </c>
      <c r="AC542">
        <v>6.0773700000000002</v>
      </c>
      <c r="AD542">
        <v>6.3051700000000004</v>
      </c>
      <c r="AE542">
        <v>8</v>
      </c>
      <c r="AF542">
        <v>392091024</v>
      </c>
      <c r="AJ542" t="s">
        <v>1055</v>
      </c>
      <c r="AM542">
        <v>385201644</v>
      </c>
      <c r="AN542">
        <v>0</v>
      </c>
      <c r="AO542">
        <v>42796697</v>
      </c>
      <c r="AP542">
        <v>385201644</v>
      </c>
      <c r="AQ542">
        <v>427998341</v>
      </c>
      <c r="AR542">
        <v>192600822</v>
      </c>
      <c r="AS542">
        <v>0</v>
      </c>
      <c r="AT542">
        <v>21398348</v>
      </c>
      <c r="AU542">
        <v>192600822</v>
      </c>
      <c r="AV542">
        <v>213999170</v>
      </c>
      <c r="AW542">
        <v>18.0367</v>
      </c>
      <c r="AX542">
        <v>6.1319900000000001</v>
      </c>
      <c r="AY542">
        <v>2448.5100000000002</v>
      </c>
      <c r="AZ542">
        <v>1501.18</v>
      </c>
      <c r="BA542">
        <v>1718</v>
      </c>
      <c r="BB542">
        <v>907</v>
      </c>
      <c r="BC542" t="str">
        <f t="shared" si="18"/>
        <v>u=10%, k=2x10^7</v>
      </c>
      <c r="BD542">
        <f t="shared" si="19"/>
        <v>2</v>
      </c>
    </row>
    <row r="543" spans="1:56">
      <c r="A543" t="s">
        <v>1056</v>
      </c>
      <c r="B543" t="s">
        <v>300</v>
      </c>
      <c r="C543">
        <v>208</v>
      </c>
      <c r="D543" t="s">
        <v>64</v>
      </c>
      <c r="E543" t="s">
        <v>59</v>
      </c>
      <c r="F543" t="s">
        <v>60</v>
      </c>
      <c r="G543">
        <v>4000</v>
      </c>
      <c r="H543">
        <v>5</v>
      </c>
      <c r="I543">
        <v>5</v>
      </c>
      <c r="J543">
        <v>0</v>
      </c>
      <c r="K543">
        <v>1</v>
      </c>
      <c r="L543">
        <v>20000000</v>
      </c>
      <c r="M543">
        <v>190</v>
      </c>
      <c r="N543">
        <v>190</v>
      </c>
      <c r="O543">
        <v>190</v>
      </c>
      <c r="P543">
        <v>0</v>
      </c>
      <c r="Q543" t="s">
        <v>61</v>
      </c>
      <c r="R543">
        <v>99956376100162</v>
      </c>
      <c r="S543">
        <v>9996340</v>
      </c>
      <c r="T543">
        <v>99956376100162</v>
      </c>
      <c r="U543">
        <v>9996340</v>
      </c>
      <c r="V543" t="s">
        <v>71</v>
      </c>
      <c r="W543">
        <v>9</v>
      </c>
      <c r="X543">
        <v>257548</v>
      </c>
      <c r="Y543">
        <v>1764721</v>
      </c>
      <c r="Z543">
        <v>2022269</v>
      </c>
      <c r="AA543">
        <v>9996340</v>
      </c>
      <c r="AB543">
        <v>7.8520099999999999</v>
      </c>
      <c r="AC543">
        <v>5.6645399999999997</v>
      </c>
      <c r="AD543">
        <v>5.94313</v>
      </c>
      <c r="AE543">
        <v>8</v>
      </c>
      <c r="AF543">
        <v>420631952</v>
      </c>
      <c r="AJ543" t="s">
        <v>1057</v>
      </c>
      <c r="AM543">
        <v>751141094</v>
      </c>
      <c r="AN543">
        <v>0</v>
      </c>
      <c r="AO543">
        <v>83462978</v>
      </c>
      <c r="AP543">
        <v>751141094</v>
      </c>
      <c r="AQ543">
        <v>834604072</v>
      </c>
      <c r="AR543">
        <v>187785273</v>
      </c>
      <c r="AS543">
        <v>0</v>
      </c>
      <c r="AT543">
        <v>20865744</v>
      </c>
      <c r="AU543">
        <v>187785273</v>
      </c>
      <c r="AV543">
        <v>208651018</v>
      </c>
      <c r="AW543">
        <v>18.248100000000001</v>
      </c>
      <c r="AX543">
        <v>6.2469799999999998</v>
      </c>
      <c r="AY543">
        <v>2519.73</v>
      </c>
      <c r="AZ543">
        <v>1569.43</v>
      </c>
      <c r="BA543">
        <v>1748</v>
      </c>
      <c r="BB543">
        <v>924</v>
      </c>
      <c r="BC543" t="str">
        <f t="shared" si="18"/>
        <v>u=10%, k=2x10^7</v>
      </c>
      <c r="BD543">
        <f t="shared" si="19"/>
        <v>4</v>
      </c>
    </row>
    <row r="544" spans="1:56">
      <c r="A544" t="s">
        <v>1058</v>
      </c>
      <c r="B544" t="s">
        <v>300</v>
      </c>
      <c r="C544">
        <v>208</v>
      </c>
      <c r="D544" t="s">
        <v>64</v>
      </c>
      <c r="E544" t="s">
        <v>59</v>
      </c>
      <c r="F544" t="s">
        <v>60</v>
      </c>
      <c r="G544">
        <v>8000</v>
      </c>
      <c r="H544">
        <v>5</v>
      </c>
      <c r="I544">
        <v>5</v>
      </c>
      <c r="J544">
        <v>0</v>
      </c>
      <c r="K544">
        <v>1</v>
      </c>
      <c r="L544">
        <v>20000000</v>
      </c>
      <c r="M544">
        <v>190</v>
      </c>
      <c r="N544">
        <v>190</v>
      </c>
      <c r="O544">
        <v>190</v>
      </c>
      <c r="P544">
        <v>0</v>
      </c>
      <c r="Q544" t="s">
        <v>61</v>
      </c>
      <c r="R544">
        <v>100002799729226</v>
      </c>
      <c r="S544">
        <v>9999096</v>
      </c>
      <c r="T544">
        <v>100002799729226</v>
      </c>
      <c r="U544">
        <v>9999096</v>
      </c>
      <c r="V544" t="s">
        <v>71</v>
      </c>
      <c r="W544">
        <v>9</v>
      </c>
      <c r="X544">
        <v>276324</v>
      </c>
      <c r="Y544">
        <v>1876522</v>
      </c>
      <c r="Z544">
        <v>2152846</v>
      </c>
      <c r="AA544">
        <v>9999096</v>
      </c>
      <c r="AB544">
        <v>7.7910199999999996</v>
      </c>
      <c r="AC544">
        <v>5.3285299999999998</v>
      </c>
      <c r="AD544">
        <v>5.64459</v>
      </c>
      <c r="AE544">
        <v>8</v>
      </c>
      <c r="AF544">
        <v>447791968</v>
      </c>
      <c r="AJ544" t="s">
        <v>1059</v>
      </c>
      <c r="AM544">
        <v>1470261424</v>
      </c>
      <c r="AN544">
        <v>0</v>
      </c>
      <c r="AO544">
        <v>163361578</v>
      </c>
      <c r="AP544">
        <v>1470261424</v>
      </c>
      <c r="AQ544">
        <v>1633623002</v>
      </c>
      <c r="AR544">
        <v>183782678</v>
      </c>
      <c r="AS544">
        <v>0</v>
      </c>
      <c r="AT544">
        <v>20420197</v>
      </c>
      <c r="AU544">
        <v>183782678</v>
      </c>
      <c r="AV544">
        <v>204202875</v>
      </c>
      <c r="AW544">
        <v>18.4815</v>
      </c>
      <c r="AX544">
        <v>6.3644999999999996</v>
      </c>
      <c r="AY544">
        <v>2573.16</v>
      </c>
      <c r="AZ544">
        <v>1618.75</v>
      </c>
      <c r="BA544">
        <v>1787</v>
      </c>
      <c r="BB544">
        <v>856</v>
      </c>
      <c r="BC544" t="str">
        <f t="shared" si="18"/>
        <v>u=10%, k=2x10^7</v>
      </c>
      <c r="BD544">
        <f t="shared" si="19"/>
        <v>8</v>
      </c>
    </row>
    <row r="545" spans="1:56">
      <c r="A545" t="s">
        <v>1060</v>
      </c>
      <c r="B545" t="s">
        <v>300</v>
      </c>
      <c r="C545">
        <v>208</v>
      </c>
      <c r="D545" t="s">
        <v>64</v>
      </c>
      <c r="E545" t="s">
        <v>59</v>
      </c>
      <c r="F545" t="s">
        <v>60</v>
      </c>
      <c r="G545">
        <v>16000</v>
      </c>
      <c r="H545">
        <v>5</v>
      </c>
      <c r="I545">
        <v>5</v>
      </c>
      <c r="J545">
        <v>0</v>
      </c>
      <c r="K545">
        <v>1</v>
      </c>
      <c r="L545">
        <v>20000000</v>
      </c>
      <c r="M545">
        <v>190</v>
      </c>
      <c r="N545">
        <v>190</v>
      </c>
      <c r="O545">
        <v>190</v>
      </c>
      <c r="P545">
        <v>0</v>
      </c>
      <c r="Q545" t="s">
        <v>61</v>
      </c>
      <c r="R545">
        <v>99968159860819</v>
      </c>
      <c r="S545">
        <v>9996719</v>
      </c>
      <c r="T545">
        <v>99968159860819</v>
      </c>
      <c r="U545">
        <v>9996719</v>
      </c>
      <c r="V545" t="s">
        <v>71</v>
      </c>
      <c r="W545">
        <v>9</v>
      </c>
      <c r="X545">
        <v>294827</v>
      </c>
      <c r="Y545">
        <v>1950237</v>
      </c>
      <c r="Z545">
        <v>2245064</v>
      </c>
      <c r="AA545">
        <v>9996719</v>
      </c>
      <c r="AB545">
        <v>7.6148499999999997</v>
      </c>
      <c r="AC545">
        <v>5.1258999999999997</v>
      </c>
      <c r="AD545">
        <v>5.45275</v>
      </c>
      <c r="AE545">
        <v>8</v>
      </c>
      <c r="AF545">
        <v>466973312</v>
      </c>
      <c r="AJ545" t="s">
        <v>1061</v>
      </c>
      <c r="AM545">
        <v>2896736812</v>
      </c>
      <c r="AN545">
        <v>0</v>
      </c>
      <c r="AO545">
        <v>321847200</v>
      </c>
      <c r="AP545">
        <v>2896736812</v>
      </c>
      <c r="AQ545">
        <v>3218584012</v>
      </c>
      <c r="AR545">
        <v>181046050</v>
      </c>
      <c r="AS545">
        <v>0</v>
      </c>
      <c r="AT545">
        <v>20115450</v>
      </c>
      <c r="AU545">
        <v>181046050</v>
      </c>
      <c r="AV545">
        <v>201161500</v>
      </c>
      <c r="AW545">
        <v>18.6828</v>
      </c>
      <c r="AX545">
        <v>6.4917600000000002</v>
      </c>
      <c r="AY545">
        <v>2614.15</v>
      </c>
      <c r="AZ545">
        <v>1656.87</v>
      </c>
      <c r="BA545">
        <v>1852</v>
      </c>
      <c r="BB545">
        <v>942</v>
      </c>
      <c r="BC545" t="str">
        <f t="shared" si="18"/>
        <v>u=10%, k=2x10^7</v>
      </c>
      <c r="BD545">
        <f t="shared" si="19"/>
        <v>16</v>
      </c>
    </row>
    <row r="546" spans="1:56">
      <c r="A546" t="s">
        <v>1062</v>
      </c>
      <c r="B546" t="s">
        <v>300</v>
      </c>
      <c r="C546">
        <v>208</v>
      </c>
      <c r="D546" t="s">
        <v>64</v>
      </c>
      <c r="E546" t="s">
        <v>59</v>
      </c>
      <c r="F546" t="s">
        <v>60</v>
      </c>
      <c r="G546">
        <v>32000</v>
      </c>
      <c r="H546">
        <v>5</v>
      </c>
      <c r="I546">
        <v>5</v>
      </c>
      <c r="J546">
        <v>0</v>
      </c>
      <c r="K546">
        <v>1</v>
      </c>
      <c r="L546">
        <v>20000000</v>
      </c>
      <c r="M546">
        <v>190</v>
      </c>
      <c r="N546">
        <v>190</v>
      </c>
      <c r="O546">
        <v>190</v>
      </c>
      <c r="P546">
        <v>0</v>
      </c>
      <c r="Q546" t="s">
        <v>61</v>
      </c>
      <c r="R546">
        <v>99963953319946</v>
      </c>
      <c r="S546">
        <v>9997445</v>
      </c>
      <c r="T546">
        <v>99963953319946</v>
      </c>
      <c r="U546">
        <v>9997445</v>
      </c>
      <c r="V546" t="s">
        <v>71</v>
      </c>
      <c r="W546">
        <v>9</v>
      </c>
      <c r="X546">
        <v>310905</v>
      </c>
      <c r="Y546">
        <v>1965338</v>
      </c>
      <c r="Z546">
        <v>2276243</v>
      </c>
      <c r="AA546">
        <v>9997445</v>
      </c>
      <c r="AB546">
        <v>7.3213499999999998</v>
      </c>
      <c r="AC546">
        <v>5.0868799999999998</v>
      </c>
      <c r="AD546">
        <v>5.39208</v>
      </c>
      <c r="AE546">
        <v>8</v>
      </c>
      <c r="AF546">
        <v>473458544</v>
      </c>
      <c r="AJ546" t="s">
        <v>1063</v>
      </c>
      <c r="AM546">
        <v>5713244828</v>
      </c>
      <c r="AN546">
        <v>0</v>
      </c>
      <c r="AO546">
        <v>634830929</v>
      </c>
      <c r="AP546">
        <v>5713244828</v>
      </c>
      <c r="AQ546">
        <v>6348075757</v>
      </c>
      <c r="AR546">
        <v>178538900</v>
      </c>
      <c r="AS546">
        <v>0</v>
      </c>
      <c r="AT546">
        <v>19838466</v>
      </c>
      <c r="AU546">
        <v>178538900</v>
      </c>
      <c r="AV546">
        <v>198377367</v>
      </c>
      <c r="AW546">
        <v>18.854900000000001</v>
      </c>
      <c r="AX546">
        <v>6.59483</v>
      </c>
      <c r="AY546">
        <v>2651.88</v>
      </c>
      <c r="AZ546">
        <v>1690.96</v>
      </c>
      <c r="BA546">
        <v>1866</v>
      </c>
      <c r="BB546">
        <v>929</v>
      </c>
      <c r="BC546" t="str">
        <f t="shared" si="18"/>
        <v>u=10%, k=2x10^7</v>
      </c>
      <c r="BD546">
        <f t="shared" si="19"/>
        <v>32</v>
      </c>
    </row>
    <row r="547" spans="1:56">
      <c r="A547" t="s">
        <v>1064</v>
      </c>
      <c r="B547" t="s">
        <v>300</v>
      </c>
      <c r="C547">
        <v>208</v>
      </c>
      <c r="D547" t="s">
        <v>64</v>
      </c>
      <c r="E547" t="s">
        <v>59</v>
      </c>
      <c r="F547" t="s">
        <v>60</v>
      </c>
      <c r="G547">
        <v>64000</v>
      </c>
      <c r="H547">
        <v>5</v>
      </c>
      <c r="I547">
        <v>5</v>
      </c>
      <c r="J547">
        <v>0</v>
      </c>
      <c r="K547">
        <v>1</v>
      </c>
      <c r="L547">
        <v>20000000</v>
      </c>
      <c r="M547">
        <v>190</v>
      </c>
      <c r="N547">
        <v>190</v>
      </c>
      <c r="O547">
        <v>190</v>
      </c>
      <c r="P547">
        <v>0</v>
      </c>
      <c r="Q547" t="s">
        <v>61</v>
      </c>
      <c r="R547">
        <v>99942261947027</v>
      </c>
      <c r="S547">
        <v>9999135</v>
      </c>
      <c r="T547">
        <v>99942261947027</v>
      </c>
      <c r="U547">
        <v>9999135</v>
      </c>
      <c r="V547" t="s">
        <v>71</v>
      </c>
      <c r="W547">
        <v>9</v>
      </c>
      <c r="X547">
        <v>324570</v>
      </c>
      <c r="Y547">
        <v>1956188</v>
      </c>
      <c r="Z547">
        <v>2280758</v>
      </c>
      <c r="AA547">
        <v>9999135</v>
      </c>
      <c r="AB547">
        <v>7.0270099999999998</v>
      </c>
      <c r="AC547">
        <v>5.1115399999999998</v>
      </c>
      <c r="AD547">
        <v>5.3841299999999999</v>
      </c>
      <c r="AE547">
        <v>8</v>
      </c>
      <c r="AF547">
        <v>474397664</v>
      </c>
      <c r="AJ547" t="s">
        <v>1065</v>
      </c>
      <c r="AM547">
        <v>11331431056</v>
      </c>
      <c r="AN547">
        <v>0</v>
      </c>
      <c r="AO547">
        <v>1259105822</v>
      </c>
      <c r="AP547">
        <v>11331431056</v>
      </c>
      <c r="AQ547">
        <v>12590536878</v>
      </c>
      <c r="AR547">
        <v>177053610</v>
      </c>
      <c r="AS547">
        <v>0</v>
      </c>
      <c r="AT547">
        <v>19673528</v>
      </c>
      <c r="AU547">
        <v>177053610</v>
      </c>
      <c r="AV547">
        <v>196727138</v>
      </c>
      <c r="AW547">
        <v>19.0382</v>
      </c>
      <c r="AX547">
        <v>6.6657799999999998</v>
      </c>
      <c r="AY547">
        <v>2675.29</v>
      </c>
      <c r="AZ547">
        <v>1714.25</v>
      </c>
      <c r="BA547">
        <v>1914</v>
      </c>
      <c r="BB547">
        <v>936</v>
      </c>
      <c r="BC547" t="str">
        <f t="shared" si="18"/>
        <v>u=10%, k=2x10^7</v>
      </c>
      <c r="BD547">
        <f t="shared" si="19"/>
        <v>64</v>
      </c>
    </row>
    <row r="548" spans="1:56">
      <c r="A548" t="s">
        <v>1066</v>
      </c>
      <c r="B548" t="s">
        <v>105</v>
      </c>
      <c r="D548" t="s">
        <v>64</v>
      </c>
      <c r="E548" t="s">
        <v>59</v>
      </c>
      <c r="F548" t="s">
        <v>60</v>
      </c>
      <c r="G548">
        <v>1000</v>
      </c>
      <c r="H548">
        <v>5</v>
      </c>
      <c r="I548">
        <v>5</v>
      </c>
      <c r="J548">
        <v>0</v>
      </c>
      <c r="K548">
        <v>1</v>
      </c>
      <c r="L548">
        <v>20000000</v>
      </c>
      <c r="M548">
        <v>190</v>
      </c>
      <c r="N548">
        <v>190</v>
      </c>
      <c r="O548">
        <v>190</v>
      </c>
      <c r="P548">
        <v>0</v>
      </c>
      <c r="Q548" t="s">
        <v>61</v>
      </c>
      <c r="R548">
        <v>99994773984627</v>
      </c>
      <c r="S548">
        <v>10000355</v>
      </c>
      <c r="T548">
        <v>99994773984627</v>
      </c>
      <c r="U548">
        <v>10000355</v>
      </c>
      <c r="V548" t="s">
        <v>71</v>
      </c>
      <c r="W548">
        <v>29</v>
      </c>
      <c r="X548">
        <v>6198995</v>
      </c>
      <c r="Y548">
        <v>4680115</v>
      </c>
      <c r="Z548">
        <v>10879110</v>
      </c>
      <c r="AA548">
        <v>10000355</v>
      </c>
      <c r="AB548">
        <v>1.75498</v>
      </c>
      <c r="AC548">
        <v>2.1367799999999999</v>
      </c>
      <c r="AD548">
        <v>1.91923</v>
      </c>
      <c r="AE548">
        <v>22.910299999999999</v>
      </c>
      <c r="AF548">
        <v>609230160</v>
      </c>
      <c r="AJ548" t="s">
        <v>1067</v>
      </c>
      <c r="AM548">
        <v>97677931</v>
      </c>
      <c r="AN548">
        <v>0</v>
      </c>
      <c r="AO548">
        <v>10855599</v>
      </c>
      <c r="AP548">
        <v>97677931</v>
      </c>
      <c r="AQ548">
        <v>108533530</v>
      </c>
      <c r="AR548">
        <v>97677931</v>
      </c>
      <c r="AS548">
        <v>0</v>
      </c>
      <c r="AT548">
        <v>10855599</v>
      </c>
      <c r="AU548">
        <v>97677931</v>
      </c>
      <c r="AV548">
        <v>108533530</v>
      </c>
      <c r="AW548">
        <v>29.2256</v>
      </c>
      <c r="AX548">
        <v>10.6205</v>
      </c>
      <c r="AY548">
        <v>4856.83</v>
      </c>
      <c r="AZ548">
        <v>3416.57</v>
      </c>
      <c r="BA548">
        <v>1812</v>
      </c>
      <c r="BB548">
        <v>435</v>
      </c>
      <c r="BC548" t="str">
        <f t="shared" si="18"/>
        <v>u=10%, k=2x10^7</v>
      </c>
      <c r="BD548">
        <f t="shared" si="19"/>
        <v>1</v>
      </c>
    </row>
    <row r="549" spans="1:56">
      <c r="A549" t="s">
        <v>1068</v>
      </c>
      <c r="B549" t="s">
        <v>105</v>
      </c>
      <c r="D549" t="s">
        <v>64</v>
      </c>
      <c r="E549" t="s">
        <v>59</v>
      </c>
      <c r="F549" t="s">
        <v>60</v>
      </c>
      <c r="G549">
        <v>2000</v>
      </c>
      <c r="H549">
        <v>5</v>
      </c>
      <c r="I549">
        <v>5</v>
      </c>
      <c r="J549">
        <v>0</v>
      </c>
      <c r="K549">
        <v>1</v>
      </c>
      <c r="L549">
        <v>20000000</v>
      </c>
      <c r="M549">
        <v>190</v>
      </c>
      <c r="N549">
        <v>190</v>
      </c>
      <c r="O549">
        <v>190</v>
      </c>
      <c r="P549">
        <v>0</v>
      </c>
      <c r="Q549" t="s">
        <v>61</v>
      </c>
      <c r="R549">
        <v>99989624167598</v>
      </c>
      <c r="S549">
        <v>9999841</v>
      </c>
      <c r="T549">
        <v>99989624167598</v>
      </c>
      <c r="U549">
        <v>9999841</v>
      </c>
      <c r="V549" t="s">
        <v>71</v>
      </c>
      <c r="W549">
        <v>29</v>
      </c>
      <c r="X549">
        <v>6479301</v>
      </c>
      <c r="Y549">
        <v>4902169</v>
      </c>
      <c r="Z549">
        <v>11381470</v>
      </c>
      <c r="AA549">
        <v>9999841</v>
      </c>
      <c r="AB549">
        <v>1.7565900000000001</v>
      </c>
      <c r="AC549">
        <v>2.0398800000000001</v>
      </c>
      <c r="AD549">
        <v>1.8786099999999999</v>
      </c>
      <c r="AE549">
        <v>23.080400000000001</v>
      </c>
      <c r="AF549">
        <v>637362320</v>
      </c>
      <c r="AJ549" t="s">
        <v>1069</v>
      </c>
      <c r="AM549">
        <v>196704164</v>
      </c>
      <c r="AN549">
        <v>0</v>
      </c>
      <c r="AO549">
        <v>21855113</v>
      </c>
      <c r="AP549">
        <v>196704164</v>
      </c>
      <c r="AQ549">
        <v>218559277</v>
      </c>
      <c r="AR549">
        <v>98352082</v>
      </c>
      <c r="AS549">
        <v>0</v>
      </c>
      <c r="AT549">
        <v>10927556</v>
      </c>
      <c r="AU549">
        <v>98352082</v>
      </c>
      <c r="AV549">
        <v>109279638</v>
      </c>
      <c r="AW549">
        <v>29.3443</v>
      </c>
      <c r="AX549">
        <v>10.7134</v>
      </c>
      <c r="AY549">
        <v>4831.82</v>
      </c>
      <c r="AZ549">
        <v>3441.33</v>
      </c>
      <c r="BA549">
        <v>1844</v>
      </c>
      <c r="BB549">
        <v>427</v>
      </c>
      <c r="BC549" t="str">
        <f t="shared" si="18"/>
        <v>u=10%, k=2x10^7</v>
      </c>
      <c r="BD549">
        <f t="shared" si="19"/>
        <v>2</v>
      </c>
    </row>
    <row r="550" spans="1:56">
      <c r="A550" t="s">
        <v>1070</v>
      </c>
      <c r="B550" t="s">
        <v>105</v>
      </c>
      <c r="D550" t="s">
        <v>64</v>
      </c>
      <c r="E550" t="s">
        <v>59</v>
      </c>
      <c r="F550" t="s">
        <v>60</v>
      </c>
      <c r="G550">
        <v>4000</v>
      </c>
      <c r="H550">
        <v>5</v>
      </c>
      <c r="I550">
        <v>5</v>
      </c>
      <c r="J550">
        <v>0</v>
      </c>
      <c r="K550">
        <v>1</v>
      </c>
      <c r="L550">
        <v>20000000</v>
      </c>
      <c r="M550">
        <v>190</v>
      </c>
      <c r="N550">
        <v>190</v>
      </c>
      <c r="O550">
        <v>190</v>
      </c>
      <c r="P550">
        <v>0</v>
      </c>
      <c r="Q550" t="s">
        <v>61</v>
      </c>
      <c r="R550">
        <v>100008677473864</v>
      </c>
      <c r="S550">
        <v>10001099</v>
      </c>
      <c r="T550">
        <v>100008677473864</v>
      </c>
      <c r="U550">
        <v>10001099</v>
      </c>
      <c r="V550" t="s">
        <v>71</v>
      </c>
      <c r="W550">
        <v>29</v>
      </c>
      <c r="X550">
        <v>6731820</v>
      </c>
      <c r="Y550">
        <v>5099946</v>
      </c>
      <c r="Z550">
        <v>11831766</v>
      </c>
      <c r="AA550">
        <v>10001099</v>
      </c>
      <c r="AB550">
        <v>1.75759</v>
      </c>
      <c r="AC550">
        <v>1.96102</v>
      </c>
      <c r="AD550">
        <v>1.84528</v>
      </c>
      <c r="AE550">
        <v>23.1952</v>
      </c>
      <c r="AF550">
        <v>662578896</v>
      </c>
      <c r="AJ550">
        <v>2710</v>
      </c>
      <c r="AM550">
        <v>390244374</v>
      </c>
      <c r="AN550">
        <v>0</v>
      </c>
      <c r="AO550">
        <v>43356909</v>
      </c>
      <c r="AP550">
        <v>390244374</v>
      </c>
      <c r="AQ550">
        <v>433601283</v>
      </c>
      <c r="AR550">
        <v>97561093</v>
      </c>
      <c r="AS550">
        <v>0</v>
      </c>
      <c r="AT550">
        <v>10839227</v>
      </c>
      <c r="AU550">
        <v>97561093</v>
      </c>
      <c r="AV550">
        <v>108400320</v>
      </c>
      <c r="AW550">
        <v>29.412700000000001</v>
      </c>
      <c r="AX550">
        <v>10.8124</v>
      </c>
      <c r="AY550">
        <v>4869.88</v>
      </c>
      <c r="AZ550">
        <v>3473.67</v>
      </c>
      <c r="BA550">
        <v>1874</v>
      </c>
      <c r="BB550">
        <v>477</v>
      </c>
      <c r="BC550" t="str">
        <f t="shared" si="18"/>
        <v>u=10%, k=2x10^7</v>
      </c>
      <c r="BD550">
        <f t="shared" si="19"/>
        <v>4</v>
      </c>
    </row>
    <row r="551" spans="1:56">
      <c r="A551" t="s">
        <v>1071</v>
      </c>
      <c r="B551" t="s">
        <v>105</v>
      </c>
      <c r="D551" t="s">
        <v>64</v>
      </c>
      <c r="E551" t="s">
        <v>59</v>
      </c>
      <c r="F551" t="s">
        <v>60</v>
      </c>
      <c r="G551">
        <v>8000</v>
      </c>
      <c r="H551">
        <v>5</v>
      </c>
      <c r="I551">
        <v>5</v>
      </c>
      <c r="J551">
        <v>0</v>
      </c>
      <c r="K551">
        <v>1</v>
      </c>
      <c r="L551">
        <v>20000000</v>
      </c>
      <c r="M551">
        <v>190</v>
      </c>
      <c r="N551">
        <v>190</v>
      </c>
      <c r="O551">
        <v>190</v>
      </c>
      <c r="P551">
        <v>0</v>
      </c>
      <c r="Q551" t="s">
        <v>61</v>
      </c>
      <c r="R551">
        <v>100016988015959</v>
      </c>
      <c r="S551">
        <v>10001089</v>
      </c>
      <c r="T551">
        <v>100016988015959</v>
      </c>
      <c r="U551">
        <v>10001089</v>
      </c>
      <c r="V551" t="s">
        <v>71</v>
      </c>
      <c r="W551">
        <v>29</v>
      </c>
      <c r="X551">
        <v>6842056</v>
      </c>
      <c r="Y551">
        <v>5189908</v>
      </c>
      <c r="Z551">
        <v>12031964</v>
      </c>
      <c r="AA551">
        <v>10001089</v>
      </c>
      <c r="AB551">
        <v>1.7585299999999999</v>
      </c>
      <c r="AC551">
        <v>1.92703</v>
      </c>
      <c r="AD551">
        <v>1.83121</v>
      </c>
      <c r="AE551">
        <v>23.254200000000001</v>
      </c>
      <c r="AF551">
        <v>673789984</v>
      </c>
      <c r="AJ551" t="s">
        <v>1072</v>
      </c>
      <c r="AM551">
        <v>768712885</v>
      </c>
      <c r="AN551">
        <v>0</v>
      </c>
      <c r="AO551">
        <v>85416343</v>
      </c>
      <c r="AP551">
        <v>768712885</v>
      </c>
      <c r="AQ551">
        <v>854129228</v>
      </c>
      <c r="AR551">
        <v>96089110</v>
      </c>
      <c r="AS551">
        <v>0</v>
      </c>
      <c r="AT551">
        <v>10677042</v>
      </c>
      <c r="AU551">
        <v>96089110</v>
      </c>
      <c r="AV551">
        <v>106766153</v>
      </c>
      <c r="AW551">
        <v>29.712599999999998</v>
      </c>
      <c r="AX551">
        <v>10.900700000000001</v>
      </c>
      <c r="AY551">
        <v>4945.03</v>
      </c>
      <c r="AZ551">
        <v>3521.98</v>
      </c>
      <c r="BA551">
        <v>1892</v>
      </c>
      <c r="BB551">
        <v>449</v>
      </c>
      <c r="BC551" t="str">
        <f t="shared" si="18"/>
        <v>u=10%, k=2x10^7</v>
      </c>
      <c r="BD551">
        <f t="shared" si="19"/>
        <v>8</v>
      </c>
    </row>
    <row r="552" spans="1:56">
      <c r="A552" t="s">
        <v>1073</v>
      </c>
      <c r="B552" t="s">
        <v>105</v>
      </c>
      <c r="D552" t="s">
        <v>64</v>
      </c>
      <c r="E552" t="s">
        <v>59</v>
      </c>
      <c r="F552" t="s">
        <v>60</v>
      </c>
      <c r="G552">
        <v>16000</v>
      </c>
      <c r="H552">
        <v>5</v>
      </c>
      <c r="I552">
        <v>5</v>
      </c>
      <c r="J552">
        <v>0</v>
      </c>
      <c r="K552">
        <v>1</v>
      </c>
      <c r="L552">
        <v>20000000</v>
      </c>
      <c r="M552">
        <v>190</v>
      </c>
      <c r="N552">
        <v>190</v>
      </c>
      <c r="O552">
        <v>190</v>
      </c>
      <c r="P552">
        <v>0</v>
      </c>
      <c r="Q552" t="s">
        <v>61</v>
      </c>
      <c r="R552">
        <v>99998483191040</v>
      </c>
      <c r="S552">
        <v>9999501</v>
      </c>
      <c r="T552">
        <v>99998483191040</v>
      </c>
      <c r="U552">
        <v>9999501</v>
      </c>
      <c r="V552" t="s">
        <v>71</v>
      </c>
      <c r="W552">
        <v>29</v>
      </c>
      <c r="X552">
        <v>6858187</v>
      </c>
      <c r="Y552">
        <v>5202727</v>
      </c>
      <c r="Z552">
        <v>12060914</v>
      </c>
      <c r="AA552">
        <v>9999501</v>
      </c>
      <c r="AB552">
        <v>1.7586200000000001</v>
      </c>
      <c r="AC552">
        <v>1.92197</v>
      </c>
      <c r="AD552">
        <v>1.82908</v>
      </c>
      <c r="AE552">
        <v>23.255199999999999</v>
      </c>
      <c r="AF552">
        <v>675411184</v>
      </c>
      <c r="AJ552" t="s">
        <v>1074</v>
      </c>
      <c r="AM552">
        <v>1523771406</v>
      </c>
      <c r="AN552">
        <v>0</v>
      </c>
      <c r="AO552">
        <v>169287844</v>
      </c>
      <c r="AP552">
        <v>1523771406</v>
      </c>
      <c r="AQ552">
        <v>1693059250</v>
      </c>
      <c r="AR552">
        <v>95235712</v>
      </c>
      <c r="AS552">
        <v>0</v>
      </c>
      <c r="AT552">
        <v>10580490</v>
      </c>
      <c r="AU552">
        <v>95235712</v>
      </c>
      <c r="AV552">
        <v>105816203</v>
      </c>
      <c r="AW552">
        <v>29.766500000000001</v>
      </c>
      <c r="AX552">
        <v>10.9915</v>
      </c>
      <c r="AY552">
        <v>4987.05</v>
      </c>
      <c r="AZ552">
        <v>3532.17</v>
      </c>
      <c r="BA552">
        <v>1912</v>
      </c>
      <c r="BB552">
        <v>429</v>
      </c>
      <c r="BC552" t="str">
        <f t="shared" si="18"/>
        <v>u=10%, k=2x10^7</v>
      </c>
      <c r="BD552">
        <f t="shared" si="19"/>
        <v>16</v>
      </c>
    </row>
    <row r="553" spans="1:56">
      <c r="A553" t="s">
        <v>1075</v>
      </c>
      <c r="B553" t="s">
        <v>105</v>
      </c>
      <c r="D553" t="s">
        <v>64</v>
      </c>
      <c r="E553" t="s">
        <v>59</v>
      </c>
      <c r="F553" t="s">
        <v>60</v>
      </c>
      <c r="G553">
        <v>32000</v>
      </c>
      <c r="H553">
        <v>5</v>
      </c>
      <c r="I553">
        <v>5</v>
      </c>
      <c r="J553">
        <v>0</v>
      </c>
      <c r="K553">
        <v>1</v>
      </c>
      <c r="L553">
        <v>20000000</v>
      </c>
      <c r="M553">
        <v>190</v>
      </c>
      <c r="N553">
        <v>190</v>
      </c>
      <c r="O553">
        <v>190</v>
      </c>
      <c r="P553">
        <v>0</v>
      </c>
      <c r="Q553" t="s">
        <v>61</v>
      </c>
      <c r="R553">
        <v>99988480955608</v>
      </c>
      <c r="S553">
        <v>9998910</v>
      </c>
      <c r="T553">
        <v>99988480955608</v>
      </c>
      <c r="U553">
        <v>9998910</v>
      </c>
      <c r="V553" t="s">
        <v>71</v>
      </c>
      <c r="W553">
        <v>29</v>
      </c>
      <c r="X553">
        <v>6857890</v>
      </c>
      <c r="Y553">
        <v>5203291</v>
      </c>
      <c r="Z553">
        <v>12061181</v>
      </c>
      <c r="AA553">
        <v>9998910</v>
      </c>
      <c r="AB553">
        <v>1.7587299999999999</v>
      </c>
      <c r="AC553">
        <v>1.9216500000000001</v>
      </c>
      <c r="AD553">
        <v>1.8290200000000001</v>
      </c>
      <c r="AE553">
        <v>23.247499999999999</v>
      </c>
      <c r="AF553">
        <v>675426136</v>
      </c>
      <c r="AJ553" t="s">
        <v>1076</v>
      </c>
      <c r="AM553">
        <v>3046105795</v>
      </c>
      <c r="AN553">
        <v>0</v>
      </c>
      <c r="AO553">
        <v>338431975</v>
      </c>
      <c r="AP553">
        <v>3046105795</v>
      </c>
      <c r="AQ553">
        <v>3384537770</v>
      </c>
      <c r="AR553">
        <v>95190806</v>
      </c>
      <c r="AS553">
        <v>0</v>
      </c>
      <c r="AT553">
        <v>10575999</v>
      </c>
      <c r="AU553">
        <v>95190806</v>
      </c>
      <c r="AV553">
        <v>105766805</v>
      </c>
      <c r="AW553">
        <v>29.950299999999999</v>
      </c>
      <c r="AX553">
        <v>11.081099999999999</v>
      </c>
      <c r="AY553">
        <v>4990.2700000000004</v>
      </c>
      <c r="AZ553">
        <v>3581.48</v>
      </c>
      <c r="BA553">
        <v>1938</v>
      </c>
      <c r="BB553">
        <v>477</v>
      </c>
      <c r="BC553" t="str">
        <f t="shared" si="18"/>
        <v>u=10%, k=2x10^7</v>
      </c>
      <c r="BD553">
        <f t="shared" si="19"/>
        <v>32</v>
      </c>
    </row>
    <row r="554" spans="1:56">
      <c r="A554" t="s">
        <v>1077</v>
      </c>
      <c r="B554" t="s">
        <v>105</v>
      </c>
      <c r="D554" t="s">
        <v>64</v>
      </c>
      <c r="E554" t="s">
        <v>59</v>
      </c>
      <c r="F554" t="s">
        <v>60</v>
      </c>
      <c r="G554">
        <v>64000</v>
      </c>
      <c r="H554">
        <v>5</v>
      </c>
      <c r="I554">
        <v>5</v>
      </c>
      <c r="J554">
        <v>0</v>
      </c>
      <c r="K554">
        <v>1</v>
      </c>
      <c r="L554">
        <v>20000000</v>
      </c>
      <c r="M554">
        <v>190</v>
      </c>
      <c r="N554">
        <v>190</v>
      </c>
      <c r="O554">
        <v>190</v>
      </c>
      <c r="P554">
        <v>0</v>
      </c>
      <c r="Q554" t="s">
        <v>61</v>
      </c>
      <c r="R554">
        <v>100002962831356</v>
      </c>
      <c r="S554">
        <v>10000036</v>
      </c>
      <c r="T554">
        <v>100002962831356</v>
      </c>
      <c r="U554">
        <v>10000036</v>
      </c>
      <c r="V554" t="s">
        <v>71</v>
      </c>
      <c r="W554">
        <v>29</v>
      </c>
      <c r="X554">
        <v>6857638</v>
      </c>
      <c r="Y554">
        <v>5202405</v>
      </c>
      <c r="Z554">
        <v>12060043</v>
      </c>
      <c r="AA554">
        <v>10000036</v>
      </c>
      <c r="AB554">
        <v>1.7586299999999999</v>
      </c>
      <c r="AC554">
        <v>1.9221900000000001</v>
      </c>
      <c r="AD554">
        <v>1.8291900000000001</v>
      </c>
      <c r="AE554">
        <v>23.300899999999999</v>
      </c>
      <c r="AF554">
        <v>675362408</v>
      </c>
      <c r="AJ554" t="s">
        <v>1078</v>
      </c>
      <c r="AM554">
        <v>6071672048</v>
      </c>
      <c r="AN554">
        <v>0</v>
      </c>
      <c r="AO554">
        <v>674629194</v>
      </c>
      <c r="AP554">
        <v>6071672048</v>
      </c>
      <c r="AQ554">
        <v>6746301242</v>
      </c>
      <c r="AR554">
        <v>94869875</v>
      </c>
      <c r="AS554">
        <v>0</v>
      </c>
      <c r="AT554">
        <v>10541081</v>
      </c>
      <c r="AU554">
        <v>94869875</v>
      </c>
      <c r="AV554">
        <v>105410956</v>
      </c>
      <c r="AW554">
        <v>30.139299999999999</v>
      </c>
      <c r="AX554">
        <v>11.178800000000001</v>
      </c>
      <c r="AY554">
        <v>5008.75</v>
      </c>
      <c r="AZ554">
        <v>3603.33</v>
      </c>
      <c r="BA554">
        <v>1988</v>
      </c>
      <c r="BB554">
        <v>434</v>
      </c>
      <c r="BC554" t="str">
        <f t="shared" si="18"/>
        <v>u=10%, k=2x10^7</v>
      </c>
      <c r="BD554">
        <f t="shared" si="19"/>
        <v>64</v>
      </c>
    </row>
    <row r="555" spans="1:56">
      <c r="A555" t="s">
        <v>1079</v>
      </c>
      <c r="B555" t="s">
        <v>305</v>
      </c>
      <c r="D555" t="s">
        <v>64</v>
      </c>
      <c r="E555" t="s">
        <v>59</v>
      </c>
      <c r="F555" t="s">
        <v>60</v>
      </c>
      <c r="G555">
        <v>1000</v>
      </c>
      <c r="H555">
        <v>5</v>
      </c>
      <c r="I555">
        <v>5</v>
      </c>
      <c r="J555">
        <v>0</v>
      </c>
      <c r="K555">
        <v>1</v>
      </c>
      <c r="L555">
        <v>20000000</v>
      </c>
      <c r="M555">
        <v>190</v>
      </c>
      <c r="N555">
        <v>190</v>
      </c>
      <c r="O555">
        <v>190</v>
      </c>
      <c r="P555">
        <v>0</v>
      </c>
      <c r="Q555" t="s">
        <v>61</v>
      </c>
      <c r="R555">
        <v>99983569994723</v>
      </c>
      <c r="S555">
        <v>9998952</v>
      </c>
      <c r="T555">
        <v>99983569994723</v>
      </c>
      <c r="U555">
        <v>9998952</v>
      </c>
      <c r="V555" t="s">
        <v>71</v>
      </c>
      <c r="W555">
        <v>56</v>
      </c>
      <c r="X555">
        <v>9998951</v>
      </c>
      <c r="Y555">
        <v>9998952</v>
      </c>
      <c r="Z555">
        <v>19997903</v>
      </c>
      <c r="AA555">
        <v>9998952</v>
      </c>
      <c r="AB555">
        <v>2</v>
      </c>
      <c r="AC555">
        <v>1</v>
      </c>
      <c r="AD555">
        <v>1.5</v>
      </c>
      <c r="AE555">
        <v>30.713000000000001</v>
      </c>
      <c r="AF555">
        <v>639932896</v>
      </c>
      <c r="AJ555">
        <v>732</v>
      </c>
      <c r="AM555">
        <v>85786588</v>
      </c>
      <c r="AN555">
        <v>0</v>
      </c>
      <c r="AO555">
        <v>9524967</v>
      </c>
      <c r="AP555">
        <v>85786588</v>
      </c>
      <c r="AQ555">
        <v>95311555</v>
      </c>
      <c r="AR555">
        <v>85786588</v>
      </c>
      <c r="AS555">
        <v>0</v>
      </c>
      <c r="AT555">
        <v>9524967</v>
      </c>
      <c r="AU555">
        <v>85786588</v>
      </c>
      <c r="AV555">
        <v>95311555</v>
      </c>
      <c r="AW555">
        <v>25.2148</v>
      </c>
      <c r="AX555">
        <v>9.9772800000000004</v>
      </c>
      <c r="AY555">
        <v>5516.05</v>
      </c>
      <c r="AZ555">
        <v>4444.84</v>
      </c>
      <c r="BA555">
        <v>1760</v>
      </c>
      <c r="BB555">
        <v>406</v>
      </c>
      <c r="BC555" t="str">
        <f t="shared" si="18"/>
        <v>u=10%, k=2x10^7</v>
      </c>
      <c r="BD555">
        <f t="shared" si="19"/>
        <v>1</v>
      </c>
    </row>
    <row r="556" spans="1:56">
      <c r="A556" t="s">
        <v>1080</v>
      </c>
      <c r="B556" t="s">
        <v>305</v>
      </c>
      <c r="D556" t="s">
        <v>64</v>
      </c>
      <c r="E556" t="s">
        <v>59</v>
      </c>
      <c r="F556" t="s">
        <v>60</v>
      </c>
      <c r="G556">
        <v>2000</v>
      </c>
      <c r="H556">
        <v>5</v>
      </c>
      <c r="I556">
        <v>5</v>
      </c>
      <c r="J556">
        <v>0</v>
      </c>
      <c r="K556">
        <v>1</v>
      </c>
      <c r="L556">
        <v>20000000</v>
      </c>
      <c r="M556">
        <v>190</v>
      </c>
      <c r="N556">
        <v>190</v>
      </c>
      <c r="O556">
        <v>190</v>
      </c>
      <c r="P556">
        <v>0</v>
      </c>
      <c r="Q556" t="s">
        <v>61</v>
      </c>
      <c r="R556">
        <v>100035581305556</v>
      </c>
      <c r="S556">
        <v>10003037</v>
      </c>
      <c r="T556">
        <v>100035581305556</v>
      </c>
      <c r="U556">
        <v>10003037</v>
      </c>
      <c r="V556" t="s">
        <v>71</v>
      </c>
      <c r="W556">
        <v>59</v>
      </c>
      <c r="X556">
        <v>10003036</v>
      </c>
      <c r="Y556">
        <v>10003037</v>
      </c>
      <c r="Z556">
        <v>20006073</v>
      </c>
      <c r="AA556">
        <v>10003037</v>
      </c>
      <c r="AB556">
        <v>2</v>
      </c>
      <c r="AC556">
        <v>1</v>
      </c>
      <c r="AD556">
        <v>1.5</v>
      </c>
      <c r="AE556">
        <v>30.9802</v>
      </c>
      <c r="AF556">
        <v>640194336</v>
      </c>
      <c r="AJ556" t="s">
        <v>1081</v>
      </c>
      <c r="AM556">
        <v>172115492</v>
      </c>
      <c r="AN556">
        <v>0</v>
      </c>
      <c r="AO556">
        <v>19136214</v>
      </c>
      <c r="AP556">
        <v>172115492</v>
      </c>
      <c r="AQ556">
        <v>191251706</v>
      </c>
      <c r="AR556">
        <v>86057746</v>
      </c>
      <c r="AS556">
        <v>0</v>
      </c>
      <c r="AT556">
        <v>9568107</v>
      </c>
      <c r="AU556">
        <v>86057746</v>
      </c>
      <c r="AV556">
        <v>95625853</v>
      </c>
      <c r="AW556">
        <v>25.383900000000001</v>
      </c>
      <c r="AX556">
        <v>10.129</v>
      </c>
      <c r="AY556">
        <v>5525.69</v>
      </c>
      <c r="AZ556">
        <v>4462.3599999999997</v>
      </c>
      <c r="BA556">
        <v>1764</v>
      </c>
      <c r="BB556">
        <v>414</v>
      </c>
      <c r="BC556" t="str">
        <f t="shared" si="18"/>
        <v>u=10%, k=2x10^7</v>
      </c>
      <c r="BD556">
        <f t="shared" si="19"/>
        <v>2</v>
      </c>
    </row>
    <row r="557" spans="1:56">
      <c r="A557" t="s">
        <v>1082</v>
      </c>
      <c r="B557" t="s">
        <v>305</v>
      </c>
      <c r="D557" t="s">
        <v>64</v>
      </c>
      <c r="E557" t="s">
        <v>59</v>
      </c>
      <c r="F557" t="s">
        <v>60</v>
      </c>
      <c r="G557">
        <v>4000</v>
      </c>
      <c r="H557">
        <v>5</v>
      </c>
      <c r="I557">
        <v>5</v>
      </c>
      <c r="J557">
        <v>0</v>
      </c>
      <c r="K557">
        <v>1</v>
      </c>
      <c r="L557">
        <v>20000000</v>
      </c>
      <c r="M557">
        <v>190</v>
      </c>
      <c r="N557">
        <v>190</v>
      </c>
      <c r="O557">
        <v>190</v>
      </c>
      <c r="P557">
        <v>0</v>
      </c>
      <c r="Q557" t="s">
        <v>61</v>
      </c>
      <c r="R557">
        <v>99958167715815</v>
      </c>
      <c r="S557">
        <v>9995796</v>
      </c>
      <c r="T557">
        <v>99958167715815</v>
      </c>
      <c r="U557">
        <v>9995796</v>
      </c>
      <c r="V557" t="s">
        <v>71</v>
      </c>
      <c r="W557">
        <v>61</v>
      </c>
      <c r="X557">
        <v>9995795</v>
      </c>
      <c r="Y557">
        <v>9995796</v>
      </c>
      <c r="Z557">
        <v>19991591</v>
      </c>
      <c r="AA557">
        <v>9995796</v>
      </c>
      <c r="AB557">
        <v>2</v>
      </c>
      <c r="AC557">
        <v>1</v>
      </c>
      <c r="AD557">
        <v>1.5</v>
      </c>
      <c r="AE557">
        <v>31.926100000000002</v>
      </c>
      <c r="AF557">
        <v>639730912</v>
      </c>
      <c r="AJ557" t="s">
        <v>1083</v>
      </c>
      <c r="AM557">
        <v>342301799</v>
      </c>
      <c r="AN557">
        <v>0</v>
      </c>
      <c r="AO557">
        <v>38041305</v>
      </c>
      <c r="AP557">
        <v>342301799</v>
      </c>
      <c r="AQ557">
        <v>380343104</v>
      </c>
      <c r="AR557">
        <v>85575449</v>
      </c>
      <c r="AS557">
        <v>0</v>
      </c>
      <c r="AT557">
        <v>9510326</v>
      </c>
      <c r="AU557">
        <v>85575449</v>
      </c>
      <c r="AV557">
        <v>95085776</v>
      </c>
      <c r="AW557">
        <v>25.6434</v>
      </c>
      <c r="AX557">
        <v>10.2774</v>
      </c>
      <c r="AY557">
        <v>5559.94</v>
      </c>
      <c r="AZ557">
        <v>4503.97</v>
      </c>
      <c r="BA557">
        <v>1772</v>
      </c>
      <c r="BB557">
        <v>410</v>
      </c>
      <c r="BC557" t="str">
        <f t="shared" si="18"/>
        <v>u=10%, k=2x10^7</v>
      </c>
      <c r="BD557">
        <f t="shared" si="19"/>
        <v>4</v>
      </c>
    </row>
    <row r="558" spans="1:56">
      <c r="A558" t="s">
        <v>1084</v>
      </c>
      <c r="B558" t="s">
        <v>305</v>
      </c>
      <c r="D558" t="s">
        <v>64</v>
      </c>
      <c r="E558" t="s">
        <v>59</v>
      </c>
      <c r="F558" t="s">
        <v>60</v>
      </c>
      <c r="G558">
        <v>8000</v>
      </c>
      <c r="H558">
        <v>5</v>
      </c>
      <c r="I558">
        <v>5</v>
      </c>
      <c r="J558">
        <v>0</v>
      </c>
      <c r="K558">
        <v>1</v>
      </c>
      <c r="L558">
        <v>20000000</v>
      </c>
      <c r="M558">
        <v>190</v>
      </c>
      <c r="N558">
        <v>190</v>
      </c>
      <c r="O558">
        <v>190</v>
      </c>
      <c r="P558">
        <v>0</v>
      </c>
      <c r="Q558" t="s">
        <v>61</v>
      </c>
      <c r="R558">
        <v>100027898784606</v>
      </c>
      <c r="S558">
        <v>10003035</v>
      </c>
      <c r="T558">
        <v>100027898784606</v>
      </c>
      <c r="U558">
        <v>10003035</v>
      </c>
      <c r="V558" t="s">
        <v>71</v>
      </c>
      <c r="W558">
        <v>59</v>
      </c>
      <c r="X558">
        <v>10003034</v>
      </c>
      <c r="Y558">
        <v>10003035</v>
      </c>
      <c r="Z558">
        <v>20006069</v>
      </c>
      <c r="AA558">
        <v>10003035</v>
      </c>
      <c r="AB558">
        <v>2</v>
      </c>
      <c r="AC558">
        <v>1</v>
      </c>
      <c r="AD558">
        <v>1.5</v>
      </c>
      <c r="AE558">
        <v>30.374400000000001</v>
      </c>
      <c r="AF558">
        <v>640194208</v>
      </c>
      <c r="AJ558" t="s">
        <v>1085</v>
      </c>
      <c r="AM558">
        <v>679009384</v>
      </c>
      <c r="AN558">
        <v>0</v>
      </c>
      <c r="AO558">
        <v>75440501</v>
      </c>
      <c r="AP558">
        <v>679009384</v>
      </c>
      <c r="AQ558">
        <v>754449885</v>
      </c>
      <c r="AR558">
        <v>84876173</v>
      </c>
      <c r="AS558">
        <v>0</v>
      </c>
      <c r="AT558">
        <v>9430062</v>
      </c>
      <c r="AU558">
        <v>84876173</v>
      </c>
      <c r="AV558">
        <v>94306235</v>
      </c>
      <c r="AW558">
        <v>25.805099999999999</v>
      </c>
      <c r="AX558">
        <v>10.3918</v>
      </c>
      <c r="AY558">
        <v>5602.01</v>
      </c>
      <c r="AZ558">
        <v>4550.47</v>
      </c>
      <c r="BA558">
        <v>1789</v>
      </c>
      <c r="BB558">
        <v>427</v>
      </c>
      <c r="BC558" t="str">
        <f t="shared" si="18"/>
        <v>u=10%, k=2x10^7</v>
      </c>
      <c r="BD558">
        <f t="shared" si="19"/>
        <v>8</v>
      </c>
    </row>
    <row r="559" spans="1:56">
      <c r="A559" t="s">
        <v>1086</v>
      </c>
      <c r="B559" t="s">
        <v>305</v>
      </c>
      <c r="D559" t="s">
        <v>64</v>
      </c>
      <c r="E559" t="s">
        <v>59</v>
      </c>
      <c r="F559" t="s">
        <v>60</v>
      </c>
      <c r="G559">
        <v>16000</v>
      </c>
      <c r="H559">
        <v>5</v>
      </c>
      <c r="I559">
        <v>5</v>
      </c>
      <c r="J559">
        <v>0</v>
      </c>
      <c r="K559">
        <v>1</v>
      </c>
      <c r="L559">
        <v>20000000</v>
      </c>
      <c r="M559">
        <v>190</v>
      </c>
      <c r="N559">
        <v>190</v>
      </c>
      <c r="O559">
        <v>190</v>
      </c>
      <c r="P559">
        <v>0</v>
      </c>
      <c r="Q559" t="s">
        <v>61</v>
      </c>
      <c r="R559">
        <v>100025272914853</v>
      </c>
      <c r="S559">
        <v>10002363</v>
      </c>
      <c r="T559">
        <v>100025272914853</v>
      </c>
      <c r="U559">
        <v>10002363</v>
      </c>
      <c r="V559" t="s">
        <v>71</v>
      </c>
      <c r="W559">
        <v>59</v>
      </c>
      <c r="X559">
        <v>10002362</v>
      </c>
      <c r="Y559">
        <v>10002363</v>
      </c>
      <c r="Z559">
        <v>20004725</v>
      </c>
      <c r="AA559">
        <v>10002363</v>
      </c>
      <c r="AB559">
        <v>2</v>
      </c>
      <c r="AC559">
        <v>1</v>
      </c>
      <c r="AD559">
        <v>1.5</v>
      </c>
      <c r="AE559">
        <v>31.057200000000002</v>
      </c>
      <c r="AF559">
        <v>640151200</v>
      </c>
      <c r="AJ559">
        <v>8840</v>
      </c>
      <c r="AM559">
        <v>1351423945</v>
      </c>
      <c r="AN559">
        <v>0</v>
      </c>
      <c r="AO559">
        <v>150161669</v>
      </c>
      <c r="AP559">
        <v>1351423945</v>
      </c>
      <c r="AQ559">
        <v>1501585614</v>
      </c>
      <c r="AR559">
        <v>84463996</v>
      </c>
      <c r="AS559">
        <v>0</v>
      </c>
      <c r="AT559">
        <v>9385104</v>
      </c>
      <c r="AU559">
        <v>84463996</v>
      </c>
      <c r="AV559">
        <v>93849100</v>
      </c>
      <c r="AW559">
        <v>26.0014</v>
      </c>
      <c r="AX559">
        <v>10.4367</v>
      </c>
      <c r="AY559">
        <v>5637.1</v>
      </c>
      <c r="AZ559">
        <v>4589.9399999999996</v>
      </c>
      <c r="BA559">
        <v>1819</v>
      </c>
      <c r="BB559">
        <v>418</v>
      </c>
      <c r="BC559" t="str">
        <f t="shared" si="18"/>
        <v>u=10%, k=2x10^7</v>
      </c>
      <c r="BD559">
        <f t="shared" si="19"/>
        <v>16</v>
      </c>
    </row>
    <row r="560" spans="1:56">
      <c r="A560" t="s">
        <v>1087</v>
      </c>
      <c r="B560" t="s">
        <v>305</v>
      </c>
      <c r="D560" t="s">
        <v>64</v>
      </c>
      <c r="E560" t="s">
        <v>59</v>
      </c>
      <c r="F560" t="s">
        <v>60</v>
      </c>
      <c r="G560">
        <v>32000</v>
      </c>
      <c r="H560">
        <v>5</v>
      </c>
      <c r="I560">
        <v>5</v>
      </c>
      <c r="J560">
        <v>0</v>
      </c>
      <c r="K560">
        <v>1</v>
      </c>
      <c r="L560">
        <v>20000000</v>
      </c>
      <c r="M560">
        <v>190</v>
      </c>
      <c r="N560">
        <v>190</v>
      </c>
      <c r="O560">
        <v>190</v>
      </c>
      <c r="P560">
        <v>0</v>
      </c>
      <c r="Q560" t="s">
        <v>61</v>
      </c>
      <c r="R560">
        <v>100014868731410</v>
      </c>
      <c r="S560">
        <v>10000780</v>
      </c>
      <c r="T560">
        <v>100014868731410</v>
      </c>
      <c r="U560">
        <v>10000780</v>
      </c>
      <c r="V560" t="s">
        <v>71</v>
      </c>
      <c r="W560">
        <v>58</v>
      </c>
      <c r="X560">
        <v>10000779</v>
      </c>
      <c r="Y560">
        <v>10000780</v>
      </c>
      <c r="Z560">
        <v>20001559</v>
      </c>
      <c r="AA560">
        <v>10000780</v>
      </c>
      <c r="AB560">
        <v>2</v>
      </c>
      <c r="AC560">
        <v>1</v>
      </c>
      <c r="AD560">
        <v>1.5</v>
      </c>
      <c r="AE560">
        <v>31.470300000000002</v>
      </c>
      <c r="AF560">
        <v>640049888</v>
      </c>
      <c r="AJ560">
        <v>17516</v>
      </c>
      <c r="AM560">
        <v>2708031180</v>
      </c>
      <c r="AN560">
        <v>0</v>
      </c>
      <c r="AO560">
        <v>300905079</v>
      </c>
      <c r="AP560">
        <v>2708031180</v>
      </c>
      <c r="AQ560">
        <v>3008936259</v>
      </c>
      <c r="AR560">
        <v>84625974</v>
      </c>
      <c r="AS560">
        <v>0</v>
      </c>
      <c r="AT560">
        <v>9403283</v>
      </c>
      <c r="AU560">
        <v>84625974</v>
      </c>
      <c r="AV560">
        <v>94029258</v>
      </c>
      <c r="AW560">
        <v>25.990200000000002</v>
      </c>
      <c r="AX560">
        <v>10.430099999999999</v>
      </c>
      <c r="AY560">
        <v>5627.06</v>
      </c>
      <c r="AZ560">
        <v>4588.22</v>
      </c>
      <c r="BA560">
        <v>1876</v>
      </c>
      <c r="BB560">
        <v>407</v>
      </c>
      <c r="BC560" t="str">
        <f t="shared" si="18"/>
        <v>u=10%, k=2x10^7</v>
      </c>
      <c r="BD560">
        <f t="shared" si="19"/>
        <v>32</v>
      </c>
    </row>
    <row r="561" spans="1:56">
      <c r="A561" t="s">
        <v>1088</v>
      </c>
      <c r="B561" t="s">
        <v>305</v>
      </c>
      <c r="D561" t="s">
        <v>64</v>
      </c>
      <c r="E561" t="s">
        <v>59</v>
      </c>
      <c r="F561" t="s">
        <v>60</v>
      </c>
      <c r="G561">
        <v>64000</v>
      </c>
      <c r="H561">
        <v>5</v>
      </c>
      <c r="I561">
        <v>5</v>
      </c>
      <c r="J561">
        <v>0</v>
      </c>
      <c r="K561">
        <v>1</v>
      </c>
      <c r="L561">
        <v>20000000</v>
      </c>
      <c r="M561">
        <v>190</v>
      </c>
      <c r="N561">
        <v>190</v>
      </c>
      <c r="O561">
        <v>190</v>
      </c>
      <c r="P561">
        <v>0</v>
      </c>
      <c r="Q561" t="s">
        <v>61</v>
      </c>
      <c r="R561">
        <v>100047299540673</v>
      </c>
      <c r="S561">
        <v>10005163</v>
      </c>
      <c r="T561">
        <v>100047299540673</v>
      </c>
      <c r="U561">
        <v>10005163</v>
      </c>
      <c r="V561" t="s">
        <v>71</v>
      </c>
      <c r="W561">
        <v>59</v>
      </c>
      <c r="X561">
        <v>10005162</v>
      </c>
      <c r="Y561">
        <v>10005163</v>
      </c>
      <c r="Z561">
        <v>20010325</v>
      </c>
      <c r="AA561">
        <v>10005163</v>
      </c>
      <c r="AB561">
        <v>2</v>
      </c>
      <c r="AC561">
        <v>1</v>
      </c>
      <c r="AD561">
        <v>1.5</v>
      </c>
      <c r="AE561">
        <v>30.525600000000001</v>
      </c>
      <c r="AF561">
        <v>640330400</v>
      </c>
      <c r="AJ561" t="s">
        <v>1089</v>
      </c>
      <c r="AM561">
        <v>5426002896</v>
      </c>
      <c r="AN561">
        <v>0</v>
      </c>
      <c r="AO561">
        <v>602851770</v>
      </c>
      <c r="AP561">
        <v>5426002896</v>
      </c>
      <c r="AQ561">
        <v>6028854666</v>
      </c>
      <c r="AR561">
        <v>84781295</v>
      </c>
      <c r="AS561">
        <v>0</v>
      </c>
      <c r="AT561">
        <v>9419558</v>
      </c>
      <c r="AU561">
        <v>84781295</v>
      </c>
      <c r="AV561">
        <v>94200854</v>
      </c>
      <c r="AW561">
        <v>25.969100000000001</v>
      </c>
      <c r="AX561">
        <v>10.369300000000001</v>
      </c>
      <c r="AY561">
        <v>5615.91</v>
      </c>
      <c r="AZ561">
        <v>4575.58</v>
      </c>
      <c r="BA561">
        <v>1971</v>
      </c>
      <c r="BB561">
        <v>422</v>
      </c>
      <c r="BC561" t="str">
        <f t="shared" si="18"/>
        <v>u=10%, k=2x10^7</v>
      </c>
      <c r="BD561">
        <f t="shared" si="19"/>
        <v>64</v>
      </c>
    </row>
    <row r="562" spans="1:56">
      <c r="A562" t="s">
        <v>1090</v>
      </c>
      <c r="B562" t="s">
        <v>63</v>
      </c>
      <c r="C562">
        <v>72</v>
      </c>
      <c r="D562" t="s">
        <v>64</v>
      </c>
      <c r="E562" t="s">
        <v>59</v>
      </c>
      <c r="F562" t="s">
        <v>60</v>
      </c>
      <c r="G562">
        <v>1000</v>
      </c>
      <c r="H562">
        <v>5</v>
      </c>
      <c r="I562">
        <v>5</v>
      </c>
      <c r="J562">
        <v>0</v>
      </c>
      <c r="K562">
        <v>1</v>
      </c>
      <c r="L562">
        <v>200000000</v>
      </c>
      <c r="M562">
        <v>190</v>
      </c>
      <c r="N562">
        <v>190</v>
      </c>
      <c r="O562">
        <v>190</v>
      </c>
      <c r="P562">
        <v>0</v>
      </c>
      <c r="Q562" t="s">
        <v>61</v>
      </c>
      <c r="R562">
        <v>9999290138864380</v>
      </c>
      <c r="S562">
        <v>99995116</v>
      </c>
      <c r="T562">
        <v>9999290138864380</v>
      </c>
      <c r="U562">
        <v>99995116</v>
      </c>
      <c r="V562" t="s">
        <v>71</v>
      </c>
      <c r="W562">
        <v>7</v>
      </c>
      <c r="X562">
        <v>14128461</v>
      </c>
      <c r="Y562">
        <v>116415533</v>
      </c>
      <c r="Z562">
        <v>130543994</v>
      </c>
      <c r="AA562">
        <v>99995116</v>
      </c>
      <c r="AB562">
        <v>9.2397899999999993</v>
      </c>
      <c r="AC562">
        <v>0.85894999999999999</v>
      </c>
      <c r="AD562">
        <v>1.7659899999999999</v>
      </c>
      <c r="AE562">
        <v>4.0645800000000003</v>
      </c>
      <c r="AF562">
        <v>2995387856</v>
      </c>
      <c r="AG562" t="s">
        <v>1091</v>
      </c>
      <c r="AH562" t="s">
        <v>1092</v>
      </c>
      <c r="AJ562">
        <v>1020</v>
      </c>
      <c r="AM562">
        <v>155100397</v>
      </c>
      <c r="AN562">
        <v>0</v>
      </c>
      <c r="AO562">
        <v>17232586</v>
      </c>
      <c r="AP562">
        <v>155100397</v>
      </c>
      <c r="AQ562">
        <v>172332983</v>
      </c>
      <c r="AR562">
        <v>155100397</v>
      </c>
      <c r="AS562">
        <v>0</v>
      </c>
      <c r="AT562">
        <v>17232586</v>
      </c>
      <c r="AU562">
        <v>155100397</v>
      </c>
      <c r="AV562">
        <v>172332983</v>
      </c>
      <c r="AW562">
        <v>20.164300000000001</v>
      </c>
      <c r="AX562">
        <v>9.5081100000000003</v>
      </c>
      <c r="AY562">
        <v>3057.73</v>
      </c>
      <c r="AZ562">
        <v>2277.73</v>
      </c>
      <c r="BA562">
        <v>7792</v>
      </c>
      <c r="BB562">
        <v>1090</v>
      </c>
      <c r="BC562" t="str">
        <f t="shared" si="18"/>
        <v>u=10%, k=2x10^8</v>
      </c>
      <c r="BD562">
        <f t="shared" si="19"/>
        <v>1</v>
      </c>
    </row>
    <row r="563" spans="1:56">
      <c r="A563" t="s">
        <v>1093</v>
      </c>
      <c r="B563" t="s">
        <v>63</v>
      </c>
      <c r="C563">
        <v>72</v>
      </c>
      <c r="D563" t="s">
        <v>64</v>
      </c>
      <c r="E563" t="s">
        <v>59</v>
      </c>
      <c r="F563" t="s">
        <v>60</v>
      </c>
      <c r="G563">
        <v>2000</v>
      </c>
      <c r="H563">
        <v>5</v>
      </c>
      <c r="I563">
        <v>5</v>
      </c>
      <c r="J563">
        <v>0</v>
      </c>
      <c r="K563">
        <v>1</v>
      </c>
      <c r="L563">
        <v>200000000</v>
      </c>
      <c r="M563">
        <v>190</v>
      </c>
      <c r="N563">
        <v>190</v>
      </c>
      <c r="O563">
        <v>190</v>
      </c>
      <c r="P563">
        <v>0</v>
      </c>
      <c r="Q563" t="s">
        <v>61</v>
      </c>
      <c r="R563">
        <v>9999428208529120</v>
      </c>
      <c r="S563">
        <v>99999376</v>
      </c>
      <c r="T563">
        <v>9999428208529120</v>
      </c>
      <c r="U563">
        <v>99999376</v>
      </c>
      <c r="V563" t="s">
        <v>71</v>
      </c>
      <c r="W563">
        <v>7</v>
      </c>
      <c r="X563">
        <v>14936506</v>
      </c>
      <c r="Y563">
        <v>118255029</v>
      </c>
      <c r="Z563">
        <v>133191535</v>
      </c>
      <c r="AA563">
        <v>99999376</v>
      </c>
      <c r="AB563">
        <v>8.9171800000000001</v>
      </c>
      <c r="AC563">
        <v>0.84562499999999996</v>
      </c>
      <c r="AD563">
        <v>1.7507900000000001</v>
      </c>
      <c r="AE563">
        <v>4.0817100000000002</v>
      </c>
      <c r="AF563">
        <v>3091374960</v>
      </c>
      <c r="AG563" t="s">
        <v>1094</v>
      </c>
      <c r="AH563" t="s">
        <v>1095</v>
      </c>
      <c r="AI563">
        <v>13</v>
      </c>
      <c r="AJ563">
        <v>2086</v>
      </c>
      <c r="AM563">
        <v>310123623</v>
      </c>
      <c r="AN563">
        <v>0</v>
      </c>
      <c r="AO563">
        <v>34463894</v>
      </c>
      <c r="AP563">
        <v>310123623</v>
      </c>
      <c r="AQ563">
        <v>344587517</v>
      </c>
      <c r="AR563">
        <v>155061811</v>
      </c>
      <c r="AS563">
        <v>0</v>
      </c>
      <c r="AT563">
        <v>17231947</v>
      </c>
      <c r="AU563">
        <v>155061811</v>
      </c>
      <c r="AV563">
        <v>172293758</v>
      </c>
      <c r="AW563">
        <v>20.389299999999999</v>
      </c>
      <c r="AX563">
        <v>9.7870600000000003</v>
      </c>
      <c r="AY563">
        <v>3058.32</v>
      </c>
      <c r="AZ563">
        <v>2263.13</v>
      </c>
      <c r="BA563">
        <v>8186</v>
      </c>
      <c r="BB563">
        <v>1191</v>
      </c>
      <c r="BC563" t="str">
        <f t="shared" si="18"/>
        <v>u=10%, k=2x10^8</v>
      </c>
      <c r="BD563">
        <f t="shared" si="19"/>
        <v>2</v>
      </c>
    </row>
    <row r="564" spans="1:56">
      <c r="A564" t="s">
        <v>1096</v>
      </c>
      <c r="B564" t="s">
        <v>63</v>
      </c>
      <c r="C564">
        <v>72</v>
      </c>
      <c r="D564" t="s">
        <v>64</v>
      </c>
      <c r="E564" t="s">
        <v>59</v>
      </c>
      <c r="F564" t="s">
        <v>60</v>
      </c>
      <c r="G564">
        <v>4000</v>
      </c>
      <c r="H564">
        <v>5</v>
      </c>
      <c r="I564">
        <v>5</v>
      </c>
      <c r="J564">
        <v>0</v>
      </c>
      <c r="K564">
        <v>1</v>
      </c>
      <c r="L564">
        <v>200000000</v>
      </c>
      <c r="M564">
        <v>190</v>
      </c>
      <c r="N564">
        <v>190</v>
      </c>
      <c r="O564">
        <v>190</v>
      </c>
      <c r="P564">
        <v>0</v>
      </c>
      <c r="Q564" t="s">
        <v>61</v>
      </c>
      <c r="R564">
        <v>9999422913561380</v>
      </c>
      <c r="S564">
        <v>99996526</v>
      </c>
      <c r="T564">
        <v>9999422913561380</v>
      </c>
      <c r="U564">
        <v>99996526</v>
      </c>
      <c r="V564" t="s">
        <v>71</v>
      </c>
      <c r="W564">
        <v>7</v>
      </c>
      <c r="X564">
        <v>12636149</v>
      </c>
      <c r="Y564">
        <v>113283829</v>
      </c>
      <c r="Z564">
        <v>125919978</v>
      </c>
      <c r="AA564">
        <v>99996526</v>
      </c>
      <c r="AB564">
        <v>9.9650599999999994</v>
      </c>
      <c r="AC564">
        <v>0.88270800000000005</v>
      </c>
      <c r="AD564">
        <v>1.79413</v>
      </c>
      <c r="AE564">
        <v>4.0331799999999998</v>
      </c>
      <c r="AF564">
        <v>2824143488</v>
      </c>
      <c r="AG564" t="s">
        <v>1097</v>
      </c>
      <c r="AH564" t="s">
        <v>1098</v>
      </c>
      <c r="AI564">
        <v>18066</v>
      </c>
      <c r="AJ564">
        <v>3446</v>
      </c>
      <c r="AM564">
        <v>514620527</v>
      </c>
      <c r="AN564">
        <v>0</v>
      </c>
      <c r="AO564">
        <v>57192262</v>
      </c>
      <c r="AP564">
        <v>514620527</v>
      </c>
      <c r="AQ564">
        <v>571812789</v>
      </c>
      <c r="AR564">
        <v>128655131</v>
      </c>
      <c r="AS564">
        <v>0</v>
      </c>
      <c r="AT564">
        <v>14298065</v>
      </c>
      <c r="AU564">
        <v>128655131</v>
      </c>
      <c r="AV564">
        <v>142953197</v>
      </c>
      <c r="AW564">
        <v>21.843399999999999</v>
      </c>
      <c r="AX564">
        <v>10.805400000000001</v>
      </c>
      <c r="AY564">
        <v>3294.17</v>
      </c>
      <c r="AZ564">
        <v>2424.0300000000002</v>
      </c>
      <c r="BA564">
        <v>13824</v>
      </c>
      <c r="BB564">
        <v>1121</v>
      </c>
      <c r="BC564" t="str">
        <f t="shared" si="18"/>
        <v>u=10%, k=2x10^8</v>
      </c>
      <c r="BD564">
        <f t="shared" si="19"/>
        <v>4</v>
      </c>
    </row>
    <row r="565" spans="1:56">
      <c r="A565" t="s">
        <v>1099</v>
      </c>
      <c r="B565" t="s">
        <v>63</v>
      </c>
      <c r="C565">
        <v>72</v>
      </c>
      <c r="D565" t="s">
        <v>64</v>
      </c>
      <c r="E565" t="s">
        <v>59</v>
      </c>
      <c r="F565" t="s">
        <v>60</v>
      </c>
      <c r="G565">
        <v>8000</v>
      </c>
      <c r="H565">
        <v>5</v>
      </c>
      <c r="I565">
        <v>5</v>
      </c>
      <c r="J565">
        <v>0</v>
      </c>
      <c r="K565">
        <v>1</v>
      </c>
      <c r="L565">
        <v>200000000</v>
      </c>
      <c r="M565">
        <v>190</v>
      </c>
      <c r="N565">
        <v>190</v>
      </c>
      <c r="O565">
        <v>190</v>
      </c>
      <c r="P565">
        <v>0</v>
      </c>
      <c r="Q565" t="s">
        <v>61</v>
      </c>
      <c r="R565">
        <v>9999289369593590</v>
      </c>
      <c r="S565">
        <v>99997038</v>
      </c>
      <c r="T565">
        <v>9999289369593590</v>
      </c>
      <c r="U565">
        <v>99997038</v>
      </c>
      <c r="V565" t="s">
        <v>71</v>
      </c>
      <c r="W565">
        <v>7</v>
      </c>
      <c r="X565">
        <v>14218932</v>
      </c>
      <c r="Y565">
        <v>116617873</v>
      </c>
      <c r="Z565">
        <v>130836805</v>
      </c>
      <c r="AA565">
        <v>99997038</v>
      </c>
      <c r="AB565">
        <v>9.2015899999999995</v>
      </c>
      <c r="AC565">
        <v>0.85747600000000002</v>
      </c>
      <c r="AD565">
        <v>1.7642899999999999</v>
      </c>
      <c r="AE565">
        <v>4.0665100000000001</v>
      </c>
      <c r="AF565">
        <v>3006020656</v>
      </c>
      <c r="AG565" t="s">
        <v>1100</v>
      </c>
      <c r="AH565" t="s">
        <v>1101</v>
      </c>
      <c r="AI565">
        <v>33522</v>
      </c>
      <c r="AJ565">
        <v>6484</v>
      </c>
      <c r="AM565">
        <v>1063764600</v>
      </c>
      <c r="AN565">
        <v>0</v>
      </c>
      <c r="AO565">
        <v>118178578</v>
      </c>
      <c r="AP565">
        <v>1063764600</v>
      </c>
      <c r="AQ565">
        <v>1181943178</v>
      </c>
      <c r="AR565">
        <v>132970575</v>
      </c>
      <c r="AS565">
        <v>0</v>
      </c>
      <c r="AT565">
        <v>14772322</v>
      </c>
      <c r="AU565">
        <v>132970575</v>
      </c>
      <c r="AV565">
        <v>147742897</v>
      </c>
      <c r="AW565">
        <v>21.938500000000001</v>
      </c>
      <c r="AX565">
        <v>10.9399</v>
      </c>
      <c r="AY565">
        <v>3341.55</v>
      </c>
      <c r="AZ565">
        <v>2485.4</v>
      </c>
      <c r="BA565">
        <v>14241</v>
      </c>
      <c r="BB565">
        <v>1182</v>
      </c>
      <c r="BC565" t="str">
        <f t="shared" si="18"/>
        <v>u=10%, k=2x10^8</v>
      </c>
      <c r="BD565">
        <f t="shared" si="19"/>
        <v>8</v>
      </c>
    </row>
    <row r="566" spans="1:56">
      <c r="A566" t="s">
        <v>1102</v>
      </c>
      <c r="B566" t="s">
        <v>63</v>
      </c>
      <c r="C566">
        <v>72</v>
      </c>
      <c r="D566" t="s">
        <v>64</v>
      </c>
      <c r="E566" t="s">
        <v>59</v>
      </c>
      <c r="F566" t="s">
        <v>60</v>
      </c>
      <c r="G566">
        <v>16000</v>
      </c>
      <c r="H566">
        <v>5</v>
      </c>
      <c r="I566">
        <v>5</v>
      </c>
      <c r="J566">
        <v>0</v>
      </c>
      <c r="K566">
        <v>1</v>
      </c>
      <c r="L566">
        <v>200000000</v>
      </c>
      <c r="M566">
        <v>190</v>
      </c>
      <c r="N566">
        <v>190</v>
      </c>
      <c r="O566">
        <v>190</v>
      </c>
      <c r="P566">
        <v>0</v>
      </c>
      <c r="Q566" t="s">
        <v>61</v>
      </c>
      <c r="R566">
        <v>9999811135456650</v>
      </c>
      <c r="S566">
        <v>99997984</v>
      </c>
      <c r="T566">
        <v>9999811135456650</v>
      </c>
      <c r="U566">
        <v>99997984</v>
      </c>
      <c r="V566" t="s">
        <v>71</v>
      </c>
      <c r="W566">
        <v>7</v>
      </c>
      <c r="X566">
        <v>14952092</v>
      </c>
      <c r="Y566">
        <v>118285441</v>
      </c>
      <c r="Z566">
        <v>133237533</v>
      </c>
      <c r="AA566">
        <v>99997984</v>
      </c>
      <c r="AB566">
        <v>8.9109599999999993</v>
      </c>
      <c r="AC566">
        <v>0.84539600000000004</v>
      </c>
      <c r="AD566">
        <v>1.7505200000000001</v>
      </c>
      <c r="AE566">
        <v>4.0821899999999998</v>
      </c>
      <c r="AF566">
        <v>3093014240</v>
      </c>
      <c r="AG566" t="s">
        <v>1103</v>
      </c>
      <c r="AH566" t="s">
        <v>1104</v>
      </c>
      <c r="AI566">
        <v>64918</v>
      </c>
      <c r="AJ566">
        <v>11428</v>
      </c>
      <c r="AM566">
        <v>2093715428</v>
      </c>
      <c r="AN566">
        <v>0</v>
      </c>
      <c r="AO566">
        <v>232634829</v>
      </c>
      <c r="AP566">
        <v>2093715428</v>
      </c>
      <c r="AQ566">
        <v>2326350257</v>
      </c>
      <c r="AR566">
        <v>130857214</v>
      </c>
      <c r="AS566">
        <v>0</v>
      </c>
      <c r="AT566">
        <v>14539676</v>
      </c>
      <c r="AU566">
        <v>130857214</v>
      </c>
      <c r="AV566">
        <v>145396891</v>
      </c>
      <c r="AW566">
        <v>22.051200000000001</v>
      </c>
      <c r="AX566">
        <v>11.0923</v>
      </c>
      <c r="AY566">
        <v>3391.63</v>
      </c>
      <c r="AZ566">
        <v>2522.89</v>
      </c>
      <c r="BA566">
        <v>14251</v>
      </c>
      <c r="BB566">
        <v>1090</v>
      </c>
      <c r="BC566" t="str">
        <f t="shared" si="18"/>
        <v>u=10%, k=2x10^8</v>
      </c>
      <c r="BD566">
        <f t="shared" si="19"/>
        <v>16</v>
      </c>
    </row>
    <row r="567" spans="1:56">
      <c r="A567" t="s">
        <v>1105</v>
      </c>
      <c r="B567" t="s">
        <v>63</v>
      </c>
      <c r="C567">
        <v>72</v>
      </c>
      <c r="D567" t="s">
        <v>64</v>
      </c>
      <c r="E567" t="s">
        <v>59</v>
      </c>
      <c r="F567" t="s">
        <v>60</v>
      </c>
      <c r="G567">
        <v>32000</v>
      </c>
      <c r="H567">
        <v>5</v>
      </c>
      <c r="I567">
        <v>5</v>
      </c>
      <c r="J567">
        <v>0</v>
      </c>
      <c r="K567">
        <v>1</v>
      </c>
      <c r="L567">
        <v>200000000</v>
      </c>
      <c r="M567">
        <v>190</v>
      </c>
      <c r="N567">
        <v>190</v>
      </c>
      <c r="O567">
        <v>190</v>
      </c>
      <c r="P567">
        <v>0</v>
      </c>
      <c r="Q567" t="s">
        <v>61</v>
      </c>
      <c r="R567">
        <v>9999908822961820</v>
      </c>
      <c r="S567">
        <v>99991969</v>
      </c>
      <c r="T567">
        <v>9999908822961820</v>
      </c>
      <c r="U567">
        <v>99991969</v>
      </c>
      <c r="V567" t="s">
        <v>71</v>
      </c>
      <c r="W567">
        <v>7</v>
      </c>
      <c r="X567">
        <v>11010044</v>
      </c>
      <c r="Y567">
        <v>109992055</v>
      </c>
      <c r="Z567">
        <v>121002099</v>
      </c>
      <c r="AA567">
        <v>99991969</v>
      </c>
      <c r="AB567">
        <v>10.9902</v>
      </c>
      <c r="AC567">
        <v>0.909084</v>
      </c>
      <c r="AD567">
        <v>1.82637</v>
      </c>
      <c r="AE567">
        <v>4</v>
      </c>
      <c r="AF567">
        <v>2640676384</v>
      </c>
      <c r="AG567" t="s">
        <v>1106</v>
      </c>
      <c r="AH567" t="s">
        <v>1107</v>
      </c>
      <c r="AI567">
        <v>147243</v>
      </c>
      <c r="AJ567">
        <v>20044</v>
      </c>
      <c r="AM567">
        <v>4049465934</v>
      </c>
      <c r="AN567">
        <v>0</v>
      </c>
      <c r="AO567">
        <v>449972638</v>
      </c>
      <c r="AP567">
        <v>4049465934</v>
      </c>
      <c r="AQ567">
        <v>4499438572</v>
      </c>
      <c r="AR567">
        <v>126545810</v>
      </c>
      <c r="AS567">
        <v>0</v>
      </c>
      <c r="AT567">
        <v>14061644</v>
      </c>
      <c r="AU567">
        <v>126545810</v>
      </c>
      <c r="AV567">
        <v>140607455</v>
      </c>
      <c r="AW567">
        <v>22.388999999999999</v>
      </c>
      <c r="AX567">
        <v>11.384499999999999</v>
      </c>
      <c r="AY567">
        <v>3476.12</v>
      </c>
      <c r="AZ567">
        <v>2596.17</v>
      </c>
      <c r="BA567">
        <v>14283</v>
      </c>
      <c r="BB567">
        <v>1143</v>
      </c>
      <c r="BC567" t="str">
        <f t="shared" si="18"/>
        <v>u=10%, k=2x10^8</v>
      </c>
      <c r="BD567">
        <f t="shared" si="19"/>
        <v>32</v>
      </c>
    </row>
    <row r="568" spans="1:56">
      <c r="A568" t="s">
        <v>1108</v>
      </c>
      <c r="B568" t="s">
        <v>63</v>
      </c>
      <c r="C568">
        <v>72</v>
      </c>
      <c r="D568" t="s">
        <v>64</v>
      </c>
      <c r="E568" t="s">
        <v>59</v>
      </c>
      <c r="F568" t="s">
        <v>60</v>
      </c>
      <c r="G568">
        <v>64000</v>
      </c>
      <c r="H568">
        <v>5</v>
      </c>
      <c r="I568">
        <v>5</v>
      </c>
      <c r="J568">
        <v>0</v>
      </c>
      <c r="K568">
        <v>1</v>
      </c>
      <c r="L568">
        <v>200000000</v>
      </c>
      <c r="M568">
        <v>190</v>
      </c>
      <c r="N568">
        <v>190</v>
      </c>
      <c r="O568">
        <v>190</v>
      </c>
      <c r="P568">
        <v>0</v>
      </c>
      <c r="Q568" t="s">
        <v>61</v>
      </c>
      <c r="R568">
        <v>9999730931978410</v>
      </c>
      <c r="S568">
        <v>99993054</v>
      </c>
      <c r="T568">
        <v>9999730931978410</v>
      </c>
      <c r="U568">
        <v>99993054</v>
      </c>
      <c r="V568" t="s">
        <v>71</v>
      </c>
      <c r="W568">
        <v>7</v>
      </c>
      <c r="X568">
        <v>14485754</v>
      </c>
      <c r="Y568">
        <v>117239480</v>
      </c>
      <c r="Z568">
        <v>131725234</v>
      </c>
      <c r="AA568">
        <v>99993054</v>
      </c>
      <c r="AB568">
        <v>9.0934299999999997</v>
      </c>
      <c r="AC568">
        <v>0.85289599999999999</v>
      </c>
      <c r="AD568">
        <v>1.7591000000000001</v>
      </c>
      <c r="AE568">
        <v>4.0701999999999998</v>
      </c>
      <c r="AF568">
        <v>3038525168</v>
      </c>
      <c r="AG568" t="s">
        <v>1109</v>
      </c>
      <c r="AH568" t="s">
        <v>1110</v>
      </c>
      <c r="AI568">
        <v>270992</v>
      </c>
      <c r="AJ568">
        <v>36492</v>
      </c>
      <c r="AM568">
        <v>8032152467</v>
      </c>
      <c r="AN568">
        <v>0</v>
      </c>
      <c r="AO568">
        <v>892486480</v>
      </c>
      <c r="AP568">
        <v>8032152467</v>
      </c>
      <c r="AQ568">
        <v>8924638947</v>
      </c>
      <c r="AR568">
        <v>125502382</v>
      </c>
      <c r="AS568">
        <v>0</v>
      </c>
      <c r="AT568">
        <v>13945101</v>
      </c>
      <c r="AU568">
        <v>125502382</v>
      </c>
      <c r="AV568">
        <v>139447483</v>
      </c>
      <c r="AW568">
        <v>22.281099999999999</v>
      </c>
      <c r="AX568">
        <v>11.3893</v>
      </c>
      <c r="AY568">
        <v>3480.12</v>
      </c>
      <c r="AZ568">
        <v>2601.5300000000002</v>
      </c>
      <c r="BA568">
        <v>14294</v>
      </c>
      <c r="BB568">
        <v>1148</v>
      </c>
      <c r="BC568" t="str">
        <f t="shared" si="18"/>
        <v>u=10%, k=2x10^8</v>
      </c>
      <c r="BD568">
        <f t="shared" si="19"/>
        <v>64</v>
      </c>
    </row>
    <row r="569" spans="1:56">
      <c r="A569" t="s">
        <v>1111</v>
      </c>
      <c r="B569" t="s">
        <v>300</v>
      </c>
      <c r="C569">
        <v>208</v>
      </c>
      <c r="D569" t="s">
        <v>64</v>
      </c>
      <c r="E569" t="s">
        <v>59</v>
      </c>
      <c r="F569" t="s">
        <v>60</v>
      </c>
      <c r="G569">
        <v>1000</v>
      </c>
      <c r="H569">
        <v>5</v>
      </c>
      <c r="I569">
        <v>5</v>
      </c>
      <c r="J569">
        <v>0</v>
      </c>
      <c r="K569">
        <v>1</v>
      </c>
      <c r="L569">
        <v>200000000</v>
      </c>
      <c r="M569">
        <v>190</v>
      </c>
      <c r="N569">
        <v>190</v>
      </c>
      <c r="O569">
        <v>190</v>
      </c>
      <c r="P569">
        <v>0</v>
      </c>
      <c r="Q569" t="s">
        <v>61</v>
      </c>
      <c r="R569">
        <v>1.000022623447E+16</v>
      </c>
      <c r="S569">
        <v>100002875</v>
      </c>
      <c r="T569">
        <v>1.000022623447E+16</v>
      </c>
      <c r="U569">
        <v>100002875</v>
      </c>
      <c r="V569" t="s">
        <v>71</v>
      </c>
      <c r="W569">
        <v>10</v>
      </c>
      <c r="X569">
        <v>1910597</v>
      </c>
      <c r="Y569">
        <v>13144374</v>
      </c>
      <c r="Z569">
        <v>15054971</v>
      </c>
      <c r="AA569">
        <v>100002875</v>
      </c>
      <c r="AB569">
        <v>7.8797199999999998</v>
      </c>
      <c r="AC569">
        <v>7.6080399999999999</v>
      </c>
      <c r="AD569">
        <v>7.6425200000000002</v>
      </c>
      <c r="AE569">
        <v>9</v>
      </c>
      <c r="AF569">
        <v>3131433968</v>
      </c>
      <c r="AJ569" t="s">
        <v>1112</v>
      </c>
      <c r="AM569">
        <v>131008100</v>
      </c>
      <c r="AN569">
        <v>0</v>
      </c>
      <c r="AO569">
        <v>14558501</v>
      </c>
      <c r="AP569">
        <v>131008100</v>
      </c>
      <c r="AQ569">
        <v>145566601</v>
      </c>
      <c r="AR569">
        <v>131008100</v>
      </c>
      <c r="AS569">
        <v>0</v>
      </c>
      <c r="AT569">
        <v>14558501</v>
      </c>
      <c r="AU569">
        <v>131008100</v>
      </c>
      <c r="AV569">
        <v>145566601</v>
      </c>
      <c r="AW569">
        <v>24.421900000000001</v>
      </c>
      <c r="AX569">
        <v>10.6991</v>
      </c>
      <c r="AY569">
        <v>3616.91</v>
      </c>
      <c r="AZ569">
        <v>2601.6999999999998</v>
      </c>
      <c r="BA569">
        <v>5230</v>
      </c>
      <c r="BB569">
        <v>6127</v>
      </c>
      <c r="BC569" t="str">
        <f t="shared" si="18"/>
        <v>u=10%, k=2x10^8</v>
      </c>
      <c r="BD569">
        <f t="shared" si="19"/>
        <v>1</v>
      </c>
    </row>
    <row r="570" spans="1:56">
      <c r="A570" t="s">
        <v>1113</v>
      </c>
      <c r="B570" t="s">
        <v>300</v>
      </c>
      <c r="C570">
        <v>208</v>
      </c>
      <c r="D570" t="s">
        <v>64</v>
      </c>
      <c r="E570" t="s">
        <v>59</v>
      </c>
      <c r="F570" t="s">
        <v>60</v>
      </c>
      <c r="G570">
        <v>2000</v>
      </c>
      <c r="H570">
        <v>5</v>
      </c>
      <c r="I570">
        <v>5</v>
      </c>
      <c r="J570">
        <v>0</v>
      </c>
      <c r="K570">
        <v>1</v>
      </c>
      <c r="L570">
        <v>200000000</v>
      </c>
      <c r="M570">
        <v>190</v>
      </c>
      <c r="N570">
        <v>190</v>
      </c>
      <c r="O570">
        <v>190</v>
      </c>
      <c r="P570">
        <v>0</v>
      </c>
      <c r="Q570" t="s">
        <v>61</v>
      </c>
      <c r="R570">
        <v>9999627917830380</v>
      </c>
      <c r="S570">
        <v>100000191</v>
      </c>
      <c r="T570">
        <v>9999627917830380</v>
      </c>
      <c r="U570">
        <v>100000191</v>
      </c>
      <c r="V570" t="s">
        <v>71</v>
      </c>
      <c r="W570">
        <v>10</v>
      </c>
      <c r="X570">
        <v>1953410</v>
      </c>
      <c r="Y570">
        <v>13439563</v>
      </c>
      <c r="Z570">
        <v>15392973</v>
      </c>
      <c r="AA570">
        <v>100000191</v>
      </c>
      <c r="AB570">
        <v>7.8800499999999998</v>
      </c>
      <c r="AC570">
        <v>7.4407300000000003</v>
      </c>
      <c r="AD570">
        <v>7.49648</v>
      </c>
      <c r="AE570">
        <v>9</v>
      </c>
      <c r="AF570">
        <v>3201738384</v>
      </c>
      <c r="AJ570" t="s">
        <v>1114</v>
      </c>
      <c r="AM570">
        <v>263169521</v>
      </c>
      <c r="AN570">
        <v>0</v>
      </c>
      <c r="AO570">
        <v>29228403</v>
      </c>
      <c r="AP570">
        <v>263169521</v>
      </c>
      <c r="AQ570">
        <v>292397924</v>
      </c>
      <c r="AR570">
        <v>131584760</v>
      </c>
      <c r="AS570">
        <v>0</v>
      </c>
      <c r="AT570">
        <v>14614201</v>
      </c>
      <c r="AU570">
        <v>131584760</v>
      </c>
      <c r="AV570">
        <v>146198962</v>
      </c>
      <c r="AW570">
        <v>24.398800000000001</v>
      </c>
      <c r="AX570">
        <v>10.729699999999999</v>
      </c>
      <c r="AY570">
        <v>3606.83</v>
      </c>
      <c r="AZ570">
        <v>2599.27</v>
      </c>
      <c r="BA570">
        <v>5322</v>
      </c>
      <c r="BB570">
        <v>5985</v>
      </c>
      <c r="BC570" t="str">
        <f t="shared" si="18"/>
        <v>u=10%, k=2x10^8</v>
      </c>
      <c r="BD570">
        <f t="shared" si="19"/>
        <v>2</v>
      </c>
    </row>
    <row r="571" spans="1:56">
      <c r="A571" t="s">
        <v>1115</v>
      </c>
      <c r="B571" t="s">
        <v>300</v>
      </c>
      <c r="C571">
        <v>208</v>
      </c>
      <c r="D571" t="s">
        <v>64</v>
      </c>
      <c r="E571" t="s">
        <v>59</v>
      </c>
      <c r="F571" t="s">
        <v>60</v>
      </c>
      <c r="G571">
        <v>4000</v>
      </c>
      <c r="H571">
        <v>5</v>
      </c>
      <c r="I571">
        <v>5</v>
      </c>
      <c r="J571">
        <v>0</v>
      </c>
      <c r="K571">
        <v>1</v>
      </c>
      <c r="L571">
        <v>200000000</v>
      </c>
      <c r="M571">
        <v>190</v>
      </c>
      <c r="N571">
        <v>190</v>
      </c>
      <c r="O571">
        <v>190</v>
      </c>
      <c r="P571">
        <v>0</v>
      </c>
      <c r="Q571" t="s">
        <v>61</v>
      </c>
      <c r="R571">
        <v>1.00000701482587E+16</v>
      </c>
      <c r="S571">
        <v>99999785</v>
      </c>
      <c r="T571">
        <v>1.00000701482587E+16</v>
      </c>
      <c r="U571">
        <v>99999785</v>
      </c>
      <c r="V571" t="s">
        <v>71</v>
      </c>
      <c r="W571">
        <v>10</v>
      </c>
      <c r="X571">
        <v>2019220</v>
      </c>
      <c r="Y571">
        <v>13891320</v>
      </c>
      <c r="Z571">
        <v>15910540</v>
      </c>
      <c r="AA571">
        <v>99999785</v>
      </c>
      <c r="AB571">
        <v>7.8795500000000001</v>
      </c>
      <c r="AC571">
        <v>7.1987199999999998</v>
      </c>
      <c r="AD571">
        <v>7.2851299999999997</v>
      </c>
      <c r="AE571">
        <v>9</v>
      </c>
      <c r="AF571">
        <v>3309392320</v>
      </c>
      <c r="AJ571" t="s">
        <v>1116</v>
      </c>
      <c r="AM571">
        <v>527703044</v>
      </c>
      <c r="AN571">
        <v>0</v>
      </c>
      <c r="AO571">
        <v>58632505</v>
      </c>
      <c r="AP571">
        <v>527703044</v>
      </c>
      <c r="AQ571">
        <v>586335549</v>
      </c>
      <c r="AR571">
        <v>131925761</v>
      </c>
      <c r="AS571">
        <v>0</v>
      </c>
      <c r="AT571">
        <v>14658126</v>
      </c>
      <c r="AU571">
        <v>131925761</v>
      </c>
      <c r="AV571">
        <v>146583887</v>
      </c>
      <c r="AW571">
        <v>24.459</v>
      </c>
      <c r="AX571">
        <v>10.7796</v>
      </c>
      <c r="AY571">
        <v>3600.48</v>
      </c>
      <c r="AZ571">
        <v>2604.8000000000002</v>
      </c>
      <c r="BA571">
        <v>5470</v>
      </c>
      <c r="BB571">
        <v>5992</v>
      </c>
      <c r="BC571" t="str">
        <f t="shared" si="18"/>
        <v>u=10%, k=2x10^8</v>
      </c>
      <c r="BD571">
        <f t="shared" si="19"/>
        <v>4</v>
      </c>
    </row>
    <row r="572" spans="1:56">
      <c r="A572" t="s">
        <v>1117</v>
      </c>
      <c r="B572" t="s">
        <v>300</v>
      </c>
      <c r="C572">
        <v>208</v>
      </c>
      <c r="D572" t="s">
        <v>64</v>
      </c>
      <c r="E572" t="s">
        <v>59</v>
      </c>
      <c r="F572" t="s">
        <v>60</v>
      </c>
      <c r="G572">
        <v>8000</v>
      </c>
      <c r="H572">
        <v>5</v>
      </c>
      <c r="I572">
        <v>5</v>
      </c>
      <c r="J572">
        <v>0</v>
      </c>
      <c r="K572">
        <v>1</v>
      </c>
      <c r="L572">
        <v>200000000</v>
      </c>
      <c r="M572">
        <v>190</v>
      </c>
      <c r="N572">
        <v>190</v>
      </c>
      <c r="O572">
        <v>190</v>
      </c>
      <c r="P572">
        <v>0</v>
      </c>
      <c r="Q572" t="s">
        <v>61</v>
      </c>
      <c r="R572">
        <v>1.00004022967149E+16</v>
      </c>
      <c r="S572">
        <v>100009046</v>
      </c>
      <c r="T572">
        <v>1.00004022967149E+16</v>
      </c>
      <c r="U572">
        <v>100009046</v>
      </c>
      <c r="V572" t="s">
        <v>71</v>
      </c>
      <c r="W572">
        <v>10</v>
      </c>
      <c r="X572">
        <v>2113532</v>
      </c>
      <c r="Y572">
        <v>14540167</v>
      </c>
      <c r="Z572">
        <v>16653699</v>
      </c>
      <c r="AA572">
        <v>100009046</v>
      </c>
      <c r="AB572">
        <v>7.8795599999999997</v>
      </c>
      <c r="AC572">
        <v>6.87812</v>
      </c>
      <c r="AD572">
        <v>7.0052199999999996</v>
      </c>
      <c r="AE572">
        <v>9</v>
      </c>
      <c r="AF572">
        <v>3463969392</v>
      </c>
      <c r="AJ572" t="s">
        <v>1118</v>
      </c>
      <c r="AM572">
        <v>1044564957</v>
      </c>
      <c r="AN572">
        <v>0</v>
      </c>
      <c r="AO572">
        <v>116082290</v>
      </c>
      <c r="AP572">
        <v>1044564957</v>
      </c>
      <c r="AQ572">
        <v>1160647247</v>
      </c>
      <c r="AR572">
        <v>130570619</v>
      </c>
      <c r="AS572">
        <v>0</v>
      </c>
      <c r="AT572">
        <v>14510286</v>
      </c>
      <c r="AU572">
        <v>130570619</v>
      </c>
      <c r="AV572">
        <v>145080905</v>
      </c>
      <c r="AW572">
        <v>24.546099999999999</v>
      </c>
      <c r="AX572">
        <v>10.8217</v>
      </c>
      <c r="AY572">
        <v>3637.04</v>
      </c>
      <c r="AZ572">
        <v>2636.99</v>
      </c>
      <c r="BA572">
        <v>5644</v>
      </c>
      <c r="BB572">
        <v>6017</v>
      </c>
      <c r="BC572" t="str">
        <f t="shared" si="18"/>
        <v>u=10%, k=2x10^8</v>
      </c>
      <c r="BD572">
        <f t="shared" si="19"/>
        <v>8</v>
      </c>
    </row>
    <row r="573" spans="1:56">
      <c r="A573" t="s">
        <v>1119</v>
      </c>
      <c r="B573" t="s">
        <v>300</v>
      </c>
      <c r="C573">
        <v>208</v>
      </c>
      <c r="D573" t="s">
        <v>64</v>
      </c>
      <c r="E573" t="s">
        <v>59</v>
      </c>
      <c r="F573" t="s">
        <v>60</v>
      </c>
      <c r="G573">
        <v>16000</v>
      </c>
      <c r="H573">
        <v>5</v>
      </c>
      <c r="I573">
        <v>5</v>
      </c>
      <c r="J573">
        <v>0</v>
      </c>
      <c r="K573">
        <v>1</v>
      </c>
      <c r="L573">
        <v>200000000</v>
      </c>
      <c r="M573">
        <v>190</v>
      </c>
      <c r="N573">
        <v>190</v>
      </c>
      <c r="O573">
        <v>190</v>
      </c>
      <c r="P573">
        <v>0</v>
      </c>
      <c r="Q573" t="s">
        <v>61</v>
      </c>
      <c r="R573">
        <v>9999586643536080</v>
      </c>
      <c r="S573">
        <v>99997222</v>
      </c>
      <c r="T573">
        <v>9999586643536080</v>
      </c>
      <c r="U573">
        <v>99997222</v>
      </c>
      <c r="V573" t="s">
        <v>71</v>
      </c>
      <c r="W573">
        <v>11</v>
      </c>
      <c r="X573">
        <v>2244592</v>
      </c>
      <c r="Y573">
        <v>15442149</v>
      </c>
      <c r="Z573">
        <v>17686741</v>
      </c>
      <c r="AA573">
        <v>99997222</v>
      </c>
      <c r="AB573">
        <v>7.8797100000000002</v>
      </c>
      <c r="AC573">
        <v>6.4756</v>
      </c>
      <c r="AD573">
        <v>6.6538000000000004</v>
      </c>
      <c r="AE573">
        <v>10</v>
      </c>
      <c r="AF573">
        <v>3678842128</v>
      </c>
      <c r="AJ573" t="s">
        <v>1120</v>
      </c>
      <c r="AM573">
        <v>2074002396</v>
      </c>
      <c r="AN573">
        <v>0</v>
      </c>
      <c r="AO573">
        <v>230460018</v>
      </c>
      <c r="AP573">
        <v>2074002396</v>
      </c>
      <c r="AQ573">
        <v>2304462414</v>
      </c>
      <c r="AR573">
        <v>129625149</v>
      </c>
      <c r="AS573">
        <v>0</v>
      </c>
      <c r="AT573">
        <v>14403751</v>
      </c>
      <c r="AU573">
        <v>129625149</v>
      </c>
      <c r="AV573">
        <v>144028900</v>
      </c>
      <c r="AW573">
        <v>24.656700000000001</v>
      </c>
      <c r="AX573">
        <v>10.939299999999999</v>
      </c>
      <c r="AY573">
        <v>3665.68</v>
      </c>
      <c r="AZ573">
        <v>2673.39</v>
      </c>
      <c r="BA573">
        <v>5954</v>
      </c>
      <c r="BB573">
        <v>5994</v>
      </c>
      <c r="BC573" t="str">
        <f t="shared" si="18"/>
        <v>u=10%, k=2x10^8</v>
      </c>
      <c r="BD573">
        <f t="shared" si="19"/>
        <v>16</v>
      </c>
    </row>
    <row r="574" spans="1:56">
      <c r="A574" t="s">
        <v>1121</v>
      </c>
      <c r="B574" t="s">
        <v>300</v>
      </c>
      <c r="C574">
        <v>208</v>
      </c>
      <c r="D574" t="s">
        <v>64</v>
      </c>
      <c r="E574" t="s">
        <v>59</v>
      </c>
      <c r="F574" t="s">
        <v>60</v>
      </c>
      <c r="G574">
        <v>32000</v>
      </c>
      <c r="H574">
        <v>5</v>
      </c>
      <c r="I574">
        <v>5</v>
      </c>
      <c r="J574">
        <v>0</v>
      </c>
      <c r="K574">
        <v>1</v>
      </c>
      <c r="L574">
        <v>200000000</v>
      </c>
      <c r="M574">
        <v>190</v>
      </c>
      <c r="N574">
        <v>190</v>
      </c>
      <c r="O574">
        <v>190</v>
      </c>
      <c r="P574">
        <v>0</v>
      </c>
      <c r="Q574" t="s">
        <v>61</v>
      </c>
      <c r="R574">
        <v>9999862796046220</v>
      </c>
      <c r="S574">
        <v>100001381</v>
      </c>
      <c r="T574">
        <v>9999862796046220</v>
      </c>
      <c r="U574">
        <v>100001381</v>
      </c>
      <c r="V574" t="s">
        <v>71</v>
      </c>
      <c r="W574">
        <v>11</v>
      </c>
      <c r="X574">
        <v>2410941</v>
      </c>
      <c r="Y574">
        <v>16566824</v>
      </c>
      <c r="Z574">
        <v>18977765</v>
      </c>
      <c r="AA574">
        <v>100001381</v>
      </c>
      <c r="AB574">
        <v>7.8715200000000003</v>
      </c>
      <c r="AC574">
        <v>6.0362400000000003</v>
      </c>
      <c r="AD574">
        <v>6.2694000000000001</v>
      </c>
      <c r="AE574">
        <v>10</v>
      </c>
      <c r="AF574">
        <v>3947375120</v>
      </c>
      <c r="AJ574" t="s">
        <v>1122</v>
      </c>
      <c r="AM574">
        <v>4113027357</v>
      </c>
      <c r="AN574">
        <v>0</v>
      </c>
      <c r="AO574">
        <v>456994130</v>
      </c>
      <c r="AP574">
        <v>4113027357</v>
      </c>
      <c r="AQ574">
        <v>4570021487</v>
      </c>
      <c r="AR574">
        <v>128532104</v>
      </c>
      <c r="AS574">
        <v>0</v>
      </c>
      <c r="AT574">
        <v>14281066</v>
      </c>
      <c r="AU574">
        <v>128532104</v>
      </c>
      <c r="AV574">
        <v>142813171</v>
      </c>
      <c r="AW574">
        <v>24.785</v>
      </c>
      <c r="AX574">
        <v>11.070499999999999</v>
      </c>
      <c r="AY574">
        <v>3699.19</v>
      </c>
      <c r="AZ574">
        <v>2709.36</v>
      </c>
      <c r="BA574">
        <v>6334</v>
      </c>
      <c r="BB574">
        <v>6004</v>
      </c>
      <c r="BC574" t="str">
        <f t="shared" si="18"/>
        <v>u=10%, k=2x10^8</v>
      </c>
      <c r="BD574">
        <f t="shared" si="19"/>
        <v>32</v>
      </c>
    </row>
    <row r="575" spans="1:56">
      <c r="A575" t="s">
        <v>1123</v>
      </c>
      <c r="B575" t="s">
        <v>300</v>
      </c>
      <c r="C575">
        <v>208</v>
      </c>
      <c r="D575" t="s">
        <v>64</v>
      </c>
      <c r="E575" t="s">
        <v>59</v>
      </c>
      <c r="F575" t="s">
        <v>60</v>
      </c>
      <c r="G575">
        <v>64000</v>
      </c>
      <c r="H575">
        <v>5</v>
      </c>
      <c r="I575">
        <v>5</v>
      </c>
      <c r="J575">
        <v>0</v>
      </c>
      <c r="K575">
        <v>1</v>
      </c>
      <c r="L575">
        <v>200000000</v>
      </c>
      <c r="M575">
        <v>190</v>
      </c>
      <c r="N575">
        <v>190</v>
      </c>
      <c r="O575">
        <v>190</v>
      </c>
      <c r="P575">
        <v>0</v>
      </c>
      <c r="Q575" t="s">
        <v>61</v>
      </c>
      <c r="R575">
        <v>1.00013557080051E+16</v>
      </c>
      <c r="S575">
        <v>100010385</v>
      </c>
      <c r="T575">
        <v>1.00013557080051E+16</v>
      </c>
      <c r="U575">
        <v>100010385</v>
      </c>
      <c r="V575" t="s">
        <v>71</v>
      </c>
      <c r="W575">
        <v>11</v>
      </c>
      <c r="X575">
        <v>2595576</v>
      </c>
      <c r="Y575">
        <v>17785240</v>
      </c>
      <c r="Z575">
        <v>20380816</v>
      </c>
      <c r="AA575">
        <v>100010385</v>
      </c>
      <c r="AB575">
        <v>7.8521400000000003</v>
      </c>
      <c r="AC575">
        <v>5.6232199999999999</v>
      </c>
      <c r="AD575">
        <v>5.9070799999999997</v>
      </c>
      <c r="AE575">
        <v>10</v>
      </c>
      <c r="AF575">
        <v>4239209728</v>
      </c>
      <c r="AJ575" t="s">
        <v>1124</v>
      </c>
      <c r="AM575">
        <v>8100860036</v>
      </c>
      <c r="AN575">
        <v>0</v>
      </c>
      <c r="AO575">
        <v>900064992</v>
      </c>
      <c r="AP575">
        <v>8100860036</v>
      </c>
      <c r="AQ575">
        <v>9000925028</v>
      </c>
      <c r="AR575">
        <v>126575938</v>
      </c>
      <c r="AS575">
        <v>0</v>
      </c>
      <c r="AT575">
        <v>14063515</v>
      </c>
      <c r="AU575">
        <v>126575938</v>
      </c>
      <c r="AV575">
        <v>140639453</v>
      </c>
      <c r="AW575">
        <v>24.9574</v>
      </c>
      <c r="AX575">
        <v>11.2593</v>
      </c>
      <c r="AY575">
        <v>3756.6</v>
      </c>
      <c r="AZ575">
        <v>2762.95</v>
      </c>
      <c r="BA575">
        <v>6788</v>
      </c>
      <c r="BB575">
        <v>6029</v>
      </c>
      <c r="BC575" t="str">
        <f t="shared" si="18"/>
        <v>u=10%, k=2x10^8</v>
      </c>
      <c r="BD575">
        <f t="shared" si="19"/>
        <v>64</v>
      </c>
    </row>
    <row r="576" spans="1:56">
      <c r="A576" t="s">
        <v>1125</v>
      </c>
      <c r="B576" t="s">
        <v>105</v>
      </c>
      <c r="D576" t="s">
        <v>64</v>
      </c>
      <c r="E576" t="s">
        <v>59</v>
      </c>
      <c r="F576" t="s">
        <v>60</v>
      </c>
      <c r="G576">
        <v>1000</v>
      </c>
      <c r="H576">
        <v>5</v>
      </c>
      <c r="I576">
        <v>5</v>
      </c>
      <c r="J576">
        <v>0</v>
      </c>
      <c r="K576">
        <v>1</v>
      </c>
      <c r="L576">
        <v>200000000</v>
      </c>
      <c r="M576">
        <v>190</v>
      </c>
      <c r="N576">
        <v>190</v>
      </c>
      <c r="O576">
        <v>190</v>
      </c>
      <c r="P576">
        <v>0</v>
      </c>
      <c r="Q576" t="s">
        <v>61</v>
      </c>
      <c r="R576">
        <v>9999627641232440</v>
      </c>
      <c r="S576">
        <v>99999297</v>
      </c>
      <c r="T576">
        <v>9999627641232440</v>
      </c>
      <c r="U576">
        <v>99999297</v>
      </c>
      <c r="V576" t="s">
        <v>71</v>
      </c>
      <c r="W576">
        <v>33</v>
      </c>
      <c r="X576">
        <v>57526233</v>
      </c>
      <c r="Y576">
        <v>43177796</v>
      </c>
      <c r="Z576">
        <v>100704029</v>
      </c>
      <c r="AA576">
        <v>99999297</v>
      </c>
      <c r="AB576">
        <v>1.75058</v>
      </c>
      <c r="AC576">
        <v>2.3159900000000002</v>
      </c>
      <c r="AD576">
        <v>1.9930000000000001</v>
      </c>
      <c r="AE576">
        <v>26.0761</v>
      </c>
      <c r="AF576">
        <v>5639425624</v>
      </c>
      <c r="AJ576" t="s">
        <v>1126</v>
      </c>
      <c r="AM576">
        <v>60324348</v>
      </c>
      <c r="AN576">
        <v>0</v>
      </c>
      <c r="AO576">
        <v>6702972</v>
      </c>
      <c r="AP576">
        <v>60324348</v>
      </c>
      <c r="AQ576">
        <v>67027320</v>
      </c>
      <c r="AR576">
        <v>60324348</v>
      </c>
      <c r="AS576">
        <v>0</v>
      </c>
      <c r="AT576">
        <v>6702972</v>
      </c>
      <c r="AU576">
        <v>60324348</v>
      </c>
      <c r="AV576">
        <v>67027320</v>
      </c>
      <c r="AW576">
        <v>42.247300000000003</v>
      </c>
      <c r="AX576">
        <v>19.4069</v>
      </c>
      <c r="AY576">
        <v>7886.2</v>
      </c>
      <c r="AZ576">
        <v>6344.6</v>
      </c>
      <c r="BA576">
        <v>7623</v>
      </c>
      <c r="BB576">
        <v>2773</v>
      </c>
      <c r="BC576" t="str">
        <f t="shared" si="18"/>
        <v>u=10%, k=2x10^8</v>
      </c>
      <c r="BD576">
        <f t="shared" si="19"/>
        <v>1</v>
      </c>
    </row>
    <row r="577" spans="1:56">
      <c r="A577" t="s">
        <v>1127</v>
      </c>
      <c r="B577" t="s">
        <v>105</v>
      </c>
      <c r="D577" t="s">
        <v>64</v>
      </c>
      <c r="E577" t="s">
        <v>59</v>
      </c>
      <c r="F577" t="s">
        <v>60</v>
      </c>
      <c r="G577">
        <v>2000</v>
      </c>
      <c r="H577">
        <v>5</v>
      </c>
      <c r="I577">
        <v>5</v>
      </c>
      <c r="J577">
        <v>0</v>
      </c>
      <c r="K577">
        <v>1</v>
      </c>
      <c r="L577">
        <v>200000000</v>
      </c>
      <c r="M577">
        <v>190</v>
      </c>
      <c r="N577">
        <v>190</v>
      </c>
      <c r="O577">
        <v>190</v>
      </c>
      <c r="P577">
        <v>0</v>
      </c>
      <c r="Q577" t="s">
        <v>61</v>
      </c>
      <c r="R577">
        <v>1.00003675990701E+16</v>
      </c>
      <c r="S577">
        <v>100000951</v>
      </c>
      <c r="T577">
        <v>1.00003675990701E+16</v>
      </c>
      <c r="U577">
        <v>100000951</v>
      </c>
      <c r="V577" t="s">
        <v>71</v>
      </c>
      <c r="W577">
        <v>33</v>
      </c>
      <c r="X577">
        <v>57908589</v>
      </c>
      <c r="Y577">
        <v>43491103</v>
      </c>
      <c r="Z577">
        <v>101399692</v>
      </c>
      <c r="AA577">
        <v>100000951</v>
      </c>
      <c r="AB577">
        <v>1.7510300000000001</v>
      </c>
      <c r="AC577">
        <v>2.2993399999999999</v>
      </c>
      <c r="AD577">
        <v>1.98621</v>
      </c>
      <c r="AE577">
        <v>26.1509</v>
      </c>
      <c r="AF577">
        <v>5678382752</v>
      </c>
      <c r="AJ577" t="s">
        <v>1128</v>
      </c>
      <c r="AM577">
        <v>122013721</v>
      </c>
      <c r="AN577">
        <v>0</v>
      </c>
      <c r="AO577">
        <v>13561254</v>
      </c>
      <c r="AP577">
        <v>122013721</v>
      </c>
      <c r="AQ577">
        <v>135574975</v>
      </c>
      <c r="AR577">
        <v>61006860</v>
      </c>
      <c r="AS577">
        <v>0</v>
      </c>
      <c r="AT577">
        <v>6780627</v>
      </c>
      <c r="AU577">
        <v>61006860</v>
      </c>
      <c r="AV577">
        <v>67787487</v>
      </c>
      <c r="AW577">
        <v>41.726199999999999</v>
      </c>
      <c r="AX577">
        <v>19.558800000000002</v>
      </c>
      <c r="AY577">
        <v>7802.92</v>
      </c>
      <c r="AZ577">
        <v>6317.26</v>
      </c>
      <c r="BA577">
        <v>7668</v>
      </c>
      <c r="BB577">
        <v>2785</v>
      </c>
      <c r="BC577" t="str">
        <f t="shared" si="18"/>
        <v>u=10%, k=2x10^8</v>
      </c>
      <c r="BD577">
        <f t="shared" si="19"/>
        <v>2</v>
      </c>
    </row>
    <row r="578" spans="1:56">
      <c r="A578" t="s">
        <v>1129</v>
      </c>
      <c r="B578" t="s">
        <v>105</v>
      </c>
      <c r="D578" t="s">
        <v>64</v>
      </c>
      <c r="E578" t="s">
        <v>59</v>
      </c>
      <c r="F578" t="s">
        <v>60</v>
      </c>
      <c r="G578">
        <v>4000</v>
      </c>
      <c r="H578">
        <v>5</v>
      </c>
      <c r="I578">
        <v>5</v>
      </c>
      <c r="J578">
        <v>0</v>
      </c>
      <c r="K578">
        <v>1</v>
      </c>
      <c r="L578">
        <v>200000000</v>
      </c>
      <c r="M578">
        <v>190</v>
      </c>
      <c r="N578">
        <v>190</v>
      </c>
      <c r="O578">
        <v>190</v>
      </c>
      <c r="P578">
        <v>0</v>
      </c>
      <c r="Q578" t="s">
        <v>61</v>
      </c>
      <c r="R578">
        <v>9999812670191800</v>
      </c>
      <c r="S578">
        <v>100003282</v>
      </c>
      <c r="T578">
        <v>9999812670191800</v>
      </c>
      <c r="U578">
        <v>100003282</v>
      </c>
      <c r="V578" t="s">
        <v>71</v>
      </c>
      <c r="W578">
        <v>33</v>
      </c>
      <c r="X578">
        <v>58613409</v>
      </c>
      <c r="Y578">
        <v>44077302</v>
      </c>
      <c r="Z578">
        <v>102690711</v>
      </c>
      <c r="AA578">
        <v>100003282</v>
      </c>
      <c r="AB578">
        <v>1.752</v>
      </c>
      <c r="AC578">
        <v>2.2688199999999998</v>
      </c>
      <c r="AD578">
        <v>1.97383</v>
      </c>
      <c r="AE578">
        <v>26.173999999999999</v>
      </c>
      <c r="AF578">
        <v>5750679816</v>
      </c>
      <c r="AJ578" t="s">
        <v>1130</v>
      </c>
      <c r="AM578">
        <v>242799611</v>
      </c>
      <c r="AN578">
        <v>0</v>
      </c>
      <c r="AO578">
        <v>26981972</v>
      </c>
      <c r="AP578">
        <v>242799611</v>
      </c>
      <c r="AQ578">
        <v>269781583</v>
      </c>
      <c r="AR578">
        <v>60699902</v>
      </c>
      <c r="AS578">
        <v>0</v>
      </c>
      <c r="AT578">
        <v>6745493</v>
      </c>
      <c r="AU578">
        <v>60699902</v>
      </c>
      <c r="AV578">
        <v>67445395</v>
      </c>
      <c r="AW578">
        <v>41.5244</v>
      </c>
      <c r="AX578">
        <v>19.718399999999999</v>
      </c>
      <c r="AY578">
        <v>7842.16</v>
      </c>
      <c r="AZ578">
        <v>6288.67</v>
      </c>
      <c r="BA578">
        <v>7752</v>
      </c>
      <c r="BB578">
        <v>2765</v>
      </c>
      <c r="BC578" t="str">
        <f t="shared" si="18"/>
        <v>u=10%, k=2x10^8</v>
      </c>
      <c r="BD578">
        <f t="shared" si="19"/>
        <v>4</v>
      </c>
    </row>
    <row r="579" spans="1:56">
      <c r="A579" t="s">
        <v>1131</v>
      </c>
      <c r="B579" t="s">
        <v>105</v>
      </c>
      <c r="D579" t="s">
        <v>64</v>
      </c>
      <c r="E579" t="s">
        <v>59</v>
      </c>
      <c r="F579" t="s">
        <v>60</v>
      </c>
      <c r="G579">
        <v>8000</v>
      </c>
      <c r="H579">
        <v>5</v>
      </c>
      <c r="I579">
        <v>5</v>
      </c>
      <c r="J579">
        <v>0</v>
      </c>
      <c r="K579">
        <v>1</v>
      </c>
      <c r="L579">
        <v>200000000</v>
      </c>
      <c r="M579">
        <v>190</v>
      </c>
      <c r="N579">
        <v>190</v>
      </c>
      <c r="O579">
        <v>190</v>
      </c>
      <c r="P579">
        <v>0</v>
      </c>
      <c r="Q579" t="s">
        <v>61</v>
      </c>
      <c r="R579">
        <v>1.00011700478901E+16</v>
      </c>
      <c r="S579">
        <v>100012100</v>
      </c>
      <c r="T579">
        <v>1.00011700478901E+16</v>
      </c>
      <c r="U579">
        <v>100012100</v>
      </c>
      <c r="V579" t="s">
        <v>71</v>
      </c>
      <c r="W579">
        <v>33</v>
      </c>
      <c r="X579">
        <v>59908933</v>
      </c>
      <c r="Y579">
        <v>45129743</v>
      </c>
      <c r="Z579">
        <v>105038676</v>
      </c>
      <c r="AA579">
        <v>100012100</v>
      </c>
      <c r="AB579">
        <v>1.7533099999999999</v>
      </c>
      <c r="AC579">
        <v>2.2161</v>
      </c>
      <c r="AD579">
        <v>1.9521500000000001</v>
      </c>
      <c r="AE579">
        <v>26.224699999999999</v>
      </c>
      <c r="AF579">
        <v>5882165856</v>
      </c>
      <c r="AJ579" t="s">
        <v>1132</v>
      </c>
      <c r="AM579">
        <v>487905218</v>
      </c>
      <c r="AN579">
        <v>0</v>
      </c>
      <c r="AO579">
        <v>54214813</v>
      </c>
      <c r="AP579">
        <v>487905218</v>
      </c>
      <c r="AQ579">
        <v>542120031</v>
      </c>
      <c r="AR579">
        <v>60988152</v>
      </c>
      <c r="AS579">
        <v>0</v>
      </c>
      <c r="AT579">
        <v>6776851</v>
      </c>
      <c r="AU579">
        <v>60988152</v>
      </c>
      <c r="AV579">
        <v>67765003</v>
      </c>
      <c r="AW579">
        <v>41.509</v>
      </c>
      <c r="AX579">
        <v>19.883299999999998</v>
      </c>
      <c r="AY579">
        <v>7804.86</v>
      </c>
      <c r="AZ579">
        <v>6261.96</v>
      </c>
      <c r="BA579">
        <v>7902</v>
      </c>
      <c r="BB579">
        <v>2746</v>
      </c>
      <c r="BC579" t="str">
        <f t="shared" si="18"/>
        <v>u=10%, k=2x10^8</v>
      </c>
      <c r="BD579">
        <f t="shared" si="19"/>
        <v>8</v>
      </c>
    </row>
    <row r="580" spans="1:56">
      <c r="A580" t="s">
        <v>1133</v>
      </c>
      <c r="B580" t="s">
        <v>105</v>
      </c>
      <c r="D580" t="s">
        <v>64</v>
      </c>
      <c r="E580" t="s">
        <v>59</v>
      </c>
      <c r="F580" t="s">
        <v>60</v>
      </c>
      <c r="G580">
        <v>16000</v>
      </c>
      <c r="H580">
        <v>5</v>
      </c>
      <c r="I580">
        <v>5</v>
      </c>
      <c r="J580">
        <v>0</v>
      </c>
      <c r="K580">
        <v>1</v>
      </c>
      <c r="L580">
        <v>200000000</v>
      </c>
      <c r="M580">
        <v>190</v>
      </c>
      <c r="N580">
        <v>190</v>
      </c>
      <c r="O580">
        <v>190</v>
      </c>
      <c r="P580">
        <v>0</v>
      </c>
      <c r="Q580" t="s">
        <v>61</v>
      </c>
      <c r="R580">
        <v>9998956856253460</v>
      </c>
      <c r="S580">
        <v>99990560</v>
      </c>
      <c r="T580">
        <v>9998956856253460</v>
      </c>
      <c r="U580">
        <v>99990560</v>
      </c>
      <c r="V580" t="s">
        <v>71</v>
      </c>
      <c r="W580">
        <v>33</v>
      </c>
      <c r="X580">
        <v>61998607</v>
      </c>
      <c r="Y580">
        <v>46812017</v>
      </c>
      <c r="Z580">
        <v>108810624</v>
      </c>
      <c r="AA580">
        <v>99990560</v>
      </c>
      <c r="AB580">
        <v>1.75505</v>
      </c>
      <c r="AC580">
        <v>2.1360000000000001</v>
      </c>
      <c r="AD580">
        <v>1.9189400000000001</v>
      </c>
      <c r="AE580">
        <v>26.360700000000001</v>
      </c>
      <c r="AF580">
        <v>6093394944</v>
      </c>
      <c r="AJ580" t="s">
        <v>1134</v>
      </c>
      <c r="AM580">
        <v>979662812</v>
      </c>
      <c r="AN580">
        <v>0</v>
      </c>
      <c r="AO580">
        <v>108855178</v>
      </c>
      <c r="AP580">
        <v>979662812</v>
      </c>
      <c r="AQ580">
        <v>1088517990</v>
      </c>
      <c r="AR580">
        <v>61228925</v>
      </c>
      <c r="AS580">
        <v>0</v>
      </c>
      <c r="AT580">
        <v>6803448</v>
      </c>
      <c r="AU580">
        <v>61228925</v>
      </c>
      <c r="AV580">
        <v>68032374</v>
      </c>
      <c r="AW580">
        <v>41.7498</v>
      </c>
      <c r="AX580">
        <v>20.050699999999999</v>
      </c>
      <c r="AY580">
        <v>7775.1</v>
      </c>
      <c r="AZ580">
        <v>6279.29</v>
      </c>
      <c r="BA580">
        <v>8147</v>
      </c>
      <c r="BB580">
        <v>2756</v>
      </c>
      <c r="BC580" t="str">
        <f t="shared" si="18"/>
        <v>u=10%, k=2x10^8</v>
      </c>
      <c r="BD580">
        <f t="shared" si="19"/>
        <v>16</v>
      </c>
    </row>
    <row r="581" spans="1:56">
      <c r="A581" t="s">
        <v>1135</v>
      </c>
      <c r="B581" t="s">
        <v>105</v>
      </c>
      <c r="D581" t="s">
        <v>64</v>
      </c>
      <c r="E581" t="s">
        <v>59</v>
      </c>
      <c r="F581" t="s">
        <v>60</v>
      </c>
      <c r="G581">
        <v>32000</v>
      </c>
      <c r="H581">
        <v>5</v>
      </c>
      <c r="I581">
        <v>5</v>
      </c>
      <c r="J581">
        <v>0</v>
      </c>
      <c r="K581">
        <v>1</v>
      </c>
      <c r="L581">
        <v>200000000</v>
      </c>
      <c r="M581">
        <v>190</v>
      </c>
      <c r="N581">
        <v>190</v>
      </c>
      <c r="O581">
        <v>190</v>
      </c>
      <c r="P581">
        <v>0</v>
      </c>
      <c r="Q581" t="s">
        <v>61</v>
      </c>
      <c r="R581">
        <v>1.0000260871133E+16</v>
      </c>
      <c r="S581">
        <v>99999268</v>
      </c>
      <c r="T581">
        <v>1.0000260871133E+16</v>
      </c>
      <c r="U581">
        <v>99999268</v>
      </c>
      <c r="V581" t="s">
        <v>71</v>
      </c>
      <c r="W581">
        <v>33</v>
      </c>
      <c r="X581">
        <v>64784560</v>
      </c>
      <c r="Y581">
        <v>49011039</v>
      </c>
      <c r="Z581">
        <v>113795599</v>
      </c>
      <c r="AA581">
        <v>99999268</v>
      </c>
      <c r="AB581">
        <v>1.7565200000000001</v>
      </c>
      <c r="AC581">
        <v>2.04034</v>
      </c>
      <c r="AD581">
        <v>1.87876</v>
      </c>
      <c r="AE581">
        <v>26.445499999999999</v>
      </c>
      <c r="AF581">
        <v>6372553544</v>
      </c>
      <c r="AJ581" t="s">
        <v>1136</v>
      </c>
      <c r="AM581">
        <v>1952988491</v>
      </c>
      <c r="AN581">
        <v>0</v>
      </c>
      <c r="AO581">
        <v>217003044</v>
      </c>
      <c r="AP581">
        <v>1952988491</v>
      </c>
      <c r="AQ581">
        <v>2169991535</v>
      </c>
      <c r="AR581">
        <v>61030890</v>
      </c>
      <c r="AS581">
        <v>0</v>
      </c>
      <c r="AT581">
        <v>6781345</v>
      </c>
      <c r="AU581">
        <v>61030890</v>
      </c>
      <c r="AV581">
        <v>67812235</v>
      </c>
      <c r="AW581">
        <v>41.819600000000001</v>
      </c>
      <c r="AX581">
        <v>20.203299999999999</v>
      </c>
      <c r="AY581">
        <v>7800.65</v>
      </c>
      <c r="AZ581">
        <v>6299.31</v>
      </c>
      <c r="BA581">
        <v>8470</v>
      </c>
      <c r="BB581">
        <v>2743</v>
      </c>
      <c r="BC581" t="str">
        <f t="shared" si="18"/>
        <v>u=10%, k=2x10^8</v>
      </c>
      <c r="BD581">
        <f t="shared" si="19"/>
        <v>32</v>
      </c>
    </row>
    <row r="582" spans="1:56">
      <c r="A582" t="s">
        <v>1137</v>
      </c>
      <c r="B582" t="s">
        <v>105</v>
      </c>
      <c r="D582" t="s">
        <v>64</v>
      </c>
      <c r="E582" t="s">
        <v>59</v>
      </c>
      <c r="F582" t="s">
        <v>60</v>
      </c>
      <c r="G582">
        <v>64000</v>
      </c>
      <c r="H582">
        <v>5</v>
      </c>
      <c r="I582">
        <v>5</v>
      </c>
      <c r="J582">
        <v>0</v>
      </c>
      <c r="K582">
        <v>1</v>
      </c>
      <c r="L582">
        <v>200000000</v>
      </c>
      <c r="M582">
        <v>190</v>
      </c>
      <c r="N582">
        <v>190</v>
      </c>
      <c r="O582">
        <v>190</v>
      </c>
      <c r="P582">
        <v>0</v>
      </c>
      <c r="Q582" t="s">
        <v>61</v>
      </c>
      <c r="R582">
        <v>1.00002124101464E+16</v>
      </c>
      <c r="S582">
        <v>100001546</v>
      </c>
      <c r="T582">
        <v>1.00002124101464E+16</v>
      </c>
      <c r="U582">
        <v>100001546</v>
      </c>
      <c r="V582" t="s">
        <v>71</v>
      </c>
      <c r="W582">
        <v>33</v>
      </c>
      <c r="X582">
        <v>67266640</v>
      </c>
      <c r="Y582">
        <v>50971633</v>
      </c>
      <c r="Z582">
        <v>118238273</v>
      </c>
      <c r="AA582">
        <v>100001546</v>
      </c>
      <c r="AB582">
        <v>1.75776</v>
      </c>
      <c r="AC582">
        <v>1.96191</v>
      </c>
      <c r="AD582">
        <v>1.8457600000000001</v>
      </c>
      <c r="AE582">
        <v>26.633800000000001</v>
      </c>
      <c r="AF582">
        <v>6621343288</v>
      </c>
      <c r="AJ582" t="s">
        <v>1138</v>
      </c>
      <c r="AM582">
        <v>3854251236</v>
      </c>
      <c r="AN582">
        <v>0</v>
      </c>
      <c r="AO582">
        <v>428240991</v>
      </c>
      <c r="AP582">
        <v>3854251236</v>
      </c>
      <c r="AQ582">
        <v>4282492227</v>
      </c>
      <c r="AR582">
        <v>60222675</v>
      </c>
      <c r="AS582">
        <v>0</v>
      </c>
      <c r="AT582">
        <v>6691265</v>
      </c>
      <c r="AU582">
        <v>60222675</v>
      </c>
      <c r="AV582">
        <v>66913941</v>
      </c>
      <c r="AW582">
        <v>41.758299999999998</v>
      </c>
      <c r="AX582">
        <v>20.390899999999998</v>
      </c>
      <c r="AY582">
        <v>7905.31</v>
      </c>
      <c r="AZ582">
        <v>6323.08</v>
      </c>
      <c r="BA582">
        <v>8757</v>
      </c>
      <c r="BB582">
        <v>2750</v>
      </c>
      <c r="BC582" t="str">
        <f t="shared" si="18"/>
        <v>u=10%, k=2x10^8</v>
      </c>
      <c r="BD582">
        <f t="shared" si="19"/>
        <v>64</v>
      </c>
    </row>
    <row r="583" spans="1:56">
      <c r="A583" t="s">
        <v>1139</v>
      </c>
      <c r="B583" t="s">
        <v>305</v>
      </c>
      <c r="D583" t="s">
        <v>64</v>
      </c>
      <c r="E583" t="s">
        <v>59</v>
      </c>
      <c r="F583" t="s">
        <v>60</v>
      </c>
      <c r="G583">
        <v>1000</v>
      </c>
      <c r="H583">
        <v>5</v>
      </c>
      <c r="I583">
        <v>5</v>
      </c>
      <c r="J583">
        <v>0</v>
      </c>
      <c r="K583">
        <v>1</v>
      </c>
      <c r="L583">
        <v>200000000</v>
      </c>
      <c r="M583">
        <v>190</v>
      </c>
      <c r="N583">
        <v>190</v>
      </c>
      <c r="O583">
        <v>190</v>
      </c>
      <c r="P583">
        <v>0</v>
      </c>
      <c r="Q583" t="s">
        <v>61</v>
      </c>
      <c r="R583">
        <v>9999826888805500</v>
      </c>
      <c r="S583">
        <v>100000734</v>
      </c>
      <c r="T583">
        <v>9999826888805500</v>
      </c>
      <c r="U583">
        <v>100000734</v>
      </c>
      <c r="V583" t="s">
        <v>71</v>
      </c>
      <c r="W583">
        <v>68</v>
      </c>
      <c r="X583">
        <v>100000733</v>
      </c>
      <c r="Y583">
        <v>100000734</v>
      </c>
      <c r="Z583">
        <v>200001467</v>
      </c>
      <c r="AA583">
        <v>100000734</v>
      </c>
      <c r="AB583">
        <v>2</v>
      </c>
      <c r="AC583">
        <v>1</v>
      </c>
      <c r="AD583">
        <v>1.5</v>
      </c>
      <c r="AE583">
        <v>35.5503</v>
      </c>
      <c r="AF583">
        <v>6400046944</v>
      </c>
      <c r="AJ583" t="s">
        <v>1140</v>
      </c>
      <c r="AM583">
        <v>52021224</v>
      </c>
      <c r="AN583">
        <v>0</v>
      </c>
      <c r="AO583">
        <v>5781932</v>
      </c>
      <c r="AP583">
        <v>52021224</v>
      </c>
      <c r="AQ583">
        <v>57803156</v>
      </c>
      <c r="AR583">
        <v>52021224</v>
      </c>
      <c r="AS583">
        <v>0</v>
      </c>
      <c r="AT583">
        <v>5781932</v>
      </c>
      <c r="AU583">
        <v>52021224</v>
      </c>
      <c r="AV583">
        <v>57803156</v>
      </c>
      <c r="AW583">
        <v>38.367400000000004</v>
      </c>
      <c r="AX583">
        <v>18.9619</v>
      </c>
      <c r="AY583">
        <v>9152.98</v>
      </c>
      <c r="AZ583">
        <v>7974.7</v>
      </c>
      <c r="BA583">
        <v>7580</v>
      </c>
      <c r="BB583">
        <v>2841</v>
      </c>
      <c r="BC583" t="str">
        <f t="shared" si="18"/>
        <v>u=10%, k=2x10^8</v>
      </c>
      <c r="BD583">
        <f t="shared" si="19"/>
        <v>1</v>
      </c>
    </row>
    <row r="584" spans="1:56">
      <c r="A584" t="s">
        <v>1141</v>
      </c>
      <c r="B584" t="s">
        <v>305</v>
      </c>
      <c r="D584" t="s">
        <v>64</v>
      </c>
      <c r="E584" t="s">
        <v>59</v>
      </c>
      <c r="F584" t="s">
        <v>60</v>
      </c>
      <c r="G584">
        <v>2000</v>
      </c>
      <c r="H584">
        <v>5</v>
      </c>
      <c r="I584">
        <v>5</v>
      </c>
      <c r="J584">
        <v>0</v>
      </c>
      <c r="K584">
        <v>1</v>
      </c>
      <c r="L584">
        <v>200000000</v>
      </c>
      <c r="M584">
        <v>190</v>
      </c>
      <c r="N584">
        <v>190</v>
      </c>
      <c r="O584">
        <v>190</v>
      </c>
      <c r="P584">
        <v>0</v>
      </c>
      <c r="Q584" t="s">
        <v>61</v>
      </c>
      <c r="R584">
        <v>9999796667923720</v>
      </c>
      <c r="S584">
        <v>99998766</v>
      </c>
      <c r="T584">
        <v>9999796667923720</v>
      </c>
      <c r="U584">
        <v>99998766</v>
      </c>
      <c r="V584" t="s">
        <v>71</v>
      </c>
      <c r="W584">
        <v>70</v>
      </c>
      <c r="X584">
        <v>99998765</v>
      </c>
      <c r="Y584">
        <v>99998766</v>
      </c>
      <c r="Z584">
        <v>199997531</v>
      </c>
      <c r="AA584">
        <v>99998766</v>
      </c>
      <c r="AB584">
        <v>2</v>
      </c>
      <c r="AC584">
        <v>1</v>
      </c>
      <c r="AD584">
        <v>1.5</v>
      </c>
      <c r="AE584">
        <v>36.370899999999999</v>
      </c>
      <c r="AF584">
        <v>6399920992</v>
      </c>
      <c r="AJ584" t="s">
        <v>1142</v>
      </c>
      <c r="AM584">
        <v>103958406</v>
      </c>
      <c r="AN584">
        <v>0</v>
      </c>
      <c r="AO584">
        <v>11546365</v>
      </c>
      <c r="AP584">
        <v>103958406</v>
      </c>
      <c r="AQ584">
        <v>115504771</v>
      </c>
      <c r="AR584">
        <v>51979203</v>
      </c>
      <c r="AS584">
        <v>0</v>
      </c>
      <c r="AT584">
        <v>5773182</v>
      </c>
      <c r="AU584">
        <v>51979203</v>
      </c>
      <c r="AV584">
        <v>57752385</v>
      </c>
      <c r="AW584">
        <v>38.527099999999997</v>
      </c>
      <c r="AX584">
        <v>19.035699999999999</v>
      </c>
      <c r="AY584">
        <v>9161.11</v>
      </c>
      <c r="AZ584">
        <v>7980.03</v>
      </c>
      <c r="BA584">
        <v>7582</v>
      </c>
      <c r="BB584">
        <v>2844</v>
      </c>
      <c r="BC584" t="str">
        <f t="shared" si="18"/>
        <v>u=10%, k=2x10^8</v>
      </c>
      <c r="BD584">
        <f t="shared" si="19"/>
        <v>2</v>
      </c>
    </row>
    <row r="585" spans="1:56">
      <c r="A585" t="s">
        <v>1143</v>
      </c>
      <c r="B585" t="s">
        <v>305</v>
      </c>
      <c r="D585" t="s">
        <v>64</v>
      </c>
      <c r="E585" t="s">
        <v>59</v>
      </c>
      <c r="F585" t="s">
        <v>60</v>
      </c>
      <c r="G585">
        <v>4000</v>
      </c>
      <c r="H585">
        <v>5</v>
      </c>
      <c r="I585">
        <v>5</v>
      </c>
      <c r="J585">
        <v>0</v>
      </c>
      <c r="K585">
        <v>1</v>
      </c>
      <c r="L585">
        <v>200000000</v>
      </c>
      <c r="M585">
        <v>190</v>
      </c>
      <c r="N585">
        <v>190</v>
      </c>
      <c r="O585">
        <v>190</v>
      </c>
      <c r="P585">
        <v>0</v>
      </c>
      <c r="Q585" t="s">
        <v>61</v>
      </c>
      <c r="R585">
        <v>1.00005639240605E+16</v>
      </c>
      <c r="S585">
        <v>100001792</v>
      </c>
      <c r="T585">
        <v>1.00005639240605E+16</v>
      </c>
      <c r="U585">
        <v>100001792</v>
      </c>
      <c r="V585" t="s">
        <v>71</v>
      </c>
      <c r="W585">
        <v>69</v>
      </c>
      <c r="X585">
        <v>100001791</v>
      </c>
      <c r="Y585">
        <v>100001792</v>
      </c>
      <c r="Z585">
        <v>200003583</v>
      </c>
      <c r="AA585">
        <v>100001792</v>
      </c>
      <c r="AB585">
        <v>2</v>
      </c>
      <c r="AC585">
        <v>1</v>
      </c>
      <c r="AD585">
        <v>1.5</v>
      </c>
      <c r="AE585">
        <v>36.028500000000001</v>
      </c>
      <c r="AF585">
        <v>6400114656</v>
      </c>
      <c r="AJ585" t="s">
        <v>1144</v>
      </c>
      <c r="AM585">
        <v>207766824</v>
      </c>
      <c r="AN585">
        <v>0</v>
      </c>
      <c r="AO585">
        <v>23082422</v>
      </c>
      <c r="AP585">
        <v>207766824</v>
      </c>
      <c r="AQ585">
        <v>230849246</v>
      </c>
      <c r="AR585">
        <v>51941706</v>
      </c>
      <c r="AS585">
        <v>0</v>
      </c>
      <c r="AT585">
        <v>5770605</v>
      </c>
      <c r="AU585">
        <v>51941706</v>
      </c>
      <c r="AV585">
        <v>57712311</v>
      </c>
      <c r="AW585">
        <v>38.599699999999999</v>
      </c>
      <c r="AX585">
        <v>19.142600000000002</v>
      </c>
      <c r="AY585">
        <v>9168.2800000000007</v>
      </c>
      <c r="AZ585">
        <v>7980.19</v>
      </c>
      <c r="BA585">
        <v>7588</v>
      </c>
      <c r="BB585">
        <v>2849</v>
      </c>
      <c r="BC585" t="str">
        <f t="shared" si="18"/>
        <v>u=10%, k=2x10^8</v>
      </c>
      <c r="BD585">
        <f t="shared" si="19"/>
        <v>4</v>
      </c>
    </row>
    <row r="586" spans="1:56">
      <c r="A586" t="s">
        <v>1145</v>
      </c>
      <c r="B586" t="s">
        <v>305</v>
      </c>
      <c r="D586" t="s">
        <v>64</v>
      </c>
      <c r="E586" t="s">
        <v>59</v>
      </c>
      <c r="F586" t="s">
        <v>60</v>
      </c>
      <c r="G586">
        <v>8000</v>
      </c>
      <c r="H586">
        <v>5</v>
      </c>
      <c r="I586">
        <v>5</v>
      </c>
      <c r="J586">
        <v>0</v>
      </c>
      <c r="K586">
        <v>1</v>
      </c>
      <c r="L586">
        <v>200000000</v>
      </c>
      <c r="M586">
        <v>190</v>
      </c>
      <c r="N586">
        <v>190</v>
      </c>
      <c r="O586">
        <v>190</v>
      </c>
      <c r="P586">
        <v>0</v>
      </c>
      <c r="Q586" t="s">
        <v>61</v>
      </c>
      <c r="R586">
        <v>1.00003959461406E+16</v>
      </c>
      <c r="S586">
        <v>100002833</v>
      </c>
      <c r="T586">
        <v>1.00003959461406E+16</v>
      </c>
      <c r="U586">
        <v>100002833</v>
      </c>
      <c r="V586" t="s">
        <v>71</v>
      </c>
      <c r="W586">
        <v>66</v>
      </c>
      <c r="X586">
        <v>100002832</v>
      </c>
      <c r="Y586">
        <v>100002833</v>
      </c>
      <c r="Z586">
        <v>200005665</v>
      </c>
      <c r="AA586">
        <v>100002833</v>
      </c>
      <c r="AB586">
        <v>2</v>
      </c>
      <c r="AC586">
        <v>1</v>
      </c>
      <c r="AD586">
        <v>1.5</v>
      </c>
      <c r="AE586">
        <v>35.517600000000002</v>
      </c>
      <c r="AF586">
        <v>6400181280</v>
      </c>
      <c r="AJ586" t="s">
        <v>1146</v>
      </c>
      <c r="AM586">
        <v>417218831</v>
      </c>
      <c r="AN586">
        <v>0</v>
      </c>
      <c r="AO586">
        <v>46359998</v>
      </c>
      <c r="AP586">
        <v>417218831</v>
      </c>
      <c r="AQ586">
        <v>463578829</v>
      </c>
      <c r="AR586">
        <v>52152353</v>
      </c>
      <c r="AS586">
        <v>0</v>
      </c>
      <c r="AT586">
        <v>5794999</v>
      </c>
      <c r="AU586">
        <v>52152353</v>
      </c>
      <c r="AV586">
        <v>57947353</v>
      </c>
      <c r="AW586">
        <v>38.667499999999997</v>
      </c>
      <c r="AX586">
        <v>19.253499999999999</v>
      </c>
      <c r="AY586">
        <v>9131.5</v>
      </c>
      <c r="AZ586">
        <v>7947.18</v>
      </c>
      <c r="BA586">
        <v>7597</v>
      </c>
      <c r="BB586">
        <v>2833</v>
      </c>
      <c r="BC586" t="str">
        <f t="shared" si="18"/>
        <v>u=10%, k=2x10^8</v>
      </c>
      <c r="BD586">
        <f t="shared" si="19"/>
        <v>8</v>
      </c>
    </row>
    <row r="587" spans="1:56">
      <c r="A587" t="s">
        <v>1147</v>
      </c>
      <c r="B587" t="s">
        <v>305</v>
      </c>
      <c r="D587" t="s">
        <v>64</v>
      </c>
      <c r="E587" t="s">
        <v>59</v>
      </c>
      <c r="F587" t="s">
        <v>60</v>
      </c>
      <c r="G587">
        <v>16000</v>
      </c>
      <c r="H587">
        <v>5</v>
      </c>
      <c r="I587">
        <v>5</v>
      </c>
      <c r="J587">
        <v>0</v>
      </c>
      <c r="K587">
        <v>1</v>
      </c>
      <c r="L587">
        <v>200000000</v>
      </c>
      <c r="M587">
        <v>190</v>
      </c>
      <c r="N587">
        <v>190</v>
      </c>
      <c r="O587">
        <v>190</v>
      </c>
      <c r="P587">
        <v>0</v>
      </c>
      <c r="Q587" t="s">
        <v>61</v>
      </c>
      <c r="R587">
        <v>9999644799844130</v>
      </c>
      <c r="S587">
        <v>99997612</v>
      </c>
      <c r="T587">
        <v>9999644799844130</v>
      </c>
      <c r="U587">
        <v>99997612</v>
      </c>
      <c r="V587" t="s">
        <v>71</v>
      </c>
      <c r="W587">
        <v>72</v>
      </c>
      <c r="X587">
        <v>99997611</v>
      </c>
      <c r="Y587">
        <v>99997612</v>
      </c>
      <c r="Z587">
        <v>199995223</v>
      </c>
      <c r="AA587">
        <v>99997612</v>
      </c>
      <c r="AB587">
        <v>2</v>
      </c>
      <c r="AC587">
        <v>1</v>
      </c>
      <c r="AD587">
        <v>1.5</v>
      </c>
      <c r="AE587">
        <v>36.438899999999997</v>
      </c>
      <c r="AF587">
        <v>6399847136</v>
      </c>
      <c r="AJ587" t="s">
        <v>1148</v>
      </c>
      <c r="AM587">
        <v>834528177</v>
      </c>
      <c r="AN587">
        <v>0</v>
      </c>
      <c r="AO587">
        <v>92726127</v>
      </c>
      <c r="AP587">
        <v>834528177</v>
      </c>
      <c r="AQ587">
        <v>927254304</v>
      </c>
      <c r="AR587">
        <v>52158011</v>
      </c>
      <c r="AS587">
        <v>0</v>
      </c>
      <c r="AT587">
        <v>5795382</v>
      </c>
      <c r="AU587">
        <v>52158011</v>
      </c>
      <c r="AV587">
        <v>57953394</v>
      </c>
      <c r="AW587">
        <v>38.815199999999997</v>
      </c>
      <c r="AX587">
        <v>19.451499999999999</v>
      </c>
      <c r="AY587">
        <v>9130.65</v>
      </c>
      <c r="AZ587">
        <v>7942.99</v>
      </c>
      <c r="BA587">
        <v>7616</v>
      </c>
      <c r="BB587">
        <v>2828</v>
      </c>
      <c r="BC587" t="str">
        <f t="shared" si="18"/>
        <v>u=10%, k=2x10^8</v>
      </c>
      <c r="BD587">
        <f t="shared" si="19"/>
        <v>16</v>
      </c>
    </row>
    <row r="588" spans="1:56">
      <c r="A588" t="s">
        <v>1149</v>
      </c>
      <c r="B588" t="s">
        <v>305</v>
      </c>
      <c r="D588" t="s">
        <v>64</v>
      </c>
      <c r="E588" t="s">
        <v>59</v>
      </c>
      <c r="F588" t="s">
        <v>60</v>
      </c>
      <c r="G588">
        <v>32000</v>
      </c>
      <c r="H588">
        <v>5</v>
      </c>
      <c r="I588">
        <v>5</v>
      </c>
      <c r="J588">
        <v>0</v>
      </c>
      <c r="K588">
        <v>1</v>
      </c>
      <c r="L588">
        <v>200000000</v>
      </c>
      <c r="M588">
        <v>190</v>
      </c>
      <c r="N588">
        <v>190</v>
      </c>
      <c r="O588">
        <v>190</v>
      </c>
      <c r="P588">
        <v>0</v>
      </c>
      <c r="Q588" t="s">
        <v>61</v>
      </c>
      <c r="R588">
        <v>9999495024811690</v>
      </c>
      <c r="S588">
        <v>99996938</v>
      </c>
      <c r="T588">
        <v>9999495024811690</v>
      </c>
      <c r="U588">
        <v>99996938</v>
      </c>
      <c r="V588" t="s">
        <v>71</v>
      </c>
      <c r="W588">
        <v>72</v>
      </c>
      <c r="X588">
        <v>99996937</v>
      </c>
      <c r="Y588">
        <v>99996938</v>
      </c>
      <c r="Z588">
        <v>199993875</v>
      </c>
      <c r="AA588">
        <v>99996938</v>
      </c>
      <c r="AB588">
        <v>2</v>
      </c>
      <c r="AC588">
        <v>1</v>
      </c>
      <c r="AD588">
        <v>1.5</v>
      </c>
      <c r="AE588">
        <v>35.616399999999999</v>
      </c>
      <c r="AF588">
        <v>6399804000</v>
      </c>
      <c r="AJ588" t="s">
        <v>1150</v>
      </c>
      <c r="AM588">
        <v>1665186096</v>
      </c>
      <c r="AN588">
        <v>0</v>
      </c>
      <c r="AO588">
        <v>185012451</v>
      </c>
      <c r="AP588">
        <v>1665186096</v>
      </c>
      <c r="AQ588">
        <v>1850198547</v>
      </c>
      <c r="AR588">
        <v>52037065</v>
      </c>
      <c r="AS588">
        <v>0</v>
      </c>
      <c r="AT588">
        <v>5781639</v>
      </c>
      <c r="AU588">
        <v>52037065</v>
      </c>
      <c r="AV588">
        <v>57818704</v>
      </c>
      <c r="AW588">
        <v>38.930599999999998</v>
      </c>
      <c r="AX588">
        <v>19.668700000000001</v>
      </c>
      <c r="AY588">
        <v>9150.76</v>
      </c>
      <c r="AZ588">
        <v>7958.93</v>
      </c>
      <c r="BA588">
        <v>7660</v>
      </c>
      <c r="BB588">
        <v>2852</v>
      </c>
      <c r="BC588" t="str">
        <f t="shared" si="18"/>
        <v>u=10%, k=2x10^8</v>
      </c>
      <c r="BD588">
        <f t="shared" si="19"/>
        <v>32</v>
      </c>
    </row>
    <row r="589" spans="1:56">
      <c r="A589" t="s">
        <v>1151</v>
      </c>
      <c r="B589" t="s">
        <v>305</v>
      </c>
      <c r="D589" t="s">
        <v>64</v>
      </c>
      <c r="E589" t="s">
        <v>59</v>
      </c>
      <c r="F589" t="s">
        <v>60</v>
      </c>
      <c r="G589">
        <v>64000</v>
      </c>
      <c r="H589">
        <v>5</v>
      </c>
      <c r="I589">
        <v>5</v>
      </c>
      <c r="J589">
        <v>0</v>
      </c>
      <c r="K589">
        <v>1</v>
      </c>
      <c r="L589">
        <v>200000000</v>
      </c>
      <c r="M589">
        <v>190</v>
      </c>
      <c r="N589">
        <v>190</v>
      </c>
      <c r="O589">
        <v>190</v>
      </c>
      <c r="P589">
        <v>0</v>
      </c>
      <c r="Q589" t="s">
        <v>61</v>
      </c>
      <c r="R589">
        <v>1.00010868224992E+16</v>
      </c>
      <c r="S589">
        <v>100007724</v>
      </c>
      <c r="T589">
        <v>1.00010868224992E+16</v>
      </c>
      <c r="U589">
        <v>100007724</v>
      </c>
      <c r="V589" t="s">
        <v>71</v>
      </c>
      <c r="W589">
        <v>66</v>
      </c>
      <c r="X589">
        <v>100007723</v>
      </c>
      <c r="Y589">
        <v>100007724</v>
      </c>
      <c r="Z589">
        <v>200015447</v>
      </c>
      <c r="AA589">
        <v>100007724</v>
      </c>
      <c r="AB589">
        <v>2</v>
      </c>
      <c r="AC589">
        <v>1</v>
      </c>
      <c r="AD589">
        <v>1.5</v>
      </c>
      <c r="AE589">
        <v>35.397500000000001</v>
      </c>
      <c r="AF589">
        <v>6400494304</v>
      </c>
      <c r="AJ589" t="s">
        <v>1152</v>
      </c>
      <c r="AM589">
        <v>3324815068</v>
      </c>
      <c r="AN589">
        <v>0</v>
      </c>
      <c r="AO589">
        <v>369455394</v>
      </c>
      <c r="AP589">
        <v>3324815068</v>
      </c>
      <c r="AQ589">
        <v>3694270462</v>
      </c>
      <c r="AR589">
        <v>51950235</v>
      </c>
      <c r="AS589">
        <v>0</v>
      </c>
      <c r="AT589">
        <v>5772740</v>
      </c>
      <c r="AU589">
        <v>51950235</v>
      </c>
      <c r="AV589">
        <v>57722975</v>
      </c>
      <c r="AW589">
        <v>39.1096</v>
      </c>
      <c r="AX589">
        <v>19.858699999999999</v>
      </c>
      <c r="AY589">
        <v>9166.7800000000007</v>
      </c>
      <c r="AZ589">
        <v>7985.05</v>
      </c>
      <c r="BA589">
        <v>7744</v>
      </c>
      <c r="BB589">
        <v>2830</v>
      </c>
      <c r="BC589" t="str">
        <f t="shared" si="18"/>
        <v>u=10%, k=2x10^8</v>
      </c>
      <c r="BD589">
        <f t="shared" si="19"/>
        <v>64</v>
      </c>
    </row>
    <row r="590" spans="1:56">
      <c r="A590" t="s">
        <v>1153</v>
      </c>
      <c r="B590" t="s">
        <v>63</v>
      </c>
      <c r="C590">
        <v>72</v>
      </c>
      <c r="D590" t="s">
        <v>64</v>
      </c>
      <c r="E590" t="s">
        <v>59</v>
      </c>
      <c r="F590" t="s">
        <v>60</v>
      </c>
      <c r="G590">
        <v>1000</v>
      </c>
      <c r="H590">
        <v>0.5</v>
      </c>
      <c r="I590">
        <v>0.5</v>
      </c>
      <c r="J590">
        <v>0</v>
      </c>
      <c r="K590">
        <v>1</v>
      </c>
      <c r="L590">
        <v>2000000</v>
      </c>
      <c r="M590">
        <v>190</v>
      </c>
      <c r="N590">
        <v>190</v>
      </c>
      <c r="O590">
        <v>190</v>
      </c>
      <c r="P590">
        <v>0</v>
      </c>
      <c r="Q590" t="s">
        <v>61</v>
      </c>
      <c r="R590">
        <v>999661881664</v>
      </c>
      <c r="S590">
        <v>999599</v>
      </c>
      <c r="T590">
        <v>999661881664</v>
      </c>
      <c r="U590">
        <v>999599</v>
      </c>
      <c r="V590" t="s">
        <v>71</v>
      </c>
      <c r="W590">
        <v>6</v>
      </c>
      <c r="X590">
        <v>40273</v>
      </c>
      <c r="Y590">
        <v>1046196</v>
      </c>
      <c r="Z590">
        <v>1086469</v>
      </c>
      <c r="AA590">
        <v>999599</v>
      </c>
      <c r="AB590">
        <v>26.977599999999999</v>
      </c>
      <c r="AC590">
        <v>0.955461</v>
      </c>
      <c r="AD590">
        <v>1.92004</v>
      </c>
      <c r="AE590">
        <v>3.01471</v>
      </c>
      <c r="AF590">
        <v>19962512</v>
      </c>
      <c r="AG590" t="s">
        <v>1154</v>
      </c>
      <c r="AH590" t="s">
        <v>1155</v>
      </c>
      <c r="AI590">
        <v>14705</v>
      </c>
      <c r="AJ590">
        <v>2748</v>
      </c>
      <c r="AM590">
        <v>397488979</v>
      </c>
      <c r="AN590">
        <v>0</v>
      </c>
      <c r="AO590">
        <v>4017552</v>
      </c>
      <c r="AP590">
        <v>397488979</v>
      </c>
      <c r="AQ590">
        <v>401506531</v>
      </c>
      <c r="AR590">
        <v>397488979</v>
      </c>
      <c r="AS590">
        <v>0</v>
      </c>
      <c r="AT590">
        <v>4017552</v>
      </c>
      <c r="AU590">
        <v>397488979</v>
      </c>
      <c r="AV590">
        <v>401506531</v>
      </c>
      <c r="AW590">
        <v>8.8558699999999995</v>
      </c>
      <c r="AX590">
        <v>0.41899799999999998</v>
      </c>
      <c r="AY590">
        <v>1301.43</v>
      </c>
      <c r="AZ590">
        <v>568.27300000000002</v>
      </c>
      <c r="BA590">
        <v>1344</v>
      </c>
      <c r="BB590">
        <v>330</v>
      </c>
      <c r="BC590" t="str">
        <f t="shared" si="18"/>
        <v>u=1%, k=2x10^6</v>
      </c>
      <c r="BD590">
        <f t="shared" si="19"/>
        <v>1</v>
      </c>
    </row>
    <row r="591" spans="1:56">
      <c r="A591" t="s">
        <v>1156</v>
      </c>
      <c r="B591" t="s">
        <v>63</v>
      </c>
      <c r="C591">
        <v>72</v>
      </c>
      <c r="D591" t="s">
        <v>64</v>
      </c>
      <c r="E591" t="s">
        <v>59</v>
      </c>
      <c r="F591" t="s">
        <v>60</v>
      </c>
      <c r="G591">
        <v>2000</v>
      </c>
      <c r="H591">
        <v>0.5</v>
      </c>
      <c r="I591">
        <v>0.5</v>
      </c>
      <c r="J591">
        <v>0</v>
      </c>
      <c r="K591">
        <v>1</v>
      </c>
      <c r="L591">
        <v>2000000</v>
      </c>
      <c r="M591">
        <v>190</v>
      </c>
      <c r="N591">
        <v>190</v>
      </c>
      <c r="O591">
        <v>190</v>
      </c>
      <c r="P591">
        <v>0</v>
      </c>
      <c r="Q591" t="s">
        <v>61</v>
      </c>
      <c r="R591">
        <v>999799827795</v>
      </c>
      <c r="S591">
        <v>999917</v>
      </c>
      <c r="T591">
        <v>999799827795</v>
      </c>
      <c r="U591">
        <v>999917</v>
      </c>
      <c r="V591" t="s">
        <v>71</v>
      </c>
      <c r="W591">
        <v>6</v>
      </c>
      <c r="X591">
        <v>51112</v>
      </c>
      <c r="Y591">
        <v>1068553</v>
      </c>
      <c r="Z591">
        <v>1119665</v>
      </c>
      <c r="AA591">
        <v>999917</v>
      </c>
      <c r="AB591">
        <v>21.906099999999999</v>
      </c>
      <c r="AC591">
        <v>0.93576700000000002</v>
      </c>
      <c r="AD591">
        <v>1.8930499999999999</v>
      </c>
      <c r="AE591">
        <v>3.0372599999999998</v>
      </c>
      <c r="AF591">
        <v>21196832</v>
      </c>
      <c r="AG591" t="s">
        <v>1157</v>
      </c>
      <c r="AH591" t="s">
        <v>1158</v>
      </c>
      <c r="AI591">
        <v>25414</v>
      </c>
      <c r="AJ591">
        <v>5488</v>
      </c>
      <c r="AM591">
        <v>798644011</v>
      </c>
      <c r="AN591">
        <v>0</v>
      </c>
      <c r="AO591">
        <v>8068937</v>
      </c>
      <c r="AP591">
        <v>798644011</v>
      </c>
      <c r="AQ591">
        <v>806712948</v>
      </c>
      <c r="AR591">
        <v>399322005</v>
      </c>
      <c r="AS591">
        <v>0</v>
      </c>
      <c r="AT591">
        <v>4034468</v>
      </c>
      <c r="AU591">
        <v>399322005</v>
      </c>
      <c r="AV591">
        <v>403356474</v>
      </c>
      <c r="AW591">
        <v>8.7922100000000007</v>
      </c>
      <c r="AX591">
        <v>0.41811500000000001</v>
      </c>
      <c r="AY591">
        <v>1307.1500000000001</v>
      </c>
      <c r="AZ591">
        <v>571.19000000000005</v>
      </c>
      <c r="BA591">
        <v>1364</v>
      </c>
      <c r="BB591">
        <v>321</v>
      </c>
      <c r="BC591" t="str">
        <f t="shared" si="18"/>
        <v>u=1%, k=2x10^6</v>
      </c>
      <c r="BD591">
        <f t="shared" si="19"/>
        <v>2</v>
      </c>
    </row>
    <row r="592" spans="1:56">
      <c r="A592" t="s">
        <v>1159</v>
      </c>
      <c r="B592" t="s">
        <v>63</v>
      </c>
      <c r="C592">
        <v>72</v>
      </c>
      <c r="D592" t="s">
        <v>64</v>
      </c>
      <c r="E592" t="s">
        <v>59</v>
      </c>
      <c r="F592" t="s">
        <v>60</v>
      </c>
      <c r="G592">
        <v>4000</v>
      </c>
      <c r="H592">
        <v>0.5</v>
      </c>
      <c r="I592">
        <v>0.5</v>
      </c>
      <c r="J592">
        <v>0</v>
      </c>
      <c r="K592">
        <v>1</v>
      </c>
      <c r="L592">
        <v>2000000</v>
      </c>
      <c r="M592">
        <v>190</v>
      </c>
      <c r="N592">
        <v>190</v>
      </c>
      <c r="O592">
        <v>190</v>
      </c>
      <c r="P592">
        <v>0</v>
      </c>
      <c r="Q592" t="s">
        <v>61</v>
      </c>
      <c r="R592">
        <v>999504085673</v>
      </c>
      <c r="S592">
        <v>999305</v>
      </c>
      <c r="T592">
        <v>999504085673</v>
      </c>
      <c r="U592">
        <v>999305</v>
      </c>
      <c r="V592" t="s">
        <v>71</v>
      </c>
      <c r="W592">
        <v>6</v>
      </c>
      <c r="X592">
        <v>54338</v>
      </c>
      <c r="Y592">
        <v>1074495</v>
      </c>
      <c r="Z592">
        <v>1128833</v>
      </c>
      <c r="AA592">
        <v>999305</v>
      </c>
      <c r="AB592">
        <v>20.7743</v>
      </c>
      <c r="AC592">
        <v>0.93002300000000004</v>
      </c>
      <c r="AD592">
        <v>1.8852500000000001</v>
      </c>
      <c r="AE592">
        <v>3.0445799999999998</v>
      </c>
      <c r="AF592">
        <v>21559952</v>
      </c>
      <c r="AG592" t="s">
        <v>1160</v>
      </c>
      <c r="AH592" t="s">
        <v>1161</v>
      </c>
      <c r="AI592">
        <v>43368</v>
      </c>
      <c r="AJ592">
        <v>10846</v>
      </c>
      <c r="AM592">
        <v>1581195200</v>
      </c>
      <c r="AN592">
        <v>0</v>
      </c>
      <c r="AO592">
        <v>15973926</v>
      </c>
      <c r="AP592">
        <v>1581195200</v>
      </c>
      <c r="AQ592">
        <v>1597169126</v>
      </c>
      <c r="AR592">
        <v>395298800</v>
      </c>
      <c r="AS592">
        <v>0</v>
      </c>
      <c r="AT592">
        <v>3993481</v>
      </c>
      <c r="AU592">
        <v>395298800</v>
      </c>
      <c r="AV592">
        <v>399292281</v>
      </c>
      <c r="AW592">
        <v>8.8061399999999992</v>
      </c>
      <c r="AX592">
        <v>0.41824699999999998</v>
      </c>
      <c r="AY592">
        <v>1317.65</v>
      </c>
      <c r="AZ592">
        <v>588.30999999999995</v>
      </c>
      <c r="BA592">
        <v>1394</v>
      </c>
      <c r="BB592">
        <v>290</v>
      </c>
      <c r="BC592" t="str">
        <f t="shared" si="18"/>
        <v>u=1%, k=2x10^6</v>
      </c>
      <c r="BD592">
        <f t="shared" si="19"/>
        <v>4</v>
      </c>
    </row>
    <row r="593" spans="1:56">
      <c r="A593" t="s">
        <v>1162</v>
      </c>
      <c r="B593" t="s">
        <v>63</v>
      </c>
      <c r="C593">
        <v>72</v>
      </c>
      <c r="D593" t="s">
        <v>64</v>
      </c>
      <c r="E593" t="s">
        <v>59</v>
      </c>
      <c r="F593" t="s">
        <v>60</v>
      </c>
      <c r="G593">
        <v>8000</v>
      </c>
      <c r="H593">
        <v>0.5</v>
      </c>
      <c r="I593">
        <v>0.5</v>
      </c>
      <c r="J593">
        <v>0</v>
      </c>
      <c r="K593">
        <v>1</v>
      </c>
      <c r="L593">
        <v>2000000</v>
      </c>
      <c r="M593">
        <v>190</v>
      </c>
      <c r="N593">
        <v>190</v>
      </c>
      <c r="O593">
        <v>190</v>
      </c>
      <c r="P593">
        <v>0</v>
      </c>
      <c r="Q593" t="s">
        <v>61</v>
      </c>
      <c r="R593">
        <v>1000571962450</v>
      </c>
      <c r="S593">
        <v>1000960</v>
      </c>
      <c r="T593">
        <v>1000571962450</v>
      </c>
      <c r="U593">
        <v>1000960</v>
      </c>
      <c r="V593" t="s">
        <v>71</v>
      </c>
      <c r="W593">
        <v>6</v>
      </c>
      <c r="X593">
        <v>54318</v>
      </c>
      <c r="Y593">
        <v>1076101</v>
      </c>
      <c r="Z593">
        <v>1130419</v>
      </c>
      <c r="AA593">
        <v>1000960</v>
      </c>
      <c r="AB593">
        <v>20.8111</v>
      </c>
      <c r="AC593">
        <v>0.93017300000000003</v>
      </c>
      <c r="AD593">
        <v>1.88548</v>
      </c>
      <c r="AE593">
        <v>3.0444499999999999</v>
      </c>
      <c r="AF593">
        <v>21583568</v>
      </c>
      <c r="AG593" t="s">
        <v>1163</v>
      </c>
      <c r="AH593" t="s">
        <v>1164</v>
      </c>
      <c r="AI593">
        <v>77619</v>
      </c>
      <c r="AJ593">
        <v>21428</v>
      </c>
      <c r="AM593">
        <v>3115141769</v>
      </c>
      <c r="AN593">
        <v>0</v>
      </c>
      <c r="AO593">
        <v>31465978</v>
      </c>
      <c r="AP593">
        <v>3115141769</v>
      </c>
      <c r="AQ593">
        <v>3146607747</v>
      </c>
      <c r="AR593">
        <v>389392721</v>
      </c>
      <c r="AS593">
        <v>0</v>
      </c>
      <c r="AT593">
        <v>3933247</v>
      </c>
      <c r="AU593">
        <v>389392721</v>
      </c>
      <c r="AV593">
        <v>393325968</v>
      </c>
      <c r="AW593">
        <v>8.7916500000000006</v>
      </c>
      <c r="AX593">
        <v>0.42322500000000002</v>
      </c>
      <c r="AY593">
        <v>1336.43</v>
      </c>
      <c r="AZ593">
        <v>606.30999999999995</v>
      </c>
      <c r="BA593">
        <v>1412</v>
      </c>
      <c r="BB593">
        <v>285</v>
      </c>
      <c r="BC593" t="str">
        <f t="shared" si="18"/>
        <v>u=1%, k=2x10^6</v>
      </c>
      <c r="BD593">
        <f t="shared" si="19"/>
        <v>8</v>
      </c>
    </row>
    <row r="594" spans="1:56">
      <c r="A594" t="s">
        <v>1165</v>
      </c>
      <c r="B594" t="s">
        <v>63</v>
      </c>
      <c r="C594">
        <v>72</v>
      </c>
      <c r="D594" t="s">
        <v>64</v>
      </c>
      <c r="E594" t="s">
        <v>59</v>
      </c>
      <c r="F594" t="s">
        <v>60</v>
      </c>
      <c r="G594">
        <v>16000</v>
      </c>
      <c r="H594">
        <v>0.5</v>
      </c>
      <c r="I594">
        <v>0.5</v>
      </c>
      <c r="J594">
        <v>0</v>
      </c>
      <c r="K594">
        <v>1</v>
      </c>
      <c r="L594">
        <v>2000000</v>
      </c>
      <c r="M594">
        <v>190</v>
      </c>
      <c r="N594">
        <v>190</v>
      </c>
      <c r="O594">
        <v>190</v>
      </c>
      <c r="P594">
        <v>0</v>
      </c>
      <c r="Q594" t="s">
        <v>61</v>
      </c>
      <c r="R594">
        <v>999915329056</v>
      </c>
      <c r="S594">
        <v>999733</v>
      </c>
      <c r="T594">
        <v>999915329056</v>
      </c>
      <c r="U594">
        <v>999733</v>
      </c>
      <c r="V594" t="s">
        <v>71</v>
      </c>
      <c r="W594">
        <v>6</v>
      </c>
      <c r="X594">
        <v>52768</v>
      </c>
      <c r="Y594">
        <v>1071817</v>
      </c>
      <c r="Z594">
        <v>1124585</v>
      </c>
      <c r="AA594">
        <v>999733</v>
      </c>
      <c r="AB594">
        <v>21.311900000000001</v>
      </c>
      <c r="AC594">
        <v>0.93274599999999996</v>
      </c>
      <c r="AD594">
        <v>1.8889800000000001</v>
      </c>
      <c r="AE594">
        <v>3.0408499999999998</v>
      </c>
      <c r="AF594">
        <v>21384464</v>
      </c>
      <c r="AG594" t="s">
        <v>1166</v>
      </c>
      <c r="AH594" t="s">
        <v>1167</v>
      </c>
      <c r="AI594">
        <v>148837</v>
      </c>
      <c r="AJ594">
        <v>42930</v>
      </c>
      <c r="AM594">
        <v>6187514264</v>
      </c>
      <c r="AN594">
        <v>0</v>
      </c>
      <c r="AO594">
        <v>62511254</v>
      </c>
      <c r="AP594">
        <v>6187514264</v>
      </c>
      <c r="AQ594">
        <v>6250025518</v>
      </c>
      <c r="AR594">
        <v>386719641</v>
      </c>
      <c r="AS594">
        <v>0</v>
      </c>
      <c r="AT594">
        <v>3906953</v>
      </c>
      <c r="AU594">
        <v>386719641</v>
      </c>
      <c r="AV594">
        <v>390626594</v>
      </c>
      <c r="AW594">
        <v>8.7867499999999996</v>
      </c>
      <c r="AX594">
        <v>0.422124</v>
      </c>
      <c r="AY594">
        <v>1343.4</v>
      </c>
      <c r="AZ594">
        <v>604.67600000000004</v>
      </c>
      <c r="BA594">
        <v>1410</v>
      </c>
      <c r="BB594">
        <v>268</v>
      </c>
      <c r="BC594" t="str">
        <f t="shared" si="18"/>
        <v>u=1%, k=2x10^6</v>
      </c>
      <c r="BD594">
        <f t="shared" si="19"/>
        <v>16</v>
      </c>
    </row>
    <row r="595" spans="1:56">
      <c r="A595" t="s">
        <v>1168</v>
      </c>
      <c r="B595" t="s">
        <v>63</v>
      </c>
      <c r="C595">
        <v>72</v>
      </c>
      <c r="D595" t="s">
        <v>64</v>
      </c>
      <c r="E595" t="s">
        <v>59</v>
      </c>
      <c r="F595" t="s">
        <v>60</v>
      </c>
      <c r="G595">
        <v>32000</v>
      </c>
      <c r="H595">
        <v>0.5</v>
      </c>
      <c r="I595">
        <v>0.5</v>
      </c>
      <c r="J595">
        <v>0</v>
      </c>
      <c r="K595">
        <v>1</v>
      </c>
      <c r="L595">
        <v>2000000</v>
      </c>
      <c r="M595">
        <v>190</v>
      </c>
      <c r="N595">
        <v>190</v>
      </c>
      <c r="O595">
        <v>190</v>
      </c>
      <c r="P595">
        <v>0</v>
      </c>
      <c r="Q595" t="s">
        <v>61</v>
      </c>
      <c r="R595">
        <v>1000381266125</v>
      </c>
      <c r="S595">
        <v>1000200</v>
      </c>
      <c r="T595">
        <v>1000381266125</v>
      </c>
      <c r="U595">
        <v>1000200</v>
      </c>
      <c r="V595" t="s">
        <v>71</v>
      </c>
      <c r="W595">
        <v>6</v>
      </c>
      <c r="X595">
        <v>44347</v>
      </c>
      <c r="Y595">
        <v>1055138</v>
      </c>
      <c r="Z595">
        <v>1099485</v>
      </c>
      <c r="AA595">
        <v>1000200</v>
      </c>
      <c r="AB595">
        <v>24.7928</v>
      </c>
      <c r="AC595">
        <v>0.94793300000000003</v>
      </c>
      <c r="AD595">
        <v>1.9097</v>
      </c>
      <c r="AE595">
        <v>3.0230399999999999</v>
      </c>
      <c r="AF595">
        <v>20434336</v>
      </c>
      <c r="AG595" t="s">
        <v>1169</v>
      </c>
      <c r="AH595" t="s">
        <v>1170</v>
      </c>
      <c r="AI595">
        <v>283897</v>
      </c>
      <c r="AJ595">
        <v>85220</v>
      </c>
      <c r="AM595">
        <v>12313861898</v>
      </c>
      <c r="AN595">
        <v>0</v>
      </c>
      <c r="AO595">
        <v>124391680</v>
      </c>
      <c r="AP595">
        <v>12313861898</v>
      </c>
      <c r="AQ595">
        <v>12438253578</v>
      </c>
      <c r="AR595">
        <v>384808184</v>
      </c>
      <c r="AS595">
        <v>0</v>
      </c>
      <c r="AT595">
        <v>3887240</v>
      </c>
      <c r="AU595">
        <v>384808184</v>
      </c>
      <c r="AV595">
        <v>388695424</v>
      </c>
      <c r="AW595">
        <v>8.8083299999999998</v>
      </c>
      <c r="AX595">
        <v>0.42083700000000002</v>
      </c>
      <c r="AY595">
        <v>1350.07</v>
      </c>
      <c r="AZ595">
        <v>611.94100000000003</v>
      </c>
      <c r="BA595">
        <v>1420</v>
      </c>
      <c r="BB595">
        <v>275</v>
      </c>
      <c r="BC595" t="str">
        <f t="shared" si="18"/>
        <v>u=1%, k=2x10^6</v>
      </c>
      <c r="BD595">
        <f t="shared" si="19"/>
        <v>32</v>
      </c>
    </row>
    <row r="596" spans="1:56">
      <c r="A596" t="s">
        <v>1171</v>
      </c>
      <c r="B596" t="s">
        <v>63</v>
      </c>
      <c r="C596">
        <v>72</v>
      </c>
      <c r="D596" t="s">
        <v>64</v>
      </c>
      <c r="E596" t="s">
        <v>59</v>
      </c>
      <c r="F596" t="s">
        <v>60</v>
      </c>
      <c r="G596">
        <v>64000</v>
      </c>
      <c r="H596">
        <v>0.5</v>
      </c>
      <c r="I596">
        <v>0.5</v>
      </c>
      <c r="J596">
        <v>0</v>
      </c>
      <c r="K596">
        <v>1</v>
      </c>
      <c r="L596">
        <v>2000000</v>
      </c>
      <c r="M596">
        <v>190</v>
      </c>
      <c r="N596">
        <v>190</v>
      </c>
      <c r="O596">
        <v>190</v>
      </c>
      <c r="P596">
        <v>0</v>
      </c>
      <c r="Q596" t="s">
        <v>61</v>
      </c>
      <c r="R596">
        <v>999256644425</v>
      </c>
      <c r="S596">
        <v>999460</v>
      </c>
      <c r="T596">
        <v>999256644425</v>
      </c>
      <c r="U596">
        <v>999460</v>
      </c>
      <c r="V596" t="s">
        <v>71</v>
      </c>
      <c r="W596">
        <v>6</v>
      </c>
      <c r="X596">
        <v>55871</v>
      </c>
      <c r="Y596">
        <v>1077504</v>
      </c>
      <c r="Z596">
        <v>1133375</v>
      </c>
      <c r="AA596">
        <v>999460</v>
      </c>
      <c r="AB596">
        <v>20.285599999999999</v>
      </c>
      <c r="AC596">
        <v>0.92757000000000001</v>
      </c>
      <c r="AD596">
        <v>1.88184</v>
      </c>
      <c r="AE596">
        <v>3.0478499999999999</v>
      </c>
      <c r="AF596">
        <v>21732128</v>
      </c>
      <c r="AG596" t="s">
        <v>1172</v>
      </c>
      <c r="AH596" t="s">
        <v>1173</v>
      </c>
      <c r="AI596">
        <v>557933</v>
      </c>
      <c r="AJ596">
        <v>170240</v>
      </c>
      <c r="AM596">
        <v>24708661954</v>
      </c>
      <c r="AN596">
        <v>0</v>
      </c>
      <c r="AO596">
        <v>249585476</v>
      </c>
      <c r="AP596">
        <v>24708661954</v>
      </c>
      <c r="AQ596">
        <v>24958247430</v>
      </c>
      <c r="AR596">
        <v>386072843</v>
      </c>
      <c r="AS596">
        <v>0</v>
      </c>
      <c r="AT596">
        <v>3899773</v>
      </c>
      <c r="AU596">
        <v>386072843</v>
      </c>
      <c r="AV596">
        <v>389972616</v>
      </c>
      <c r="AW596">
        <v>8.7683700000000009</v>
      </c>
      <c r="AX596">
        <v>0.42411100000000002</v>
      </c>
      <c r="AY596">
        <v>1344.92</v>
      </c>
      <c r="AZ596">
        <v>606.52700000000004</v>
      </c>
      <c r="BA596">
        <v>1434</v>
      </c>
      <c r="BB596">
        <v>260</v>
      </c>
      <c r="BC596" t="str">
        <f t="shared" si="18"/>
        <v>u=1%, k=2x10^6</v>
      </c>
      <c r="BD596">
        <f t="shared" si="19"/>
        <v>64</v>
      </c>
    </row>
    <row r="597" spans="1:56">
      <c r="A597" t="s">
        <v>1174</v>
      </c>
      <c r="B597" t="s">
        <v>300</v>
      </c>
      <c r="C597">
        <v>208</v>
      </c>
      <c r="D597" t="s">
        <v>64</v>
      </c>
      <c r="E597" t="s">
        <v>59</v>
      </c>
      <c r="F597" t="s">
        <v>60</v>
      </c>
      <c r="G597">
        <v>1000</v>
      </c>
      <c r="H597">
        <v>0.5</v>
      </c>
      <c r="I597">
        <v>0.5</v>
      </c>
      <c r="J597">
        <v>0</v>
      </c>
      <c r="K597">
        <v>1</v>
      </c>
      <c r="L597">
        <v>2000000</v>
      </c>
      <c r="M597">
        <v>190</v>
      </c>
      <c r="N597">
        <v>190</v>
      </c>
      <c r="O597">
        <v>190</v>
      </c>
      <c r="P597">
        <v>0</v>
      </c>
      <c r="Q597" t="s">
        <v>61</v>
      </c>
      <c r="R597">
        <v>999982858513</v>
      </c>
      <c r="S597">
        <v>1000213</v>
      </c>
      <c r="T597">
        <v>999982858513</v>
      </c>
      <c r="U597">
        <v>1000213</v>
      </c>
      <c r="V597" t="s">
        <v>71</v>
      </c>
      <c r="W597">
        <v>8</v>
      </c>
      <c r="X597">
        <v>23798</v>
      </c>
      <c r="Y597">
        <v>163383</v>
      </c>
      <c r="Z597">
        <v>187181</v>
      </c>
      <c r="AA597">
        <v>1000213</v>
      </c>
      <c r="AB597">
        <v>7.8654099999999998</v>
      </c>
      <c r="AC597">
        <v>6.1218899999999996</v>
      </c>
      <c r="AD597">
        <v>6.3435600000000001</v>
      </c>
      <c r="AE597">
        <v>7</v>
      </c>
      <c r="AF597">
        <v>38933648</v>
      </c>
      <c r="AJ597">
        <v>2996</v>
      </c>
      <c r="AM597">
        <v>397931031</v>
      </c>
      <c r="AN597">
        <v>0</v>
      </c>
      <c r="AO597">
        <v>4021028</v>
      </c>
      <c r="AP597">
        <v>397931031</v>
      </c>
      <c r="AQ597">
        <v>401952059</v>
      </c>
      <c r="AR597">
        <v>397931031</v>
      </c>
      <c r="AS597">
        <v>0</v>
      </c>
      <c r="AT597">
        <v>4021028</v>
      </c>
      <c r="AU597">
        <v>397931031</v>
      </c>
      <c r="AV597">
        <v>401952059</v>
      </c>
      <c r="AW597">
        <v>9.3077299999999994</v>
      </c>
      <c r="AX597">
        <v>0.77384399999999998</v>
      </c>
      <c r="AY597">
        <v>1309.02</v>
      </c>
      <c r="AZ597">
        <v>421.00599999999997</v>
      </c>
      <c r="BA597">
        <v>1163</v>
      </c>
      <c r="BB597">
        <v>308</v>
      </c>
      <c r="BC597" t="str">
        <f t="shared" si="18"/>
        <v>u=1%, k=2x10^6</v>
      </c>
      <c r="BD597">
        <f t="shared" si="19"/>
        <v>1</v>
      </c>
    </row>
    <row r="598" spans="1:56">
      <c r="A598" t="s">
        <v>1175</v>
      </c>
      <c r="B598" t="s">
        <v>300</v>
      </c>
      <c r="C598">
        <v>208</v>
      </c>
      <c r="D598" t="s">
        <v>64</v>
      </c>
      <c r="E598" t="s">
        <v>59</v>
      </c>
      <c r="F598" t="s">
        <v>60</v>
      </c>
      <c r="G598">
        <v>2000</v>
      </c>
      <c r="H598">
        <v>0.5</v>
      </c>
      <c r="I598">
        <v>0.5</v>
      </c>
      <c r="J598">
        <v>0</v>
      </c>
      <c r="K598">
        <v>1</v>
      </c>
      <c r="L598">
        <v>2000000</v>
      </c>
      <c r="M598">
        <v>190</v>
      </c>
      <c r="N598">
        <v>190</v>
      </c>
      <c r="O598">
        <v>190</v>
      </c>
      <c r="P598">
        <v>0</v>
      </c>
      <c r="Q598" t="s">
        <v>61</v>
      </c>
      <c r="R598">
        <v>1001027192687</v>
      </c>
      <c r="S598">
        <v>1000253</v>
      </c>
      <c r="T598">
        <v>1001027192687</v>
      </c>
      <c r="U598">
        <v>1000253</v>
      </c>
      <c r="V598" t="s">
        <v>71</v>
      </c>
      <c r="W598">
        <v>8</v>
      </c>
      <c r="X598">
        <v>25491</v>
      </c>
      <c r="Y598">
        <v>175160</v>
      </c>
      <c r="Z598">
        <v>200651</v>
      </c>
      <c r="AA598">
        <v>1000253</v>
      </c>
      <c r="AB598">
        <v>7.8714399999999998</v>
      </c>
      <c r="AC598">
        <v>5.7105100000000002</v>
      </c>
      <c r="AD598">
        <v>5.9850399999999997</v>
      </c>
      <c r="AE598">
        <v>7</v>
      </c>
      <c r="AF598">
        <v>41735408</v>
      </c>
      <c r="AJ598">
        <v>5484</v>
      </c>
      <c r="AM598">
        <v>769061789</v>
      </c>
      <c r="AN598">
        <v>0</v>
      </c>
      <c r="AO598">
        <v>7764694</v>
      </c>
      <c r="AP598">
        <v>769061789</v>
      </c>
      <c r="AQ598">
        <v>776826483</v>
      </c>
      <c r="AR598">
        <v>384530894</v>
      </c>
      <c r="AS598">
        <v>0</v>
      </c>
      <c r="AT598">
        <v>3882347</v>
      </c>
      <c r="AU598">
        <v>384530894</v>
      </c>
      <c r="AV598">
        <v>388413241</v>
      </c>
      <c r="AW598">
        <v>9.4679500000000001</v>
      </c>
      <c r="AX598">
        <v>0.87729699999999999</v>
      </c>
      <c r="AY598">
        <v>1345.16</v>
      </c>
      <c r="AZ598">
        <v>453.85899999999998</v>
      </c>
      <c r="BA598">
        <v>1165</v>
      </c>
      <c r="BB598">
        <v>239</v>
      </c>
      <c r="BC598" t="str">
        <f t="shared" ref="BC598:BC661" si="20">"u="&amp;(H598+I598)&amp;"%, k=2x10^"&amp;LOG10(L598/2)</f>
        <v>u=1%, k=2x10^6</v>
      </c>
      <c r="BD598">
        <f t="shared" ref="BD598:BD661" si="21">G598/1000</f>
        <v>2</v>
      </c>
    </row>
    <row r="599" spans="1:56">
      <c r="A599" t="s">
        <v>1176</v>
      </c>
      <c r="B599" t="s">
        <v>300</v>
      </c>
      <c r="C599">
        <v>208</v>
      </c>
      <c r="D599" t="s">
        <v>64</v>
      </c>
      <c r="E599" t="s">
        <v>59</v>
      </c>
      <c r="F599" t="s">
        <v>60</v>
      </c>
      <c r="G599">
        <v>4000</v>
      </c>
      <c r="H599">
        <v>0.5</v>
      </c>
      <c r="I599">
        <v>0.5</v>
      </c>
      <c r="J599">
        <v>0</v>
      </c>
      <c r="K599">
        <v>1</v>
      </c>
      <c r="L599">
        <v>2000000</v>
      </c>
      <c r="M599">
        <v>190</v>
      </c>
      <c r="N599">
        <v>190</v>
      </c>
      <c r="O599">
        <v>190</v>
      </c>
      <c r="P599">
        <v>0</v>
      </c>
      <c r="Q599" t="s">
        <v>61</v>
      </c>
      <c r="R599">
        <v>999836172646</v>
      </c>
      <c r="S599">
        <v>1000600</v>
      </c>
      <c r="T599">
        <v>999836172646</v>
      </c>
      <c r="U599">
        <v>1000600</v>
      </c>
      <c r="V599" t="s">
        <v>71</v>
      </c>
      <c r="W599">
        <v>8</v>
      </c>
      <c r="X599">
        <v>27413</v>
      </c>
      <c r="Y599">
        <v>186524</v>
      </c>
      <c r="Z599">
        <v>213937</v>
      </c>
      <c r="AA599">
        <v>1000600</v>
      </c>
      <c r="AB599">
        <v>7.8042199999999999</v>
      </c>
      <c r="AC599">
        <v>5.3644600000000002</v>
      </c>
      <c r="AD599">
        <v>5.6770800000000001</v>
      </c>
      <c r="AE599">
        <v>7</v>
      </c>
      <c r="AF599">
        <v>44498896</v>
      </c>
      <c r="AJ599">
        <v>10396</v>
      </c>
      <c r="AM599">
        <v>1491171720</v>
      </c>
      <c r="AN599">
        <v>0</v>
      </c>
      <c r="AO599">
        <v>15065465</v>
      </c>
      <c r="AP599">
        <v>1491171720</v>
      </c>
      <c r="AQ599">
        <v>1506237185</v>
      </c>
      <c r="AR599">
        <v>372792930</v>
      </c>
      <c r="AS599">
        <v>0</v>
      </c>
      <c r="AT599">
        <v>3766366</v>
      </c>
      <c r="AU599">
        <v>372792930</v>
      </c>
      <c r="AV599">
        <v>376559296</v>
      </c>
      <c r="AW599">
        <v>9.7986699999999995</v>
      </c>
      <c r="AX599">
        <v>1.0228200000000001</v>
      </c>
      <c r="AY599">
        <v>1372.53</v>
      </c>
      <c r="AZ599">
        <v>485.471</v>
      </c>
      <c r="BA599">
        <v>1173</v>
      </c>
      <c r="BB599">
        <v>290</v>
      </c>
      <c r="BC599" t="str">
        <f t="shared" si="20"/>
        <v>u=1%, k=2x10^6</v>
      </c>
      <c r="BD599">
        <f t="shared" si="21"/>
        <v>4</v>
      </c>
    </row>
    <row r="600" spans="1:56">
      <c r="A600" t="s">
        <v>1177</v>
      </c>
      <c r="B600" t="s">
        <v>300</v>
      </c>
      <c r="C600">
        <v>208</v>
      </c>
      <c r="D600" t="s">
        <v>64</v>
      </c>
      <c r="E600" t="s">
        <v>59</v>
      </c>
      <c r="F600" t="s">
        <v>60</v>
      </c>
      <c r="G600">
        <v>8000</v>
      </c>
      <c r="H600">
        <v>0.5</v>
      </c>
      <c r="I600">
        <v>0.5</v>
      </c>
      <c r="J600">
        <v>0</v>
      </c>
      <c r="K600">
        <v>1</v>
      </c>
      <c r="L600">
        <v>2000000</v>
      </c>
      <c r="M600">
        <v>190</v>
      </c>
      <c r="N600">
        <v>190</v>
      </c>
      <c r="O600">
        <v>190</v>
      </c>
      <c r="P600">
        <v>0</v>
      </c>
      <c r="Q600" t="s">
        <v>61</v>
      </c>
      <c r="R600">
        <v>1000708556994</v>
      </c>
      <c r="S600">
        <v>1000332</v>
      </c>
      <c r="T600">
        <v>1000708556994</v>
      </c>
      <c r="U600">
        <v>1000332</v>
      </c>
      <c r="V600" t="s">
        <v>71</v>
      </c>
      <c r="W600">
        <v>8</v>
      </c>
      <c r="X600">
        <v>29287</v>
      </c>
      <c r="Y600">
        <v>194283</v>
      </c>
      <c r="Z600">
        <v>223570</v>
      </c>
      <c r="AA600">
        <v>1000332</v>
      </c>
      <c r="AB600">
        <v>7.6337599999999997</v>
      </c>
      <c r="AC600">
        <v>5.1488399999999999</v>
      </c>
      <c r="AD600">
        <v>5.4743599999999999</v>
      </c>
      <c r="AE600">
        <v>7</v>
      </c>
      <c r="AF600">
        <v>46502560</v>
      </c>
      <c r="AJ600">
        <v>19966</v>
      </c>
      <c r="AM600">
        <v>2891010250</v>
      </c>
      <c r="AN600">
        <v>0</v>
      </c>
      <c r="AO600">
        <v>29205183</v>
      </c>
      <c r="AP600">
        <v>2891010250</v>
      </c>
      <c r="AQ600">
        <v>2920215433</v>
      </c>
      <c r="AR600">
        <v>361376281</v>
      </c>
      <c r="AS600">
        <v>0</v>
      </c>
      <c r="AT600">
        <v>3650647</v>
      </c>
      <c r="AU600">
        <v>361376281</v>
      </c>
      <c r="AV600">
        <v>365026929</v>
      </c>
      <c r="AW600">
        <v>9.9412400000000005</v>
      </c>
      <c r="AX600">
        <v>1.1447400000000001</v>
      </c>
      <c r="AY600">
        <v>1405.2</v>
      </c>
      <c r="AZ600">
        <v>511.02100000000002</v>
      </c>
      <c r="BA600">
        <v>1167</v>
      </c>
      <c r="BB600">
        <v>238</v>
      </c>
      <c r="BC600" t="str">
        <f t="shared" si="20"/>
        <v>u=1%, k=2x10^6</v>
      </c>
      <c r="BD600">
        <f t="shared" si="21"/>
        <v>8</v>
      </c>
    </row>
    <row r="601" spans="1:56">
      <c r="A601" t="s">
        <v>1178</v>
      </c>
      <c r="B601" t="s">
        <v>300</v>
      </c>
      <c r="C601">
        <v>208</v>
      </c>
      <c r="D601" t="s">
        <v>64</v>
      </c>
      <c r="E601" t="s">
        <v>59</v>
      </c>
      <c r="F601" t="s">
        <v>60</v>
      </c>
      <c r="G601">
        <v>16000</v>
      </c>
      <c r="H601">
        <v>0.5</v>
      </c>
      <c r="I601">
        <v>0.5</v>
      </c>
      <c r="J601">
        <v>0</v>
      </c>
      <c r="K601">
        <v>1</v>
      </c>
      <c r="L601">
        <v>2000000</v>
      </c>
      <c r="M601">
        <v>190</v>
      </c>
      <c r="N601">
        <v>190</v>
      </c>
      <c r="O601">
        <v>190</v>
      </c>
      <c r="P601">
        <v>0</v>
      </c>
      <c r="Q601" t="s">
        <v>61</v>
      </c>
      <c r="R601">
        <v>999687302507</v>
      </c>
      <c r="S601">
        <v>1000231</v>
      </c>
      <c r="T601">
        <v>999687302507</v>
      </c>
      <c r="U601">
        <v>1000231</v>
      </c>
      <c r="V601" t="s">
        <v>71</v>
      </c>
      <c r="W601">
        <v>8</v>
      </c>
      <c r="X601">
        <v>30925</v>
      </c>
      <c r="Y601">
        <v>196664</v>
      </c>
      <c r="Z601">
        <v>227589</v>
      </c>
      <c r="AA601">
        <v>1000231</v>
      </c>
      <c r="AB601">
        <v>7.3593900000000003</v>
      </c>
      <c r="AC601">
        <v>5.0859899999999998</v>
      </c>
      <c r="AD601">
        <v>5.3948999999999998</v>
      </c>
      <c r="AE601">
        <v>7</v>
      </c>
      <c r="AF601">
        <v>47338512</v>
      </c>
      <c r="AJ601">
        <v>38172</v>
      </c>
      <c r="AM601">
        <v>5659319000</v>
      </c>
      <c r="AN601">
        <v>0</v>
      </c>
      <c r="AO601">
        <v>57156485</v>
      </c>
      <c r="AP601">
        <v>5659319000</v>
      </c>
      <c r="AQ601">
        <v>5716475485</v>
      </c>
      <c r="AR601">
        <v>353707437</v>
      </c>
      <c r="AS601">
        <v>0</v>
      </c>
      <c r="AT601">
        <v>3572280</v>
      </c>
      <c r="AU601">
        <v>353707437</v>
      </c>
      <c r="AV601">
        <v>357279717</v>
      </c>
      <c r="AW601">
        <v>10.251200000000001</v>
      </c>
      <c r="AX601">
        <v>1.25641</v>
      </c>
      <c r="AY601">
        <v>1435.09</v>
      </c>
      <c r="AZ601">
        <v>541.84299999999996</v>
      </c>
      <c r="BA601">
        <v>1179</v>
      </c>
      <c r="BB601">
        <v>310</v>
      </c>
      <c r="BC601" t="str">
        <f t="shared" si="20"/>
        <v>u=1%, k=2x10^6</v>
      </c>
      <c r="BD601">
        <f t="shared" si="21"/>
        <v>16</v>
      </c>
    </row>
    <row r="602" spans="1:56">
      <c r="A602" t="s">
        <v>1179</v>
      </c>
      <c r="B602" t="s">
        <v>300</v>
      </c>
      <c r="C602">
        <v>208</v>
      </c>
      <c r="D602" t="s">
        <v>64</v>
      </c>
      <c r="E602" t="s">
        <v>59</v>
      </c>
      <c r="F602" t="s">
        <v>60</v>
      </c>
      <c r="G602">
        <v>32000</v>
      </c>
      <c r="H602">
        <v>0.5</v>
      </c>
      <c r="I602">
        <v>0.5</v>
      </c>
      <c r="J602">
        <v>0</v>
      </c>
      <c r="K602">
        <v>1</v>
      </c>
      <c r="L602">
        <v>2000000</v>
      </c>
      <c r="M602">
        <v>190</v>
      </c>
      <c r="N602">
        <v>190</v>
      </c>
      <c r="O602">
        <v>190</v>
      </c>
      <c r="P602">
        <v>0</v>
      </c>
      <c r="Q602" t="s">
        <v>61</v>
      </c>
      <c r="R602">
        <v>1000553703692</v>
      </c>
      <c r="S602">
        <v>1000362</v>
      </c>
      <c r="T602">
        <v>1000553703692</v>
      </c>
      <c r="U602">
        <v>1000362</v>
      </c>
      <c r="V602" t="s">
        <v>71</v>
      </c>
      <c r="W602">
        <v>8</v>
      </c>
      <c r="X602">
        <v>32270</v>
      </c>
      <c r="Y602">
        <v>195758</v>
      </c>
      <c r="Z602">
        <v>228028</v>
      </c>
      <c r="AA602">
        <v>1000362</v>
      </c>
      <c r="AB602">
        <v>7.0662500000000001</v>
      </c>
      <c r="AC602">
        <v>5.1101999999999999</v>
      </c>
      <c r="AD602">
        <v>5.3870100000000001</v>
      </c>
      <c r="AE602">
        <v>7</v>
      </c>
      <c r="AF602">
        <v>47429824</v>
      </c>
      <c r="AJ602">
        <v>75270</v>
      </c>
      <c r="AM602">
        <v>11149984675</v>
      </c>
      <c r="AN602">
        <v>0</v>
      </c>
      <c r="AO602">
        <v>112642440</v>
      </c>
      <c r="AP602">
        <v>11149984675</v>
      </c>
      <c r="AQ602">
        <v>11262627115</v>
      </c>
      <c r="AR602">
        <v>348437021</v>
      </c>
      <c r="AS602">
        <v>0</v>
      </c>
      <c r="AT602">
        <v>3520076</v>
      </c>
      <c r="AU602">
        <v>348437021</v>
      </c>
      <c r="AV602">
        <v>351957097</v>
      </c>
      <c r="AW602">
        <v>10.371499999999999</v>
      </c>
      <c r="AX602">
        <v>1.3101499999999999</v>
      </c>
      <c r="AY602">
        <v>1454.98</v>
      </c>
      <c r="AZ602">
        <v>552.04399999999998</v>
      </c>
      <c r="BA602">
        <v>1179</v>
      </c>
      <c r="BB602">
        <v>314</v>
      </c>
      <c r="BC602" t="str">
        <f t="shared" si="20"/>
        <v>u=1%, k=2x10^6</v>
      </c>
      <c r="BD602">
        <f t="shared" si="21"/>
        <v>32</v>
      </c>
    </row>
    <row r="603" spans="1:56">
      <c r="A603" t="s">
        <v>1180</v>
      </c>
      <c r="B603" t="s">
        <v>300</v>
      </c>
      <c r="C603">
        <v>208</v>
      </c>
      <c r="D603" t="s">
        <v>64</v>
      </c>
      <c r="E603" t="s">
        <v>59</v>
      </c>
      <c r="F603" t="s">
        <v>60</v>
      </c>
      <c r="G603">
        <v>64000</v>
      </c>
      <c r="H603">
        <v>0.5</v>
      </c>
      <c r="I603">
        <v>0.5</v>
      </c>
      <c r="J603">
        <v>0</v>
      </c>
      <c r="K603">
        <v>1</v>
      </c>
      <c r="L603">
        <v>2000000</v>
      </c>
      <c r="M603">
        <v>190</v>
      </c>
      <c r="N603">
        <v>190</v>
      </c>
      <c r="O603">
        <v>190</v>
      </c>
      <c r="P603">
        <v>0</v>
      </c>
      <c r="Q603" t="s">
        <v>61</v>
      </c>
      <c r="R603">
        <v>999947175074</v>
      </c>
      <c r="S603">
        <v>999779</v>
      </c>
      <c r="T603">
        <v>999947175074</v>
      </c>
      <c r="U603">
        <v>999779</v>
      </c>
      <c r="V603" t="s">
        <v>71</v>
      </c>
      <c r="W603">
        <v>8</v>
      </c>
      <c r="X603">
        <v>33324</v>
      </c>
      <c r="Y603">
        <v>195319</v>
      </c>
      <c r="Z603">
        <v>228643</v>
      </c>
      <c r="AA603">
        <v>999779</v>
      </c>
      <c r="AB603">
        <v>6.8612099999999998</v>
      </c>
      <c r="AC603">
        <v>5.1186999999999996</v>
      </c>
      <c r="AD603">
        <v>5.3726599999999998</v>
      </c>
      <c r="AE603">
        <v>7</v>
      </c>
      <c r="AF603">
        <v>47557744</v>
      </c>
      <c r="AJ603">
        <v>150242</v>
      </c>
      <c r="AM603">
        <v>22334342436</v>
      </c>
      <c r="AN603">
        <v>0</v>
      </c>
      <c r="AO603">
        <v>225569494</v>
      </c>
      <c r="AP603">
        <v>22334342436</v>
      </c>
      <c r="AQ603">
        <v>22559911930</v>
      </c>
      <c r="AR603">
        <v>348974100</v>
      </c>
      <c r="AS603">
        <v>0</v>
      </c>
      <c r="AT603">
        <v>3524523</v>
      </c>
      <c r="AU603">
        <v>348974100</v>
      </c>
      <c r="AV603">
        <v>352498623</v>
      </c>
      <c r="AW603">
        <v>10.4215</v>
      </c>
      <c r="AX603">
        <v>1.33979</v>
      </c>
      <c r="AY603">
        <v>1449.31</v>
      </c>
      <c r="AZ603">
        <v>553.32500000000005</v>
      </c>
      <c r="BA603">
        <v>1175</v>
      </c>
      <c r="BB603">
        <v>326</v>
      </c>
      <c r="BC603" t="str">
        <f t="shared" si="20"/>
        <v>u=1%, k=2x10^6</v>
      </c>
      <c r="BD603">
        <f t="shared" si="21"/>
        <v>64</v>
      </c>
    </row>
    <row r="604" spans="1:56">
      <c r="A604" t="s">
        <v>1181</v>
      </c>
      <c r="B604" t="s">
        <v>105</v>
      </c>
      <c r="D604" t="s">
        <v>64</v>
      </c>
      <c r="E604" t="s">
        <v>59</v>
      </c>
      <c r="F604" t="s">
        <v>60</v>
      </c>
      <c r="G604">
        <v>1000</v>
      </c>
      <c r="H604">
        <v>0.5</v>
      </c>
      <c r="I604">
        <v>0.5</v>
      </c>
      <c r="J604">
        <v>0</v>
      </c>
      <c r="K604">
        <v>1</v>
      </c>
      <c r="L604">
        <v>2000000</v>
      </c>
      <c r="M604">
        <v>190</v>
      </c>
      <c r="N604">
        <v>190</v>
      </c>
      <c r="O604">
        <v>190</v>
      </c>
      <c r="P604">
        <v>0</v>
      </c>
      <c r="Q604" t="s">
        <v>61</v>
      </c>
      <c r="R604">
        <v>999990179971</v>
      </c>
      <c r="S604">
        <v>999941</v>
      </c>
      <c r="T604">
        <v>999990179971</v>
      </c>
      <c r="U604">
        <v>999941</v>
      </c>
      <c r="V604" t="s">
        <v>71</v>
      </c>
      <c r="W604">
        <v>25</v>
      </c>
      <c r="X604">
        <v>649509</v>
      </c>
      <c r="Y604">
        <v>491234</v>
      </c>
      <c r="Z604">
        <v>1140743</v>
      </c>
      <c r="AA604">
        <v>999941</v>
      </c>
      <c r="AB604">
        <v>1.7563200000000001</v>
      </c>
      <c r="AC604">
        <v>2.0355699999999999</v>
      </c>
      <c r="AD604">
        <v>1.8765700000000001</v>
      </c>
      <c r="AE604">
        <v>19.710699999999999</v>
      </c>
      <c r="AF604">
        <v>63881608</v>
      </c>
      <c r="AJ604">
        <v>1592</v>
      </c>
      <c r="AM604">
        <v>222756969</v>
      </c>
      <c r="AN604">
        <v>0</v>
      </c>
      <c r="AO604">
        <v>2249508</v>
      </c>
      <c r="AP604">
        <v>222756969</v>
      </c>
      <c r="AQ604">
        <v>225006477</v>
      </c>
      <c r="AR604">
        <v>222756969</v>
      </c>
      <c r="AS604">
        <v>0</v>
      </c>
      <c r="AT604">
        <v>2249508</v>
      </c>
      <c r="AU604">
        <v>222756969</v>
      </c>
      <c r="AV604">
        <v>225006477</v>
      </c>
      <c r="AW604">
        <v>16.0992</v>
      </c>
      <c r="AX604">
        <v>2.4182000000000001</v>
      </c>
      <c r="AY604">
        <v>2347.98</v>
      </c>
      <c r="AZ604">
        <v>1065.8</v>
      </c>
      <c r="BA604">
        <v>1177</v>
      </c>
      <c r="BB604">
        <v>254</v>
      </c>
      <c r="BC604" t="str">
        <f t="shared" si="20"/>
        <v>u=1%, k=2x10^6</v>
      </c>
      <c r="BD604">
        <f t="shared" si="21"/>
        <v>1</v>
      </c>
    </row>
    <row r="605" spans="1:56">
      <c r="A605" t="s">
        <v>1182</v>
      </c>
      <c r="B605" t="s">
        <v>105</v>
      </c>
      <c r="D605" t="s">
        <v>64</v>
      </c>
      <c r="E605" t="s">
        <v>59</v>
      </c>
      <c r="F605" t="s">
        <v>60</v>
      </c>
      <c r="G605">
        <v>2000</v>
      </c>
      <c r="H605">
        <v>0.5</v>
      </c>
      <c r="I605">
        <v>0.5</v>
      </c>
      <c r="J605">
        <v>0</v>
      </c>
      <c r="K605">
        <v>1</v>
      </c>
      <c r="L605">
        <v>2000000</v>
      </c>
      <c r="M605">
        <v>190</v>
      </c>
      <c r="N605">
        <v>190</v>
      </c>
      <c r="O605">
        <v>190</v>
      </c>
      <c r="P605">
        <v>0</v>
      </c>
      <c r="Q605" t="s">
        <v>61</v>
      </c>
      <c r="R605">
        <v>1000959964129</v>
      </c>
      <c r="S605">
        <v>1001042</v>
      </c>
      <c r="T605">
        <v>1000959964129</v>
      </c>
      <c r="U605">
        <v>1001042</v>
      </c>
      <c r="V605" t="s">
        <v>71</v>
      </c>
      <c r="W605">
        <v>25</v>
      </c>
      <c r="X605">
        <v>673882</v>
      </c>
      <c r="Y605">
        <v>510540</v>
      </c>
      <c r="Z605">
        <v>1184422</v>
      </c>
      <c r="AA605">
        <v>1001042</v>
      </c>
      <c r="AB605">
        <v>1.7576099999999999</v>
      </c>
      <c r="AC605">
        <v>1.96075</v>
      </c>
      <c r="AD605">
        <v>1.84517</v>
      </c>
      <c r="AE605">
        <v>19.813600000000001</v>
      </c>
      <c r="AF605">
        <v>66327632</v>
      </c>
      <c r="AJ605">
        <v>2930</v>
      </c>
      <c r="AM605">
        <v>434376906</v>
      </c>
      <c r="AN605">
        <v>0</v>
      </c>
      <c r="AO605">
        <v>4390544</v>
      </c>
      <c r="AP605">
        <v>434376906</v>
      </c>
      <c r="AQ605">
        <v>438767450</v>
      </c>
      <c r="AR605">
        <v>217188453</v>
      </c>
      <c r="AS605">
        <v>0</v>
      </c>
      <c r="AT605">
        <v>2195272</v>
      </c>
      <c r="AU605">
        <v>217188453</v>
      </c>
      <c r="AV605">
        <v>219383725</v>
      </c>
      <c r="AW605">
        <v>16.188400000000001</v>
      </c>
      <c r="AX605">
        <v>2.5251000000000001</v>
      </c>
      <c r="AY605">
        <v>2390.14</v>
      </c>
      <c r="AZ605">
        <v>1106.06</v>
      </c>
      <c r="BA605">
        <v>1179</v>
      </c>
      <c r="BB605">
        <v>328</v>
      </c>
      <c r="BC605" t="str">
        <f t="shared" si="20"/>
        <v>u=1%, k=2x10^6</v>
      </c>
      <c r="BD605">
        <f t="shared" si="21"/>
        <v>2</v>
      </c>
    </row>
    <row r="606" spans="1:56">
      <c r="A606" t="s">
        <v>1183</v>
      </c>
      <c r="B606" t="s">
        <v>105</v>
      </c>
      <c r="D606" t="s">
        <v>64</v>
      </c>
      <c r="E606" t="s">
        <v>59</v>
      </c>
      <c r="F606" t="s">
        <v>60</v>
      </c>
      <c r="G606">
        <v>4000</v>
      </c>
      <c r="H606">
        <v>0.5</v>
      </c>
      <c r="I606">
        <v>0.5</v>
      </c>
      <c r="J606">
        <v>0</v>
      </c>
      <c r="K606">
        <v>1</v>
      </c>
      <c r="L606">
        <v>2000000</v>
      </c>
      <c r="M606">
        <v>190</v>
      </c>
      <c r="N606">
        <v>190</v>
      </c>
      <c r="O606">
        <v>190</v>
      </c>
      <c r="P606">
        <v>0</v>
      </c>
      <c r="Q606" t="s">
        <v>61</v>
      </c>
      <c r="R606">
        <v>999037000354</v>
      </c>
      <c r="S606">
        <v>999008</v>
      </c>
      <c r="T606">
        <v>999037000354</v>
      </c>
      <c r="U606">
        <v>999008</v>
      </c>
      <c r="V606" t="s">
        <v>71</v>
      </c>
      <c r="W606">
        <v>25</v>
      </c>
      <c r="X606">
        <v>683708</v>
      </c>
      <c r="Y606">
        <v>518689</v>
      </c>
      <c r="Z606">
        <v>1202397</v>
      </c>
      <c r="AA606">
        <v>999008</v>
      </c>
      <c r="AB606">
        <v>1.75864</v>
      </c>
      <c r="AC606">
        <v>1.9260299999999999</v>
      </c>
      <c r="AD606">
        <v>1.8308500000000001</v>
      </c>
      <c r="AE606">
        <v>19.8916</v>
      </c>
      <c r="AF606">
        <v>67334232</v>
      </c>
      <c r="AJ606" t="s">
        <v>1184</v>
      </c>
      <c r="AM606">
        <v>845228286</v>
      </c>
      <c r="AN606">
        <v>0</v>
      </c>
      <c r="AO606">
        <v>8535632</v>
      </c>
      <c r="AP606">
        <v>845228286</v>
      </c>
      <c r="AQ606">
        <v>853763918</v>
      </c>
      <c r="AR606">
        <v>211307071</v>
      </c>
      <c r="AS606">
        <v>0</v>
      </c>
      <c r="AT606">
        <v>2133908</v>
      </c>
      <c r="AU606">
        <v>211307071</v>
      </c>
      <c r="AV606">
        <v>213440979</v>
      </c>
      <c r="AW606">
        <v>16.395</v>
      </c>
      <c r="AX606">
        <v>2.6378499999999998</v>
      </c>
      <c r="AY606">
        <v>2434.66</v>
      </c>
      <c r="AZ606">
        <v>1158.95</v>
      </c>
      <c r="BA606">
        <v>1181</v>
      </c>
      <c r="BB606">
        <v>367</v>
      </c>
      <c r="BC606" t="str">
        <f t="shared" si="20"/>
        <v>u=1%, k=2x10^6</v>
      </c>
      <c r="BD606">
        <f t="shared" si="21"/>
        <v>4</v>
      </c>
    </row>
    <row r="607" spans="1:56">
      <c r="A607" t="s">
        <v>1185</v>
      </c>
      <c r="B607" t="s">
        <v>105</v>
      </c>
      <c r="D607" t="s">
        <v>64</v>
      </c>
      <c r="E607" t="s">
        <v>59</v>
      </c>
      <c r="F607" t="s">
        <v>60</v>
      </c>
      <c r="G607">
        <v>8000</v>
      </c>
      <c r="H607">
        <v>0.5</v>
      </c>
      <c r="I607">
        <v>0.5</v>
      </c>
      <c r="J607">
        <v>0</v>
      </c>
      <c r="K607">
        <v>1</v>
      </c>
      <c r="L607">
        <v>2000000</v>
      </c>
      <c r="M607">
        <v>190</v>
      </c>
      <c r="N607">
        <v>190</v>
      </c>
      <c r="O607">
        <v>190</v>
      </c>
      <c r="P607">
        <v>0</v>
      </c>
      <c r="Q607" t="s">
        <v>61</v>
      </c>
      <c r="R607">
        <v>1000363106229</v>
      </c>
      <c r="S607">
        <v>1000070</v>
      </c>
      <c r="T607">
        <v>1000363106229</v>
      </c>
      <c r="U607">
        <v>1000070</v>
      </c>
      <c r="V607" t="s">
        <v>71</v>
      </c>
      <c r="W607">
        <v>25</v>
      </c>
      <c r="X607">
        <v>685530</v>
      </c>
      <c r="Y607">
        <v>520557</v>
      </c>
      <c r="Z607">
        <v>1206087</v>
      </c>
      <c r="AA607">
        <v>1000070</v>
      </c>
      <c r="AB607">
        <v>1.75935</v>
      </c>
      <c r="AC607">
        <v>1.9211499999999999</v>
      </c>
      <c r="AD607">
        <v>1.8291900000000001</v>
      </c>
      <c r="AE607">
        <v>19.907800000000002</v>
      </c>
      <c r="AF607">
        <v>67540872</v>
      </c>
      <c r="AJ607">
        <v>10798</v>
      </c>
      <c r="AM607">
        <v>1663100211</v>
      </c>
      <c r="AN607">
        <v>0</v>
      </c>
      <c r="AO607">
        <v>16793089</v>
      </c>
      <c r="AP607">
        <v>1663100211</v>
      </c>
      <c r="AQ607">
        <v>1679893300</v>
      </c>
      <c r="AR607">
        <v>207887526</v>
      </c>
      <c r="AS607">
        <v>0</v>
      </c>
      <c r="AT607">
        <v>2099136</v>
      </c>
      <c r="AU607">
        <v>207887526</v>
      </c>
      <c r="AV607">
        <v>209986662</v>
      </c>
      <c r="AW607">
        <v>16.4621</v>
      </c>
      <c r="AX607">
        <v>2.7176</v>
      </c>
      <c r="AY607">
        <v>2463.04</v>
      </c>
      <c r="AZ607">
        <v>1189.17</v>
      </c>
      <c r="BA607">
        <v>1182</v>
      </c>
      <c r="BB607">
        <v>358</v>
      </c>
      <c r="BC607" t="str">
        <f t="shared" si="20"/>
        <v>u=1%, k=2x10^6</v>
      </c>
      <c r="BD607">
        <f t="shared" si="21"/>
        <v>8</v>
      </c>
    </row>
    <row r="608" spans="1:56">
      <c r="A608" t="s">
        <v>1186</v>
      </c>
      <c r="B608" t="s">
        <v>105</v>
      </c>
      <c r="D608" t="s">
        <v>64</v>
      </c>
      <c r="E608" t="s">
        <v>59</v>
      </c>
      <c r="F608" t="s">
        <v>60</v>
      </c>
      <c r="G608">
        <v>16000</v>
      </c>
      <c r="H608">
        <v>0.5</v>
      </c>
      <c r="I608">
        <v>0.5</v>
      </c>
      <c r="J608">
        <v>0</v>
      </c>
      <c r="K608">
        <v>1</v>
      </c>
      <c r="L608">
        <v>2000000</v>
      </c>
      <c r="M608">
        <v>190</v>
      </c>
      <c r="N608">
        <v>190</v>
      </c>
      <c r="O608">
        <v>190</v>
      </c>
      <c r="P608">
        <v>0</v>
      </c>
      <c r="Q608" t="s">
        <v>61</v>
      </c>
      <c r="R608">
        <v>999263579819</v>
      </c>
      <c r="S608">
        <v>999683</v>
      </c>
      <c r="T608">
        <v>999263579819</v>
      </c>
      <c r="U608">
        <v>999683</v>
      </c>
      <c r="V608" t="s">
        <v>71</v>
      </c>
      <c r="W608">
        <v>25</v>
      </c>
      <c r="X608">
        <v>685614</v>
      </c>
      <c r="Y608">
        <v>520101</v>
      </c>
      <c r="Z608">
        <v>1205715</v>
      </c>
      <c r="AA608">
        <v>999683</v>
      </c>
      <c r="AB608">
        <v>1.7585900000000001</v>
      </c>
      <c r="AC608">
        <v>1.9220900000000001</v>
      </c>
      <c r="AD608">
        <v>1.8291200000000001</v>
      </c>
      <c r="AE608">
        <v>19.856100000000001</v>
      </c>
      <c r="AF608">
        <v>67520040</v>
      </c>
      <c r="AJ608">
        <v>20944</v>
      </c>
      <c r="AM608">
        <v>3281517471</v>
      </c>
      <c r="AN608">
        <v>0</v>
      </c>
      <c r="AO608">
        <v>33138841</v>
      </c>
      <c r="AP608">
        <v>3281517471</v>
      </c>
      <c r="AQ608">
        <v>3314656312</v>
      </c>
      <c r="AR608">
        <v>205094841</v>
      </c>
      <c r="AS608">
        <v>0</v>
      </c>
      <c r="AT608">
        <v>2071177</v>
      </c>
      <c r="AU608">
        <v>205094841</v>
      </c>
      <c r="AV608">
        <v>207166019</v>
      </c>
      <c r="AW608">
        <v>16.6586</v>
      </c>
      <c r="AX608">
        <v>2.7847</v>
      </c>
      <c r="AY608">
        <v>2495.56</v>
      </c>
      <c r="AZ608">
        <v>1223.54</v>
      </c>
      <c r="BA608">
        <v>1184</v>
      </c>
      <c r="BB608">
        <v>263</v>
      </c>
      <c r="BC608" t="str">
        <f t="shared" si="20"/>
        <v>u=1%, k=2x10^6</v>
      </c>
      <c r="BD608">
        <f t="shared" si="21"/>
        <v>16</v>
      </c>
    </row>
    <row r="609" spans="1:56">
      <c r="A609" t="s">
        <v>1187</v>
      </c>
      <c r="B609" t="s">
        <v>105</v>
      </c>
      <c r="D609" t="s">
        <v>64</v>
      </c>
      <c r="E609" t="s">
        <v>59</v>
      </c>
      <c r="F609" t="s">
        <v>60</v>
      </c>
      <c r="G609">
        <v>32000</v>
      </c>
      <c r="H609">
        <v>0.5</v>
      </c>
      <c r="I609">
        <v>0.5</v>
      </c>
      <c r="J609">
        <v>0</v>
      </c>
      <c r="K609">
        <v>1</v>
      </c>
      <c r="L609">
        <v>2000000</v>
      </c>
      <c r="M609">
        <v>190</v>
      </c>
      <c r="N609">
        <v>190</v>
      </c>
      <c r="O609">
        <v>190</v>
      </c>
      <c r="P609">
        <v>0</v>
      </c>
      <c r="Q609" t="s">
        <v>61</v>
      </c>
      <c r="R609">
        <v>999947643836</v>
      </c>
      <c r="S609">
        <v>1000216</v>
      </c>
      <c r="T609">
        <v>999947643836</v>
      </c>
      <c r="U609">
        <v>1000216</v>
      </c>
      <c r="V609" t="s">
        <v>71</v>
      </c>
      <c r="W609">
        <v>25</v>
      </c>
      <c r="X609">
        <v>686170</v>
      </c>
      <c r="Y609">
        <v>520465</v>
      </c>
      <c r="Z609">
        <v>1206635</v>
      </c>
      <c r="AA609">
        <v>1000216</v>
      </c>
      <c r="AB609">
        <v>1.75851</v>
      </c>
      <c r="AC609">
        <v>1.92177</v>
      </c>
      <c r="AD609">
        <v>1.8289299999999999</v>
      </c>
      <c r="AE609">
        <v>19.897600000000001</v>
      </c>
      <c r="AF609">
        <v>67571560</v>
      </c>
      <c r="AJ609">
        <v>41062</v>
      </c>
      <c r="AM609">
        <v>6421885963</v>
      </c>
      <c r="AN609">
        <v>0</v>
      </c>
      <c r="AO609">
        <v>64870518</v>
      </c>
      <c r="AP609">
        <v>6421885963</v>
      </c>
      <c r="AQ609">
        <v>6486756481</v>
      </c>
      <c r="AR609">
        <v>200683936</v>
      </c>
      <c r="AS609">
        <v>0</v>
      </c>
      <c r="AT609">
        <v>2027203</v>
      </c>
      <c r="AU609">
        <v>200683936</v>
      </c>
      <c r="AV609">
        <v>202711140</v>
      </c>
      <c r="AW609">
        <v>16.8719</v>
      </c>
      <c r="AX609">
        <v>2.8734199999999999</v>
      </c>
      <c r="AY609">
        <v>2544.11</v>
      </c>
      <c r="AZ609">
        <v>1244.07</v>
      </c>
      <c r="BA609">
        <v>1188</v>
      </c>
      <c r="BB609">
        <v>265</v>
      </c>
      <c r="BC609" t="str">
        <f t="shared" si="20"/>
        <v>u=1%, k=2x10^6</v>
      </c>
      <c r="BD609">
        <f t="shared" si="21"/>
        <v>32</v>
      </c>
    </row>
    <row r="610" spans="1:56">
      <c r="A610" t="s">
        <v>1188</v>
      </c>
      <c r="B610" t="s">
        <v>105</v>
      </c>
      <c r="D610" t="s">
        <v>64</v>
      </c>
      <c r="E610" t="s">
        <v>59</v>
      </c>
      <c r="F610" t="s">
        <v>60</v>
      </c>
      <c r="G610">
        <v>64000</v>
      </c>
      <c r="H610">
        <v>0.5</v>
      </c>
      <c r="I610">
        <v>0.5</v>
      </c>
      <c r="J610">
        <v>0</v>
      </c>
      <c r="K610">
        <v>1</v>
      </c>
      <c r="L610">
        <v>2000000</v>
      </c>
      <c r="M610">
        <v>190</v>
      </c>
      <c r="N610">
        <v>190</v>
      </c>
      <c r="O610">
        <v>190</v>
      </c>
      <c r="P610">
        <v>0</v>
      </c>
      <c r="Q610" t="s">
        <v>61</v>
      </c>
      <c r="R610">
        <v>999656955565</v>
      </c>
      <c r="S610">
        <v>1000226</v>
      </c>
      <c r="T610">
        <v>999656955565</v>
      </c>
      <c r="U610">
        <v>1000226</v>
      </c>
      <c r="V610" t="s">
        <v>71</v>
      </c>
      <c r="W610">
        <v>25</v>
      </c>
      <c r="X610">
        <v>686193</v>
      </c>
      <c r="Y610">
        <v>520167</v>
      </c>
      <c r="Z610">
        <v>1206360</v>
      </c>
      <c r="AA610">
        <v>1000226</v>
      </c>
      <c r="AB610">
        <v>1.7580499999999999</v>
      </c>
      <c r="AC610">
        <v>1.92289</v>
      </c>
      <c r="AD610">
        <v>1.8291299999999999</v>
      </c>
      <c r="AE610">
        <v>19.9191</v>
      </c>
      <c r="AF610">
        <v>67556160</v>
      </c>
      <c r="AJ610">
        <v>81010</v>
      </c>
      <c r="AM610">
        <v>12770197476</v>
      </c>
      <c r="AN610">
        <v>0</v>
      </c>
      <c r="AO610">
        <v>128980693</v>
      </c>
      <c r="AP610">
        <v>12770197476</v>
      </c>
      <c r="AQ610">
        <v>12899178169</v>
      </c>
      <c r="AR610">
        <v>199534335</v>
      </c>
      <c r="AS610">
        <v>0</v>
      </c>
      <c r="AT610">
        <v>2015323</v>
      </c>
      <c r="AU610">
        <v>199534335</v>
      </c>
      <c r="AV610">
        <v>201549658</v>
      </c>
      <c r="AW610">
        <v>17.168500000000002</v>
      </c>
      <c r="AX610">
        <v>2.9596200000000001</v>
      </c>
      <c r="AY610">
        <v>2565.8200000000002</v>
      </c>
      <c r="AZ610">
        <v>1292.79</v>
      </c>
      <c r="BA610">
        <v>1195</v>
      </c>
      <c r="BB610">
        <v>250</v>
      </c>
      <c r="BC610" t="str">
        <f t="shared" si="20"/>
        <v>u=1%, k=2x10^6</v>
      </c>
      <c r="BD610">
        <f t="shared" si="21"/>
        <v>64</v>
      </c>
    </row>
    <row r="611" spans="1:56">
      <c r="A611" t="s">
        <v>1189</v>
      </c>
      <c r="B611" t="s">
        <v>305</v>
      </c>
      <c r="D611" t="s">
        <v>64</v>
      </c>
      <c r="E611" t="s">
        <v>59</v>
      </c>
      <c r="F611" t="s">
        <v>60</v>
      </c>
      <c r="G611">
        <v>1000</v>
      </c>
      <c r="H611">
        <v>0.5</v>
      </c>
      <c r="I611">
        <v>0.5</v>
      </c>
      <c r="J611">
        <v>0</v>
      </c>
      <c r="K611">
        <v>1</v>
      </c>
      <c r="L611">
        <v>2000000</v>
      </c>
      <c r="M611">
        <v>190</v>
      </c>
      <c r="N611">
        <v>190</v>
      </c>
      <c r="O611">
        <v>190</v>
      </c>
      <c r="P611">
        <v>0</v>
      </c>
      <c r="Q611" t="s">
        <v>61</v>
      </c>
      <c r="R611">
        <v>1001755101008</v>
      </c>
      <c r="S611">
        <v>1001778</v>
      </c>
      <c r="T611">
        <v>1001755101008</v>
      </c>
      <c r="U611">
        <v>1001778</v>
      </c>
      <c r="V611" t="s">
        <v>71</v>
      </c>
      <c r="W611">
        <v>57</v>
      </c>
      <c r="X611">
        <v>1001777</v>
      </c>
      <c r="Y611">
        <v>1001778</v>
      </c>
      <c r="Z611">
        <v>2003555</v>
      </c>
      <c r="AA611">
        <v>1001778</v>
      </c>
      <c r="AB611">
        <v>2</v>
      </c>
      <c r="AC611">
        <v>1</v>
      </c>
      <c r="AD611">
        <v>1.5</v>
      </c>
      <c r="AE611">
        <v>26.711500000000001</v>
      </c>
      <c r="AF611">
        <v>64113760</v>
      </c>
      <c r="AJ611">
        <v>1508</v>
      </c>
      <c r="AM611">
        <v>206901110</v>
      </c>
      <c r="AN611">
        <v>0</v>
      </c>
      <c r="AO611">
        <v>2089519</v>
      </c>
      <c r="AP611">
        <v>206901110</v>
      </c>
      <c r="AQ611">
        <v>208990629</v>
      </c>
      <c r="AR611">
        <v>206901110</v>
      </c>
      <c r="AS611">
        <v>0</v>
      </c>
      <c r="AT611">
        <v>2089519</v>
      </c>
      <c r="AU611">
        <v>206901110</v>
      </c>
      <c r="AV611">
        <v>208990629</v>
      </c>
      <c r="AW611">
        <v>12.0931</v>
      </c>
      <c r="AX611">
        <v>1.94564</v>
      </c>
      <c r="AY611">
        <v>2527.48</v>
      </c>
      <c r="AZ611">
        <v>1572.91</v>
      </c>
      <c r="BA611">
        <v>1167</v>
      </c>
      <c r="BB611">
        <v>278</v>
      </c>
      <c r="BC611" t="str">
        <f t="shared" si="20"/>
        <v>u=1%, k=2x10^6</v>
      </c>
      <c r="BD611">
        <f t="shared" si="21"/>
        <v>1</v>
      </c>
    </row>
    <row r="612" spans="1:56">
      <c r="A612" t="s">
        <v>1190</v>
      </c>
      <c r="B612" t="s">
        <v>305</v>
      </c>
      <c r="D612" t="s">
        <v>64</v>
      </c>
      <c r="E612" t="s">
        <v>59</v>
      </c>
      <c r="F612" t="s">
        <v>60</v>
      </c>
      <c r="G612">
        <v>2000</v>
      </c>
      <c r="H612">
        <v>0.5</v>
      </c>
      <c r="I612">
        <v>0.5</v>
      </c>
      <c r="J612">
        <v>0</v>
      </c>
      <c r="K612">
        <v>1</v>
      </c>
      <c r="L612">
        <v>2000000</v>
      </c>
      <c r="M612">
        <v>190</v>
      </c>
      <c r="N612">
        <v>190</v>
      </c>
      <c r="O612">
        <v>190</v>
      </c>
      <c r="P612">
        <v>0</v>
      </c>
      <c r="Q612" t="s">
        <v>61</v>
      </c>
      <c r="R612">
        <v>1000829393588</v>
      </c>
      <c r="S612">
        <v>1000169</v>
      </c>
      <c r="T612">
        <v>1000829393588</v>
      </c>
      <c r="U612">
        <v>1000169</v>
      </c>
      <c r="V612" t="s">
        <v>71</v>
      </c>
      <c r="W612">
        <v>53</v>
      </c>
      <c r="X612">
        <v>1000168</v>
      </c>
      <c r="Y612">
        <v>1000169</v>
      </c>
      <c r="Z612">
        <v>2000337</v>
      </c>
      <c r="AA612">
        <v>1000169</v>
      </c>
      <c r="AB612">
        <v>2</v>
      </c>
      <c r="AC612">
        <v>1</v>
      </c>
      <c r="AD612">
        <v>1.5</v>
      </c>
      <c r="AE612">
        <v>26.645399999999999</v>
      </c>
      <c r="AF612">
        <v>64010784</v>
      </c>
      <c r="AJ612">
        <v>2828</v>
      </c>
      <c r="AM612">
        <v>414105847</v>
      </c>
      <c r="AN612">
        <v>0</v>
      </c>
      <c r="AO612">
        <v>4181739</v>
      </c>
      <c r="AP612">
        <v>414105847</v>
      </c>
      <c r="AQ612">
        <v>418287586</v>
      </c>
      <c r="AR612">
        <v>207052923</v>
      </c>
      <c r="AS612">
        <v>0</v>
      </c>
      <c r="AT612">
        <v>2090869</v>
      </c>
      <c r="AU612">
        <v>207052923</v>
      </c>
      <c r="AV612">
        <v>209143793</v>
      </c>
      <c r="AW612">
        <v>12.1584</v>
      </c>
      <c r="AX612">
        <v>1.9998199999999999</v>
      </c>
      <c r="AY612">
        <v>2530.0500000000002</v>
      </c>
      <c r="AZ612">
        <v>1583.51</v>
      </c>
      <c r="BA612">
        <v>1169</v>
      </c>
      <c r="BB612">
        <v>315</v>
      </c>
      <c r="BC612" t="str">
        <f t="shared" si="20"/>
        <v>u=1%, k=2x10^6</v>
      </c>
      <c r="BD612">
        <f t="shared" si="21"/>
        <v>2</v>
      </c>
    </row>
    <row r="613" spans="1:56">
      <c r="A613" t="s">
        <v>1191</v>
      </c>
      <c r="B613" t="s">
        <v>305</v>
      </c>
      <c r="D613" t="s">
        <v>64</v>
      </c>
      <c r="E613" t="s">
        <v>59</v>
      </c>
      <c r="F613" t="s">
        <v>60</v>
      </c>
      <c r="G613">
        <v>4000</v>
      </c>
      <c r="H613">
        <v>0.5</v>
      </c>
      <c r="I613">
        <v>0.5</v>
      </c>
      <c r="J613">
        <v>0</v>
      </c>
      <c r="K613">
        <v>1</v>
      </c>
      <c r="L613">
        <v>2000000</v>
      </c>
      <c r="M613">
        <v>190</v>
      </c>
      <c r="N613">
        <v>190</v>
      </c>
      <c r="O613">
        <v>190</v>
      </c>
      <c r="P613">
        <v>0</v>
      </c>
      <c r="Q613" t="s">
        <v>61</v>
      </c>
      <c r="R613">
        <v>999992766109</v>
      </c>
      <c r="S613">
        <v>1000009</v>
      </c>
      <c r="T613">
        <v>999992766109</v>
      </c>
      <c r="U613">
        <v>1000009</v>
      </c>
      <c r="V613" t="s">
        <v>71</v>
      </c>
      <c r="W613">
        <v>49</v>
      </c>
      <c r="X613">
        <v>1000008</v>
      </c>
      <c r="Y613">
        <v>1000009</v>
      </c>
      <c r="Z613">
        <v>2000017</v>
      </c>
      <c r="AA613">
        <v>1000009</v>
      </c>
      <c r="AB613">
        <v>2</v>
      </c>
      <c r="AC613">
        <v>1</v>
      </c>
      <c r="AD613">
        <v>1.5</v>
      </c>
      <c r="AE613">
        <v>26.787299999999998</v>
      </c>
      <c r="AF613">
        <v>64000544</v>
      </c>
      <c r="AJ613">
        <v>5214</v>
      </c>
      <c r="AM613">
        <v>814246656</v>
      </c>
      <c r="AN613">
        <v>0</v>
      </c>
      <c r="AO613">
        <v>8228317</v>
      </c>
      <c r="AP613">
        <v>814246656</v>
      </c>
      <c r="AQ613">
        <v>822474973</v>
      </c>
      <c r="AR613">
        <v>203561664</v>
      </c>
      <c r="AS613">
        <v>0</v>
      </c>
      <c r="AT613">
        <v>2057079</v>
      </c>
      <c r="AU613">
        <v>203561664</v>
      </c>
      <c r="AV613">
        <v>205618743</v>
      </c>
      <c r="AW613">
        <v>12.3847</v>
      </c>
      <c r="AX613">
        <v>2.0699299999999998</v>
      </c>
      <c r="AY613">
        <v>2573</v>
      </c>
      <c r="AZ613">
        <v>1619.62</v>
      </c>
      <c r="BA613">
        <v>1168</v>
      </c>
      <c r="BB613">
        <v>229</v>
      </c>
      <c r="BC613" t="str">
        <f t="shared" si="20"/>
        <v>u=1%, k=2x10^6</v>
      </c>
      <c r="BD613">
        <f t="shared" si="21"/>
        <v>4</v>
      </c>
    </row>
    <row r="614" spans="1:56">
      <c r="A614" t="s">
        <v>1192</v>
      </c>
      <c r="B614" t="s">
        <v>305</v>
      </c>
      <c r="D614" t="s">
        <v>64</v>
      </c>
      <c r="E614" t="s">
        <v>59</v>
      </c>
      <c r="F614" t="s">
        <v>60</v>
      </c>
      <c r="G614">
        <v>8000</v>
      </c>
      <c r="H614">
        <v>0.5</v>
      </c>
      <c r="I614">
        <v>0.5</v>
      </c>
      <c r="J614">
        <v>0</v>
      </c>
      <c r="K614">
        <v>1</v>
      </c>
      <c r="L614">
        <v>2000000</v>
      </c>
      <c r="M614">
        <v>190</v>
      </c>
      <c r="N614">
        <v>190</v>
      </c>
      <c r="O614">
        <v>190</v>
      </c>
      <c r="P614">
        <v>0</v>
      </c>
      <c r="Q614" t="s">
        <v>61</v>
      </c>
      <c r="R614">
        <v>999712844617</v>
      </c>
      <c r="S614">
        <v>999449</v>
      </c>
      <c r="T614">
        <v>999712844617</v>
      </c>
      <c r="U614">
        <v>999449</v>
      </c>
      <c r="V614" t="s">
        <v>71</v>
      </c>
      <c r="W614">
        <v>47</v>
      </c>
      <c r="X614">
        <v>999448</v>
      </c>
      <c r="Y614">
        <v>999449</v>
      </c>
      <c r="Z614">
        <v>1998897</v>
      </c>
      <c r="AA614">
        <v>999449</v>
      </c>
      <c r="AB614">
        <v>2</v>
      </c>
      <c r="AC614">
        <v>1</v>
      </c>
      <c r="AD614">
        <v>1.5</v>
      </c>
      <c r="AE614">
        <v>25.602</v>
      </c>
      <c r="AF614">
        <v>63964704</v>
      </c>
      <c r="AJ614">
        <v>10250</v>
      </c>
      <c r="AM614">
        <v>1622665741</v>
      </c>
      <c r="AN614">
        <v>0</v>
      </c>
      <c r="AO614">
        <v>16389042</v>
      </c>
      <c r="AP614">
        <v>1622665741</v>
      </c>
      <c r="AQ614">
        <v>1639054783</v>
      </c>
      <c r="AR614">
        <v>202833217</v>
      </c>
      <c r="AS614">
        <v>0</v>
      </c>
      <c r="AT614">
        <v>2048630</v>
      </c>
      <c r="AU614">
        <v>202833217</v>
      </c>
      <c r="AV614">
        <v>204881847</v>
      </c>
      <c r="AW614">
        <v>12.3185</v>
      </c>
      <c r="AX614">
        <v>2.1213500000000001</v>
      </c>
      <c r="AY614">
        <v>2582.54</v>
      </c>
      <c r="AZ614">
        <v>1643.77</v>
      </c>
      <c r="BA614">
        <v>1170</v>
      </c>
      <c r="BB614">
        <v>236</v>
      </c>
      <c r="BC614" t="str">
        <f t="shared" si="20"/>
        <v>u=1%, k=2x10^6</v>
      </c>
      <c r="BD614">
        <f t="shared" si="21"/>
        <v>8</v>
      </c>
    </row>
    <row r="615" spans="1:56">
      <c r="A615" t="s">
        <v>1193</v>
      </c>
      <c r="B615" t="s">
        <v>305</v>
      </c>
      <c r="D615" t="s">
        <v>64</v>
      </c>
      <c r="E615" t="s">
        <v>59</v>
      </c>
      <c r="F615" t="s">
        <v>60</v>
      </c>
      <c r="G615">
        <v>16000</v>
      </c>
      <c r="H615">
        <v>0.5</v>
      </c>
      <c r="I615">
        <v>0.5</v>
      </c>
      <c r="J615">
        <v>0</v>
      </c>
      <c r="K615">
        <v>1</v>
      </c>
      <c r="L615">
        <v>2000000</v>
      </c>
      <c r="M615">
        <v>190</v>
      </c>
      <c r="N615">
        <v>190</v>
      </c>
      <c r="O615">
        <v>190</v>
      </c>
      <c r="P615">
        <v>0</v>
      </c>
      <c r="Q615" t="s">
        <v>61</v>
      </c>
      <c r="R615">
        <v>1000153995701</v>
      </c>
      <c r="S615">
        <v>1000410</v>
      </c>
      <c r="T615">
        <v>1000153995701</v>
      </c>
      <c r="U615">
        <v>1000410</v>
      </c>
      <c r="V615" t="s">
        <v>71</v>
      </c>
      <c r="W615">
        <v>47</v>
      </c>
      <c r="X615">
        <v>1000409</v>
      </c>
      <c r="Y615">
        <v>1000410</v>
      </c>
      <c r="Z615">
        <v>2000819</v>
      </c>
      <c r="AA615">
        <v>1000410</v>
      </c>
      <c r="AB615">
        <v>2</v>
      </c>
      <c r="AC615">
        <v>1</v>
      </c>
      <c r="AD615">
        <v>1.5</v>
      </c>
      <c r="AE615">
        <v>26.2531</v>
      </c>
      <c r="AF615">
        <v>64026208</v>
      </c>
      <c r="AJ615" t="s">
        <v>1194</v>
      </c>
      <c r="AM615">
        <v>3248740243</v>
      </c>
      <c r="AN615">
        <v>0</v>
      </c>
      <c r="AO615">
        <v>32806415</v>
      </c>
      <c r="AP615">
        <v>3248740243</v>
      </c>
      <c r="AQ615">
        <v>3281546658</v>
      </c>
      <c r="AR615">
        <v>203046265</v>
      </c>
      <c r="AS615">
        <v>0</v>
      </c>
      <c r="AT615">
        <v>2050400</v>
      </c>
      <c r="AU615">
        <v>203046265</v>
      </c>
      <c r="AV615">
        <v>205096666</v>
      </c>
      <c r="AW615">
        <v>12.313800000000001</v>
      </c>
      <c r="AX615">
        <v>2.1816499999999999</v>
      </c>
      <c r="AY615">
        <v>2580.17</v>
      </c>
      <c r="AZ615">
        <v>1647.6</v>
      </c>
      <c r="BA615">
        <v>1173</v>
      </c>
      <c r="BB615">
        <v>284</v>
      </c>
      <c r="BC615" t="str">
        <f t="shared" si="20"/>
        <v>u=1%, k=2x10^6</v>
      </c>
      <c r="BD615">
        <f t="shared" si="21"/>
        <v>16</v>
      </c>
    </row>
    <row r="616" spans="1:56">
      <c r="A616" t="s">
        <v>1195</v>
      </c>
      <c r="B616" t="s">
        <v>305</v>
      </c>
      <c r="D616" t="s">
        <v>64</v>
      </c>
      <c r="E616" t="s">
        <v>59</v>
      </c>
      <c r="F616" t="s">
        <v>60</v>
      </c>
      <c r="G616">
        <v>32000</v>
      </c>
      <c r="H616">
        <v>0.5</v>
      </c>
      <c r="I616">
        <v>0.5</v>
      </c>
      <c r="J616">
        <v>0</v>
      </c>
      <c r="K616">
        <v>1</v>
      </c>
      <c r="L616">
        <v>2000000</v>
      </c>
      <c r="M616">
        <v>190</v>
      </c>
      <c r="N616">
        <v>190</v>
      </c>
      <c r="O616">
        <v>190</v>
      </c>
      <c r="P616">
        <v>0</v>
      </c>
      <c r="Q616" t="s">
        <v>61</v>
      </c>
      <c r="R616">
        <v>1000914701943</v>
      </c>
      <c r="S616">
        <v>1001024</v>
      </c>
      <c r="T616">
        <v>1000914701943</v>
      </c>
      <c r="U616">
        <v>1001024</v>
      </c>
      <c r="V616" t="s">
        <v>71</v>
      </c>
      <c r="W616">
        <v>48</v>
      </c>
      <c r="X616">
        <v>1001023</v>
      </c>
      <c r="Y616">
        <v>1001024</v>
      </c>
      <c r="Z616">
        <v>2002047</v>
      </c>
      <c r="AA616">
        <v>1001024</v>
      </c>
      <c r="AB616">
        <v>2</v>
      </c>
      <c r="AC616">
        <v>1</v>
      </c>
      <c r="AD616">
        <v>1.5</v>
      </c>
      <c r="AE616">
        <v>25.789200000000001</v>
      </c>
      <c r="AF616">
        <v>64065504</v>
      </c>
      <c r="AJ616">
        <v>40092</v>
      </c>
      <c r="AM616">
        <v>6443598282</v>
      </c>
      <c r="AN616">
        <v>0</v>
      </c>
      <c r="AO616">
        <v>65096886</v>
      </c>
      <c r="AP616">
        <v>6443598282</v>
      </c>
      <c r="AQ616">
        <v>6508695168</v>
      </c>
      <c r="AR616">
        <v>201362446</v>
      </c>
      <c r="AS616">
        <v>0</v>
      </c>
      <c r="AT616">
        <v>2034277</v>
      </c>
      <c r="AU616">
        <v>201362446</v>
      </c>
      <c r="AV616">
        <v>203396724</v>
      </c>
      <c r="AW616">
        <v>12.405799999999999</v>
      </c>
      <c r="AX616">
        <v>2.2506300000000001</v>
      </c>
      <c r="AY616">
        <v>2601.87</v>
      </c>
      <c r="AZ616">
        <v>1678.58</v>
      </c>
      <c r="BA616">
        <v>1180</v>
      </c>
      <c r="BB616">
        <v>226</v>
      </c>
      <c r="BC616" t="str">
        <f t="shared" si="20"/>
        <v>u=1%, k=2x10^6</v>
      </c>
      <c r="BD616">
        <f t="shared" si="21"/>
        <v>32</v>
      </c>
    </row>
    <row r="617" spans="1:56">
      <c r="A617" t="s">
        <v>1196</v>
      </c>
      <c r="B617" t="s">
        <v>305</v>
      </c>
      <c r="D617" t="s">
        <v>64</v>
      </c>
      <c r="E617" t="s">
        <v>59</v>
      </c>
      <c r="F617" t="s">
        <v>60</v>
      </c>
      <c r="G617">
        <v>64000</v>
      </c>
      <c r="H617">
        <v>0.5</v>
      </c>
      <c r="I617">
        <v>0.5</v>
      </c>
      <c r="J617">
        <v>0</v>
      </c>
      <c r="K617">
        <v>1</v>
      </c>
      <c r="L617">
        <v>2000000</v>
      </c>
      <c r="M617">
        <v>190</v>
      </c>
      <c r="N617">
        <v>190</v>
      </c>
      <c r="O617">
        <v>190</v>
      </c>
      <c r="P617">
        <v>0</v>
      </c>
      <c r="Q617" t="s">
        <v>61</v>
      </c>
      <c r="R617">
        <v>999351807376</v>
      </c>
      <c r="S617">
        <v>1000211</v>
      </c>
      <c r="T617">
        <v>999351807376</v>
      </c>
      <c r="U617">
        <v>1000211</v>
      </c>
      <c r="V617" t="s">
        <v>71</v>
      </c>
      <c r="W617">
        <v>48</v>
      </c>
      <c r="X617">
        <v>1000210</v>
      </c>
      <c r="Y617">
        <v>1000211</v>
      </c>
      <c r="Z617">
        <v>2000421</v>
      </c>
      <c r="AA617">
        <v>1000211</v>
      </c>
      <c r="AB617">
        <v>2</v>
      </c>
      <c r="AC617">
        <v>1</v>
      </c>
      <c r="AD617">
        <v>1.5</v>
      </c>
      <c r="AE617">
        <v>26.637799999999999</v>
      </c>
      <c r="AF617">
        <v>64013472</v>
      </c>
      <c r="AJ617">
        <v>78884</v>
      </c>
      <c r="AM617">
        <v>12754326125</v>
      </c>
      <c r="AN617">
        <v>0</v>
      </c>
      <c r="AO617">
        <v>128825198</v>
      </c>
      <c r="AP617">
        <v>12754326125</v>
      </c>
      <c r="AQ617">
        <v>12883151323</v>
      </c>
      <c r="AR617">
        <v>199286345</v>
      </c>
      <c r="AS617">
        <v>0</v>
      </c>
      <c r="AT617">
        <v>2012893</v>
      </c>
      <c r="AU617">
        <v>199286345</v>
      </c>
      <c r="AV617">
        <v>201299239</v>
      </c>
      <c r="AW617">
        <v>12.4825</v>
      </c>
      <c r="AX617">
        <v>2.34917</v>
      </c>
      <c r="AY617">
        <v>2629</v>
      </c>
      <c r="AZ617">
        <v>1704.39</v>
      </c>
      <c r="BA617">
        <v>1190</v>
      </c>
      <c r="BB617">
        <v>237</v>
      </c>
      <c r="BC617" t="str">
        <f t="shared" si="20"/>
        <v>u=1%, k=2x10^6</v>
      </c>
      <c r="BD617">
        <f t="shared" si="21"/>
        <v>64</v>
      </c>
    </row>
    <row r="618" spans="1:56">
      <c r="A618" t="s">
        <v>1197</v>
      </c>
      <c r="B618" t="s">
        <v>63</v>
      </c>
      <c r="C618">
        <v>72</v>
      </c>
      <c r="D618" t="s">
        <v>64</v>
      </c>
      <c r="E618" t="s">
        <v>59</v>
      </c>
      <c r="F618" t="s">
        <v>60</v>
      </c>
      <c r="G618">
        <v>1000</v>
      </c>
      <c r="H618">
        <v>0.5</v>
      </c>
      <c r="I618">
        <v>0.5</v>
      </c>
      <c r="J618">
        <v>0</v>
      </c>
      <c r="K618">
        <v>1</v>
      </c>
      <c r="L618">
        <v>20000000</v>
      </c>
      <c r="M618">
        <v>190</v>
      </c>
      <c r="N618">
        <v>190</v>
      </c>
      <c r="O618">
        <v>190</v>
      </c>
      <c r="P618">
        <v>0</v>
      </c>
      <c r="Q618" t="s">
        <v>61</v>
      </c>
      <c r="R618">
        <v>100014868120566</v>
      </c>
      <c r="S618">
        <v>10000720</v>
      </c>
      <c r="T618">
        <v>100014868120566</v>
      </c>
      <c r="U618">
        <v>10000720</v>
      </c>
      <c r="V618" t="s">
        <v>71</v>
      </c>
      <c r="W618">
        <v>7</v>
      </c>
      <c r="X618">
        <v>1902657</v>
      </c>
      <c r="Y618">
        <v>12024182</v>
      </c>
      <c r="Z618">
        <v>13926839</v>
      </c>
      <c r="AA618">
        <v>10000720</v>
      </c>
      <c r="AB618">
        <v>7.31968</v>
      </c>
      <c r="AC618">
        <v>0.83171700000000004</v>
      </c>
      <c r="AD618">
        <v>1.7180899999999999</v>
      </c>
      <c r="AE618">
        <v>4.0554300000000003</v>
      </c>
      <c r="AF618">
        <v>344629104</v>
      </c>
      <c r="AG618" t="s">
        <v>1198</v>
      </c>
      <c r="AH618" t="s">
        <v>1199</v>
      </c>
      <c r="AI618">
        <v>7</v>
      </c>
      <c r="AJ618">
        <v>1642</v>
      </c>
      <c r="AM618">
        <v>260310902</v>
      </c>
      <c r="AN618">
        <v>0</v>
      </c>
      <c r="AO618">
        <v>2630028</v>
      </c>
      <c r="AP618">
        <v>260310902</v>
      </c>
      <c r="AQ618">
        <v>262940930</v>
      </c>
      <c r="AR618">
        <v>260310902</v>
      </c>
      <c r="AS618">
        <v>0</v>
      </c>
      <c r="AT618">
        <v>2630028</v>
      </c>
      <c r="AU618">
        <v>260310902</v>
      </c>
      <c r="AV618">
        <v>262940930</v>
      </c>
      <c r="AW618">
        <v>15.903</v>
      </c>
      <c r="AX618">
        <v>6.4733799999999997</v>
      </c>
      <c r="AY618">
        <v>2009.06</v>
      </c>
      <c r="AZ618">
        <v>1251.23</v>
      </c>
      <c r="BA618">
        <v>1915</v>
      </c>
      <c r="BB618">
        <v>389</v>
      </c>
      <c r="BC618" t="str">
        <f t="shared" si="20"/>
        <v>u=1%, k=2x10^7</v>
      </c>
      <c r="BD618">
        <f t="shared" si="21"/>
        <v>1</v>
      </c>
    </row>
    <row r="619" spans="1:56">
      <c r="A619" t="s">
        <v>1200</v>
      </c>
      <c r="B619" t="s">
        <v>63</v>
      </c>
      <c r="C619">
        <v>72</v>
      </c>
      <c r="D619" t="s">
        <v>64</v>
      </c>
      <c r="E619" t="s">
        <v>59</v>
      </c>
      <c r="F619" t="s">
        <v>60</v>
      </c>
      <c r="G619">
        <v>2000</v>
      </c>
      <c r="H619">
        <v>0.5</v>
      </c>
      <c r="I619">
        <v>0.5</v>
      </c>
      <c r="J619">
        <v>0</v>
      </c>
      <c r="K619">
        <v>1</v>
      </c>
      <c r="L619">
        <v>20000000</v>
      </c>
      <c r="M619">
        <v>190</v>
      </c>
      <c r="N619">
        <v>190</v>
      </c>
      <c r="O619">
        <v>190</v>
      </c>
      <c r="P619">
        <v>0</v>
      </c>
      <c r="Q619" t="s">
        <v>61</v>
      </c>
      <c r="R619">
        <v>99998325944855</v>
      </c>
      <c r="S619">
        <v>10002811</v>
      </c>
      <c r="T619">
        <v>99998325944855</v>
      </c>
      <c r="U619">
        <v>10002811</v>
      </c>
      <c r="V619" t="s">
        <v>71</v>
      </c>
      <c r="W619">
        <v>7</v>
      </c>
      <c r="X619">
        <v>1627859</v>
      </c>
      <c r="Y619">
        <v>11449186</v>
      </c>
      <c r="Z619">
        <v>13077045</v>
      </c>
      <c r="AA619">
        <v>10002811</v>
      </c>
      <c r="AB619">
        <v>8.0332799999999995</v>
      </c>
      <c r="AC619">
        <v>0.87366999999999995</v>
      </c>
      <c r="AD619">
        <v>1.76491</v>
      </c>
      <c r="AE619">
        <v>4.0004099999999996</v>
      </c>
      <c r="AF619">
        <v>313415680</v>
      </c>
      <c r="AG619" t="s">
        <v>1201</v>
      </c>
      <c r="AH619" t="s">
        <v>1202</v>
      </c>
      <c r="AI619">
        <v>1938</v>
      </c>
      <c r="AJ619">
        <v>3068</v>
      </c>
      <c r="AM619">
        <v>495968646</v>
      </c>
      <c r="AN619">
        <v>0</v>
      </c>
      <c r="AO619">
        <v>5009362</v>
      </c>
      <c r="AP619">
        <v>495968646</v>
      </c>
      <c r="AQ619">
        <v>500978008</v>
      </c>
      <c r="AR619">
        <v>247984323</v>
      </c>
      <c r="AS619">
        <v>0</v>
      </c>
      <c r="AT619">
        <v>2504681</v>
      </c>
      <c r="AU619">
        <v>247984323</v>
      </c>
      <c r="AV619">
        <v>250489004</v>
      </c>
      <c r="AW619">
        <v>16.165199999999999</v>
      </c>
      <c r="AX619">
        <v>6.5915999999999997</v>
      </c>
      <c r="AY619">
        <v>2061.8000000000002</v>
      </c>
      <c r="AZ619">
        <v>1298.98</v>
      </c>
      <c r="BA619">
        <v>2601</v>
      </c>
      <c r="BB619">
        <v>368</v>
      </c>
      <c r="BC619" t="str">
        <f t="shared" si="20"/>
        <v>u=1%, k=2x10^7</v>
      </c>
      <c r="BD619">
        <f t="shared" si="21"/>
        <v>2</v>
      </c>
    </row>
    <row r="620" spans="1:56">
      <c r="A620" t="s">
        <v>1203</v>
      </c>
      <c r="B620" t="s">
        <v>63</v>
      </c>
      <c r="C620">
        <v>72</v>
      </c>
      <c r="D620" t="s">
        <v>64</v>
      </c>
      <c r="E620" t="s">
        <v>59</v>
      </c>
      <c r="F620" t="s">
        <v>60</v>
      </c>
      <c r="G620">
        <v>4000</v>
      </c>
      <c r="H620">
        <v>0.5</v>
      </c>
      <c r="I620">
        <v>0.5</v>
      </c>
      <c r="J620">
        <v>0</v>
      </c>
      <c r="K620">
        <v>1</v>
      </c>
      <c r="L620">
        <v>20000000</v>
      </c>
      <c r="M620">
        <v>190</v>
      </c>
      <c r="N620">
        <v>190</v>
      </c>
      <c r="O620">
        <v>190</v>
      </c>
      <c r="P620">
        <v>0</v>
      </c>
      <c r="Q620" t="s">
        <v>61</v>
      </c>
      <c r="R620">
        <v>100004425975388</v>
      </c>
      <c r="S620">
        <v>9998304</v>
      </c>
      <c r="T620">
        <v>100004425975388</v>
      </c>
      <c r="U620">
        <v>9998304</v>
      </c>
      <c r="V620" t="s">
        <v>71</v>
      </c>
      <c r="W620">
        <v>7</v>
      </c>
      <c r="X620">
        <v>1658247</v>
      </c>
      <c r="Y620">
        <v>11505847</v>
      </c>
      <c r="Z620">
        <v>13164094</v>
      </c>
      <c r="AA620">
        <v>9998304</v>
      </c>
      <c r="AB620">
        <v>7.9385599999999998</v>
      </c>
      <c r="AC620">
        <v>0.86897599999999997</v>
      </c>
      <c r="AD620">
        <v>1.7595099999999999</v>
      </c>
      <c r="AE620">
        <v>4.0064900000000003</v>
      </c>
      <c r="AF620">
        <v>316753296</v>
      </c>
      <c r="AG620" t="s">
        <v>1204</v>
      </c>
      <c r="AH620" t="s">
        <v>1205</v>
      </c>
      <c r="AI620">
        <v>5016</v>
      </c>
      <c r="AJ620">
        <v>6272</v>
      </c>
      <c r="AM620">
        <v>1002810558</v>
      </c>
      <c r="AN620">
        <v>0</v>
      </c>
      <c r="AO620">
        <v>10134954</v>
      </c>
      <c r="AP620">
        <v>1002810558</v>
      </c>
      <c r="AQ620">
        <v>1012945512</v>
      </c>
      <c r="AR620">
        <v>250702639</v>
      </c>
      <c r="AS620">
        <v>0</v>
      </c>
      <c r="AT620">
        <v>2533738</v>
      </c>
      <c r="AU620">
        <v>250702639</v>
      </c>
      <c r="AV620">
        <v>253236378</v>
      </c>
      <c r="AW620">
        <v>16.229700000000001</v>
      </c>
      <c r="AX620">
        <v>6.6110800000000003</v>
      </c>
      <c r="AY620">
        <v>2039.9</v>
      </c>
      <c r="AZ620">
        <v>1267.94</v>
      </c>
      <c r="BA620">
        <v>2733</v>
      </c>
      <c r="BB620">
        <v>415</v>
      </c>
      <c r="BC620" t="str">
        <f t="shared" si="20"/>
        <v>u=1%, k=2x10^7</v>
      </c>
      <c r="BD620">
        <f t="shared" si="21"/>
        <v>4</v>
      </c>
    </row>
    <row r="621" spans="1:56">
      <c r="A621" t="s">
        <v>1206</v>
      </c>
      <c r="B621" t="s">
        <v>63</v>
      </c>
      <c r="C621">
        <v>72</v>
      </c>
      <c r="D621" t="s">
        <v>64</v>
      </c>
      <c r="E621" t="s">
        <v>59</v>
      </c>
      <c r="F621" t="s">
        <v>60</v>
      </c>
      <c r="G621">
        <v>8000</v>
      </c>
      <c r="H621">
        <v>0.5</v>
      </c>
      <c r="I621">
        <v>0.5</v>
      </c>
      <c r="J621">
        <v>0</v>
      </c>
      <c r="K621">
        <v>1</v>
      </c>
      <c r="L621">
        <v>20000000</v>
      </c>
      <c r="M621">
        <v>190</v>
      </c>
      <c r="N621">
        <v>190</v>
      </c>
      <c r="O621">
        <v>190</v>
      </c>
      <c r="P621">
        <v>0</v>
      </c>
      <c r="Q621" t="s">
        <v>61</v>
      </c>
      <c r="R621">
        <v>100002310797946</v>
      </c>
      <c r="S621">
        <v>10001138</v>
      </c>
      <c r="T621">
        <v>100002310797946</v>
      </c>
      <c r="U621">
        <v>10001138</v>
      </c>
      <c r="V621" t="s">
        <v>71</v>
      </c>
      <c r="W621">
        <v>7</v>
      </c>
      <c r="X621">
        <v>1665348</v>
      </c>
      <c r="Y621">
        <v>11522268</v>
      </c>
      <c r="Z621">
        <v>13187616</v>
      </c>
      <c r="AA621">
        <v>10001138</v>
      </c>
      <c r="AB621">
        <v>7.9188299999999998</v>
      </c>
      <c r="AC621">
        <v>0.86798299999999995</v>
      </c>
      <c r="AD621">
        <v>1.75837</v>
      </c>
      <c r="AE621">
        <v>4.0079099999999999</v>
      </c>
      <c r="AF621">
        <v>317584128</v>
      </c>
      <c r="AG621" t="s">
        <v>1207</v>
      </c>
      <c r="AH621" t="s">
        <v>1208</v>
      </c>
      <c r="AI621">
        <v>11160</v>
      </c>
      <c r="AJ621">
        <v>12474</v>
      </c>
      <c r="AM621">
        <v>1996005182</v>
      </c>
      <c r="AN621">
        <v>0</v>
      </c>
      <c r="AO621">
        <v>20163695</v>
      </c>
      <c r="AP621">
        <v>1996005182</v>
      </c>
      <c r="AQ621">
        <v>2016168877</v>
      </c>
      <c r="AR621">
        <v>249500647</v>
      </c>
      <c r="AS621">
        <v>0</v>
      </c>
      <c r="AT621">
        <v>2520461</v>
      </c>
      <c r="AU621">
        <v>249500647</v>
      </c>
      <c r="AV621">
        <v>252021109</v>
      </c>
      <c r="AW621">
        <v>16.208100000000002</v>
      </c>
      <c r="AX621">
        <v>6.6345000000000001</v>
      </c>
      <c r="AY621">
        <v>2063.04</v>
      </c>
      <c r="AZ621">
        <v>1292.8499999999999</v>
      </c>
      <c r="BA621">
        <v>2778</v>
      </c>
      <c r="BB621">
        <v>398</v>
      </c>
      <c r="BC621" t="str">
        <f t="shared" si="20"/>
        <v>u=1%, k=2x10^7</v>
      </c>
      <c r="BD621">
        <f t="shared" si="21"/>
        <v>8</v>
      </c>
    </row>
    <row r="622" spans="1:56">
      <c r="A622" t="s">
        <v>1209</v>
      </c>
      <c r="B622" t="s">
        <v>63</v>
      </c>
      <c r="C622">
        <v>72</v>
      </c>
      <c r="D622" t="s">
        <v>64</v>
      </c>
      <c r="E622" t="s">
        <v>59</v>
      </c>
      <c r="F622" t="s">
        <v>60</v>
      </c>
      <c r="G622">
        <v>16000</v>
      </c>
      <c r="H622">
        <v>0.5</v>
      </c>
      <c r="I622">
        <v>0.5</v>
      </c>
      <c r="J622">
        <v>0</v>
      </c>
      <c r="K622">
        <v>1</v>
      </c>
      <c r="L622">
        <v>20000000</v>
      </c>
      <c r="M622">
        <v>190</v>
      </c>
      <c r="N622">
        <v>190</v>
      </c>
      <c r="O622">
        <v>190</v>
      </c>
      <c r="P622">
        <v>0</v>
      </c>
      <c r="Q622" t="s">
        <v>61</v>
      </c>
      <c r="R622">
        <v>99993399123946</v>
      </c>
      <c r="S622">
        <v>9998293</v>
      </c>
      <c r="T622">
        <v>99993399123946</v>
      </c>
      <c r="U622">
        <v>9998293</v>
      </c>
      <c r="V622" t="s">
        <v>71</v>
      </c>
      <c r="W622">
        <v>7</v>
      </c>
      <c r="X622">
        <v>1625841</v>
      </c>
      <c r="Y622">
        <v>11440716</v>
      </c>
      <c r="Z622">
        <v>13066557</v>
      </c>
      <c r="AA622">
        <v>9998293</v>
      </c>
      <c r="AB622">
        <v>8.0367999999999995</v>
      </c>
      <c r="AC622">
        <v>0.87392199999999998</v>
      </c>
      <c r="AD622">
        <v>1.76518</v>
      </c>
      <c r="AE622">
        <v>4.0000099999999996</v>
      </c>
      <c r="AF622">
        <v>313118720</v>
      </c>
      <c r="AG622" t="s">
        <v>1210</v>
      </c>
      <c r="AH622" t="s">
        <v>1211</v>
      </c>
      <c r="AI622">
        <v>18812</v>
      </c>
      <c r="AJ622">
        <v>24736</v>
      </c>
      <c r="AM622">
        <v>3958686531</v>
      </c>
      <c r="AN622">
        <v>0</v>
      </c>
      <c r="AO622">
        <v>39996509</v>
      </c>
      <c r="AP622">
        <v>3958686531</v>
      </c>
      <c r="AQ622">
        <v>3998683040</v>
      </c>
      <c r="AR622">
        <v>247417908</v>
      </c>
      <c r="AS622">
        <v>0</v>
      </c>
      <c r="AT622">
        <v>2499781</v>
      </c>
      <c r="AU622">
        <v>247417908</v>
      </c>
      <c r="AV622">
        <v>249917690</v>
      </c>
      <c r="AW622">
        <v>16.2986</v>
      </c>
      <c r="AX622">
        <v>6.6523000000000003</v>
      </c>
      <c r="AY622">
        <v>2086.3000000000002</v>
      </c>
      <c r="AZ622">
        <v>1303.03</v>
      </c>
      <c r="BA622">
        <v>2767</v>
      </c>
      <c r="BB622">
        <v>356</v>
      </c>
      <c r="BC622" t="str">
        <f t="shared" si="20"/>
        <v>u=1%, k=2x10^7</v>
      </c>
      <c r="BD622">
        <f t="shared" si="21"/>
        <v>16</v>
      </c>
    </row>
    <row r="623" spans="1:56">
      <c r="A623" t="s">
        <v>1212</v>
      </c>
      <c r="B623" t="s">
        <v>63</v>
      </c>
      <c r="C623">
        <v>72</v>
      </c>
      <c r="D623" t="s">
        <v>64</v>
      </c>
      <c r="E623" t="s">
        <v>59</v>
      </c>
      <c r="F623" t="s">
        <v>60</v>
      </c>
      <c r="G623">
        <v>32000</v>
      </c>
      <c r="H623">
        <v>0.5</v>
      </c>
      <c r="I623">
        <v>0.5</v>
      </c>
      <c r="J623">
        <v>0</v>
      </c>
      <c r="K623">
        <v>1</v>
      </c>
      <c r="L623">
        <v>20000000</v>
      </c>
      <c r="M623">
        <v>190</v>
      </c>
      <c r="N623">
        <v>190</v>
      </c>
      <c r="O623">
        <v>190</v>
      </c>
      <c r="P623">
        <v>0</v>
      </c>
      <c r="Q623" t="s">
        <v>61</v>
      </c>
      <c r="R623">
        <v>100019445377203</v>
      </c>
      <c r="S623">
        <v>9998928</v>
      </c>
      <c r="T623">
        <v>100019445377203</v>
      </c>
      <c r="U623">
        <v>9998928</v>
      </c>
      <c r="V623" t="s">
        <v>71</v>
      </c>
      <c r="W623">
        <v>7</v>
      </c>
      <c r="X623">
        <v>1627561</v>
      </c>
      <c r="Y623">
        <v>11444755</v>
      </c>
      <c r="Z623">
        <v>13072316</v>
      </c>
      <c r="AA623">
        <v>9998928</v>
      </c>
      <c r="AB623">
        <v>8.0318400000000008</v>
      </c>
      <c r="AC623">
        <v>0.87366900000000003</v>
      </c>
      <c r="AD623">
        <v>1.7648900000000001</v>
      </c>
      <c r="AE623">
        <v>4.0003599999999997</v>
      </c>
      <c r="AF623">
        <v>313320944</v>
      </c>
      <c r="AG623" t="s">
        <v>1213</v>
      </c>
      <c r="AH623" t="s">
        <v>1214</v>
      </c>
      <c r="AI623">
        <v>37537</v>
      </c>
      <c r="AJ623">
        <v>49540</v>
      </c>
      <c r="AM623">
        <v>7922051186</v>
      </c>
      <c r="AN623">
        <v>0</v>
      </c>
      <c r="AO623">
        <v>80015173</v>
      </c>
      <c r="AP623">
        <v>7922051186</v>
      </c>
      <c r="AQ623">
        <v>8002066359</v>
      </c>
      <c r="AR623">
        <v>247564099</v>
      </c>
      <c r="AS623">
        <v>0</v>
      </c>
      <c r="AT623">
        <v>2500474</v>
      </c>
      <c r="AU623">
        <v>247564099</v>
      </c>
      <c r="AV623">
        <v>250064573</v>
      </c>
      <c r="AW623">
        <v>16.305800000000001</v>
      </c>
      <c r="AX623">
        <v>6.6648399999999999</v>
      </c>
      <c r="AY623">
        <v>2086.6999999999998</v>
      </c>
      <c r="AZ623">
        <v>1312.21</v>
      </c>
      <c r="BA623">
        <v>2769</v>
      </c>
      <c r="BB623">
        <v>363</v>
      </c>
      <c r="BC623" t="str">
        <f t="shared" si="20"/>
        <v>u=1%, k=2x10^7</v>
      </c>
      <c r="BD623">
        <f t="shared" si="21"/>
        <v>32</v>
      </c>
    </row>
    <row r="624" spans="1:56">
      <c r="A624" t="s">
        <v>1215</v>
      </c>
      <c r="B624" t="s">
        <v>63</v>
      </c>
      <c r="C624">
        <v>72</v>
      </c>
      <c r="D624" t="s">
        <v>64</v>
      </c>
      <c r="E624" t="s">
        <v>59</v>
      </c>
      <c r="F624" t="s">
        <v>60</v>
      </c>
      <c r="G624">
        <v>64000</v>
      </c>
      <c r="H624">
        <v>0.5</v>
      </c>
      <c r="I624">
        <v>0.5</v>
      </c>
      <c r="J624">
        <v>0</v>
      </c>
      <c r="K624">
        <v>1</v>
      </c>
      <c r="L624">
        <v>20000000</v>
      </c>
      <c r="M624">
        <v>190</v>
      </c>
      <c r="N624">
        <v>190</v>
      </c>
      <c r="O624">
        <v>190</v>
      </c>
      <c r="P624">
        <v>0</v>
      </c>
      <c r="Q624" t="s">
        <v>61</v>
      </c>
      <c r="R624">
        <v>100023975486826</v>
      </c>
      <c r="S624">
        <v>10002272</v>
      </c>
      <c r="T624">
        <v>100023975486826</v>
      </c>
      <c r="U624">
        <v>10002272</v>
      </c>
      <c r="V624" t="s">
        <v>71</v>
      </c>
      <c r="W624">
        <v>7</v>
      </c>
      <c r="X624">
        <v>1665996</v>
      </c>
      <c r="Y624">
        <v>11525228</v>
      </c>
      <c r="Z624">
        <v>13191224</v>
      </c>
      <c r="AA624">
        <v>10002272</v>
      </c>
      <c r="AB624">
        <v>7.9179199999999996</v>
      </c>
      <c r="AC624">
        <v>0.86785900000000005</v>
      </c>
      <c r="AD624">
        <v>1.7582500000000001</v>
      </c>
      <c r="AE624">
        <v>4.0080400000000003</v>
      </c>
      <c r="AF624">
        <v>317683328</v>
      </c>
      <c r="AG624" t="s">
        <v>1216</v>
      </c>
      <c r="AH624" t="s">
        <v>1217</v>
      </c>
      <c r="AI624">
        <v>77193</v>
      </c>
      <c r="AJ624">
        <v>97892</v>
      </c>
      <c r="AM624">
        <v>15855571118</v>
      </c>
      <c r="AN624">
        <v>0</v>
      </c>
      <c r="AO624">
        <v>160165877</v>
      </c>
      <c r="AP624">
        <v>15855571118</v>
      </c>
      <c r="AQ624">
        <v>16015736995</v>
      </c>
      <c r="AR624">
        <v>247743298</v>
      </c>
      <c r="AS624">
        <v>0</v>
      </c>
      <c r="AT624">
        <v>2502591</v>
      </c>
      <c r="AU624">
        <v>247743298</v>
      </c>
      <c r="AV624">
        <v>250245890</v>
      </c>
      <c r="AW624">
        <v>16.344000000000001</v>
      </c>
      <c r="AX624">
        <v>6.6665700000000001</v>
      </c>
      <c r="AY624">
        <v>2086.7800000000002</v>
      </c>
      <c r="AZ624">
        <v>1314.17</v>
      </c>
      <c r="BA624">
        <v>2774</v>
      </c>
      <c r="BB624">
        <v>476</v>
      </c>
      <c r="BC624" t="str">
        <f t="shared" si="20"/>
        <v>u=1%, k=2x10^7</v>
      </c>
      <c r="BD624">
        <f t="shared" si="21"/>
        <v>64</v>
      </c>
    </row>
    <row r="625" spans="1:56">
      <c r="A625" t="s">
        <v>1218</v>
      </c>
      <c r="B625" t="s">
        <v>300</v>
      </c>
      <c r="C625">
        <v>208</v>
      </c>
      <c r="D625" t="s">
        <v>64</v>
      </c>
      <c r="E625" t="s">
        <v>59</v>
      </c>
      <c r="F625" t="s">
        <v>60</v>
      </c>
      <c r="G625">
        <v>1000</v>
      </c>
      <c r="H625">
        <v>0.5</v>
      </c>
      <c r="I625">
        <v>0.5</v>
      </c>
      <c r="J625">
        <v>0</v>
      </c>
      <c r="K625">
        <v>1</v>
      </c>
      <c r="L625">
        <v>20000000</v>
      </c>
      <c r="M625">
        <v>190</v>
      </c>
      <c r="N625">
        <v>190</v>
      </c>
      <c r="O625">
        <v>190</v>
      </c>
      <c r="P625">
        <v>0</v>
      </c>
      <c r="Q625" t="s">
        <v>61</v>
      </c>
      <c r="R625">
        <v>99987747419978</v>
      </c>
      <c r="S625">
        <v>9999657</v>
      </c>
      <c r="T625">
        <v>99987747419978</v>
      </c>
      <c r="U625">
        <v>9999657</v>
      </c>
      <c r="V625" t="s">
        <v>71</v>
      </c>
      <c r="W625">
        <v>9</v>
      </c>
      <c r="X625">
        <v>194212</v>
      </c>
      <c r="Y625">
        <v>1334511</v>
      </c>
      <c r="Z625">
        <v>1528723</v>
      </c>
      <c r="AA625">
        <v>9999657</v>
      </c>
      <c r="AB625">
        <v>7.87141</v>
      </c>
      <c r="AC625">
        <v>7.4931200000000002</v>
      </c>
      <c r="AD625">
        <v>7.5411799999999998</v>
      </c>
      <c r="AE625">
        <v>8</v>
      </c>
      <c r="AF625">
        <v>317974384</v>
      </c>
      <c r="AJ625">
        <v>2092</v>
      </c>
      <c r="AM625">
        <v>238049132</v>
      </c>
      <c r="AN625">
        <v>0</v>
      </c>
      <c r="AO625">
        <v>2405888</v>
      </c>
      <c r="AP625">
        <v>238049132</v>
      </c>
      <c r="AQ625">
        <v>240455020</v>
      </c>
      <c r="AR625">
        <v>238049132</v>
      </c>
      <c r="AS625">
        <v>0</v>
      </c>
      <c r="AT625">
        <v>2405888</v>
      </c>
      <c r="AU625">
        <v>238049132</v>
      </c>
      <c r="AV625">
        <v>240455020</v>
      </c>
      <c r="AW625">
        <v>16.807400000000001</v>
      </c>
      <c r="AX625">
        <v>5.5767600000000002</v>
      </c>
      <c r="AY625">
        <v>2171.88</v>
      </c>
      <c r="AZ625">
        <v>1257.78</v>
      </c>
      <c r="BA625">
        <v>1622</v>
      </c>
      <c r="BB625">
        <v>912</v>
      </c>
      <c r="BC625" t="str">
        <f t="shared" si="20"/>
        <v>u=1%, k=2x10^7</v>
      </c>
      <c r="BD625">
        <f t="shared" si="21"/>
        <v>1</v>
      </c>
    </row>
    <row r="626" spans="1:56">
      <c r="A626" t="s">
        <v>1219</v>
      </c>
      <c r="B626" t="s">
        <v>300</v>
      </c>
      <c r="C626">
        <v>208</v>
      </c>
      <c r="D626" t="s">
        <v>64</v>
      </c>
      <c r="E626" t="s">
        <v>59</v>
      </c>
      <c r="F626" t="s">
        <v>60</v>
      </c>
      <c r="G626">
        <v>2000</v>
      </c>
      <c r="H626">
        <v>0.5</v>
      </c>
      <c r="I626">
        <v>0.5</v>
      </c>
      <c r="J626">
        <v>0</v>
      </c>
      <c r="K626">
        <v>1</v>
      </c>
      <c r="L626">
        <v>20000000</v>
      </c>
      <c r="M626">
        <v>190</v>
      </c>
      <c r="N626">
        <v>190</v>
      </c>
      <c r="O626">
        <v>190</v>
      </c>
      <c r="P626">
        <v>0</v>
      </c>
      <c r="Q626" t="s">
        <v>61</v>
      </c>
      <c r="R626">
        <v>100009415404503</v>
      </c>
      <c r="S626">
        <v>9999666</v>
      </c>
      <c r="T626">
        <v>100009415404503</v>
      </c>
      <c r="U626">
        <v>9999666</v>
      </c>
      <c r="V626" t="s">
        <v>71</v>
      </c>
      <c r="W626">
        <v>9</v>
      </c>
      <c r="X626">
        <v>199479</v>
      </c>
      <c r="Y626">
        <v>1373997</v>
      </c>
      <c r="Z626">
        <v>1573476</v>
      </c>
      <c r="AA626">
        <v>9999666</v>
      </c>
      <c r="AB626">
        <v>7.8879299999999999</v>
      </c>
      <c r="AC626">
        <v>7.2777900000000004</v>
      </c>
      <c r="AD626">
        <v>7.3551399999999996</v>
      </c>
      <c r="AE626">
        <v>8</v>
      </c>
      <c r="AF626">
        <v>327283008</v>
      </c>
      <c r="AJ626">
        <v>3582</v>
      </c>
      <c r="AM626">
        <v>476790040</v>
      </c>
      <c r="AN626">
        <v>0</v>
      </c>
      <c r="AO626">
        <v>4819297</v>
      </c>
      <c r="AP626">
        <v>476790040</v>
      </c>
      <c r="AQ626">
        <v>481609337</v>
      </c>
      <c r="AR626">
        <v>238395020</v>
      </c>
      <c r="AS626">
        <v>0</v>
      </c>
      <c r="AT626">
        <v>2409648</v>
      </c>
      <c r="AU626">
        <v>238395020</v>
      </c>
      <c r="AV626">
        <v>240804668</v>
      </c>
      <c r="AW626">
        <v>16.8246</v>
      </c>
      <c r="AX626">
        <v>5.6114199999999999</v>
      </c>
      <c r="AY626">
        <v>2177.71</v>
      </c>
      <c r="AZ626">
        <v>1263.3599999999999</v>
      </c>
      <c r="BA626">
        <v>1644</v>
      </c>
      <c r="BB626">
        <v>932</v>
      </c>
      <c r="BC626" t="str">
        <f t="shared" si="20"/>
        <v>u=1%, k=2x10^7</v>
      </c>
      <c r="BD626">
        <f t="shared" si="21"/>
        <v>2</v>
      </c>
    </row>
    <row r="627" spans="1:56">
      <c r="A627" t="s">
        <v>1220</v>
      </c>
      <c r="B627" t="s">
        <v>300</v>
      </c>
      <c r="C627">
        <v>208</v>
      </c>
      <c r="D627" t="s">
        <v>64</v>
      </c>
      <c r="E627" t="s">
        <v>59</v>
      </c>
      <c r="F627" t="s">
        <v>60</v>
      </c>
      <c r="G627">
        <v>4000</v>
      </c>
      <c r="H627">
        <v>0.5</v>
      </c>
      <c r="I627">
        <v>0.5</v>
      </c>
      <c r="J627">
        <v>0</v>
      </c>
      <c r="K627">
        <v>1</v>
      </c>
      <c r="L627">
        <v>20000000</v>
      </c>
      <c r="M627">
        <v>190</v>
      </c>
      <c r="N627">
        <v>190</v>
      </c>
      <c r="O627">
        <v>190</v>
      </c>
      <c r="P627">
        <v>0</v>
      </c>
      <c r="Q627" t="s">
        <v>61</v>
      </c>
      <c r="R627">
        <v>100003587253046</v>
      </c>
      <c r="S627">
        <v>10001008</v>
      </c>
      <c r="T627">
        <v>100003587253046</v>
      </c>
      <c r="U627">
        <v>10001008</v>
      </c>
      <c r="V627" t="s">
        <v>71</v>
      </c>
      <c r="W627">
        <v>9</v>
      </c>
      <c r="X627">
        <v>207991</v>
      </c>
      <c r="Y627">
        <v>1432179</v>
      </c>
      <c r="Z627">
        <v>1640170</v>
      </c>
      <c r="AA627">
        <v>10001008</v>
      </c>
      <c r="AB627">
        <v>7.8857699999999999</v>
      </c>
      <c r="AC627">
        <v>6.9830699999999997</v>
      </c>
      <c r="AD627">
        <v>7.0975400000000004</v>
      </c>
      <c r="AE627">
        <v>8</v>
      </c>
      <c r="AF627">
        <v>341155360</v>
      </c>
      <c r="AJ627">
        <v>6452</v>
      </c>
      <c r="AM627">
        <v>941197252</v>
      </c>
      <c r="AN627">
        <v>0</v>
      </c>
      <c r="AO627">
        <v>9508911</v>
      </c>
      <c r="AP627">
        <v>941197252</v>
      </c>
      <c r="AQ627">
        <v>950706163</v>
      </c>
      <c r="AR627">
        <v>235299313</v>
      </c>
      <c r="AS627">
        <v>0</v>
      </c>
      <c r="AT627">
        <v>2377227</v>
      </c>
      <c r="AU627">
        <v>235299313</v>
      </c>
      <c r="AV627">
        <v>237676540</v>
      </c>
      <c r="AW627">
        <v>16.914200000000001</v>
      </c>
      <c r="AX627">
        <v>5.6599599999999999</v>
      </c>
      <c r="AY627">
        <v>2209.09</v>
      </c>
      <c r="AZ627">
        <v>1300.97</v>
      </c>
      <c r="BA627">
        <v>1642</v>
      </c>
      <c r="BB627">
        <v>945</v>
      </c>
      <c r="BC627" t="str">
        <f t="shared" si="20"/>
        <v>u=1%, k=2x10^7</v>
      </c>
      <c r="BD627">
        <f t="shared" si="21"/>
        <v>4</v>
      </c>
    </row>
    <row r="628" spans="1:56">
      <c r="A628" t="s">
        <v>1221</v>
      </c>
      <c r="B628" t="s">
        <v>300</v>
      </c>
      <c r="C628">
        <v>208</v>
      </c>
      <c r="D628" t="s">
        <v>64</v>
      </c>
      <c r="E628" t="s">
        <v>59</v>
      </c>
      <c r="F628" t="s">
        <v>60</v>
      </c>
      <c r="G628">
        <v>8000</v>
      </c>
      <c r="H628">
        <v>0.5</v>
      </c>
      <c r="I628">
        <v>0.5</v>
      </c>
      <c r="J628">
        <v>0</v>
      </c>
      <c r="K628">
        <v>1</v>
      </c>
      <c r="L628">
        <v>20000000</v>
      </c>
      <c r="M628">
        <v>190</v>
      </c>
      <c r="N628">
        <v>190</v>
      </c>
      <c r="O628">
        <v>190</v>
      </c>
      <c r="P628">
        <v>0</v>
      </c>
      <c r="Q628" t="s">
        <v>61</v>
      </c>
      <c r="R628">
        <v>99951062095146</v>
      </c>
      <c r="S628">
        <v>9997847</v>
      </c>
      <c r="T628">
        <v>99951062095146</v>
      </c>
      <c r="U628">
        <v>9997847</v>
      </c>
      <c r="V628" t="s">
        <v>71</v>
      </c>
      <c r="W628">
        <v>9</v>
      </c>
      <c r="X628">
        <v>220120</v>
      </c>
      <c r="Y628">
        <v>1514130</v>
      </c>
      <c r="Z628">
        <v>1734250</v>
      </c>
      <c r="AA628">
        <v>9997847</v>
      </c>
      <c r="AB628">
        <v>7.87866</v>
      </c>
      <c r="AC628">
        <v>6.6030300000000004</v>
      </c>
      <c r="AD628">
        <v>6.7649400000000002</v>
      </c>
      <c r="AE628">
        <v>8</v>
      </c>
      <c r="AF628">
        <v>360724000</v>
      </c>
      <c r="AJ628">
        <v>12000</v>
      </c>
      <c r="AM628">
        <v>1858552016</v>
      </c>
      <c r="AN628">
        <v>0</v>
      </c>
      <c r="AO628">
        <v>18773091</v>
      </c>
      <c r="AP628">
        <v>1858552016</v>
      </c>
      <c r="AQ628">
        <v>1877325107</v>
      </c>
      <c r="AR628">
        <v>232319002</v>
      </c>
      <c r="AS628">
        <v>0</v>
      </c>
      <c r="AT628">
        <v>2346636</v>
      </c>
      <c r="AU628">
        <v>232319002</v>
      </c>
      <c r="AV628">
        <v>234665638</v>
      </c>
      <c r="AW628">
        <v>17.0381</v>
      </c>
      <c r="AX628">
        <v>5.7214999999999998</v>
      </c>
      <c r="AY628">
        <v>2240.69</v>
      </c>
      <c r="AZ628">
        <v>1330.23</v>
      </c>
      <c r="BA628">
        <v>1674</v>
      </c>
      <c r="BB628">
        <v>931</v>
      </c>
      <c r="BC628" t="str">
        <f t="shared" si="20"/>
        <v>u=1%, k=2x10^7</v>
      </c>
      <c r="BD628">
        <f t="shared" si="21"/>
        <v>8</v>
      </c>
    </row>
    <row r="629" spans="1:56">
      <c r="A629" t="s">
        <v>1222</v>
      </c>
      <c r="B629" t="s">
        <v>300</v>
      </c>
      <c r="C629">
        <v>208</v>
      </c>
      <c r="D629" t="s">
        <v>64</v>
      </c>
      <c r="E629" t="s">
        <v>59</v>
      </c>
      <c r="F629" t="s">
        <v>60</v>
      </c>
      <c r="G629">
        <v>16000</v>
      </c>
      <c r="H629">
        <v>0.5</v>
      </c>
      <c r="I629">
        <v>0.5</v>
      </c>
      <c r="J629">
        <v>0</v>
      </c>
      <c r="K629">
        <v>1</v>
      </c>
      <c r="L629">
        <v>20000000</v>
      </c>
      <c r="M629">
        <v>190</v>
      </c>
      <c r="N629">
        <v>190</v>
      </c>
      <c r="O629">
        <v>190</v>
      </c>
      <c r="P629">
        <v>0</v>
      </c>
      <c r="Q629" t="s">
        <v>61</v>
      </c>
      <c r="R629">
        <v>99996244913373</v>
      </c>
      <c r="S629">
        <v>9997417</v>
      </c>
      <c r="T629">
        <v>99996244913373</v>
      </c>
      <c r="U629">
        <v>9997417</v>
      </c>
      <c r="V629" t="s">
        <v>71</v>
      </c>
      <c r="W629">
        <v>9</v>
      </c>
      <c r="X629">
        <v>235641</v>
      </c>
      <c r="Y629">
        <v>1619213</v>
      </c>
      <c r="Z629">
        <v>1854854</v>
      </c>
      <c r="AA629">
        <v>9997417</v>
      </c>
      <c r="AB629">
        <v>7.8715200000000003</v>
      </c>
      <c r="AC629">
        <v>6.1742400000000002</v>
      </c>
      <c r="AD629">
        <v>6.3898700000000002</v>
      </c>
      <c r="AE629">
        <v>8</v>
      </c>
      <c r="AF629">
        <v>385809632</v>
      </c>
      <c r="AJ629">
        <v>23146</v>
      </c>
      <c r="AM629">
        <v>3656890579</v>
      </c>
      <c r="AN629">
        <v>0</v>
      </c>
      <c r="AO629">
        <v>36942153</v>
      </c>
      <c r="AP629">
        <v>3656890579</v>
      </c>
      <c r="AQ629">
        <v>3693832732</v>
      </c>
      <c r="AR629">
        <v>228555661</v>
      </c>
      <c r="AS629">
        <v>0</v>
      </c>
      <c r="AT629">
        <v>2308884</v>
      </c>
      <c r="AU629">
        <v>228555661</v>
      </c>
      <c r="AV629">
        <v>230864545</v>
      </c>
      <c r="AW629">
        <v>17.255400000000002</v>
      </c>
      <c r="AX629">
        <v>5.80579</v>
      </c>
      <c r="AY629">
        <v>2277.85</v>
      </c>
      <c r="AZ629">
        <v>1362.37</v>
      </c>
      <c r="BA629">
        <v>1683</v>
      </c>
      <c r="BB629">
        <v>915</v>
      </c>
      <c r="BC629" t="str">
        <f t="shared" si="20"/>
        <v>u=1%, k=2x10^7</v>
      </c>
      <c r="BD629">
        <f t="shared" si="21"/>
        <v>16</v>
      </c>
    </row>
    <row r="630" spans="1:56">
      <c r="A630" t="s">
        <v>1223</v>
      </c>
      <c r="B630" t="s">
        <v>300</v>
      </c>
      <c r="C630">
        <v>208</v>
      </c>
      <c r="D630" t="s">
        <v>64</v>
      </c>
      <c r="E630" t="s">
        <v>59</v>
      </c>
      <c r="F630" t="s">
        <v>60</v>
      </c>
      <c r="G630">
        <v>32000</v>
      </c>
      <c r="H630">
        <v>0.5</v>
      </c>
      <c r="I630">
        <v>0.5</v>
      </c>
      <c r="J630">
        <v>0</v>
      </c>
      <c r="K630">
        <v>1</v>
      </c>
      <c r="L630">
        <v>20000000</v>
      </c>
      <c r="M630">
        <v>190</v>
      </c>
      <c r="N630">
        <v>190</v>
      </c>
      <c r="O630">
        <v>190</v>
      </c>
      <c r="P630">
        <v>0</v>
      </c>
      <c r="Q630" t="s">
        <v>61</v>
      </c>
      <c r="R630">
        <v>100037393783199</v>
      </c>
      <c r="S630">
        <v>10003092</v>
      </c>
      <c r="T630">
        <v>100037393783199</v>
      </c>
      <c r="U630">
        <v>10003092</v>
      </c>
      <c r="V630" t="s">
        <v>71</v>
      </c>
      <c r="W630">
        <v>9</v>
      </c>
      <c r="X630">
        <v>253513</v>
      </c>
      <c r="Y630">
        <v>1740531</v>
      </c>
      <c r="Z630">
        <v>1994044</v>
      </c>
      <c r="AA630">
        <v>10003092</v>
      </c>
      <c r="AB630">
        <v>7.8656499999999996</v>
      </c>
      <c r="AC630">
        <v>5.7471500000000004</v>
      </c>
      <c r="AD630">
        <v>6.0164900000000001</v>
      </c>
      <c r="AE630">
        <v>8</v>
      </c>
      <c r="AF630">
        <v>414761152</v>
      </c>
      <c r="AJ630" t="s">
        <v>1224</v>
      </c>
      <c r="AM630">
        <v>7207824959</v>
      </c>
      <c r="AN630">
        <v>0</v>
      </c>
      <c r="AO630">
        <v>72817477</v>
      </c>
      <c r="AP630">
        <v>7207824959</v>
      </c>
      <c r="AQ630">
        <v>7280642436</v>
      </c>
      <c r="AR630">
        <v>225244529</v>
      </c>
      <c r="AS630">
        <v>0</v>
      </c>
      <c r="AT630">
        <v>2275546</v>
      </c>
      <c r="AU630">
        <v>225244529</v>
      </c>
      <c r="AV630">
        <v>227520076</v>
      </c>
      <c r="AW630">
        <v>17.436800000000002</v>
      </c>
      <c r="AX630">
        <v>5.9238099999999996</v>
      </c>
      <c r="AY630">
        <v>2309.85</v>
      </c>
      <c r="AZ630">
        <v>1396.97</v>
      </c>
      <c r="BA630">
        <v>1715</v>
      </c>
      <c r="BB630">
        <v>925</v>
      </c>
      <c r="BC630" t="str">
        <f t="shared" si="20"/>
        <v>u=1%, k=2x10^7</v>
      </c>
      <c r="BD630">
        <f t="shared" si="21"/>
        <v>32</v>
      </c>
    </row>
    <row r="631" spans="1:56">
      <c r="A631" t="s">
        <v>1225</v>
      </c>
      <c r="B631" t="s">
        <v>300</v>
      </c>
      <c r="C631">
        <v>208</v>
      </c>
      <c r="D631" t="s">
        <v>64</v>
      </c>
      <c r="E631" t="s">
        <v>59</v>
      </c>
      <c r="F631" t="s">
        <v>60</v>
      </c>
      <c r="G631">
        <v>64000</v>
      </c>
      <c r="H631">
        <v>0.5</v>
      </c>
      <c r="I631">
        <v>0.5</v>
      </c>
      <c r="J631">
        <v>0</v>
      </c>
      <c r="K631">
        <v>1</v>
      </c>
      <c r="L631">
        <v>20000000</v>
      </c>
      <c r="M631">
        <v>190</v>
      </c>
      <c r="N631">
        <v>190</v>
      </c>
      <c r="O631">
        <v>190</v>
      </c>
      <c r="P631">
        <v>0</v>
      </c>
      <c r="Q631" t="s">
        <v>61</v>
      </c>
      <c r="R631">
        <v>100004441042745</v>
      </c>
      <c r="S631">
        <v>9999559</v>
      </c>
      <c r="T631">
        <v>100004441042745</v>
      </c>
      <c r="U631">
        <v>9999559</v>
      </c>
      <c r="V631" t="s">
        <v>71</v>
      </c>
      <c r="W631">
        <v>9</v>
      </c>
      <c r="X631">
        <v>272974</v>
      </c>
      <c r="Y631">
        <v>1856625</v>
      </c>
      <c r="Z631">
        <v>2129599</v>
      </c>
      <c r="AA631">
        <v>9999559</v>
      </c>
      <c r="AB631">
        <v>7.8014700000000001</v>
      </c>
      <c r="AC631">
        <v>5.3858800000000002</v>
      </c>
      <c r="AD631">
        <v>5.6955099999999996</v>
      </c>
      <c r="AE631">
        <v>8</v>
      </c>
      <c r="AF631">
        <v>442956592</v>
      </c>
      <c r="AJ631">
        <v>88080</v>
      </c>
      <c r="AM631">
        <v>14177140028</v>
      </c>
      <c r="AN631">
        <v>0</v>
      </c>
      <c r="AO631">
        <v>143211057</v>
      </c>
      <c r="AP631">
        <v>14177140028</v>
      </c>
      <c r="AQ631">
        <v>14320351085</v>
      </c>
      <c r="AR631">
        <v>221517812</v>
      </c>
      <c r="AS631">
        <v>0</v>
      </c>
      <c r="AT631">
        <v>2237672</v>
      </c>
      <c r="AU631">
        <v>221517812</v>
      </c>
      <c r="AV631">
        <v>223755485</v>
      </c>
      <c r="AW631">
        <v>17.634899999999998</v>
      </c>
      <c r="AX631">
        <v>6.0493499999999996</v>
      </c>
      <c r="AY631">
        <v>2350.1</v>
      </c>
      <c r="AZ631">
        <v>1426.36</v>
      </c>
      <c r="BA631">
        <v>1741</v>
      </c>
      <c r="BB631">
        <v>939</v>
      </c>
      <c r="BC631" t="str">
        <f t="shared" si="20"/>
        <v>u=1%, k=2x10^7</v>
      </c>
      <c r="BD631">
        <f t="shared" si="21"/>
        <v>64</v>
      </c>
    </row>
    <row r="632" spans="1:56">
      <c r="A632" t="s">
        <v>1226</v>
      </c>
      <c r="B632" t="s">
        <v>105</v>
      </c>
      <c r="D632" t="s">
        <v>64</v>
      </c>
      <c r="E632" t="s">
        <v>59</v>
      </c>
      <c r="F632" t="s">
        <v>60</v>
      </c>
      <c r="G632">
        <v>1000</v>
      </c>
      <c r="H632">
        <v>0.5</v>
      </c>
      <c r="I632">
        <v>0.5</v>
      </c>
      <c r="J632">
        <v>0</v>
      </c>
      <c r="K632">
        <v>1</v>
      </c>
      <c r="L632">
        <v>20000000</v>
      </c>
      <c r="M632">
        <v>190</v>
      </c>
      <c r="N632">
        <v>190</v>
      </c>
      <c r="O632">
        <v>190</v>
      </c>
      <c r="P632">
        <v>0</v>
      </c>
      <c r="Q632" t="s">
        <v>61</v>
      </c>
      <c r="R632">
        <v>99983328128849</v>
      </c>
      <c r="S632">
        <v>9999830</v>
      </c>
      <c r="T632">
        <v>99983328128849</v>
      </c>
      <c r="U632">
        <v>9999830</v>
      </c>
      <c r="V632" t="s">
        <v>71</v>
      </c>
      <c r="W632">
        <v>29</v>
      </c>
      <c r="X632">
        <v>5778922</v>
      </c>
      <c r="Y632">
        <v>4339492</v>
      </c>
      <c r="Z632">
        <v>10118414</v>
      </c>
      <c r="AA632">
        <v>9999830</v>
      </c>
      <c r="AB632">
        <v>1.75092</v>
      </c>
      <c r="AC632">
        <v>2.3043800000000001</v>
      </c>
      <c r="AD632">
        <v>1.98828</v>
      </c>
      <c r="AE632">
        <v>22.713699999999999</v>
      </c>
      <c r="AF632">
        <v>566631184</v>
      </c>
      <c r="AJ632" t="s">
        <v>271</v>
      </c>
      <c r="AM632">
        <v>112802099</v>
      </c>
      <c r="AN632">
        <v>0</v>
      </c>
      <c r="AO632">
        <v>1140104</v>
      </c>
      <c r="AP632">
        <v>112802099</v>
      </c>
      <c r="AQ632">
        <v>113942203</v>
      </c>
      <c r="AR632">
        <v>112802099</v>
      </c>
      <c r="AS632">
        <v>0</v>
      </c>
      <c r="AT632">
        <v>1140104</v>
      </c>
      <c r="AU632">
        <v>112802099</v>
      </c>
      <c r="AV632">
        <v>113942203</v>
      </c>
      <c r="AW632">
        <v>28.744199999999999</v>
      </c>
      <c r="AX632">
        <v>10.4452</v>
      </c>
      <c r="AY632">
        <v>4612.3900000000003</v>
      </c>
      <c r="AZ632">
        <v>3257.54</v>
      </c>
      <c r="BA632">
        <v>1762</v>
      </c>
      <c r="BB632">
        <v>425</v>
      </c>
      <c r="BC632" t="str">
        <f t="shared" si="20"/>
        <v>u=1%, k=2x10^7</v>
      </c>
      <c r="BD632">
        <f t="shared" si="21"/>
        <v>1</v>
      </c>
    </row>
    <row r="633" spans="1:56">
      <c r="A633" t="s">
        <v>1227</v>
      </c>
      <c r="B633" t="s">
        <v>105</v>
      </c>
      <c r="D633" t="s">
        <v>64</v>
      </c>
      <c r="E633" t="s">
        <v>59</v>
      </c>
      <c r="F633" t="s">
        <v>60</v>
      </c>
      <c r="G633">
        <v>2000</v>
      </c>
      <c r="H633">
        <v>0.5</v>
      </c>
      <c r="I633">
        <v>0.5</v>
      </c>
      <c r="J633">
        <v>0</v>
      </c>
      <c r="K633">
        <v>1</v>
      </c>
      <c r="L633">
        <v>20000000</v>
      </c>
      <c r="M633">
        <v>190</v>
      </c>
      <c r="N633">
        <v>190</v>
      </c>
      <c r="O633">
        <v>190</v>
      </c>
      <c r="P633">
        <v>0</v>
      </c>
      <c r="Q633" t="s">
        <v>61</v>
      </c>
      <c r="R633">
        <v>99970882908005</v>
      </c>
      <c r="S633">
        <v>10000263</v>
      </c>
      <c r="T633">
        <v>99970882908005</v>
      </c>
      <c r="U633">
        <v>10000263</v>
      </c>
      <c r="V633" t="s">
        <v>71</v>
      </c>
      <c r="W633">
        <v>29</v>
      </c>
      <c r="X633">
        <v>5840242</v>
      </c>
      <c r="Y633">
        <v>4391122</v>
      </c>
      <c r="Z633">
        <v>10231364</v>
      </c>
      <c r="AA633">
        <v>10000263</v>
      </c>
      <c r="AB633">
        <v>1.75187</v>
      </c>
      <c r="AC633">
        <v>2.27738</v>
      </c>
      <c r="AD633">
        <v>1.9774099999999999</v>
      </c>
      <c r="AE633">
        <v>22.726099999999999</v>
      </c>
      <c r="AF633">
        <v>572956384</v>
      </c>
      <c r="AJ633" t="s">
        <v>1228</v>
      </c>
      <c r="AM633">
        <v>226587722</v>
      </c>
      <c r="AN633">
        <v>0</v>
      </c>
      <c r="AO633">
        <v>2292641</v>
      </c>
      <c r="AP633">
        <v>226587722</v>
      </c>
      <c r="AQ633">
        <v>228880363</v>
      </c>
      <c r="AR633">
        <v>113293861</v>
      </c>
      <c r="AS633">
        <v>0</v>
      </c>
      <c r="AT633">
        <v>1146320</v>
      </c>
      <c r="AU633">
        <v>113293861</v>
      </c>
      <c r="AV633">
        <v>114440181</v>
      </c>
      <c r="AW633">
        <v>28.627800000000001</v>
      </c>
      <c r="AX633">
        <v>10.574</v>
      </c>
      <c r="AY633">
        <v>4612.75</v>
      </c>
      <c r="AZ633">
        <v>3191.55</v>
      </c>
      <c r="BA633">
        <v>1769</v>
      </c>
      <c r="BB633">
        <v>433</v>
      </c>
      <c r="BC633" t="str">
        <f t="shared" si="20"/>
        <v>u=1%, k=2x10^7</v>
      </c>
      <c r="BD633">
        <f t="shared" si="21"/>
        <v>2</v>
      </c>
    </row>
    <row r="634" spans="1:56">
      <c r="A634" t="s">
        <v>1229</v>
      </c>
      <c r="B634" t="s">
        <v>105</v>
      </c>
      <c r="D634" t="s">
        <v>64</v>
      </c>
      <c r="E634" t="s">
        <v>59</v>
      </c>
      <c r="F634" t="s">
        <v>60</v>
      </c>
      <c r="G634">
        <v>4000</v>
      </c>
      <c r="H634">
        <v>0.5</v>
      </c>
      <c r="I634">
        <v>0.5</v>
      </c>
      <c r="J634">
        <v>0</v>
      </c>
      <c r="K634">
        <v>1</v>
      </c>
      <c r="L634">
        <v>20000000</v>
      </c>
      <c r="M634">
        <v>190</v>
      </c>
      <c r="N634">
        <v>190</v>
      </c>
      <c r="O634">
        <v>190</v>
      </c>
      <c r="P634">
        <v>0</v>
      </c>
      <c r="Q634" t="s">
        <v>61</v>
      </c>
      <c r="R634">
        <v>100007206514102</v>
      </c>
      <c r="S634">
        <v>10000175</v>
      </c>
      <c r="T634">
        <v>100007206514102</v>
      </c>
      <c r="U634">
        <v>10000175</v>
      </c>
      <c r="V634" t="s">
        <v>71</v>
      </c>
      <c r="W634">
        <v>29</v>
      </c>
      <c r="X634">
        <v>5953497</v>
      </c>
      <c r="Y634">
        <v>4483475</v>
      </c>
      <c r="Z634">
        <v>10436972</v>
      </c>
      <c r="AA634">
        <v>10000175</v>
      </c>
      <c r="AB634">
        <v>1.75308</v>
      </c>
      <c r="AC634">
        <v>2.2304499999999998</v>
      </c>
      <c r="AD634">
        <v>1.9581500000000001</v>
      </c>
      <c r="AE634">
        <v>22.805299999999999</v>
      </c>
      <c r="AF634">
        <v>584470432</v>
      </c>
      <c r="AJ634" t="s">
        <v>1230</v>
      </c>
      <c r="AM634">
        <v>457570214</v>
      </c>
      <c r="AN634">
        <v>0</v>
      </c>
      <c r="AO634">
        <v>4618841</v>
      </c>
      <c r="AP634">
        <v>457570214</v>
      </c>
      <c r="AQ634">
        <v>462189055</v>
      </c>
      <c r="AR634">
        <v>114392553</v>
      </c>
      <c r="AS634">
        <v>0</v>
      </c>
      <c r="AT634">
        <v>1154710</v>
      </c>
      <c r="AU634">
        <v>114392553</v>
      </c>
      <c r="AV634">
        <v>115547263</v>
      </c>
      <c r="AW634">
        <v>28.681899999999999</v>
      </c>
      <c r="AX634">
        <v>10.6592</v>
      </c>
      <c r="AY634">
        <v>4568.59</v>
      </c>
      <c r="AZ634">
        <v>3206.53</v>
      </c>
      <c r="BA634">
        <v>1782</v>
      </c>
      <c r="BB634">
        <v>443</v>
      </c>
      <c r="BC634" t="str">
        <f t="shared" si="20"/>
        <v>u=1%, k=2x10^7</v>
      </c>
      <c r="BD634">
        <f t="shared" si="21"/>
        <v>4</v>
      </c>
    </row>
    <row r="635" spans="1:56">
      <c r="A635" t="s">
        <v>1231</v>
      </c>
      <c r="B635" t="s">
        <v>105</v>
      </c>
      <c r="D635" t="s">
        <v>64</v>
      </c>
      <c r="E635" t="s">
        <v>59</v>
      </c>
      <c r="F635" t="s">
        <v>60</v>
      </c>
      <c r="G635">
        <v>8000</v>
      </c>
      <c r="H635">
        <v>0.5</v>
      </c>
      <c r="I635">
        <v>0.5</v>
      </c>
      <c r="J635">
        <v>0</v>
      </c>
      <c r="K635">
        <v>1</v>
      </c>
      <c r="L635">
        <v>20000000</v>
      </c>
      <c r="M635">
        <v>190</v>
      </c>
      <c r="N635">
        <v>190</v>
      </c>
      <c r="O635">
        <v>190</v>
      </c>
      <c r="P635">
        <v>0</v>
      </c>
      <c r="Q635" t="s">
        <v>61</v>
      </c>
      <c r="R635">
        <v>99996874012919</v>
      </c>
      <c r="S635">
        <v>10000522</v>
      </c>
      <c r="T635">
        <v>99996874012919</v>
      </c>
      <c r="U635">
        <v>10000522</v>
      </c>
      <c r="V635" t="s">
        <v>71</v>
      </c>
      <c r="W635">
        <v>29</v>
      </c>
      <c r="X635">
        <v>6140694</v>
      </c>
      <c r="Y635">
        <v>4634705</v>
      </c>
      <c r="Z635">
        <v>10775399</v>
      </c>
      <c r="AA635">
        <v>10000522</v>
      </c>
      <c r="AB635">
        <v>1.75475</v>
      </c>
      <c r="AC635">
        <v>2.1577500000000001</v>
      </c>
      <c r="AD635">
        <v>1.9280900000000001</v>
      </c>
      <c r="AE635">
        <v>22.873999999999999</v>
      </c>
      <c r="AF635">
        <v>603422344</v>
      </c>
      <c r="AJ635" t="s">
        <v>1232</v>
      </c>
      <c r="AM635">
        <v>907186324</v>
      </c>
      <c r="AN635">
        <v>0</v>
      </c>
      <c r="AO635">
        <v>9158844</v>
      </c>
      <c r="AP635">
        <v>907186324</v>
      </c>
      <c r="AQ635">
        <v>916345168</v>
      </c>
      <c r="AR635">
        <v>113398290</v>
      </c>
      <c r="AS635">
        <v>0</v>
      </c>
      <c r="AT635">
        <v>1144855</v>
      </c>
      <c r="AU635">
        <v>113398290</v>
      </c>
      <c r="AV635">
        <v>114543146</v>
      </c>
      <c r="AW635">
        <v>28.811599999999999</v>
      </c>
      <c r="AX635">
        <v>10.734999999999999</v>
      </c>
      <c r="AY635">
        <v>4608.72</v>
      </c>
      <c r="AZ635">
        <v>3238.88</v>
      </c>
      <c r="BA635">
        <v>1805</v>
      </c>
      <c r="BB635">
        <v>432</v>
      </c>
      <c r="BC635" t="str">
        <f t="shared" si="20"/>
        <v>u=1%, k=2x10^7</v>
      </c>
      <c r="BD635">
        <f t="shared" si="21"/>
        <v>8</v>
      </c>
    </row>
    <row r="636" spans="1:56">
      <c r="A636" t="s">
        <v>1233</v>
      </c>
      <c r="B636" t="s">
        <v>105</v>
      </c>
      <c r="D636" t="s">
        <v>64</v>
      </c>
      <c r="E636" t="s">
        <v>59</v>
      </c>
      <c r="F636" t="s">
        <v>60</v>
      </c>
      <c r="G636">
        <v>16000</v>
      </c>
      <c r="H636">
        <v>0.5</v>
      </c>
      <c r="I636">
        <v>0.5</v>
      </c>
      <c r="J636">
        <v>0</v>
      </c>
      <c r="K636">
        <v>1</v>
      </c>
      <c r="L636">
        <v>20000000</v>
      </c>
      <c r="M636">
        <v>190</v>
      </c>
      <c r="N636">
        <v>190</v>
      </c>
      <c r="O636">
        <v>190</v>
      </c>
      <c r="P636">
        <v>0</v>
      </c>
      <c r="Q636" t="s">
        <v>61</v>
      </c>
      <c r="R636">
        <v>100013870776004</v>
      </c>
      <c r="S636">
        <v>10002028</v>
      </c>
      <c r="T636">
        <v>100013870776004</v>
      </c>
      <c r="U636">
        <v>10002028</v>
      </c>
      <c r="V636" t="s">
        <v>71</v>
      </c>
      <c r="W636">
        <v>29</v>
      </c>
      <c r="X636">
        <v>6408870</v>
      </c>
      <c r="Y636">
        <v>4846163</v>
      </c>
      <c r="Z636">
        <v>11255033</v>
      </c>
      <c r="AA636">
        <v>10002028</v>
      </c>
      <c r="AB636">
        <v>1.7561599999999999</v>
      </c>
      <c r="AC636">
        <v>2.0639099999999999</v>
      </c>
      <c r="AD636">
        <v>1.8886700000000001</v>
      </c>
      <c r="AE636">
        <v>23.032499999999999</v>
      </c>
      <c r="AF636">
        <v>630281848</v>
      </c>
      <c r="AJ636" t="s">
        <v>1234</v>
      </c>
      <c r="AM636">
        <v>1814303458</v>
      </c>
      <c r="AN636">
        <v>0</v>
      </c>
      <c r="AO636">
        <v>18314896</v>
      </c>
      <c r="AP636">
        <v>1814303458</v>
      </c>
      <c r="AQ636">
        <v>1832618354</v>
      </c>
      <c r="AR636">
        <v>113393966</v>
      </c>
      <c r="AS636">
        <v>0</v>
      </c>
      <c r="AT636">
        <v>1144681</v>
      </c>
      <c r="AU636">
        <v>113393966</v>
      </c>
      <c r="AV636">
        <v>114538647</v>
      </c>
      <c r="AW636">
        <v>29.081299999999999</v>
      </c>
      <c r="AX636">
        <v>10.806800000000001</v>
      </c>
      <c r="AY636">
        <v>4605.9799999999996</v>
      </c>
      <c r="AZ636">
        <v>3240.15</v>
      </c>
      <c r="BA636">
        <v>1836</v>
      </c>
      <c r="BB636">
        <v>431</v>
      </c>
      <c r="BC636" t="str">
        <f t="shared" si="20"/>
        <v>u=1%, k=2x10^7</v>
      </c>
      <c r="BD636">
        <f t="shared" si="21"/>
        <v>16</v>
      </c>
    </row>
    <row r="637" spans="1:56">
      <c r="A637" t="s">
        <v>1235</v>
      </c>
      <c r="B637" t="s">
        <v>105</v>
      </c>
      <c r="D637" t="s">
        <v>64</v>
      </c>
      <c r="E637" t="s">
        <v>59</v>
      </c>
      <c r="F637" t="s">
        <v>60</v>
      </c>
      <c r="G637">
        <v>32000</v>
      </c>
      <c r="H637">
        <v>0.5</v>
      </c>
      <c r="I637">
        <v>0.5</v>
      </c>
      <c r="J637">
        <v>0</v>
      </c>
      <c r="K637">
        <v>1</v>
      </c>
      <c r="L637">
        <v>20000000</v>
      </c>
      <c r="M637">
        <v>190</v>
      </c>
      <c r="N637">
        <v>190</v>
      </c>
      <c r="O637">
        <v>190</v>
      </c>
      <c r="P637">
        <v>0</v>
      </c>
      <c r="Q637" t="s">
        <v>61</v>
      </c>
      <c r="R637">
        <v>99994951541371</v>
      </c>
      <c r="S637">
        <v>9999016</v>
      </c>
      <c r="T637">
        <v>99994951541371</v>
      </c>
      <c r="U637">
        <v>9999016</v>
      </c>
      <c r="V637" t="s">
        <v>71</v>
      </c>
      <c r="W637">
        <v>29</v>
      </c>
      <c r="X637">
        <v>6677394</v>
      </c>
      <c r="Y637">
        <v>5057711</v>
      </c>
      <c r="Z637">
        <v>11735105</v>
      </c>
      <c r="AA637">
        <v>9999016</v>
      </c>
      <c r="AB637">
        <v>1.7574399999999999</v>
      </c>
      <c r="AC637">
        <v>1.97698</v>
      </c>
      <c r="AD637">
        <v>1.85206</v>
      </c>
      <c r="AE637">
        <v>23.1936</v>
      </c>
      <c r="AF637">
        <v>657165880</v>
      </c>
      <c r="AJ637" t="s">
        <v>1236</v>
      </c>
      <c r="AM637">
        <v>3600042785</v>
      </c>
      <c r="AN637">
        <v>0</v>
      </c>
      <c r="AO637">
        <v>36359328</v>
      </c>
      <c r="AP637">
        <v>3600042785</v>
      </c>
      <c r="AQ637">
        <v>3636402113</v>
      </c>
      <c r="AR637">
        <v>112501337</v>
      </c>
      <c r="AS637">
        <v>0</v>
      </c>
      <c r="AT637">
        <v>1136229</v>
      </c>
      <c r="AU637">
        <v>112501337</v>
      </c>
      <c r="AV637">
        <v>113637566</v>
      </c>
      <c r="AW637">
        <v>28.9392</v>
      </c>
      <c r="AX637">
        <v>10.8947</v>
      </c>
      <c r="AY637">
        <v>4641.67</v>
      </c>
      <c r="AZ637">
        <v>3262.42</v>
      </c>
      <c r="BA637">
        <v>1868</v>
      </c>
      <c r="BB637">
        <v>445</v>
      </c>
      <c r="BC637" t="str">
        <f t="shared" si="20"/>
        <v>u=1%, k=2x10^7</v>
      </c>
      <c r="BD637">
        <f t="shared" si="21"/>
        <v>32</v>
      </c>
    </row>
    <row r="638" spans="1:56">
      <c r="A638" t="s">
        <v>1237</v>
      </c>
      <c r="B638" t="s">
        <v>105</v>
      </c>
      <c r="D638" t="s">
        <v>64</v>
      </c>
      <c r="E638" t="s">
        <v>59</v>
      </c>
      <c r="F638" t="s">
        <v>60</v>
      </c>
      <c r="G638">
        <v>64000</v>
      </c>
      <c r="H638">
        <v>0.5</v>
      </c>
      <c r="I638">
        <v>0.5</v>
      </c>
      <c r="J638">
        <v>0</v>
      </c>
      <c r="K638">
        <v>1</v>
      </c>
      <c r="L638">
        <v>20000000</v>
      </c>
      <c r="M638">
        <v>190</v>
      </c>
      <c r="N638">
        <v>190</v>
      </c>
      <c r="O638">
        <v>190</v>
      </c>
      <c r="P638">
        <v>0</v>
      </c>
      <c r="Q638" t="s">
        <v>61</v>
      </c>
      <c r="R638">
        <v>100021662388354</v>
      </c>
      <c r="S638">
        <v>10000794</v>
      </c>
      <c r="T638">
        <v>100021662388354</v>
      </c>
      <c r="U638">
        <v>10000794</v>
      </c>
      <c r="V638" t="s">
        <v>71</v>
      </c>
      <c r="W638">
        <v>29</v>
      </c>
      <c r="X638">
        <v>6828200</v>
      </c>
      <c r="Y638">
        <v>5178256</v>
      </c>
      <c r="Z638">
        <v>12006456</v>
      </c>
      <c r="AA638">
        <v>10000794</v>
      </c>
      <c r="AB638">
        <v>1.7583599999999999</v>
      </c>
      <c r="AC638">
        <v>1.9313100000000001</v>
      </c>
      <c r="AD638">
        <v>1.8329500000000001</v>
      </c>
      <c r="AE638">
        <v>23.2027</v>
      </c>
      <c r="AF638">
        <v>672361536</v>
      </c>
      <c r="AJ638">
        <v>42846</v>
      </c>
      <c r="AM638">
        <v>7160918426</v>
      </c>
      <c r="AN638">
        <v>0</v>
      </c>
      <c r="AO638">
        <v>72329507</v>
      </c>
      <c r="AP638">
        <v>7160918426</v>
      </c>
      <c r="AQ638">
        <v>7233247933</v>
      </c>
      <c r="AR638">
        <v>111889350</v>
      </c>
      <c r="AS638">
        <v>0</v>
      </c>
      <c r="AT638">
        <v>1130148</v>
      </c>
      <c r="AU638">
        <v>111889350</v>
      </c>
      <c r="AV638">
        <v>113019498</v>
      </c>
      <c r="AW638">
        <v>29.197700000000001</v>
      </c>
      <c r="AX638">
        <v>10.9908</v>
      </c>
      <c r="AY638">
        <v>4665.7299999999996</v>
      </c>
      <c r="AZ638">
        <v>3291.88</v>
      </c>
      <c r="BA638">
        <v>1886</v>
      </c>
      <c r="BB638">
        <v>425</v>
      </c>
      <c r="BC638" t="str">
        <f t="shared" si="20"/>
        <v>u=1%, k=2x10^7</v>
      </c>
      <c r="BD638">
        <f t="shared" si="21"/>
        <v>64</v>
      </c>
    </row>
    <row r="639" spans="1:56">
      <c r="A639" t="s">
        <v>1238</v>
      </c>
      <c r="B639" t="s">
        <v>305</v>
      </c>
      <c r="D639" t="s">
        <v>64</v>
      </c>
      <c r="E639" t="s">
        <v>59</v>
      </c>
      <c r="F639" t="s">
        <v>60</v>
      </c>
      <c r="G639">
        <v>1000</v>
      </c>
      <c r="H639">
        <v>0.5</v>
      </c>
      <c r="I639">
        <v>0.5</v>
      </c>
      <c r="J639">
        <v>0</v>
      </c>
      <c r="K639">
        <v>1</v>
      </c>
      <c r="L639">
        <v>20000000</v>
      </c>
      <c r="M639">
        <v>190</v>
      </c>
      <c r="N639">
        <v>190</v>
      </c>
      <c r="O639">
        <v>190</v>
      </c>
      <c r="P639">
        <v>0</v>
      </c>
      <c r="Q639" t="s">
        <v>61</v>
      </c>
      <c r="R639">
        <v>100000454554973</v>
      </c>
      <c r="S639">
        <v>10001361</v>
      </c>
      <c r="T639">
        <v>100000454554973</v>
      </c>
      <c r="U639">
        <v>10001361</v>
      </c>
      <c r="V639" t="s">
        <v>71</v>
      </c>
      <c r="W639">
        <v>58</v>
      </c>
      <c r="X639">
        <v>10001360</v>
      </c>
      <c r="Y639">
        <v>10001361</v>
      </c>
      <c r="Z639">
        <v>20002721</v>
      </c>
      <c r="AA639">
        <v>10001361</v>
      </c>
      <c r="AB639">
        <v>2</v>
      </c>
      <c r="AC639">
        <v>1</v>
      </c>
      <c r="AD639">
        <v>1.5</v>
      </c>
      <c r="AE639">
        <v>30.631799999999998</v>
      </c>
      <c r="AF639">
        <v>640087072</v>
      </c>
      <c r="AJ639" t="s">
        <v>1239</v>
      </c>
      <c r="AM639">
        <v>97520112</v>
      </c>
      <c r="AN639">
        <v>0</v>
      </c>
      <c r="AO639">
        <v>985618</v>
      </c>
      <c r="AP639">
        <v>97520112</v>
      </c>
      <c r="AQ639">
        <v>98505730</v>
      </c>
      <c r="AR639">
        <v>97520112</v>
      </c>
      <c r="AS639">
        <v>0</v>
      </c>
      <c r="AT639">
        <v>985618</v>
      </c>
      <c r="AU639">
        <v>97520112</v>
      </c>
      <c r="AV639">
        <v>98505730</v>
      </c>
      <c r="AW639">
        <v>24.738800000000001</v>
      </c>
      <c r="AX639">
        <v>9.7728000000000002</v>
      </c>
      <c r="AY639">
        <v>5328.06</v>
      </c>
      <c r="AZ639">
        <v>4299.16</v>
      </c>
      <c r="BA639">
        <v>1754</v>
      </c>
      <c r="BB639">
        <v>414</v>
      </c>
      <c r="BC639" t="str">
        <f t="shared" si="20"/>
        <v>u=1%, k=2x10^7</v>
      </c>
      <c r="BD639">
        <f t="shared" si="21"/>
        <v>1</v>
      </c>
    </row>
    <row r="640" spans="1:56">
      <c r="A640" t="s">
        <v>1240</v>
      </c>
      <c r="B640" t="s">
        <v>305</v>
      </c>
      <c r="D640" t="s">
        <v>64</v>
      </c>
      <c r="E640" t="s">
        <v>59</v>
      </c>
      <c r="F640" t="s">
        <v>60</v>
      </c>
      <c r="G640">
        <v>2000</v>
      </c>
      <c r="H640">
        <v>0.5</v>
      </c>
      <c r="I640">
        <v>0.5</v>
      </c>
      <c r="J640">
        <v>0</v>
      </c>
      <c r="K640">
        <v>1</v>
      </c>
      <c r="L640">
        <v>20000000</v>
      </c>
      <c r="M640">
        <v>190</v>
      </c>
      <c r="N640">
        <v>190</v>
      </c>
      <c r="O640">
        <v>190</v>
      </c>
      <c r="P640">
        <v>0</v>
      </c>
      <c r="Q640" t="s">
        <v>61</v>
      </c>
      <c r="R640">
        <v>100008538536950</v>
      </c>
      <c r="S640">
        <v>10001352</v>
      </c>
      <c r="T640">
        <v>100008538536950</v>
      </c>
      <c r="U640">
        <v>10001352</v>
      </c>
      <c r="V640" t="s">
        <v>71</v>
      </c>
      <c r="W640">
        <v>59</v>
      </c>
      <c r="X640">
        <v>10001351</v>
      </c>
      <c r="Y640">
        <v>10001352</v>
      </c>
      <c r="Z640">
        <v>20002703</v>
      </c>
      <c r="AA640">
        <v>10001352</v>
      </c>
      <c r="AB640">
        <v>2</v>
      </c>
      <c r="AC640">
        <v>1</v>
      </c>
      <c r="AD640">
        <v>1.5</v>
      </c>
      <c r="AE640">
        <v>30.918700000000001</v>
      </c>
      <c r="AF640">
        <v>640086496</v>
      </c>
      <c r="AJ640" t="s">
        <v>1241</v>
      </c>
      <c r="AM640">
        <v>197081565</v>
      </c>
      <c r="AN640">
        <v>0</v>
      </c>
      <c r="AO640">
        <v>1988103</v>
      </c>
      <c r="AP640">
        <v>197081565</v>
      </c>
      <c r="AQ640">
        <v>199069668</v>
      </c>
      <c r="AR640">
        <v>98540782</v>
      </c>
      <c r="AS640">
        <v>0</v>
      </c>
      <c r="AT640">
        <v>994051</v>
      </c>
      <c r="AU640">
        <v>98540782</v>
      </c>
      <c r="AV640">
        <v>99534834</v>
      </c>
      <c r="AW640">
        <v>24.8019</v>
      </c>
      <c r="AX640">
        <v>9.9127500000000008</v>
      </c>
      <c r="AY640">
        <v>5303</v>
      </c>
      <c r="AZ640">
        <v>4278.33</v>
      </c>
      <c r="BA640">
        <v>1754</v>
      </c>
      <c r="BB640">
        <v>419</v>
      </c>
      <c r="BC640" t="str">
        <f t="shared" si="20"/>
        <v>u=1%, k=2x10^7</v>
      </c>
      <c r="BD640">
        <f t="shared" si="21"/>
        <v>2</v>
      </c>
    </row>
    <row r="641" spans="1:56">
      <c r="A641" t="s">
        <v>1242</v>
      </c>
      <c r="B641" t="s">
        <v>305</v>
      </c>
      <c r="D641" t="s">
        <v>64</v>
      </c>
      <c r="E641" t="s">
        <v>59</v>
      </c>
      <c r="F641" t="s">
        <v>60</v>
      </c>
      <c r="G641">
        <v>4000</v>
      </c>
      <c r="H641">
        <v>0.5</v>
      </c>
      <c r="I641">
        <v>0.5</v>
      </c>
      <c r="J641">
        <v>0</v>
      </c>
      <c r="K641">
        <v>1</v>
      </c>
      <c r="L641">
        <v>20000000</v>
      </c>
      <c r="M641">
        <v>190</v>
      </c>
      <c r="N641">
        <v>190</v>
      </c>
      <c r="O641">
        <v>190</v>
      </c>
      <c r="P641">
        <v>0</v>
      </c>
      <c r="Q641" t="s">
        <v>61</v>
      </c>
      <c r="R641">
        <v>100000564098111</v>
      </c>
      <c r="S641">
        <v>10000209</v>
      </c>
      <c r="T641">
        <v>100000564098111</v>
      </c>
      <c r="U641">
        <v>10000209</v>
      </c>
      <c r="V641" t="s">
        <v>71</v>
      </c>
      <c r="W641">
        <v>61</v>
      </c>
      <c r="X641">
        <v>10000208</v>
      </c>
      <c r="Y641">
        <v>10000209</v>
      </c>
      <c r="Z641">
        <v>20000417</v>
      </c>
      <c r="AA641">
        <v>10000209</v>
      </c>
      <c r="AB641">
        <v>2</v>
      </c>
      <c r="AC641">
        <v>1</v>
      </c>
      <c r="AD641">
        <v>1.5</v>
      </c>
      <c r="AE641">
        <v>30.986699999999999</v>
      </c>
      <c r="AF641">
        <v>640013344</v>
      </c>
      <c r="AJ641">
        <v>2486</v>
      </c>
      <c r="AM641">
        <v>395929584</v>
      </c>
      <c r="AN641">
        <v>0</v>
      </c>
      <c r="AO641">
        <v>3998784</v>
      </c>
      <c r="AP641">
        <v>395929584</v>
      </c>
      <c r="AQ641">
        <v>399928368</v>
      </c>
      <c r="AR641">
        <v>98982396</v>
      </c>
      <c r="AS641">
        <v>0</v>
      </c>
      <c r="AT641">
        <v>999696</v>
      </c>
      <c r="AU641">
        <v>98982396</v>
      </c>
      <c r="AV641">
        <v>99982092</v>
      </c>
      <c r="AW641">
        <v>24.8413</v>
      </c>
      <c r="AX641">
        <v>10.0291</v>
      </c>
      <c r="AY641">
        <v>5289.99</v>
      </c>
      <c r="AZ641">
        <v>4271.04</v>
      </c>
      <c r="BA641">
        <v>1754</v>
      </c>
      <c r="BB641">
        <v>408</v>
      </c>
      <c r="BC641" t="str">
        <f t="shared" si="20"/>
        <v>u=1%, k=2x10^7</v>
      </c>
      <c r="BD641">
        <f t="shared" si="21"/>
        <v>4</v>
      </c>
    </row>
    <row r="642" spans="1:56">
      <c r="A642" t="s">
        <v>1243</v>
      </c>
      <c r="B642" t="s">
        <v>305</v>
      </c>
      <c r="D642" t="s">
        <v>64</v>
      </c>
      <c r="E642" t="s">
        <v>59</v>
      </c>
      <c r="F642" t="s">
        <v>60</v>
      </c>
      <c r="G642">
        <v>8000</v>
      </c>
      <c r="H642">
        <v>0.5</v>
      </c>
      <c r="I642">
        <v>0.5</v>
      </c>
      <c r="J642">
        <v>0</v>
      </c>
      <c r="K642">
        <v>1</v>
      </c>
      <c r="L642">
        <v>20000000</v>
      </c>
      <c r="M642">
        <v>190</v>
      </c>
      <c r="N642">
        <v>190</v>
      </c>
      <c r="O642">
        <v>190</v>
      </c>
      <c r="P642">
        <v>0</v>
      </c>
      <c r="Q642" t="s">
        <v>61</v>
      </c>
      <c r="R642">
        <v>99975041629459</v>
      </c>
      <c r="S642">
        <v>10000715</v>
      </c>
      <c r="T642">
        <v>99975041629459</v>
      </c>
      <c r="U642">
        <v>10000715</v>
      </c>
      <c r="V642" t="s">
        <v>71</v>
      </c>
      <c r="W642">
        <v>61</v>
      </c>
      <c r="X642">
        <v>10000714</v>
      </c>
      <c r="Y642">
        <v>10000715</v>
      </c>
      <c r="Z642">
        <v>20001429</v>
      </c>
      <c r="AA642">
        <v>10000715</v>
      </c>
      <c r="AB642">
        <v>2</v>
      </c>
      <c r="AC642">
        <v>1</v>
      </c>
      <c r="AD642">
        <v>1.5</v>
      </c>
      <c r="AE642">
        <v>31.628</v>
      </c>
      <c r="AF642">
        <v>640045728</v>
      </c>
      <c r="AJ642" t="s">
        <v>1244</v>
      </c>
      <c r="AM642">
        <v>796750651</v>
      </c>
      <c r="AN642">
        <v>0</v>
      </c>
      <c r="AO642">
        <v>8046924</v>
      </c>
      <c r="AP642">
        <v>796750651</v>
      </c>
      <c r="AQ642">
        <v>804797575</v>
      </c>
      <c r="AR642">
        <v>99593831</v>
      </c>
      <c r="AS642">
        <v>0</v>
      </c>
      <c r="AT642">
        <v>1005865</v>
      </c>
      <c r="AU642">
        <v>99593831</v>
      </c>
      <c r="AV642">
        <v>100599696</v>
      </c>
      <c r="AW642">
        <v>24.980599999999999</v>
      </c>
      <c r="AX642">
        <v>10.1404</v>
      </c>
      <c r="AY642">
        <v>5254.32</v>
      </c>
      <c r="AZ642">
        <v>4252.88</v>
      </c>
      <c r="BA642">
        <v>1754</v>
      </c>
      <c r="BB642">
        <v>417</v>
      </c>
      <c r="BC642" t="str">
        <f t="shared" si="20"/>
        <v>u=1%, k=2x10^7</v>
      </c>
      <c r="BD642">
        <f t="shared" si="21"/>
        <v>8</v>
      </c>
    </row>
    <row r="643" spans="1:56">
      <c r="A643" t="s">
        <v>1245</v>
      </c>
      <c r="B643" t="s">
        <v>305</v>
      </c>
      <c r="D643" t="s">
        <v>64</v>
      </c>
      <c r="E643" t="s">
        <v>59</v>
      </c>
      <c r="F643" t="s">
        <v>60</v>
      </c>
      <c r="G643">
        <v>16000</v>
      </c>
      <c r="H643">
        <v>0.5</v>
      </c>
      <c r="I643">
        <v>0.5</v>
      </c>
      <c r="J643">
        <v>0</v>
      </c>
      <c r="K643">
        <v>1</v>
      </c>
      <c r="L643">
        <v>20000000</v>
      </c>
      <c r="M643">
        <v>190</v>
      </c>
      <c r="N643">
        <v>190</v>
      </c>
      <c r="O643">
        <v>190</v>
      </c>
      <c r="P643">
        <v>0</v>
      </c>
      <c r="Q643" t="s">
        <v>61</v>
      </c>
      <c r="R643">
        <v>100017058867169</v>
      </c>
      <c r="S643">
        <v>10001623</v>
      </c>
      <c r="T643">
        <v>100017058867169</v>
      </c>
      <c r="U643">
        <v>10001623</v>
      </c>
      <c r="V643" t="s">
        <v>71</v>
      </c>
      <c r="W643">
        <v>60</v>
      </c>
      <c r="X643">
        <v>10001622</v>
      </c>
      <c r="Y643">
        <v>10001623</v>
      </c>
      <c r="Z643">
        <v>20003245</v>
      </c>
      <c r="AA643">
        <v>10001623</v>
      </c>
      <c r="AB643">
        <v>2</v>
      </c>
      <c r="AC643">
        <v>1</v>
      </c>
      <c r="AD643">
        <v>1.5</v>
      </c>
      <c r="AE643">
        <v>30.857900000000001</v>
      </c>
      <c r="AF643">
        <v>640103840</v>
      </c>
      <c r="AJ643">
        <v>9434</v>
      </c>
      <c r="AM643">
        <v>1583992825</v>
      </c>
      <c r="AN643">
        <v>0</v>
      </c>
      <c r="AO643">
        <v>16000806</v>
      </c>
      <c r="AP643">
        <v>1583992825</v>
      </c>
      <c r="AQ643">
        <v>1599993631</v>
      </c>
      <c r="AR643">
        <v>98999551</v>
      </c>
      <c r="AS643">
        <v>0</v>
      </c>
      <c r="AT643">
        <v>1000050</v>
      </c>
      <c r="AU643">
        <v>98999551</v>
      </c>
      <c r="AV643">
        <v>99999601</v>
      </c>
      <c r="AW643">
        <v>25.234500000000001</v>
      </c>
      <c r="AX643">
        <v>10.2416</v>
      </c>
      <c r="AY643">
        <v>5288.19</v>
      </c>
      <c r="AZ643">
        <v>4281.33</v>
      </c>
      <c r="BA643">
        <v>1758</v>
      </c>
      <c r="BB643">
        <v>410</v>
      </c>
      <c r="BC643" t="str">
        <f t="shared" si="20"/>
        <v>u=1%, k=2x10^7</v>
      </c>
      <c r="BD643">
        <f t="shared" si="21"/>
        <v>16</v>
      </c>
    </row>
    <row r="644" spans="1:56">
      <c r="A644" t="s">
        <v>1246</v>
      </c>
      <c r="B644" t="s">
        <v>305</v>
      </c>
      <c r="D644" t="s">
        <v>64</v>
      </c>
      <c r="E644" t="s">
        <v>59</v>
      </c>
      <c r="F644" t="s">
        <v>60</v>
      </c>
      <c r="G644">
        <v>32000</v>
      </c>
      <c r="H644">
        <v>0.5</v>
      </c>
      <c r="I644">
        <v>0.5</v>
      </c>
      <c r="J644">
        <v>0</v>
      </c>
      <c r="K644">
        <v>1</v>
      </c>
      <c r="L644">
        <v>20000000</v>
      </c>
      <c r="M644">
        <v>190</v>
      </c>
      <c r="N644">
        <v>190</v>
      </c>
      <c r="O644">
        <v>190</v>
      </c>
      <c r="P644">
        <v>0</v>
      </c>
      <c r="Q644" t="s">
        <v>61</v>
      </c>
      <c r="R644">
        <v>100029814901760</v>
      </c>
      <c r="S644">
        <v>10003006</v>
      </c>
      <c r="T644">
        <v>100029814901760</v>
      </c>
      <c r="U644">
        <v>10003006</v>
      </c>
      <c r="V644" t="s">
        <v>71</v>
      </c>
      <c r="W644">
        <v>57</v>
      </c>
      <c r="X644">
        <v>10003005</v>
      </c>
      <c r="Y644">
        <v>10003006</v>
      </c>
      <c r="Z644">
        <v>20006011</v>
      </c>
      <c r="AA644">
        <v>10003006</v>
      </c>
      <c r="AB644">
        <v>2</v>
      </c>
      <c r="AC644">
        <v>1</v>
      </c>
      <c r="AD644">
        <v>1.5</v>
      </c>
      <c r="AE644">
        <v>31.027100000000001</v>
      </c>
      <c r="AF644">
        <v>640192352</v>
      </c>
      <c r="AJ644" t="s">
        <v>1247</v>
      </c>
      <c r="AM644">
        <v>3163500190</v>
      </c>
      <c r="AN644">
        <v>0</v>
      </c>
      <c r="AO644">
        <v>31956747</v>
      </c>
      <c r="AP644">
        <v>3163500190</v>
      </c>
      <c r="AQ644">
        <v>3195456937</v>
      </c>
      <c r="AR644">
        <v>98859380</v>
      </c>
      <c r="AS644">
        <v>0</v>
      </c>
      <c r="AT644">
        <v>998648</v>
      </c>
      <c r="AU644">
        <v>98859380</v>
      </c>
      <c r="AV644">
        <v>99858029</v>
      </c>
      <c r="AW644">
        <v>25.298200000000001</v>
      </c>
      <c r="AX644">
        <v>10.363899999999999</v>
      </c>
      <c r="AY644">
        <v>5295.68</v>
      </c>
      <c r="AZ644">
        <v>4298.6899999999996</v>
      </c>
      <c r="BA644">
        <v>1759</v>
      </c>
      <c r="BB644">
        <v>433</v>
      </c>
      <c r="BC644" t="str">
        <f t="shared" si="20"/>
        <v>u=1%, k=2x10^7</v>
      </c>
      <c r="BD644">
        <f t="shared" si="21"/>
        <v>32</v>
      </c>
    </row>
    <row r="645" spans="1:56">
      <c r="A645" t="s">
        <v>1248</v>
      </c>
      <c r="B645" t="s">
        <v>305</v>
      </c>
      <c r="D645" t="s">
        <v>64</v>
      </c>
      <c r="E645" t="s">
        <v>59</v>
      </c>
      <c r="F645" t="s">
        <v>60</v>
      </c>
      <c r="G645">
        <v>64000</v>
      </c>
      <c r="H645">
        <v>0.5</v>
      </c>
      <c r="I645">
        <v>0.5</v>
      </c>
      <c r="J645">
        <v>0</v>
      </c>
      <c r="K645">
        <v>1</v>
      </c>
      <c r="L645">
        <v>20000000</v>
      </c>
      <c r="M645">
        <v>190</v>
      </c>
      <c r="N645">
        <v>190</v>
      </c>
      <c r="O645">
        <v>190</v>
      </c>
      <c r="P645">
        <v>0</v>
      </c>
      <c r="Q645" t="s">
        <v>61</v>
      </c>
      <c r="R645">
        <v>99963981814562</v>
      </c>
      <c r="S645">
        <v>9995925</v>
      </c>
      <c r="T645">
        <v>99963981814562</v>
      </c>
      <c r="U645">
        <v>9995925</v>
      </c>
      <c r="V645" t="s">
        <v>71</v>
      </c>
      <c r="W645">
        <v>62</v>
      </c>
      <c r="X645">
        <v>9995924</v>
      </c>
      <c r="Y645">
        <v>9995925</v>
      </c>
      <c r="Z645">
        <v>19991849</v>
      </c>
      <c r="AA645">
        <v>9995925</v>
      </c>
      <c r="AB645">
        <v>2</v>
      </c>
      <c r="AC645">
        <v>1</v>
      </c>
      <c r="AD645">
        <v>1.5</v>
      </c>
      <c r="AE645">
        <v>30.6965</v>
      </c>
      <c r="AF645">
        <v>639739168</v>
      </c>
      <c r="AJ645" t="s">
        <v>1249</v>
      </c>
      <c r="AM645">
        <v>6282394632</v>
      </c>
      <c r="AN645">
        <v>0</v>
      </c>
      <c r="AO645">
        <v>63449163</v>
      </c>
      <c r="AP645">
        <v>6282394632</v>
      </c>
      <c r="AQ645">
        <v>6345843795</v>
      </c>
      <c r="AR645">
        <v>98162416</v>
      </c>
      <c r="AS645">
        <v>0</v>
      </c>
      <c r="AT645">
        <v>991393</v>
      </c>
      <c r="AU645">
        <v>98162416</v>
      </c>
      <c r="AV645">
        <v>99153809</v>
      </c>
      <c r="AW645">
        <v>25.5382</v>
      </c>
      <c r="AX645">
        <v>10.459300000000001</v>
      </c>
      <c r="AY645">
        <v>5334.23</v>
      </c>
      <c r="AZ645">
        <v>4339.8599999999997</v>
      </c>
      <c r="BA645">
        <v>1769</v>
      </c>
      <c r="BB645">
        <v>409</v>
      </c>
      <c r="BC645" t="str">
        <f t="shared" si="20"/>
        <v>u=1%, k=2x10^7</v>
      </c>
      <c r="BD645">
        <f t="shared" si="21"/>
        <v>64</v>
      </c>
    </row>
    <row r="646" spans="1:56">
      <c r="A646" t="s">
        <v>1250</v>
      </c>
      <c r="B646" t="s">
        <v>63</v>
      </c>
      <c r="C646">
        <v>72</v>
      </c>
      <c r="D646" t="s">
        <v>64</v>
      </c>
      <c r="E646" t="s">
        <v>59</v>
      </c>
      <c r="F646" t="s">
        <v>60</v>
      </c>
      <c r="G646">
        <v>1000</v>
      </c>
      <c r="H646">
        <v>0.5</v>
      </c>
      <c r="I646">
        <v>0.5</v>
      </c>
      <c r="J646">
        <v>0</v>
      </c>
      <c r="K646">
        <v>1</v>
      </c>
      <c r="L646">
        <v>200000000</v>
      </c>
      <c r="M646">
        <v>190</v>
      </c>
      <c r="N646">
        <v>190</v>
      </c>
      <c r="O646">
        <v>190</v>
      </c>
      <c r="P646">
        <v>0</v>
      </c>
      <c r="Q646" t="s">
        <v>61</v>
      </c>
      <c r="R646">
        <v>9999318920333790</v>
      </c>
      <c r="S646">
        <v>99999966</v>
      </c>
      <c r="T646">
        <v>9999318920333790</v>
      </c>
      <c r="U646">
        <v>99999966</v>
      </c>
      <c r="V646" t="s">
        <v>71</v>
      </c>
      <c r="W646">
        <v>7</v>
      </c>
      <c r="X646">
        <v>11511680</v>
      </c>
      <c r="Y646">
        <v>111004966</v>
      </c>
      <c r="Z646">
        <v>122516646</v>
      </c>
      <c r="AA646">
        <v>99999966</v>
      </c>
      <c r="AB646">
        <v>10.642799999999999</v>
      </c>
      <c r="AC646">
        <v>0.90085999999999999</v>
      </c>
      <c r="AD646">
        <v>1.8162199999999999</v>
      </c>
      <c r="AE646">
        <v>4.0100800000000003</v>
      </c>
      <c r="AF646">
        <v>2697090656</v>
      </c>
      <c r="AG646" t="s">
        <v>1251</v>
      </c>
      <c r="AH646" t="s">
        <v>1251</v>
      </c>
      <c r="AJ646">
        <v>1226</v>
      </c>
      <c r="AM646">
        <v>202025930</v>
      </c>
      <c r="AN646">
        <v>0</v>
      </c>
      <c r="AO646">
        <v>2040452</v>
      </c>
      <c r="AP646">
        <v>202025930</v>
      </c>
      <c r="AQ646">
        <v>204066382</v>
      </c>
      <c r="AR646">
        <v>202025930</v>
      </c>
      <c r="AS646">
        <v>0</v>
      </c>
      <c r="AT646">
        <v>2040452</v>
      </c>
      <c r="AU646">
        <v>202025930</v>
      </c>
      <c r="AV646">
        <v>204066382</v>
      </c>
      <c r="AW646">
        <v>18.881799999999998</v>
      </c>
      <c r="AX646">
        <v>8.8285599999999995</v>
      </c>
      <c r="AY646">
        <v>2587.67</v>
      </c>
      <c r="AZ646">
        <v>1859.13</v>
      </c>
      <c r="BA646">
        <v>7415</v>
      </c>
      <c r="BB646">
        <v>1144</v>
      </c>
      <c r="BC646" t="str">
        <f t="shared" si="20"/>
        <v>u=1%, k=2x10^8</v>
      </c>
      <c r="BD646">
        <f t="shared" si="21"/>
        <v>1</v>
      </c>
    </row>
    <row r="647" spans="1:56">
      <c r="A647" t="s">
        <v>1252</v>
      </c>
      <c r="B647" t="s">
        <v>63</v>
      </c>
      <c r="C647">
        <v>72</v>
      </c>
      <c r="D647" t="s">
        <v>64</v>
      </c>
      <c r="E647" t="s">
        <v>59</v>
      </c>
      <c r="F647" t="s">
        <v>60</v>
      </c>
      <c r="G647">
        <v>2000</v>
      </c>
      <c r="H647">
        <v>0.5</v>
      </c>
      <c r="I647">
        <v>0.5</v>
      </c>
      <c r="J647">
        <v>0</v>
      </c>
      <c r="K647">
        <v>1</v>
      </c>
      <c r="L647">
        <v>200000000</v>
      </c>
      <c r="M647">
        <v>190</v>
      </c>
      <c r="N647">
        <v>190</v>
      </c>
      <c r="O647">
        <v>190</v>
      </c>
      <c r="P647">
        <v>0</v>
      </c>
      <c r="Q647" t="s">
        <v>61</v>
      </c>
      <c r="R647">
        <v>9999508081026140</v>
      </c>
      <c r="S647">
        <v>100001454</v>
      </c>
      <c r="T647">
        <v>9999508081026140</v>
      </c>
      <c r="U647">
        <v>100001454</v>
      </c>
      <c r="V647" t="s">
        <v>71</v>
      </c>
      <c r="W647">
        <v>7</v>
      </c>
      <c r="X647">
        <v>11979660</v>
      </c>
      <c r="Y647">
        <v>111949401</v>
      </c>
      <c r="Z647">
        <v>123929061</v>
      </c>
      <c r="AA647">
        <v>100001454</v>
      </c>
      <c r="AB647">
        <v>10.345000000000001</v>
      </c>
      <c r="AC647">
        <v>0.89327400000000001</v>
      </c>
      <c r="AD647">
        <v>1.8069200000000001</v>
      </c>
      <c r="AE647">
        <v>4.0196199999999997</v>
      </c>
      <c r="AF647">
        <v>2749832928</v>
      </c>
      <c r="AG647" t="s">
        <v>1253</v>
      </c>
      <c r="AH647" t="s">
        <v>1253</v>
      </c>
      <c r="AJ647">
        <v>2482</v>
      </c>
      <c r="AM647">
        <v>401525613</v>
      </c>
      <c r="AN647">
        <v>0</v>
      </c>
      <c r="AO647">
        <v>4056914</v>
      </c>
      <c r="AP647">
        <v>401525613</v>
      </c>
      <c r="AQ647">
        <v>405582527</v>
      </c>
      <c r="AR647">
        <v>200762806</v>
      </c>
      <c r="AS647">
        <v>0</v>
      </c>
      <c r="AT647">
        <v>2028457</v>
      </c>
      <c r="AU647">
        <v>200762806</v>
      </c>
      <c r="AV647">
        <v>202791263</v>
      </c>
      <c r="AW647">
        <v>18.985900000000001</v>
      </c>
      <c r="AX647">
        <v>8.9149200000000004</v>
      </c>
      <c r="AY647">
        <v>2606.21</v>
      </c>
      <c r="AZ647">
        <v>1865</v>
      </c>
      <c r="BA647">
        <v>7461</v>
      </c>
      <c r="BB647">
        <v>1142</v>
      </c>
      <c r="BC647" t="str">
        <f t="shared" si="20"/>
        <v>u=1%, k=2x10^8</v>
      </c>
      <c r="BD647">
        <f t="shared" si="21"/>
        <v>2</v>
      </c>
    </row>
    <row r="648" spans="1:56">
      <c r="A648" t="s">
        <v>1254</v>
      </c>
      <c r="B648" t="s">
        <v>63</v>
      </c>
      <c r="C648">
        <v>72</v>
      </c>
      <c r="D648" t="s">
        <v>64</v>
      </c>
      <c r="E648" t="s">
        <v>59</v>
      </c>
      <c r="F648" t="s">
        <v>60</v>
      </c>
      <c r="G648">
        <v>4000</v>
      </c>
      <c r="H648">
        <v>0.5</v>
      </c>
      <c r="I648">
        <v>0.5</v>
      </c>
      <c r="J648">
        <v>0</v>
      </c>
      <c r="K648">
        <v>1</v>
      </c>
      <c r="L648">
        <v>200000000</v>
      </c>
      <c r="M648">
        <v>190</v>
      </c>
      <c r="N648">
        <v>190</v>
      </c>
      <c r="O648">
        <v>190</v>
      </c>
      <c r="P648">
        <v>0</v>
      </c>
      <c r="Q648" t="s">
        <v>61</v>
      </c>
      <c r="R648">
        <v>9999658044892630</v>
      </c>
      <c r="S648">
        <v>99998215</v>
      </c>
      <c r="T648">
        <v>9999658044892630</v>
      </c>
      <c r="U648">
        <v>99998215</v>
      </c>
      <c r="V648" t="s">
        <v>71</v>
      </c>
      <c r="W648">
        <v>7</v>
      </c>
      <c r="X648">
        <v>12800461</v>
      </c>
      <c r="Y648">
        <v>113625535</v>
      </c>
      <c r="Z648">
        <v>126425996</v>
      </c>
      <c r="AA648">
        <v>99998215</v>
      </c>
      <c r="AB648">
        <v>9.8766800000000003</v>
      </c>
      <c r="AC648">
        <v>0.88006799999999996</v>
      </c>
      <c r="AD648">
        <v>1.7909600000000001</v>
      </c>
      <c r="AE648">
        <v>4.0365700000000002</v>
      </c>
      <c r="AF648">
        <v>2842899424</v>
      </c>
      <c r="AG648" t="s">
        <v>1255</v>
      </c>
      <c r="AH648" t="s">
        <v>1255</v>
      </c>
      <c r="AJ648">
        <v>4914</v>
      </c>
      <c r="AM648">
        <v>796996100</v>
      </c>
      <c r="AN648">
        <v>0</v>
      </c>
      <c r="AO648">
        <v>8052022</v>
      </c>
      <c r="AP648">
        <v>796996100</v>
      </c>
      <c r="AQ648">
        <v>805048122</v>
      </c>
      <c r="AR648">
        <v>199249025</v>
      </c>
      <c r="AS648">
        <v>0</v>
      </c>
      <c r="AT648">
        <v>2013005</v>
      </c>
      <c r="AU648">
        <v>199249025</v>
      </c>
      <c r="AV648">
        <v>201262030</v>
      </c>
      <c r="AW648">
        <v>19.091100000000001</v>
      </c>
      <c r="AX648">
        <v>9.0394000000000005</v>
      </c>
      <c r="AY648">
        <v>2624.96</v>
      </c>
      <c r="AZ648">
        <v>1889.41</v>
      </c>
      <c r="BA648">
        <v>7567</v>
      </c>
      <c r="BB648">
        <v>1184</v>
      </c>
      <c r="BC648" t="str">
        <f t="shared" si="20"/>
        <v>u=1%, k=2x10^8</v>
      </c>
      <c r="BD648">
        <f t="shared" si="21"/>
        <v>4</v>
      </c>
    </row>
    <row r="649" spans="1:56">
      <c r="A649" t="s">
        <v>1256</v>
      </c>
      <c r="B649" t="s">
        <v>63</v>
      </c>
      <c r="C649">
        <v>72</v>
      </c>
      <c r="D649" t="s">
        <v>64</v>
      </c>
      <c r="E649" t="s">
        <v>59</v>
      </c>
      <c r="F649" t="s">
        <v>60</v>
      </c>
      <c r="G649">
        <v>8000</v>
      </c>
      <c r="H649">
        <v>0.5</v>
      </c>
      <c r="I649">
        <v>0.5</v>
      </c>
      <c r="J649">
        <v>0</v>
      </c>
      <c r="K649">
        <v>1</v>
      </c>
      <c r="L649">
        <v>200000000</v>
      </c>
      <c r="M649">
        <v>190</v>
      </c>
      <c r="N649">
        <v>190</v>
      </c>
      <c r="O649">
        <v>190</v>
      </c>
      <c r="P649">
        <v>0</v>
      </c>
      <c r="Q649" t="s">
        <v>61</v>
      </c>
      <c r="R649">
        <v>9999865592063200</v>
      </c>
      <c r="S649">
        <v>99996087</v>
      </c>
      <c r="T649">
        <v>9999865592063200</v>
      </c>
      <c r="U649">
        <v>99996087</v>
      </c>
      <c r="V649" t="s">
        <v>71</v>
      </c>
      <c r="W649">
        <v>7</v>
      </c>
      <c r="X649">
        <v>13989437</v>
      </c>
      <c r="Y649">
        <v>116118824</v>
      </c>
      <c r="Z649">
        <v>130108261</v>
      </c>
      <c r="AA649">
        <v>99996087</v>
      </c>
      <c r="AB649">
        <v>9.3004599999999993</v>
      </c>
      <c r="AC649">
        <v>0.86115299999999995</v>
      </c>
      <c r="AD649">
        <v>1.7685599999999999</v>
      </c>
      <c r="AE649">
        <v>4.0616099999999999</v>
      </c>
      <c r="AF649">
        <v>2979304752</v>
      </c>
      <c r="AG649" t="s">
        <v>1257</v>
      </c>
      <c r="AH649" t="s">
        <v>1257</v>
      </c>
      <c r="AJ649">
        <v>9748</v>
      </c>
      <c r="AM649">
        <v>1584152198</v>
      </c>
      <c r="AN649">
        <v>0</v>
      </c>
      <c r="AO649">
        <v>16000852</v>
      </c>
      <c r="AP649">
        <v>1584152198</v>
      </c>
      <c r="AQ649">
        <v>1600153050</v>
      </c>
      <c r="AR649">
        <v>198019024</v>
      </c>
      <c r="AS649">
        <v>0</v>
      </c>
      <c r="AT649">
        <v>2000106</v>
      </c>
      <c r="AU649">
        <v>198019024</v>
      </c>
      <c r="AV649">
        <v>200019131</v>
      </c>
      <c r="AW649">
        <v>19.241099999999999</v>
      </c>
      <c r="AX649">
        <v>9.23902</v>
      </c>
      <c r="AY649">
        <v>2641.02</v>
      </c>
      <c r="AZ649">
        <v>1905.78</v>
      </c>
      <c r="BA649">
        <v>7755</v>
      </c>
      <c r="BB649">
        <v>1093</v>
      </c>
      <c r="BC649" t="str">
        <f t="shared" si="20"/>
        <v>u=1%, k=2x10^8</v>
      </c>
      <c r="BD649">
        <f t="shared" si="21"/>
        <v>8</v>
      </c>
    </row>
    <row r="650" spans="1:56">
      <c r="A650" t="s">
        <v>1258</v>
      </c>
      <c r="B650" t="s">
        <v>63</v>
      </c>
      <c r="C650">
        <v>72</v>
      </c>
      <c r="D650" t="s">
        <v>64</v>
      </c>
      <c r="E650" t="s">
        <v>59</v>
      </c>
      <c r="F650" t="s">
        <v>60</v>
      </c>
      <c r="G650">
        <v>16000</v>
      </c>
      <c r="H650">
        <v>0.5</v>
      </c>
      <c r="I650">
        <v>0.5</v>
      </c>
      <c r="J650">
        <v>0</v>
      </c>
      <c r="K650">
        <v>1</v>
      </c>
      <c r="L650">
        <v>200000000</v>
      </c>
      <c r="M650">
        <v>190</v>
      </c>
      <c r="N650">
        <v>190</v>
      </c>
      <c r="O650">
        <v>190</v>
      </c>
      <c r="P650">
        <v>0</v>
      </c>
      <c r="Q650" t="s">
        <v>61</v>
      </c>
      <c r="R650">
        <v>9999908409584080</v>
      </c>
      <c r="S650">
        <v>99998151</v>
      </c>
      <c r="T650">
        <v>9999908409584080</v>
      </c>
      <c r="U650">
        <v>99998151</v>
      </c>
      <c r="V650" t="s">
        <v>71</v>
      </c>
      <c r="W650">
        <v>7</v>
      </c>
      <c r="X650">
        <v>14945871</v>
      </c>
      <c r="Y650">
        <v>118265226</v>
      </c>
      <c r="Z650">
        <v>133211097</v>
      </c>
      <c r="AA650">
        <v>99998151</v>
      </c>
      <c r="AB650">
        <v>8.9129000000000005</v>
      </c>
      <c r="AC650">
        <v>0.84554099999999999</v>
      </c>
      <c r="AD650">
        <v>1.7506699999999999</v>
      </c>
      <c r="AE650">
        <v>4.0821399999999999</v>
      </c>
      <c r="AF650">
        <v>3092148288</v>
      </c>
      <c r="AG650" t="s">
        <v>1259</v>
      </c>
      <c r="AH650" t="s">
        <v>1260</v>
      </c>
      <c r="AI650">
        <v>1</v>
      </c>
      <c r="AJ650">
        <v>19132</v>
      </c>
      <c r="AM650">
        <v>3117874915</v>
      </c>
      <c r="AN650">
        <v>0</v>
      </c>
      <c r="AO650">
        <v>31491006</v>
      </c>
      <c r="AP650">
        <v>3117874915</v>
      </c>
      <c r="AQ650">
        <v>3149365921</v>
      </c>
      <c r="AR650">
        <v>194867182</v>
      </c>
      <c r="AS650">
        <v>0</v>
      </c>
      <c r="AT650">
        <v>1968187</v>
      </c>
      <c r="AU650">
        <v>194867182</v>
      </c>
      <c r="AV650">
        <v>196835370</v>
      </c>
      <c r="AW650">
        <v>19.299199999999999</v>
      </c>
      <c r="AX650">
        <v>9.4741499999999998</v>
      </c>
      <c r="AY650">
        <v>2682.96</v>
      </c>
      <c r="AZ650">
        <v>1936.2</v>
      </c>
      <c r="BA650">
        <v>8099</v>
      </c>
      <c r="BB650">
        <v>1119</v>
      </c>
      <c r="BC650" t="str">
        <f t="shared" si="20"/>
        <v>u=1%, k=2x10^8</v>
      </c>
      <c r="BD650">
        <f t="shared" si="21"/>
        <v>16</v>
      </c>
    </row>
    <row r="651" spans="1:56">
      <c r="A651" t="s">
        <v>1261</v>
      </c>
      <c r="B651" t="s">
        <v>63</v>
      </c>
      <c r="C651">
        <v>72</v>
      </c>
      <c r="D651" t="s">
        <v>64</v>
      </c>
      <c r="E651" t="s">
        <v>59</v>
      </c>
      <c r="F651" t="s">
        <v>60</v>
      </c>
      <c r="G651">
        <v>32000</v>
      </c>
      <c r="H651">
        <v>0.5</v>
      </c>
      <c r="I651">
        <v>0.5</v>
      </c>
      <c r="J651">
        <v>0</v>
      </c>
      <c r="K651">
        <v>1</v>
      </c>
      <c r="L651">
        <v>200000000</v>
      </c>
      <c r="M651">
        <v>190</v>
      </c>
      <c r="N651">
        <v>190</v>
      </c>
      <c r="O651">
        <v>190</v>
      </c>
      <c r="P651">
        <v>0</v>
      </c>
      <c r="Q651" t="s">
        <v>61</v>
      </c>
      <c r="R651">
        <v>1.00006109750557E+16</v>
      </c>
      <c r="S651">
        <v>100002983</v>
      </c>
      <c r="T651">
        <v>1.00006109750557E+16</v>
      </c>
      <c r="U651">
        <v>100002983</v>
      </c>
      <c r="V651" t="s">
        <v>71</v>
      </c>
      <c r="W651">
        <v>7</v>
      </c>
      <c r="X651">
        <v>13329356</v>
      </c>
      <c r="Y651">
        <v>114723631</v>
      </c>
      <c r="Z651">
        <v>128052987</v>
      </c>
      <c r="AA651">
        <v>100002983</v>
      </c>
      <c r="AB651">
        <v>9.60684</v>
      </c>
      <c r="AC651">
        <v>0.87168599999999996</v>
      </c>
      <c r="AD651">
        <v>1.78095</v>
      </c>
      <c r="AE651">
        <v>4.0476299999999998</v>
      </c>
      <c r="AF651">
        <v>2903312592</v>
      </c>
      <c r="AG651" t="s">
        <v>1262</v>
      </c>
      <c r="AH651" t="s">
        <v>1263</v>
      </c>
      <c r="AI651">
        <v>4566</v>
      </c>
      <c r="AJ651">
        <v>34552</v>
      </c>
      <c r="AM651">
        <v>6049173818</v>
      </c>
      <c r="AN651">
        <v>0</v>
      </c>
      <c r="AO651">
        <v>61105154</v>
      </c>
      <c r="AP651">
        <v>6049173818</v>
      </c>
      <c r="AQ651">
        <v>6110278972</v>
      </c>
      <c r="AR651">
        <v>189036681</v>
      </c>
      <c r="AS651">
        <v>0</v>
      </c>
      <c r="AT651">
        <v>1909536</v>
      </c>
      <c r="AU651">
        <v>189036681</v>
      </c>
      <c r="AV651">
        <v>190946217</v>
      </c>
      <c r="AW651">
        <v>19.398299999999999</v>
      </c>
      <c r="AX651">
        <v>9.5637399999999992</v>
      </c>
      <c r="AY651">
        <v>2716.15</v>
      </c>
      <c r="AZ651">
        <v>1969.77</v>
      </c>
      <c r="BA651">
        <v>13344</v>
      </c>
      <c r="BB651">
        <v>1130</v>
      </c>
      <c r="BC651" t="str">
        <f t="shared" si="20"/>
        <v>u=1%, k=2x10^8</v>
      </c>
      <c r="BD651">
        <f t="shared" si="21"/>
        <v>32</v>
      </c>
    </row>
    <row r="652" spans="1:56">
      <c r="A652" t="s">
        <v>1264</v>
      </c>
      <c r="B652" t="s">
        <v>63</v>
      </c>
      <c r="C652">
        <v>72</v>
      </c>
      <c r="D652" t="s">
        <v>64</v>
      </c>
      <c r="E652" t="s">
        <v>59</v>
      </c>
      <c r="F652" t="s">
        <v>60</v>
      </c>
      <c r="G652">
        <v>64000</v>
      </c>
      <c r="H652">
        <v>0.5</v>
      </c>
      <c r="I652">
        <v>0.5</v>
      </c>
      <c r="J652">
        <v>0</v>
      </c>
      <c r="K652">
        <v>1</v>
      </c>
      <c r="L652">
        <v>200000000</v>
      </c>
      <c r="M652">
        <v>190</v>
      </c>
      <c r="N652">
        <v>190</v>
      </c>
      <c r="O652">
        <v>190</v>
      </c>
      <c r="P652">
        <v>0</v>
      </c>
      <c r="Q652" t="s">
        <v>61</v>
      </c>
      <c r="R652">
        <v>1.00003204030278E+16</v>
      </c>
      <c r="S652">
        <v>100000833</v>
      </c>
      <c r="T652">
        <v>1.00003204030278E+16</v>
      </c>
      <c r="U652">
        <v>100000833</v>
      </c>
      <c r="V652" t="s">
        <v>71</v>
      </c>
      <c r="W652">
        <v>7</v>
      </c>
      <c r="X652">
        <v>14509615</v>
      </c>
      <c r="Y652">
        <v>117252856</v>
      </c>
      <c r="Z652">
        <v>131762471</v>
      </c>
      <c r="AA652">
        <v>100000833</v>
      </c>
      <c r="AB652">
        <v>9.0810499999999994</v>
      </c>
      <c r="AC652">
        <v>0.85286499999999998</v>
      </c>
      <c r="AD652">
        <v>1.75895</v>
      </c>
      <c r="AE652">
        <v>4.0727799999999998</v>
      </c>
      <c r="AF652">
        <v>3039934080</v>
      </c>
      <c r="AG652" t="s">
        <v>1265</v>
      </c>
      <c r="AH652" t="s">
        <v>1266</v>
      </c>
      <c r="AI652">
        <v>8820</v>
      </c>
      <c r="AJ652">
        <v>63218</v>
      </c>
      <c r="AM652">
        <v>12025135279</v>
      </c>
      <c r="AN652">
        <v>0</v>
      </c>
      <c r="AO652">
        <v>121465935</v>
      </c>
      <c r="AP652">
        <v>12025135279</v>
      </c>
      <c r="AQ652">
        <v>12146601214</v>
      </c>
      <c r="AR652">
        <v>187892738</v>
      </c>
      <c r="AS652">
        <v>0</v>
      </c>
      <c r="AT652">
        <v>1897905</v>
      </c>
      <c r="AU652">
        <v>187892738</v>
      </c>
      <c r="AV652">
        <v>189790643</v>
      </c>
      <c r="AW652">
        <v>19.433499999999999</v>
      </c>
      <c r="AX652">
        <v>9.6298100000000009</v>
      </c>
      <c r="AY652">
        <v>2734.49</v>
      </c>
      <c r="AZ652">
        <v>1986.14</v>
      </c>
      <c r="BA652">
        <v>13841</v>
      </c>
      <c r="BB652">
        <v>1140</v>
      </c>
      <c r="BC652" t="str">
        <f t="shared" si="20"/>
        <v>u=1%, k=2x10^8</v>
      </c>
      <c r="BD652">
        <f t="shared" si="21"/>
        <v>64</v>
      </c>
    </row>
    <row r="653" spans="1:56">
      <c r="A653" t="s">
        <v>1267</v>
      </c>
      <c r="B653" t="s">
        <v>300</v>
      </c>
      <c r="C653">
        <v>208</v>
      </c>
      <c r="D653" t="s">
        <v>64</v>
      </c>
      <c r="E653" t="s">
        <v>59</v>
      </c>
      <c r="F653" t="s">
        <v>60</v>
      </c>
      <c r="G653">
        <v>1000</v>
      </c>
      <c r="H653">
        <v>0.5</v>
      </c>
      <c r="I653">
        <v>0.5</v>
      </c>
      <c r="J653">
        <v>0</v>
      </c>
      <c r="K653">
        <v>1</v>
      </c>
      <c r="L653">
        <v>200000000</v>
      </c>
      <c r="M653">
        <v>190</v>
      </c>
      <c r="N653">
        <v>190</v>
      </c>
      <c r="O653">
        <v>190</v>
      </c>
      <c r="P653">
        <v>0</v>
      </c>
      <c r="Q653" t="s">
        <v>61</v>
      </c>
      <c r="R653">
        <v>1.00004765996291E+16</v>
      </c>
      <c r="S653">
        <v>100000777</v>
      </c>
      <c r="T653">
        <v>1.00004765996291E+16</v>
      </c>
      <c r="U653">
        <v>100000777</v>
      </c>
      <c r="V653" t="s">
        <v>71</v>
      </c>
      <c r="W653">
        <v>10</v>
      </c>
      <c r="X653">
        <v>1861211</v>
      </c>
      <c r="Y653">
        <v>12804376</v>
      </c>
      <c r="Z653">
        <v>14665587</v>
      </c>
      <c r="AA653">
        <v>100000777</v>
      </c>
      <c r="AB653">
        <v>7.8795900000000003</v>
      </c>
      <c r="AC653">
        <v>7.8098900000000002</v>
      </c>
      <c r="AD653">
        <v>7.81874</v>
      </c>
      <c r="AE653">
        <v>9</v>
      </c>
      <c r="AF653">
        <v>3050442096</v>
      </c>
      <c r="AJ653" t="s">
        <v>1268</v>
      </c>
      <c r="AM653">
        <v>151928308</v>
      </c>
      <c r="AN653">
        <v>0</v>
      </c>
      <c r="AO653">
        <v>1537453</v>
      </c>
      <c r="AP653">
        <v>151928308</v>
      </c>
      <c r="AQ653">
        <v>153465761</v>
      </c>
      <c r="AR653">
        <v>151928308</v>
      </c>
      <c r="AS653">
        <v>0</v>
      </c>
      <c r="AT653">
        <v>1537453</v>
      </c>
      <c r="AU653">
        <v>151928308</v>
      </c>
      <c r="AV653">
        <v>153465761</v>
      </c>
      <c r="AW653">
        <v>23.714400000000001</v>
      </c>
      <c r="AX653">
        <v>10.3771</v>
      </c>
      <c r="AY653">
        <v>3430.69</v>
      </c>
      <c r="AZ653">
        <v>2451.81</v>
      </c>
      <c r="BA653">
        <v>5127</v>
      </c>
      <c r="BB653">
        <v>6042</v>
      </c>
      <c r="BC653" t="str">
        <f t="shared" si="20"/>
        <v>u=1%, k=2x10^8</v>
      </c>
      <c r="BD653">
        <f t="shared" si="21"/>
        <v>1</v>
      </c>
    </row>
    <row r="654" spans="1:56">
      <c r="A654" t="s">
        <v>1269</v>
      </c>
      <c r="B654" t="s">
        <v>300</v>
      </c>
      <c r="C654">
        <v>208</v>
      </c>
      <c r="D654" t="s">
        <v>64</v>
      </c>
      <c r="E654" t="s">
        <v>59</v>
      </c>
      <c r="F654" t="s">
        <v>60</v>
      </c>
      <c r="G654">
        <v>2000</v>
      </c>
      <c r="H654">
        <v>0.5</v>
      </c>
      <c r="I654">
        <v>0.5</v>
      </c>
      <c r="J654">
        <v>0</v>
      </c>
      <c r="K654">
        <v>1</v>
      </c>
      <c r="L654">
        <v>200000000</v>
      </c>
      <c r="M654">
        <v>190</v>
      </c>
      <c r="N654">
        <v>190</v>
      </c>
      <c r="O654">
        <v>190</v>
      </c>
      <c r="P654">
        <v>0</v>
      </c>
      <c r="Q654" t="s">
        <v>61</v>
      </c>
      <c r="R654">
        <v>1.00001229282436E+16</v>
      </c>
      <c r="S654">
        <v>100001407</v>
      </c>
      <c r="T654">
        <v>1.00001229282436E+16</v>
      </c>
      <c r="U654">
        <v>100001407</v>
      </c>
      <c r="V654" t="s">
        <v>71</v>
      </c>
      <c r="W654">
        <v>10</v>
      </c>
      <c r="X654">
        <v>1867863</v>
      </c>
      <c r="Y654">
        <v>12852745</v>
      </c>
      <c r="Z654">
        <v>14720608</v>
      </c>
      <c r="AA654">
        <v>100001407</v>
      </c>
      <c r="AB654">
        <v>7.8809899999999997</v>
      </c>
      <c r="AC654">
        <v>7.7805499999999999</v>
      </c>
      <c r="AD654">
        <v>7.7932899999999998</v>
      </c>
      <c r="AE654">
        <v>9</v>
      </c>
      <c r="AF654">
        <v>3061886464</v>
      </c>
      <c r="AJ654" t="s">
        <v>1270</v>
      </c>
      <c r="AM654">
        <v>306447703</v>
      </c>
      <c r="AN654">
        <v>0</v>
      </c>
      <c r="AO654">
        <v>3093495</v>
      </c>
      <c r="AP654">
        <v>306447703</v>
      </c>
      <c r="AQ654">
        <v>309541198</v>
      </c>
      <c r="AR654">
        <v>153223851</v>
      </c>
      <c r="AS654">
        <v>0</v>
      </c>
      <c r="AT654">
        <v>1546747</v>
      </c>
      <c r="AU654">
        <v>153223851</v>
      </c>
      <c r="AV654">
        <v>154770599</v>
      </c>
      <c r="AW654">
        <v>23.662700000000001</v>
      </c>
      <c r="AX654">
        <v>10.4826</v>
      </c>
      <c r="AY654">
        <v>3408.71</v>
      </c>
      <c r="AZ654">
        <v>2432.9299999999998</v>
      </c>
      <c r="BA654">
        <v>5154</v>
      </c>
      <c r="BB654">
        <v>6029</v>
      </c>
      <c r="BC654" t="str">
        <f t="shared" si="20"/>
        <v>u=1%, k=2x10^8</v>
      </c>
      <c r="BD654">
        <f t="shared" si="21"/>
        <v>2</v>
      </c>
    </row>
    <row r="655" spans="1:56">
      <c r="A655" t="s">
        <v>1271</v>
      </c>
      <c r="B655" t="s">
        <v>300</v>
      </c>
      <c r="C655">
        <v>208</v>
      </c>
      <c r="D655" t="s">
        <v>64</v>
      </c>
      <c r="E655" t="s">
        <v>59</v>
      </c>
      <c r="F655" t="s">
        <v>60</v>
      </c>
      <c r="G655">
        <v>4000</v>
      </c>
      <c r="H655">
        <v>0.5</v>
      </c>
      <c r="I655">
        <v>0.5</v>
      </c>
      <c r="J655">
        <v>0</v>
      </c>
      <c r="K655">
        <v>1</v>
      </c>
      <c r="L655">
        <v>200000000</v>
      </c>
      <c r="M655">
        <v>190</v>
      </c>
      <c r="N655">
        <v>190</v>
      </c>
      <c r="O655">
        <v>190</v>
      </c>
      <c r="P655">
        <v>0</v>
      </c>
      <c r="Q655" t="s">
        <v>61</v>
      </c>
      <c r="R655">
        <v>1.00001097974985E+16</v>
      </c>
      <c r="S655">
        <v>99998957</v>
      </c>
      <c r="T655">
        <v>1.00001097974985E+16</v>
      </c>
      <c r="U655">
        <v>99998957</v>
      </c>
      <c r="V655" t="s">
        <v>71</v>
      </c>
      <c r="W655">
        <v>10</v>
      </c>
      <c r="X655">
        <v>1880611</v>
      </c>
      <c r="Y655">
        <v>12939035</v>
      </c>
      <c r="Z655">
        <v>14819646</v>
      </c>
      <c r="AA655">
        <v>99998957</v>
      </c>
      <c r="AB655">
        <v>7.8802300000000001</v>
      </c>
      <c r="AC655">
        <v>7.7284699999999997</v>
      </c>
      <c r="AD655">
        <v>7.7477299999999998</v>
      </c>
      <c r="AE655">
        <v>9</v>
      </c>
      <c r="AF655">
        <v>3082486368</v>
      </c>
      <c r="AJ655" t="s">
        <v>1272</v>
      </c>
      <c r="AM655">
        <v>614390686</v>
      </c>
      <c r="AN655">
        <v>0</v>
      </c>
      <c r="AO655">
        <v>6209270</v>
      </c>
      <c r="AP655">
        <v>614390686</v>
      </c>
      <c r="AQ655">
        <v>620599956</v>
      </c>
      <c r="AR655">
        <v>153597671</v>
      </c>
      <c r="AS655">
        <v>0</v>
      </c>
      <c r="AT655">
        <v>1552317</v>
      </c>
      <c r="AU655">
        <v>153597671</v>
      </c>
      <c r="AV655">
        <v>155149989</v>
      </c>
      <c r="AW655">
        <v>23.617999999999999</v>
      </c>
      <c r="AX655">
        <v>10.5236</v>
      </c>
      <c r="AY655">
        <v>3402.47</v>
      </c>
      <c r="AZ655">
        <v>2432.37</v>
      </c>
      <c r="BA655">
        <v>5162</v>
      </c>
      <c r="BB655">
        <v>5983</v>
      </c>
      <c r="BC655" t="str">
        <f t="shared" si="20"/>
        <v>u=1%, k=2x10^8</v>
      </c>
      <c r="BD655">
        <f t="shared" si="21"/>
        <v>4</v>
      </c>
    </row>
    <row r="656" spans="1:56">
      <c r="A656" t="s">
        <v>1273</v>
      </c>
      <c r="B656" t="s">
        <v>300</v>
      </c>
      <c r="C656">
        <v>208</v>
      </c>
      <c r="D656" t="s">
        <v>64</v>
      </c>
      <c r="E656" t="s">
        <v>59</v>
      </c>
      <c r="F656" t="s">
        <v>60</v>
      </c>
      <c r="G656">
        <v>8000</v>
      </c>
      <c r="H656">
        <v>0.5</v>
      </c>
      <c r="I656">
        <v>0.5</v>
      </c>
      <c r="J656">
        <v>0</v>
      </c>
      <c r="K656">
        <v>1</v>
      </c>
      <c r="L656">
        <v>200000000</v>
      </c>
      <c r="M656">
        <v>190</v>
      </c>
      <c r="N656">
        <v>190</v>
      </c>
      <c r="O656">
        <v>190</v>
      </c>
      <c r="P656">
        <v>0</v>
      </c>
      <c r="Q656" t="s">
        <v>61</v>
      </c>
      <c r="R656">
        <v>1.00002791062504E+16</v>
      </c>
      <c r="S656">
        <v>100001999</v>
      </c>
      <c r="T656">
        <v>1.00002791062504E+16</v>
      </c>
      <c r="U656">
        <v>100001999</v>
      </c>
      <c r="V656" t="s">
        <v>71</v>
      </c>
      <c r="W656">
        <v>10</v>
      </c>
      <c r="X656">
        <v>1903530</v>
      </c>
      <c r="Y656">
        <v>13095647</v>
      </c>
      <c r="Z656">
        <v>14999177</v>
      </c>
      <c r="AA656">
        <v>100001999</v>
      </c>
      <c r="AB656">
        <v>7.8796600000000003</v>
      </c>
      <c r="AC656">
        <v>7.6362800000000002</v>
      </c>
      <c r="AD656">
        <v>7.6671699999999996</v>
      </c>
      <c r="AE656">
        <v>9</v>
      </c>
      <c r="AF656">
        <v>3119828816</v>
      </c>
      <c r="AJ656" t="s">
        <v>1274</v>
      </c>
      <c r="AM656">
        <v>1228828694</v>
      </c>
      <c r="AN656">
        <v>0</v>
      </c>
      <c r="AO656">
        <v>12410820</v>
      </c>
      <c r="AP656">
        <v>1228828694</v>
      </c>
      <c r="AQ656">
        <v>1241239514</v>
      </c>
      <c r="AR656">
        <v>153603586</v>
      </c>
      <c r="AS656">
        <v>0</v>
      </c>
      <c r="AT656">
        <v>1551352</v>
      </c>
      <c r="AU656">
        <v>153603586</v>
      </c>
      <c r="AV656">
        <v>155154939</v>
      </c>
      <c r="AW656">
        <v>23.668199999999999</v>
      </c>
      <c r="AX656">
        <v>10.607100000000001</v>
      </c>
      <c r="AY656">
        <v>3401.95</v>
      </c>
      <c r="AZ656">
        <v>2426.13</v>
      </c>
      <c r="BA656">
        <v>5200</v>
      </c>
      <c r="BB656">
        <v>5996</v>
      </c>
      <c r="BC656" t="str">
        <f t="shared" si="20"/>
        <v>u=1%, k=2x10^8</v>
      </c>
      <c r="BD656">
        <f t="shared" si="21"/>
        <v>8</v>
      </c>
    </row>
    <row r="657" spans="1:56">
      <c r="A657" t="s">
        <v>1275</v>
      </c>
      <c r="B657" t="s">
        <v>300</v>
      </c>
      <c r="C657">
        <v>208</v>
      </c>
      <c r="D657" t="s">
        <v>64</v>
      </c>
      <c r="E657" t="s">
        <v>59</v>
      </c>
      <c r="F657" t="s">
        <v>60</v>
      </c>
      <c r="G657">
        <v>16000</v>
      </c>
      <c r="H657">
        <v>0.5</v>
      </c>
      <c r="I657">
        <v>0.5</v>
      </c>
      <c r="J657">
        <v>0</v>
      </c>
      <c r="K657">
        <v>1</v>
      </c>
      <c r="L657">
        <v>200000000</v>
      </c>
      <c r="M657">
        <v>190</v>
      </c>
      <c r="N657">
        <v>190</v>
      </c>
      <c r="O657">
        <v>190</v>
      </c>
      <c r="P657">
        <v>0</v>
      </c>
      <c r="Q657" t="s">
        <v>61</v>
      </c>
      <c r="R657">
        <v>1.00001571508868E+16</v>
      </c>
      <c r="S657">
        <v>99995990</v>
      </c>
      <c r="T657">
        <v>1.00001571508868E+16</v>
      </c>
      <c r="U657">
        <v>99995990</v>
      </c>
      <c r="V657" t="s">
        <v>71</v>
      </c>
      <c r="W657">
        <v>10</v>
      </c>
      <c r="X657">
        <v>1941719</v>
      </c>
      <c r="Y657">
        <v>13355272</v>
      </c>
      <c r="Z657">
        <v>15296991</v>
      </c>
      <c r="AA657">
        <v>99995990</v>
      </c>
      <c r="AB657">
        <v>7.8780700000000001</v>
      </c>
      <c r="AC657">
        <v>7.4873799999999999</v>
      </c>
      <c r="AD657">
        <v>7.5369700000000002</v>
      </c>
      <c r="AE657">
        <v>9</v>
      </c>
      <c r="AF657">
        <v>3181774128</v>
      </c>
      <c r="AJ657" t="s">
        <v>1276</v>
      </c>
      <c r="AM657">
        <v>2453444501</v>
      </c>
      <c r="AN657">
        <v>0</v>
      </c>
      <c r="AO657">
        <v>24778897</v>
      </c>
      <c r="AP657">
        <v>2453444501</v>
      </c>
      <c r="AQ657">
        <v>2478223398</v>
      </c>
      <c r="AR657">
        <v>153340281</v>
      </c>
      <c r="AS657">
        <v>0</v>
      </c>
      <c r="AT657">
        <v>1548681</v>
      </c>
      <c r="AU657">
        <v>153340281</v>
      </c>
      <c r="AV657">
        <v>154888962</v>
      </c>
      <c r="AW657">
        <v>23.678999999999998</v>
      </c>
      <c r="AX657">
        <v>10.6602</v>
      </c>
      <c r="AY657">
        <v>3408.19</v>
      </c>
      <c r="AZ657">
        <v>2434.2399999999998</v>
      </c>
      <c r="BA657">
        <v>5263</v>
      </c>
      <c r="BB657">
        <v>6043</v>
      </c>
      <c r="BC657" t="str">
        <f t="shared" si="20"/>
        <v>u=1%, k=2x10^8</v>
      </c>
      <c r="BD657">
        <f t="shared" si="21"/>
        <v>16</v>
      </c>
    </row>
    <row r="658" spans="1:56">
      <c r="A658" t="s">
        <v>1277</v>
      </c>
      <c r="B658" t="s">
        <v>300</v>
      </c>
      <c r="C658">
        <v>208</v>
      </c>
      <c r="D658" t="s">
        <v>64</v>
      </c>
      <c r="E658" t="s">
        <v>59</v>
      </c>
      <c r="F658" t="s">
        <v>60</v>
      </c>
      <c r="G658">
        <v>32000</v>
      </c>
      <c r="H658">
        <v>0.5</v>
      </c>
      <c r="I658">
        <v>0.5</v>
      </c>
      <c r="J658">
        <v>0</v>
      </c>
      <c r="K658">
        <v>1</v>
      </c>
      <c r="L658">
        <v>200000000</v>
      </c>
      <c r="M658">
        <v>190</v>
      </c>
      <c r="N658">
        <v>190</v>
      </c>
      <c r="O658">
        <v>190</v>
      </c>
      <c r="P658">
        <v>0</v>
      </c>
      <c r="Q658" t="s">
        <v>61</v>
      </c>
      <c r="R658">
        <v>9999512700930760</v>
      </c>
      <c r="S658">
        <v>100001208</v>
      </c>
      <c r="T658">
        <v>9999512700930760</v>
      </c>
      <c r="U658">
        <v>100001208</v>
      </c>
      <c r="V658" t="s">
        <v>71</v>
      </c>
      <c r="W658">
        <v>10</v>
      </c>
      <c r="X658">
        <v>2002005</v>
      </c>
      <c r="Y658">
        <v>13768854</v>
      </c>
      <c r="Z658">
        <v>15770859</v>
      </c>
      <c r="AA658">
        <v>100001208</v>
      </c>
      <c r="AB658">
        <v>7.8775300000000001</v>
      </c>
      <c r="AC658">
        <v>7.2628599999999999</v>
      </c>
      <c r="AD658">
        <v>7.3408899999999999</v>
      </c>
      <c r="AE658">
        <v>9</v>
      </c>
      <c r="AF658">
        <v>3280338672</v>
      </c>
      <c r="AJ658" t="s">
        <v>1278</v>
      </c>
      <c r="AM658">
        <v>4931223259</v>
      </c>
      <c r="AN658">
        <v>0</v>
      </c>
      <c r="AO658">
        <v>49800800</v>
      </c>
      <c r="AP658">
        <v>4931223259</v>
      </c>
      <c r="AQ658">
        <v>4981024059</v>
      </c>
      <c r="AR658">
        <v>154100726</v>
      </c>
      <c r="AS658">
        <v>0</v>
      </c>
      <c r="AT658">
        <v>1556275</v>
      </c>
      <c r="AU658">
        <v>154100726</v>
      </c>
      <c r="AV658">
        <v>155657001</v>
      </c>
      <c r="AW658">
        <v>23.744499999999999</v>
      </c>
      <c r="AX658">
        <v>10.7445</v>
      </c>
      <c r="AY658">
        <v>3391.38</v>
      </c>
      <c r="AZ658">
        <v>2425.9</v>
      </c>
      <c r="BA658">
        <v>5362</v>
      </c>
      <c r="BB658">
        <v>6005</v>
      </c>
      <c r="BC658" t="str">
        <f t="shared" si="20"/>
        <v>u=1%, k=2x10^8</v>
      </c>
      <c r="BD658">
        <f t="shared" si="21"/>
        <v>32</v>
      </c>
    </row>
    <row r="659" spans="1:56">
      <c r="A659" t="s">
        <v>1279</v>
      </c>
      <c r="B659" t="s">
        <v>300</v>
      </c>
      <c r="C659">
        <v>208</v>
      </c>
      <c r="D659" t="s">
        <v>64</v>
      </c>
      <c r="E659" t="s">
        <v>59</v>
      </c>
      <c r="F659" t="s">
        <v>60</v>
      </c>
      <c r="G659">
        <v>64000</v>
      </c>
      <c r="H659">
        <v>0.5</v>
      </c>
      <c r="I659">
        <v>0.5</v>
      </c>
      <c r="J659">
        <v>0</v>
      </c>
      <c r="K659">
        <v>1</v>
      </c>
      <c r="L659">
        <v>200000000</v>
      </c>
      <c r="M659">
        <v>190</v>
      </c>
      <c r="N659">
        <v>190</v>
      </c>
      <c r="O659">
        <v>190</v>
      </c>
      <c r="P659">
        <v>0</v>
      </c>
      <c r="Q659" t="s">
        <v>61</v>
      </c>
      <c r="R659">
        <v>9998535702890330</v>
      </c>
      <c r="S659">
        <v>99990398</v>
      </c>
      <c r="T659">
        <v>9998535702890330</v>
      </c>
      <c r="U659">
        <v>99990398</v>
      </c>
      <c r="V659" t="s">
        <v>71</v>
      </c>
      <c r="W659">
        <v>10</v>
      </c>
      <c r="X659">
        <v>2088251</v>
      </c>
      <c r="Y659">
        <v>14367972</v>
      </c>
      <c r="Z659">
        <v>16456223</v>
      </c>
      <c r="AA659">
        <v>99990398</v>
      </c>
      <c r="AB659">
        <v>7.8803900000000002</v>
      </c>
      <c r="AC659">
        <v>6.9592599999999996</v>
      </c>
      <c r="AD659">
        <v>7.0761500000000002</v>
      </c>
      <c r="AE659">
        <v>9</v>
      </c>
      <c r="AF659">
        <v>3422894384</v>
      </c>
      <c r="AJ659" t="s">
        <v>1280</v>
      </c>
      <c r="AM659">
        <v>9814147443</v>
      </c>
      <c r="AN659">
        <v>0</v>
      </c>
      <c r="AO659">
        <v>99128746</v>
      </c>
      <c r="AP659">
        <v>9814147443</v>
      </c>
      <c r="AQ659">
        <v>9913276189</v>
      </c>
      <c r="AR659">
        <v>153346053</v>
      </c>
      <c r="AS659">
        <v>0</v>
      </c>
      <c r="AT659">
        <v>1548886</v>
      </c>
      <c r="AU659">
        <v>153346053</v>
      </c>
      <c r="AV659">
        <v>154894940</v>
      </c>
      <c r="AW659">
        <v>23.814</v>
      </c>
      <c r="AX659">
        <v>10.861499999999999</v>
      </c>
      <c r="AY659">
        <v>3408.29</v>
      </c>
      <c r="AZ659">
        <v>2440.0300000000002</v>
      </c>
      <c r="BA659">
        <v>5525</v>
      </c>
      <c r="BB659">
        <v>6044</v>
      </c>
      <c r="BC659" t="str">
        <f t="shared" si="20"/>
        <v>u=1%, k=2x10^8</v>
      </c>
      <c r="BD659">
        <f t="shared" si="21"/>
        <v>64</v>
      </c>
    </row>
    <row r="660" spans="1:56">
      <c r="A660" t="s">
        <v>1281</v>
      </c>
      <c r="B660" t="s">
        <v>105</v>
      </c>
      <c r="D660" t="s">
        <v>64</v>
      </c>
      <c r="E660" t="s">
        <v>59</v>
      </c>
      <c r="F660" t="s">
        <v>60</v>
      </c>
      <c r="G660">
        <v>1000</v>
      </c>
      <c r="H660">
        <v>0.5</v>
      </c>
      <c r="I660">
        <v>0.5</v>
      </c>
      <c r="J660">
        <v>0</v>
      </c>
      <c r="K660">
        <v>1</v>
      </c>
      <c r="L660">
        <v>200000000</v>
      </c>
      <c r="M660">
        <v>190</v>
      </c>
      <c r="N660">
        <v>190</v>
      </c>
      <c r="O660">
        <v>190</v>
      </c>
      <c r="P660">
        <v>0</v>
      </c>
      <c r="Q660" t="s">
        <v>61</v>
      </c>
      <c r="R660">
        <v>1.00005111520937E+16</v>
      </c>
      <c r="S660">
        <v>100000875</v>
      </c>
      <c r="T660">
        <v>1.00005111520937E+16</v>
      </c>
      <c r="U660">
        <v>100000875</v>
      </c>
      <c r="V660" t="s">
        <v>71</v>
      </c>
      <c r="W660">
        <v>33</v>
      </c>
      <c r="X660">
        <v>57180472</v>
      </c>
      <c r="Y660">
        <v>42893218</v>
      </c>
      <c r="Z660">
        <v>100073690</v>
      </c>
      <c r="AA660">
        <v>100000875</v>
      </c>
      <c r="AB660">
        <v>1.75014</v>
      </c>
      <c r="AC660">
        <v>2.3313899999999999</v>
      </c>
      <c r="AD660">
        <v>1.9992700000000001</v>
      </c>
      <c r="AE660">
        <v>26.062799999999999</v>
      </c>
      <c r="AF660">
        <v>5604126640</v>
      </c>
      <c r="AJ660" t="s">
        <v>1282</v>
      </c>
      <c r="AM660">
        <v>67758390</v>
      </c>
      <c r="AN660">
        <v>0</v>
      </c>
      <c r="AO660">
        <v>683331</v>
      </c>
      <c r="AP660">
        <v>67758390</v>
      </c>
      <c r="AQ660">
        <v>68441721</v>
      </c>
      <c r="AR660">
        <v>67758390</v>
      </c>
      <c r="AS660">
        <v>0</v>
      </c>
      <c r="AT660">
        <v>683331</v>
      </c>
      <c r="AU660">
        <v>67758390</v>
      </c>
      <c r="AV660">
        <v>68441721</v>
      </c>
      <c r="AW660">
        <v>41.351999999999997</v>
      </c>
      <c r="AX660">
        <v>19.216899999999999</v>
      </c>
      <c r="AY660">
        <v>7726.84</v>
      </c>
      <c r="AZ660">
        <v>6271.27</v>
      </c>
      <c r="BA660">
        <v>7581</v>
      </c>
      <c r="BB660">
        <v>2772</v>
      </c>
      <c r="BC660" t="str">
        <f t="shared" si="20"/>
        <v>u=1%, k=2x10^8</v>
      </c>
      <c r="BD660">
        <f t="shared" si="21"/>
        <v>1</v>
      </c>
    </row>
    <row r="661" spans="1:56">
      <c r="A661" t="s">
        <v>1283</v>
      </c>
      <c r="B661" t="s">
        <v>105</v>
      </c>
      <c r="D661" t="s">
        <v>64</v>
      </c>
      <c r="E661" t="s">
        <v>59</v>
      </c>
      <c r="F661" t="s">
        <v>60</v>
      </c>
      <c r="G661">
        <v>2000</v>
      </c>
      <c r="H661">
        <v>0.5</v>
      </c>
      <c r="I661">
        <v>0.5</v>
      </c>
      <c r="J661">
        <v>0</v>
      </c>
      <c r="K661">
        <v>1</v>
      </c>
      <c r="L661">
        <v>200000000</v>
      </c>
      <c r="M661">
        <v>190</v>
      </c>
      <c r="N661">
        <v>190</v>
      </c>
      <c r="O661">
        <v>190</v>
      </c>
      <c r="P661">
        <v>0</v>
      </c>
      <c r="Q661" t="s">
        <v>61</v>
      </c>
      <c r="R661">
        <v>9999656302499060</v>
      </c>
      <c r="S661">
        <v>99999577</v>
      </c>
      <c r="T661">
        <v>9999656302499060</v>
      </c>
      <c r="U661">
        <v>99999577</v>
      </c>
      <c r="V661" t="s">
        <v>71</v>
      </c>
      <c r="W661">
        <v>33</v>
      </c>
      <c r="X661">
        <v>57223783</v>
      </c>
      <c r="Y661">
        <v>42922618</v>
      </c>
      <c r="Z661">
        <v>100146401</v>
      </c>
      <c r="AA661">
        <v>99999577</v>
      </c>
      <c r="AB661">
        <v>1.7500800000000001</v>
      </c>
      <c r="AC661">
        <v>2.3297599999999998</v>
      </c>
      <c r="AD661">
        <v>1.9985299999999999</v>
      </c>
      <c r="AE661">
        <v>26.150500000000001</v>
      </c>
      <c r="AF661">
        <v>5608198456</v>
      </c>
      <c r="AJ661" t="s">
        <v>1284</v>
      </c>
      <c r="AM661">
        <v>136233501</v>
      </c>
      <c r="AN661">
        <v>0</v>
      </c>
      <c r="AO661">
        <v>1377015</v>
      </c>
      <c r="AP661">
        <v>136233501</v>
      </c>
      <c r="AQ661">
        <v>137610516</v>
      </c>
      <c r="AR661">
        <v>68116750</v>
      </c>
      <c r="AS661">
        <v>0</v>
      </c>
      <c r="AT661">
        <v>688507</v>
      </c>
      <c r="AU661">
        <v>68116750</v>
      </c>
      <c r="AV661">
        <v>68805258</v>
      </c>
      <c r="AW661">
        <v>40.975900000000003</v>
      </c>
      <c r="AX661">
        <v>19.353400000000001</v>
      </c>
      <c r="AY661">
        <v>7688.2</v>
      </c>
      <c r="AZ661">
        <v>6227.02</v>
      </c>
      <c r="BA661">
        <v>7583</v>
      </c>
      <c r="BB661">
        <v>2765</v>
      </c>
      <c r="BC661" t="str">
        <f t="shared" si="20"/>
        <v>u=1%, k=2x10^8</v>
      </c>
      <c r="BD661">
        <f t="shared" si="21"/>
        <v>2</v>
      </c>
    </row>
    <row r="662" spans="1:56">
      <c r="A662" t="s">
        <v>1285</v>
      </c>
      <c r="B662" t="s">
        <v>105</v>
      </c>
      <c r="D662" t="s">
        <v>64</v>
      </c>
      <c r="E662" t="s">
        <v>59</v>
      </c>
      <c r="F662" t="s">
        <v>60</v>
      </c>
      <c r="G662">
        <v>4000</v>
      </c>
      <c r="H662">
        <v>0.5</v>
      </c>
      <c r="I662">
        <v>0.5</v>
      </c>
      <c r="J662">
        <v>0</v>
      </c>
      <c r="K662">
        <v>1</v>
      </c>
      <c r="L662">
        <v>200000000</v>
      </c>
      <c r="M662">
        <v>190</v>
      </c>
      <c r="N662">
        <v>190</v>
      </c>
      <c r="O662">
        <v>190</v>
      </c>
      <c r="P662">
        <v>0</v>
      </c>
      <c r="Q662" t="s">
        <v>61</v>
      </c>
      <c r="R662">
        <v>9999746285023070</v>
      </c>
      <c r="S662">
        <v>99999057</v>
      </c>
      <c r="T662">
        <v>9999746285023070</v>
      </c>
      <c r="U662">
        <v>99999057</v>
      </c>
      <c r="V662" t="s">
        <v>71</v>
      </c>
      <c r="W662">
        <v>33</v>
      </c>
      <c r="X662">
        <v>57303209</v>
      </c>
      <c r="Y662">
        <v>42990739</v>
      </c>
      <c r="Z662">
        <v>100293948</v>
      </c>
      <c r="AA662">
        <v>99999057</v>
      </c>
      <c r="AB662">
        <v>1.75023</v>
      </c>
      <c r="AC662">
        <v>2.32606</v>
      </c>
      <c r="AD662">
        <v>1.9970600000000001</v>
      </c>
      <c r="AE662">
        <v>26.087499999999999</v>
      </c>
      <c r="AF662">
        <v>5616461088</v>
      </c>
      <c r="AJ662" t="s">
        <v>798</v>
      </c>
      <c r="AM662">
        <v>273864367</v>
      </c>
      <c r="AN662">
        <v>0</v>
      </c>
      <c r="AO662">
        <v>2766699</v>
      </c>
      <c r="AP662">
        <v>273864367</v>
      </c>
      <c r="AQ662">
        <v>276631066</v>
      </c>
      <c r="AR662">
        <v>68466091</v>
      </c>
      <c r="AS662">
        <v>0</v>
      </c>
      <c r="AT662">
        <v>691674</v>
      </c>
      <c r="AU662">
        <v>68466091</v>
      </c>
      <c r="AV662">
        <v>69157766</v>
      </c>
      <c r="AW662">
        <v>40.972700000000003</v>
      </c>
      <c r="AX662">
        <v>19.528500000000001</v>
      </c>
      <c r="AY662">
        <v>7648.75</v>
      </c>
      <c r="AZ662">
        <v>6191.26</v>
      </c>
      <c r="BA662">
        <v>7595</v>
      </c>
      <c r="BB662">
        <v>2760</v>
      </c>
      <c r="BC662" t="str">
        <f t="shared" ref="BC662:BC725" si="22">"u="&amp;(H662+I662)&amp;"%, k=2x10^"&amp;LOG10(L662/2)</f>
        <v>u=1%, k=2x10^8</v>
      </c>
      <c r="BD662">
        <f t="shared" ref="BD662:BD725" si="23">G662/1000</f>
        <v>4</v>
      </c>
    </row>
    <row r="663" spans="1:56">
      <c r="A663" t="s">
        <v>1286</v>
      </c>
      <c r="B663" t="s">
        <v>105</v>
      </c>
      <c r="D663" t="s">
        <v>64</v>
      </c>
      <c r="E663" t="s">
        <v>59</v>
      </c>
      <c r="F663" t="s">
        <v>60</v>
      </c>
      <c r="G663">
        <v>8000</v>
      </c>
      <c r="H663">
        <v>0.5</v>
      </c>
      <c r="I663">
        <v>0.5</v>
      </c>
      <c r="J663">
        <v>0</v>
      </c>
      <c r="K663">
        <v>1</v>
      </c>
      <c r="L663">
        <v>200000000</v>
      </c>
      <c r="M663">
        <v>190</v>
      </c>
      <c r="N663">
        <v>190</v>
      </c>
      <c r="O663">
        <v>190</v>
      </c>
      <c r="P663">
        <v>0</v>
      </c>
      <c r="Q663" t="s">
        <v>61</v>
      </c>
      <c r="R663">
        <v>1.00008253865552E+16</v>
      </c>
      <c r="S663">
        <v>100001911</v>
      </c>
      <c r="T663">
        <v>1.00008253865552E+16</v>
      </c>
      <c r="U663">
        <v>100001911</v>
      </c>
      <c r="V663" t="s">
        <v>71</v>
      </c>
      <c r="W663">
        <v>33</v>
      </c>
      <c r="X663">
        <v>57464588</v>
      </c>
      <c r="Y663">
        <v>43123931</v>
      </c>
      <c r="Z663">
        <v>100588519</v>
      </c>
      <c r="AA663">
        <v>100001911</v>
      </c>
      <c r="AB663">
        <v>1.75044</v>
      </c>
      <c r="AC663">
        <v>2.31894</v>
      </c>
      <c r="AD663">
        <v>1.99417</v>
      </c>
      <c r="AE663">
        <v>26.1599</v>
      </c>
      <c r="AF663">
        <v>5632957064</v>
      </c>
      <c r="AJ663" t="s">
        <v>1287</v>
      </c>
      <c r="AM663">
        <v>551148557</v>
      </c>
      <c r="AN663">
        <v>0</v>
      </c>
      <c r="AO663">
        <v>5565066</v>
      </c>
      <c r="AP663">
        <v>551148557</v>
      </c>
      <c r="AQ663">
        <v>556713623</v>
      </c>
      <c r="AR663">
        <v>68893569</v>
      </c>
      <c r="AS663">
        <v>0</v>
      </c>
      <c r="AT663">
        <v>695633</v>
      </c>
      <c r="AU663">
        <v>68893569</v>
      </c>
      <c r="AV663">
        <v>69589202</v>
      </c>
      <c r="AW663">
        <v>41.156999999999996</v>
      </c>
      <c r="AX663">
        <v>19.719200000000001</v>
      </c>
      <c r="AY663">
        <v>7601.45</v>
      </c>
      <c r="AZ663">
        <v>6150.38</v>
      </c>
      <c r="BA663">
        <v>7615</v>
      </c>
      <c r="BB663">
        <v>2755</v>
      </c>
      <c r="BC663" t="str">
        <f t="shared" si="22"/>
        <v>u=1%, k=2x10^8</v>
      </c>
      <c r="BD663">
        <f t="shared" si="23"/>
        <v>8</v>
      </c>
    </row>
    <row r="664" spans="1:56">
      <c r="A664" t="s">
        <v>1288</v>
      </c>
      <c r="B664" t="s">
        <v>105</v>
      </c>
      <c r="D664" t="s">
        <v>64</v>
      </c>
      <c r="E664" t="s">
        <v>59</v>
      </c>
      <c r="F664" t="s">
        <v>60</v>
      </c>
      <c r="G664">
        <v>16000</v>
      </c>
      <c r="H664">
        <v>0.5</v>
      </c>
      <c r="I664">
        <v>0.5</v>
      </c>
      <c r="J664">
        <v>0</v>
      </c>
      <c r="K664">
        <v>1</v>
      </c>
      <c r="L664">
        <v>200000000</v>
      </c>
      <c r="M664">
        <v>190</v>
      </c>
      <c r="N664">
        <v>190</v>
      </c>
      <c r="O664">
        <v>190</v>
      </c>
      <c r="P664">
        <v>0</v>
      </c>
      <c r="Q664" t="s">
        <v>61</v>
      </c>
      <c r="R664">
        <v>1.00006265416344E+16</v>
      </c>
      <c r="S664">
        <v>99997016</v>
      </c>
      <c r="T664">
        <v>1.00006265416344E+16</v>
      </c>
      <c r="U664">
        <v>99997016</v>
      </c>
      <c r="V664" t="s">
        <v>71</v>
      </c>
      <c r="W664">
        <v>33</v>
      </c>
      <c r="X664">
        <v>57776115</v>
      </c>
      <c r="Y664">
        <v>43386115</v>
      </c>
      <c r="Z664">
        <v>101162230</v>
      </c>
      <c r="AA664">
        <v>99997016</v>
      </c>
      <c r="AB664">
        <v>1.7509399999999999</v>
      </c>
      <c r="AC664">
        <v>2.3048199999999999</v>
      </c>
      <c r="AD664">
        <v>1.98848</v>
      </c>
      <c r="AE664">
        <v>26.180199999999999</v>
      </c>
      <c r="AF664">
        <v>5665084880</v>
      </c>
      <c r="AJ664" t="s">
        <v>1289</v>
      </c>
      <c r="AM664">
        <v>1110914141</v>
      </c>
      <c r="AN664">
        <v>0</v>
      </c>
      <c r="AO664">
        <v>11216066</v>
      </c>
      <c r="AP664">
        <v>1110914141</v>
      </c>
      <c r="AQ664">
        <v>1122130207</v>
      </c>
      <c r="AR664">
        <v>69432133</v>
      </c>
      <c r="AS664">
        <v>0</v>
      </c>
      <c r="AT664">
        <v>701004</v>
      </c>
      <c r="AU664">
        <v>69432133</v>
      </c>
      <c r="AV664">
        <v>70133137</v>
      </c>
      <c r="AW664">
        <v>40.981900000000003</v>
      </c>
      <c r="AX664">
        <v>19.916</v>
      </c>
      <c r="AY664">
        <v>7543.1</v>
      </c>
      <c r="AZ664">
        <v>6069.17</v>
      </c>
      <c r="BA664">
        <v>7651</v>
      </c>
      <c r="BB664">
        <v>2751</v>
      </c>
      <c r="BC664" t="str">
        <f t="shared" si="22"/>
        <v>u=1%, k=2x10^8</v>
      </c>
      <c r="BD664">
        <f t="shared" si="23"/>
        <v>16</v>
      </c>
    </row>
    <row r="665" spans="1:56">
      <c r="A665" t="s">
        <v>1290</v>
      </c>
      <c r="B665" t="s">
        <v>105</v>
      </c>
      <c r="D665" t="s">
        <v>64</v>
      </c>
      <c r="E665" t="s">
        <v>59</v>
      </c>
      <c r="F665" t="s">
        <v>60</v>
      </c>
      <c r="G665">
        <v>32000</v>
      </c>
      <c r="H665">
        <v>0.5</v>
      </c>
      <c r="I665">
        <v>0.5</v>
      </c>
      <c r="J665">
        <v>0</v>
      </c>
      <c r="K665">
        <v>1</v>
      </c>
      <c r="L665">
        <v>200000000</v>
      </c>
      <c r="M665">
        <v>190</v>
      </c>
      <c r="N665">
        <v>190</v>
      </c>
      <c r="O665">
        <v>190</v>
      </c>
      <c r="P665">
        <v>0</v>
      </c>
      <c r="Q665" t="s">
        <v>61</v>
      </c>
      <c r="R665">
        <v>1.00004635467936E+16</v>
      </c>
      <c r="S665">
        <v>100001870</v>
      </c>
      <c r="T665">
        <v>1.00004635467936E+16</v>
      </c>
      <c r="U665">
        <v>100001870</v>
      </c>
      <c r="V665" t="s">
        <v>71</v>
      </c>
      <c r="W665">
        <v>33</v>
      </c>
      <c r="X665">
        <v>58377246</v>
      </c>
      <c r="Y665">
        <v>43879159</v>
      </c>
      <c r="Z665">
        <v>102256405</v>
      </c>
      <c r="AA665">
        <v>100001870</v>
      </c>
      <c r="AB665">
        <v>1.7516499999999999</v>
      </c>
      <c r="AC665">
        <v>2.2790300000000001</v>
      </c>
      <c r="AD665">
        <v>1.9779500000000001</v>
      </c>
      <c r="AE665">
        <v>26.101700000000001</v>
      </c>
      <c r="AF665">
        <v>5726358680</v>
      </c>
      <c r="AJ665" t="s">
        <v>1291</v>
      </c>
      <c r="AM665">
        <v>2216214428</v>
      </c>
      <c r="AN665">
        <v>0</v>
      </c>
      <c r="AO665">
        <v>22391876</v>
      </c>
      <c r="AP665">
        <v>2216214428</v>
      </c>
      <c r="AQ665">
        <v>2238606304</v>
      </c>
      <c r="AR665">
        <v>69256700</v>
      </c>
      <c r="AS665">
        <v>0</v>
      </c>
      <c r="AT665">
        <v>699746</v>
      </c>
      <c r="AU665">
        <v>69256700</v>
      </c>
      <c r="AV665">
        <v>69956447</v>
      </c>
      <c r="AW665">
        <v>41.4146</v>
      </c>
      <c r="AX665">
        <v>20.067900000000002</v>
      </c>
      <c r="AY665">
        <v>7560.9</v>
      </c>
      <c r="AZ665">
        <v>6085.77</v>
      </c>
      <c r="BA665">
        <v>7720</v>
      </c>
      <c r="BB665">
        <v>2749</v>
      </c>
      <c r="BC665" t="str">
        <f t="shared" si="22"/>
        <v>u=1%, k=2x10^8</v>
      </c>
      <c r="BD665">
        <f t="shared" si="23"/>
        <v>32</v>
      </c>
    </row>
    <row r="666" spans="1:56">
      <c r="A666" t="s">
        <v>1292</v>
      </c>
      <c r="B666" t="s">
        <v>105</v>
      </c>
      <c r="D666" t="s">
        <v>64</v>
      </c>
      <c r="E666" t="s">
        <v>59</v>
      </c>
      <c r="F666" t="s">
        <v>60</v>
      </c>
      <c r="G666">
        <v>64000</v>
      </c>
      <c r="H666">
        <v>0.5</v>
      </c>
      <c r="I666">
        <v>0.5</v>
      </c>
      <c r="J666">
        <v>0</v>
      </c>
      <c r="K666">
        <v>1</v>
      </c>
      <c r="L666">
        <v>200000000</v>
      </c>
      <c r="M666">
        <v>190</v>
      </c>
      <c r="N666">
        <v>190</v>
      </c>
      <c r="O666">
        <v>190</v>
      </c>
      <c r="P666">
        <v>0</v>
      </c>
      <c r="Q666" t="s">
        <v>61</v>
      </c>
      <c r="R666">
        <v>1.0001600317246E+16</v>
      </c>
      <c r="S666">
        <v>100006604</v>
      </c>
      <c r="T666">
        <v>1.0001600317246E+16</v>
      </c>
      <c r="U666">
        <v>100006604</v>
      </c>
      <c r="V666" t="s">
        <v>71</v>
      </c>
      <c r="W666">
        <v>33</v>
      </c>
      <c r="X666">
        <v>59474388</v>
      </c>
      <c r="Y666">
        <v>44779984</v>
      </c>
      <c r="Z666">
        <v>104254372</v>
      </c>
      <c r="AA666">
        <v>100006604</v>
      </c>
      <c r="AB666">
        <v>1.7529300000000001</v>
      </c>
      <c r="AC666">
        <v>2.2332900000000002</v>
      </c>
      <c r="AD666">
        <v>1.95926</v>
      </c>
      <c r="AE666">
        <v>26.192</v>
      </c>
      <c r="AF666">
        <v>5838244832</v>
      </c>
      <c r="AJ666" t="s">
        <v>1293</v>
      </c>
      <c r="AM666">
        <v>4424509082</v>
      </c>
      <c r="AN666">
        <v>0</v>
      </c>
      <c r="AO666">
        <v>44696748</v>
      </c>
      <c r="AP666">
        <v>4424509082</v>
      </c>
      <c r="AQ666">
        <v>4469205830</v>
      </c>
      <c r="AR666">
        <v>69132954</v>
      </c>
      <c r="AS666">
        <v>0</v>
      </c>
      <c r="AT666">
        <v>698386</v>
      </c>
      <c r="AU666">
        <v>69132954</v>
      </c>
      <c r="AV666">
        <v>69831341</v>
      </c>
      <c r="AW666">
        <v>41.6479</v>
      </c>
      <c r="AX666">
        <v>20.243200000000002</v>
      </c>
      <c r="AY666">
        <v>7574.1</v>
      </c>
      <c r="AZ666">
        <v>6022.61</v>
      </c>
      <c r="BA666">
        <v>7852</v>
      </c>
      <c r="BB666">
        <v>2775</v>
      </c>
      <c r="BC666" t="str">
        <f t="shared" si="22"/>
        <v>u=1%, k=2x10^8</v>
      </c>
      <c r="BD666">
        <f t="shared" si="23"/>
        <v>64</v>
      </c>
    </row>
    <row r="667" spans="1:56">
      <c r="A667" t="s">
        <v>1294</v>
      </c>
      <c r="B667" t="s">
        <v>305</v>
      </c>
      <c r="D667" t="s">
        <v>64</v>
      </c>
      <c r="E667" t="s">
        <v>59</v>
      </c>
      <c r="F667" t="s">
        <v>60</v>
      </c>
      <c r="G667">
        <v>1000</v>
      </c>
      <c r="H667">
        <v>0.5</v>
      </c>
      <c r="I667">
        <v>0.5</v>
      </c>
      <c r="J667">
        <v>0</v>
      </c>
      <c r="K667">
        <v>1</v>
      </c>
      <c r="L667">
        <v>200000000</v>
      </c>
      <c r="M667">
        <v>190</v>
      </c>
      <c r="N667">
        <v>190</v>
      </c>
      <c r="O667">
        <v>190</v>
      </c>
      <c r="P667">
        <v>0</v>
      </c>
      <c r="Q667" t="s">
        <v>61</v>
      </c>
      <c r="R667">
        <v>1.00000795976708E+16</v>
      </c>
      <c r="S667">
        <v>99999537</v>
      </c>
      <c r="T667">
        <v>1.00000795976708E+16</v>
      </c>
      <c r="U667">
        <v>99999537</v>
      </c>
      <c r="V667" t="s">
        <v>71</v>
      </c>
      <c r="W667">
        <v>70</v>
      </c>
      <c r="X667">
        <v>99999536</v>
      </c>
      <c r="Y667">
        <v>99999537</v>
      </c>
      <c r="Z667">
        <v>199999073</v>
      </c>
      <c r="AA667">
        <v>99999537</v>
      </c>
      <c r="AB667">
        <v>2</v>
      </c>
      <c r="AC667">
        <v>1</v>
      </c>
      <c r="AD667">
        <v>1.5</v>
      </c>
      <c r="AE667">
        <v>36.628100000000003</v>
      </c>
      <c r="AF667">
        <v>6399970336</v>
      </c>
      <c r="AJ667" t="s">
        <v>1295</v>
      </c>
      <c r="AM667">
        <v>57825682</v>
      </c>
      <c r="AN667">
        <v>0</v>
      </c>
      <c r="AO667">
        <v>586316</v>
      </c>
      <c r="AP667">
        <v>57825682</v>
      </c>
      <c r="AQ667">
        <v>58411998</v>
      </c>
      <c r="AR667">
        <v>57825682</v>
      </c>
      <c r="AS667">
        <v>0</v>
      </c>
      <c r="AT667">
        <v>586316</v>
      </c>
      <c r="AU667">
        <v>57825682</v>
      </c>
      <c r="AV667">
        <v>58411998</v>
      </c>
      <c r="AW667">
        <v>38.2241</v>
      </c>
      <c r="AX667">
        <v>18.834499999999998</v>
      </c>
      <c r="AY667">
        <v>9055.0400000000009</v>
      </c>
      <c r="AZ667">
        <v>7923.56</v>
      </c>
      <c r="BA667">
        <v>7575</v>
      </c>
      <c r="BB667">
        <v>2860</v>
      </c>
      <c r="BC667" t="str">
        <f t="shared" si="22"/>
        <v>u=1%, k=2x10^8</v>
      </c>
      <c r="BD667">
        <f t="shared" si="23"/>
        <v>1</v>
      </c>
    </row>
    <row r="668" spans="1:56">
      <c r="A668" t="s">
        <v>1296</v>
      </c>
      <c r="B668" t="s">
        <v>305</v>
      </c>
      <c r="D668" t="s">
        <v>64</v>
      </c>
      <c r="E668" t="s">
        <v>59</v>
      </c>
      <c r="F668" t="s">
        <v>60</v>
      </c>
      <c r="G668">
        <v>2000</v>
      </c>
      <c r="H668">
        <v>0.5</v>
      </c>
      <c r="I668">
        <v>0.5</v>
      </c>
      <c r="J668">
        <v>0</v>
      </c>
      <c r="K668">
        <v>1</v>
      </c>
      <c r="L668">
        <v>200000000</v>
      </c>
      <c r="M668">
        <v>190</v>
      </c>
      <c r="N668">
        <v>190</v>
      </c>
      <c r="O668">
        <v>190</v>
      </c>
      <c r="P668">
        <v>0</v>
      </c>
      <c r="Q668" t="s">
        <v>61</v>
      </c>
      <c r="R668">
        <v>9999493385879110</v>
      </c>
      <c r="S668">
        <v>100000924</v>
      </c>
      <c r="T668">
        <v>9999493385879110</v>
      </c>
      <c r="U668">
        <v>100000924</v>
      </c>
      <c r="V668" t="s">
        <v>71</v>
      </c>
      <c r="W668">
        <v>73</v>
      </c>
      <c r="X668">
        <v>100000923</v>
      </c>
      <c r="Y668">
        <v>100000924</v>
      </c>
      <c r="Z668">
        <v>200001847</v>
      </c>
      <c r="AA668">
        <v>100000924</v>
      </c>
      <c r="AB668">
        <v>2</v>
      </c>
      <c r="AC668">
        <v>1</v>
      </c>
      <c r="AD668">
        <v>1.5</v>
      </c>
      <c r="AE668">
        <v>34.932099999999998</v>
      </c>
      <c r="AF668">
        <v>6400059104</v>
      </c>
      <c r="AJ668" t="s">
        <v>1297</v>
      </c>
      <c r="AM668">
        <v>115759405</v>
      </c>
      <c r="AN668">
        <v>0</v>
      </c>
      <c r="AO668">
        <v>1168979</v>
      </c>
      <c r="AP668">
        <v>115759405</v>
      </c>
      <c r="AQ668">
        <v>116928384</v>
      </c>
      <c r="AR668">
        <v>57879702</v>
      </c>
      <c r="AS668">
        <v>0</v>
      </c>
      <c r="AT668">
        <v>584489</v>
      </c>
      <c r="AU668">
        <v>57879702</v>
      </c>
      <c r="AV668">
        <v>58464192</v>
      </c>
      <c r="AW668">
        <v>38.2119</v>
      </c>
      <c r="AX668">
        <v>18.8629</v>
      </c>
      <c r="AY668">
        <v>9049.4699999999993</v>
      </c>
      <c r="AZ668">
        <v>7913.73</v>
      </c>
      <c r="BA668">
        <v>7575</v>
      </c>
      <c r="BB668">
        <v>2825</v>
      </c>
      <c r="BC668" t="str">
        <f t="shared" si="22"/>
        <v>u=1%, k=2x10^8</v>
      </c>
      <c r="BD668">
        <f t="shared" si="23"/>
        <v>2</v>
      </c>
    </row>
    <row r="669" spans="1:56">
      <c r="A669" t="s">
        <v>1298</v>
      </c>
      <c r="B669" t="s">
        <v>305</v>
      </c>
      <c r="D669" t="s">
        <v>64</v>
      </c>
      <c r="E669" t="s">
        <v>59</v>
      </c>
      <c r="F669" t="s">
        <v>60</v>
      </c>
      <c r="G669">
        <v>4000</v>
      </c>
      <c r="H669">
        <v>0.5</v>
      </c>
      <c r="I669">
        <v>0.5</v>
      </c>
      <c r="J669">
        <v>0</v>
      </c>
      <c r="K669">
        <v>1</v>
      </c>
      <c r="L669">
        <v>200000000</v>
      </c>
      <c r="M669">
        <v>190</v>
      </c>
      <c r="N669">
        <v>190</v>
      </c>
      <c r="O669">
        <v>190</v>
      </c>
      <c r="P669">
        <v>0</v>
      </c>
      <c r="Q669" t="s">
        <v>61</v>
      </c>
      <c r="R669">
        <v>9999786738967410</v>
      </c>
      <c r="S669">
        <v>100001369</v>
      </c>
      <c r="T669">
        <v>9999786738967410</v>
      </c>
      <c r="U669">
        <v>100001369</v>
      </c>
      <c r="V669" t="s">
        <v>71</v>
      </c>
      <c r="W669">
        <v>71</v>
      </c>
      <c r="X669">
        <v>100001368</v>
      </c>
      <c r="Y669">
        <v>100001369</v>
      </c>
      <c r="Z669">
        <v>200002737</v>
      </c>
      <c r="AA669">
        <v>100001369</v>
      </c>
      <c r="AB669">
        <v>2</v>
      </c>
      <c r="AC669">
        <v>1</v>
      </c>
      <c r="AD669">
        <v>1.5</v>
      </c>
      <c r="AE669">
        <v>38.035600000000002</v>
      </c>
      <c r="AF669">
        <v>6400087584</v>
      </c>
      <c r="AJ669" t="s">
        <v>1299</v>
      </c>
      <c r="AM669">
        <v>231156776</v>
      </c>
      <c r="AN669">
        <v>0</v>
      </c>
      <c r="AO669">
        <v>2333306</v>
      </c>
      <c r="AP669">
        <v>231156776</v>
      </c>
      <c r="AQ669">
        <v>233490082</v>
      </c>
      <c r="AR669">
        <v>57789194</v>
      </c>
      <c r="AS669">
        <v>0</v>
      </c>
      <c r="AT669">
        <v>583326</v>
      </c>
      <c r="AU669">
        <v>57789194</v>
      </c>
      <c r="AV669">
        <v>58372520</v>
      </c>
      <c r="AW669">
        <v>38.272799999999997</v>
      </c>
      <c r="AX669">
        <v>18.963799999999999</v>
      </c>
      <c r="AY669">
        <v>9063.9500000000007</v>
      </c>
      <c r="AZ669">
        <v>7918.76</v>
      </c>
      <c r="BA669">
        <v>7572</v>
      </c>
      <c r="BB669">
        <v>2835</v>
      </c>
      <c r="BC669" t="str">
        <f t="shared" si="22"/>
        <v>u=1%, k=2x10^8</v>
      </c>
      <c r="BD669">
        <f t="shared" si="23"/>
        <v>4</v>
      </c>
    </row>
    <row r="670" spans="1:56">
      <c r="A670" t="s">
        <v>1300</v>
      </c>
      <c r="B670" t="s">
        <v>305</v>
      </c>
      <c r="D670" t="s">
        <v>64</v>
      </c>
      <c r="E670" t="s">
        <v>59</v>
      </c>
      <c r="F670" t="s">
        <v>60</v>
      </c>
      <c r="G670">
        <v>8000</v>
      </c>
      <c r="H670">
        <v>0.5</v>
      </c>
      <c r="I670">
        <v>0.5</v>
      </c>
      <c r="J670">
        <v>0</v>
      </c>
      <c r="K670">
        <v>1</v>
      </c>
      <c r="L670">
        <v>200000000</v>
      </c>
      <c r="M670">
        <v>190</v>
      </c>
      <c r="N670">
        <v>190</v>
      </c>
      <c r="O670">
        <v>190</v>
      </c>
      <c r="P670">
        <v>0</v>
      </c>
      <c r="Q670" t="s">
        <v>61</v>
      </c>
      <c r="R670">
        <v>9999698763488400</v>
      </c>
      <c r="S670">
        <v>100000779</v>
      </c>
      <c r="T670">
        <v>9999698763488400</v>
      </c>
      <c r="U670">
        <v>100000779</v>
      </c>
      <c r="V670" t="s">
        <v>71</v>
      </c>
      <c r="W670">
        <v>73</v>
      </c>
      <c r="X670">
        <v>100000778</v>
      </c>
      <c r="Y670">
        <v>100000779</v>
      </c>
      <c r="Z670">
        <v>200001557</v>
      </c>
      <c r="AA670">
        <v>100000779</v>
      </c>
      <c r="AB670">
        <v>2</v>
      </c>
      <c r="AC670">
        <v>1</v>
      </c>
      <c r="AD670">
        <v>1.5</v>
      </c>
      <c r="AE670">
        <v>35.5869</v>
      </c>
      <c r="AF670">
        <v>6400049824</v>
      </c>
      <c r="AJ670" t="s">
        <v>1301</v>
      </c>
      <c r="AM670">
        <v>465067348</v>
      </c>
      <c r="AN670">
        <v>0</v>
      </c>
      <c r="AO670">
        <v>4695500</v>
      </c>
      <c r="AP670">
        <v>465067348</v>
      </c>
      <c r="AQ670">
        <v>469762848</v>
      </c>
      <c r="AR670">
        <v>58133418</v>
      </c>
      <c r="AS670">
        <v>0</v>
      </c>
      <c r="AT670">
        <v>586937</v>
      </c>
      <c r="AU670">
        <v>58133418</v>
      </c>
      <c r="AV670">
        <v>58720356</v>
      </c>
      <c r="AW670">
        <v>38.295000000000002</v>
      </c>
      <c r="AX670">
        <v>19.0702</v>
      </c>
      <c r="AY670">
        <v>9009.94</v>
      </c>
      <c r="AZ670">
        <v>7866.49</v>
      </c>
      <c r="BA670">
        <v>7576</v>
      </c>
      <c r="BB670">
        <v>2837</v>
      </c>
      <c r="BC670" t="str">
        <f t="shared" si="22"/>
        <v>u=1%, k=2x10^8</v>
      </c>
      <c r="BD670">
        <f t="shared" si="23"/>
        <v>8</v>
      </c>
    </row>
    <row r="671" spans="1:56">
      <c r="A671" t="s">
        <v>1302</v>
      </c>
      <c r="B671" t="s">
        <v>305</v>
      </c>
      <c r="D671" t="s">
        <v>64</v>
      </c>
      <c r="E671" t="s">
        <v>59</v>
      </c>
      <c r="F671" t="s">
        <v>60</v>
      </c>
      <c r="G671">
        <v>16000</v>
      </c>
      <c r="H671">
        <v>0.5</v>
      </c>
      <c r="I671">
        <v>0.5</v>
      </c>
      <c r="J671">
        <v>0</v>
      </c>
      <c r="K671">
        <v>1</v>
      </c>
      <c r="L671">
        <v>200000000</v>
      </c>
      <c r="M671">
        <v>190</v>
      </c>
      <c r="N671">
        <v>190</v>
      </c>
      <c r="O671">
        <v>190</v>
      </c>
      <c r="P671">
        <v>0</v>
      </c>
      <c r="Q671" t="s">
        <v>61</v>
      </c>
      <c r="R671">
        <v>9999127557778600</v>
      </c>
      <c r="S671">
        <v>99996173</v>
      </c>
      <c r="T671">
        <v>9999127557778600</v>
      </c>
      <c r="U671">
        <v>99996173</v>
      </c>
      <c r="V671" t="s">
        <v>71</v>
      </c>
      <c r="W671">
        <v>69</v>
      </c>
      <c r="X671">
        <v>99996172</v>
      </c>
      <c r="Y671">
        <v>99996173</v>
      </c>
      <c r="Z671">
        <v>199992345</v>
      </c>
      <c r="AA671">
        <v>99996173</v>
      </c>
      <c r="AB671">
        <v>2</v>
      </c>
      <c r="AC671">
        <v>1</v>
      </c>
      <c r="AD671">
        <v>1.5</v>
      </c>
      <c r="AE671">
        <v>35.813299999999998</v>
      </c>
      <c r="AF671">
        <v>6399755040</v>
      </c>
      <c r="AJ671" t="s">
        <v>1303</v>
      </c>
      <c r="AM671">
        <v>936432038</v>
      </c>
      <c r="AN671">
        <v>0</v>
      </c>
      <c r="AO671">
        <v>9460868</v>
      </c>
      <c r="AP671">
        <v>936432038</v>
      </c>
      <c r="AQ671">
        <v>945892906</v>
      </c>
      <c r="AR671">
        <v>58527002</v>
      </c>
      <c r="AS671">
        <v>0</v>
      </c>
      <c r="AT671">
        <v>591304</v>
      </c>
      <c r="AU671">
        <v>58527002</v>
      </c>
      <c r="AV671">
        <v>59118306</v>
      </c>
      <c r="AW671">
        <v>38.283299999999997</v>
      </c>
      <c r="AX671">
        <v>19.212700000000002</v>
      </c>
      <c r="AY671">
        <v>8950.93</v>
      </c>
      <c r="AZ671">
        <v>7805.03</v>
      </c>
      <c r="BA671">
        <v>7577</v>
      </c>
      <c r="BB671">
        <v>2834</v>
      </c>
      <c r="BC671" t="str">
        <f t="shared" si="22"/>
        <v>u=1%, k=2x10^8</v>
      </c>
      <c r="BD671">
        <f t="shared" si="23"/>
        <v>16</v>
      </c>
    </row>
    <row r="672" spans="1:56">
      <c r="A672" t="s">
        <v>1304</v>
      </c>
      <c r="B672" t="s">
        <v>305</v>
      </c>
      <c r="D672" t="s">
        <v>64</v>
      </c>
      <c r="E672" t="s">
        <v>59</v>
      </c>
      <c r="F672" t="s">
        <v>60</v>
      </c>
      <c r="G672">
        <v>32000</v>
      </c>
      <c r="H672">
        <v>0.5</v>
      </c>
      <c r="I672">
        <v>0.5</v>
      </c>
      <c r="J672">
        <v>0</v>
      </c>
      <c r="K672">
        <v>1</v>
      </c>
      <c r="L672">
        <v>200000000</v>
      </c>
      <c r="M672">
        <v>190</v>
      </c>
      <c r="N672">
        <v>190</v>
      </c>
      <c r="O672">
        <v>190</v>
      </c>
      <c r="P672">
        <v>0</v>
      </c>
      <c r="Q672" t="s">
        <v>61</v>
      </c>
      <c r="R672">
        <v>9999563123764580</v>
      </c>
      <c r="S672">
        <v>100001347</v>
      </c>
      <c r="T672">
        <v>9999563123764580</v>
      </c>
      <c r="U672">
        <v>100001347</v>
      </c>
      <c r="V672" t="s">
        <v>71</v>
      </c>
      <c r="W672">
        <v>72</v>
      </c>
      <c r="X672">
        <v>100001346</v>
      </c>
      <c r="Y672">
        <v>100001347</v>
      </c>
      <c r="Z672">
        <v>200002693</v>
      </c>
      <c r="AA672">
        <v>100001347</v>
      </c>
      <c r="AB672">
        <v>2</v>
      </c>
      <c r="AC672">
        <v>1</v>
      </c>
      <c r="AD672">
        <v>1.5</v>
      </c>
      <c r="AE672">
        <v>37.2575</v>
      </c>
      <c r="AF672">
        <v>6400086176</v>
      </c>
      <c r="AJ672" t="s">
        <v>1305</v>
      </c>
      <c r="AM672">
        <v>1879231445</v>
      </c>
      <c r="AN672">
        <v>0</v>
      </c>
      <c r="AO672">
        <v>18985213</v>
      </c>
      <c r="AP672">
        <v>1879231445</v>
      </c>
      <c r="AQ672">
        <v>1898216658</v>
      </c>
      <c r="AR672">
        <v>58725982</v>
      </c>
      <c r="AS672">
        <v>0</v>
      </c>
      <c r="AT672">
        <v>593287</v>
      </c>
      <c r="AU672">
        <v>58725982</v>
      </c>
      <c r="AV672">
        <v>59319270</v>
      </c>
      <c r="AW672">
        <v>38.349600000000002</v>
      </c>
      <c r="AX672">
        <v>19.3628</v>
      </c>
      <c r="AY672">
        <v>8919.67</v>
      </c>
      <c r="AZ672">
        <v>7762.62</v>
      </c>
      <c r="BA672">
        <v>7580</v>
      </c>
      <c r="BB672">
        <v>2858</v>
      </c>
      <c r="BC672" t="str">
        <f t="shared" si="22"/>
        <v>u=1%, k=2x10^8</v>
      </c>
      <c r="BD672">
        <f t="shared" si="23"/>
        <v>32</v>
      </c>
    </row>
    <row r="673" spans="1:56">
      <c r="A673" t="s">
        <v>1306</v>
      </c>
      <c r="B673" t="s">
        <v>305</v>
      </c>
      <c r="D673" t="s">
        <v>64</v>
      </c>
      <c r="E673" t="s">
        <v>59</v>
      </c>
      <c r="F673" t="s">
        <v>60</v>
      </c>
      <c r="G673">
        <v>64000</v>
      </c>
      <c r="H673">
        <v>0.5</v>
      </c>
      <c r="I673">
        <v>0.5</v>
      </c>
      <c r="J673">
        <v>0</v>
      </c>
      <c r="K673">
        <v>1</v>
      </c>
      <c r="L673">
        <v>200000000</v>
      </c>
      <c r="M673">
        <v>190</v>
      </c>
      <c r="N673">
        <v>190</v>
      </c>
      <c r="O673">
        <v>190</v>
      </c>
      <c r="P673">
        <v>0</v>
      </c>
      <c r="Q673" t="s">
        <v>61</v>
      </c>
      <c r="R673">
        <v>9999865830836380</v>
      </c>
      <c r="S673">
        <v>100000733</v>
      </c>
      <c r="T673">
        <v>9999865830836380</v>
      </c>
      <c r="U673">
        <v>100000733</v>
      </c>
      <c r="V673" t="s">
        <v>71</v>
      </c>
      <c r="W673">
        <v>69</v>
      </c>
      <c r="X673">
        <v>100000732</v>
      </c>
      <c r="Y673">
        <v>100000733</v>
      </c>
      <c r="Z673">
        <v>200001465</v>
      </c>
      <c r="AA673">
        <v>100000733</v>
      </c>
      <c r="AB673">
        <v>2</v>
      </c>
      <c r="AC673">
        <v>1</v>
      </c>
      <c r="AD673">
        <v>1.5</v>
      </c>
      <c r="AE673">
        <v>35.487400000000001</v>
      </c>
      <c r="AF673">
        <v>6400046880</v>
      </c>
      <c r="AJ673" t="s">
        <v>1307</v>
      </c>
      <c r="AM673">
        <v>3775914196</v>
      </c>
      <c r="AN673">
        <v>0</v>
      </c>
      <c r="AO673">
        <v>38137155</v>
      </c>
      <c r="AP673">
        <v>3775914196</v>
      </c>
      <c r="AQ673">
        <v>3814051351</v>
      </c>
      <c r="AR673">
        <v>58998659</v>
      </c>
      <c r="AS673">
        <v>0</v>
      </c>
      <c r="AT673">
        <v>595893</v>
      </c>
      <c r="AU673">
        <v>58998659</v>
      </c>
      <c r="AV673">
        <v>59594552</v>
      </c>
      <c r="AW673">
        <v>38.567399999999999</v>
      </c>
      <c r="AX673">
        <v>19.572900000000001</v>
      </c>
      <c r="AY673">
        <v>8878.27</v>
      </c>
      <c r="AZ673">
        <v>7730.61</v>
      </c>
      <c r="BA673">
        <v>7583</v>
      </c>
      <c r="BB673">
        <v>2841</v>
      </c>
      <c r="BC673" t="str">
        <f t="shared" si="22"/>
        <v>u=1%, k=2x10^8</v>
      </c>
      <c r="BD673">
        <f t="shared" si="23"/>
        <v>64</v>
      </c>
    </row>
    <row r="674" spans="1:56">
      <c r="A674" t="s">
        <v>1308</v>
      </c>
      <c r="B674" t="s">
        <v>63</v>
      </c>
      <c r="C674">
        <v>72</v>
      </c>
      <c r="D674" t="s">
        <v>64</v>
      </c>
      <c r="E674" t="s">
        <v>59</v>
      </c>
      <c r="F674" t="s">
        <v>60</v>
      </c>
      <c r="G674">
        <v>1000</v>
      </c>
      <c r="H674">
        <v>0</v>
      </c>
      <c r="I674">
        <v>0</v>
      </c>
      <c r="J674">
        <v>0</v>
      </c>
      <c r="K674">
        <v>1</v>
      </c>
      <c r="L674">
        <v>2000000</v>
      </c>
      <c r="M674">
        <v>190</v>
      </c>
      <c r="N674">
        <v>190</v>
      </c>
      <c r="O674">
        <v>190</v>
      </c>
      <c r="P674">
        <v>0</v>
      </c>
      <c r="Q674" t="s">
        <v>61</v>
      </c>
      <c r="R674">
        <v>1000141615705</v>
      </c>
      <c r="S674">
        <v>1000001</v>
      </c>
      <c r="T674">
        <v>1000141615705</v>
      </c>
      <c r="U674">
        <v>1000001</v>
      </c>
      <c r="V674" t="s">
        <v>71</v>
      </c>
      <c r="W674">
        <v>5</v>
      </c>
      <c r="X674">
        <v>33035</v>
      </c>
      <c r="Y674">
        <v>1032033</v>
      </c>
      <c r="Z674">
        <v>1065068</v>
      </c>
      <c r="AA674">
        <v>1000001</v>
      </c>
      <c r="AB674">
        <v>32.240600000000001</v>
      </c>
      <c r="AC674">
        <v>0.96896199999999999</v>
      </c>
      <c r="AD674">
        <v>1.9389099999999999</v>
      </c>
      <c r="AE674">
        <v>3</v>
      </c>
      <c r="AF674">
        <v>19155312</v>
      </c>
      <c r="AJ674">
        <v>3476</v>
      </c>
      <c r="AM674">
        <v>502311271</v>
      </c>
      <c r="AN674">
        <v>0</v>
      </c>
      <c r="AO674">
        <v>0</v>
      </c>
      <c r="AP674">
        <v>502311271</v>
      </c>
      <c r="AQ674">
        <v>502311271</v>
      </c>
      <c r="AR674">
        <v>502311271</v>
      </c>
      <c r="AS674">
        <v>0</v>
      </c>
      <c r="AT674">
        <v>0</v>
      </c>
      <c r="AU674">
        <v>502311271</v>
      </c>
      <c r="AV674">
        <v>502311271</v>
      </c>
      <c r="AW674">
        <v>8.5355799999999995</v>
      </c>
      <c r="AX674">
        <v>9.0569800000000006E-2</v>
      </c>
      <c r="AY674">
        <v>1043.55</v>
      </c>
      <c r="AZ674">
        <v>323.87799999999999</v>
      </c>
      <c r="BA674">
        <v>1213</v>
      </c>
      <c r="BB674">
        <v>351</v>
      </c>
      <c r="BC674" t="str">
        <f t="shared" si="22"/>
        <v>u=0%, k=2x10^6</v>
      </c>
      <c r="BD674">
        <f t="shared" si="23"/>
        <v>1</v>
      </c>
    </row>
    <row r="675" spans="1:56">
      <c r="A675" t="s">
        <v>1309</v>
      </c>
      <c r="B675" t="s">
        <v>63</v>
      </c>
      <c r="C675">
        <v>72</v>
      </c>
      <c r="D675" t="s">
        <v>64</v>
      </c>
      <c r="E675" t="s">
        <v>59</v>
      </c>
      <c r="F675" t="s">
        <v>60</v>
      </c>
      <c r="G675">
        <v>2000</v>
      </c>
      <c r="H675">
        <v>0</v>
      </c>
      <c r="I675">
        <v>0</v>
      </c>
      <c r="J675">
        <v>0</v>
      </c>
      <c r="K675">
        <v>1</v>
      </c>
      <c r="L675">
        <v>2000000</v>
      </c>
      <c r="M675">
        <v>190</v>
      </c>
      <c r="N675">
        <v>190</v>
      </c>
      <c r="O675">
        <v>190</v>
      </c>
      <c r="P675">
        <v>0</v>
      </c>
      <c r="Q675" t="s">
        <v>61</v>
      </c>
      <c r="R675">
        <v>999633646866</v>
      </c>
      <c r="S675">
        <v>1000001</v>
      </c>
      <c r="T675">
        <v>999633646866</v>
      </c>
      <c r="U675">
        <v>1000001</v>
      </c>
      <c r="V675" t="s">
        <v>71</v>
      </c>
      <c r="W675">
        <v>5</v>
      </c>
      <c r="X675">
        <v>33035</v>
      </c>
      <c r="Y675">
        <v>1032033</v>
      </c>
      <c r="Z675">
        <v>1065068</v>
      </c>
      <c r="AA675">
        <v>1000001</v>
      </c>
      <c r="AB675">
        <v>32.240600000000001</v>
      </c>
      <c r="AC675">
        <v>0.96896199999999999</v>
      </c>
      <c r="AD675">
        <v>1.9389099999999999</v>
      </c>
      <c r="AE675">
        <v>3</v>
      </c>
      <c r="AF675">
        <v>19155312</v>
      </c>
      <c r="AJ675">
        <v>7080</v>
      </c>
      <c r="AM675">
        <v>1023700952</v>
      </c>
      <c r="AN675">
        <v>0</v>
      </c>
      <c r="AO675">
        <v>0</v>
      </c>
      <c r="AP675">
        <v>1023700952</v>
      </c>
      <c r="AQ675">
        <v>1023700952</v>
      </c>
      <c r="AR675">
        <v>511850476</v>
      </c>
      <c r="AS675">
        <v>0</v>
      </c>
      <c r="AT675">
        <v>0</v>
      </c>
      <c r="AU675">
        <v>511850476</v>
      </c>
      <c r="AV675">
        <v>511850476</v>
      </c>
      <c r="AW675">
        <v>8.2718500000000006</v>
      </c>
      <c r="AX675">
        <v>8.9000899999999994E-2</v>
      </c>
      <c r="AY675">
        <v>1028.0999999999999</v>
      </c>
      <c r="AZ675">
        <v>307.36399999999998</v>
      </c>
      <c r="BA675">
        <v>1212</v>
      </c>
      <c r="BB675">
        <v>333</v>
      </c>
      <c r="BC675" t="str">
        <f t="shared" si="22"/>
        <v>u=0%, k=2x10^6</v>
      </c>
      <c r="BD675">
        <f t="shared" si="23"/>
        <v>2</v>
      </c>
    </row>
    <row r="676" spans="1:56">
      <c r="A676" t="s">
        <v>1310</v>
      </c>
      <c r="B676" t="s">
        <v>63</v>
      </c>
      <c r="C676">
        <v>72</v>
      </c>
      <c r="D676" t="s">
        <v>64</v>
      </c>
      <c r="E676" t="s">
        <v>59</v>
      </c>
      <c r="F676" t="s">
        <v>60</v>
      </c>
      <c r="G676">
        <v>4000</v>
      </c>
      <c r="H676">
        <v>0</v>
      </c>
      <c r="I676">
        <v>0</v>
      </c>
      <c r="J676">
        <v>0</v>
      </c>
      <c r="K676">
        <v>1</v>
      </c>
      <c r="L676">
        <v>2000000</v>
      </c>
      <c r="M676">
        <v>190</v>
      </c>
      <c r="N676">
        <v>190</v>
      </c>
      <c r="O676">
        <v>190</v>
      </c>
      <c r="P676">
        <v>0</v>
      </c>
      <c r="Q676" t="s">
        <v>61</v>
      </c>
      <c r="R676">
        <v>1000067950791</v>
      </c>
      <c r="S676">
        <v>1000001</v>
      </c>
      <c r="T676">
        <v>1000067950791</v>
      </c>
      <c r="U676">
        <v>1000001</v>
      </c>
      <c r="V676" t="s">
        <v>71</v>
      </c>
      <c r="W676">
        <v>5</v>
      </c>
      <c r="X676">
        <v>33035</v>
      </c>
      <c r="Y676">
        <v>1032033</v>
      </c>
      <c r="Z676">
        <v>1065068</v>
      </c>
      <c r="AA676">
        <v>1000001</v>
      </c>
      <c r="AB676">
        <v>32.240600000000001</v>
      </c>
      <c r="AC676">
        <v>0.96896199999999999</v>
      </c>
      <c r="AD676">
        <v>1.9389099999999999</v>
      </c>
      <c r="AE676">
        <v>3</v>
      </c>
      <c r="AF676">
        <v>19155312</v>
      </c>
      <c r="AJ676">
        <v>13960</v>
      </c>
      <c r="AM676">
        <v>1979285269</v>
      </c>
      <c r="AN676">
        <v>0</v>
      </c>
      <c r="AO676">
        <v>0</v>
      </c>
      <c r="AP676">
        <v>1979285269</v>
      </c>
      <c r="AQ676">
        <v>1979285269</v>
      </c>
      <c r="AR676">
        <v>494821317</v>
      </c>
      <c r="AS676">
        <v>0</v>
      </c>
      <c r="AT676">
        <v>0</v>
      </c>
      <c r="AU676">
        <v>494821317</v>
      </c>
      <c r="AV676">
        <v>494821317</v>
      </c>
      <c r="AW676">
        <v>8.2992399999999993</v>
      </c>
      <c r="AX676">
        <v>9.1852100000000006E-2</v>
      </c>
      <c r="AY676">
        <v>1056.6300000000001</v>
      </c>
      <c r="AZ676">
        <v>323.92200000000003</v>
      </c>
      <c r="BA676">
        <v>1214</v>
      </c>
      <c r="BB676">
        <v>305</v>
      </c>
      <c r="BC676" t="str">
        <f t="shared" si="22"/>
        <v>u=0%, k=2x10^6</v>
      </c>
      <c r="BD676">
        <f t="shared" si="23"/>
        <v>4</v>
      </c>
    </row>
    <row r="677" spans="1:56">
      <c r="A677" t="s">
        <v>1311</v>
      </c>
      <c r="B677" t="s">
        <v>63</v>
      </c>
      <c r="C677">
        <v>72</v>
      </c>
      <c r="D677" t="s">
        <v>64</v>
      </c>
      <c r="E677" t="s">
        <v>59</v>
      </c>
      <c r="F677" t="s">
        <v>60</v>
      </c>
      <c r="G677">
        <v>8000</v>
      </c>
      <c r="H677">
        <v>0</v>
      </c>
      <c r="I677">
        <v>0</v>
      </c>
      <c r="J677">
        <v>0</v>
      </c>
      <c r="K677">
        <v>1</v>
      </c>
      <c r="L677">
        <v>2000000</v>
      </c>
      <c r="M677">
        <v>190</v>
      </c>
      <c r="N677">
        <v>190</v>
      </c>
      <c r="O677">
        <v>190</v>
      </c>
      <c r="P677">
        <v>0</v>
      </c>
      <c r="Q677" t="s">
        <v>61</v>
      </c>
      <c r="R677">
        <v>1000432079023</v>
      </c>
      <c r="S677">
        <v>1000001</v>
      </c>
      <c r="T677">
        <v>1000432079023</v>
      </c>
      <c r="U677">
        <v>1000001</v>
      </c>
      <c r="V677" t="s">
        <v>71</v>
      </c>
      <c r="W677">
        <v>5</v>
      </c>
      <c r="X677">
        <v>33035</v>
      </c>
      <c r="Y677">
        <v>1032033</v>
      </c>
      <c r="Z677">
        <v>1065068</v>
      </c>
      <c r="AA677">
        <v>1000001</v>
      </c>
      <c r="AB677">
        <v>32.240600000000001</v>
      </c>
      <c r="AC677">
        <v>0.96896199999999999</v>
      </c>
      <c r="AD677">
        <v>1.9389099999999999</v>
      </c>
      <c r="AE677">
        <v>3</v>
      </c>
      <c r="AF677">
        <v>19155312</v>
      </c>
      <c r="AJ677">
        <v>27090</v>
      </c>
      <c r="AM677">
        <v>3940544250</v>
      </c>
      <c r="AN677">
        <v>0</v>
      </c>
      <c r="AO677">
        <v>0</v>
      </c>
      <c r="AP677">
        <v>3940544250</v>
      </c>
      <c r="AQ677">
        <v>3940544250</v>
      </c>
      <c r="AR677">
        <v>492568031</v>
      </c>
      <c r="AS677">
        <v>0</v>
      </c>
      <c r="AT677">
        <v>0</v>
      </c>
      <c r="AU677">
        <v>492568031</v>
      </c>
      <c r="AV677">
        <v>492568031</v>
      </c>
      <c r="AW677">
        <v>8.4054599999999997</v>
      </c>
      <c r="AX677">
        <v>0.104046</v>
      </c>
      <c r="AY677">
        <v>1058.6500000000001</v>
      </c>
      <c r="AZ677">
        <v>342.69799999999998</v>
      </c>
      <c r="BA677">
        <v>1217</v>
      </c>
      <c r="BB677">
        <v>113</v>
      </c>
      <c r="BC677" t="str">
        <f t="shared" si="22"/>
        <v>u=0%, k=2x10^6</v>
      </c>
      <c r="BD677">
        <f t="shared" si="23"/>
        <v>8</v>
      </c>
    </row>
    <row r="678" spans="1:56">
      <c r="A678" t="s">
        <v>1312</v>
      </c>
      <c r="B678" t="s">
        <v>63</v>
      </c>
      <c r="C678">
        <v>72</v>
      </c>
      <c r="D678" t="s">
        <v>64</v>
      </c>
      <c r="E678" t="s">
        <v>59</v>
      </c>
      <c r="F678" t="s">
        <v>60</v>
      </c>
      <c r="G678">
        <v>16000</v>
      </c>
      <c r="H678">
        <v>0</v>
      </c>
      <c r="I678">
        <v>0</v>
      </c>
      <c r="J678">
        <v>0</v>
      </c>
      <c r="K678">
        <v>1</v>
      </c>
      <c r="L678">
        <v>2000000</v>
      </c>
      <c r="M678">
        <v>190</v>
      </c>
      <c r="N678">
        <v>190</v>
      </c>
      <c r="O678">
        <v>190</v>
      </c>
      <c r="P678">
        <v>0</v>
      </c>
      <c r="Q678" t="s">
        <v>61</v>
      </c>
      <c r="R678">
        <v>1000466059866</v>
      </c>
      <c r="S678">
        <v>1000001</v>
      </c>
      <c r="T678">
        <v>1000466059866</v>
      </c>
      <c r="U678">
        <v>1000001</v>
      </c>
      <c r="V678" t="s">
        <v>71</v>
      </c>
      <c r="W678">
        <v>5</v>
      </c>
      <c r="X678">
        <v>33035</v>
      </c>
      <c r="Y678">
        <v>1032033</v>
      </c>
      <c r="Z678">
        <v>1065068</v>
      </c>
      <c r="AA678">
        <v>1000001</v>
      </c>
      <c r="AB678">
        <v>32.240600000000001</v>
      </c>
      <c r="AC678">
        <v>0.96896199999999999</v>
      </c>
      <c r="AD678">
        <v>1.9389099999999999</v>
      </c>
      <c r="AE678">
        <v>3</v>
      </c>
      <c r="AF678">
        <v>19155312</v>
      </c>
      <c r="AJ678">
        <v>54626</v>
      </c>
      <c r="AM678">
        <v>7804200156</v>
      </c>
      <c r="AN678">
        <v>0</v>
      </c>
      <c r="AO678">
        <v>0</v>
      </c>
      <c r="AP678">
        <v>7804200156</v>
      </c>
      <c r="AQ678">
        <v>7804200156</v>
      </c>
      <c r="AR678">
        <v>487762509</v>
      </c>
      <c r="AS678">
        <v>0</v>
      </c>
      <c r="AT678">
        <v>0</v>
      </c>
      <c r="AU678">
        <v>487762509</v>
      </c>
      <c r="AV678">
        <v>487762509</v>
      </c>
      <c r="AW678">
        <v>8.5750299999999999</v>
      </c>
      <c r="AX678">
        <v>9.58233E-2</v>
      </c>
      <c r="AY678">
        <v>1068.3499999999999</v>
      </c>
      <c r="AZ678">
        <v>343.86599999999999</v>
      </c>
      <c r="BA678">
        <v>1218</v>
      </c>
      <c r="BB678">
        <v>129</v>
      </c>
      <c r="BC678" t="str">
        <f t="shared" si="22"/>
        <v>u=0%, k=2x10^6</v>
      </c>
      <c r="BD678">
        <f t="shared" si="23"/>
        <v>16</v>
      </c>
    </row>
    <row r="679" spans="1:56">
      <c r="A679" t="s">
        <v>1313</v>
      </c>
      <c r="B679" t="s">
        <v>63</v>
      </c>
      <c r="C679">
        <v>72</v>
      </c>
      <c r="D679" t="s">
        <v>64</v>
      </c>
      <c r="E679" t="s">
        <v>59</v>
      </c>
      <c r="F679" t="s">
        <v>60</v>
      </c>
      <c r="G679">
        <v>32000</v>
      </c>
      <c r="H679">
        <v>0</v>
      </c>
      <c r="I679">
        <v>0</v>
      </c>
      <c r="J679">
        <v>0</v>
      </c>
      <c r="K679">
        <v>1</v>
      </c>
      <c r="L679">
        <v>2000000</v>
      </c>
      <c r="M679">
        <v>190</v>
      </c>
      <c r="N679">
        <v>190</v>
      </c>
      <c r="O679">
        <v>190</v>
      </c>
      <c r="P679">
        <v>0</v>
      </c>
      <c r="Q679" t="s">
        <v>61</v>
      </c>
      <c r="R679">
        <v>1000500013749</v>
      </c>
      <c r="S679">
        <v>1000001</v>
      </c>
      <c r="T679">
        <v>1000500013749</v>
      </c>
      <c r="U679">
        <v>1000001</v>
      </c>
      <c r="V679" t="s">
        <v>71</v>
      </c>
      <c r="W679">
        <v>5</v>
      </c>
      <c r="X679">
        <v>33035</v>
      </c>
      <c r="Y679">
        <v>1032033</v>
      </c>
      <c r="Z679">
        <v>1065068</v>
      </c>
      <c r="AA679">
        <v>1000001</v>
      </c>
      <c r="AB679">
        <v>32.240600000000001</v>
      </c>
      <c r="AC679">
        <v>0.96896199999999999</v>
      </c>
      <c r="AD679">
        <v>1.9389099999999999</v>
      </c>
      <c r="AE679">
        <v>3</v>
      </c>
      <c r="AF679">
        <v>19155312</v>
      </c>
      <c r="AJ679">
        <v>106454</v>
      </c>
      <c r="AM679">
        <v>15342400148</v>
      </c>
      <c r="AN679">
        <v>0</v>
      </c>
      <c r="AO679">
        <v>0</v>
      </c>
      <c r="AP679">
        <v>15342400148</v>
      </c>
      <c r="AQ679">
        <v>15342400148</v>
      </c>
      <c r="AR679">
        <v>479450004</v>
      </c>
      <c r="AS679">
        <v>0</v>
      </c>
      <c r="AT679">
        <v>0</v>
      </c>
      <c r="AU679">
        <v>479450004</v>
      </c>
      <c r="AV679">
        <v>479450004</v>
      </c>
      <c r="AW679">
        <v>8.5028299999999994</v>
      </c>
      <c r="AX679">
        <v>9.71133E-2</v>
      </c>
      <c r="AY679">
        <v>1086.55</v>
      </c>
      <c r="AZ679">
        <v>354.72699999999998</v>
      </c>
      <c r="BA679">
        <v>1213</v>
      </c>
      <c r="BB679">
        <v>181</v>
      </c>
      <c r="BC679" t="str">
        <f t="shared" si="22"/>
        <v>u=0%, k=2x10^6</v>
      </c>
      <c r="BD679">
        <f t="shared" si="23"/>
        <v>32</v>
      </c>
    </row>
    <row r="680" spans="1:56">
      <c r="A680" t="s">
        <v>1314</v>
      </c>
      <c r="B680" t="s">
        <v>63</v>
      </c>
      <c r="C680">
        <v>72</v>
      </c>
      <c r="D680" t="s">
        <v>64</v>
      </c>
      <c r="E680" t="s">
        <v>59</v>
      </c>
      <c r="F680" t="s">
        <v>60</v>
      </c>
      <c r="G680">
        <v>64000</v>
      </c>
      <c r="H680">
        <v>0</v>
      </c>
      <c r="I680">
        <v>0</v>
      </c>
      <c r="J680">
        <v>0</v>
      </c>
      <c r="K680">
        <v>1</v>
      </c>
      <c r="L680">
        <v>2000000</v>
      </c>
      <c r="M680">
        <v>190</v>
      </c>
      <c r="N680">
        <v>190</v>
      </c>
      <c r="O680">
        <v>190</v>
      </c>
      <c r="P680">
        <v>0</v>
      </c>
      <c r="Q680" t="s">
        <v>61</v>
      </c>
      <c r="R680">
        <v>1000007641719</v>
      </c>
      <c r="S680">
        <v>1000001</v>
      </c>
      <c r="T680">
        <v>1000007641719</v>
      </c>
      <c r="U680">
        <v>1000001</v>
      </c>
      <c r="V680" t="s">
        <v>71</v>
      </c>
      <c r="W680">
        <v>5</v>
      </c>
      <c r="X680">
        <v>33035</v>
      </c>
      <c r="Y680">
        <v>1032033</v>
      </c>
      <c r="Z680">
        <v>1065068</v>
      </c>
      <c r="AA680">
        <v>1000001</v>
      </c>
      <c r="AB680">
        <v>32.240600000000001</v>
      </c>
      <c r="AC680">
        <v>0.96896199999999999</v>
      </c>
      <c r="AD680">
        <v>1.9389099999999999</v>
      </c>
      <c r="AE680">
        <v>3</v>
      </c>
      <c r="AF680">
        <v>19155312</v>
      </c>
      <c r="AJ680">
        <v>214260</v>
      </c>
      <c r="AM680">
        <v>30955488813</v>
      </c>
      <c r="AN680">
        <v>0</v>
      </c>
      <c r="AO680">
        <v>0</v>
      </c>
      <c r="AP680">
        <v>30955488813</v>
      </c>
      <c r="AQ680">
        <v>30955488813</v>
      </c>
      <c r="AR680">
        <v>483679512</v>
      </c>
      <c r="AS680">
        <v>0</v>
      </c>
      <c r="AT680">
        <v>0</v>
      </c>
      <c r="AU680">
        <v>483679512</v>
      </c>
      <c r="AV680">
        <v>483679512</v>
      </c>
      <c r="AW680">
        <v>8.4371299999999998</v>
      </c>
      <c r="AX680">
        <v>9.3053200000000003E-2</v>
      </c>
      <c r="AY680">
        <v>1074.68</v>
      </c>
      <c r="AZ680">
        <v>341.07100000000003</v>
      </c>
      <c r="BA680">
        <v>1218</v>
      </c>
      <c r="BB680">
        <v>302</v>
      </c>
      <c r="BC680" t="str">
        <f t="shared" si="22"/>
        <v>u=0%, k=2x10^6</v>
      </c>
      <c r="BD680">
        <f t="shared" si="23"/>
        <v>64</v>
      </c>
    </row>
    <row r="681" spans="1:56">
      <c r="A681" t="s">
        <v>1315</v>
      </c>
      <c r="B681" t="s">
        <v>300</v>
      </c>
      <c r="C681">
        <v>208</v>
      </c>
      <c r="D681" t="s">
        <v>64</v>
      </c>
      <c r="E681" t="s">
        <v>59</v>
      </c>
      <c r="F681" t="s">
        <v>60</v>
      </c>
      <c r="G681">
        <v>1000</v>
      </c>
      <c r="H681">
        <v>0</v>
      </c>
      <c r="I681">
        <v>0</v>
      </c>
      <c r="J681">
        <v>0</v>
      </c>
      <c r="K681">
        <v>1</v>
      </c>
      <c r="L681">
        <v>2000000</v>
      </c>
      <c r="M681">
        <v>190</v>
      </c>
      <c r="N681">
        <v>190</v>
      </c>
      <c r="O681">
        <v>190</v>
      </c>
      <c r="P681">
        <v>0</v>
      </c>
      <c r="Q681" t="s">
        <v>61</v>
      </c>
      <c r="R681">
        <v>1000055820695</v>
      </c>
      <c r="S681">
        <v>1000000</v>
      </c>
      <c r="T681">
        <v>1000055820695</v>
      </c>
      <c r="U681">
        <v>1000000</v>
      </c>
      <c r="V681" t="s">
        <v>71</v>
      </c>
      <c r="W681">
        <v>8</v>
      </c>
      <c r="X681">
        <v>18601</v>
      </c>
      <c r="Y681">
        <v>127806</v>
      </c>
      <c r="Z681">
        <v>146407</v>
      </c>
      <c r="AA681">
        <v>1000000</v>
      </c>
      <c r="AB681">
        <v>7.8709199999999999</v>
      </c>
      <c r="AC681">
        <v>7.8243600000000004</v>
      </c>
      <c r="AD681">
        <v>7.8302699999999996</v>
      </c>
      <c r="AE681">
        <v>7</v>
      </c>
      <c r="AF681">
        <v>30452656</v>
      </c>
      <c r="AJ681">
        <v>3264</v>
      </c>
      <c r="AM681">
        <v>430714338</v>
      </c>
      <c r="AN681">
        <v>0</v>
      </c>
      <c r="AO681">
        <v>0</v>
      </c>
      <c r="AP681">
        <v>430714338</v>
      </c>
      <c r="AQ681">
        <v>430714338</v>
      </c>
      <c r="AR681">
        <v>430714338</v>
      </c>
      <c r="AS681">
        <v>0</v>
      </c>
      <c r="AT681">
        <v>0</v>
      </c>
      <c r="AU681">
        <v>430714338</v>
      </c>
      <c r="AV681">
        <v>430714338</v>
      </c>
      <c r="AW681">
        <v>8.7009399999999992</v>
      </c>
      <c r="AX681">
        <v>0.37407800000000002</v>
      </c>
      <c r="AY681">
        <v>1226.8800000000001</v>
      </c>
      <c r="AZ681">
        <v>351.25400000000002</v>
      </c>
      <c r="BA681">
        <v>1158</v>
      </c>
      <c r="BB681">
        <v>321</v>
      </c>
      <c r="BC681" t="str">
        <f t="shared" si="22"/>
        <v>u=0%, k=2x10^6</v>
      </c>
      <c r="BD681">
        <f t="shared" si="23"/>
        <v>1</v>
      </c>
    </row>
    <row r="682" spans="1:56">
      <c r="A682" t="s">
        <v>1316</v>
      </c>
      <c r="B682" t="s">
        <v>300</v>
      </c>
      <c r="C682">
        <v>208</v>
      </c>
      <c r="D682" t="s">
        <v>64</v>
      </c>
      <c r="E682" t="s">
        <v>59</v>
      </c>
      <c r="F682" t="s">
        <v>60</v>
      </c>
      <c r="G682">
        <v>2000</v>
      </c>
      <c r="H682">
        <v>0</v>
      </c>
      <c r="I682">
        <v>0</v>
      </c>
      <c r="J682">
        <v>0</v>
      </c>
      <c r="K682">
        <v>1</v>
      </c>
      <c r="L682">
        <v>2000000</v>
      </c>
      <c r="M682">
        <v>190</v>
      </c>
      <c r="N682">
        <v>190</v>
      </c>
      <c r="O682">
        <v>190</v>
      </c>
      <c r="P682">
        <v>0</v>
      </c>
      <c r="Q682" t="s">
        <v>61</v>
      </c>
      <c r="R682">
        <v>1000080086452</v>
      </c>
      <c r="S682">
        <v>1000000</v>
      </c>
      <c r="T682">
        <v>1000080086452</v>
      </c>
      <c r="U682">
        <v>1000000</v>
      </c>
      <c r="V682" t="s">
        <v>71</v>
      </c>
      <c r="W682">
        <v>8</v>
      </c>
      <c r="X682">
        <v>18558</v>
      </c>
      <c r="Y682">
        <v>127597</v>
      </c>
      <c r="Z682">
        <v>146155</v>
      </c>
      <c r="AA682">
        <v>1000000</v>
      </c>
      <c r="AB682">
        <v>7.8755800000000002</v>
      </c>
      <c r="AC682">
        <v>7.8371700000000004</v>
      </c>
      <c r="AD682">
        <v>7.8420500000000004</v>
      </c>
      <c r="AE682">
        <v>7</v>
      </c>
      <c r="AF682">
        <v>30400240</v>
      </c>
      <c r="AJ682">
        <v>6152</v>
      </c>
      <c r="AM682">
        <v>848850812</v>
      </c>
      <c r="AN682">
        <v>0</v>
      </c>
      <c r="AO682">
        <v>0</v>
      </c>
      <c r="AP682">
        <v>848850812</v>
      </c>
      <c r="AQ682">
        <v>848850812</v>
      </c>
      <c r="AR682">
        <v>424425406</v>
      </c>
      <c r="AS682">
        <v>0</v>
      </c>
      <c r="AT682">
        <v>0</v>
      </c>
      <c r="AU682">
        <v>424425406</v>
      </c>
      <c r="AV682">
        <v>424425406</v>
      </c>
      <c r="AW682">
        <v>8.7185600000000001</v>
      </c>
      <c r="AX682">
        <v>0.37451299999999998</v>
      </c>
      <c r="AY682">
        <v>1231.47</v>
      </c>
      <c r="AZ682">
        <v>354.553</v>
      </c>
      <c r="BA682">
        <v>1158</v>
      </c>
      <c r="BB682">
        <v>318</v>
      </c>
      <c r="BC682" t="str">
        <f t="shared" si="22"/>
        <v>u=0%, k=2x10^6</v>
      </c>
      <c r="BD682">
        <f t="shared" si="23"/>
        <v>2</v>
      </c>
    </row>
    <row r="683" spans="1:56">
      <c r="A683" t="s">
        <v>1317</v>
      </c>
      <c r="B683" t="s">
        <v>300</v>
      </c>
      <c r="C683">
        <v>208</v>
      </c>
      <c r="D683" t="s">
        <v>64</v>
      </c>
      <c r="E683" t="s">
        <v>59</v>
      </c>
      <c r="F683" t="s">
        <v>60</v>
      </c>
      <c r="G683">
        <v>4000</v>
      </c>
      <c r="H683">
        <v>0</v>
      </c>
      <c r="I683">
        <v>0</v>
      </c>
      <c r="J683">
        <v>0</v>
      </c>
      <c r="K683">
        <v>1</v>
      </c>
      <c r="L683">
        <v>2000000</v>
      </c>
      <c r="M683">
        <v>190</v>
      </c>
      <c r="N683">
        <v>190</v>
      </c>
      <c r="O683">
        <v>190</v>
      </c>
      <c r="P683">
        <v>0</v>
      </c>
      <c r="Q683" t="s">
        <v>61</v>
      </c>
      <c r="R683">
        <v>1000210087873</v>
      </c>
      <c r="S683">
        <v>1000000</v>
      </c>
      <c r="T683">
        <v>1000210087873</v>
      </c>
      <c r="U683">
        <v>1000000</v>
      </c>
      <c r="V683" t="s">
        <v>71</v>
      </c>
      <c r="W683">
        <v>8</v>
      </c>
      <c r="X683">
        <v>18543</v>
      </c>
      <c r="Y683">
        <v>127499</v>
      </c>
      <c r="Z683">
        <v>146042</v>
      </c>
      <c r="AA683">
        <v>1000000</v>
      </c>
      <c r="AB683">
        <v>7.8758600000000003</v>
      </c>
      <c r="AC683">
        <v>7.8432000000000004</v>
      </c>
      <c r="AD683">
        <v>7.8473499999999996</v>
      </c>
      <c r="AE683">
        <v>7</v>
      </c>
      <c r="AF683">
        <v>30376736</v>
      </c>
      <c r="AJ683">
        <v>11990</v>
      </c>
      <c r="AM683">
        <v>1673449289</v>
      </c>
      <c r="AN683">
        <v>0</v>
      </c>
      <c r="AO683">
        <v>0</v>
      </c>
      <c r="AP683">
        <v>1673449289</v>
      </c>
      <c r="AQ683">
        <v>1673449289</v>
      </c>
      <c r="AR683">
        <v>418362322</v>
      </c>
      <c r="AS683">
        <v>0</v>
      </c>
      <c r="AT683">
        <v>0</v>
      </c>
      <c r="AU683">
        <v>418362322</v>
      </c>
      <c r="AV683">
        <v>418362322</v>
      </c>
      <c r="AW683">
        <v>8.5949899999999992</v>
      </c>
      <c r="AX683">
        <v>0.36651299999999998</v>
      </c>
      <c r="AY683">
        <v>1233.5999999999999</v>
      </c>
      <c r="AZ683">
        <v>352.34500000000003</v>
      </c>
      <c r="BA683">
        <v>1149</v>
      </c>
      <c r="BB683">
        <v>244</v>
      </c>
      <c r="BC683" t="str">
        <f t="shared" si="22"/>
        <v>u=0%, k=2x10^6</v>
      </c>
      <c r="BD683">
        <f t="shared" si="23"/>
        <v>4</v>
      </c>
    </row>
    <row r="684" spans="1:56">
      <c r="A684" t="s">
        <v>1318</v>
      </c>
      <c r="B684" t="s">
        <v>300</v>
      </c>
      <c r="C684">
        <v>208</v>
      </c>
      <c r="D684" t="s">
        <v>64</v>
      </c>
      <c r="E684" t="s">
        <v>59</v>
      </c>
      <c r="F684" t="s">
        <v>60</v>
      </c>
      <c r="G684">
        <v>8000</v>
      </c>
      <c r="H684">
        <v>0</v>
      </c>
      <c r="I684">
        <v>0</v>
      </c>
      <c r="J684">
        <v>0</v>
      </c>
      <c r="K684">
        <v>1</v>
      </c>
      <c r="L684">
        <v>2000000</v>
      </c>
      <c r="M684">
        <v>190</v>
      </c>
      <c r="N684">
        <v>190</v>
      </c>
      <c r="O684">
        <v>190</v>
      </c>
      <c r="P684">
        <v>0</v>
      </c>
      <c r="Q684" t="s">
        <v>61</v>
      </c>
      <c r="R684">
        <v>999447783555</v>
      </c>
      <c r="S684">
        <v>1000000</v>
      </c>
      <c r="T684">
        <v>999447783555</v>
      </c>
      <c r="U684">
        <v>1000000</v>
      </c>
      <c r="V684" t="s">
        <v>71</v>
      </c>
      <c r="W684">
        <v>8</v>
      </c>
      <c r="X684">
        <v>18538</v>
      </c>
      <c r="Y684">
        <v>127615</v>
      </c>
      <c r="Z684">
        <v>146153</v>
      </c>
      <c r="AA684">
        <v>1000000</v>
      </c>
      <c r="AB684">
        <v>7.8839699999999997</v>
      </c>
      <c r="AC684">
        <v>7.8360700000000003</v>
      </c>
      <c r="AD684">
        <v>7.8421399999999997</v>
      </c>
      <c r="AE684">
        <v>7</v>
      </c>
      <c r="AF684">
        <v>30399824</v>
      </c>
      <c r="AJ684">
        <v>23438</v>
      </c>
      <c r="AM684">
        <v>3304891212</v>
      </c>
      <c r="AN684">
        <v>0</v>
      </c>
      <c r="AO684">
        <v>0</v>
      </c>
      <c r="AP684">
        <v>3304891212</v>
      </c>
      <c r="AQ684">
        <v>3304891212</v>
      </c>
      <c r="AR684">
        <v>413111401</v>
      </c>
      <c r="AS684">
        <v>0</v>
      </c>
      <c r="AT684">
        <v>0</v>
      </c>
      <c r="AU684">
        <v>413111401</v>
      </c>
      <c r="AV684">
        <v>413111401</v>
      </c>
      <c r="AW684">
        <v>8.6224600000000002</v>
      </c>
      <c r="AX684">
        <v>0.36893500000000001</v>
      </c>
      <c r="AY684">
        <v>1241.1099999999999</v>
      </c>
      <c r="AZ684">
        <v>358.70499999999998</v>
      </c>
      <c r="BA684">
        <v>1151</v>
      </c>
      <c r="BB684">
        <v>233</v>
      </c>
      <c r="BC684" t="str">
        <f t="shared" si="22"/>
        <v>u=0%, k=2x10^6</v>
      </c>
      <c r="BD684">
        <f t="shared" si="23"/>
        <v>8</v>
      </c>
    </row>
    <row r="685" spans="1:56">
      <c r="A685" t="s">
        <v>1319</v>
      </c>
      <c r="B685" t="s">
        <v>300</v>
      </c>
      <c r="C685">
        <v>208</v>
      </c>
      <c r="D685" t="s">
        <v>64</v>
      </c>
      <c r="E685" t="s">
        <v>59</v>
      </c>
      <c r="F685" t="s">
        <v>60</v>
      </c>
      <c r="G685">
        <v>16000</v>
      </c>
      <c r="H685">
        <v>0</v>
      </c>
      <c r="I685">
        <v>0</v>
      </c>
      <c r="J685">
        <v>0</v>
      </c>
      <c r="K685">
        <v>1</v>
      </c>
      <c r="L685">
        <v>2000000</v>
      </c>
      <c r="M685">
        <v>190</v>
      </c>
      <c r="N685">
        <v>190</v>
      </c>
      <c r="O685">
        <v>190</v>
      </c>
      <c r="P685">
        <v>0</v>
      </c>
      <c r="Q685" t="s">
        <v>61</v>
      </c>
      <c r="R685">
        <v>1000491566867</v>
      </c>
      <c r="S685">
        <v>1000000</v>
      </c>
      <c r="T685">
        <v>1000491566867</v>
      </c>
      <c r="U685">
        <v>1000000</v>
      </c>
      <c r="V685" t="s">
        <v>71</v>
      </c>
      <c r="W685">
        <v>8</v>
      </c>
      <c r="X685">
        <v>18539</v>
      </c>
      <c r="Y685">
        <v>127707</v>
      </c>
      <c r="Z685">
        <v>146246</v>
      </c>
      <c r="AA685">
        <v>1000000</v>
      </c>
      <c r="AB685">
        <v>7.88856</v>
      </c>
      <c r="AC685">
        <v>7.8304200000000002</v>
      </c>
      <c r="AD685">
        <v>7.83779</v>
      </c>
      <c r="AE685">
        <v>7</v>
      </c>
      <c r="AF685">
        <v>30419168</v>
      </c>
      <c r="AJ685">
        <v>46112</v>
      </c>
      <c r="AM685">
        <v>6543219369</v>
      </c>
      <c r="AN685">
        <v>0</v>
      </c>
      <c r="AO685">
        <v>0</v>
      </c>
      <c r="AP685">
        <v>6543219369</v>
      </c>
      <c r="AQ685">
        <v>6543219369</v>
      </c>
      <c r="AR685">
        <v>408951210</v>
      </c>
      <c r="AS685">
        <v>0</v>
      </c>
      <c r="AT685">
        <v>0</v>
      </c>
      <c r="AU685">
        <v>408951210</v>
      </c>
      <c r="AV685">
        <v>408951210</v>
      </c>
      <c r="AW685">
        <v>8.6184200000000004</v>
      </c>
      <c r="AX685">
        <v>0.37251400000000001</v>
      </c>
      <c r="AY685">
        <v>1247.6300000000001</v>
      </c>
      <c r="AZ685">
        <v>362.44200000000001</v>
      </c>
      <c r="BA685">
        <v>1151</v>
      </c>
      <c r="BB685">
        <v>229</v>
      </c>
      <c r="BC685" t="str">
        <f t="shared" si="22"/>
        <v>u=0%, k=2x10^6</v>
      </c>
      <c r="BD685">
        <f t="shared" si="23"/>
        <v>16</v>
      </c>
    </row>
    <row r="686" spans="1:56">
      <c r="A686" t="s">
        <v>1320</v>
      </c>
      <c r="B686" t="s">
        <v>300</v>
      </c>
      <c r="C686">
        <v>208</v>
      </c>
      <c r="D686" t="s">
        <v>64</v>
      </c>
      <c r="E686" t="s">
        <v>59</v>
      </c>
      <c r="F686" t="s">
        <v>60</v>
      </c>
      <c r="G686">
        <v>32000</v>
      </c>
      <c r="H686">
        <v>0</v>
      </c>
      <c r="I686">
        <v>0</v>
      </c>
      <c r="J686">
        <v>0</v>
      </c>
      <c r="K686">
        <v>1</v>
      </c>
      <c r="L686">
        <v>2000000</v>
      </c>
      <c r="M686">
        <v>190</v>
      </c>
      <c r="N686">
        <v>190</v>
      </c>
      <c r="O686">
        <v>190</v>
      </c>
      <c r="P686">
        <v>0</v>
      </c>
      <c r="Q686" t="s">
        <v>61</v>
      </c>
      <c r="R686">
        <v>1000260787132</v>
      </c>
      <c r="S686">
        <v>1000000</v>
      </c>
      <c r="T686">
        <v>1000260787132</v>
      </c>
      <c r="U686">
        <v>1000000</v>
      </c>
      <c r="V686" t="s">
        <v>71</v>
      </c>
      <c r="W686">
        <v>8</v>
      </c>
      <c r="X686">
        <v>18446</v>
      </c>
      <c r="Y686">
        <v>127445</v>
      </c>
      <c r="Z686">
        <v>145891</v>
      </c>
      <c r="AA686">
        <v>1000000</v>
      </c>
      <c r="AB686">
        <v>7.90909</v>
      </c>
      <c r="AC686">
        <v>7.8465199999999999</v>
      </c>
      <c r="AD686">
        <v>7.8544299999999998</v>
      </c>
      <c r="AE686">
        <v>7</v>
      </c>
      <c r="AF686">
        <v>30345328</v>
      </c>
      <c r="AJ686" t="s">
        <v>1321</v>
      </c>
      <c r="AM686">
        <v>13074095689</v>
      </c>
      <c r="AN686">
        <v>0</v>
      </c>
      <c r="AO686">
        <v>0</v>
      </c>
      <c r="AP686">
        <v>13074095689</v>
      </c>
      <c r="AQ686">
        <v>13074095689</v>
      </c>
      <c r="AR686">
        <v>408565490</v>
      </c>
      <c r="AS686">
        <v>0</v>
      </c>
      <c r="AT686">
        <v>0</v>
      </c>
      <c r="AU686">
        <v>408565490</v>
      </c>
      <c r="AV686">
        <v>408565490</v>
      </c>
      <c r="AW686">
        <v>8.6626600000000007</v>
      </c>
      <c r="AX686">
        <v>0.37110799999999999</v>
      </c>
      <c r="AY686">
        <v>1249.31</v>
      </c>
      <c r="AZ686">
        <v>367.59500000000003</v>
      </c>
      <c r="BA686">
        <v>1154</v>
      </c>
      <c r="BB686">
        <v>325</v>
      </c>
      <c r="BC686" t="str">
        <f t="shared" si="22"/>
        <v>u=0%, k=2x10^6</v>
      </c>
      <c r="BD686">
        <f t="shared" si="23"/>
        <v>32</v>
      </c>
    </row>
    <row r="687" spans="1:56">
      <c r="A687" t="s">
        <v>1322</v>
      </c>
      <c r="B687" t="s">
        <v>300</v>
      </c>
      <c r="C687">
        <v>208</v>
      </c>
      <c r="D687" t="s">
        <v>64</v>
      </c>
      <c r="E687" t="s">
        <v>59</v>
      </c>
      <c r="F687" t="s">
        <v>60</v>
      </c>
      <c r="G687">
        <v>64000</v>
      </c>
      <c r="H687">
        <v>0</v>
      </c>
      <c r="I687">
        <v>0</v>
      </c>
      <c r="J687">
        <v>0</v>
      </c>
      <c r="K687">
        <v>1</v>
      </c>
      <c r="L687">
        <v>2000000</v>
      </c>
      <c r="M687">
        <v>190</v>
      </c>
      <c r="N687">
        <v>190</v>
      </c>
      <c r="O687">
        <v>190</v>
      </c>
      <c r="P687">
        <v>0</v>
      </c>
      <c r="Q687" t="s">
        <v>61</v>
      </c>
      <c r="R687">
        <v>999725012786</v>
      </c>
      <c r="S687">
        <v>1000000</v>
      </c>
      <c r="T687">
        <v>999725012786</v>
      </c>
      <c r="U687">
        <v>1000000</v>
      </c>
      <c r="V687" t="s">
        <v>71</v>
      </c>
      <c r="W687">
        <v>8</v>
      </c>
      <c r="X687">
        <v>18507</v>
      </c>
      <c r="Y687">
        <v>127525</v>
      </c>
      <c r="Z687">
        <v>146032</v>
      </c>
      <c r="AA687">
        <v>1000000</v>
      </c>
      <c r="AB687">
        <v>7.8906400000000003</v>
      </c>
      <c r="AC687">
        <v>7.8415999999999997</v>
      </c>
      <c r="AD687">
        <v>7.84781</v>
      </c>
      <c r="AE687">
        <v>7</v>
      </c>
      <c r="AF687">
        <v>30374656</v>
      </c>
      <c r="AJ687">
        <v>185580</v>
      </c>
      <c r="AM687">
        <v>26176332668</v>
      </c>
      <c r="AN687">
        <v>0</v>
      </c>
      <c r="AO687">
        <v>0</v>
      </c>
      <c r="AP687">
        <v>26176332668</v>
      </c>
      <c r="AQ687">
        <v>26176332668</v>
      </c>
      <c r="AR687">
        <v>409005197</v>
      </c>
      <c r="AS687">
        <v>0</v>
      </c>
      <c r="AT687">
        <v>0</v>
      </c>
      <c r="AU687">
        <v>409005197</v>
      </c>
      <c r="AV687">
        <v>409005197</v>
      </c>
      <c r="AW687">
        <v>8.6572499999999994</v>
      </c>
      <c r="AX687">
        <v>0.372168</v>
      </c>
      <c r="AY687">
        <v>1246.51</v>
      </c>
      <c r="AZ687">
        <v>362.36200000000002</v>
      </c>
      <c r="BA687">
        <v>1153</v>
      </c>
      <c r="BB687">
        <v>303</v>
      </c>
      <c r="BC687" t="str">
        <f t="shared" si="22"/>
        <v>u=0%, k=2x10^6</v>
      </c>
      <c r="BD687">
        <f t="shared" si="23"/>
        <v>64</v>
      </c>
    </row>
    <row r="688" spans="1:56">
      <c r="A688" t="s">
        <v>1323</v>
      </c>
      <c r="B688" t="s">
        <v>105</v>
      </c>
      <c r="D688" t="s">
        <v>64</v>
      </c>
      <c r="E688" t="s">
        <v>59</v>
      </c>
      <c r="F688" t="s">
        <v>60</v>
      </c>
      <c r="G688">
        <v>1000</v>
      </c>
      <c r="H688">
        <v>0</v>
      </c>
      <c r="I688">
        <v>0</v>
      </c>
      <c r="J688">
        <v>0</v>
      </c>
      <c r="K688">
        <v>1</v>
      </c>
      <c r="L688">
        <v>2000000</v>
      </c>
      <c r="M688">
        <v>190</v>
      </c>
      <c r="N688">
        <v>190</v>
      </c>
      <c r="O688">
        <v>190</v>
      </c>
      <c r="P688">
        <v>0</v>
      </c>
      <c r="Q688" t="s">
        <v>61</v>
      </c>
      <c r="R688">
        <v>1000090384692</v>
      </c>
      <c r="S688">
        <v>1000000</v>
      </c>
      <c r="T688">
        <v>1000090384692</v>
      </c>
      <c r="U688">
        <v>1000000</v>
      </c>
      <c r="V688" t="s">
        <v>71</v>
      </c>
      <c r="W688">
        <v>25</v>
      </c>
      <c r="X688">
        <v>571282</v>
      </c>
      <c r="Y688">
        <v>428719</v>
      </c>
      <c r="Z688">
        <v>1000001</v>
      </c>
      <c r="AA688">
        <v>1000000</v>
      </c>
      <c r="AB688">
        <v>1.7504500000000001</v>
      </c>
      <c r="AC688">
        <v>2.3325300000000002</v>
      </c>
      <c r="AD688">
        <v>2</v>
      </c>
      <c r="AE688">
        <v>19.302299999999999</v>
      </c>
      <c r="AF688">
        <v>56000056</v>
      </c>
      <c r="AJ688">
        <v>1714</v>
      </c>
      <c r="AM688">
        <v>233191929</v>
      </c>
      <c r="AN688">
        <v>0</v>
      </c>
      <c r="AO688">
        <v>0</v>
      </c>
      <c r="AP688">
        <v>233191929</v>
      </c>
      <c r="AQ688">
        <v>233191929</v>
      </c>
      <c r="AR688">
        <v>233191929</v>
      </c>
      <c r="AS688">
        <v>0</v>
      </c>
      <c r="AT688">
        <v>0</v>
      </c>
      <c r="AU688">
        <v>233191929</v>
      </c>
      <c r="AV688">
        <v>233191929</v>
      </c>
      <c r="AW688">
        <v>15.692399999999999</v>
      </c>
      <c r="AX688">
        <v>2.1160899999999998</v>
      </c>
      <c r="AY688">
        <v>2266.44</v>
      </c>
      <c r="AZ688">
        <v>987.42399999999998</v>
      </c>
      <c r="BA688">
        <v>1166</v>
      </c>
      <c r="BB688">
        <v>349</v>
      </c>
      <c r="BC688" t="str">
        <f t="shared" si="22"/>
        <v>u=0%, k=2x10^6</v>
      </c>
      <c r="BD688">
        <f t="shared" si="23"/>
        <v>1</v>
      </c>
    </row>
    <row r="689" spans="1:56">
      <c r="A689" t="s">
        <v>1324</v>
      </c>
      <c r="B689" t="s">
        <v>105</v>
      </c>
      <c r="D689" t="s">
        <v>64</v>
      </c>
      <c r="E689" t="s">
        <v>59</v>
      </c>
      <c r="F689" t="s">
        <v>60</v>
      </c>
      <c r="G689">
        <v>2000</v>
      </c>
      <c r="H689">
        <v>0</v>
      </c>
      <c r="I689">
        <v>0</v>
      </c>
      <c r="J689">
        <v>0</v>
      </c>
      <c r="K689">
        <v>1</v>
      </c>
      <c r="L689">
        <v>2000000</v>
      </c>
      <c r="M689">
        <v>190</v>
      </c>
      <c r="N689">
        <v>190</v>
      </c>
      <c r="O689">
        <v>190</v>
      </c>
      <c r="P689">
        <v>0</v>
      </c>
      <c r="Q689" t="s">
        <v>61</v>
      </c>
      <c r="R689">
        <v>1000755073456</v>
      </c>
      <c r="S689">
        <v>1000000</v>
      </c>
      <c r="T689">
        <v>1000755073456</v>
      </c>
      <c r="U689">
        <v>1000000</v>
      </c>
      <c r="V689" t="s">
        <v>71</v>
      </c>
      <c r="W689">
        <v>25</v>
      </c>
      <c r="X689">
        <v>571548</v>
      </c>
      <c r="Y689">
        <v>428453</v>
      </c>
      <c r="Z689">
        <v>1000001</v>
      </c>
      <c r="AA689">
        <v>1000000</v>
      </c>
      <c r="AB689">
        <v>1.7496400000000001</v>
      </c>
      <c r="AC689">
        <v>2.3339799999999999</v>
      </c>
      <c r="AD689">
        <v>2</v>
      </c>
      <c r="AE689">
        <v>19.308399999999999</v>
      </c>
      <c r="AF689">
        <v>56000056</v>
      </c>
      <c r="AJ689">
        <v>3138</v>
      </c>
      <c r="AM689">
        <v>457728353</v>
      </c>
      <c r="AN689">
        <v>0</v>
      </c>
      <c r="AO689">
        <v>0</v>
      </c>
      <c r="AP689">
        <v>457728353</v>
      </c>
      <c r="AQ689">
        <v>457728353</v>
      </c>
      <c r="AR689">
        <v>228864176</v>
      </c>
      <c r="AS689">
        <v>0</v>
      </c>
      <c r="AT689">
        <v>0</v>
      </c>
      <c r="AU689">
        <v>228864176</v>
      </c>
      <c r="AV689">
        <v>228864176</v>
      </c>
      <c r="AW689">
        <v>15.710599999999999</v>
      </c>
      <c r="AX689">
        <v>2.0965600000000002</v>
      </c>
      <c r="AY689">
        <v>2285.63</v>
      </c>
      <c r="AZ689">
        <v>993.11</v>
      </c>
      <c r="BA689">
        <v>1166</v>
      </c>
      <c r="BB689">
        <v>355</v>
      </c>
      <c r="BC689" t="str">
        <f t="shared" si="22"/>
        <v>u=0%, k=2x10^6</v>
      </c>
      <c r="BD689">
        <f t="shared" si="23"/>
        <v>2</v>
      </c>
    </row>
    <row r="690" spans="1:56">
      <c r="A690" t="s">
        <v>1325</v>
      </c>
      <c r="B690" t="s">
        <v>105</v>
      </c>
      <c r="D690" t="s">
        <v>64</v>
      </c>
      <c r="E690" t="s">
        <v>59</v>
      </c>
      <c r="F690" t="s">
        <v>60</v>
      </c>
      <c r="G690">
        <v>4000</v>
      </c>
      <c r="H690">
        <v>0</v>
      </c>
      <c r="I690">
        <v>0</v>
      </c>
      <c r="J690">
        <v>0</v>
      </c>
      <c r="K690">
        <v>1</v>
      </c>
      <c r="L690">
        <v>2000000</v>
      </c>
      <c r="M690">
        <v>190</v>
      </c>
      <c r="N690">
        <v>190</v>
      </c>
      <c r="O690">
        <v>190</v>
      </c>
      <c r="P690">
        <v>0</v>
      </c>
      <c r="Q690" t="s">
        <v>61</v>
      </c>
      <c r="R690">
        <v>999650081840</v>
      </c>
      <c r="S690">
        <v>1000000</v>
      </c>
      <c r="T690">
        <v>999650081840</v>
      </c>
      <c r="U690">
        <v>1000000</v>
      </c>
      <c r="V690" t="s">
        <v>71</v>
      </c>
      <c r="W690">
        <v>25</v>
      </c>
      <c r="X690">
        <v>571497</v>
      </c>
      <c r="Y690">
        <v>428504</v>
      </c>
      <c r="Z690">
        <v>1000001</v>
      </c>
      <c r="AA690">
        <v>1000000</v>
      </c>
      <c r="AB690">
        <v>1.74979</v>
      </c>
      <c r="AC690">
        <v>2.3336999999999999</v>
      </c>
      <c r="AD690">
        <v>2</v>
      </c>
      <c r="AE690">
        <v>19.294</v>
      </c>
      <c r="AF690">
        <v>56000056</v>
      </c>
      <c r="AJ690">
        <v>5856</v>
      </c>
      <c r="AM690">
        <v>896906614</v>
      </c>
      <c r="AN690">
        <v>0</v>
      </c>
      <c r="AO690">
        <v>0</v>
      </c>
      <c r="AP690">
        <v>896906614</v>
      </c>
      <c r="AQ690">
        <v>896906614</v>
      </c>
      <c r="AR690">
        <v>224226653</v>
      </c>
      <c r="AS690">
        <v>0</v>
      </c>
      <c r="AT690">
        <v>0</v>
      </c>
      <c r="AU690">
        <v>224226653</v>
      </c>
      <c r="AV690">
        <v>224226653</v>
      </c>
      <c r="AW690">
        <v>15.7348</v>
      </c>
      <c r="AX690">
        <v>2.1093899999999999</v>
      </c>
      <c r="AY690">
        <v>2308.41</v>
      </c>
      <c r="AZ690">
        <v>1027.99</v>
      </c>
      <c r="BA690">
        <v>1166</v>
      </c>
      <c r="BB690">
        <v>230</v>
      </c>
      <c r="BC690" t="str">
        <f t="shared" si="22"/>
        <v>u=0%, k=2x10^6</v>
      </c>
      <c r="BD690">
        <f t="shared" si="23"/>
        <v>4</v>
      </c>
    </row>
    <row r="691" spans="1:56">
      <c r="A691" t="s">
        <v>1326</v>
      </c>
      <c r="B691" t="s">
        <v>105</v>
      </c>
      <c r="D691" t="s">
        <v>64</v>
      </c>
      <c r="E691" t="s">
        <v>59</v>
      </c>
      <c r="F691" t="s">
        <v>60</v>
      </c>
      <c r="G691">
        <v>8000</v>
      </c>
      <c r="H691">
        <v>0</v>
      </c>
      <c r="I691">
        <v>0</v>
      </c>
      <c r="J691">
        <v>0</v>
      </c>
      <c r="K691">
        <v>1</v>
      </c>
      <c r="L691">
        <v>2000000</v>
      </c>
      <c r="M691">
        <v>190</v>
      </c>
      <c r="N691">
        <v>190</v>
      </c>
      <c r="O691">
        <v>190</v>
      </c>
      <c r="P691">
        <v>0</v>
      </c>
      <c r="Q691" t="s">
        <v>61</v>
      </c>
      <c r="R691">
        <v>1000546347357</v>
      </c>
      <c r="S691">
        <v>1000000</v>
      </c>
      <c r="T691">
        <v>1000546347357</v>
      </c>
      <c r="U691">
        <v>1000000</v>
      </c>
      <c r="V691" t="s">
        <v>71</v>
      </c>
      <c r="W691">
        <v>25</v>
      </c>
      <c r="X691">
        <v>571488</v>
      </c>
      <c r="Y691">
        <v>428513</v>
      </c>
      <c r="Z691">
        <v>1000001</v>
      </c>
      <c r="AA691">
        <v>1000000</v>
      </c>
      <c r="AB691">
        <v>1.7498199999999999</v>
      </c>
      <c r="AC691">
        <v>2.33365</v>
      </c>
      <c r="AD691">
        <v>2</v>
      </c>
      <c r="AE691">
        <v>19.325700000000001</v>
      </c>
      <c r="AF691">
        <v>56000056</v>
      </c>
      <c r="AJ691">
        <v>11506</v>
      </c>
      <c r="AM691">
        <v>1777500300</v>
      </c>
      <c r="AN691">
        <v>0</v>
      </c>
      <c r="AO691">
        <v>0</v>
      </c>
      <c r="AP691">
        <v>1777500300</v>
      </c>
      <c r="AQ691">
        <v>1777500300</v>
      </c>
      <c r="AR691">
        <v>222187537</v>
      </c>
      <c r="AS691">
        <v>0</v>
      </c>
      <c r="AT691">
        <v>0</v>
      </c>
      <c r="AU691">
        <v>222187537</v>
      </c>
      <c r="AV691">
        <v>222187537</v>
      </c>
      <c r="AW691">
        <v>15.6797</v>
      </c>
      <c r="AX691">
        <v>2.1152799999999998</v>
      </c>
      <c r="AY691">
        <v>2315.83</v>
      </c>
      <c r="AZ691">
        <v>1033.54</v>
      </c>
      <c r="BA691">
        <v>1166</v>
      </c>
      <c r="BB691">
        <v>320</v>
      </c>
      <c r="BC691" t="str">
        <f t="shared" si="22"/>
        <v>u=0%, k=2x10^6</v>
      </c>
      <c r="BD691">
        <f t="shared" si="23"/>
        <v>8</v>
      </c>
    </row>
    <row r="692" spans="1:56">
      <c r="A692" t="s">
        <v>1327</v>
      </c>
      <c r="B692" t="s">
        <v>105</v>
      </c>
      <c r="D692" t="s">
        <v>64</v>
      </c>
      <c r="E692" t="s">
        <v>59</v>
      </c>
      <c r="F692" t="s">
        <v>60</v>
      </c>
      <c r="G692">
        <v>16000</v>
      </c>
      <c r="H692">
        <v>0</v>
      </c>
      <c r="I692">
        <v>0</v>
      </c>
      <c r="J692">
        <v>0</v>
      </c>
      <c r="K692">
        <v>1</v>
      </c>
      <c r="L692">
        <v>2000000</v>
      </c>
      <c r="M692">
        <v>190</v>
      </c>
      <c r="N692">
        <v>190</v>
      </c>
      <c r="O692">
        <v>190</v>
      </c>
      <c r="P692">
        <v>0</v>
      </c>
      <c r="Q692" t="s">
        <v>61</v>
      </c>
      <c r="R692">
        <v>999889465801</v>
      </c>
      <c r="S692">
        <v>1000000</v>
      </c>
      <c r="T692">
        <v>999889465801</v>
      </c>
      <c r="U692">
        <v>1000000</v>
      </c>
      <c r="V692" t="s">
        <v>71</v>
      </c>
      <c r="W692">
        <v>25</v>
      </c>
      <c r="X692">
        <v>571664</v>
      </c>
      <c r="Y692">
        <v>428337</v>
      </c>
      <c r="Z692">
        <v>1000001</v>
      </c>
      <c r="AA692">
        <v>1000000</v>
      </c>
      <c r="AB692">
        <v>1.7492799999999999</v>
      </c>
      <c r="AC692">
        <v>2.3346100000000001</v>
      </c>
      <c r="AD692">
        <v>2</v>
      </c>
      <c r="AE692">
        <v>19.340699999999998</v>
      </c>
      <c r="AF692">
        <v>56000056</v>
      </c>
      <c r="AJ692">
        <v>22754</v>
      </c>
      <c r="AM692">
        <v>3497034649</v>
      </c>
      <c r="AN692">
        <v>0</v>
      </c>
      <c r="AO692">
        <v>0</v>
      </c>
      <c r="AP692">
        <v>3497034649</v>
      </c>
      <c r="AQ692">
        <v>3497034649</v>
      </c>
      <c r="AR692">
        <v>218564665</v>
      </c>
      <c r="AS692">
        <v>0</v>
      </c>
      <c r="AT692">
        <v>0</v>
      </c>
      <c r="AU692">
        <v>218564665</v>
      </c>
      <c r="AV692">
        <v>218564665</v>
      </c>
      <c r="AW692">
        <v>15.6981</v>
      </c>
      <c r="AX692">
        <v>2.1238199999999998</v>
      </c>
      <c r="AY692">
        <v>2342.11</v>
      </c>
      <c r="AZ692">
        <v>1035.46</v>
      </c>
      <c r="BA692">
        <v>1166</v>
      </c>
      <c r="BB692">
        <v>246</v>
      </c>
      <c r="BC692" t="str">
        <f t="shared" si="22"/>
        <v>u=0%, k=2x10^6</v>
      </c>
      <c r="BD692">
        <f t="shared" si="23"/>
        <v>16</v>
      </c>
    </row>
    <row r="693" spans="1:56">
      <c r="A693" t="s">
        <v>1328</v>
      </c>
      <c r="B693" t="s">
        <v>105</v>
      </c>
      <c r="D693" t="s">
        <v>64</v>
      </c>
      <c r="E693" t="s">
        <v>59</v>
      </c>
      <c r="F693" t="s">
        <v>60</v>
      </c>
      <c r="G693">
        <v>32000</v>
      </c>
      <c r="H693">
        <v>0</v>
      </c>
      <c r="I693">
        <v>0</v>
      </c>
      <c r="J693">
        <v>0</v>
      </c>
      <c r="K693">
        <v>1</v>
      </c>
      <c r="L693">
        <v>2000000</v>
      </c>
      <c r="M693">
        <v>190</v>
      </c>
      <c r="N693">
        <v>190</v>
      </c>
      <c r="O693">
        <v>190</v>
      </c>
      <c r="P693">
        <v>0</v>
      </c>
      <c r="Q693" t="s">
        <v>61</v>
      </c>
      <c r="R693">
        <v>999485976590</v>
      </c>
      <c r="S693">
        <v>1000000</v>
      </c>
      <c r="T693">
        <v>999485976590</v>
      </c>
      <c r="U693">
        <v>1000000</v>
      </c>
      <c r="V693" t="s">
        <v>71</v>
      </c>
      <c r="W693">
        <v>25</v>
      </c>
      <c r="X693">
        <v>571341</v>
      </c>
      <c r="Y693">
        <v>428660</v>
      </c>
      <c r="Z693">
        <v>1000001</v>
      </c>
      <c r="AA693">
        <v>1000000</v>
      </c>
      <c r="AB693">
        <v>1.75027</v>
      </c>
      <c r="AC693">
        <v>2.3328500000000001</v>
      </c>
      <c r="AD693">
        <v>2</v>
      </c>
      <c r="AE693">
        <v>19.303699999999999</v>
      </c>
      <c r="AF693">
        <v>56000056</v>
      </c>
      <c r="AJ693">
        <v>44654</v>
      </c>
      <c r="AM693">
        <v>7037275373</v>
      </c>
      <c r="AN693">
        <v>0</v>
      </c>
      <c r="AO693">
        <v>0</v>
      </c>
      <c r="AP693">
        <v>7037275373</v>
      </c>
      <c r="AQ693">
        <v>7037275373</v>
      </c>
      <c r="AR693">
        <v>219914855</v>
      </c>
      <c r="AS693">
        <v>0</v>
      </c>
      <c r="AT693">
        <v>0</v>
      </c>
      <c r="AU693">
        <v>219914855</v>
      </c>
      <c r="AV693">
        <v>219914855</v>
      </c>
      <c r="AW693">
        <v>15.7401</v>
      </c>
      <c r="AX693">
        <v>2.11138</v>
      </c>
      <c r="AY693">
        <v>2329.16</v>
      </c>
      <c r="AZ693">
        <v>1046.08</v>
      </c>
      <c r="BA693">
        <v>1166</v>
      </c>
      <c r="BB693">
        <v>253</v>
      </c>
      <c r="BC693" t="str">
        <f t="shared" si="22"/>
        <v>u=0%, k=2x10^6</v>
      </c>
      <c r="BD693">
        <f t="shared" si="23"/>
        <v>32</v>
      </c>
    </row>
    <row r="694" spans="1:56">
      <c r="A694" t="s">
        <v>1329</v>
      </c>
      <c r="B694" t="s">
        <v>105</v>
      </c>
      <c r="D694" t="s">
        <v>64</v>
      </c>
      <c r="E694" t="s">
        <v>59</v>
      </c>
      <c r="F694" t="s">
        <v>60</v>
      </c>
      <c r="G694">
        <v>64000</v>
      </c>
      <c r="H694">
        <v>0</v>
      </c>
      <c r="I694">
        <v>0</v>
      </c>
      <c r="J694">
        <v>0</v>
      </c>
      <c r="K694">
        <v>1</v>
      </c>
      <c r="L694">
        <v>2000000</v>
      </c>
      <c r="M694">
        <v>190</v>
      </c>
      <c r="N694">
        <v>190</v>
      </c>
      <c r="O694">
        <v>190</v>
      </c>
      <c r="P694">
        <v>0</v>
      </c>
      <c r="Q694" t="s">
        <v>61</v>
      </c>
      <c r="R694">
        <v>1000305543598</v>
      </c>
      <c r="S694">
        <v>1000000</v>
      </c>
      <c r="T694">
        <v>1000305543598</v>
      </c>
      <c r="U694">
        <v>1000000</v>
      </c>
      <c r="V694" t="s">
        <v>71</v>
      </c>
      <c r="W694">
        <v>25</v>
      </c>
      <c r="X694">
        <v>571540</v>
      </c>
      <c r="Y694">
        <v>428461</v>
      </c>
      <c r="Z694">
        <v>1000001</v>
      </c>
      <c r="AA694">
        <v>1000000</v>
      </c>
      <c r="AB694">
        <v>1.74966</v>
      </c>
      <c r="AC694">
        <v>2.3339300000000001</v>
      </c>
      <c r="AD694">
        <v>2</v>
      </c>
      <c r="AE694">
        <v>19.335000000000001</v>
      </c>
      <c r="AF694">
        <v>56000056</v>
      </c>
      <c r="AJ694">
        <v>89766</v>
      </c>
      <c r="AM694">
        <v>14070520356</v>
      </c>
      <c r="AN694">
        <v>0</v>
      </c>
      <c r="AO694">
        <v>0</v>
      </c>
      <c r="AP694">
        <v>14070520356</v>
      </c>
      <c r="AQ694">
        <v>14070520356</v>
      </c>
      <c r="AR694">
        <v>219851880</v>
      </c>
      <c r="AS694">
        <v>0</v>
      </c>
      <c r="AT694">
        <v>0</v>
      </c>
      <c r="AU694">
        <v>219851880</v>
      </c>
      <c r="AV694">
        <v>219851880</v>
      </c>
      <c r="AW694">
        <v>15.724299999999999</v>
      </c>
      <c r="AX694">
        <v>2.0995699999999999</v>
      </c>
      <c r="AY694">
        <v>2326.21</v>
      </c>
      <c r="AZ694">
        <v>1042.06</v>
      </c>
      <c r="BA694">
        <v>1166</v>
      </c>
      <c r="BB694">
        <v>228</v>
      </c>
      <c r="BC694" t="str">
        <f t="shared" si="22"/>
        <v>u=0%, k=2x10^6</v>
      </c>
      <c r="BD694">
        <f t="shared" si="23"/>
        <v>64</v>
      </c>
    </row>
    <row r="695" spans="1:56">
      <c r="A695" t="s">
        <v>1330</v>
      </c>
      <c r="B695" t="s">
        <v>305</v>
      </c>
      <c r="D695" t="s">
        <v>64</v>
      </c>
      <c r="E695" t="s">
        <v>59</v>
      </c>
      <c r="F695" t="s">
        <v>60</v>
      </c>
      <c r="G695">
        <v>1000</v>
      </c>
      <c r="H695">
        <v>0</v>
      </c>
      <c r="I695">
        <v>0</v>
      </c>
      <c r="J695">
        <v>0</v>
      </c>
      <c r="K695">
        <v>1</v>
      </c>
      <c r="L695">
        <v>2000000</v>
      </c>
      <c r="M695">
        <v>190</v>
      </c>
      <c r="N695">
        <v>190</v>
      </c>
      <c r="O695">
        <v>190</v>
      </c>
      <c r="P695">
        <v>0</v>
      </c>
      <c r="Q695" t="s">
        <v>61</v>
      </c>
      <c r="R695">
        <v>1000072605529</v>
      </c>
      <c r="S695">
        <v>1000000</v>
      </c>
      <c r="T695">
        <v>1000072605529</v>
      </c>
      <c r="U695">
        <v>1000000</v>
      </c>
      <c r="V695" t="s">
        <v>71</v>
      </c>
      <c r="W695">
        <v>52</v>
      </c>
      <c r="X695">
        <v>999999</v>
      </c>
      <c r="Y695">
        <v>1000000</v>
      </c>
      <c r="Z695">
        <v>1999999</v>
      </c>
      <c r="AA695">
        <v>1000000</v>
      </c>
      <c r="AB695">
        <v>2</v>
      </c>
      <c r="AC695">
        <v>1</v>
      </c>
      <c r="AD695">
        <v>1.5</v>
      </c>
      <c r="AE695">
        <v>27.41</v>
      </c>
      <c r="AF695">
        <v>63999968</v>
      </c>
      <c r="AJ695">
        <v>1484</v>
      </c>
      <c r="AM695">
        <v>214949086</v>
      </c>
      <c r="AN695">
        <v>0</v>
      </c>
      <c r="AO695">
        <v>0</v>
      </c>
      <c r="AP695">
        <v>214949086</v>
      </c>
      <c r="AQ695">
        <v>214949086</v>
      </c>
      <c r="AR695">
        <v>214949086</v>
      </c>
      <c r="AS695">
        <v>0</v>
      </c>
      <c r="AT695">
        <v>0</v>
      </c>
      <c r="AU695">
        <v>214949086</v>
      </c>
      <c r="AV695">
        <v>214949086</v>
      </c>
      <c r="AW695">
        <v>11.896000000000001</v>
      </c>
      <c r="AX695">
        <v>1.8021400000000001</v>
      </c>
      <c r="AY695">
        <v>2459.09</v>
      </c>
      <c r="AZ695">
        <v>1507.45</v>
      </c>
      <c r="BA695">
        <v>1166</v>
      </c>
      <c r="BB695">
        <v>233</v>
      </c>
      <c r="BC695" t="str">
        <f t="shared" si="22"/>
        <v>u=0%, k=2x10^6</v>
      </c>
      <c r="BD695">
        <f t="shared" si="23"/>
        <v>1</v>
      </c>
    </row>
    <row r="696" spans="1:56">
      <c r="A696" t="s">
        <v>1331</v>
      </c>
      <c r="B696" t="s">
        <v>305</v>
      </c>
      <c r="D696" t="s">
        <v>64</v>
      </c>
      <c r="E696" t="s">
        <v>59</v>
      </c>
      <c r="F696" t="s">
        <v>60</v>
      </c>
      <c r="G696">
        <v>2000</v>
      </c>
      <c r="H696">
        <v>0</v>
      </c>
      <c r="I696">
        <v>0</v>
      </c>
      <c r="J696">
        <v>0</v>
      </c>
      <c r="K696">
        <v>1</v>
      </c>
      <c r="L696">
        <v>2000000</v>
      </c>
      <c r="M696">
        <v>190</v>
      </c>
      <c r="N696">
        <v>190</v>
      </c>
      <c r="O696">
        <v>190</v>
      </c>
      <c r="P696">
        <v>0</v>
      </c>
      <c r="Q696" t="s">
        <v>61</v>
      </c>
      <c r="R696">
        <v>999923442187</v>
      </c>
      <c r="S696">
        <v>1000000</v>
      </c>
      <c r="T696">
        <v>999923442187</v>
      </c>
      <c r="U696">
        <v>1000000</v>
      </c>
      <c r="V696" t="s">
        <v>71</v>
      </c>
      <c r="W696">
        <v>50</v>
      </c>
      <c r="X696">
        <v>999999</v>
      </c>
      <c r="Y696">
        <v>1000000</v>
      </c>
      <c r="Z696">
        <v>1999999</v>
      </c>
      <c r="AA696">
        <v>1000000</v>
      </c>
      <c r="AB696">
        <v>2</v>
      </c>
      <c r="AC696">
        <v>1</v>
      </c>
      <c r="AD696">
        <v>1.5</v>
      </c>
      <c r="AE696">
        <v>26.248200000000001</v>
      </c>
      <c r="AF696">
        <v>63999968</v>
      </c>
      <c r="AJ696">
        <v>2842</v>
      </c>
      <c r="AM696">
        <v>432917948</v>
      </c>
      <c r="AN696">
        <v>0</v>
      </c>
      <c r="AO696">
        <v>0</v>
      </c>
      <c r="AP696">
        <v>432917948</v>
      </c>
      <c r="AQ696">
        <v>432917948</v>
      </c>
      <c r="AR696">
        <v>216458974</v>
      </c>
      <c r="AS696">
        <v>0</v>
      </c>
      <c r="AT696">
        <v>0</v>
      </c>
      <c r="AU696">
        <v>216458974</v>
      </c>
      <c r="AV696">
        <v>216458974</v>
      </c>
      <c r="AW696">
        <v>11.823399999999999</v>
      </c>
      <c r="AX696">
        <v>1.80362</v>
      </c>
      <c r="AY696">
        <v>2443.65</v>
      </c>
      <c r="AZ696">
        <v>1490.86</v>
      </c>
      <c r="BA696">
        <v>1166</v>
      </c>
      <c r="BB696">
        <v>245</v>
      </c>
      <c r="BC696" t="str">
        <f t="shared" si="22"/>
        <v>u=0%, k=2x10^6</v>
      </c>
      <c r="BD696">
        <f t="shared" si="23"/>
        <v>2</v>
      </c>
    </row>
    <row r="697" spans="1:56">
      <c r="A697" t="s">
        <v>1332</v>
      </c>
      <c r="B697" t="s">
        <v>305</v>
      </c>
      <c r="D697" t="s">
        <v>64</v>
      </c>
      <c r="E697" t="s">
        <v>59</v>
      </c>
      <c r="F697" t="s">
        <v>60</v>
      </c>
      <c r="G697">
        <v>4000</v>
      </c>
      <c r="H697">
        <v>0</v>
      </c>
      <c r="I697">
        <v>0</v>
      </c>
      <c r="J697">
        <v>0</v>
      </c>
      <c r="K697">
        <v>1</v>
      </c>
      <c r="L697">
        <v>2000000</v>
      </c>
      <c r="M697">
        <v>190</v>
      </c>
      <c r="N697">
        <v>190</v>
      </c>
      <c r="O697">
        <v>190</v>
      </c>
      <c r="P697">
        <v>0</v>
      </c>
      <c r="Q697" t="s">
        <v>61</v>
      </c>
      <c r="R697">
        <v>1000790077757</v>
      </c>
      <c r="S697">
        <v>1000000</v>
      </c>
      <c r="T697">
        <v>1000790077757</v>
      </c>
      <c r="U697">
        <v>1000000</v>
      </c>
      <c r="V697" t="s">
        <v>71</v>
      </c>
      <c r="W697">
        <v>50</v>
      </c>
      <c r="X697">
        <v>999999</v>
      </c>
      <c r="Y697">
        <v>1000000</v>
      </c>
      <c r="Z697">
        <v>1999999</v>
      </c>
      <c r="AA697">
        <v>1000000</v>
      </c>
      <c r="AB697">
        <v>2</v>
      </c>
      <c r="AC697">
        <v>1</v>
      </c>
      <c r="AD697">
        <v>1.5</v>
      </c>
      <c r="AE697">
        <v>26.270099999999999</v>
      </c>
      <c r="AF697">
        <v>63999968</v>
      </c>
      <c r="AJ697">
        <v>5520</v>
      </c>
      <c r="AM697">
        <v>869536790</v>
      </c>
      <c r="AN697">
        <v>0</v>
      </c>
      <c r="AO697">
        <v>0</v>
      </c>
      <c r="AP697">
        <v>869536790</v>
      </c>
      <c r="AQ697">
        <v>869536790</v>
      </c>
      <c r="AR697">
        <v>217384197</v>
      </c>
      <c r="AS697">
        <v>0</v>
      </c>
      <c r="AT697">
        <v>0</v>
      </c>
      <c r="AU697">
        <v>217384197</v>
      </c>
      <c r="AV697">
        <v>217384197</v>
      </c>
      <c r="AW697">
        <v>11.8148</v>
      </c>
      <c r="AX697">
        <v>1.7956799999999999</v>
      </c>
      <c r="AY697">
        <v>2433.7600000000002</v>
      </c>
      <c r="AZ697">
        <v>1488.26</v>
      </c>
      <c r="BA697">
        <v>1167</v>
      </c>
      <c r="BB697">
        <v>234</v>
      </c>
      <c r="BC697" t="str">
        <f t="shared" si="22"/>
        <v>u=0%, k=2x10^6</v>
      </c>
      <c r="BD697">
        <f t="shared" si="23"/>
        <v>4</v>
      </c>
    </row>
    <row r="698" spans="1:56">
      <c r="A698" t="s">
        <v>1333</v>
      </c>
      <c r="B698" t="s">
        <v>305</v>
      </c>
      <c r="D698" t="s">
        <v>64</v>
      </c>
      <c r="E698" t="s">
        <v>59</v>
      </c>
      <c r="F698" t="s">
        <v>60</v>
      </c>
      <c r="G698">
        <v>8000</v>
      </c>
      <c r="H698">
        <v>0</v>
      </c>
      <c r="I698">
        <v>0</v>
      </c>
      <c r="J698">
        <v>0</v>
      </c>
      <c r="K698">
        <v>1</v>
      </c>
      <c r="L698">
        <v>2000000</v>
      </c>
      <c r="M698">
        <v>190</v>
      </c>
      <c r="N698">
        <v>190</v>
      </c>
      <c r="O698">
        <v>190</v>
      </c>
      <c r="P698">
        <v>0</v>
      </c>
      <c r="Q698" t="s">
        <v>61</v>
      </c>
      <c r="R698">
        <v>1000081512777</v>
      </c>
      <c r="S698">
        <v>1000000</v>
      </c>
      <c r="T698">
        <v>1000081512777</v>
      </c>
      <c r="U698">
        <v>1000000</v>
      </c>
      <c r="V698" t="s">
        <v>71</v>
      </c>
      <c r="W698">
        <v>49</v>
      </c>
      <c r="X698">
        <v>999999</v>
      </c>
      <c r="Y698">
        <v>1000000</v>
      </c>
      <c r="Z698">
        <v>1999999</v>
      </c>
      <c r="AA698">
        <v>1000000</v>
      </c>
      <c r="AB698">
        <v>2</v>
      </c>
      <c r="AC698">
        <v>1</v>
      </c>
      <c r="AD698">
        <v>1.5</v>
      </c>
      <c r="AE698">
        <v>26.7408</v>
      </c>
      <c r="AF698">
        <v>63999968</v>
      </c>
      <c r="AJ698">
        <v>10764</v>
      </c>
      <c r="AM698">
        <v>1727962129</v>
      </c>
      <c r="AN698">
        <v>0</v>
      </c>
      <c r="AO698">
        <v>0</v>
      </c>
      <c r="AP698">
        <v>1727962129</v>
      </c>
      <c r="AQ698">
        <v>1727962129</v>
      </c>
      <c r="AR698">
        <v>215995266</v>
      </c>
      <c r="AS698">
        <v>0</v>
      </c>
      <c r="AT698">
        <v>0</v>
      </c>
      <c r="AU698">
        <v>215995266</v>
      </c>
      <c r="AV698">
        <v>215995266</v>
      </c>
      <c r="AW698">
        <v>11.8705</v>
      </c>
      <c r="AX698">
        <v>1.8086800000000001</v>
      </c>
      <c r="AY698">
        <v>2449.96</v>
      </c>
      <c r="AZ698">
        <v>1503.99</v>
      </c>
      <c r="BA698">
        <v>1166</v>
      </c>
      <c r="BB698">
        <v>211</v>
      </c>
      <c r="BC698" t="str">
        <f t="shared" si="22"/>
        <v>u=0%, k=2x10^6</v>
      </c>
      <c r="BD698">
        <f t="shared" si="23"/>
        <v>8</v>
      </c>
    </row>
    <row r="699" spans="1:56">
      <c r="A699" t="s">
        <v>1334</v>
      </c>
      <c r="B699" t="s">
        <v>305</v>
      </c>
      <c r="D699" t="s">
        <v>64</v>
      </c>
      <c r="E699" t="s">
        <v>59</v>
      </c>
      <c r="F699" t="s">
        <v>60</v>
      </c>
      <c r="G699">
        <v>16000</v>
      </c>
      <c r="H699">
        <v>0</v>
      </c>
      <c r="I699">
        <v>0</v>
      </c>
      <c r="J699">
        <v>0</v>
      </c>
      <c r="K699">
        <v>1</v>
      </c>
      <c r="L699">
        <v>2000000</v>
      </c>
      <c r="M699">
        <v>190</v>
      </c>
      <c r="N699">
        <v>190</v>
      </c>
      <c r="O699">
        <v>190</v>
      </c>
      <c r="P699">
        <v>0</v>
      </c>
      <c r="Q699" t="s">
        <v>61</v>
      </c>
      <c r="R699">
        <v>1000086494879</v>
      </c>
      <c r="S699">
        <v>1000000</v>
      </c>
      <c r="T699">
        <v>1000086494879</v>
      </c>
      <c r="U699">
        <v>1000000</v>
      </c>
      <c r="V699" t="s">
        <v>71</v>
      </c>
      <c r="W699">
        <v>51</v>
      </c>
      <c r="X699">
        <v>999999</v>
      </c>
      <c r="Y699">
        <v>1000000</v>
      </c>
      <c r="Z699">
        <v>1999999</v>
      </c>
      <c r="AA699">
        <v>1000000</v>
      </c>
      <c r="AB699">
        <v>2</v>
      </c>
      <c r="AC699">
        <v>1</v>
      </c>
      <c r="AD699">
        <v>1.5</v>
      </c>
      <c r="AE699">
        <v>25.857299999999999</v>
      </c>
      <c r="AF699">
        <v>63999968</v>
      </c>
      <c r="AJ699">
        <v>21460</v>
      </c>
      <c r="AM699">
        <v>3454629699</v>
      </c>
      <c r="AN699">
        <v>0</v>
      </c>
      <c r="AO699">
        <v>0</v>
      </c>
      <c r="AP699">
        <v>3454629699</v>
      </c>
      <c r="AQ699">
        <v>3454629699</v>
      </c>
      <c r="AR699">
        <v>215914356</v>
      </c>
      <c r="AS699">
        <v>0</v>
      </c>
      <c r="AT699">
        <v>0</v>
      </c>
      <c r="AU699">
        <v>215914356</v>
      </c>
      <c r="AV699">
        <v>215914356</v>
      </c>
      <c r="AW699">
        <v>11.882400000000001</v>
      </c>
      <c r="AX699">
        <v>1.80487</v>
      </c>
      <c r="AY699">
        <v>2450.4899999999998</v>
      </c>
      <c r="AZ699">
        <v>1501.43</v>
      </c>
      <c r="BA699">
        <v>1167</v>
      </c>
      <c r="BB699">
        <v>266</v>
      </c>
      <c r="BC699" t="str">
        <f t="shared" si="22"/>
        <v>u=0%, k=2x10^6</v>
      </c>
      <c r="BD699">
        <f t="shared" si="23"/>
        <v>16</v>
      </c>
    </row>
    <row r="700" spans="1:56">
      <c r="A700" t="s">
        <v>1335</v>
      </c>
      <c r="B700" t="s">
        <v>305</v>
      </c>
      <c r="D700" t="s">
        <v>64</v>
      </c>
      <c r="E700" t="s">
        <v>59</v>
      </c>
      <c r="F700" t="s">
        <v>60</v>
      </c>
      <c r="G700">
        <v>32000</v>
      </c>
      <c r="H700">
        <v>0</v>
      </c>
      <c r="I700">
        <v>0</v>
      </c>
      <c r="J700">
        <v>0</v>
      </c>
      <c r="K700">
        <v>1</v>
      </c>
      <c r="L700">
        <v>2000000</v>
      </c>
      <c r="M700">
        <v>190</v>
      </c>
      <c r="N700">
        <v>190</v>
      </c>
      <c r="O700">
        <v>190</v>
      </c>
      <c r="P700">
        <v>0</v>
      </c>
      <c r="Q700" t="s">
        <v>61</v>
      </c>
      <c r="R700">
        <v>1000074311242</v>
      </c>
      <c r="S700">
        <v>1000000</v>
      </c>
      <c r="T700">
        <v>1000074311242</v>
      </c>
      <c r="U700">
        <v>1000000</v>
      </c>
      <c r="V700" t="s">
        <v>71</v>
      </c>
      <c r="W700">
        <v>49</v>
      </c>
      <c r="X700">
        <v>999999</v>
      </c>
      <c r="Y700">
        <v>1000000</v>
      </c>
      <c r="Z700">
        <v>1999999</v>
      </c>
      <c r="AA700">
        <v>1000000</v>
      </c>
      <c r="AB700">
        <v>2</v>
      </c>
      <c r="AC700">
        <v>1</v>
      </c>
      <c r="AD700">
        <v>1.5</v>
      </c>
      <c r="AE700">
        <v>26.273499999999999</v>
      </c>
      <c r="AF700">
        <v>63999968</v>
      </c>
      <c r="AJ700">
        <v>43006</v>
      </c>
      <c r="AM700">
        <v>6921309702</v>
      </c>
      <c r="AN700">
        <v>0</v>
      </c>
      <c r="AO700">
        <v>0</v>
      </c>
      <c r="AP700">
        <v>6921309702</v>
      </c>
      <c r="AQ700">
        <v>6921309702</v>
      </c>
      <c r="AR700">
        <v>216290928</v>
      </c>
      <c r="AS700">
        <v>0</v>
      </c>
      <c r="AT700">
        <v>0</v>
      </c>
      <c r="AU700">
        <v>216290928</v>
      </c>
      <c r="AV700">
        <v>216290928</v>
      </c>
      <c r="AW700">
        <v>11.8812</v>
      </c>
      <c r="AX700">
        <v>1.80609</v>
      </c>
      <c r="AY700">
        <v>2446.4</v>
      </c>
      <c r="AZ700">
        <v>1499.59</v>
      </c>
      <c r="BA700">
        <v>1166</v>
      </c>
      <c r="BB700">
        <v>210</v>
      </c>
      <c r="BC700" t="str">
        <f t="shared" si="22"/>
        <v>u=0%, k=2x10^6</v>
      </c>
      <c r="BD700">
        <f t="shared" si="23"/>
        <v>32</v>
      </c>
    </row>
    <row r="701" spans="1:56">
      <c r="A701" t="s">
        <v>1336</v>
      </c>
      <c r="B701" t="s">
        <v>305</v>
      </c>
      <c r="D701" t="s">
        <v>64</v>
      </c>
      <c r="E701" t="s">
        <v>59</v>
      </c>
      <c r="F701" t="s">
        <v>60</v>
      </c>
      <c r="G701">
        <v>64000</v>
      </c>
      <c r="H701">
        <v>0</v>
      </c>
      <c r="I701">
        <v>0</v>
      </c>
      <c r="J701">
        <v>0</v>
      </c>
      <c r="K701">
        <v>1</v>
      </c>
      <c r="L701">
        <v>2000000</v>
      </c>
      <c r="M701">
        <v>190</v>
      </c>
      <c r="N701">
        <v>190</v>
      </c>
      <c r="O701">
        <v>190</v>
      </c>
      <c r="P701">
        <v>0</v>
      </c>
      <c r="Q701" t="s">
        <v>61</v>
      </c>
      <c r="R701">
        <v>1000745168278</v>
      </c>
      <c r="S701">
        <v>1000000</v>
      </c>
      <c r="T701">
        <v>1000745168278</v>
      </c>
      <c r="U701">
        <v>1000000</v>
      </c>
      <c r="V701" t="s">
        <v>71</v>
      </c>
      <c r="W701">
        <v>50</v>
      </c>
      <c r="X701">
        <v>999999</v>
      </c>
      <c r="Y701">
        <v>1000000</v>
      </c>
      <c r="Z701">
        <v>1999999</v>
      </c>
      <c r="AA701">
        <v>1000000</v>
      </c>
      <c r="AB701">
        <v>2</v>
      </c>
      <c r="AC701">
        <v>1</v>
      </c>
      <c r="AD701">
        <v>1.5</v>
      </c>
      <c r="AE701">
        <v>26.164999999999999</v>
      </c>
      <c r="AF701">
        <v>63999968</v>
      </c>
      <c r="AJ701">
        <v>85528</v>
      </c>
      <c r="AM701">
        <v>13877916665</v>
      </c>
      <c r="AN701">
        <v>0</v>
      </c>
      <c r="AO701">
        <v>0</v>
      </c>
      <c r="AP701">
        <v>13877916665</v>
      </c>
      <c r="AQ701">
        <v>13877916665</v>
      </c>
      <c r="AR701">
        <v>216842447</v>
      </c>
      <c r="AS701">
        <v>0</v>
      </c>
      <c r="AT701">
        <v>0</v>
      </c>
      <c r="AU701">
        <v>216842447</v>
      </c>
      <c r="AV701">
        <v>216842447</v>
      </c>
      <c r="AW701">
        <v>11.896100000000001</v>
      </c>
      <c r="AX701">
        <v>1.79678</v>
      </c>
      <c r="AY701">
        <v>2440.3000000000002</v>
      </c>
      <c r="AZ701">
        <v>1495.13</v>
      </c>
      <c r="BA701">
        <v>1166</v>
      </c>
      <c r="BB701">
        <v>236</v>
      </c>
      <c r="BC701" t="str">
        <f t="shared" si="22"/>
        <v>u=0%, k=2x10^6</v>
      </c>
      <c r="BD701">
        <f t="shared" si="23"/>
        <v>64</v>
      </c>
    </row>
    <row r="702" spans="1:56">
      <c r="A702" t="s">
        <v>1337</v>
      </c>
      <c r="B702" t="s">
        <v>63</v>
      </c>
      <c r="C702">
        <v>72</v>
      </c>
      <c r="D702" t="s">
        <v>64</v>
      </c>
      <c r="E702" t="s">
        <v>59</v>
      </c>
      <c r="F702" t="s">
        <v>60</v>
      </c>
      <c r="G702">
        <v>1000</v>
      </c>
      <c r="H702">
        <v>0</v>
      </c>
      <c r="I702">
        <v>0</v>
      </c>
      <c r="J702">
        <v>0</v>
      </c>
      <c r="K702">
        <v>1</v>
      </c>
      <c r="L702">
        <v>20000000</v>
      </c>
      <c r="M702">
        <v>190</v>
      </c>
      <c r="N702">
        <v>190</v>
      </c>
      <c r="O702">
        <v>190</v>
      </c>
      <c r="P702">
        <v>0</v>
      </c>
      <c r="Q702" t="s">
        <v>61</v>
      </c>
      <c r="R702">
        <v>100009432894794</v>
      </c>
      <c r="S702">
        <v>10000001</v>
      </c>
      <c r="T702">
        <v>100009432894794</v>
      </c>
      <c r="U702">
        <v>10000001</v>
      </c>
      <c r="V702" t="s">
        <v>71</v>
      </c>
      <c r="W702">
        <v>6</v>
      </c>
      <c r="X702">
        <v>1625784</v>
      </c>
      <c r="Y702">
        <v>11442329</v>
      </c>
      <c r="Z702">
        <v>13068113</v>
      </c>
      <c r="AA702">
        <v>10000001</v>
      </c>
      <c r="AB702">
        <v>8.0380400000000005</v>
      </c>
      <c r="AC702">
        <v>0.87394799999999995</v>
      </c>
      <c r="AD702">
        <v>1.76522</v>
      </c>
      <c r="AE702">
        <v>4</v>
      </c>
      <c r="AF702">
        <v>313139968</v>
      </c>
      <c r="AJ702">
        <v>1794</v>
      </c>
      <c r="AM702">
        <v>284095838</v>
      </c>
      <c r="AN702">
        <v>0</v>
      </c>
      <c r="AO702">
        <v>0</v>
      </c>
      <c r="AP702">
        <v>284095838</v>
      </c>
      <c r="AQ702">
        <v>284095838</v>
      </c>
      <c r="AR702">
        <v>284095838</v>
      </c>
      <c r="AS702">
        <v>0</v>
      </c>
      <c r="AT702">
        <v>0</v>
      </c>
      <c r="AU702">
        <v>284095838</v>
      </c>
      <c r="AV702">
        <v>284095838</v>
      </c>
      <c r="AW702">
        <v>15.3766</v>
      </c>
      <c r="AX702">
        <v>6.2061200000000003</v>
      </c>
      <c r="AY702">
        <v>1857</v>
      </c>
      <c r="AZ702">
        <v>1083.5899999999999</v>
      </c>
      <c r="BA702">
        <v>1848</v>
      </c>
      <c r="BB702">
        <v>425</v>
      </c>
      <c r="BC702" t="str">
        <f t="shared" si="22"/>
        <v>u=0%, k=2x10^7</v>
      </c>
      <c r="BD702">
        <f t="shared" si="23"/>
        <v>1</v>
      </c>
    </row>
    <row r="703" spans="1:56">
      <c r="A703" t="s">
        <v>1338</v>
      </c>
      <c r="B703" t="s">
        <v>63</v>
      </c>
      <c r="C703">
        <v>72</v>
      </c>
      <c r="D703" t="s">
        <v>64</v>
      </c>
      <c r="E703" t="s">
        <v>59</v>
      </c>
      <c r="F703" t="s">
        <v>60</v>
      </c>
      <c r="G703">
        <v>2000</v>
      </c>
      <c r="H703">
        <v>0</v>
      </c>
      <c r="I703">
        <v>0</v>
      </c>
      <c r="J703">
        <v>0</v>
      </c>
      <c r="K703">
        <v>1</v>
      </c>
      <c r="L703">
        <v>20000000</v>
      </c>
      <c r="M703">
        <v>190</v>
      </c>
      <c r="N703">
        <v>190</v>
      </c>
      <c r="O703">
        <v>190</v>
      </c>
      <c r="P703">
        <v>0</v>
      </c>
      <c r="Q703" t="s">
        <v>61</v>
      </c>
      <c r="R703">
        <v>99997152101397</v>
      </c>
      <c r="S703">
        <v>10000001</v>
      </c>
      <c r="T703">
        <v>99997152101397</v>
      </c>
      <c r="U703">
        <v>10000001</v>
      </c>
      <c r="V703" t="s">
        <v>71</v>
      </c>
      <c r="W703">
        <v>6</v>
      </c>
      <c r="X703">
        <v>1625784</v>
      </c>
      <c r="Y703">
        <v>11442329</v>
      </c>
      <c r="Z703">
        <v>13068113</v>
      </c>
      <c r="AA703">
        <v>10000001</v>
      </c>
      <c r="AB703">
        <v>8.0380400000000005</v>
      </c>
      <c r="AC703">
        <v>0.87394799999999995</v>
      </c>
      <c r="AD703">
        <v>1.76522</v>
      </c>
      <c r="AE703">
        <v>4</v>
      </c>
      <c r="AF703">
        <v>313139968</v>
      </c>
      <c r="AJ703">
        <v>3664</v>
      </c>
      <c r="AM703">
        <v>570910991</v>
      </c>
      <c r="AN703">
        <v>0</v>
      </c>
      <c r="AO703">
        <v>0</v>
      </c>
      <c r="AP703">
        <v>570910991</v>
      </c>
      <c r="AQ703">
        <v>570910991</v>
      </c>
      <c r="AR703">
        <v>285455495</v>
      </c>
      <c r="AS703">
        <v>0</v>
      </c>
      <c r="AT703">
        <v>0</v>
      </c>
      <c r="AU703">
        <v>285455495</v>
      </c>
      <c r="AV703">
        <v>285455495</v>
      </c>
      <c r="AW703">
        <v>15.396699999999999</v>
      </c>
      <c r="AX703">
        <v>6.2218900000000001</v>
      </c>
      <c r="AY703">
        <v>1849.63</v>
      </c>
      <c r="AZ703">
        <v>1077.6500000000001</v>
      </c>
      <c r="BA703">
        <v>1848</v>
      </c>
      <c r="BB703">
        <v>379</v>
      </c>
      <c r="BC703" t="str">
        <f t="shared" si="22"/>
        <v>u=0%, k=2x10^7</v>
      </c>
      <c r="BD703">
        <f t="shared" si="23"/>
        <v>2</v>
      </c>
    </row>
    <row r="704" spans="1:56">
      <c r="A704" t="s">
        <v>1339</v>
      </c>
      <c r="B704" t="s">
        <v>63</v>
      </c>
      <c r="C704">
        <v>72</v>
      </c>
      <c r="D704" t="s">
        <v>64</v>
      </c>
      <c r="E704" t="s">
        <v>59</v>
      </c>
      <c r="F704" t="s">
        <v>60</v>
      </c>
      <c r="G704">
        <v>4000</v>
      </c>
      <c r="H704">
        <v>0</v>
      </c>
      <c r="I704">
        <v>0</v>
      </c>
      <c r="J704">
        <v>0</v>
      </c>
      <c r="K704">
        <v>1</v>
      </c>
      <c r="L704">
        <v>20000000</v>
      </c>
      <c r="M704">
        <v>190</v>
      </c>
      <c r="N704">
        <v>190</v>
      </c>
      <c r="O704">
        <v>190</v>
      </c>
      <c r="P704">
        <v>0</v>
      </c>
      <c r="Q704" t="s">
        <v>61</v>
      </c>
      <c r="R704">
        <v>100002885858319</v>
      </c>
      <c r="S704">
        <v>10000001</v>
      </c>
      <c r="T704">
        <v>100002885858319</v>
      </c>
      <c r="U704">
        <v>10000001</v>
      </c>
      <c r="V704" t="s">
        <v>71</v>
      </c>
      <c r="W704">
        <v>6</v>
      </c>
      <c r="X704">
        <v>1625784</v>
      </c>
      <c r="Y704">
        <v>11442329</v>
      </c>
      <c r="Z704">
        <v>13068113</v>
      </c>
      <c r="AA704">
        <v>10000001</v>
      </c>
      <c r="AB704">
        <v>8.0380400000000005</v>
      </c>
      <c r="AC704">
        <v>0.87394799999999995</v>
      </c>
      <c r="AD704">
        <v>1.76522</v>
      </c>
      <c r="AE704">
        <v>4</v>
      </c>
      <c r="AF704">
        <v>313139968</v>
      </c>
      <c r="AJ704">
        <v>7224</v>
      </c>
      <c r="AM704">
        <v>1127763038</v>
      </c>
      <c r="AN704">
        <v>0</v>
      </c>
      <c r="AO704">
        <v>0</v>
      </c>
      <c r="AP704">
        <v>1127763038</v>
      </c>
      <c r="AQ704">
        <v>1127763038</v>
      </c>
      <c r="AR704">
        <v>281940759</v>
      </c>
      <c r="AS704">
        <v>0</v>
      </c>
      <c r="AT704">
        <v>0</v>
      </c>
      <c r="AU704">
        <v>281940759</v>
      </c>
      <c r="AV704">
        <v>281940759</v>
      </c>
      <c r="AW704">
        <v>15.537100000000001</v>
      </c>
      <c r="AX704">
        <v>6.2403700000000004</v>
      </c>
      <c r="AY704">
        <v>1869.18</v>
      </c>
      <c r="AZ704">
        <v>1103.48</v>
      </c>
      <c r="BA704">
        <v>1847</v>
      </c>
      <c r="BB704">
        <v>376</v>
      </c>
      <c r="BC704" t="str">
        <f t="shared" si="22"/>
        <v>u=0%, k=2x10^7</v>
      </c>
      <c r="BD704">
        <f t="shared" si="23"/>
        <v>4</v>
      </c>
    </row>
    <row r="705" spans="1:56">
      <c r="A705" t="s">
        <v>1340</v>
      </c>
      <c r="B705" t="s">
        <v>63</v>
      </c>
      <c r="C705">
        <v>72</v>
      </c>
      <c r="D705" t="s">
        <v>64</v>
      </c>
      <c r="E705" t="s">
        <v>59</v>
      </c>
      <c r="F705" t="s">
        <v>60</v>
      </c>
      <c r="G705">
        <v>8000</v>
      </c>
      <c r="H705">
        <v>0</v>
      </c>
      <c r="I705">
        <v>0</v>
      </c>
      <c r="J705">
        <v>0</v>
      </c>
      <c r="K705">
        <v>1</v>
      </c>
      <c r="L705">
        <v>20000000</v>
      </c>
      <c r="M705">
        <v>190</v>
      </c>
      <c r="N705">
        <v>190</v>
      </c>
      <c r="O705">
        <v>190</v>
      </c>
      <c r="P705">
        <v>0</v>
      </c>
      <c r="Q705" t="s">
        <v>61</v>
      </c>
      <c r="R705">
        <v>99998461993075</v>
      </c>
      <c r="S705">
        <v>10000001</v>
      </c>
      <c r="T705">
        <v>99998461993075</v>
      </c>
      <c r="U705">
        <v>10000001</v>
      </c>
      <c r="V705" t="s">
        <v>71</v>
      </c>
      <c r="W705">
        <v>6</v>
      </c>
      <c r="X705">
        <v>1625784</v>
      </c>
      <c r="Y705">
        <v>11442329</v>
      </c>
      <c r="Z705">
        <v>13068113</v>
      </c>
      <c r="AA705">
        <v>10000001</v>
      </c>
      <c r="AB705">
        <v>8.0380400000000005</v>
      </c>
      <c r="AC705">
        <v>0.87394799999999995</v>
      </c>
      <c r="AD705">
        <v>1.76522</v>
      </c>
      <c r="AE705">
        <v>4</v>
      </c>
      <c r="AF705">
        <v>313139968</v>
      </c>
      <c r="AJ705">
        <v>14228</v>
      </c>
      <c r="AM705">
        <v>2238517716</v>
      </c>
      <c r="AN705">
        <v>0</v>
      </c>
      <c r="AO705">
        <v>0</v>
      </c>
      <c r="AP705">
        <v>2238517716</v>
      </c>
      <c r="AQ705">
        <v>2238517716</v>
      </c>
      <c r="AR705">
        <v>279814714</v>
      </c>
      <c r="AS705">
        <v>0</v>
      </c>
      <c r="AT705">
        <v>0</v>
      </c>
      <c r="AU705">
        <v>279814714</v>
      </c>
      <c r="AV705">
        <v>279814714</v>
      </c>
      <c r="AW705">
        <v>15.398999999999999</v>
      </c>
      <c r="AX705">
        <v>6.2429199999999998</v>
      </c>
      <c r="AY705">
        <v>1880.91</v>
      </c>
      <c r="AZ705">
        <v>1109.31</v>
      </c>
      <c r="BA705">
        <v>1849</v>
      </c>
      <c r="BB705">
        <v>434</v>
      </c>
      <c r="BC705" t="str">
        <f t="shared" si="22"/>
        <v>u=0%, k=2x10^7</v>
      </c>
      <c r="BD705">
        <f t="shared" si="23"/>
        <v>8</v>
      </c>
    </row>
    <row r="706" spans="1:56">
      <c r="A706" t="s">
        <v>1341</v>
      </c>
      <c r="B706" t="s">
        <v>63</v>
      </c>
      <c r="C706">
        <v>72</v>
      </c>
      <c r="D706" t="s">
        <v>64</v>
      </c>
      <c r="E706" t="s">
        <v>59</v>
      </c>
      <c r="F706" t="s">
        <v>60</v>
      </c>
      <c r="G706">
        <v>16000</v>
      </c>
      <c r="H706">
        <v>0</v>
      </c>
      <c r="I706">
        <v>0</v>
      </c>
      <c r="J706">
        <v>0</v>
      </c>
      <c r="K706">
        <v>1</v>
      </c>
      <c r="L706">
        <v>20000000</v>
      </c>
      <c r="M706">
        <v>190</v>
      </c>
      <c r="N706">
        <v>190</v>
      </c>
      <c r="O706">
        <v>190</v>
      </c>
      <c r="P706">
        <v>0</v>
      </c>
      <c r="Q706" t="s">
        <v>61</v>
      </c>
      <c r="R706">
        <v>99998131053346</v>
      </c>
      <c r="S706">
        <v>10000001</v>
      </c>
      <c r="T706">
        <v>99998131053346</v>
      </c>
      <c r="U706">
        <v>10000001</v>
      </c>
      <c r="V706" t="s">
        <v>71</v>
      </c>
      <c r="W706">
        <v>6</v>
      </c>
      <c r="X706">
        <v>1625784</v>
      </c>
      <c r="Y706">
        <v>11442329</v>
      </c>
      <c r="Z706">
        <v>13068113</v>
      </c>
      <c r="AA706">
        <v>10000001</v>
      </c>
      <c r="AB706">
        <v>8.0380400000000005</v>
      </c>
      <c r="AC706">
        <v>0.87394799999999995</v>
      </c>
      <c r="AD706">
        <v>1.76522</v>
      </c>
      <c r="AE706">
        <v>4</v>
      </c>
      <c r="AF706">
        <v>313139968</v>
      </c>
      <c r="AJ706">
        <v>28640</v>
      </c>
      <c r="AM706">
        <v>4470125037</v>
      </c>
      <c r="AN706">
        <v>0</v>
      </c>
      <c r="AO706">
        <v>0</v>
      </c>
      <c r="AP706">
        <v>4470125037</v>
      </c>
      <c r="AQ706">
        <v>4470125037</v>
      </c>
      <c r="AR706">
        <v>279382814</v>
      </c>
      <c r="AS706">
        <v>0</v>
      </c>
      <c r="AT706">
        <v>0</v>
      </c>
      <c r="AU706">
        <v>279382814</v>
      </c>
      <c r="AV706">
        <v>279382814</v>
      </c>
      <c r="AW706">
        <v>15.3917</v>
      </c>
      <c r="AX706">
        <v>6.2451600000000003</v>
      </c>
      <c r="AY706">
        <v>1883.51</v>
      </c>
      <c r="AZ706">
        <v>1110.43</v>
      </c>
      <c r="BA706">
        <v>1851</v>
      </c>
      <c r="BB706">
        <v>468</v>
      </c>
      <c r="BC706" t="str">
        <f t="shared" si="22"/>
        <v>u=0%, k=2x10^7</v>
      </c>
      <c r="BD706">
        <f t="shared" si="23"/>
        <v>16</v>
      </c>
    </row>
    <row r="707" spans="1:56">
      <c r="A707" t="s">
        <v>1342</v>
      </c>
      <c r="B707" t="s">
        <v>63</v>
      </c>
      <c r="C707">
        <v>72</v>
      </c>
      <c r="D707" t="s">
        <v>64</v>
      </c>
      <c r="E707" t="s">
        <v>59</v>
      </c>
      <c r="F707" t="s">
        <v>60</v>
      </c>
      <c r="G707">
        <v>32000</v>
      </c>
      <c r="H707">
        <v>0</v>
      </c>
      <c r="I707">
        <v>0</v>
      </c>
      <c r="J707">
        <v>0</v>
      </c>
      <c r="K707">
        <v>1</v>
      </c>
      <c r="L707">
        <v>20000000</v>
      </c>
      <c r="M707">
        <v>190</v>
      </c>
      <c r="N707">
        <v>190</v>
      </c>
      <c r="O707">
        <v>190</v>
      </c>
      <c r="P707">
        <v>0</v>
      </c>
      <c r="Q707" t="s">
        <v>61</v>
      </c>
      <c r="R707">
        <v>99991082486770</v>
      </c>
      <c r="S707">
        <v>10000001</v>
      </c>
      <c r="T707">
        <v>99991082486770</v>
      </c>
      <c r="U707">
        <v>10000001</v>
      </c>
      <c r="V707" t="s">
        <v>71</v>
      </c>
      <c r="W707">
        <v>6</v>
      </c>
      <c r="X707">
        <v>1625784</v>
      </c>
      <c r="Y707">
        <v>11442329</v>
      </c>
      <c r="Z707">
        <v>13068113</v>
      </c>
      <c r="AA707">
        <v>10000001</v>
      </c>
      <c r="AB707">
        <v>8.0380400000000005</v>
      </c>
      <c r="AC707">
        <v>0.87394799999999995</v>
      </c>
      <c r="AD707">
        <v>1.76522</v>
      </c>
      <c r="AE707">
        <v>4</v>
      </c>
      <c r="AF707">
        <v>313139968</v>
      </c>
      <c r="AJ707">
        <v>57222</v>
      </c>
      <c r="AM707">
        <v>8917210377</v>
      </c>
      <c r="AN707">
        <v>0</v>
      </c>
      <c r="AO707">
        <v>0</v>
      </c>
      <c r="AP707">
        <v>8917210377</v>
      </c>
      <c r="AQ707">
        <v>8917210377</v>
      </c>
      <c r="AR707">
        <v>278662824</v>
      </c>
      <c r="AS707">
        <v>0</v>
      </c>
      <c r="AT707">
        <v>0</v>
      </c>
      <c r="AU707">
        <v>278662824</v>
      </c>
      <c r="AV707">
        <v>278662824</v>
      </c>
      <c r="AW707">
        <v>15.3789</v>
      </c>
      <c r="AX707">
        <v>6.2495399999999997</v>
      </c>
      <c r="AY707">
        <v>1888.04</v>
      </c>
      <c r="AZ707">
        <v>1112.05</v>
      </c>
      <c r="BA707">
        <v>1849</v>
      </c>
      <c r="BB707">
        <v>370</v>
      </c>
      <c r="BC707" t="str">
        <f t="shared" si="22"/>
        <v>u=0%, k=2x10^7</v>
      </c>
      <c r="BD707">
        <f t="shared" si="23"/>
        <v>32</v>
      </c>
    </row>
    <row r="708" spans="1:56">
      <c r="A708" t="s">
        <v>1343</v>
      </c>
      <c r="B708" t="s">
        <v>63</v>
      </c>
      <c r="C708">
        <v>72</v>
      </c>
      <c r="D708" t="s">
        <v>64</v>
      </c>
      <c r="E708" t="s">
        <v>59</v>
      </c>
      <c r="F708" t="s">
        <v>60</v>
      </c>
      <c r="G708">
        <v>64000</v>
      </c>
      <c r="H708">
        <v>0</v>
      </c>
      <c r="I708">
        <v>0</v>
      </c>
      <c r="J708">
        <v>0</v>
      </c>
      <c r="K708">
        <v>1</v>
      </c>
      <c r="L708">
        <v>20000000</v>
      </c>
      <c r="M708">
        <v>190</v>
      </c>
      <c r="N708">
        <v>190</v>
      </c>
      <c r="O708">
        <v>190</v>
      </c>
      <c r="P708">
        <v>0</v>
      </c>
      <c r="Q708" t="s">
        <v>61</v>
      </c>
      <c r="R708">
        <v>99996337015405</v>
      </c>
      <c r="S708">
        <v>10000001</v>
      </c>
      <c r="T708">
        <v>99996337015405</v>
      </c>
      <c r="U708">
        <v>10000001</v>
      </c>
      <c r="V708" t="s">
        <v>71</v>
      </c>
      <c r="W708">
        <v>6</v>
      </c>
      <c r="X708">
        <v>1625784</v>
      </c>
      <c r="Y708">
        <v>11442329</v>
      </c>
      <c r="Z708">
        <v>13068113</v>
      </c>
      <c r="AA708">
        <v>10000001</v>
      </c>
      <c r="AB708">
        <v>8.0380400000000005</v>
      </c>
      <c r="AC708">
        <v>0.87394799999999995</v>
      </c>
      <c r="AD708">
        <v>1.76522</v>
      </c>
      <c r="AE708">
        <v>4</v>
      </c>
      <c r="AF708">
        <v>313139968</v>
      </c>
      <c r="AJ708">
        <v>114030</v>
      </c>
      <c r="AM708">
        <v>17770642415</v>
      </c>
      <c r="AN708">
        <v>0</v>
      </c>
      <c r="AO708">
        <v>0</v>
      </c>
      <c r="AP708">
        <v>17770642415</v>
      </c>
      <c r="AQ708">
        <v>17770642415</v>
      </c>
      <c r="AR708">
        <v>277666287</v>
      </c>
      <c r="AS708">
        <v>0</v>
      </c>
      <c r="AT708">
        <v>0</v>
      </c>
      <c r="AU708">
        <v>277666287</v>
      </c>
      <c r="AV708">
        <v>277666287</v>
      </c>
      <c r="AW708">
        <v>15.512499999999999</v>
      </c>
      <c r="AX708">
        <v>6.2549599999999996</v>
      </c>
      <c r="AY708">
        <v>1894.93</v>
      </c>
      <c r="AZ708">
        <v>1122.79</v>
      </c>
      <c r="BA708">
        <v>1849</v>
      </c>
      <c r="BB708">
        <v>425</v>
      </c>
      <c r="BC708" t="str">
        <f t="shared" si="22"/>
        <v>u=0%, k=2x10^7</v>
      </c>
      <c r="BD708">
        <f t="shared" si="23"/>
        <v>64</v>
      </c>
    </row>
    <row r="709" spans="1:56">
      <c r="A709" t="s">
        <v>1344</v>
      </c>
      <c r="B709" t="s">
        <v>300</v>
      </c>
      <c r="C709">
        <v>208</v>
      </c>
      <c r="D709" t="s">
        <v>64</v>
      </c>
      <c r="E709" t="s">
        <v>59</v>
      </c>
      <c r="F709" t="s">
        <v>60</v>
      </c>
      <c r="G709">
        <v>1000</v>
      </c>
      <c r="H709">
        <v>0</v>
      </c>
      <c r="I709">
        <v>0</v>
      </c>
      <c r="J709">
        <v>0</v>
      </c>
      <c r="K709">
        <v>1</v>
      </c>
      <c r="L709">
        <v>20000000</v>
      </c>
      <c r="M709">
        <v>190</v>
      </c>
      <c r="N709">
        <v>190</v>
      </c>
      <c r="O709">
        <v>190</v>
      </c>
      <c r="P709">
        <v>0</v>
      </c>
      <c r="Q709" t="s">
        <v>61</v>
      </c>
      <c r="R709">
        <v>99966682415233</v>
      </c>
      <c r="S709">
        <v>10000000</v>
      </c>
      <c r="T709">
        <v>99966682415233</v>
      </c>
      <c r="U709">
        <v>10000000</v>
      </c>
      <c r="V709" t="s">
        <v>71</v>
      </c>
      <c r="W709">
        <v>9</v>
      </c>
      <c r="X709">
        <v>185344</v>
      </c>
      <c r="Y709">
        <v>1276111</v>
      </c>
      <c r="Z709">
        <v>1461455</v>
      </c>
      <c r="AA709">
        <v>10000000</v>
      </c>
      <c r="AB709">
        <v>7.8850899999999999</v>
      </c>
      <c r="AC709">
        <v>7.8363100000000001</v>
      </c>
      <c r="AD709">
        <v>7.8425000000000002</v>
      </c>
      <c r="AE709">
        <v>8</v>
      </c>
      <c r="AF709">
        <v>303982640</v>
      </c>
      <c r="AJ709" t="s">
        <v>1345</v>
      </c>
      <c r="AM709">
        <v>244443094</v>
      </c>
      <c r="AN709">
        <v>0</v>
      </c>
      <c r="AO709">
        <v>0</v>
      </c>
      <c r="AP709">
        <v>244443094</v>
      </c>
      <c r="AQ709">
        <v>244443094</v>
      </c>
      <c r="AR709">
        <v>244443094</v>
      </c>
      <c r="AS709">
        <v>0</v>
      </c>
      <c r="AT709">
        <v>0</v>
      </c>
      <c r="AU709">
        <v>244443094</v>
      </c>
      <c r="AV709">
        <v>244443094</v>
      </c>
      <c r="AW709">
        <v>16.511099999999999</v>
      </c>
      <c r="AX709">
        <v>5.51004</v>
      </c>
      <c r="AY709">
        <v>2129.4</v>
      </c>
      <c r="AZ709">
        <v>1214.8499999999999</v>
      </c>
      <c r="BA709">
        <v>1594</v>
      </c>
      <c r="BB709">
        <v>911</v>
      </c>
      <c r="BC709" t="str">
        <f t="shared" si="22"/>
        <v>u=0%, k=2x10^7</v>
      </c>
      <c r="BD709">
        <f t="shared" si="23"/>
        <v>1</v>
      </c>
    </row>
    <row r="710" spans="1:56">
      <c r="A710" t="s">
        <v>1346</v>
      </c>
      <c r="B710" t="s">
        <v>300</v>
      </c>
      <c r="C710">
        <v>208</v>
      </c>
      <c r="D710" t="s">
        <v>64</v>
      </c>
      <c r="E710" t="s">
        <v>59</v>
      </c>
      <c r="F710" t="s">
        <v>60</v>
      </c>
      <c r="G710">
        <v>2000</v>
      </c>
      <c r="H710">
        <v>0</v>
      </c>
      <c r="I710">
        <v>0</v>
      </c>
      <c r="J710">
        <v>0</v>
      </c>
      <c r="K710">
        <v>1</v>
      </c>
      <c r="L710">
        <v>20000000</v>
      </c>
      <c r="M710">
        <v>190</v>
      </c>
      <c r="N710">
        <v>190</v>
      </c>
      <c r="O710">
        <v>190</v>
      </c>
      <c r="P710">
        <v>0</v>
      </c>
      <c r="Q710" t="s">
        <v>61</v>
      </c>
      <c r="R710">
        <v>100005082579711</v>
      </c>
      <c r="S710">
        <v>10000000</v>
      </c>
      <c r="T710">
        <v>100005082579711</v>
      </c>
      <c r="U710">
        <v>10000000</v>
      </c>
      <c r="V710" t="s">
        <v>71</v>
      </c>
      <c r="W710">
        <v>9</v>
      </c>
      <c r="X710">
        <v>185720</v>
      </c>
      <c r="Y710">
        <v>1276195</v>
      </c>
      <c r="Z710">
        <v>1461915</v>
      </c>
      <c r="AA710">
        <v>10000000</v>
      </c>
      <c r="AB710">
        <v>7.8716100000000004</v>
      </c>
      <c r="AC710">
        <v>7.8357900000000003</v>
      </c>
      <c r="AD710">
        <v>7.8403400000000003</v>
      </c>
      <c r="AE710">
        <v>8</v>
      </c>
      <c r="AF710">
        <v>304078320</v>
      </c>
      <c r="AJ710">
        <v>3570</v>
      </c>
      <c r="AM710">
        <v>494426622</v>
      </c>
      <c r="AN710">
        <v>0</v>
      </c>
      <c r="AO710">
        <v>0</v>
      </c>
      <c r="AP710">
        <v>494426622</v>
      </c>
      <c r="AQ710">
        <v>494426622</v>
      </c>
      <c r="AR710">
        <v>247213311</v>
      </c>
      <c r="AS710">
        <v>0</v>
      </c>
      <c r="AT710">
        <v>0</v>
      </c>
      <c r="AU710">
        <v>247213311</v>
      </c>
      <c r="AV710">
        <v>247213311</v>
      </c>
      <c r="AW710">
        <v>16.516300000000001</v>
      </c>
      <c r="AX710">
        <v>5.5487700000000002</v>
      </c>
      <c r="AY710">
        <v>2122.29</v>
      </c>
      <c r="AZ710">
        <v>1213.42</v>
      </c>
      <c r="BA710">
        <v>1589</v>
      </c>
      <c r="BB710">
        <v>892</v>
      </c>
      <c r="BC710" t="str">
        <f t="shared" si="22"/>
        <v>u=0%, k=2x10^7</v>
      </c>
      <c r="BD710">
        <f t="shared" si="23"/>
        <v>2</v>
      </c>
    </row>
    <row r="711" spans="1:56">
      <c r="A711" t="s">
        <v>1347</v>
      </c>
      <c r="B711" t="s">
        <v>300</v>
      </c>
      <c r="C711">
        <v>208</v>
      </c>
      <c r="D711" t="s">
        <v>64</v>
      </c>
      <c r="E711" t="s">
        <v>59</v>
      </c>
      <c r="F711" t="s">
        <v>60</v>
      </c>
      <c r="G711">
        <v>4000</v>
      </c>
      <c r="H711">
        <v>0</v>
      </c>
      <c r="I711">
        <v>0</v>
      </c>
      <c r="J711">
        <v>0</v>
      </c>
      <c r="K711">
        <v>1</v>
      </c>
      <c r="L711">
        <v>20000000</v>
      </c>
      <c r="M711">
        <v>190</v>
      </c>
      <c r="N711">
        <v>190</v>
      </c>
      <c r="O711">
        <v>190</v>
      </c>
      <c r="P711">
        <v>0</v>
      </c>
      <c r="Q711" t="s">
        <v>61</v>
      </c>
      <c r="R711">
        <v>99992984408425</v>
      </c>
      <c r="S711">
        <v>10000000</v>
      </c>
      <c r="T711">
        <v>99992984408425</v>
      </c>
      <c r="U711">
        <v>10000000</v>
      </c>
      <c r="V711" t="s">
        <v>71</v>
      </c>
      <c r="W711">
        <v>9</v>
      </c>
      <c r="X711">
        <v>185280</v>
      </c>
      <c r="Y711">
        <v>1275273</v>
      </c>
      <c r="Z711">
        <v>1460553</v>
      </c>
      <c r="AA711">
        <v>10000000</v>
      </c>
      <c r="AB711">
        <v>7.8829500000000001</v>
      </c>
      <c r="AC711">
        <v>7.8414599999999997</v>
      </c>
      <c r="AD711">
        <v>7.8467200000000004</v>
      </c>
      <c r="AE711">
        <v>8</v>
      </c>
      <c r="AF711">
        <v>303795024</v>
      </c>
      <c r="AJ711">
        <v>6590</v>
      </c>
      <c r="AM711">
        <v>975775098</v>
      </c>
      <c r="AN711">
        <v>0</v>
      </c>
      <c r="AO711">
        <v>0</v>
      </c>
      <c r="AP711">
        <v>975775098</v>
      </c>
      <c r="AQ711">
        <v>975775098</v>
      </c>
      <c r="AR711">
        <v>243943774</v>
      </c>
      <c r="AS711">
        <v>0</v>
      </c>
      <c r="AT711">
        <v>0</v>
      </c>
      <c r="AU711">
        <v>243943774</v>
      </c>
      <c r="AV711">
        <v>243943774</v>
      </c>
      <c r="AW711">
        <v>16.5609</v>
      </c>
      <c r="AX711">
        <v>5.5565300000000004</v>
      </c>
      <c r="AY711">
        <v>2146.83</v>
      </c>
      <c r="AZ711">
        <v>1234.78</v>
      </c>
      <c r="BA711">
        <v>1585</v>
      </c>
      <c r="BB711">
        <v>885</v>
      </c>
      <c r="BC711" t="str">
        <f t="shared" si="22"/>
        <v>u=0%, k=2x10^7</v>
      </c>
      <c r="BD711">
        <f t="shared" si="23"/>
        <v>4</v>
      </c>
    </row>
    <row r="712" spans="1:56">
      <c r="A712" t="s">
        <v>1348</v>
      </c>
      <c r="B712" t="s">
        <v>300</v>
      </c>
      <c r="C712">
        <v>208</v>
      </c>
      <c r="D712" t="s">
        <v>64</v>
      </c>
      <c r="E712" t="s">
        <v>59</v>
      </c>
      <c r="F712" t="s">
        <v>60</v>
      </c>
      <c r="G712">
        <v>8000</v>
      </c>
      <c r="H712">
        <v>0</v>
      </c>
      <c r="I712">
        <v>0</v>
      </c>
      <c r="J712">
        <v>0</v>
      </c>
      <c r="K712">
        <v>1</v>
      </c>
      <c r="L712">
        <v>20000000</v>
      </c>
      <c r="M712">
        <v>190</v>
      </c>
      <c r="N712">
        <v>190</v>
      </c>
      <c r="O712">
        <v>190</v>
      </c>
      <c r="P712">
        <v>0</v>
      </c>
      <c r="Q712" t="s">
        <v>61</v>
      </c>
      <c r="R712">
        <v>100029728768985</v>
      </c>
      <c r="S712">
        <v>10000000</v>
      </c>
      <c r="T712">
        <v>100029728768985</v>
      </c>
      <c r="U712">
        <v>10000000</v>
      </c>
      <c r="V712" t="s">
        <v>71</v>
      </c>
      <c r="W712">
        <v>9</v>
      </c>
      <c r="X712">
        <v>185441</v>
      </c>
      <c r="Y712">
        <v>1275770</v>
      </c>
      <c r="Z712">
        <v>1461211</v>
      </c>
      <c r="AA712">
        <v>10000000</v>
      </c>
      <c r="AB712">
        <v>7.8796499999999998</v>
      </c>
      <c r="AC712">
        <v>7.8384</v>
      </c>
      <c r="AD712">
        <v>7.8436399999999997</v>
      </c>
      <c r="AE712">
        <v>8</v>
      </c>
      <c r="AF712">
        <v>303931888</v>
      </c>
      <c r="AJ712" t="s">
        <v>1349</v>
      </c>
      <c r="AM712">
        <v>1944865976</v>
      </c>
      <c r="AN712">
        <v>0</v>
      </c>
      <c r="AO712">
        <v>0</v>
      </c>
      <c r="AP712">
        <v>1944865976</v>
      </c>
      <c r="AQ712">
        <v>1944865976</v>
      </c>
      <c r="AR712">
        <v>243108247</v>
      </c>
      <c r="AS712">
        <v>0</v>
      </c>
      <c r="AT712">
        <v>0</v>
      </c>
      <c r="AU712">
        <v>243108247</v>
      </c>
      <c r="AV712">
        <v>243108247</v>
      </c>
      <c r="AW712">
        <v>16.562200000000001</v>
      </c>
      <c r="AX712">
        <v>5.57613</v>
      </c>
      <c r="AY712">
        <v>2159.85</v>
      </c>
      <c r="AZ712">
        <v>1249.2</v>
      </c>
      <c r="BA712">
        <v>1613</v>
      </c>
      <c r="BB712">
        <v>1020</v>
      </c>
      <c r="BC712" t="str">
        <f t="shared" si="22"/>
        <v>u=0%, k=2x10^7</v>
      </c>
      <c r="BD712">
        <f t="shared" si="23"/>
        <v>8</v>
      </c>
    </row>
    <row r="713" spans="1:56">
      <c r="A713" t="s">
        <v>1350</v>
      </c>
      <c r="B713" t="s">
        <v>300</v>
      </c>
      <c r="C713">
        <v>208</v>
      </c>
      <c r="D713" t="s">
        <v>64</v>
      </c>
      <c r="E713" t="s">
        <v>59</v>
      </c>
      <c r="F713" t="s">
        <v>60</v>
      </c>
      <c r="G713">
        <v>16000</v>
      </c>
      <c r="H713">
        <v>0</v>
      </c>
      <c r="I713">
        <v>0</v>
      </c>
      <c r="J713">
        <v>0</v>
      </c>
      <c r="K713">
        <v>1</v>
      </c>
      <c r="L713">
        <v>20000000</v>
      </c>
      <c r="M713">
        <v>190</v>
      </c>
      <c r="N713">
        <v>190</v>
      </c>
      <c r="O713">
        <v>190</v>
      </c>
      <c r="P713">
        <v>0</v>
      </c>
      <c r="Q713" t="s">
        <v>61</v>
      </c>
      <c r="R713">
        <v>100001696492151</v>
      </c>
      <c r="S713">
        <v>10000000</v>
      </c>
      <c r="T713">
        <v>100001696492151</v>
      </c>
      <c r="U713">
        <v>10000000</v>
      </c>
      <c r="V713" t="s">
        <v>71</v>
      </c>
      <c r="W713">
        <v>9</v>
      </c>
      <c r="X713">
        <v>185224</v>
      </c>
      <c r="Y713">
        <v>1275893</v>
      </c>
      <c r="Z713">
        <v>1461117</v>
      </c>
      <c r="AA713">
        <v>10000000</v>
      </c>
      <c r="AB713">
        <v>7.8883799999999997</v>
      </c>
      <c r="AC713">
        <v>7.83765</v>
      </c>
      <c r="AD713">
        <v>7.8440799999999999</v>
      </c>
      <c r="AE713">
        <v>8</v>
      </c>
      <c r="AF713">
        <v>303912336</v>
      </c>
      <c r="AJ713">
        <v>24270</v>
      </c>
      <c r="AM713">
        <v>3866236124</v>
      </c>
      <c r="AN713">
        <v>0</v>
      </c>
      <c r="AO713">
        <v>0</v>
      </c>
      <c r="AP713">
        <v>3866236124</v>
      </c>
      <c r="AQ713">
        <v>3866236124</v>
      </c>
      <c r="AR713">
        <v>241639757</v>
      </c>
      <c r="AS713">
        <v>0</v>
      </c>
      <c r="AT713">
        <v>0</v>
      </c>
      <c r="AU713">
        <v>241639757</v>
      </c>
      <c r="AV713">
        <v>241639757</v>
      </c>
      <c r="AW713">
        <v>16.521999999999998</v>
      </c>
      <c r="AX713">
        <v>5.5577500000000004</v>
      </c>
      <c r="AY713">
        <v>2172.91</v>
      </c>
      <c r="AZ713">
        <v>1259.4000000000001</v>
      </c>
      <c r="BA713">
        <v>1596</v>
      </c>
      <c r="BB713">
        <v>926</v>
      </c>
      <c r="BC713" t="str">
        <f t="shared" si="22"/>
        <v>u=0%, k=2x10^7</v>
      </c>
      <c r="BD713">
        <f t="shared" si="23"/>
        <v>16</v>
      </c>
    </row>
    <row r="714" spans="1:56">
      <c r="A714" t="s">
        <v>1351</v>
      </c>
      <c r="B714" t="s">
        <v>300</v>
      </c>
      <c r="C714">
        <v>208</v>
      </c>
      <c r="D714" t="s">
        <v>64</v>
      </c>
      <c r="E714" t="s">
        <v>59</v>
      </c>
      <c r="F714" t="s">
        <v>60</v>
      </c>
      <c r="G714">
        <v>32000</v>
      </c>
      <c r="H714">
        <v>0</v>
      </c>
      <c r="I714">
        <v>0</v>
      </c>
      <c r="J714">
        <v>0</v>
      </c>
      <c r="K714">
        <v>1</v>
      </c>
      <c r="L714">
        <v>20000000</v>
      </c>
      <c r="M714">
        <v>190</v>
      </c>
      <c r="N714">
        <v>190</v>
      </c>
      <c r="O714">
        <v>190</v>
      </c>
      <c r="P714">
        <v>0</v>
      </c>
      <c r="Q714" t="s">
        <v>61</v>
      </c>
      <c r="R714">
        <v>100012090827496</v>
      </c>
      <c r="S714">
        <v>10000000</v>
      </c>
      <c r="T714">
        <v>100012090827496</v>
      </c>
      <c r="U714">
        <v>10000000</v>
      </c>
      <c r="V714" t="s">
        <v>71</v>
      </c>
      <c r="W714">
        <v>9</v>
      </c>
      <c r="X714">
        <v>185237</v>
      </c>
      <c r="Y714">
        <v>1275860</v>
      </c>
      <c r="Z714">
        <v>1461097</v>
      </c>
      <c r="AA714">
        <v>10000000</v>
      </c>
      <c r="AB714">
        <v>7.8877199999999998</v>
      </c>
      <c r="AC714">
        <v>7.8378500000000004</v>
      </c>
      <c r="AD714">
        <v>7.8441700000000001</v>
      </c>
      <c r="AE714">
        <v>8</v>
      </c>
      <c r="AF714">
        <v>303908176</v>
      </c>
      <c r="AJ714" t="s">
        <v>1352</v>
      </c>
      <c r="AM714">
        <v>7752318947</v>
      </c>
      <c r="AN714">
        <v>0</v>
      </c>
      <c r="AO714">
        <v>0</v>
      </c>
      <c r="AP714">
        <v>7752318947</v>
      </c>
      <c r="AQ714">
        <v>7752318947</v>
      </c>
      <c r="AR714">
        <v>242259967</v>
      </c>
      <c r="AS714">
        <v>0</v>
      </c>
      <c r="AT714">
        <v>0</v>
      </c>
      <c r="AU714">
        <v>242259967</v>
      </c>
      <c r="AV714">
        <v>242259967</v>
      </c>
      <c r="AW714">
        <v>16.517199999999999</v>
      </c>
      <c r="AX714">
        <v>5.5617599999999996</v>
      </c>
      <c r="AY714">
        <v>2167.0100000000002</v>
      </c>
      <c r="AZ714">
        <v>1259.52</v>
      </c>
      <c r="BA714">
        <v>1584</v>
      </c>
      <c r="BB714">
        <v>965</v>
      </c>
      <c r="BC714" t="str">
        <f t="shared" si="22"/>
        <v>u=0%, k=2x10^7</v>
      </c>
      <c r="BD714">
        <f t="shared" si="23"/>
        <v>32</v>
      </c>
    </row>
    <row r="715" spans="1:56">
      <c r="A715" t="s">
        <v>1353</v>
      </c>
      <c r="B715" t="s">
        <v>300</v>
      </c>
      <c r="C715">
        <v>208</v>
      </c>
      <c r="D715" t="s">
        <v>64</v>
      </c>
      <c r="E715" t="s">
        <v>59</v>
      </c>
      <c r="F715" t="s">
        <v>60</v>
      </c>
      <c r="G715">
        <v>64000</v>
      </c>
      <c r="H715">
        <v>0</v>
      </c>
      <c r="I715">
        <v>0</v>
      </c>
      <c r="J715">
        <v>0</v>
      </c>
      <c r="K715">
        <v>1</v>
      </c>
      <c r="L715">
        <v>20000000</v>
      </c>
      <c r="M715">
        <v>190</v>
      </c>
      <c r="N715">
        <v>190</v>
      </c>
      <c r="O715">
        <v>190</v>
      </c>
      <c r="P715">
        <v>0</v>
      </c>
      <c r="Q715" t="s">
        <v>61</v>
      </c>
      <c r="R715">
        <v>99999993494391</v>
      </c>
      <c r="S715">
        <v>10000000</v>
      </c>
      <c r="T715">
        <v>99999993494391</v>
      </c>
      <c r="U715">
        <v>10000000</v>
      </c>
      <c r="V715" t="s">
        <v>71</v>
      </c>
      <c r="W715">
        <v>9</v>
      </c>
      <c r="X715">
        <v>185233</v>
      </c>
      <c r="Y715">
        <v>1275522</v>
      </c>
      <c r="Z715">
        <v>1460755</v>
      </c>
      <c r="AA715">
        <v>10000000</v>
      </c>
      <c r="AB715">
        <v>7.8860400000000004</v>
      </c>
      <c r="AC715">
        <v>7.8399299999999998</v>
      </c>
      <c r="AD715">
        <v>7.8457699999999999</v>
      </c>
      <c r="AE715">
        <v>8</v>
      </c>
      <c r="AF715">
        <v>303837040</v>
      </c>
      <c r="AJ715">
        <v>94930</v>
      </c>
      <c r="AM715">
        <v>15479108781</v>
      </c>
      <c r="AN715">
        <v>0</v>
      </c>
      <c r="AO715">
        <v>0</v>
      </c>
      <c r="AP715">
        <v>15479108781</v>
      </c>
      <c r="AQ715">
        <v>15479108781</v>
      </c>
      <c r="AR715">
        <v>241861074</v>
      </c>
      <c r="AS715">
        <v>0</v>
      </c>
      <c r="AT715">
        <v>0</v>
      </c>
      <c r="AU715">
        <v>241861074</v>
      </c>
      <c r="AV715">
        <v>241861074</v>
      </c>
      <c r="AW715">
        <v>16.494900000000001</v>
      </c>
      <c r="AX715">
        <v>5.5662000000000003</v>
      </c>
      <c r="AY715">
        <v>2171.02</v>
      </c>
      <c r="AZ715">
        <v>1259.52</v>
      </c>
      <c r="BA715">
        <v>1598</v>
      </c>
      <c r="BB715">
        <v>902</v>
      </c>
      <c r="BC715" t="str">
        <f t="shared" si="22"/>
        <v>u=0%, k=2x10^7</v>
      </c>
      <c r="BD715">
        <f t="shared" si="23"/>
        <v>64</v>
      </c>
    </row>
    <row r="716" spans="1:56">
      <c r="A716" t="s">
        <v>1354</v>
      </c>
      <c r="B716" t="s">
        <v>105</v>
      </c>
      <c r="D716" t="s">
        <v>64</v>
      </c>
      <c r="E716" t="s">
        <v>59</v>
      </c>
      <c r="F716" t="s">
        <v>60</v>
      </c>
      <c r="G716">
        <v>1000</v>
      </c>
      <c r="H716">
        <v>0</v>
      </c>
      <c r="I716">
        <v>0</v>
      </c>
      <c r="J716">
        <v>0</v>
      </c>
      <c r="K716">
        <v>1</v>
      </c>
      <c r="L716">
        <v>20000000</v>
      </c>
      <c r="M716">
        <v>190</v>
      </c>
      <c r="N716">
        <v>190</v>
      </c>
      <c r="O716">
        <v>190</v>
      </c>
      <c r="P716">
        <v>0</v>
      </c>
      <c r="Q716" t="s">
        <v>61</v>
      </c>
      <c r="R716">
        <v>99995505424123</v>
      </c>
      <c r="S716">
        <v>10000000</v>
      </c>
      <c r="T716">
        <v>99995505424123</v>
      </c>
      <c r="U716">
        <v>10000000</v>
      </c>
      <c r="V716" t="s">
        <v>71</v>
      </c>
      <c r="W716">
        <v>29</v>
      </c>
      <c r="X716">
        <v>5714744</v>
      </c>
      <c r="Y716">
        <v>4285257</v>
      </c>
      <c r="Z716">
        <v>10000001</v>
      </c>
      <c r="AA716">
        <v>10000000</v>
      </c>
      <c r="AB716">
        <v>1.74986</v>
      </c>
      <c r="AC716">
        <v>2.33358</v>
      </c>
      <c r="AD716">
        <v>2</v>
      </c>
      <c r="AE716">
        <v>22.761700000000001</v>
      </c>
      <c r="AF716">
        <v>560000056</v>
      </c>
      <c r="AJ716" t="s">
        <v>1355</v>
      </c>
      <c r="AM716">
        <v>115510816</v>
      </c>
      <c r="AN716">
        <v>0</v>
      </c>
      <c r="AO716">
        <v>0</v>
      </c>
      <c r="AP716">
        <v>115510816</v>
      </c>
      <c r="AQ716">
        <v>115510816</v>
      </c>
      <c r="AR716">
        <v>115510816</v>
      </c>
      <c r="AS716">
        <v>0</v>
      </c>
      <c r="AT716">
        <v>0</v>
      </c>
      <c r="AU716">
        <v>115510816</v>
      </c>
      <c r="AV716">
        <v>115510816</v>
      </c>
      <c r="AW716">
        <v>28.352499999999999</v>
      </c>
      <c r="AX716">
        <v>10.4184</v>
      </c>
      <c r="AY716">
        <v>4558.91</v>
      </c>
      <c r="AZ716">
        <v>3208.42</v>
      </c>
      <c r="BA716">
        <v>1754</v>
      </c>
      <c r="BB716">
        <v>439</v>
      </c>
      <c r="BC716" t="str">
        <f t="shared" si="22"/>
        <v>u=0%, k=2x10^7</v>
      </c>
      <c r="BD716">
        <f t="shared" si="23"/>
        <v>1</v>
      </c>
    </row>
    <row r="717" spans="1:56">
      <c r="A717" t="s">
        <v>1356</v>
      </c>
      <c r="B717" t="s">
        <v>105</v>
      </c>
      <c r="D717" t="s">
        <v>64</v>
      </c>
      <c r="E717" t="s">
        <v>59</v>
      </c>
      <c r="F717" t="s">
        <v>60</v>
      </c>
      <c r="G717">
        <v>2000</v>
      </c>
      <c r="H717">
        <v>0</v>
      </c>
      <c r="I717">
        <v>0</v>
      </c>
      <c r="J717">
        <v>0</v>
      </c>
      <c r="K717">
        <v>1</v>
      </c>
      <c r="L717">
        <v>20000000</v>
      </c>
      <c r="M717">
        <v>190</v>
      </c>
      <c r="N717">
        <v>190</v>
      </c>
      <c r="O717">
        <v>190</v>
      </c>
      <c r="P717">
        <v>0</v>
      </c>
      <c r="Q717" t="s">
        <v>61</v>
      </c>
      <c r="R717">
        <v>99988709145109</v>
      </c>
      <c r="S717">
        <v>10000000</v>
      </c>
      <c r="T717">
        <v>99988709145109</v>
      </c>
      <c r="U717">
        <v>10000000</v>
      </c>
      <c r="V717" t="s">
        <v>71</v>
      </c>
      <c r="W717">
        <v>29</v>
      </c>
      <c r="X717">
        <v>5714525</v>
      </c>
      <c r="Y717">
        <v>4285476</v>
      </c>
      <c r="Z717">
        <v>10000001</v>
      </c>
      <c r="AA717">
        <v>10000000</v>
      </c>
      <c r="AB717">
        <v>1.74993</v>
      </c>
      <c r="AC717">
        <v>2.3334600000000001</v>
      </c>
      <c r="AD717">
        <v>2</v>
      </c>
      <c r="AE717">
        <v>22.7136</v>
      </c>
      <c r="AF717">
        <v>560000056</v>
      </c>
      <c r="AJ717" t="s">
        <v>1357</v>
      </c>
      <c r="AM717">
        <v>232138083</v>
      </c>
      <c r="AN717">
        <v>0</v>
      </c>
      <c r="AO717">
        <v>0</v>
      </c>
      <c r="AP717">
        <v>232138083</v>
      </c>
      <c r="AQ717">
        <v>232138083</v>
      </c>
      <c r="AR717">
        <v>116069041</v>
      </c>
      <c r="AS717">
        <v>0</v>
      </c>
      <c r="AT717">
        <v>0</v>
      </c>
      <c r="AU717">
        <v>116069041</v>
      </c>
      <c r="AV717">
        <v>116069041</v>
      </c>
      <c r="AW717">
        <v>28.4605</v>
      </c>
      <c r="AX717">
        <v>10.5259</v>
      </c>
      <c r="AY717">
        <v>4537.7700000000004</v>
      </c>
      <c r="AZ717">
        <v>3180.6</v>
      </c>
      <c r="BA717">
        <v>1754</v>
      </c>
      <c r="BB717">
        <v>436</v>
      </c>
      <c r="BC717" t="str">
        <f t="shared" si="22"/>
        <v>u=0%, k=2x10^7</v>
      </c>
      <c r="BD717">
        <f t="shared" si="23"/>
        <v>2</v>
      </c>
    </row>
    <row r="718" spans="1:56">
      <c r="A718" t="s">
        <v>1358</v>
      </c>
      <c r="B718" t="s">
        <v>105</v>
      </c>
      <c r="D718" t="s">
        <v>64</v>
      </c>
      <c r="E718" t="s">
        <v>59</v>
      </c>
      <c r="F718" t="s">
        <v>60</v>
      </c>
      <c r="G718">
        <v>4000</v>
      </c>
      <c r="H718">
        <v>0</v>
      </c>
      <c r="I718">
        <v>0</v>
      </c>
      <c r="J718">
        <v>0</v>
      </c>
      <c r="K718">
        <v>1</v>
      </c>
      <c r="L718">
        <v>20000000</v>
      </c>
      <c r="M718">
        <v>190</v>
      </c>
      <c r="N718">
        <v>190</v>
      </c>
      <c r="O718">
        <v>190</v>
      </c>
      <c r="P718">
        <v>0</v>
      </c>
      <c r="Q718" t="s">
        <v>61</v>
      </c>
      <c r="R718">
        <v>99990892515236</v>
      </c>
      <c r="S718">
        <v>10000000</v>
      </c>
      <c r="T718">
        <v>99990892515236</v>
      </c>
      <c r="U718">
        <v>10000000</v>
      </c>
      <c r="V718" t="s">
        <v>71</v>
      </c>
      <c r="W718">
        <v>29</v>
      </c>
      <c r="X718">
        <v>5714215</v>
      </c>
      <c r="Y718">
        <v>4285786</v>
      </c>
      <c r="Z718">
        <v>10000001</v>
      </c>
      <c r="AA718">
        <v>10000000</v>
      </c>
      <c r="AB718">
        <v>1.7500199999999999</v>
      </c>
      <c r="AC718">
        <v>2.3332899999999999</v>
      </c>
      <c r="AD718">
        <v>2</v>
      </c>
      <c r="AE718">
        <v>22.689399999999999</v>
      </c>
      <c r="AF718">
        <v>560000056</v>
      </c>
      <c r="AJ718">
        <v>2902</v>
      </c>
      <c r="AM718">
        <v>459711123</v>
      </c>
      <c r="AN718">
        <v>0</v>
      </c>
      <c r="AO718">
        <v>0</v>
      </c>
      <c r="AP718">
        <v>459711123</v>
      </c>
      <c r="AQ718">
        <v>459711123</v>
      </c>
      <c r="AR718">
        <v>114927780</v>
      </c>
      <c r="AS718">
        <v>0</v>
      </c>
      <c r="AT718">
        <v>0</v>
      </c>
      <c r="AU718">
        <v>114927780</v>
      </c>
      <c r="AV718">
        <v>114927780</v>
      </c>
      <c r="AW718">
        <v>28.552900000000001</v>
      </c>
      <c r="AX718">
        <v>10.6084</v>
      </c>
      <c r="AY718">
        <v>4591.87</v>
      </c>
      <c r="AZ718">
        <v>3158.02</v>
      </c>
      <c r="BA718">
        <v>1753</v>
      </c>
      <c r="BB718">
        <v>432</v>
      </c>
      <c r="BC718" t="str">
        <f t="shared" si="22"/>
        <v>u=0%, k=2x10^7</v>
      </c>
      <c r="BD718">
        <f t="shared" si="23"/>
        <v>4</v>
      </c>
    </row>
    <row r="719" spans="1:56">
      <c r="A719" t="s">
        <v>1359</v>
      </c>
      <c r="B719" t="s">
        <v>105</v>
      </c>
      <c r="D719" t="s">
        <v>64</v>
      </c>
      <c r="E719" t="s">
        <v>59</v>
      </c>
      <c r="F719" t="s">
        <v>60</v>
      </c>
      <c r="G719">
        <v>8000</v>
      </c>
      <c r="H719">
        <v>0</v>
      </c>
      <c r="I719">
        <v>0</v>
      </c>
      <c r="J719">
        <v>0</v>
      </c>
      <c r="K719">
        <v>1</v>
      </c>
      <c r="L719">
        <v>20000000</v>
      </c>
      <c r="M719">
        <v>190</v>
      </c>
      <c r="N719">
        <v>190</v>
      </c>
      <c r="O719">
        <v>190</v>
      </c>
      <c r="P719">
        <v>0</v>
      </c>
      <c r="Q719" t="s">
        <v>61</v>
      </c>
      <c r="R719">
        <v>99997344998659</v>
      </c>
      <c r="S719">
        <v>10000000</v>
      </c>
      <c r="T719">
        <v>99997344998659</v>
      </c>
      <c r="U719">
        <v>10000000</v>
      </c>
      <c r="V719" t="s">
        <v>71</v>
      </c>
      <c r="W719">
        <v>29</v>
      </c>
      <c r="X719">
        <v>5714657</v>
      </c>
      <c r="Y719">
        <v>4285344</v>
      </c>
      <c r="Z719">
        <v>10000001</v>
      </c>
      <c r="AA719">
        <v>10000000</v>
      </c>
      <c r="AB719">
        <v>1.7498899999999999</v>
      </c>
      <c r="AC719">
        <v>2.3335300000000001</v>
      </c>
      <c r="AD719">
        <v>2</v>
      </c>
      <c r="AE719">
        <v>22.671299999999999</v>
      </c>
      <c r="AF719">
        <v>560000056</v>
      </c>
      <c r="AJ719">
        <v>5644</v>
      </c>
      <c r="AM719">
        <v>928120072</v>
      </c>
      <c r="AN719">
        <v>0</v>
      </c>
      <c r="AO719">
        <v>0</v>
      </c>
      <c r="AP719">
        <v>928120072</v>
      </c>
      <c r="AQ719">
        <v>928120072</v>
      </c>
      <c r="AR719">
        <v>116015009</v>
      </c>
      <c r="AS719">
        <v>0</v>
      </c>
      <c r="AT719">
        <v>0</v>
      </c>
      <c r="AU719">
        <v>116015009</v>
      </c>
      <c r="AV719">
        <v>116015009</v>
      </c>
      <c r="AW719">
        <v>28.7622</v>
      </c>
      <c r="AX719">
        <v>10.674200000000001</v>
      </c>
      <c r="AY719">
        <v>4547.8</v>
      </c>
      <c r="AZ719">
        <v>3182.67</v>
      </c>
      <c r="BA719">
        <v>1754</v>
      </c>
      <c r="BB719">
        <v>435</v>
      </c>
      <c r="BC719" t="str">
        <f t="shared" si="22"/>
        <v>u=0%, k=2x10^7</v>
      </c>
      <c r="BD719">
        <f t="shared" si="23"/>
        <v>8</v>
      </c>
    </row>
    <row r="720" spans="1:56">
      <c r="A720" t="s">
        <v>1360</v>
      </c>
      <c r="B720" t="s">
        <v>105</v>
      </c>
      <c r="D720" t="s">
        <v>64</v>
      </c>
      <c r="E720" t="s">
        <v>59</v>
      </c>
      <c r="F720" t="s">
        <v>60</v>
      </c>
      <c r="G720">
        <v>16000</v>
      </c>
      <c r="H720">
        <v>0</v>
      </c>
      <c r="I720">
        <v>0</v>
      </c>
      <c r="J720">
        <v>0</v>
      </c>
      <c r="K720">
        <v>1</v>
      </c>
      <c r="L720">
        <v>20000000</v>
      </c>
      <c r="M720">
        <v>190</v>
      </c>
      <c r="N720">
        <v>190</v>
      </c>
      <c r="O720">
        <v>190</v>
      </c>
      <c r="P720">
        <v>0</v>
      </c>
      <c r="Q720" t="s">
        <v>61</v>
      </c>
      <c r="R720">
        <v>99992606539428</v>
      </c>
      <c r="S720">
        <v>10000000</v>
      </c>
      <c r="T720">
        <v>99992606539428</v>
      </c>
      <c r="U720">
        <v>10000000</v>
      </c>
      <c r="V720" t="s">
        <v>71</v>
      </c>
      <c r="W720">
        <v>29</v>
      </c>
      <c r="X720">
        <v>5713755</v>
      </c>
      <c r="Y720">
        <v>4286246</v>
      </c>
      <c r="Z720">
        <v>10000001</v>
      </c>
      <c r="AA720">
        <v>10000000</v>
      </c>
      <c r="AB720">
        <v>1.7501599999999999</v>
      </c>
      <c r="AC720">
        <v>2.33304</v>
      </c>
      <c r="AD720">
        <v>2</v>
      </c>
      <c r="AE720">
        <v>22.764500000000002</v>
      </c>
      <c r="AF720">
        <v>560000056</v>
      </c>
      <c r="AJ720" t="s">
        <v>1361</v>
      </c>
      <c r="AM720">
        <v>1871881212</v>
      </c>
      <c r="AN720">
        <v>0</v>
      </c>
      <c r="AO720">
        <v>0</v>
      </c>
      <c r="AP720">
        <v>1871881212</v>
      </c>
      <c r="AQ720">
        <v>1871881212</v>
      </c>
      <c r="AR720">
        <v>116992575</v>
      </c>
      <c r="AS720">
        <v>0</v>
      </c>
      <c r="AT720">
        <v>0</v>
      </c>
      <c r="AU720">
        <v>116992575</v>
      </c>
      <c r="AV720">
        <v>116992575</v>
      </c>
      <c r="AW720">
        <v>28.371099999999998</v>
      </c>
      <c r="AX720">
        <v>10.7187</v>
      </c>
      <c r="AY720">
        <v>4507.1000000000004</v>
      </c>
      <c r="AZ720">
        <v>3140.89</v>
      </c>
      <c r="BA720">
        <v>1754</v>
      </c>
      <c r="BB720">
        <v>445</v>
      </c>
      <c r="BC720" t="str">
        <f t="shared" si="22"/>
        <v>u=0%, k=2x10^7</v>
      </c>
      <c r="BD720">
        <f t="shared" si="23"/>
        <v>16</v>
      </c>
    </row>
    <row r="721" spans="1:56">
      <c r="A721" t="s">
        <v>1362</v>
      </c>
      <c r="B721" t="s">
        <v>105</v>
      </c>
      <c r="D721" t="s">
        <v>64</v>
      </c>
      <c r="E721" t="s">
        <v>59</v>
      </c>
      <c r="F721" t="s">
        <v>60</v>
      </c>
      <c r="G721">
        <v>32000</v>
      </c>
      <c r="H721">
        <v>0</v>
      </c>
      <c r="I721">
        <v>0</v>
      </c>
      <c r="J721">
        <v>0</v>
      </c>
      <c r="K721">
        <v>1</v>
      </c>
      <c r="L721">
        <v>20000000</v>
      </c>
      <c r="M721">
        <v>190</v>
      </c>
      <c r="N721">
        <v>190</v>
      </c>
      <c r="O721">
        <v>190</v>
      </c>
      <c r="P721">
        <v>0</v>
      </c>
      <c r="Q721" t="s">
        <v>61</v>
      </c>
      <c r="R721">
        <v>99996349286856</v>
      </c>
      <c r="S721">
        <v>10000000</v>
      </c>
      <c r="T721">
        <v>99996349286856</v>
      </c>
      <c r="U721">
        <v>10000000</v>
      </c>
      <c r="V721" t="s">
        <v>71</v>
      </c>
      <c r="W721">
        <v>29</v>
      </c>
      <c r="X721">
        <v>5715249</v>
      </c>
      <c r="Y721">
        <v>4284752</v>
      </c>
      <c r="Z721">
        <v>10000001</v>
      </c>
      <c r="AA721">
        <v>10000000</v>
      </c>
      <c r="AB721">
        <v>1.7497100000000001</v>
      </c>
      <c r="AC721">
        <v>2.33386</v>
      </c>
      <c r="AD721">
        <v>2</v>
      </c>
      <c r="AE721">
        <v>22.7089</v>
      </c>
      <c r="AF721">
        <v>560000056</v>
      </c>
      <c r="AJ721" t="s">
        <v>1363</v>
      </c>
      <c r="AM721">
        <v>3742170528</v>
      </c>
      <c r="AN721">
        <v>0</v>
      </c>
      <c r="AO721">
        <v>0</v>
      </c>
      <c r="AP721">
        <v>3742170528</v>
      </c>
      <c r="AQ721">
        <v>3742170528</v>
      </c>
      <c r="AR721">
        <v>116942829</v>
      </c>
      <c r="AS721">
        <v>0</v>
      </c>
      <c r="AT721">
        <v>0</v>
      </c>
      <c r="AU721">
        <v>116942829</v>
      </c>
      <c r="AV721">
        <v>116942829</v>
      </c>
      <c r="AW721">
        <v>28.5501</v>
      </c>
      <c r="AX721">
        <v>10.739599999999999</v>
      </c>
      <c r="AY721">
        <v>4507.95</v>
      </c>
      <c r="AZ721">
        <v>3147.36</v>
      </c>
      <c r="BA721">
        <v>1754</v>
      </c>
      <c r="BB721">
        <v>441</v>
      </c>
      <c r="BC721" t="str">
        <f t="shared" si="22"/>
        <v>u=0%, k=2x10^7</v>
      </c>
      <c r="BD721">
        <f t="shared" si="23"/>
        <v>32</v>
      </c>
    </row>
    <row r="722" spans="1:56">
      <c r="A722" t="s">
        <v>1364</v>
      </c>
      <c r="B722" t="s">
        <v>105</v>
      </c>
      <c r="D722" t="s">
        <v>64</v>
      </c>
      <c r="E722" t="s">
        <v>59</v>
      </c>
      <c r="F722" t="s">
        <v>60</v>
      </c>
      <c r="G722">
        <v>64000</v>
      </c>
      <c r="H722">
        <v>0</v>
      </c>
      <c r="I722">
        <v>0</v>
      </c>
      <c r="J722">
        <v>0</v>
      </c>
      <c r="K722">
        <v>1</v>
      </c>
      <c r="L722">
        <v>20000000</v>
      </c>
      <c r="M722">
        <v>190</v>
      </c>
      <c r="N722">
        <v>190</v>
      </c>
      <c r="O722">
        <v>190</v>
      </c>
      <c r="P722">
        <v>0</v>
      </c>
      <c r="Q722" t="s">
        <v>61</v>
      </c>
      <c r="R722">
        <v>100020982662103</v>
      </c>
      <c r="S722">
        <v>10000000</v>
      </c>
      <c r="T722">
        <v>100020982662103</v>
      </c>
      <c r="U722">
        <v>10000000</v>
      </c>
      <c r="V722" t="s">
        <v>71</v>
      </c>
      <c r="W722">
        <v>29</v>
      </c>
      <c r="X722">
        <v>5713548</v>
      </c>
      <c r="Y722">
        <v>4286453</v>
      </c>
      <c r="Z722">
        <v>10000001</v>
      </c>
      <c r="AA722">
        <v>10000000</v>
      </c>
      <c r="AB722">
        <v>1.75023</v>
      </c>
      <c r="AC722">
        <v>2.3329300000000002</v>
      </c>
      <c r="AD722">
        <v>2</v>
      </c>
      <c r="AE722">
        <v>22.675799999999999</v>
      </c>
      <c r="AF722">
        <v>560000056</v>
      </c>
      <c r="AJ722" t="s">
        <v>1365</v>
      </c>
      <c r="AM722">
        <v>7483392616</v>
      </c>
      <c r="AN722">
        <v>0</v>
      </c>
      <c r="AO722">
        <v>0</v>
      </c>
      <c r="AP722">
        <v>7483392616</v>
      </c>
      <c r="AQ722">
        <v>7483392616</v>
      </c>
      <c r="AR722">
        <v>116928009</v>
      </c>
      <c r="AS722">
        <v>0</v>
      </c>
      <c r="AT722">
        <v>0</v>
      </c>
      <c r="AU722">
        <v>116928009</v>
      </c>
      <c r="AV722">
        <v>116928009</v>
      </c>
      <c r="AW722">
        <v>28.470700000000001</v>
      </c>
      <c r="AX722">
        <v>10.7555</v>
      </c>
      <c r="AY722">
        <v>4508.08</v>
      </c>
      <c r="AZ722">
        <v>3146.49</v>
      </c>
      <c r="BA722">
        <v>1754</v>
      </c>
      <c r="BB722">
        <v>440</v>
      </c>
      <c r="BC722" t="str">
        <f t="shared" si="22"/>
        <v>u=0%, k=2x10^7</v>
      </c>
      <c r="BD722">
        <f t="shared" si="23"/>
        <v>64</v>
      </c>
    </row>
    <row r="723" spans="1:56">
      <c r="A723" t="s">
        <v>1366</v>
      </c>
      <c r="B723" t="s">
        <v>305</v>
      </c>
      <c r="D723" t="s">
        <v>64</v>
      </c>
      <c r="E723" t="s">
        <v>59</v>
      </c>
      <c r="F723" t="s">
        <v>60</v>
      </c>
      <c r="G723">
        <v>1000</v>
      </c>
      <c r="H723">
        <v>0</v>
      </c>
      <c r="I723">
        <v>0</v>
      </c>
      <c r="J723">
        <v>0</v>
      </c>
      <c r="K723">
        <v>1</v>
      </c>
      <c r="L723">
        <v>20000000</v>
      </c>
      <c r="M723">
        <v>190</v>
      </c>
      <c r="N723">
        <v>190</v>
      </c>
      <c r="O723">
        <v>190</v>
      </c>
      <c r="P723">
        <v>0</v>
      </c>
      <c r="Q723" t="s">
        <v>61</v>
      </c>
      <c r="R723">
        <v>99990862161843</v>
      </c>
      <c r="S723">
        <v>10000000</v>
      </c>
      <c r="T723">
        <v>99990862161843</v>
      </c>
      <c r="U723">
        <v>10000000</v>
      </c>
      <c r="V723" t="s">
        <v>71</v>
      </c>
      <c r="W723">
        <v>64</v>
      </c>
      <c r="X723">
        <v>9999999</v>
      </c>
      <c r="Y723">
        <v>10000000</v>
      </c>
      <c r="Z723">
        <v>19999999</v>
      </c>
      <c r="AA723">
        <v>10000000</v>
      </c>
      <c r="AB723">
        <v>2</v>
      </c>
      <c r="AC723">
        <v>1</v>
      </c>
      <c r="AD723">
        <v>1.5</v>
      </c>
      <c r="AE723">
        <v>31.43</v>
      </c>
      <c r="AF723">
        <v>639999968</v>
      </c>
      <c r="AJ723" t="s">
        <v>1367</v>
      </c>
      <c r="AM723">
        <v>99085777</v>
      </c>
      <c r="AN723">
        <v>0</v>
      </c>
      <c r="AO723">
        <v>0</v>
      </c>
      <c r="AP723">
        <v>99085777</v>
      </c>
      <c r="AQ723">
        <v>99085777</v>
      </c>
      <c r="AR723">
        <v>99085777</v>
      </c>
      <c r="AS723">
        <v>0</v>
      </c>
      <c r="AT723">
        <v>0</v>
      </c>
      <c r="AU723">
        <v>99085777</v>
      </c>
      <c r="AV723">
        <v>99085777</v>
      </c>
      <c r="AW723">
        <v>24.564399999999999</v>
      </c>
      <c r="AX723">
        <v>9.7507599999999996</v>
      </c>
      <c r="AY723">
        <v>5307.83</v>
      </c>
      <c r="AZ723">
        <v>4280.3</v>
      </c>
      <c r="BA723">
        <v>1753</v>
      </c>
      <c r="BB723">
        <v>434</v>
      </c>
      <c r="BC723" t="str">
        <f t="shared" si="22"/>
        <v>u=0%, k=2x10^7</v>
      </c>
      <c r="BD723">
        <f t="shared" si="23"/>
        <v>1</v>
      </c>
    </row>
    <row r="724" spans="1:56">
      <c r="A724" t="s">
        <v>1368</v>
      </c>
      <c r="B724" t="s">
        <v>305</v>
      </c>
      <c r="D724" t="s">
        <v>64</v>
      </c>
      <c r="E724" t="s">
        <v>59</v>
      </c>
      <c r="F724" t="s">
        <v>60</v>
      </c>
      <c r="G724">
        <v>2000</v>
      </c>
      <c r="H724">
        <v>0</v>
      </c>
      <c r="I724">
        <v>0</v>
      </c>
      <c r="J724">
        <v>0</v>
      </c>
      <c r="K724">
        <v>1</v>
      </c>
      <c r="L724">
        <v>20000000</v>
      </c>
      <c r="M724">
        <v>190</v>
      </c>
      <c r="N724">
        <v>190</v>
      </c>
      <c r="O724">
        <v>190</v>
      </c>
      <c r="P724">
        <v>0</v>
      </c>
      <c r="Q724" t="s">
        <v>61</v>
      </c>
      <c r="R724">
        <v>100001583707651</v>
      </c>
      <c r="S724">
        <v>10000000</v>
      </c>
      <c r="T724">
        <v>100001583707651</v>
      </c>
      <c r="U724">
        <v>10000000</v>
      </c>
      <c r="V724" t="s">
        <v>71</v>
      </c>
      <c r="W724">
        <v>63</v>
      </c>
      <c r="X724">
        <v>9999999</v>
      </c>
      <c r="Y724">
        <v>10000000</v>
      </c>
      <c r="Z724">
        <v>19999999</v>
      </c>
      <c r="AA724">
        <v>10000000</v>
      </c>
      <c r="AB724">
        <v>2</v>
      </c>
      <c r="AC724">
        <v>1</v>
      </c>
      <c r="AD724">
        <v>1.5</v>
      </c>
      <c r="AE724">
        <v>32.098500000000001</v>
      </c>
      <c r="AF724">
        <v>639999968</v>
      </c>
      <c r="AJ724" t="s">
        <v>1369</v>
      </c>
      <c r="AM724">
        <v>200080232</v>
      </c>
      <c r="AN724">
        <v>0</v>
      </c>
      <c r="AO724">
        <v>0</v>
      </c>
      <c r="AP724">
        <v>200080232</v>
      </c>
      <c r="AQ724">
        <v>200080232</v>
      </c>
      <c r="AR724">
        <v>100040116</v>
      </c>
      <c r="AS724">
        <v>0</v>
      </c>
      <c r="AT724">
        <v>0</v>
      </c>
      <c r="AU724">
        <v>100040116</v>
      </c>
      <c r="AV724">
        <v>100040116</v>
      </c>
      <c r="AW724">
        <v>24.6267</v>
      </c>
      <c r="AX724">
        <v>9.8684200000000004</v>
      </c>
      <c r="AY724">
        <v>5263.06</v>
      </c>
      <c r="AZ724">
        <v>4241.4399999999996</v>
      </c>
      <c r="BA724">
        <v>1753</v>
      </c>
      <c r="BB724">
        <v>404</v>
      </c>
      <c r="BC724" t="str">
        <f t="shared" si="22"/>
        <v>u=0%, k=2x10^7</v>
      </c>
      <c r="BD724">
        <f t="shared" si="23"/>
        <v>2</v>
      </c>
    </row>
    <row r="725" spans="1:56">
      <c r="A725" t="s">
        <v>1370</v>
      </c>
      <c r="B725" t="s">
        <v>305</v>
      </c>
      <c r="D725" t="s">
        <v>64</v>
      </c>
      <c r="E725" t="s">
        <v>59</v>
      </c>
      <c r="F725" t="s">
        <v>60</v>
      </c>
      <c r="G725">
        <v>4000</v>
      </c>
      <c r="H725">
        <v>0</v>
      </c>
      <c r="I725">
        <v>0</v>
      </c>
      <c r="J725">
        <v>0</v>
      </c>
      <c r="K725">
        <v>1</v>
      </c>
      <c r="L725">
        <v>20000000</v>
      </c>
      <c r="M725">
        <v>190</v>
      </c>
      <c r="N725">
        <v>190</v>
      </c>
      <c r="O725">
        <v>190</v>
      </c>
      <c r="P725">
        <v>0</v>
      </c>
      <c r="Q725" t="s">
        <v>61</v>
      </c>
      <c r="R725">
        <v>99992284505350</v>
      </c>
      <c r="S725">
        <v>10000000</v>
      </c>
      <c r="T725">
        <v>99992284505350</v>
      </c>
      <c r="U725">
        <v>10000000</v>
      </c>
      <c r="V725" t="s">
        <v>71</v>
      </c>
      <c r="W725">
        <v>59</v>
      </c>
      <c r="X725">
        <v>9999999</v>
      </c>
      <c r="Y725">
        <v>10000000</v>
      </c>
      <c r="Z725">
        <v>19999999</v>
      </c>
      <c r="AA725">
        <v>10000000</v>
      </c>
      <c r="AB725">
        <v>2</v>
      </c>
      <c r="AC725">
        <v>1</v>
      </c>
      <c r="AD725">
        <v>1.5</v>
      </c>
      <c r="AE725">
        <v>30.997800000000002</v>
      </c>
      <c r="AF725">
        <v>639999968</v>
      </c>
      <c r="AJ725" t="s">
        <v>1371</v>
      </c>
      <c r="AM725">
        <v>405355633</v>
      </c>
      <c r="AN725">
        <v>0</v>
      </c>
      <c r="AO725">
        <v>0</v>
      </c>
      <c r="AP725">
        <v>405355633</v>
      </c>
      <c r="AQ725">
        <v>405355633</v>
      </c>
      <c r="AR725">
        <v>101338908</v>
      </c>
      <c r="AS725">
        <v>0</v>
      </c>
      <c r="AT725">
        <v>0</v>
      </c>
      <c r="AU725">
        <v>101338908</v>
      </c>
      <c r="AV725">
        <v>101338908</v>
      </c>
      <c r="AW725">
        <v>24.708400000000001</v>
      </c>
      <c r="AX725">
        <v>9.9653100000000006</v>
      </c>
      <c r="AY725">
        <v>5214.0200000000004</v>
      </c>
      <c r="AZ725">
        <v>4204.87</v>
      </c>
      <c r="BA725">
        <v>1752</v>
      </c>
      <c r="BB725">
        <v>403</v>
      </c>
      <c r="BC725" t="str">
        <f t="shared" si="22"/>
        <v>u=0%, k=2x10^7</v>
      </c>
      <c r="BD725">
        <f t="shared" si="23"/>
        <v>4</v>
      </c>
    </row>
    <row r="726" spans="1:56">
      <c r="A726" t="s">
        <v>1372</v>
      </c>
      <c r="B726" t="s">
        <v>305</v>
      </c>
      <c r="D726" t="s">
        <v>64</v>
      </c>
      <c r="E726" t="s">
        <v>59</v>
      </c>
      <c r="F726" t="s">
        <v>60</v>
      </c>
      <c r="G726">
        <v>8000</v>
      </c>
      <c r="H726">
        <v>0</v>
      </c>
      <c r="I726">
        <v>0</v>
      </c>
      <c r="J726">
        <v>0</v>
      </c>
      <c r="K726">
        <v>1</v>
      </c>
      <c r="L726">
        <v>20000000</v>
      </c>
      <c r="M726">
        <v>190</v>
      </c>
      <c r="N726">
        <v>190</v>
      </c>
      <c r="O726">
        <v>190</v>
      </c>
      <c r="P726">
        <v>0</v>
      </c>
      <c r="Q726" t="s">
        <v>61</v>
      </c>
      <c r="R726">
        <v>100023612875406</v>
      </c>
      <c r="S726">
        <v>10000000</v>
      </c>
      <c r="T726">
        <v>100023612875406</v>
      </c>
      <c r="U726">
        <v>10000000</v>
      </c>
      <c r="V726" t="s">
        <v>71</v>
      </c>
      <c r="W726">
        <v>57</v>
      </c>
      <c r="X726">
        <v>9999999</v>
      </c>
      <c r="Y726">
        <v>10000000</v>
      </c>
      <c r="Z726">
        <v>19999999</v>
      </c>
      <c r="AA726">
        <v>10000000</v>
      </c>
      <c r="AB726">
        <v>2</v>
      </c>
      <c r="AC726">
        <v>1</v>
      </c>
      <c r="AD726">
        <v>1.5</v>
      </c>
      <c r="AE726">
        <v>30.376100000000001</v>
      </c>
      <c r="AF726">
        <v>639999968</v>
      </c>
      <c r="AJ726" t="s">
        <v>1373</v>
      </c>
      <c r="AM726">
        <v>816060169</v>
      </c>
      <c r="AN726">
        <v>0</v>
      </c>
      <c r="AO726">
        <v>0</v>
      </c>
      <c r="AP726">
        <v>816060169</v>
      </c>
      <c r="AQ726">
        <v>816060169</v>
      </c>
      <c r="AR726">
        <v>102007521</v>
      </c>
      <c r="AS726">
        <v>0</v>
      </c>
      <c r="AT726">
        <v>0</v>
      </c>
      <c r="AU726">
        <v>102007521</v>
      </c>
      <c r="AV726">
        <v>102007521</v>
      </c>
      <c r="AW726">
        <v>24.7822</v>
      </c>
      <c r="AX726">
        <v>10.0364</v>
      </c>
      <c r="AY726">
        <v>5179.32</v>
      </c>
      <c r="AZ726">
        <v>4177.78</v>
      </c>
      <c r="BA726">
        <v>1754</v>
      </c>
      <c r="BB726">
        <v>412</v>
      </c>
      <c r="BC726" t="str">
        <f t="shared" ref="BC726:BC757" si="24">"u="&amp;(H726+I726)&amp;"%, k=2x10^"&amp;LOG10(L726/2)</f>
        <v>u=0%, k=2x10^7</v>
      </c>
      <c r="BD726">
        <f t="shared" ref="BD726:BD757" si="25">G726/1000</f>
        <v>8</v>
      </c>
    </row>
    <row r="727" spans="1:56">
      <c r="A727" t="s">
        <v>1374</v>
      </c>
      <c r="B727" t="s">
        <v>305</v>
      </c>
      <c r="D727" t="s">
        <v>64</v>
      </c>
      <c r="E727" t="s">
        <v>59</v>
      </c>
      <c r="F727" t="s">
        <v>60</v>
      </c>
      <c r="G727">
        <v>16000</v>
      </c>
      <c r="H727">
        <v>0</v>
      </c>
      <c r="I727">
        <v>0</v>
      </c>
      <c r="J727">
        <v>0</v>
      </c>
      <c r="K727">
        <v>1</v>
      </c>
      <c r="L727">
        <v>20000000</v>
      </c>
      <c r="M727">
        <v>190</v>
      </c>
      <c r="N727">
        <v>190</v>
      </c>
      <c r="O727">
        <v>190</v>
      </c>
      <c r="P727">
        <v>0</v>
      </c>
      <c r="Q727" t="s">
        <v>61</v>
      </c>
      <c r="R727">
        <v>99999187568718</v>
      </c>
      <c r="S727">
        <v>10000000</v>
      </c>
      <c r="T727">
        <v>99999187568718</v>
      </c>
      <c r="U727">
        <v>10000000</v>
      </c>
      <c r="V727" t="s">
        <v>71</v>
      </c>
      <c r="W727">
        <v>60</v>
      </c>
      <c r="X727">
        <v>9999999</v>
      </c>
      <c r="Y727">
        <v>10000000</v>
      </c>
      <c r="Z727">
        <v>19999999</v>
      </c>
      <c r="AA727">
        <v>10000000</v>
      </c>
      <c r="AB727">
        <v>2</v>
      </c>
      <c r="AC727">
        <v>1</v>
      </c>
      <c r="AD727">
        <v>1.5</v>
      </c>
      <c r="AE727">
        <v>31.840599999999998</v>
      </c>
      <c r="AF727">
        <v>639999968</v>
      </c>
      <c r="AJ727" t="s">
        <v>1375</v>
      </c>
      <c r="AM727">
        <v>1638409155</v>
      </c>
      <c r="AN727">
        <v>0</v>
      </c>
      <c r="AO727">
        <v>0</v>
      </c>
      <c r="AP727">
        <v>1638409155</v>
      </c>
      <c r="AQ727">
        <v>1638409155</v>
      </c>
      <c r="AR727">
        <v>102400572</v>
      </c>
      <c r="AS727">
        <v>0</v>
      </c>
      <c r="AT727">
        <v>0</v>
      </c>
      <c r="AU727">
        <v>102400572</v>
      </c>
      <c r="AV727">
        <v>102400572</v>
      </c>
      <c r="AW727">
        <v>24.717600000000001</v>
      </c>
      <c r="AX727">
        <v>10.0824</v>
      </c>
      <c r="AY727">
        <v>5164.53</v>
      </c>
      <c r="AZ727">
        <v>4166.3900000000003</v>
      </c>
      <c r="BA727">
        <v>1754</v>
      </c>
      <c r="BB727">
        <v>423</v>
      </c>
      <c r="BC727" t="str">
        <f t="shared" si="24"/>
        <v>u=0%, k=2x10^7</v>
      </c>
      <c r="BD727">
        <f t="shared" si="25"/>
        <v>16</v>
      </c>
    </row>
    <row r="728" spans="1:56">
      <c r="A728" t="s">
        <v>1376</v>
      </c>
      <c r="B728" t="s">
        <v>305</v>
      </c>
      <c r="D728" t="s">
        <v>64</v>
      </c>
      <c r="E728" t="s">
        <v>59</v>
      </c>
      <c r="F728" t="s">
        <v>60</v>
      </c>
      <c r="G728">
        <v>32000</v>
      </c>
      <c r="H728">
        <v>0</v>
      </c>
      <c r="I728">
        <v>0</v>
      </c>
      <c r="J728">
        <v>0</v>
      </c>
      <c r="K728">
        <v>1</v>
      </c>
      <c r="L728">
        <v>20000000</v>
      </c>
      <c r="M728">
        <v>190</v>
      </c>
      <c r="N728">
        <v>190</v>
      </c>
      <c r="O728">
        <v>190</v>
      </c>
      <c r="P728">
        <v>0</v>
      </c>
      <c r="Q728" t="s">
        <v>61</v>
      </c>
      <c r="R728">
        <v>99999632542588</v>
      </c>
      <c r="S728">
        <v>10000000</v>
      </c>
      <c r="T728">
        <v>99999632542588</v>
      </c>
      <c r="U728">
        <v>10000000</v>
      </c>
      <c r="V728" t="s">
        <v>71</v>
      </c>
      <c r="W728">
        <v>60</v>
      </c>
      <c r="X728">
        <v>9999999</v>
      </c>
      <c r="Y728">
        <v>10000000</v>
      </c>
      <c r="Z728">
        <v>19999999</v>
      </c>
      <c r="AA728">
        <v>10000000</v>
      </c>
      <c r="AB728">
        <v>2</v>
      </c>
      <c r="AC728">
        <v>1</v>
      </c>
      <c r="AD728">
        <v>1.5</v>
      </c>
      <c r="AE728">
        <v>32.133600000000001</v>
      </c>
      <c r="AF728">
        <v>639999968</v>
      </c>
      <c r="AJ728" t="s">
        <v>1377</v>
      </c>
      <c r="AM728">
        <v>3277415765</v>
      </c>
      <c r="AN728">
        <v>0</v>
      </c>
      <c r="AO728">
        <v>0</v>
      </c>
      <c r="AP728">
        <v>3277415765</v>
      </c>
      <c r="AQ728">
        <v>3277415765</v>
      </c>
      <c r="AR728">
        <v>102419242</v>
      </c>
      <c r="AS728">
        <v>0</v>
      </c>
      <c r="AT728">
        <v>0</v>
      </c>
      <c r="AU728">
        <v>102419242</v>
      </c>
      <c r="AV728">
        <v>102419242</v>
      </c>
      <c r="AW728">
        <v>24.6877</v>
      </c>
      <c r="AX728">
        <v>10.0928</v>
      </c>
      <c r="AY728">
        <v>5163.5200000000004</v>
      </c>
      <c r="AZ728">
        <v>4162.4799999999996</v>
      </c>
      <c r="BA728">
        <v>1754</v>
      </c>
      <c r="BB728">
        <v>427</v>
      </c>
      <c r="BC728" t="str">
        <f t="shared" si="24"/>
        <v>u=0%, k=2x10^7</v>
      </c>
      <c r="BD728">
        <f t="shared" si="25"/>
        <v>32</v>
      </c>
    </row>
    <row r="729" spans="1:56">
      <c r="A729" t="s">
        <v>1378</v>
      </c>
      <c r="B729" t="s">
        <v>305</v>
      </c>
      <c r="D729" t="s">
        <v>64</v>
      </c>
      <c r="E729" t="s">
        <v>59</v>
      </c>
      <c r="F729" t="s">
        <v>60</v>
      </c>
      <c r="G729">
        <v>64000</v>
      </c>
      <c r="H729">
        <v>0</v>
      </c>
      <c r="I729">
        <v>0</v>
      </c>
      <c r="J729">
        <v>0</v>
      </c>
      <c r="K729">
        <v>1</v>
      </c>
      <c r="L729">
        <v>20000000</v>
      </c>
      <c r="M729">
        <v>190</v>
      </c>
      <c r="N729">
        <v>190</v>
      </c>
      <c r="O729">
        <v>190</v>
      </c>
      <c r="P729">
        <v>0</v>
      </c>
      <c r="Q729" t="s">
        <v>61</v>
      </c>
      <c r="R729">
        <v>100000815274083</v>
      </c>
      <c r="S729">
        <v>10000000</v>
      </c>
      <c r="T729">
        <v>100000815274083</v>
      </c>
      <c r="U729">
        <v>10000000</v>
      </c>
      <c r="V729" t="s">
        <v>71</v>
      </c>
      <c r="W729">
        <v>58</v>
      </c>
      <c r="X729">
        <v>9999999</v>
      </c>
      <c r="Y729">
        <v>10000000</v>
      </c>
      <c r="Z729">
        <v>19999999</v>
      </c>
      <c r="AA729">
        <v>10000000</v>
      </c>
      <c r="AB729">
        <v>2</v>
      </c>
      <c r="AC729">
        <v>1</v>
      </c>
      <c r="AD729">
        <v>1.5</v>
      </c>
      <c r="AE729">
        <v>30.819400000000002</v>
      </c>
      <c r="AF729">
        <v>639999968</v>
      </c>
      <c r="AJ729">
        <v>38210</v>
      </c>
      <c r="AM729">
        <v>6563583443</v>
      </c>
      <c r="AN729">
        <v>0</v>
      </c>
      <c r="AO729">
        <v>0</v>
      </c>
      <c r="AP729">
        <v>6563583443</v>
      </c>
      <c r="AQ729">
        <v>6563583443</v>
      </c>
      <c r="AR729">
        <v>102555991</v>
      </c>
      <c r="AS729">
        <v>0</v>
      </c>
      <c r="AT729">
        <v>0</v>
      </c>
      <c r="AU729">
        <v>102555991</v>
      </c>
      <c r="AV729">
        <v>102555991</v>
      </c>
      <c r="AW729">
        <v>24.7897</v>
      </c>
      <c r="AX729">
        <v>10.120200000000001</v>
      </c>
      <c r="AY729">
        <v>5157.01</v>
      </c>
      <c r="AZ729">
        <v>4164.54</v>
      </c>
      <c r="BA729">
        <v>1755</v>
      </c>
      <c r="BB729">
        <v>417</v>
      </c>
      <c r="BC729" t="str">
        <f t="shared" si="24"/>
        <v>u=0%, k=2x10^7</v>
      </c>
      <c r="BD729">
        <f t="shared" si="25"/>
        <v>64</v>
      </c>
    </row>
    <row r="730" spans="1:56">
      <c r="A730" t="s">
        <v>1379</v>
      </c>
      <c r="B730" t="s">
        <v>63</v>
      </c>
      <c r="C730">
        <v>72</v>
      </c>
      <c r="D730" t="s">
        <v>64</v>
      </c>
      <c r="E730" t="s">
        <v>59</v>
      </c>
      <c r="F730" t="s">
        <v>60</v>
      </c>
      <c r="G730">
        <v>1000</v>
      </c>
      <c r="H730">
        <v>0</v>
      </c>
      <c r="I730">
        <v>0</v>
      </c>
      <c r="J730">
        <v>0</v>
      </c>
      <c r="K730">
        <v>1</v>
      </c>
      <c r="L730">
        <v>200000000</v>
      </c>
      <c r="M730">
        <v>190</v>
      </c>
      <c r="N730">
        <v>190</v>
      </c>
      <c r="O730">
        <v>190</v>
      </c>
      <c r="P730">
        <v>0</v>
      </c>
      <c r="Q730" t="s">
        <v>61</v>
      </c>
      <c r="R730">
        <v>9999528056860430</v>
      </c>
      <c r="S730">
        <v>100000001</v>
      </c>
      <c r="T730">
        <v>9999528056860430</v>
      </c>
      <c r="U730">
        <v>100000001</v>
      </c>
      <c r="V730" t="s">
        <v>71</v>
      </c>
      <c r="W730">
        <v>6</v>
      </c>
      <c r="X730">
        <v>11011103</v>
      </c>
      <c r="Y730">
        <v>110001001</v>
      </c>
      <c r="Z730">
        <v>121012104</v>
      </c>
      <c r="AA730">
        <v>100000001</v>
      </c>
      <c r="AB730">
        <v>10.99</v>
      </c>
      <c r="AC730">
        <v>0.90908299999999997</v>
      </c>
      <c r="AD730">
        <v>1.82636</v>
      </c>
      <c r="AE730">
        <v>4</v>
      </c>
      <c r="AF730">
        <v>2640904240</v>
      </c>
      <c r="AJ730">
        <v>1264</v>
      </c>
      <c r="AM730">
        <v>206027873</v>
      </c>
      <c r="AN730">
        <v>0</v>
      </c>
      <c r="AO730">
        <v>0</v>
      </c>
      <c r="AP730">
        <v>206027873</v>
      </c>
      <c r="AQ730">
        <v>206027873</v>
      </c>
      <c r="AR730">
        <v>206027873</v>
      </c>
      <c r="AS730">
        <v>0</v>
      </c>
      <c r="AT730">
        <v>0</v>
      </c>
      <c r="AU730">
        <v>206027873</v>
      </c>
      <c r="AV730">
        <v>206027873</v>
      </c>
      <c r="AW730">
        <v>18.7516</v>
      </c>
      <c r="AX730">
        <v>8.73536</v>
      </c>
      <c r="AY730">
        <v>2565.7600000000002</v>
      </c>
      <c r="AZ730">
        <v>1818.42</v>
      </c>
      <c r="BA730">
        <v>7354</v>
      </c>
      <c r="BB730">
        <v>1090</v>
      </c>
      <c r="BC730" t="str">
        <f t="shared" si="24"/>
        <v>u=0%, k=2x10^8</v>
      </c>
      <c r="BD730">
        <f t="shared" si="25"/>
        <v>1</v>
      </c>
    </row>
    <row r="731" spans="1:56">
      <c r="A731" t="s">
        <v>1380</v>
      </c>
      <c r="B731" t="s">
        <v>63</v>
      </c>
      <c r="C731">
        <v>72</v>
      </c>
      <c r="D731" t="s">
        <v>64</v>
      </c>
      <c r="E731" t="s">
        <v>59</v>
      </c>
      <c r="F731" t="s">
        <v>60</v>
      </c>
      <c r="G731">
        <v>2000</v>
      </c>
      <c r="H731">
        <v>0</v>
      </c>
      <c r="I731">
        <v>0</v>
      </c>
      <c r="J731">
        <v>0</v>
      </c>
      <c r="K731">
        <v>1</v>
      </c>
      <c r="L731">
        <v>200000000</v>
      </c>
      <c r="M731">
        <v>190</v>
      </c>
      <c r="N731">
        <v>190</v>
      </c>
      <c r="O731">
        <v>190</v>
      </c>
      <c r="P731">
        <v>0</v>
      </c>
      <c r="Q731" t="s">
        <v>61</v>
      </c>
      <c r="R731">
        <v>1.00001881630019E+16</v>
      </c>
      <c r="S731">
        <v>100000001</v>
      </c>
      <c r="T731">
        <v>1.00001881630019E+16</v>
      </c>
      <c r="U731">
        <v>100000001</v>
      </c>
      <c r="V731" t="s">
        <v>71</v>
      </c>
      <c r="W731">
        <v>6</v>
      </c>
      <c r="X731">
        <v>11011103</v>
      </c>
      <c r="Y731">
        <v>110001001</v>
      </c>
      <c r="Z731">
        <v>121012104</v>
      </c>
      <c r="AA731">
        <v>100000001</v>
      </c>
      <c r="AB731">
        <v>10.99</v>
      </c>
      <c r="AC731">
        <v>0.90908299999999997</v>
      </c>
      <c r="AD731">
        <v>1.82636</v>
      </c>
      <c r="AE731">
        <v>4</v>
      </c>
      <c r="AF731">
        <v>2640904240</v>
      </c>
      <c r="AJ731">
        <v>2516</v>
      </c>
      <c r="AM731">
        <v>412641850</v>
      </c>
      <c r="AN731">
        <v>0</v>
      </c>
      <c r="AO731">
        <v>0</v>
      </c>
      <c r="AP731">
        <v>412641850</v>
      </c>
      <c r="AQ731">
        <v>412641850</v>
      </c>
      <c r="AR731">
        <v>206320925</v>
      </c>
      <c r="AS731">
        <v>0</v>
      </c>
      <c r="AT731">
        <v>0</v>
      </c>
      <c r="AU731">
        <v>206320925</v>
      </c>
      <c r="AV731">
        <v>206320925</v>
      </c>
      <c r="AW731">
        <v>18.794799999999999</v>
      </c>
      <c r="AX731">
        <v>8.7971699999999995</v>
      </c>
      <c r="AY731">
        <v>2561.75</v>
      </c>
      <c r="AZ731">
        <v>1813.18</v>
      </c>
      <c r="BA731">
        <v>7351</v>
      </c>
      <c r="BB731">
        <v>1142</v>
      </c>
      <c r="BC731" t="str">
        <f t="shared" si="24"/>
        <v>u=0%, k=2x10^8</v>
      </c>
      <c r="BD731">
        <f t="shared" si="25"/>
        <v>2</v>
      </c>
    </row>
    <row r="732" spans="1:56">
      <c r="A732" t="s">
        <v>1381</v>
      </c>
      <c r="B732" t="s">
        <v>63</v>
      </c>
      <c r="C732">
        <v>72</v>
      </c>
      <c r="D732" t="s">
        <v>64</v>
      </c>
      <c r="E732" t="s">
        <v>59</v>
      </c>
      <c r="F732" t="s">
        <v>60</v>
      </c>
      <c r="G732">
        <v>4000</v>
      </c>
      <c r="H732">
        <v>0</v>
      </c>
      <c r="I732">
        <v>0</v>
      </c>
      <c r="J732">
        <v>0</v>
      </c>
      <c r="K732">
        <v>1</v>
      </c>
      <c r="L732">
        <v>200000000</v>
      </c>
      <c r="M732">
        <v>190</v>
      </c>
      <c r="N732">
        <v>190</v>
      </c>
      <c r="O732">
        <v>190</v>
      </c>
      <c r="P732">
        <v>0</v>
      </c>
      <c r="Q732" t="s">
        <v>61</v>
      </c>
      <c r="R732">
        <v>9999835650452900</v>
      </c>
      <c r="S732">
        <v>100000001</v>
      </c>
      <c r="T732">
        <v>9999835650452900</v>
      </c>
      <c r="U732">
        <v>100000001</v>
      </c>
      <c r="V732" t="s">
        <v>71</v>
      </c>
      <c r="W732">
        <v>6</v>
      </c>
      <c r="X732">
        <v>11011103</v>
      </c>
      <c r="Y732">
        <v>110001001</v>
      </c>
      <c r="Z732">
        <v>121012104</v>
      </c>
      <c r="AA732">
        <v>100000001</v>
      </c>
      <c r="AB732">
        <v>10.99</v>
      </c>
      <c r="AC732">
        <v>0.90908299999999997</v>
      </c>
      <c r="AD732">
        <v>1.82636</v>
      </c>
      <c r="AE732">
        <v>4</v>
      </c>
      <c r="AF732">
        <v>2640904240</v>
      </c>
      <c r="AJ732">
        <v>5044</v>
      </c>
      <c r="AM732">
        <v>823353897</v>
      </c>
      <c r="AN732">
        <v>0</v>
      </c>
      <c r="AO732">
        <v>0</v>
      </c>
      <c r="AP732">
        <v>823353897</v>
      </c>
      <c r="AQ732">
        <v>823353897</v>
      </c>
      <c r="AR732">
        <v>205838474</v>
      </c>
      <c r="AS732">
        <v>0</v>
      </c>
      <c r="AT732">
        <v>0</v>
      </c>
      <c r="AU732">
        <v>205838474</v>
      </c>
      <c r="AV732">
        <v>205838474</v>
      </c>
      <c r="AW732">
        <v>18.6739</v>
      </c>
      <c r="AX732">
        <v>8.8868600000000004</v>
      </c>
      <c r="AY732">
        <v>2566.8200000000002</v>
      </c>
      <c r="AZ732">
        <v>1814.48</v>
      </c>
      <c r="BA732">
        <v>7351</v>
      </c>
      <c r="BB732">
        <v>1169</v>
      </c>
      <c r="BC732" t="str">
        <f t="shared" si="24"/>
        <v>u=0%, k=2x10^8</v>
      </c>
      <c r="BD732">
        <f t="shared" si="25"/>
        <v>4</v>
      </c>
    </row>
    <row r="733" spans="1:56">
      <c r="A733" t="s">
        <v>1382</v>
      </c>
      <c r="B733" t="s">
        <v>63</v>
      </c>
      <c r="C733">
        <v>72</v>
      </c>
      <c r="D733" t="s">
        <v>64</v>
      </c>
      <c r="E733" t="s">
        <v>59</v>
      </c>
      <c r="F733" t="s">
        <v>60</v>
      </c>
      <c r="G733">
        <v>8000</v>
      </c>
      <c r="H733">
        <v>0</v>
      </c>
      <c r="I733">
        <v>0</v>
      </c>
      <c r="J733">
        <v>0</v>
      </c>
      <c r="K733">
        <v>1</v>
      </c>
      <c r="L733">
        <v>200000000</v>
      </c>
      <c r="M733">
        <v>190</v>
      </c>
      <c r="N733">
        <v>190</v>
      </c>
      <c r="O733">
        <v>190</v>
      </c>
      <c r="P733">
        <v>0</v>
      </c>
      <c r="Q733" t="s">
        <v>61</v>
      </c>
      <c r="R733">
        <v>9999720129737350</v>
      </c>
      <c r="S733">
        <v>100000001</v>
      </c>
      <c r="T733">
        <v>9999720129737350</v>
      </c>
      <c r="U733">
        <v>100000001</v>
      </c>
      <c r="V733" t="s">
        <v>71</v>
      </c>
      <c r="W733">
        <v>6</v>
      </c>
      <c r="X733">
        <v>11011103</v>
      </c>
      <c r="Y733">
        <v>110001001</v>
      </c>
      <c r="Z733">
        <v>121012104</v>
      </c>
      <c r="AA733">
        <v>100000001</v>
      </c>
      <c r="AB733">
        <v>10.99</v>
      </c>
      <c r="AC733">
        <v>0.90908299999999997</v>
      </c>
      <c r="AD733">
        <v>1.82636</v>
      </c>
      <c r="AE733">
        <v>4</v>
      </c>
      <c r="AF733">
        <v>2640904240</v>
      </c>
      <c r="AJ733">
        <v>10028</v>
      </c>
      <c r="AM733">
        <v>1652347217</v>
      </c>
      <c r="AN733">
        <v>0</v>
      </c>
      <c r="AO733">
        <v>0</v>
      </c>
      <c r="AP733">
        <v>1652347217</v>
      </c>
      <c r="AQ733">
        <v>1652347217</v>
      </c>
      <c r="AR733">
        <v>206543402</v>
      </c>
      <c r="AS733">
        <v>0</v>
      </c>
      <c r="AT733">
        <v>0</v>
      </c>
      <c r="AU733">
        <v>206543402</v>
      </c>
      <c r="AV733">
        <v>206543402</v>
      </c>
      <c r="AW733">
        <v>18.7105</v>
      </c>
      <c r="AX733">
        <v>8.9982500000000005</v>
      </c>
      <c r="AY733">
        <v>2556.37</v>
      </c>
      <c r="AZ733">
        <v>1812.2</v>
      </c>
      <c r="BA733">
        <v>7355</v>
      </c>
      <c r="BB733">
        <v>1140</v>
      </c>
      <c r="BC733" t="str">
        <f t="shared" si="24"/>
        <v>u=0%, k=2x10^8</v>
      </c>
      <c r="BD733">
        <f t="shared" si="25"/>
        <v>8</v>
      </c>
    </row>
    <row r="734" spans="1:56">
      <c r="A734" t="s">
        <v>1383</v>
      </c>
      <c r="B734" t="s">
        <v>63</v>
      </c>
      <c r="C734">
        <v>72</v>
      </c>
      <c r="D734" t="s">
        <v>64</v>
      </c>
      <c r="E734" t="s">
        <v>59</v>
      </c>
      <c r="F734" t="s">
        <v>60</v>
      </c>
      <c r="G734">
        <v>16000</v>
      </c>
      <c r="H734">
        <v>0</v>
      </c>
      <c r="I734">
        <v>0</v>
      </c>
      <c r="J734">
        <v>0</v>
      </c>
      <c r="K734">
        <v>1</v>
      </c>
      <c r="L734">
        <v>200000000</v>
      </c>
      <c r="M734">
        <v>190</v>
      </c>
      <c r="N734">
        <v>190</v>
      </c>
      <c r="O734">
        <v>190</v>
      </c>
      <c r="P734">
        <v>0</v>
      </c>
      <c r="Q734" t="s">
        <v>61</v>
      </c>
      <c r="R734">
        <v>1.00006539861754E+16</v>
      </c>
      <c r="S734">
        <v>100000001</v>
      </c>
      <c r="T734">
        <v>1.00006539861754E+16</v>
      </c>
      <c r="U734">
        <v>100000001</v>
      </c>
      <c r="V734" t="s">
        <v>71</v>
      </c>
      <c r="W734">
        <v>6</v>
      </c>
      <c r="X734">
        <v>11011103</v>
      </c>
      <c r="Y734">
        <v>110001001</v>
      </c>
      <c r="Z734">
        <v>121012104</v>
      </c>
      <c r="AA734">
        <v>100000001</v>
      </c>
      <c r="AB734">
        <v>10.99</v>
      </c>
      <c r="AC734">
        <v>0.90908299999999997</v>
      </c>
      <c r="AD734">
        <v>1.82636</v>
      </c>
      <c r="AE734">
        <v>4</v>
      </c>
      <c r="AF734">
        <v>2640904240</v>
      </c>
      <c r="AJ734">
        <v>19864</v>
      </c>
      <c r="AM734">
        <v>3280050803</v>
      </c>
      <c r="AN734">
        <v>0</v>
      </c>
      <c r="AO734">
        <v>0</v>
      </c>
      <c r="AP734">
        <v>3280050803</v>
      </c>
      <c r="AQ734">
        <v>3280050803</v>
      </c>
      <c r="AR734">
        <v>205003175</v>
      </c>
      <c r="AS734">
        <v>0</v>
      </c>
      <c r="AT734">
        <v>0</v>
      </c>
      <c r="AU734">
        <v>205003175</v>
      </c>
      <c r="AV734">
        <v>205003175</v>
      </c>
      <c r="AW734">
        <v>18.8019</v>
      </c>
      <c r="AX734">
        <v>9.1527999999999992</v>
      </c>
      <c r="AY734">
        <v>2574.4699999999998</v>
      </c>
      <c r="AZ734">
        <v>1818.13</v>
      </c>
      <c r="BA734">
        <v>7353</v>
      </c>
      <c r="BB734">
        <v>1112</v>
      </c>
      <c r="BC734" t="str">
        <f t="shared" si="24"/>
        <v>u=0%, k=2x10^8</v>
      </c>
      <c r="BD734">
        <f t="shared" si="25"/>
        <v>16</v>
      </c>
    </row>
    <row r="735" spans="1:56">
      <c r="A735" t="s">
        <v>1384</v>
      </c>
      <c r="B735" t="s">
        <v>63</v>
      </c>
      <c r="C735">
        <v>72</v>
      </c>
      <c r="D735" t="s">
        <v>64</v>
      </c>
      <c r="E735" t="s">
        <v>59</v>
      </c>
      <c r="F735" t="s">
        <v>60</v>
      </c>
      <c r="G735">
        <v>32000</v>
      </c>
      <c r="H735">
        <v>0</v>
      </c>
      <c r="I735">
        <v>0</v>
      </c>
      <c r="J735">
        <v>0</v>
      </c>
      <c r="K735">
        <v>1</v>
      </c>
      <c r="L735">
        <v>200000000</v>
      </c>
      <c r="M735">
        <v>190</v>
      </c>
      <c r="N735">
        <v>190</v>
      </c>
      <c r="O735">
        <v>190</v>
      </c>
      <c r="P735">
        <v>0</v>
      </c>
      <c r="Q735" t="s">
        <v>61</v>
      </c>
      <c r="R735">
        <v>1.00006527151239E+16</v>
      </c>
      <c r="S735">
        <v>100000001</v>
      </c>
      <c r="T735">
        <v>1.00006527151239E+16</v>
      </c>
      <c r="U735">
        <v>100000001</v>
      </c>
      <c r="V735" t="s">
        <v>71</v>
      </c>
      <c r="W735">
        <v>6</v>
      </c>
      <c r="X735">
        <v>11011103</v>
      </c>
      <c r="Y735">
        <v>110001001</v>
      </c>
      <c r="Z735">
        <v>121012104</v>
      </c>
      <c r="AA735">
        <v>100000001</v>
      </c>
      <c r="AB735">
        <v>10.99</v>
      </c>
      <c r="AC735">
        <v>0.90908299999999997</v>
      </c>
      <c r="AD735">
        <v>1.82636</v>
      </c>
      <c r="AE735">
        <v>4</v>
      </c>
      <c r="AF735">
        <v>2640904240</v>
      </c>
      <c r="AJ735">
        <v>40150</v>
      </c>
      <c r="AM735">
        <v>6614041645</v>
      </c>
      <c r="AN735">
        <v>0</v>
      </c>
      <c r="AO735">
        <v>0</v>
      </c>
      <c r="AP735">
        <v>6614041645</v>
      </c>
      <c r="AQ735">
        <v>6614041645</v>
      </c>
      <c r="AR735">
        <v>206688801</v>
      </c>
      <c r="AS735">
        <v>0</v>
      </c>
      <c r="AT735">
        <v>0</v>
      </c>
      <c r="AU735">
        <v>206688801</v>
      </c>
      <c r="AV735">
        <v>206688801</v>
      </c>
      <c r="AW735">
        <v>18.802600000000002</v>
      </c>
      <c r="AX735">
        <v>9.2717100000000006</v>
      </c>
      <c r="AY735">
        <v>2552.4499999999998</v>
      </c>
      <c r="AZ735">
        <v>1801.44</v>
      </c>
      <c r="BA735">
        <v>7355</v>
      </c>
      <c r="BB735">
        <v>1189</v>
      </c>
      <c r="BC735" t="str">
        <f t="shared" si="24"/>
        <v>u=0%, k=2x10^8</v>
      </c>
      <c r="BD735">
        <f t="shared" si="25"/>
        <v>32</v>
      </c>
    </row>
    <row r="736" spans="1:56">
      <c r="A736" t="s">
        <v>1385</v>
      </c>
      <c r="B736" t="s">
        <v>63</v>
      </c>
      <c r="C736">
        <v>72</v>
      </c>
      <c r="D736" t="s">
        <v>64</v>
      </c>
      <c r="E736" t="s">
        <v>59</v>
      </c>
      <c r="F736" t="s">
        <v>60</v>
      </c>
      <c r="G736">
        <v>64000</v>
      </c>
      <c r="H736">
        <v>0</v>
      </c>
      <c r="I736">
        <v>0</v>
      </c>
      <c r="J736">
        <v>0</v>
      </c>
      <c r="K736">
        <v>1</v>
      </c>
      <c r="L736">
        <v>200000000</v>
      </c>
      <c r="M736">
        <v>190</v>
      </c>
      <c r="N736">
        <v>190</v>
      </c>
      <c r="O736">
        <v>190</v>
      </c>
      <c r="P736">
        <v>0</v>
      </c>
      <c r="Q736" t="s">
        <v>61</v>
      </c>
      <c r="R736">
        <v>9999746499900190</v>
      </c>
      <c r="S736">
        <v>100000001</v>
      </c>
      <c r="T736">
        <v>9999746499900190</v>
      </c>
      <c r="U736">
        <v>100000001</v>
      </c>
      <c r="V736" t="s">
        <v>71</v>
      </c>
      <c r="W736">
        <v>6</v>
      </c>
      <c r="X736">
        <v>11011103</v>
      </c>
      <c r="Y736">
        <v>110001001</v>
      </c>
      <c r="Z736">
        <v>121012104</v>
      </c>
      <c r="AA736">
        <v>100000001</v>
      </c>
      <c r="AB736">
        <v>10.99</v>
      </c>
      <c r="AC736">
        <v>0.90908299999999997</v>
      </c>
      <c r="AD736">
        <v>1.82636</v>
      </c>
      <c r="AE736">
        <v>4</v>
      </c>
      <c r="AF736">
        <v>2640904240</v>
      </c>
      <c r="AJ736">
        <v>81294</v>
      </c>
      <c r="AM736">
        <v>13241121500</v>
      </c>
      <c r="AN736">
        <v>0</v>
      </c>
      <c r="AO736">
        <v>0</v>
      </c>
      <c r="AP736">
        <v>13241121500</v>
      </c>
      <c r="AQ736">
        <v>13241121500</v>
      </c>
      <c r="AR736">
        <v>206892523</v>
      </c>
      <c r="AS736">
        <v>0</v>
      </c>
      <c r="AT736">
        <v>0</v>
      </c>
      <c r="AU736">
        <v>206892523</v>
      </c>
      <c r="AV736">
        <v>206892523</v>
      </c>
      <c r="AW736">
        <v>18.739899999999999</v>
      </c>
      <c r="AX736">
        <v>9.3409300000000002</v>
      </c>
      <c r="AY736">
        <v>2550.89</v>
      </c>
      <c r="AZ736">
        <v>1789.52</v>
      </c>
      <c r="BA736">
        <v>7350</v>
      </c>
      <c r="BB736">
        <v>1114</v>
      </c>
      <c r="BC736" t="str">
        <f t="shared" si="24"/>
        <v>u=0%, k=2x10^8</v>
      </c>
      <c r="BD736">
        <f t="shared" si="25"/>
        <v>64</v>
      </c>
    </row>
    <row r="737" spans="1:56">
      <c r="A737" t="s">
        <v>1386</v>
      </c>
      <c r="B737" t="s">
        <v>300</v>
      </c>
      <c r="C737">
        <v>208</v>
      </c>
      <c r="D737" t="s">
        <v>64</v>
      </c>
      <c r="E737" t="s">
        <v>59</v>
      </c>
      <c r="F737" t="s">
        <v>60</v>
      </c>
      <c r="G737">
        <v>1000</v>
      </c>
      <c r="H737">
        <v>0</v>
      </c>
      <c r="I737">
        <v>0</v>
      </c>
      <c r="J737">
        <v>0</v>
      </c>
      <c r="K737">
        <v>1</v>
      </c>
      <c r="L737">
        <v>200000000</v>
      </c>
      <c r="M737">
        <v>190</v>
      </c>
      <c r="N737">
        <v>190</v>
      </c>
      <c r="O737">
        <v>190</v>
      </c>
      <c r="P737">
        <v>0</v>
      </c>
      <c r="Q737" t="s">
        <v>61</v>
      </c>
      <c r="R737">
        <v>1.00000074067803E+16</v>
      </c>
      <c r="S737">
        <v>100000000</v>
      </c>
      <c r="T737">
        <v>1.00000074067803E+16</v>
      </c>
      <c r="U737">
        <v>100000000</v>
      </c>
      <c r="V737" t="s">
        <v>71</v>
      </c>
      <c r="W737">
        <v>10</v>
      </c>
      <c r="X737">
        <v>1854190</v>
      </c>
      <c r="Y737">
        <v>12757999</v>
      </c>
      <c r="Z737">
        <v>14612189</v>
      </c>
      <c r="AA737">
        <v>100000000</v>
      </c>
      <c r="AB737">
        <v>7.88063</v>
      </c>
      <c r="AC737">
        <v>7.8382199999999997</v>
      </c>
      <c r="AD737">
        <v>7.8436000000000003</v>
      </c>
      <c r="AE737">
        <v>9</v>
      </c>
      <c r="AF737">
        <v>3039335312</v>
      </c>
      <c r="AJ737" t="s">
        <v>1387</v>
      </c>
      <c r="AM737">
        <v>154762987</v>
      </c>
      <c r="AN737">
        <v>0</v>
      </c>
      <c r="AO737">
        <v>0</v>
      </c>
      <c r="AP737">
        <v>154762987</v>
      </c>
      <c r="AQ737">
        <v>154762987</v>
      </c>
      <c r="AR737">
        <v>154762987</v>
      </c>
      <c r="AS737">
        <v>0</v>
      </c>
      <c r="AT737">
        <v>0</v>
      </c>
      <c r="AU737">
        <v>154762987</v>
      </c>
      <c r="AV737">
        <v>154762987</v>
      </c>
      <c r="AW737">
        <v>23.485499999999998</v>
      </c>
      <c r="AX737">
        <v>10.3376</v>
      </c>
      <c r="AY737">
        <v>3404.33</v>
      </c>
      <c r="AZ737">
        <v>2421.3000000000002</v>
      </c>
      <c r="BA737">
        <v>5124</v>
      </c>
      <c r="BB737">
        <v>6032</v>
      </c>
      <c r="BC737" t="str">
        <f t="shared" si="24"/>
        <v>u=0%, k=2x10^8</v>
      </c>
      <c r="BD737">
        <f t="shared" si="25"/>
        <v>1</v>
      </c>
    </row>
    <row r="738" spans="1:56">
      <c r="A738" t="s">
        <v>1388</v>
      </c>
      <c r="B738" t="s">
        <v>300</v>
      </c>
      <c r="C738">
        <v>208</v>
      </c>
      <c r="D738" t="s">
        <v>64</v>
      </c>
      <c r="E738" t="s">
        <v>59</v>
      </c>
      <c r="F738" t="s">
        <v>60</v>
      </c>
      <c r="G738">
        <v>2000</v>
      </c>
      <c r="H738">
        <v>0</v>
      </c>
      <c r="I738">
        <v>0</v>
      </c>
      <c r="J738">
        <v>0</v>
      </c>
      <c r="K738">
        <v>1</v>
      </c>
      <c r="L738">
        <v>200000000</v>
      </c>
      <c r="M738">
        <v>190</v>
      </c>
      <c r="N738">
        <v>190</v>
      </c>
      <c r="O738">
        <v>190</v>
      </c>
      <c r="P738">
        <v>0</v>
      </c>
      <c r="Q738" t="s">
        <v>61</v>
      </c>
      <c r="R738">
        <v>1.00003232198415E+16</v>
      </c>
      <c r="S738">
        <v>100000000</v>
      </c>
      <c r="T738">
        <v>1.00003232198415E+16</v>
      </c>
      <c r="U738">
        <v>100000000</v>
      </c>
      <c r="V738" t="s">
        <v>71</v>
      </c>
      <c r="W738">
        <v>10</v>
      </c>
      <c r="X738">
        <v>1853889</v>
      </c>
      <c r="Y738">
        <v>12757990</v>
      </c>
      <c r="Z738">
        <v>14611879</v>
      </c>
      <c r="AA738">
        <v>100000000</v>
      </c>
      <c r="AB738">
        <v>7.8817399999999997</v>
      </c>
      <c r="AC738">
        <v>7.8382300000000003</v>
      </c>
      <c r="AD738">
        <v>7.84375</v>
      </c>
      <c r="AE738">
        <v>9</v>
      </c>
      <c r="AF738">
        <v>3039270832</v>
      </c>
      <c r="AJ738" t="s">
        <v>1389</v>
      </c>
      <c r="AM738">
        <v>312472151</v>
      </c>
      <c r="AN738">
        <v>0</v>
      </c>
      <c r="AO738">
        <v>0</v>
      </c>
      <c r="AP738">
        <v>312472151</v>
      </c>
      <c r="AQ738">
        <v>312472151</v>
      </c>
      <c r="AR738">
        <v>156236075</v>
      </c>
      <c r="AS738">
        <v>0</v>
      </c>
      <c r="AT738">
        <v>0</v>
      </c>
      <c r="AU738">
        <v>156236075</v>
      </c>
      <c r="AV738">
        <v>156236075</v>
      </c>
      <c r="AW738">
        <v>23.428699999999999</v>
      </c>
      <c r="AX738">
        <v>10.4206</v>
      </c>
      <c r="AY738">
        <v>3378.26</v>
      </c>
      <c r="AZ738">
        <v>2396.9</v>
      </c>
      <c r="BA738">
        <v>5127</v>
      </c>
      <c r="BB738">
        <v>6037</v>
      </c>
      <c r="BC738" t="str">
        <f t="shared" si="24"/>
        <v>u=0%, k=2x10^8</v>
      </c>
      <c r="BD738">
        <f t="shared" si="25"/>
        <v>2</v>
      </c>
    </row>
    <row r="739" spans="1:56">
      <c r="A739" t="s">
        <v>1390</v>
      </c>
      <c r="B739" t="s">
        <v>300</v>
      </c>
      <c r="C739">
        <v>208</v>
      </c>
      <c r="D739" t="s">
        <v>64</v>
      </c>
      <c r="E739" t="s">
        <v>59</v>
      </c>
      <c r="F739" t="s">
        <v>60</v>
      </c>
      <c r="G739">
        <v>4000</v>
      </c>
      <c r="H739">
        <v>0</v>
      </c>
      <c r="I739">
        <v>0</v>
      </c>
      <c r="J739">
        <v>0</v>
      </c>
      <c r="K739">
        <v>1</v>
      </c>
      <c r="L739">
        <v>200000000</v>
      </c>
      <c r="M739">
        <v>190</v>
      </c>
      <c r="N739">
        <v>190</v>
      </c>
      <c r="O739">
        <v>190</v>
      </c>
      <c r="P739">
        <v>0</v>
      </c>
      <c r="Q739" t="s">
        <v>61</v>
      </c>
      <c r="R739">
        <v>9999468372854640</v>
      </c>
      <c r="S739">
        <v>100000000</v>
      </c>
      <c r="T739">
        <v>9999468372854640</v>
      </c>
      <c r="U739">
        <v>100000000</v>
      </c>
      <c r="V739" t="s">
        <v>71</v>
      </c>
      <c r="W739">
        <v>10</v>
      </c>
      <c r="X739">
        <v>1854416</v>
      </c>
      <c r="Y739">
        <v>12757893</v>
      </c>
      <c r="Z739">
        <v>14612309</v>
      </c>
      <c r="AA739">
        <v>100000000</v>
      </c>
      <c r="AB739">
        <v>7.87974</v>
      </c>
      <c r="AC739">
        <v>7.8382800000000001</v>
      </c>
      <c r="AD739">
        <v>7.8435499999999996</v>
      </c>
      <c r="AE739">
        <v>9</v>
      </c>
      <c r="AF739">
        <v>3039360272</v>
      </c>
      <c r="AJ739" t="s">
        <v>1391</v>
      </c>
      <c r="AM739">
        <v>625949574</v>
      </c>
      <c r="AN739">
        <v>0</v>
      </c>
      <c r="AO739">
        <v>0</v>
      </c>
      <c r="AP739">
        <v>625949574</v>
      </c>
      <c r="AQ739">
        <v>625949574</v>
      </c>
      <c r="AR739">
        <v>156487393</v>
      </c>
      <c r="AS739">
        <v>0</v>
      </c>
      <c r="AT739">
        <v>0</v>
      </c>
      <c r="AU739">
        <v>156487393</v>
      </c>
      <c r="AV739">
        <v>156487393</v>
      </c>
      <c r="AW739">
        <v>23.413399999999999</v>
      </c>
      <c r="AX739">
        <v>10.4665</v>
      </c>
      <c r="AY739">
        <v>3372.84</v>
      </c>
      <c r="AZ739">
        <v>2395.59</v>
      </c>
      <c r="BA739">
        <v>5126</v>
      </c>
      <c r="BB739">
        <v>6114</v>
      </c>
      <c r="BC739" t="str">
        <f t="shared" si="24"/>
        <v>u=0%, k=2x10^8</v>
      </c>
      <c r="BD739">
        <f t="shared" si="25"/>
        <v>4</v>
      </c>
    </row>
    <row r="740" spans="1:56">
      <c r="A740" t="s">
        <v>1392</v>
      </c>
      <c r="B740" t="s">
        <v>300</v>
      </c>
      <c r="C740">
        <v>208</v>
      </c>
      <c r="D740" t="s">
        <v>64</v>
      </c>
      <c r="E740" t="s">
        <v>59</v>
      </c>
      <c r="F740" t="s">
        <v>60</v>
      </c>
      <c r="G740">
        <v>8000</v>
      </c>
      <c r="H740">
        <v>0</v>
      </c>
      <c r="I740">
        <v>0</v>
      </c>
      <c r="J740">
        <v>0</v>
      </c>
      <c r="K740">
        <v>1</v>
      </c>
      <c r="L740">
        <v>200000000</v>
      </c>
      <c r="M740">
        <v>190</v>
      </c>
      <c r="N740">
        <v>190</v>
      </c>
      <c r="O740">
        <v>190</v>
      </c>
      <c r="P740">
        <v>0</v>
      </c>
      <c r="Q740" t="s">
        <v>61</v>
      </c>
      <c r="R740">
        <v>1.00000924143963E+16</v>
      </c>
      <c r="S740">
        <v>100000000</v>
      </c>
      <c r="T740">
        <v>1.00000924143963E+16</v>
      </c>
      <c r="U740">
        <v>100000000</v>
      </c>
      <c r="V740" t="s">
        <v>71</v>
      </c>
      <c r="W740">
        <v>10</v>
      </c>
      <c r="X740">
        <v>1854064</v>
      </c>
      <c r="Y740">
        <v>12758103</v>
      </c>
      <c r="Z740">
        <v>14612167</v>
      </c>
      <c r="AA740">
        <v>100000000</v>
      </c>
      <c r="AB740">
        <v>7.8811600000000004</v>
      </c>
      <c r="AC740">
        <v>7.8381600000000002</v>
      </c>
      <c r="AD740">
        <v>7.84361</v>
      </c>
      <c r="AE740">
        <v>9</v>
      </c>
      <c r="AF740">
        <v>3039330736</v>
      </c>
      <c r="AJ740" t="s">
        <v>1393</v>
      </c>
      <c r="AM740">
        <v>1258176654</v>
      </c>
      <c r="AN740">
        <v>0</v>
      </c>
      <c r="AO740">
        <v>0</v>
      </c>
      <c r="AP740">
        <v>1258176654</v>
      </c>
      <c r="AQ740">
        <v>1258176654</v>
      </c>
      <c r="AR740">
        <v>157272081</v>
      </c>
      <c r="AS740">
        <v>0</v>
      </c>
      <c r="AT740">
        <v>0</v>
      </c>
      <c r="AU740">
        <v>157272081</v>
      </c>
      <c r="AV740">
        <v>157272081</v>
      </c>
      <c r="AW740">
        <v>23.422000000000001</v>
      </c>
      <c r="AX740">
        <v>10.573700000000001</v>
      </c>
      <c r="AY740">
        <v>3356.73</v>
      </c>
      <c r="AZ740">
        <v>2375.7199999999998</v>
      </c>
      <c r="BA740">
        <v>5107</v>
      </c>
      <c r="BB740">
        <v>6046</v>
      </c>
      <c r="BC740" t="str">
        <f t="shared" si="24"/>
        <v>u=0%, k=2x10^8</v>
      </c>
      <c r="BD740">
        <f t="shared" si="25"/>
        <v>8</v>
      </c>
    </row>
    <row r="741" spans="1:56">
      <c r="A741" t="s">
        <v>1394</v>
      </c>
      <c r="B741" t="s">
        <v>300</v>
      </c>
      <c r="C741">
        <v>208</v>
      </c>
      <c r="D741" t="s">
        <v>64</v>
      </c>
      <c r="E741" t="s">
        <v>59</v>
      </c>
      <c r="F741" t="s">
        <v>60</v>
      </c>
      <c r="G741">
        <v>16000</v>
      </c>
      <c r="H741">
        <v>0</v>
      </c>
      <c r="I741">
        <v>0</v>
      </c>
      <c r="J741">
        <v>0</v>
      </c>
      <c r="K741">
        <v>1</v>
      </c>
      <c r="L741">
        <v>200000000</v>
      </c>
      <c r="M741">
        <v>190</v>
      </c>
      <c r="N741">
        <v>190</v>
      </c>
      <c r="O741">
        <v>190</v>
      </c>
      <c r="P741">
        <v>0</v>
      </c>
      <c r="Q741" t="s">
        <v>61</v>
      </c>
      <c r="R741">
        <v>1.00002929061459E+16</v>
      </c>
      <c r="S741">
        <v>100000000</v>
      </c>
      <c r="T741">
        <v>1.00002929061459E+16</v>
      </c>
      <c r="U741">
        <v>100000000</v>
      </c>
      <c r="V741" t="s">
        <v>71</v>
      </c>
      <c r="W741">
        <v>10</v>
      </c>
      <c r="X741">
        <v>1853849</v>
      </c>
      <c r="Y741">
        <v>12757277</v>
      </c>
      <c r="Z741">
        <v>14611126</v>
      </c>
      <c r="AA741">
        <v>100000000</v>
      </c>
      <c r="AB741">
        <v>7.8815099999999996</v>
      </c>
      <c r="AC741">
        <v>7.83866</v>
      </c>
      <c r="AD741">
        <v>7.8441000000000001</v>
      </c>
      <c r="AE741">
        <v>9</v>
      </c>
      <c r="AF741">
        <v>3039114208</v>
      </c>
      <c r="AJ741" t="s">
        <v>1395</v>
      </c>
      <c r="AM741">
        <v>2525262221</v>
      </c>
      <c r="AN741">
        <v>0</v>
      </c>
      <c r="AO741">
        <v>0</v>
      </c>
      <c r="AP741">
        <v>2525262221</v>
      </c>
      <c r="AQ741">
        <v>2525262221</v>
      </c>
      <c r="AR741">
        <v>157828888</v>
      </c>
      <c r="AS741">
        <v>0</v>
      </c>
      <c r="AT741">
        <v>0</v>
      </c>
      <c r="AU741">
        <v>157828888</v>
      </c>
      <c r="AV741">
        <v>157828888</v>
      </c>
      <c r="AW741">
        <v>23.386099999999999</v>
      </c>
      <c r="AX741">
        <v>10.680899999999999</v>
      </c>
      <c r="AY741">
        <v>3343.97</v>
      </c>
      <c r="AZ741">
        <v>2366.2800000000002</v>
      </c>
      <c r="BA741">
        <v>5138</v>
      </c>
      <c r="BB741">
        <v>6031</v>
      </c>
      <c r="BC741" t="str">
        <f t="shared" si="24"/>
        <v>u=0%, k=2x10^8</v>
      </c>
      <c r="BD741">
        <f t="shared" si="25"/>
        <v>16</v>
      </c>
    </row>
    <row r="742" spans="1:56">
      <c r="A742" t="s">
        <v>1396</v>
      </c>
      <c r="B742" t="s">
        <v>300</v>
      </c>
      <c r="C742">
        <v>208</v>
      </c>
      <c r="D742" t="s">
        <v>64</v>
      </c>
      <c r="E742" t="s">
        <v>59</v>
      </c>
      <c r="F742" t="s">
        <v>60</v>
      </c>
      <c r="G742">
        <v>32000</v>
      </c>
      <c r="H742">
        <v>0</v>
      </c>
      <c r="I742">
        <v>0</v>
      </c>
      <c r="J742">
        <v>0</v>
      </c>
      <c r="K742">
        <v>1</v>
      </c>
      <c r="L742">
        <v>200000000</v>
      </c>
      <c r="M742">
        <v>190</v>
      </c>
      <c r="N742">
        <v>190</v>
      </c>
      <c r="O742">
        <v>190</v>
      </c>
      <c r="P742">
        <v>0</v>
      </c>
      <c r="Q742" t="s">
        <v>61</v>
      </c>
      <c r="R742">
        <v>1.0000756506812E+16</v>
      </c>
      <c r="S742">
        <v>100000000</v>
      </c>
      <c r="T742">
        <v>1.0000756506812E+16</v>
      </c>
      <c r="U742">
        <v>100000000</v>
      </c>
      <c r="V742" t="s">
        <v>71</v>
      </c>
      <c r="W742">
        <v>10</v>
      </c>
      <c r="X742">
        <v>1853934</v>
      </c>
      <c r="Y742">
        <v>12756476</v>
      </c>
      <c r="Z742">
        <v>14610410</v>
      </c>
      <c r="AA742">
        <v>100000000</v>
      </c>
      <c r="AB742">
        <v>7.8807600000000004</v>
      </c>
      <c r="AC742">
        <v>7.8391599999999997</v>
      </c>
      <c r="AD742">
        <v>7.84443</v>
      </c>
      <c r="AE742">
        <v>9</v>
      </c>
      <c r="AF742">
        <v>3038965280</v>
      </c>
      <c r="AJ742" t="s">
        <v>1397</v>
      </c>
      <c r="AM742">
        <v>5071074920</v>
      </c>
      <c r="AN742">
        <v>0</v>
      </c>
      <c r="AO742">
        <v>0</v>
      </c>
      <c r="AP742">
        <v>5071074920</v>
      </c>
      <c r="AQ742">
        <v>5071074920</v>
      </c>
      <c r="AR742">
        <v>158471091</v>
      </c>
      <c r="AS742">
        <v>0</v>
      </c>
      <c r="AT742">
        <v>0</v>
      </c>
      <c r="AU742">
        <v>158471091</v>
      </c>
      <c r="AV742">
        <v>158471091</v>
      </c>
      <c r="AW742">
        <v>23.382100000000001</v>
      </c>
      <c r="AX742">
        <v>10.795199999999999</v>
      </c>
      <c r="AY742">
        <v>3329.3</v>
      </c>
      <c r="AZ742">
        <v>2355.98</v>
      </c>
      <c r="BA742">
        <v>5125</v>
      </c>
      <c r="BB742">
        <v>6078</v>
      </c>
      <c r="BC742" t="str">
        <f t="shared" si="24"/>
        <v>u=0%, k=2x10^8</v>
      </c>
      <c r="BD742">
        <f t="shared" si="25"/>
        <v>32</v>
      </c>
    </row>
    <row r="743" spans="1:56">
      <c r="A743" t="s">
        <v>1398</v>
      </c>
      <c r="B743" t="s">
        <v>300</v>
      </c>
      <c r="C743">
        <v>208</v>
      </c>
      <c r="D743" t="s">
        <v>64</v>
      </c>
      <c r="E743" t="s">
        <v>59</v>
      </c>
      <c r="F743" t="s">
        <v>60</v>
      </c>
      <c r="G743">
        <v>64000</v>
      </c>
      <c r="H743">
        <v>0</v>
      </c>
      <c r="I743">
        <v>0</v>
      </c>
      <c r="J743">
        <v>0</v>
      </c>
      <c r="K743">
        <v>1</v>
      </c>
      <c r="L743">
        <v>200000000</v>
      </c>
      <c r="M743">
        <v>190</v>
      </c>
      <c r="N743">
        <v>190</v>
      </c>
      <c r="O743">
        <v>190</v>
      </c>
      <c r="P743">
        <v>0</v>
      </c>
      <c r="Q743" t="s">
        <v>61</v>
      </c>
      <c r="R743">
        <v>1.0000340587964E+16</v>
      </c>
      <c r="S743">
        <v>100000000</v>
      </c>
      <c r="T743">
        <v>1.0000340587964E+16</v>
      </c>
      <c r="U743">
        <v>100000000</v>
      </c>
      <c r="V743" t="s">
        <v>71</v>
      </c>
      <c r="W743">
        <v>10</v>
      </c>
      <c r="X743">
        <v>1853667</v>
      </c>
      <c r="Y743">
        <v>12756517</v>
      </c>
      <c r="Z743">
        <v>14610184</v>
      </c>
      <c r="AA743">
        <v>100000000</v>
      </c>
      <c r="AB743">
        <v>7.8817700000000004</v>
      </c>
      <c r="AC743">
        <v>7.8391299999999999</v>
      </c>
      <c r="AD743">
        <v>7.8445400000000003</v>
      </c>
      <c r="AE743">
        <v>9</v>
      </c>
      <c r="AF743">
        <v>3038918272</v>
      </c>
      <c r="AJ743" t="s">
        <v>1399</v>
      </c>
      <c r="AM743">
        <v>10217225861</v>
      </c>
      <c r="AN743">
        <v>0</v>
      </c>
      <c r="AO743">
        <v>0</v>
      </c>
      <c r="AP743">
        <v>10217225861</v>
      </c>
      <c r="AQ743">
        <v>10217225861</v>
      </c>
      <c r="AR743">
        <v>159644154</v>
      </c>
      <c r="AS743">
        <v>0</v>
      </c>
      <c r="AT743">
        <v>0</v>
      </c>
      <c r="AU743">
        <v>159644154</v>
      </c>
      <c r="AV743">
        <v>159644154</v>
      </c>
      <c r="AW743">
        <v>23.386700000000001</v>
      </c>
      <c r="AX743">
        <v>10.9133</v>
      </c>
      <c r="AY743">
        <v>3304.12</v>
      </c>
      <c r="AZ743">
        <v>2332.04</v>
      </c>
      <c r="BA743">
        <v>5132</v>
      </c>
      <c r="BB743">
        <v>6149</v>
      </c>
      <c r="BC743" t="str">
        <f t="shared" si="24"/>
        <v>u=0%, k=2x10^8</v>
      </c>
      <c r="BD743">
        <f t="shared" si="25"/>
        <v>64</v>
      </c>
    </row>
    <row r="744" spans="1:56">
      <c r="A744" t="s">
        <v>1400</v>
      </c>
      <c r="B744" t="s">
        <v>105</v>
      </c>
      <c r="D744" t="s">
        <v>64</v>
      </c>
      <c r="E744" t="s">
        <v>59</v>
      </c>
      <c r="F744" t="s">
        <v>60</v>
      </c>
      <c r="G744">
        <v>1000</v>
      </c>
      <c r="H744">
        <v>0</v>
      </c>
      <c r="I744">
        <v>0</v>
      </c>
      <c r="J744">
        <v>0</v>
      </c>
      <c r="K744">
        <v>1</v>
      </c>
      <c r="L744">
        <v>200000000</v>
      </c>
      <c r="M744">
        <v>190</v>
      </c>
      <c r="N744">
        <v>190</v>
      </c>
      <c r="O744">
        <v>190</v>
      </c>
      <c r="P744">
        <v>0</v>
      </c>
      <c r="Q744" t="s">
        <v>61</v>
      </c>
      <c r="R744">
        <v>1.00001678651464E+16</v>
      </c>
      <c r="S744">
        <v>100000000</v>
      </c>
      <c r="T744">
        <v>1.00001678651464E+16</v>
      </c>
      <c r="U744">
        <v>100000000</v>
      </c>
      <c r="V744" t="s">
        <v>71</v>
      </c>
      <c r="W744">
        <v>33</v>
      </c>
      <c r="X744">
        <v>57143063</v>
      </c>
      <c r="Y744">
        <v>42856938</v>
      </c>
      <c r="Z744">
        <v>100000001</v>
      </c>
      <c r="AA744">
        <v>100000000</v>
      </c>
      <c r="AB744">
        <v>1.7499899999999999</v>
      </c>
      <c r="AC744">
        <v>2.3333400000000002</v>
      </c>
      <c r="AD744">
        <v>2</v>
      </c>
      <c r="AE744">
        <v>26.092400000000001</v>
      </c>
      <c r="AF744">
        <v>5600000056</v>
      </c>
      <c r="AJ744" t="s">
        <v>794</v>
      </c>
      <c r="AM744">
        <v>68529102</v>
      </c>
      <c r="AN744">
        <v>0</v>
      </c>
      <c r="AO744">
        <v>0</v>
      </c>
      <c r="AP744">
        <v>68529102</v>
      </c>
      <c r="AQ744">
        <v>68529102</v>
      </c>
      <c r="AR744">
        <v>68529102</v>
      </c>
      <c r="AS744">
        <v>0</v>
      </c>
      <c r="AT744">
        <v>0</v>
      </c>
      <c r="AU744">
        <v>68529102</v>
      </c>
      <c r="AV744">
        <v>68529102</v>
      </c>
      <c r="AW744">
        <v>40.714799999999997</v>
      </c>
      <c r="AX744">
        <v>19.1555</v>
      </c>
      <c r="AY744">
        <v>7714.03</v>
      </c>
      <c r="AZ744">
        <v>6194.01</v>
      </c>
      <c r="BA744">
        <v>7573</v>
      </c>
      <c r="BB744">
        <v>2754</v>
      </c>
      <c r="BC744" t="str">
        <f t="shared" si="24"/>
        <v>u=0%, k=2x10^8</v>
      </c>
      <c r="BD744">
        <f t="shared" si="25"/>
        <v>1</v>
      </c>
    </row>
    <row r="745" spans="1:56">
      <c r="A745" t="s">
        <v>1401</v>
      </c>
      <c r="B745" t="s">
        <v>105</v>
      </c>
      <c r="D745" t="s">
        <v>64</v>
      </c>
      <c r="E745" t="s">
        <v>59</v>
      </c>
      <c r="F745" t="s">
        <v>60</v>
      </c>
      <c r="G745">
        <v>2000</v>
      </c>
      <c r="H745">
        <v>0</v>
      </c>
      <c r="I745">
        <v>0</v>
      </c>
      <c r="J745">
        <v>0</v>
      </c>
      <c r="K745">
        <v>1</v>
      </c>
      <c r="L745">
        <v>200000000</v>
      </c>
      <c r="M745">
        <v>190</v>
      </c>
      <c r="N745">
        <v>190</v>
      </c>
      <c r="O745">
        <v>190</v>
      </c>
      <c r="P745">
        <v>0</v>
      </c>
      <c r="Q745" t="s">
        <v>61</v>
      </c>
      <c r="R745">
        <v>9999894964098550</v>
      </c>
      <c r="S745">
        <v>100000000</v>
      </c>
      <c r="T745">
        <v>9999894964098550</v>
      </c>
      <c r="U745">
        <v>100000000</v>
      </c>
      <c r="V745" t="s">
        <v>71</v>
      </c>
      <c r="W745">
        <v>33</v>
      </c>
      <c r="X745">
        <v>57142065</v>
      </c>
      <c r="Y745">
        <v>42857936</v>
      </c>
      <c r="Z745">
        <v>100000001</v>
      </c>
      <c r="AA745">
        <v>100000000</v>
      </c>
      <c r="AB745">
        <v>1.7500199999999999</v>
      </c>
      <c r="AC745">
        <v>2.3332899999999999</v>
      </c>
      <c r="AD745">
        <v>2</v>
      </c>
      <c r="AE745">
        <v>26.061</v>
      </c>
      <c r="AF745">
        <v>5600000056</v>
      </c>
      <c r="AJ745" t="s">
        <v>1402</v>
      </c>
      <c r="AM745">
        <v>136478630</v>
      </c>
      <c r="AN745">
        <v>0</v>
      </c>
      <c r="AO745">
        <v>0</v>
      </c>
      <c r="AP745">
        <v>136478630</v>
      </c>
      <c r="AQ745">
        <v>136478630</v>
      </c>
      <c r="AR745">
        <v>68239315</v>
      </c>
      <c r="AS745">
        <v>0</v>
      </c>
      <c r="AT745">
        <v>0</v>
      </c>
      <c r="AU745">
        <v>68239315</v>
      </c>
      <c r="AV745">
        <v>68239315</v>
      </c>
      <c r="AW745">
        <v>41.536299999999997</v>
      </c>
      <c r="AX745">
        <v>19.301200000000001</v>
      </c>
      <c r="AY745">
        <v>7751.08</v>
      </c>
      <c r="AZ745">
        <v>6216.36</v>
      </c>
      <c r="BA745">
        <v>7576</v>
      </c>
      <c r="BB745">
        <v>2770</v>
      </c>
      <c r="BC745" t="str">
        <f t="shared" si="24"/>
        <v>u=0%, k=2x10^8</v>
      </c>
      <c r="BD745">
        <f t="shared" si="25"/>
        <v>2</v>
      </c>
    </row>
    <row r="746" spans="1:56">
      <c r="A746" t="s">
        <v>1403</v>
      </c>
      <c r="B746" t="s">
        <v>105</v>
      </c>
      <c r="D746" t="s">
        <v>64</v>
      </c>
      <c r="E746" t="s">
        <v>59</v>
      </c>
      <c r="F746" t="s">
        <v>60</v>
      </c>
      <c r="G746">
        <v>4000</v>
      </c>
      <c r="H746">
        <v>0</v>
      </c>
      <c r="I746">
        <v>0</v>
      </c>
      <c r="J746">
        <v>0</v>
      </c>
      <c r="K746">
        <v>1</v>
      </c>
      <c r="L746">
        <v>200000000</v>
      </c>
      <c r="M746">
        <v>190</v>
      </c>
      <c r="N746">
        <v>190</v>
      </c>
      <c r="O746">
        <v>190</v>
      </c>
      <c r="P746">
        <v>0</v>
      </c>
      <c r="Q746" t="s">
        <v>61</v>
      </c>
      <c r="R746">
        <v>1.00002232648237E+16</v>
      </c>
      <c r="S746">
        <v>100000000</v>
      </c>
      <c r="T746">
        <v>1.00002232648237E+16</v>
      </c>
      <c r="U746">
        <v>100000000</v>
      </c>
      <c r="V746" t="s">
        <v>71</v>
      </c>
      <c r="W746">
        <v>33</v>
      </c>
      <c r="X746">
        <v>57145312</v>
      </c>
      <c r="Y746">
        <v>42854689</v>
      </c>
      <c r="Z746">
        <v>100000001</v>
      </c>
      <c r="AA746">
        <v>100000000</v>
      </c>
      <c r="AB746">
        <v>1.7499199999999999</v>
      </c>
      <c r="AC746">
        <v>2.3334700000000002</v>
      </c>
      <c r="AD746">
        <v>2</v>
      </c>
      <c r="AE746">
        <v>26.073499999999999</v>
      </c>
      <c r="AF746">
        <v>5600000056</v>
      </c>
      <c r="AJ746" t="s">
        <v>1404</v>
      </c>
      <c r="AM746">
        <v>278129082</v>
      </c>
      <c r="AN746">
        <v>0</v>
      </c>
      <c r="AO746">
        <v>0</v>
      </c>
      <c r="AP746">
        <v>278129082</v>
      </c>
      <c r="AQ746">
        <v>278129082</v>
      </c>
      <c r="AR746">
        <v>69532270</v>
      </c>
      <c r="AS746">
        <v>0</v>
      </c>
      <c r="AT746">
        <v>0</v>
      </c>
      <c r="AU746">
        <v>69532270</v>
      </c>
      <c r="AV746">
        <v>69532270</v>
      </c>
      <c r="AW746">
        <v>40.784500000000001</v>
      </c>
      <c r="AX746">
        <v>19.467300000000002</v>
      </c>
      <c r="AY746">
        <v>7607.08</v>
      </c>
      <c r="AZ746">
        <v>6151.6</v>
      </c>
      <c r="BA746">
        <v>7574</v>
      </c>
      <c r="BB746">
        <v>2739</v>
      </c>
      <c r="BC746" t="str">
        <f t="shared" si="24"/>
        <v>u=0%, k=2x10^8</v>
      </c>
      <c r="BD746">
        <f t="shared" si="25"/>
        <v>4</v>
      </c>
    </row>
    <row r="747" spans="1:56">
      <c r="A747" t="s">
        <v>1405</v>
      </c>
      <c r="B747" t="s">
        <v>105</v>
      </c>
      <c r="D747" t="s">
        <v>64</v>
      </c>
      <c r="E747" t="s">
        <v>59</v>
      </c>
      <c r="F747" t="s">
        <v>60</v>
      </c>
      <c r="G747">
        <v>8000</v>
      </c>
      <c r="H747">
        <v>0</v>
      </c>
      <c r="I747">
        <v>0</v>
      </c>
      <c r="J747">
        <v>0</v>
      </c>
      <c r="K747">
        <v>1</v>
      </c>
      <c r="L747">
        <v>200000000</v>
      </c>
      <c r="M747">
        <v>190</v>
      </c>
      <c r="N747">
        <v>190</v>
      </c>
      <c r="O747">
        <v>190</v>
      </c>
      <c r="P747">
        <v>0</v>
      </c>
      <c r="Q747" t="s">
        <v>61</v>
      </c>
      <c r="R747">
        <v>1.00003119574937E+16</v>
      </c>
      <c r="S747">
        <v>100000000</v>
      </c>
      <c r="T747">
        <v>1.00003119574937E+16</v>
      </c>
      <c r="U747">
        <v>100000000</v>
      </c>
      <c r="V747" t="s">
        <v>71</v>
      </c>
      <c r="W747">
        <v>33</v>
      </c>
      <c r="X747">
        <v>57142325</v>
      </c>
      <c r="Y747">
        <v>42857676</v>
      </c>
      <c r="Z747">
        <v>100000001</v>
      </c>
      <c r="AA747">
        <v>100000000</v>
      </c>
      <c r="AB747">
        <v>1.7500199999999999</v>
      </c>
      <c r="AC747">
        <v>2.3332999999999999</v>
      </c>
      <c r="AD747">
        <v>2</v>
      </c>
      <c r="AE747">
        <v>26.060099999999998</v>
      </c>
      <c r="AF747">
        <v>5600000056</v>
      </c>
      <c r="AJ747" t="s">
        <v>1406</v>
      </c>
      <c r="AM747">
        <v>556764512</v>
      </c>
      <c r="AN747">
        <v>0</v>
      </c>
      <c r="AO747">
        <v>0</v>
      </c>
      <c r="AP747">
        <v>556764512</v>
      </c>
      <c r="AQ747">
        <v>556764512</v>
      </c>
      <c r="AR747">
        <v>69595564</v>
      </c>
      <c r="AS747">
        <v>0</v>
      </c>
      <c r="AT747">
        <v>0</v>
      </c>
      <c r="AU747">
        <v>69595564</v>
      </c>
      <c r="AV747">
        <v>69595564</v>
      </c>
      <c r="AW747">
        <v>41.418999999999997</v>
      </c>
      <c r="AX747">
        <v>19.6709</v>
      </c>
      <c r="AY747">
        <v>7600.35</v>
      </c>
      <c r="AZ747">
        <v>6133.04</v>
      </c>
      <c r="BA747">
        <v>7576</v>
      </c>
      <c r="BB747">
        <v>2755</v>
      </c>
      <c r="BC747" t="str">
        <f t="shared" si="24"/>
        <v>u=0%, k=2x10^8</v>
      </c>
      <c r="BD747">
        <f t="shared" si="25"/>
        <v>8</v>
      </c>
    </row>
    <row r="748" spans="1:56">
      <c r="A748" t="s">
        <v>1407</v>
      </c>
      <c r="B748" t="s">
        <v>105</v>
      </c>
      <c r="D748" t="s">
        <v>64</v>
      </c>
      <c r="E748" t="s">
        <v>59</v>
      </c>
      <c r="F748" t="s">
        <v>60</v>
      </c>
      <c r="G748">
        <v>16000</v>
      </c>
      <c r="H748">
        <v>0</v>
      </c>
      <c r="I748">
        <v>0</v>
      </c>
      <c r="J748">
        <v>0</v>
      </c>
      <c r="K748">
        <v>1</v>
      </c>
      <c r="L748">
        <v>200000000</v>
      </c>
      <c r="M748">
        <v>190</v>
      </c>
      <c r="N748">
        <v>190</v>
      </c>
      <c r="O748">
        <v>190</v>
      </c>
      <c r="P748">
        <v>0</v>
      </c>
      <c r="Q748" t="s">
        <v>61</v>
      </c>
      <c r="R748">
        <v>1.000005802813E+16</v>
      </c>
      <c r="S748">
        <v>100000000</v>
      </c>
      <c r="T748">
        <v>1.000005802813E+16</v>
      </c>
      <c r="U748">
        <v>100000000</v>
      </c>
      <c r="V748" t="s">
        <v>71</v>
      </c>
      <c r="W748">
        <v>33</v>
      </c>
      <c r="X748">
        <v>57144790</v>
      </c>
      <c r="Y748">
        <v>42855211</v>
      </c>
      <c r="Z748">
        <v>100000001</v>
      </c>
      <c r="AA748">
        <v>100000000</v>
      </c>
      <c r="AB748">
        <v>1.7499400000000001</v>
      </c>
      <c r="AC748">
        <v>2.33344</v>
      </c>
      <c r="AD748">
        <v>2</v>
      </c>
      <c r="AE748">
        <v>26.076000000000001</v>
      </c>
      <c r="AF748">
        <v>5600000056</v>
      </c>
      <c r="AJ748" t="s">
        <v>1408</v>
      </c>
      <c r="AM748">
        <v>1113172612</v>
      </c>
      <c r="AN748">
        <v>0</v>
      </c>
      <c r="AO748">
        <v>0</v>
      </c>
      <c r="AP748">
        <v>1113172612</v>
      </c>
      <c r="AQ748">
        <v>1113172612</v>
      </c>
      <c r="AR748">
        <v>69573288</v>
      </c>
      <c r="AS748">
        <v>0</v>
      </c>
      <c r="AT748">
        <v>0</v>
      </c>
      <c r="AU748">
        <v>69573288</v>
      </c>
      <c r="AV748">
        <v>69573288</v>
      </c>
      <c r="AW748">
        <v>41.545299999999997</v>
      </c>
      <c r="AX748">
        <v>19.841899999999999</v>
      </c>
      <c r="AY748">
        <v>7602</v>
      </c>
      <c r="AZ748">
        <v>6058.02</v>
      </c>
      <c r="BA748">
        <v>7575</v>
      </c>
      <c r="BB748">
        <v>2753</v>
      </c>
      <c r="BC748" t="str">
        <f t="shared" si="24"/>
        <v>u=0%, k=2x10^8</v>
      </c>
      <c r="BD748">
        <f t="shared" si="25"/>
        <v>16</v>
      </c>
    </row>
    <row r="749" spans="1:56">
      <c r="A749" t="s">
        <v>1409</v>
      </c>
      <c r="B749" t="s">
        <v>105</v>
      </c>
      <c r="D749" t="s">
        <v>64</v>
      </c>
      <c r="E749" t="s">
        <v>59</v>
      </c>
      <c r="F749" t="s">
        <v>60</v>
      </c>
      <c r="G749">
        <v>32000</v>
      </c>
      <c r="H749">
        <v>0</v>
      </c>
      <c r="I749">
        <v>0</v>
      </c>
      <c r="J749">
        <v>0</v>
      </c>
      <c r="K749">
        <v>1</v>
      </c>
      <c r="L749">
        <v>200000000</v>
      </c>
      <c r="M749">
        <v>190</v>
      </c>
      <c r="N749">
        <v>190</v>
      </c>
      <c r="O749">
        <v>190</v>
      </c>
      <c r="P749">
        <v>0</v>
      </c>
      <c r="Q749" t="s">
        <v>61</v>
      </c>
      <c r="R749">
        <v>9999727867293240</v>
      </c>
      <c r="S749">
        <v>100000000</v>
      </c>
      <c r="T749">
        <v>9999727867293240</v>
      </c>
      <c r="U749">
        <v>100000000</v>
      </c>
      <c r="V749" t="s">
        <v>71</v>
      </c>
      <c r="W749">
        <v>32</v>
      </c>
      <c r="X749">
        <v>57145008</v>
      </c>
      <c r="Y749">
        <v>42854993</v>
      </c>
      <c r="Z749">
        <v>100000001</v>
      </c>
      <c r="AA749">
        <v>100000000</v>
      </c>
      <c r="AB749">
        <v>1.74993</v>
      </c>
      <c r="AC749">
        <v>2.33345</v>
      </c>
      <c r="AD749">
        <v>2</v>
      </c>
      <c r="AE749">
        <v>26.031700000000001</v>
      </c>
      <c r="AF749">
        <v>5600000056</v>
      </c>
      <c r="AJ749" t="s">
        <v>1410</v>
      </c>
      <c r="AM749">
        <v>2261764953</v>
      </c>
      <c r="AN749">
        <v>0</v>
      </c>
      <c r="AO749">
        <v>0</v>
      </c>
      <c r="AP749">
        <v>2261764953</v>
      </c>
      <c r="AQ749">
        <v>2261764953</v>
      </c>
      <c r="AR749">
        <v>70680154</v>
      </c>
      <c r="AS749">
        <v>0</v>
      </c>
      <c r="AT749">
        <v>0</v>
      </c>
      <c r="AU749">
        <v>70680154</v>
      </c>
      <c r="AV749">
        <v>70680154</v>
      </c>
      <c r="AW749">
        <v>40.950000000000003</v>
      </c>
      <c r="AX749">
        <v>20.058499999999999</v>
      </c>
      <c r="AY749">
        <v>7481.99</v>
      </c>
      <c r="AZ749">
        <v>6006.84</v>
      </c>
      <c r="BA749">
        <v>7576</v>
      </c>
      <c r="BB749">
        <v>2769</v>
      </c>
      <c r="BC749" t="str">
        <f t="shared" si="24"/>
        <v>u=0%, k=2x10^8</v>
      </c>
      <c r="BD749">
        <f t="shared" si="25"/>
        <v>32</v>
      </c>
    </row>
    <row r="750" spans="1:56">
      <c r="A750" t="s">
        <v>1411</v>
      </c>
      <c r="B750" t="s">
        <v>105</v>
      </c>
      <c r="D750" t="s">
        <v>64</v>
      </c>
      <c r="E750" t="s">
        <v>59</v>
      </c>
      <c r="F750" t="s">
        <v>60</v>
      </c>
      <c r="G750">
        <v>64000</v>
      </c>
      <c r="H750">
        <v>0</v>
      </c>
      <c r="I750">
        <v>0</v>
      </c>
      <c r="J750">
        <v>0</v>
      </c>
      <c r="K750">
        <v>1</v>
      </c>
      <c r="L750">
        <v>200000000</v>
      </c>
      <c r="M750">
        <v>190</v>
      </c>
      <c r="N750">
        <v>190</v>
      </c>
      <c r="O750">
        <v>190</v>
      </c>
      <c r="P750">
        <v>0</v>
      </c>
      <c r="Q750" t="s">
        <v>61</v>
      </c>
      <c r="R750">
        <v>9999839974766910</v>
      </c>
      <c r="S750">
        <v>100000000</v>
      </c>
      <c r="T750">
        <v>9999839974766910</v>
      </c>
      <c r="U750">
        <v>100000000</v>
      </c>
      <c r="V750" t="s">
        <v>71</v>
      </c>
      <c r="W750">
        <v>33</v>
      </c>
      <c r="X750">
        <v>57144286</v>
      </c>
      <c r="Y750">
        <v>42855715</v>
      </c>
      <c r="Z750">
        <v>100000001</v>
      </c>
      <c r="AA750">
        <v>100000000</v>
      </c>
      <c r="AB750">
        <v>1.74996</v>
      </c>
      <c r="AC750">
        <v>2.3334100000000002</v>
      </c>
      <c r="AD750">
        <v>2</v>
      </c>
      <c r="AE750">
        <v>26.068300000000001</v>
      </c>
      <c r="AF750">
        <v>5600000056</v>
      </c>
      <c r="AJ750" t="s">
        <v>1412</v>
      </c>
      <c r="AM750">
        <v>4546253651</v>
      </c>
      <c r="AN750">
        <v>0</v>
      </c>
      <c r="AO750">
        <v>0</v>
      </c>
      <c r="AP750">
        <v>4546253651</v>
      </c>
      <c r="AQ750">
        <v>4546253651</v>
      </c>
      <c r="AR750">
        <v>71035213</v>
      </c>
      <c r="AS750">
        <v>0</v>
      </c>
      <c r="AT750">
        <v>0</v>
      </c>
      <c r="AU750">
        <v>71035213</v>
      </c>
      <c r="AV750">
        <v>71035213</v>
      </c>
      <c r="AW750">
        <v>41.1252</v>
      </c>
      <c r="AX750">
        <v>20.224699999999999</v>
      </c>
      <c r="AY750">
        <v>7444.56</v>
      </c>
      <c r="AZ750">
        <v>5968.11</v>
      </c>
      <c r="BA750">
        <v>7576</v>
      </c>
      <c r="BB750">
        <v>2754</v>
      </c>
      <c r="BC750" t="str">
        <f t="shared" si="24"/>
        <v>u=0%, k=2x10^8</v>
      </c>
      <c r="BD750">
        <f t="shared" si="25"/>
        <v>64</v>
      </c>
    </row>
    <row r="751" spans="1:56">
      <c r="A751" t="s">
        <v>1413</v>
      </c>
      <c r="B751" t="s">
        <v>305</v>
      </c>
      <c r="D751" t="s">
        <v>64</v>
      </c>
      <c r="E751" t="s">
        <v>59</v>
      </c>
      <c r="F751" t="s">
        <v>60</v>
      </c>
      <c r="G751">
        <v>1000</v>
      </c>
      <c r="H751">
        <v>0</v>
      </c>
      <c r="I751">
        <v>0</v>
      </c>
      <c r="J751">
        <v>0</v>
      </c>
      <c r="K751">
        <v>1</v>
      </c>
      <c r="L751">
        <v>200000000</v>
      </c>
      <c r="M751">
        <v>190</v>
      </c>
      <c r="N751">
        <v>190</v>
      </c>
      <c r="O751">
        <v>190</v>
      </c>
      <c r="P751">
        <v>0</v>
      </c>
      <c r="Q751" t="s">
        <v>61</v>
      </c>
      <c r="R751">
        <v>9999676750842670</v>
      </c>
      <c r="S751">
        <v>100000000</v>
      </c>
      <c r="T751">
        <v>9999676750842670</v>
      </c>
      <c r="U751">
        <v>100000000</v>
      </c>
      <c r="V751" t="s">
        <v>71</v>
      </c>
      <c r="W751">
        <v>70</v>
      </c>
      <c r="X751">
        <v>99999999</v>
      </c>
      <c r="Y751">
        <v>100000000</v>
      </c>
      <c r="Z751">
        <v>199999999</v>
      </c>
      <c r="AA751">
        <v>100000000</v>
      </c>
      <c r="AB751">
        <v>2</v>
      </c>
      <c r="AC751">
        <v>1</v>
      </c>
      <c r="AD751">
        <v>1.5</v>
      </c>
      <c r="AE751">
        <v>35.641500000000001</v>
      </c>
      <c r="AF751">
        <v>6399999968</v>
      </c>
      <c r="AJ751" t="s">
        <v>1414</v>
      </c>
      <c r="AM751">
        <v>58625304</v>
      </c>
      <c r="AN751">
        <v>0</v>
      </c>
      <c r="AO751">
        <v>0</v>
      </c>
      <c r="AP751">
        <v>58625304</v>
      </c>
      <c r="AQ751">
        <v>58625304</v>
      </c>
      <c r="AR751">
        <v>58625304</v>
      </c>
      <c r="AS751">
        <v>0</v>
      </c>
      <c r="AT751">
        <v>0</v>
      </c>
      <c r="AU751">
        <v>58625304</v>
      </c>
      <c r="AV751">
        <v>58625304</v>
      </c>
      <c r="AW751">
        <v>38.059899999999999</v>
      </c>
      <c r="AX751">
        <v>18.7761</v>
      </c>
      <c r="AY751">
        <v>9022.9699999999993</v>
      </c>
      <c r="AZ751">
        <v>7902.66</v>
      </c>
      <c r="BA751">
        <v>7574</v>
      </c>
      <c r="BB751">
        <v>2822</v>
      </c>
      <c r="BC751" t="str">
        <f t="shared" si="24"/>
        <v>u=0%, k=2x10^8</v>
      </c>
      <c r="BD751">
        <f t="shared" si="25"/>
        <v>1</v>
      </c>
    </row>
    <row r="752" spans="1:56">
      <c r="A752" t="s">
        <v>1415</v>
      </c>
      <c r="B752" t="s">
        <v>305</v>
      </c>
      <c r="D752" t="s">
        <v>64</v>
      </c>
      <c r="E752" t="s">
        <v>59</v>
      </c>
      <c r="F752" t="s">
        <v>60</v>
      </c>
      <c r="G752">
        <v>2000</v>
      </c>
      <c r="H752">
        <v>0</v>
      </c>
      <c r="I752">
        <v>0</v>
      </c>
      <c r="J752">
        <v>0</v>
      </c>
      <c r="K752">
        <v>1</v>
      </c>
      <c r="L752">
        <v>200000000</v>
      </c>
      <c r="M752">
        <v>190</v>
      </c>
      <c r="N752">
        <v>190</v>
      </c>
      <c r="O752">
        <v>190</v>
      </c>
      <c r="P752">
        <v>0</v>
      </c>
      <c r="Q752" t="s">
        <v>61</v>
      </c>
      <c r="R752">
        <v>1.00003700350985E+16</v>
      </c>
      <c r="S752">
        <v>100000000</v>
      </c>
      <c r="T752">
        <v>1.00003700350985E+16</v>
      </c>
      <c r="U752">
        <v>100000000</v>
      </c>
      <c r="V752" t="s">
        <v>71</v>
      </c>
      <c r="W752">
        <v>68</v>
      </c>
      <c r="X752">
        <v>99999999</v>
      </c>
      <c r="Y752">
        <v>100000000</v>
      </c>
      <c r="Z752">
        <v>199999999</v>
      </c>
      <c r="AA752">
        <v>100000000</v>
      </c>
      <c r="AB752">
        <v>2</v>
      </c>
      <c r="AC752">
        <v>1</v>
      </c>
      <c r="AD752">
        <v>1.5</v>
      </c>
      <c r="AE752">
        <v>35.705300000000001</v>
      </c>
      <c r="AF752">
        <v>6399999968</v>
      </c>
      <c r="AJ752" t="s">
        <v>1416</v>
      </c>
      <c r="AM752">
        <v>116814848</v>
      </c>
      <c r="AN752">
        <v>0</v>
      </c>
      <c r="AO752">
        <v>0</v>
      </c>
      <c r="AP752">
        <v>116814848</v>
      </c>
      <c r="AQ752">
        <v>116814848</v>
      </c>
      <c r="AR752">
        <v>58407424</v>
      </c>
      <c r="AS752">
        <v>0</v>
      </c>
      <c r="AT752">
        <v>0</v>
      </c>
      <c r="AU752">
        <v>58407424</v>
      </c>
      <c r="AV752">
        <v>58407424</v>
      </c>
      <c r="AW752">
        <v>38.094200000000001</v>
      </c>
      <c r="AX752">
        <v>18.848400000000002</v>
      </c>
      <c r="AY752">
        <v>9059.2199999999993</v>
      </c>
      <c r="AZ752">
        <v>7921.06</v>
      </c>
      <c r="BA752">
        <v>7573</v>
      </c>
      <c r="BB752">
        <v>2845</v>
      </c>
      <c r="BC752" t="str">
        <f t="shared" si="24"/>
        <v>u=0%, k=2x10^8</v>
      </c>
      <c r="BD752">
        <f t="shared" si="25"/>
        <v>2</v>
      </c>
    </row>
    <row r="753" spans="1:56">
      <c r="A753" t="s">
        <v>1417</v>
      </c>
      <c r="B753" t="s">
        <v>305</v>
      </c>
      <c r="D753" t="s">
        <v>64</v>
      </c>
      <c r="E753" t="s">
        <v>59</v>
      </c>
      <c r="F753" t="s">
        <v>60</v>
      </c>
      <c r="G753">
        <v>4000</v>
      </c>
      <c r="H753">
        <v>0</v>
      </c>
      <c r="I753">
        <v>0</v>
      </c>
      <c r="J753">
        <v>0</v>
      </c>
      <c r="K753">
        <v>1</v>
      </c>
      <c r="L753">
        <v>200000000</v>
      </c>
      <c r="M753">
        <v>190</v>
      </c>
      <c r="N753">
        <v>190</v>
      </c>
      <c r="O753">
        <v>190</v>
      </c>
      <c r="P753">
        <v>0</v>
      </c>
      <c r="Q753" t="s">
        <v>61</v>
      </c>
      <c r="R753">
        <v>1.00002715103093E+16</v>
      </c>
      <c r="S753">
        <v>100000000</v>
      </c>
      <c r="T753">
        <v>1.00002715103093E+16</v>
      </c>
      <c r="U753">
        <v>100000000</v>
      </c>
      <c r="V753" t="s">
        <v>71</v>
      </c>
      <c r="W753">
        <v>70</v>
      </c>
      <c r="X753">
        <v>99999999</v>
      </c>
      <c r="Y753">
        <v>100000000</v>
      </c>
      <c r="Z753">
        <v>199999999</v>
      </c>
      <c r="AA753">
        <v>100000000</v>
      </c>
      <c r="AB753">
        <v>2</v>
      </c>
      <c r="AC753">
        <v>1</v>
      </c>
      <c r="AD753">
        <v>1.5</v>
      </c>
      <c r="AE753">
        <v>36.396000000000001</v>
      </c>
      <c r="AF753">
        <v>6399999968</v>
      </c>
      <c r="AJ753" t="s">
        <v>1418</v>
      </c>
      <c r="AM753">
        <v>233875679</v>
      </c>
      <c r="AN753">
        <v>0</v>
      </c>
      <c r="AO753">
        <v>0</v>
      </c>
      <c r="AP753">
        <v>233875679</v>
      </c>
      <c r="AQ753">
        <v>233875679</v>
      </c>
      <c r="AR753">
        <v>58468919</v>
      </c>
      <c r="AS753">
        <v>0</v>
      </c>
      <c r="AT753">
        <v>0</v>
      </c>
      <c r="AU753">
        <v>58468919</v>
      </c>
      <c r="AV753">
        <v>58468919</v>
      </c>
      <c r="AW753">
        <v>38.249099999999999</v>
      </c>
      <c r="AX753">
        <v>18.918199999999999</v>
      </c>
      <c r="AY753">
        <v>9048.8700000000008</v>
      </c>
      <c r="AZ753">
        <v>7900.42</v>
      </c>
      <c r="BA753">
        <v>7575</v>
      </c>
      <c r="BB753">
        <v>2849</v>
      </c>
      <c r="BC753" t="str">
        <f t="shared" si="24"/>
        <v>u=0%, k=2x10^8</v>
      </c>
      <c r="BD753">
        <f t="shared" si="25"/>
        <v>4</v>
      </c>
    </row>
    <row r="754" spans="1:56">
      <c r="A754" t="s">
        <v>1419</v>
      </c>
      <c r="B754" t="s">
        <v>305</v>
      </c>
      <c r="D754" t="s">
        <v>64</v>
      </c>
      <c r="E754" t="s">
        <v>59</v>
      </c>
      <c r="F754" t="s">
        <v>60</v>
      </c>
      <c r="G754">
        <v>8000</v>
      </c>
      <c r="H754">
        <v>0</v>
      </c>
      <c r="I754">
        <v>0</v>
      </c>
      <c r="J754">
        <v>0</v>
      </c>
      <c r="K754">
        <v>1</v>
      </c>
      <c r="L754">
        <v>200000000</v>
      </c>
      <c r="M754">
        <v>190</v>
      </c>
      <c r="N754">
        <v>190</v>
      </c>
      <c r="O754">
        <v>190</v>
      </c>
      <c r="P754">
        <v>0</v>
      </c>
      <c r="Q754" t="s">
        <v>61</v>
      </c>
      <c r="R754">
        <v>1.00001006489179E+16</v>
      </c>
      <c r="S754">
        <v>100000000</v>
      </c>
      <c r="T754">
        <v>1.00001006489179E+16</v>
      </c>
      <c r="U754">
        <v>100000000</v>
      </c>
      <c r="V754" t="s">
        <v>71</v>
      </c>
      <c r="W754">
        <v>75</v>
      </c>
      <c r="X754">
        <v>99999999</v>
      </c>
      <c r="Y754">
        <v>100000000</v>
      </c>
      <c r="Z754">
        <v>199999999</v>
      </c>
      <c r="AA754">
        <v>100000000</v>
      </c>
      <c r="AB754">
        <v>2</v>
      </c>
      <c r="AC754">
        <v>1</v>
      </c>
      <c r="AD754">
        <v>1.5</v>
      </c>
      <c r="AE754">
        <v>37.104300000000002</v>
      </c>
      <c r="AF754">
        <v>6399999968</v>
      </c>
      <c r="AJ754" t="s">
        <v>1420</v>
      </c>
      <c r="AM754">
        <v>470250150</v>
      </c>
      <c r="AN754">
        <v>0</v>
      </c>
      <c r="AO754">
        <v>0</v>
      </c>
      <c r="AP754">
        <v>470250150</v>
      </c>
      <c r="AQ754">
        <v>470250150</v>
      </c>
      <c r="AR754">
        <v>58781268</v>
      </c>
      <c r="AS754">
        <v>0</v>
      </c>
      <c r="AT754">
        <v>0</v>
      </c>
      <c r="AU754">
        <v>58781268</v>
      </c>
      <c r="AV754">
        <v>58781268</v>
      </c>
      <c r="AW754">
        <v>38.136200000000002</v>
      </c>
      <c r="AX754">
        <v>19.009499999999999</v>
      </c>
      <c r="AY754">
        <v>9002.1299999999992</v>
      </c>
      <c r="AZ754">
        <v>7846.57</v>
      </c>
      <c r="BA754">
        <v>7573</v>
      </c>
      <c r="BB754">
        <v>2854</v>
      </c>
      <c r="BC754" t="str">
        <f t="shared" si="24"/>
        <v>u=0%, k=2x10^8</v>
      </c>
      <c r="BD754">
        <f t="shared" si="25"/>
        <v>8</v>
      </c>
    </row>
    <row r="755" spans="1:56">
      <c r="A755" t="s">
        <v>1421</v>
      </c>
      <c r="B755" t="s">
        <v>305</v>
      </c>
      <c r="D755" t="s">
        <v>64</v>
      </c>
      <c r="E755" t="s">
        <v>59</v>
      </c>
      <c r="F755" t="s">
        <v>60</v>
      </c>
      <c r="G755">
        <v>16000</v>
      </c>
      <c r="H755">
        <v>0</v>
      </c>
      <c r="I755">
        <v>0</v>
      </c>
      <c r="J755">
        <v>0</v>
      </c>
      <c r="K755">
        <v>1</v>
      </c>
      <c r="L755">
        <v>200000000</v>
      </c>
      <c r="M755">
        <v>190</v>
      </c>
      <c r="N755">
        <v>190</v>
      </c>
      <c r="O755">
        <v>190</v>
      </c>
      <c r="P755">
        <v>0</v>
      </c>
      <c r="Q755" t="s">
        <v>61</v>
      </c>
      <c r="R755">
        <v>9999593459788070</v>
      </c>
      <c r="S755">
        <v>100000000</v>
      </c>
      <c r="T755">
        <v>9999593459788070</v>
      </c>
      <c r="U755">
        <v>100000000</v>
      </c>
      <c r="V755" t="s">
        <v>71</v>
      </c>
      <c r="W755">
        <v>69</v>
      </c>
      <c r="X755">
        <v>99999999</v>
      </c>
      <c r="Y755">
        <v>100000000</v>
      </c>
      <c r="Z755">
        <v>199999999</v>
      </c>
      <c r="AA755">
        <v>100000000</v>
      </c>
      <c r="AB755">
        <v>2</v>
      </c>
      <c r="AC755">
        <v>1</v>
      </c>
      <c r="AD755">
        <v>1.5</v>
      </c>
      <c r="AE755">
        <v>37.009900000000002</v>
      </c>
      <c r="AF755">
        <v>6399999968</v>
      </c>
      <c r="AJ755" t="s">
        <v>1422</v>
      </c>
      <c r="AM755">
        <v>946708433</v>
      </c>
      <c r="AN755">
        <v>0</v>
      </c>
      <c r="AO755">
        <v>0</v>
      </c>
      <c r="AP755">
        <v>946708433</v>
      </c>
      <c r="AQ755">
        <v>946708433</v>
      </c>
      <c r="AR755">
        <v>59169277</v>
      </c>
      <c r="AS755">
        <v>0</v>
      </c>
      <c r="AT755">
        <v>0</v>
      </c>
      <c r="AU755">
        <v>59169277</v>
      </c>
      <c r="AV755">
        <v>59169277</v>
      </c>
      <c r="AW755">
        <v>38.2102</v>
      </c>
      <c r="AX755">
        <v>19.164999999999999</v>
      </c>
      <c r="AY755">
        <v>8942.5400000000009</v>
      </c>
      <c r="AZ755">
        <v>7788</v>
      </c>
      <c r="BA755">
        <v>7575</v>
      </c>
      <c r="BB755">
        <v>2865</v>
      </c>
      <c r="BC755" t="str">
        <f t="shared" si="24"/>
        <v>u=0%, k=2x10^8</v>
      </c>
      <c r="BD755">
        <f t="shared" si="25"/>
        <v>16</v>
      </c>
    </row>
    <row r="756" spans="1:56">
      <c r="A756" t="s">
        <v>1423</v>
      </c>
      <c r="B756" t="s">
        <v>305</v>
      </c>
      <c r="D756" t="s">
        <v>64</v>
      </c>
      <c r="E756" t="s">
        <v>59</v>
      </c>
      <c r="F756" t="s">
        <v>60</v>
      </c>
      <c r="G756">
        <v>32000</v>
      </c>
      <c r="H756">
        <v>0</v>
      </c>
      <c r="I756">
        <v>0</v>
      </c>
      <c r="J756">
        <v>0</v>
      </c>
      <c r="K756">
        <v>1</v>
      </c>
      <c r="L756">
        <v>200000000</v>
      </c>
      <c r="M756">
        <v>190</v>
      </c>
      <c r="N756">
        <v>190</v>
      </c>
      <c r="O756">
        <v>190</v>
      </c>
      <c r="P756">
        <v>0</v>
      </c>
      <c r="Q756" t="s">
        <v>61</v>
      </c>
      <c r="R756">
        <v>9999113010362260</v>
      </c>
      <c r="S756">
        <v>100000000</v>
      </c>
      <c r="T756">
        <v>9999113010362260</v>
      </c>
      <c r="U756">
        <v>100000000</v>
      </c>
      <c r="V756" t="s">
        <v>71</v>
      </c>
      <c r="W756">
        <v>77</v>
      </c>
      <c r="X756">
        <v>99999999</v>
      </c>
      <c r="Y756">
        <v>100000000</v>
      </c>
      <c r="Z756">
        <v>199999999</v>
      </c>
      <c r="AA756">
        <v>100000000</v>
      </c>
      <c r="AB756">
        <v>2</v>
      </c>
      <c r="AC756">
        <v>1</v>
      </c>
      <c r="AD756">
        <v>1.5</v>
      </c>
      <c r="AE756">
        <v>37.1006</v>
      </c>
      <c r="AF756">
        <v>6399999968</v>
      </c>
      <c r="AJ756" t="s">
        <v>1424</v>
      </c>
      <c r="AM756">
        <v>1905272029</v>
      </c>
      <c r="AN756">
        <v>0</v>
      </c>
      <c r="AO756">
        <v>0</v>
      </c>
      <c r="AP756">
        <v>1905272029</v>
      </c>
      <c r="AQ756">
        <v>1905272029</v>
      </c>
      <c r="AR756">
        <v>59539750</v>
      </c>
      <c r="AS756">
        <v>0</v>
      </c>
      <c r="AT756">
        <v>0</v>
      </c>
      <c r="AU756">
        <v>59539750</v>
      </c>
      <c r="AV756">
        <v>59539750</v>
      </c>
      <c r="AW756">
        <v>38.166699999999999</v>
      </c>
      <c r="AX756">
        <v>19.313800000000001</v>
      </c>
      <c r="AY756">
        <v>8886.09</v>
      </c>
      <c r="AZ756">
        <v>7731.26</v>
      </c>
      <c r="BA756">
        <v>7576</v>
      </c>
      <c r="BB756">
        <v>2874</v>
      </c>
      <c r="BC756" t="str">
        <f t="shared" si="24"/>
        <v>u=0%, k=2x10^8</v>
      </c>
      <c r="BD756">
        <f t="shared" si="25"/>
        <v>32</v>
      </c>
    </row>
    <row r="757" spans="1:56">
      <c r="A757" t="s">
        <v>1425</v>
      </c>
      <c r="B757" t="s">
        <v>305</v>
      </c>
      <c r="D757" t="s">
        <v>64</v>
      </c>
      <c r="E757" t="s">
        <v>59</v>
      </c>
      <c r="F757" t="s">
        <v>60</v>
      </c>
      <c r="G757">
        <v>64000</v>
      </c>
      <c r="H757">
        <v>0</v>
      </c>
      <c r="I757">
        <v>0</v>
      </c>
      <c r="J757">
        <v>0</v>
      </c>
      <c r="K757">
        <v>1</v>
      </c>
      <c r="L757">
        <v>200000000</v>
      </c>
      <c r="M757">
        <v>190</v>
      </c>
      <c r="N757">
        <v>190</v>
      </c>
      <c r="O757">
        <v>190</v>
      </c>
      <c r="P757">
        <v>0</v>
      </c>
      <c r="Q757" t="s">
        <v>61</v>
      </c>
      <c r="R757">
        <v>9999448117701530</v>
      </c>
      <c r="S757">
        <v>100000000</v>
      </c>
      <c r="T757">
        <v>9999448117701530</v>
      </c>
      <c r="U757">
        <v>100000000</v>
      </c>
      <c r="V757" t="s">
        <v>71</v>
      </c>
      <c r="W757">
        <v>71</v>
      </c>
      <c r="X757">
        <v>99999999</v>
      </c>
      <c r="Y757">
        <v>100000000</v>
      </c>
      <c r="Z757">
        <v>199999999</v>
      </c>
      <c r="AA757">
        <v>100000000</v>
      </c>
      <c r="AB757">
        <v>2</v>
      </c>
      <c r="AC757">
        <v>1</v>
      </c>
      <c r="AD757">
        <v>1.5</v>
      </c>
      <c r="AE757">
        <v>35.401499999999999</v>
      </c>
      <c r="AF757">
        <v>6399999968</v>
      </c>
      <c r="AJ757" t="s">
        <v>1426</v>
      </c>
      <c r="AM757">
        <v>3849371850</v>
      </c>
      <c r="AN757">
        <v>0</v>
      </c>
      <c r="AO757">
        <v>0</v>
      </c>
      <c r="AP757">
        <v>3849371850</v>
      </c>
      <c r="AQ757">
        <v>3849371850</v>
      </c>
      <c r="AR757">
        <v>60146435</v>
      </c>
      <c r="AS757">
        <v>0</v>
      </c>
      <c r="AT757">
        <v>0</v>
      </c>
      <c r="AU757">
        <v>60146435</v>
      </c>
      <c r="AV757">
        <v>60146435</v>
      </c>
      <c r="AW757">
        <v>38.262900000000002</v>
      </c>
      <c r="AX757">
        <v>19.480899999999998</v>
      </c>
      <c r="AY757">
        <v>8796.23</v>
      </c>
      <c r="AZ757">
        <v>7649.42</v>
      </c>
      <c r="BA757">
        <v>7576</v>
      </c>
      <c r="BB757">
        <v>2853</v>
      </c>
      <c r="BC757" t="str">
        <f t="shared" si="24"/>
        <v>u=0%, k=2x10^8</v>
      </c>
      <c r="BD757">
        <f t="shared" si="25"/>
        <v>64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66"/>
  <sheetViews>
    <sheetView tabSelected="1" zoomScale="80" zoomScaleNormal="80" workbookViewId="0"/>
  </sheetViews>
  <sheetFormatPr defaultRowHeight="14.6"/>
  <cols>
    <col min="1" max="1" width="7.53515625" customWidth="1"/>
    <col min="2" max="2" width="15.23046875" customWidth="1"/>
    <col min="3" max="8" width="11.23046875" customWidth="1"/>
    <col min="9" max="9" width="9.23046875"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65</v>
      </c>
      <c r="B2" t="s">
        <v>1429</v>
      </c>
      <c r="C2" t="str">
        <f>B2&amp;", 190 threads"</f>
        <v>u=0%, k=2x10^6, 190 threads</v>
      </c>
      <c r="Z2" s="2" t="s">
        <v>0</v>
      </c>
      <c r="AA2" t="s">
        <v>66</v>
      </c>
    </row>
    <row r="3" spans="1:27">
      <c r="Z3" s="2" t="s">
        <v>1432</v>
      </c>
      <c r="AA3" t="s">
        <v>1434</v>
      </c>
    </row>
    <row r="4" spans="1:27">
      <c r="A4" s="6" t="s">
        <v>62</v>
      </c>
      <c r="B4" s="6" t="s">
        <v>285</v>
      </c>
      <c r="Z4" s="2" t="s">
        <v>1433</v>
      </c>
      <c r="AA4" t="s">
        <v>1435</v>
      </c>
    </row>
    <row r="5" spans="1:27">
      <c r="A5" s="6" t="s">
        <v>18</v>
      </c>
      <c r="B5">
        <v>1</v>
      </c>
      <c r="C5">
        <v>2</v>
      </c>
      <c r="D5">
        <v>4</v>
      </c>
      <c r="E5">
        <v>8</v>
      </c>
      <c r="F5">
        <v>16</v>
      </c>
      <c r="G5">
        <v>32</v>
      </c>
      <c r="H5">
        <v>64</v>
      </c>
      <c r="Z5" s="2"/>
    </row>
    <row r="6" spans="1:27">
      <c r="A6" s="7" t="s">
        <v>1428</v>
      </c>
      <c r="B6" s="8">
        <v>215761566.5</v>
      </c>
      <c r="C6" s="8">
        <v>215766800</v>
      </c>
      <c r="D6" s="8">
        <v>216229204.5</v>
      </c>
      <c r="E6" s="8">
        <v>216227868</v>
      </c>
      <c r="F6" s="8">
        <v>217160404</v>
      </c>
      <c r="G6" s="8">
        <v>215732022</v>
      </c>
      <c r="H6" s="8">
        <v>216431920</v>
      </c>
      <c r="N6" s="2"/>
    </row>
    <row r="7" spans="1:27">
      <c r="A7" s="7" t="s">
        <v>284</v>
      </c>
      <c r="B7" s="8">
        <v>232443336</v>
      </c>
      <c r="C7" s="8">
        <v>227492689</v>
      </c>
      <c r="D7" s="8">
        <v>224223477</v>
      </c>
      <c r="E7" s="8">
        <v>221849999</v>
      </c>
      <c r="F7" s="8">
        <v>219312386.5</v>
      </c>
      <c r="G7" s="8">
        <v>220366255</v>
      </c>
      <c r="H7" s="8">
        <v>219897994</v>
      </c>
    </row>
    <row r="8" spans="1:27">
      <c r="A8" s="7" t="s">
        <v>1427</v>
      </c>
      <c r="B8" s="8">
        <v>429709475.5</v>
      </c>
      <c r="C8" s="8">
        <v>422335010</v>
      </c>
      <c r="D8" s="8">
        <v>414915103.5</v>
      </c>
      <c r="E8" s="8">
        <v>411851895</v>
      </c>
      <c r="F8" s="8">
        <v>410302075</v>
      </c>
      <c r="G8" s="8">
        <v>410553291</v>
      </c>
      <c r="H8" s="8">
        <v>408618600.5</v>
      </c>
      <c r="N8" s="2"/>
    </row>
    <row r="9" spans="1:27">
      <c r="A9" s="7" t="s">
        <v>283</v>
      </c>
      <c r="B9" s="8">
        <v>499779951</v>
      </c>
      <c r="C9" s="8">
        <v>509218355</v>
      </c>
      <c r="D9" s="8">
        <v>494739098.5</v>
      </c>
      <c r="E9" s="8">
        <v>492833115</v>
      </c>
      <c r="F9" s="8">
        <v>487583204</v>
      </c>
      <c r="G9" s="8">
        <v>483454275.5</v>
      </c>
      <c r="H9" s="8">
        <v>487025320.5</v>
      </c>
    </row>
    <row r="13" spans="1:27">
      <c r="O13" s="3"/>
    </row>
    <row r="14" spans="1:27">
      <c r="Z14" s="2"/>
    </row>
    <row r="21" spans="2:6">
      <c r="C21" s="8"/>
      <c r="D21" s="8"/>
      <c r="E21" s="8"/>
      <c r="F21" s="8"/>
    </row>
    <row r="22" spans="2:6">
      <c r="C22" s="8"/>
      <c r="D22" s="8"/>
      <c r="E22" s="8"/>
      <c r="F22" s="8"/>
    </row>
    <row r="23" spans="2:6">
      <c r="B23" s="8"/>
      <c r="C23" s="8"/>
      <c r="D23" s="8"/>
      <c r="E23" s="8"/>
      <c r="F23" s="8"/>
    </row>
    <row r="24" spans="2:6">
      <c r="B24" s="8"/>
      <c r="C24" s="8"/>
      <c r="D24" s="8"/>
      <c r="E24" s="8"/>
      <c r="F24" s="8"/>
    </row>
    <row r="25" spans="2:6">
      <c r="B25" s="8"/>
      <c r="C25" s="8"/>
      <c r="D25" s="8"/>
      <c r="E25" s="8"/>
      <c r="F25" s="8"/>
    </row>
    <row r="26" spans="2:6">
      <c r="B26" s="8"/>
      <c r="C26" s="8"/>
    </row>
    <row r="27" spans="2:6">
      <c r="B27" s="8"/>
      <c r="C27" s="8"/>
    </row>
    <row r="28" spans="2:6">
      <c r="B28" s="8"/>
      <c r="C28" s="8"/>
    </row>
    <row r="29" spans="2:6">
      <c r="B29" s="8"/>
      <c r="C29" s="8"/>
    </row>
    <row r="30" spans="2:6">
      <c r="B30" s="8"/>
      <c r="C30" s="8"/>
    </row>
    <row r="31" spans="2:6">
      <c r="B31" s="8"/>
      <c r="C31" s="8"/>
    </row>
    <row r="32" spans="2:6">
      <c r="B32" s="8"/>
      <c r="C32" s="8"/>
    </row>
    <row r="33" spans="1:29">
      <c r="B33" s="8"/>
      <c r="C33" s="8"/>
    </row>
    <row r="34" spans="1:29">
      <c r="B34" s="8"/>
      <c r="C34" s="8"/>
    </row>
    <row r="35" spans="1:29">
      <c r="B35" s="8"/>
      <c r="C35" s="8"/>
    </row>
    <row r="36" spans="1:29">
      <c r="B36" s="8"/>
      <c r="C36" s="8"/>
    </row>
    <row r="37" spans="1:29">
      <c r="B37" s="8"/>
      <c r="C37" s="8"/>
    </row>
    <row r="38" spans="1:29">
      <c r="B38" s="8"/>
      <c r="C38" s="8"/>
    </row>
    <row r="48" spans="1:29">
      <c r="A48" s="1"/>
      <c r="AC48" s="1"/>
    </row>
    <row r="50" spans="1:36">
      <c r="A50" s="6" t="s">
        <v>65</v>
      </c>
      <c r="B50" t="s">
        <v>1429</v>
      </c>
      <c r="C50" t="str">
        <f>B50&amp;", 190 threads"</f>
        <v>u=0%, k=2x10^6, 190 threads</v>
      </c>
      <c r="AC50" s="6" t="s">
        <v>65</v>
      </c>
      <c r="AD50" t="s">
        <v>1429</v>
      </c>
      <c r="AE50" t="str">
        <f>AD50&amp;", 190 threads"</f>
        <v>u=0%, k=2x10^6, 190 threads</v>
      </c>
    </row>
    <row r="52" spans="1:36">
      <c r="A52" s="9" t="s">
        <v>1430</v>
      </c>
      <c r="B52" s="6" t="s">
        <v>285</v>
      </c>
      <c r="AC52" s="6" t="s">
        <v>1431</v>
      </c>
      <c r="AD52" s="6" t="s">
        <v>285</v>
      </c>
    </row>
    <row r="53" spans="1:36">
      <c r="A53" s="6" t="s">
        <v>18</v>
      </c>
      <c r="B53">
        <v>1</v>
      </c>
      <c r="C53">
        <v>2</v>
      </c>
      <c r="D53">
        <v>4</v>
      </c>
      <c r="E53">
        <v>8</v>
      </c>
      <c r="F53">
        <v>16</v>
      </c>
      <c r="G53">
        <v>32</v>
      </c>
      <c r="H53">
        <v>64</v>
      </c>
      <c r="AC53" s="6" t="s">
        <v>18</v>
      </c>
      <c r="AD53">
        <v>1</v>
      </c>
      <c r="AE53">
        <v>2</v>
      </c>
      <c r="AF53">
        <v>4</v>
      </c>
      <c r="AG53">
        <v>8</v>
      </c>
      <c r="AH53">
        <v>16</v>
      </c>
      <c r="AI53">
        <v>32</v>
      </c>
      <c r="AJ53">
        <v>64</v>
      </c>
    </row>
    <row r="54" spans="1:36">
      <c r="A54" s="7" t="s">
        <v>1428</v>
      </c>
      <c r="B54" s="8">
        <v>214949086</v>
      </c>
      <c r="C54" s="8">
        <v>215074626</v>
      </c>
      <c r="D54" s="8">
        <v>215074212</v>
      </c>
      <c r="E54" s="8">
        <v>215995266</v>
      </c>
      <c r="F54" s="8">
        <v>215914356</v>
      </c>
      <c r="G54" s="8">
        <v>215173116</v>
      </c>
      <c r="H54" s="8">
        <v>216021393</v>
      </c>
      <c r="AC54" s="7" t="s">
        <v>1428</v>
      </c>
      <c r="AD54" s="8">
        <v>216574047</v>
      </c>
      <c r="AE54" s="8">
        <v>216458974</v>
      </c>
      <c r="AF54" s="8">
        <v>217384197</v>
      </c>
      <c r="AG54" s="8">
        <v>216460470</v>
      </c>
      <c r="AH54" s="8">
        <v>218406452</v>
      </c>
      <c r="AI54" s="8">
        <v>216290928</v>
      </c>
      <c r="AJ54" s="8">
        <v>216842447</v>
      </c>
    </row>
    <row r="55" spans="1:36">
      <c r="A55" s="7" t="s">
        <v>284</v>
      </c>
      <c r="B55" s="8">
        <v>231694743</v>
      </c>
      <c r="C55" s="8">
        <v>226121202</v>
      </c>
      <c r="D55" s="8">
        <v>224220301</v>
      </c>
      <c r="E55" s="8">
        <v>221512461</v>
      </c>
      <c r="F55" s="8">
        <v>218564665</v>
      </c>
      <c r="G55" s="8">
        <v>219914855</v>
      </c>
      <c r="H55" s="8">
        <v>219851880</v>
      </c>
      <c r="AC55" s="7" t="s">
        <v>284</v>
      </c>
      <c r="AD55" s="8">
        <v>233191929</v>
      </c>
      <c r="AE55" s="8">
        <v>228864176</v>
      </c>
      <c r="AF55" s="8">
        <v>224226653</v>
      </c>
      <c r="AG55" s="8">
        <v>222187537</v>
      </c>
      <c r="AH55" s="8">
        <v>220060108</v>
      </c>
      <c r="AI55" s="8">
        <v>220817655</v>
      </c>
      <c r="AJ55" s="8">
        <v>219944108</v>
      </c>
    </row>
    <row r="56" spans="1:36">
      <c r="A56" s="7" t="s">
        <v>1427</v>
      </c>
      <c r="B56" s="8">
        <v>428704613</v>
      </c>
      <c r="C56" s="8">
        <v>420244614</v>
      </c>
      <c r="D56" s="8">
        <v>411467885</v>
      </c>
      <c r="E56" s="8">
        <v>410592389</v>
      </c>
      <c r="F56" s="8">
        <v>408951210</v>
      </c>
      <c r="G56" s="8">
        <v>408565490</v>
      </c>
      <c r="H56" s="8">
        <v>408232004</v>
      </c>
      <c r="AC56" s="7" t="s">
        <v>1427</v>
      </c>
      <c r="AD56" s="8">
        <v>430714338</v>
      </c>
      <c r="AE56" s="8">
        <v>424425406</v>
      </c>
      <c r="AF56" s="8">
        <v>418362322</v>
      </c>
      <c r="AG56" s="8">
        <v>413111401</v>
      </c>
      <c r="AH56" s="8">
        <v>411652940</v>
      </c>
      <c r="AI56" s="8">
        <v>412541092</v>
      </c>
      <c r="AJ56" s="8">
        <v>409005197</v>
      </c>
    </row>
    <row r="57" spans="1:36">
      <c r="A57" s="7" t="s">
        <v>283</v>
      </c>
      <c r="B57" s="8">
        <v>497248631</v>
      </c>
      <c r="C57" s="8">
        <v>506586234</v>
      </c>
      <c r="D57" s="8">
        <v>494656880</v>
      </c>
      <c r="E57" s="8">
        <v>492568031</v>
      </c>
      <c r="F57" s="8">
        <v>487403899</v>
      </c>
      <c r="G57" s="8">
        <v>479450004</v>
      </c>
      <c r="H57" s="8">
        <v>483679512</v>
      </c>
      <c r="AC57" s="7" t="s">
        <v>283</v>
      </c>
      <c r="AD57" s="8">
        <v>502311271</v>
      </c>
      <c r="AE57" s="8">
        <v>511850476</v>
      </c>
      <c r="AF57" s="8">
        <v>494821317</v>
      </c>
      <c r="AG57" s="8">
        <v>493098199</v>
      </c>
      <c r="AH57" s="8">
        <v>487762509</v>
      </c>
      <c r="AI57" s="8">
        <v>487458547</v>
      </c>
      <c r="AJ57" s="8">
        <v>490371129</v>
      </c>
    </row>
    <row r="60" spans="1:36">
      <c r="B60" s="8">
        <f>B6-B54</f>
        <v>812480.5</v>
      </c>
      <c r="C60" s="8">
        <f t="shared" ref="C60:H60" si="0">C6-C54</f>
        <v>692174</v>
      </c>
      <c r="D60" s="8">
        <f t="shared" si="0"/>
        <v>1154992.5</v>
      </c>
      <c r="E60" s="8">
        <f t="shared" si="0"/>
        <v>232602</v>
      </c>
      <c r="F60" s="8">
        <f t="shared" si="0"/>
        <v>1246048</v>
      </c>
      <c r="G60" s="8">
        <f t="shared" si="0"/>
        <v>558906</v>
      </c>
      <c r="H60" s="8">
        <f t="shared" si="0"/>
        <v>410527</v>
      </c>
      <c r="AD60" s="8">
        <f>AD54-B6</f>
        <v>812480.5</v>
      </c>
      <c r="AE60" s="8">
        <f t="shared" ref="AE60:AJ60" si="1">AE54-C6</f>
        <v>692174</v>
      </c>
      <c r="AF60" s="8">
        <f t="shared" si="1"/>
        <v>1154992.5</v>
      </c>
      <c r="AG60" s="8">
        <f t="shared" si="1"/>
        <v>232602</v>
      </c>
      <c r="AH60" s="8">
        <f t="shared" si="1"/>
        <v>1246048</v>
      </c>
      <c r="AI60" s="8">
        <f t="shared" si="1"/>
        <v>558906</v>
      </c>
      <c r="AJ60" s="8">
        <f t="shared" si="1"/>
        <v>410527</v>
      </c>
    </row>
    <row r="61" spans="1:36">
      <c r="B61" s="8">
        <f t="shared" ref="B61:H61" si="2">B7-B55</f>
        <v>748593</v>
      </c>
      <c r="C61" s="8">
        <f t="shared" si="2"/>
        <v>1371487</v>
      </c>
      <c r="D61" s="8">
        <f t="shared" si="2"/>
        <v>3176</v>
      </c>
      <c r="E61" s="8">
        <f t="shared" si="2"/>
        <v>337538</v>
      </c>
      <c r="F61" s="8">
        <f t="shared" si="2"/>
        <v>747721.5</v>
      </c>
      <c r="G61" s="8">
        <f t="shared" si="2"/>
        <v>451400</v>
      </c>
      <c r="H61" s="8">
        <f t="shared" si="2"/>
        <v>46114</v>
      </c>
      <c r="AD61" s="8">
        <f t="shared" ref="AD61:AD63" si="3">AD55-B7</f>
        <v>748593</v>
      </c>
      <c r="AE61" s="8">
        <f t="shared" ref="AE61:AE63" si="4">AE55-C7</f>
        <v>1371487</v>
      </c>
      <c r="AF61" s="8">
        <f t="shared" ref="AF61:AF63" si="5">AF55-D7</f>
        <v>3176</v>
      </c>
      <c r="AG61" s="8">
        <f t="shared" ref="AG61:AG63" si="6">AG55-E7</f>
        <v>337538</v>
      </c>
      <c r="AH61" s="8">
        <f t="shared" ref="AH61:AH63" si="7">AH55-F7</f>
        <v>747721.5</v>
      </c>
      <c r="AI61" s="8">
        <f t="shared" ref="AI61:AI63" si="8">AI55-G7</f>
        <v>451400</v>
      </c>
      <c r="AJ61" s="8">
        <f t="shared" ref="AJ61:AJ63" si="9">AJ55-H7</f>
        <v>46114</v>
      </c>
    </row>
    <row r="62" spans="1:36">
      <c r="B62" s="8">
        <f t="shared" ref="B62:H62" si="10">B8-B56</f>
        <v>1004862.5</v>
      </c>
      <c r="C62" s="8">
        <f t="shared" si="10"/>
        <v>2090396</v>
      </c>
      <c r="D62" s="8">
        <f t="shared" si="10"/>
        <v>3447218.5</v>
      </c>
      <c r="E62" s="8">
        <f t="shared" si="10"/>
        <v>1259506</v>
      </c>
      <c r="F62" s="8">
        <f t="shared" si="10"/>
        <v>1350865</v>
      </c>
      <c r="G62" s="8">
        <f t="shared" si="10"/>
        <v>1987801</v>
      </c>
      <c r="H62" s="8">
        <f t="shared" si="10"/>
        <v>386596.5</v>
      </c>
      <c r="AD62" s="8">
        <f t="shared" si="3"/>
        <v>1004862.5</v>
      </c>
      <c r="AE62" s="8">
        <f t="shared" si="4"/>
        <v>2090396</v>
      </c>
      <c r="AF62" s="8">
        <f t="shared" si="5"/>
        <v>3447218.5</v>
      </c>
      <c r="AG62" s="8">
        <f t="shared" si="6"/>
        <v>1259506</v>
      </c>
      <c r="AH62" s="8">
        <f t="shared" si="7"/>
        <v>1350865</v>
      </c>
      <c r="AI62" s="8">
        <f t="shared" si="8"/>
        <v>1987801</v>
      </c>
      <c r="AJ62" s="8">
        <f t="shared" si="9"/>
        <v>386596.5</v>
      </c>
    </row>
    <row r="63" spans="1:36">
      <c r="B63" s="8">
        <f t="shared" ref="B63:H63" si="11">B9-B57</f>
        <v>2531320</v>
      </c>
      <c r="C63" s="8">
        <f t="shared" si="11"/>
        <v>2632121</v>
      </c>
      <c r="D63" s="8">
        <f t="shared" si="11"/>
        <v>82218.5</v>
      </c>
      <c r="E63" s="8">
        <f t="shared" si="11"/>
        <v>265084</v>
      </c>
      <c r="F63" s="8">
        <f t="shared" si="11"/>
        <v>179305</v>
      </c>
      <c r="G63" s="8">
        <f t="shared" si="11"/>
        <v>4004271.5</v>
      </c>
      <c r="H63" s="8">
        <f t="shared" si="11"/>
        <v>3345808.5</v>
      </c>
      <c r="AD63" s="8">
        <f t="shared" si="3"/>
        <v>2531320</v>
      </c>
      <c r="AE63" s="8">
        <f t="shared" si="4"/>
        <v>2632121</v>
      </c>
      <c r="AF63" s="8">
        <f t="shared" si="5"/>
        <v>82218.5</v>
      </c>
      <c r="AG63" s="8">
        <f t="shared" si="6"/>
        <v>265084</v>
      </c>
      <c r="AH63" s="8">
        <f t="shared" si="7"/>
        <v>179305</v>
      </c>
      <c r="AI63" s="8">
        <f t="shared" si="8"/>
        <v>4004271.5</v>
      </c>
      <c r="AJ63" s="8">
        <f t="shared" si="9"/>
        <v>3345808.5</v>
      </c>
    </row>
    <row r="64" spans="1:36">
      <c r="B64" s="8"/>
      <c r="C64" s="8"/>
      <c r="D64" s="8"/>
      <c r="E64" s="8"/>
      <c r="F64" s="8"/>
      <c r="G64" s="8"/>
      <c r="H64" s="8"/>
    </row>
    <row r="65" spans="2:8">
      <c r="B65" s="8"/>
      <c r="C65" s="8"/>
      <c r="D65" s="8"/>
      <c r="E65" s="8"/>
      <c r="F65" s="8"/>
      <c r="G65" s="8"/>
      <c r="H65" s="8"/>
    </row>
    <row r="66" spans="2:8">
      <c r="B66" s="8"/>
      <c r="C66" s="8"/>
      <c r="D66" s="8"/>
      <c r="E66" s="8"/>
      <c r="F66" s="8"/>
      <c r="G66" s="8"/>
      <c r="H66" s="8"/>
    </row>
  </sheetData>
  <pageMargins left="0.7" right="0.7" top="0.75" bottom="0.75" header="0.3" footer="0.3"/>
  <pageSetup paperSize="0"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instructions</vt:lpstr>
      <vt:lpstr>data</vt:lpstr>
      <vt:lpstr>pivot</vt:lpstr>
      <vt:lpstr>data!ExternalData_11</vt:lpstr>
      <vt:lpstr>data!ExternalData_12</vt:lpstr>
      <vt:lpstr>data!ExternalData_13</vt:lpstr>
    </vt:vector>
  </TitlesOfParts>
  <Company>IST Austria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 BROWN</dc:creator>
  <cp:lastModifiedBy>t35brown</cp:lastModifiedBy>
  <cp:lastPrinted>2018-05-15T15:43:05Z</cp:lastPrinted>
  <dcterms:created xsi:type="dcterms:W3CDTF">2018-05-15T13:15:36Z</dcterms:created>
  <dcterms:modified xsi:type="dcterms:W3CDTF">2019-06-06T18:34:15Z</dcterms:modified>
</cp:coreProperties>
</file>