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35brown\Documents\bitbucket\setbench\microbench\experiments\istree_exp5_numerical_stability_vs_time\"/>
    </mc:Choice>
  </mc:AlternateContent>
  <bookViews>
    <workbookView xWindow="0" yWindow="0" windowWidth="28054" windowHeight="11811" activeTab="2"/>
  </bookViews>
  <sheets>
    <sheet name="instructions" sheetId="3" r:id="rId1"/>
    <sheet name="data" sheetId="2" r:id="rId2"/>
    <sheet name="pivot" sheetId="1" r:id="rId3"/>
  </sheets>
  <functionGroups builtInGroupCount="18"/>
  <definedNames>
    <definedName name="_xlnm._FilterDatabase" localSheetId="1" hidden="1">data!$A$1:$BC$46</definedName>
    <definedName name="ExternalData_11" localSheetId="1">data!$A$1:$AP$1327</definedName>
    <definedName name="ExternalData_12" localSheetId="1">data!$A$1:$BB$28</definedName>
  </definedNames>
  <calcPr calcId="162913"/>
  <pivotCaches>
    <pivotCache cacheId="6" r:id="rId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D3" i="2" l="1"/>
  <c r="BD4" i="2"/>
  <c r="BD5" i="2"/>
  <c r="BD6" i="2"/>
  <c r="BD7" i="2"/>
  <c r="BD8" i="2"/>
  <c r="BD9" i="2"/>
  <c r="BD10" i="2"/>
  <c r="BD11" i="2"/>
  <c r="BD12" i="2"/>
  <c r="BD13" i="2"/>
  <c r="BD14" i="2"/>
  <c r="BD15" i="2"/>
  <c r="BD16" i="2"/>
  <c r="BD17" i="2"/>
  <c r="BD18" i="2"/>
  <c r="BD19" i="2"/>
  <c r="BD20" i="2"/>
  <c r="BD21" i="2"/>
  <c r="BD22" i="2"/>
  <c r="BD23" i="2"/>
  <c r="BD24" i="2"/>
  <c r="BD25" i="2"/>
  <c r="BD26" i="2"/>
  <c r="BD27" i="2"/>
  <c r="BD28" i="2"/>
  <c r="BD29" i="2"/>
  <c r="BD30" i="2"/>
  <c r="BD31" i="2"/>
  <c r="BD32" i="2"/>
  <c r="BD33" i="2"/>
  <c r="BD34" i="2"/>
  <c r="BD35" i="2"/>
  <c r="BD36" i="2"/>
  <c r="BD37" i="2"/>
  <c r="BD38" i="2"/>
  <c r="BD39" i="2"/>
  <c r="BD40" i="2"/>
  <c r="BD41" i="2"/>
  <c r="BD42" i="2"/>
  <c r="BD43" i="2"/>
  <c r="BD44" i="2"/>
  <c r="BD45" i="2"/>
  <c r="BD46" i="2"/>
  <c r="BD2" i="2"/>
  <c r="C2" i="1"/>
  <c r="BC46" i="2" l="1"/>
  <c r="BC45" i="2"/>
  <c r="BC44" i="2"/>
  <c r="BC43" i="2"/>
  <c r="BC42" i="2"/>
  <c r="BC41" i="2"/>
  <c r="BC40" i="2"/>
  <c r="BC39" i="2"/>
  <c r="BC38" i="2"/>
  <c r="BC37" i="2"/>
  <c r="BC36" i="2"/>
  <c r="BC35" i="2"/>
  <c r="BC34" i="2"/>
  <c r="BC33" i="2"/>
  <c r="BC32" i="2"/>
  <c r="BC31" i="2"/>
  <c r="BC30" i="2"/>
  <c r="BC29" i="2"/>
  <c r="BC28" i="2"/>
  <c r="BC27" i="2"/>
  <c r="BC26" i="2"/>
  <c r="BC25" i="2"/>
  <c r="BC24" i="2"/>
  <c r="BC23" i="2"/>
  <c r="BC22" i="2"/>
  <c r="BC21" i="2"/>
  <c r="BC20" i="2"/>
  <c r="BC19" i="2"/>
  <c r="BC18" i="2"/>
  <c r="BC17" i="2"/>
  <c r="BC16" i="2"/>
  <c r="BC15" i="2"/>
  <c r="BC14" i="2"/>
  <c r="BC13" i="2"/>
  <c r="BC12" i="2"/>
  <c r="BC11" i="2"/>
  <c r="BC10" i="2"/>
  <c r="BC9" i="2"/>
  <c r="BC8" i="2"/>
  <c r="BC7" i="2"/>
  <c r="BC6" i="2"/>
  <c r="BC5" i="2"/>
  <c r="BC4" i="2"/>
  <c r="BC3" i="2"/>
  <c r="BC2" i="2"/>
  <c r="D24" i="1" l="1"/>
  <c r="E24" i="1"/>
  <c r="F24" i="1"/>
  <c r="D25" i="1"/>
  <c r="E25" i="1"/>
  <c r="F25" i="1"/>
  <c r="F23" i="1" l="1"/>
  <c r="E23" i="1"/>
  <c r="D23" i="1"/>
  <c r="F22" i="1"/>
  <c r="E22" i="1"/>
  <c r="D22" i="1"/>
  <c r="F21" i="1"/>
  <c r="E21" i="1"/>
  <c r="D21" i="1"/>
  <c r="F20" i="1"/>
  <c r="E20" i="1"/>
  <c r="D20" i="1"/>
</calcChain>
</file>

<file path=xl/connections.xml><?xml version="1.0" encoding="utf-8"?>
<connections xmlns="http://schemas.openxmlformats.org/spreadsheetml/2006/main">
  <connection id="1" name="Connection" type="6" refreshedVersion="6" background="1" saveData="1">
    <textPr sourceFile="C:\Users\t35brown\Documents\bitbucket\setbench\microbench\experiments\istree_exp3_disable_multicounter\disable_multicounter.csv" comma="1">
      <textFields>
        <textField/>
      </textFields>
    </textPr>
  </connection>
  <connection id="2" name="Connection7" type="6" refreshedVersion="5"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<sst xmlns="http://schemas.openxmlformats.org/spreadsheetml/2006/main" count="450" uniqueCount="184">
  <si>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</si>
  <si>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</si>
  <si>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</si>
  <si>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</si>
  <si>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</si>
  <si>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</si>
  <si>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</si>
  <si>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</si>
  <si>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</si>
  <si>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</si>
  <si>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</si>
  <si>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</si>
  <si>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</si>
  <si>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</si>
  <si>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</si>
  <si>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</si>
  <si>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</si>
  <si>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</si>
  <si>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Row Labels</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</si>
  <si>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</si>
  <si>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</si>
  <si>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</si>
  <si>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</si>
  <si>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</si>
  <si>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</si>
  <si>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</si>
  <si>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</si>
  <si>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</si>
  <si>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</si>
  <si>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</si>
  <si>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</si>
  <si>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</si>
  <si>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</si>
  <si>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</si>
  <si>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</si>
  <si>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</si>
  <si>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</si>
  <si>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</si>
  <si>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</si>
  <si>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</si>
  <si>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</si>
  <si>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</si>
  <si>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</si>
  <si>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</si>
  <si>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</si>
  <si>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</si>
  <si>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</si>
  <si>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</si>
  <si>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</si>
  <si>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</si>
  <si>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</si>
  <si>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</si>
  <si>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</si>
  <si>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</si>
  <si>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</si>
  <si>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</si>
  <si>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PAPI_L2_TCM</t>
  </si>
  <si>
    <t>PAPI_L3_TCM</t>
  </si>
  <si>
    <t>PAPI_TOT_CYC</t>
  </si>
  <si>
    <t>allocator_new</t>
  </si>
  <si>
    <t>pool_none</t>
  </si>
  <si>
    <t>insertIfAbsent</t>
  </si>
  <si>
    <t>Average of total_throughput</t>
  </si>
  <si>
    <t>brown_ext_ist_lf</t>
  </si>
  <si>
    <t>reclaimer_debra</t>
  </si>
  <si>
    <t>exp</t>
  </si>
  <si>
    <t>B2</t>
  </si>
  <si>
    <t>threads_final_keysum</t>
  </si>
  <si>
    <t>threads_final_size</t>
  </si>
  <si>
    <t>final_size</t>
  </si>
  <si>
    <t>validate_result</t>
  </si>
  <si>
    <t>success</t>
  </si>
  <si>
    <t>maxresident_mb</t>
  </si>
  <si>
    <t>prefill_elapsed_ms</t>
  </si>
  <si>
    <t>tree_stats_sizeInBytes</t>
  </si>
  <si>
    <t>sum_num_try_rebuild_at_depth_by_index</t>
  </si>
  <si>
    <t>sum_num_complete_rebuild_at_depth_by_index</t>
  </si>
  <si>
    <t>sum_num_help_subtree_total</t>
  </si>
  <si>
    <t>first_thread_announced_epoch_by_index</t>
  </si>
  <si>
    <t>sum_elapsed_rebuild_depth_total</t>
  </si>
  <si>
    <t>sum_elapsed_all_ops_total</t>
  </si>
  <si>
    <t>PAPI_RES_STL</t>
  </si>
  <si>
    <t>disable_multicounter/step10001.txt</t>
  </si>
  <si>
    <t>346 48766 1522766 1495530</t>
  </si>
  <si>
    <t>97 48474 1522661 1495518</t>
  </si>
  <si>
    <t>disable_multicounter/step10002.txt</t>
  </si>
  <si>
    <t>31 12596 714701 6287861 21008</t>
  </si>
  <si>
    <t>8 12543 714694 6287853 21007</t>
  </si>
  <si>
    <t>disable_multicounter/step10003.txt</t>
  </si>
  <si>
    <t>0 0 162375 3273478 570560</t>
  </si>
  <si>
    <t>disable_multicounter/step10004.txt</t>
  </si>
  <si>
    <t>5239 114205 3487038 3418251</t>
  </si>
  <si>
    <t>222 110409 3484909 3418142</t>
  </si>
  <si>
    <t>disable_multicounter/step10005.txt</t>
  </si>
  <si>
    <t>460 34931 1986893 17035370 57800</t>
  </si>
  <si>
    <t>22 34400 1986682 17035115 57800</t>
  </si>
  <si>
    <t>disable_multicounter/step10006.txt</t>
  </si>
  <si>
    <t>34 9997 1011300 8996767 1573443</t>
  </si>
  <si>
    <t>2 9934 1011282 8996756 1573442</t>
  </si>
  <si>
    <t>disable_multicounter/step10007.txt</t>
  </si>
  <si>
    <t>23168 194152 5674033 5553585</t>
  </si>
  <si>
    <t>361 176502 5663839 5553046</t>
  </si>
  <si>
    <t>disable_multicounter/step10008.txt</t>
  </si>
  <si>
    <t>1861 59027 3305814 27859150 95516</t>
  </si>
  <si>
    <t>37 57071 3304779 27857922 95513</t>
  </si>
  <si>
    <t>disable_multicounter/step10009.txt</t>
  </si>
  <si>
    <t>139 15125 1681590 15982093 2651610</t>
  </si>
  <si>
    <t>3 14972 1681502 15982007 2651608</t>
  </si>
  <si>
    <t>disable_multicounter/step10010.txt</t>
  </si>
  <si>
    <t>360 48530 1516401 1491841</t>
  </si>
  <si>
    <t>96 48253 1516305 1491833</t>
  </si>
  <si>
    <t>disable_multicounter/step10011.txt</t>
  </si>
  <si>
    <t>24 12465 715089 6284984 21223</t>
  </si>
  <si>
    <t>8 12414 715083 6284976 21223</t>
  </si>
  <si>
    <t>disable_multicounter/step10012.txt</t>
  </si>
  <si>
    <t>0 0 148704 3208817 562376</t>
  </si>
  <si>
    <t>disable_multicounter/step10013.txt</t>
  </si>
  <si>
    <t>5272 113961 3485939 3417173</t>
  </si>
  <si>
    <t>221 110056 3483768 3417049</t>
  </si>
  <si>
    <t>disable_multicounter/step10014.txt</t>
  </si>
  <si>
    <t>428 34771 2015048 17150745 58809</t>
  </si>
  <si>
    <t>22 34249 2014848 17150529 58808</t>
  </si>
  <si>
    <t>disable_multicounter/step10015.txt</t>
  </si>
  <si>
    <t>43 10042 1011867 9021522 1578971</t>
  </si>
  <si>
    <t>2 9975 1011842 9021507 1578971</t>
  </si>
  <si>
    <t>disable_multicounter/step10016.txt</t>
  </si>
  <si>
    <t>23214 193932 5677131 5560667</t>
  </si>
  <si>
    <t>361 176417 5666863 5560151</t>
  </si>
  <si>
    <t>disable_multicounter/step10017.txt</t>
  </si>
  <si>
    <t>1723 58868 3306093 27839053 95274</t>
  </si>
  <si>
    <t>37 56982 3304987 27837895 95273</t>
  </si>
  <si>
    <t>disable_multicounter/step10018.txt</t>
  </si>
  <si>
    <t>130 15043 1568312 15275418 2568117</t>
  </si>
  <si>
    <t>3 14865 1568230 15275326 2568115</t>
  </si>
  <si>
    <t>disable_multicounter/step10019.txt</t>
  </si>
  <si>
    <t>370 48942 1524323 1500494</t>
  </si>
  <si>
    <t>97 48681 1524228 1500487</t>
  </si>
  <si>
    <t>disable_multicounter/step10020.txt</t>
  </si>
  <si>
    <t>23 12561 715841 6316782 21446</t>
  </si>
  <si>
    <t>8 12516 715835 6316771 21446</t>
  </si>
  <si>
    <t>disable_multicounter/step10021.txt</t>
  </si>
  <si>
    <t>0 0 159168 3255797 568635</t>
  </si>
  <si>
    <t>0 0 159167 3255797 568635</t>
  </si>
  <si>
    <t>disable_multicounter/step10022.txt</t>
  </si>
  <si>
    <t>5386 113768 3474965 3409917</t>
  </si>
  <si>
    <t>221 109924 3472877 3409806</t>
  </si>
  <si>
    <t>disable_multicounter/step10023.txt</t>
  </si>
  <si>
    <t>389 34688 2037452 17218658 58788</t>
  </si>
  <si>
    <t>22 34170 2037217 17218402 58788</t>
  </si>
  <si>
    <t>disable_multicounter/step10024.txt</t>
  </si>
  <si>
    <t>21 10078 1011851 9152842 1605759</t>
  </si>
  <si>
    <t>2 10017 1011834 9152824 1605758</t>
  </si>
  <si>
    <t>disable_multicounter/step10025.txt</t>
  </si>
  <si>
    <t>23523 195033 5700911 5583767</t>
  </si>
  <si>
    <t>362 177258 5690721 5583211</t>
  </si>
  <si>
    <t>disable_multicounter/step10026.txt</t>
  </si>
  <si>
    <t>1938 59104 3306405 27837539 95305</t>
  </si>
  <si>
    <t>37 57166 3305446 27836288 95303</t>
  </si>
  <si>
    <t>disable_multicounter/step10027.txt</t>
  </si>
  <si>
    <t>135 15036 1709348 16094883 2669526</t>
  </si>
  <si>
    <t>3 14863 1709253 16094786 2669526</t>
  </si>
  <si>
    <t>brown_ext_ist_lf_disable_multicounter</t>
  </si>
  <si>
    <t>istree_exp1_scaling_threads/scaling_threads/step10085.txt</t>
  </si>
  <si>
    <t>istree_exp1_scaling_threads/scaling_threads/step10105.txt</t>
  </si>
  <si>
    <t>istree_exp1_scaling_threads/scaling_threads/step10125.txt</t>
  </si>
  <si>
    <t>istree_exp1_scaling_threads/scaling_threads/step10165.txt</t>
  </si>
  <si>
    <t>istree_exp1_scaling_threads/scaling_threads/step10185.txt</t>
  </si>
  <si>
    <t>istree_exp1_scaling_threads/scaling_threads/step10205.txt</t>
  </si>
  <si>
    <t>istree_exp1_scaling_threads/scaling_threads/step10245.txt</t>
  </si>
  <si>
    <t>istree_exp1_scaling_threads/scaling_threads/step10265.txt</t>
  </si>
  <si>
    <t>istree_exp1_scaling_threads/scaling_threads/step10285.txt</t>
  </si>
  <si>
    <t>istree_exp1_scaling_threads/scaling_threads/step10405.txt</t>
  </si>
  <si>
    <t>istree_exp1_scaling_threads/scaling_threads/step10425.txt</t>
  </si>
  <si>
    <t>istree_exp1_scaling_threads/scaling_threads/step10445.txt</t>
  </si>
  <si>
    <t>istree_exp1_scaling_threads/scaling_threads/step10485.txt</t>
  </si>
  <si>
    <t>istree_exp1_scaling_threads/scaling_threads/step10505.txt</t>
  </si>
  <si>
    <t>istree_exp1_scaling_threads/scaling_threads/step10525.txt</t>
  </si>
  <si>
    <t>istree_exp1_scaling_threads/scaling_threads/step10565.txt</t>
  </si>
  <si>
    <t>istree_exp1_scaling_threads/scaling_threads/step10585.txt</t>
  </si>
  <si>
    <t>istree_exp1_scaling_threads/scaling_threads/step10605.txt</t>
  </si>
  <si>
    <t>fetch&amp;add</t>
  </si>
  <si>
    <t>multicounter</t>
  </si>
  <si>
    <t>u=40%, k=2x10^8</t>
  </si>
  <si>
    <t>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</si>
</sst>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0">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xf numFmtId="0" fontId="0" fillId="0" borderId="0" xfId="0" applyAlignment="1">
      <alignment horizontal="left" indent="1"/>
    </xf>
  </cellXfs>
  <cellStyles count="1">
    <cellStyle name="Normal" xfId="0" builtinId="0"/>
  </cellStyles>
  <dxfs count="14">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[exp5_numerical_stability_vs_time.xlsm]pivot!PivotTableMain</c:name>
    <c:fmtId val="9"/>
  </c:pivotSource>
  <c:chart>
    <c:title>
      <c:tx>
        <c:strRef>
          <c:f>pivot!$C$2</c:f>
          <c:strCache>
            <c:ptCount val="1"/>
            <c:pt idx="0">
              <c:v>u=40%, k=2x10^8, 190 threads</c:v>
            </c:pt>
          </c:strCache>
        </c:strRef>
      </c:tx>
      <c:layout>
        <c:manualLayout>
          <c:xMode val="edge"/>
          <c:yMode val="edge"/>
          <c:x val="0.32717618653076008"/>
          <c:y val="1.8466614263811579E-2"/>
        </c:manualLayout>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pivot!$C$2</c:f>
              <c:strCache>
                <c:ptCount val="1"/>
                <c:pt idx="0">
                  <c:v>Total</c:v>
                </c:pt>
              </c:strCache>
            </c:strRef>
          </c:tx>
          <c:spPr>
            <a:solidFill>
              <a:schemeClr val="accent1"/>
            </a:solidFill>
            <a:ln>
              <a:noFill/>
            </a:ln>
            <a:effectLst/>
          </c:spPr>
          <c:invertIfNegative val="0"/>
          <c:cat>
            <c:multiLvlStrRef>
              <c:f>pivot!$C$2</c:f>
              <c:multiLvlStrCache>
                <c:ptCount val="2"/>
                <c:lvl>
                  <c:pt idx="0">
                    <c:v>30</c:v>
                  </c:pt>
                  <c:pt idx="1">
                    <c:v>30</c:v>
                  </c:pt>
                </c:lvl>
                <c:lvl>
                  <c:pt idx="0">
                    <c:v>fetch&amp;add</c:v>
                  </c:pt>
                  <c:pt idx="1">
                    <c:v>multicounter</c:v>
                  </c:pt>
                </c:lvl>
              </c:multiLvlStrCache>
            </c:multiLvlStrRef>
          </c:cat>
          <c:val>
            <c:numRef>
              <c:f>pivot!$C$2</c:f>
              <c:numCache>
                <c:formatCode>0</c:formatCode>
                <c:ptCount val="2"/>
                <c:pt idx="0">
                  <c:v>15696072.666666666</c:v>
                </c:pt>
                <c:pt idx="1">
                  <c:v>83577587</c:v>
                </c:pt>
              </c:numCache>
            </c:numRef>
          </c:val>
          <c:extLst>
            <c:ext xmlns:c16="http://schemas.microsoft.com/office/drawing/2014/chart" uri="{C3380CC4-5D6E-409C-BE32-E72D297353CC}">
              <c16:uniqueId val="{00000000-4146-42C1-9805-FC7D8BA1FD5F}"/>
            </c:ext>
          </c:extLst>
        </c:ser>
        <c:dLbls>
          <c:showLegendKey val="0"/>
          <c:showVal val="0"/>
          <c:showCatName val="0"/>
          <c:showSerName val="0"/>
          <c:showPercent val="0"/>
          <c:showBubbleSize val="0"/>
        </c:dLbls>
        <c:gapWidth val="219"/>
        <c:overlap val="-27"/>
        <c:axId val="603778032"/>
        <c:axId val="603783856"/>
      </c:barChart>
      <c:catAx>
        <c:axId val="603778032"/>
        <c:scaling>
          <c:orientation val="minMax"/>
        </c:scaling>
        <c:delete val="0"/>
        <c:axPos val="b"/>
        <c:majorGridlines>
          <c:spPr>
            <a:ln w="38100" cap="flat" cmpd="sng" algn="ctr">
              <a:solidFill>
                <a:schemeClr val="bg2">
                  <a:lumMod val="75000"/>
                </a:schemeClr>
              </a:solidFill>
              <a:round/>
            </a:ln>
            <a:effectLst/>
          </c:spPr>
        </c:majorGridlines>
        <c:minorGridlines>
          <c:spPr>
            <a:ln w="38100" cap="flat" cmpd="sng" algn="ctr">
              <a:solidFill>
                <a:schemeClr val="bg2">
                  <a:lumMod val="9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CA" sz="4000"/>
                  <a:t>seconds</a:t>
                </a:r>
                <a:r>
                  <a:rPr lang="en-CA" sz="4000" baseline="0"/>
                  <a:t> to run</a:t>
                </a:r>
                <a:endParaRPr lang="en-CA" sz="4000"/>
              </a:p>
            </c:rich>
          </c:tx>
          <c:layout>
            <c:manualLayout>
              <c:xMode val="edge"/>
              <c:yMode val="edge"/>
              <c:x val="0.42473890462569241"/>
              <c:y val="0.9123446529397361"/>
            </c:manualLayout>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603783856"/>
        <c:crosses val="autoZero"/>
        <c:auto val="1"/>
        <c:lblAlgn val="ctr"/>
        <c:lblOffset val="20"/>
        <c:noMultiLvlLbl val="0"/>
      </c:catAx>
      <c:valAx>
        <c:axId val="603783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CA" sz="4000"/>
                  <a:t>operations per microsecond</a:t>
                </a:r>
              </a:p>
            </c:rich>
          </c:tx>
          <c:layout>
            <c:manualLayout>
              <c:xMode val="edge"/>
              <c:yMode val="edge"/>
              <c:x val="2.9458182833719459E-3"/>
              <c:y val="7.8848686574177707E-2"/>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603778032"/>
        <c:crosses val="autoZero"/>
        <c:crossBetween val="between"/>
        <c:dispUnits>
          <c:builtInUnit val="millions"/>
        </c:dispUnits>
      </c:valAx>
      <c:spPr>
        <a:noFill/>
        <a:ln w="38100">
          <a:solidFill>
            <a:srgbClr val="000000"/>
          </a:solidFill>
        </a:ln>
        <a:effectLst/>
      </c:spPr>
    </c:plotArea>
    <c:plotVisOnly val="1"/>
    <c:dispBlanksAs val="gap"/>
    <c:showDLblsOverMax val="0"/>
  </c:chart>
  <c:spPr>
    <a:solidFill>
      <a:srgbClr val="FFFFFF"/>
    </a:solidFill>
    <a:ln w="38100" cap="flat" cmpd="sng" algn="ctr">
      <a:noFill/>
      <a:round/>
    </a:ln>
    <a:effectLst/>
  </c:spPr>
  <c:txPr>
    <a:bodyPr/>
    <a:lstStyle/>
    <a:p>
      <a:pPr>
        <a:defRPr sz="32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88447</xdr:colOff>
      <xdr:row>0</xdr:row>
      <xdr:rowOff>129268</xdr:rowOff>
    </xdr:from>
    <xdr:to>
      <xdr:col>47</xdr:col>
      <xdr:colOff>612321</xdr:colOff>
      <xdr:row>45</xdr:row>
      <xdr:rowOff>115660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21.658528125001" createdVersion="6" refreshedVersion="6" minRefreshableVersion="3" recordCount="46">
  <cacheSource type="worksheet">
    <worksheetSource ref="A1:BD1048576" sheet="data"/>
  </cacheSource>
  <cacheFields count="56">
    <cacheField name="filename" numFmtId="0">
      <sharedItems containsBlank="1"/>
    </cacheField>
    <cacheField name="DS_TYPENAME" numFmtId="0">
      <sharedItems containsBlank="1" count="3">
        <s v="brown_ext_ist_lf_disable_multicounter"/>
        <s v="brown_ext_ist_lf"/>
        <m/>
      </sharedItems>
    </cacheField>
    <cacheField name="size_node" numFmtId="0">
      <sharedItems containsString="0" containsBlank="1" containsNumber="1" containsInteger="1" minValue="64" maxValue="72"/>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ount="2">
        <n v="30000"/>
        <m/>
      </sharedItems>
    </cacheField>
    <cacheField name="INS" numFmtId="0">
      <sharedItems containsString="0" containsBlank="1" containsNumber="1" minValue="0.5" maxValue="20"/>
    </cacheField>
    <cacheField name="DEL" numFmtId="0">
      <sharedItems containsString="0" containsBlank="1" containsNumber="1" minValue="0.5"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
    </cacheField>
    <cacheField name="PREFILL_THREADS" numFmtId="0">
      <sharedItems containsString="0" containsBlank="1" containsNumber="1" containsInteger="1" minValue="190" maxValue="190"/>
    </cacheField>
    <cacheField name="TOTAL_THREADS" numFmtId="0">
      <sharedItems containsString="0" containsBlank="1" containsNumber="1" containsInteger="1" minValue="190" maxValue="190"/>
    </cacheField>
    <cacheField name="WORK_THREADS" numFmtId="0">
      <sharedItems containsString="0" containsBlank="1" containsNumber="1" containsInteger="1" minValue="190"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8745812642" maxValue="1.00009925550785E+16"/>
    </cacheField>
    <cacheField name="threads_final_size" numFmtId="0">
      <sharedItems containsString="0" containsBlank="1" containsNumber="1" containsInteger="1" minValue="998752" maxValue="100005496"/>
    </cacheField>
    <cacheField name="final_keysum" numFmtId="0">
      <sharedItems containsString="0" containsBlank="1" containsNumber="1" containsInteger="1" minValue="998745812642" maxValue="1.00009925550785E+16"/>
    </cacheField>
    <cacheField name="final_size" numFmtId="0">
      <sharedItems containsString="0" containsBlank="1" containsNumber="1" containsInteger="1" minValue="998752" maxValue="100005496"/>
    </cacheField>
    <cacheField name="validate_result" numFmtId="0">
      <sharedItems containsBlank="1"/>
    </cacheField>
    <cacheField name="tree_stats_height" numFmtId="0">
      <sharedItems containsString="0" containsBlank="1" containsNumber="1" containsInteger="1" minValue="6" maxValue="7"/>
    </cacheField>
    <cacheField name="tree_stats_numInternals" numFmtId="0">
      <sharedItems containsString="0" containsBlank="1" containsNumber="1" containsInteger="1" minValue="33088" maxValue="14939238"/>
    </cacheField>
    <cacheField name="tree_stats_numLeaves" numFmtId="0">
      <sharedItems containsString="0" containsBlank="1" containsNumber="1" containsInteger="1" minValue="1032347" maxValue="118259973"/>
    </cacheField>
    <cacheField name="tree_stats_numNodes" numFmtId="0">
      <sharedItems containsString="0" containsBlank="1" containsNumber="1" containsInteger="1" minValue="1065435" maxValue="133199211"/>
    </cacheField>
    <cacheField name="tree_stats_numKeys" numFmtId="0">
      <sharedItems containsString="0" containsBlank="1" containsNumber="1" containsInteger="1" minValue="998752" maxValue="100005496"/>
    </cacheField>
    <cacheField name="tree_stats_avgDegreeInternal" numFmtId="0">
      <sharedItems containsString="0" containsBlank="1" containsNumber="1" minValue="7.3236600000000003" maxValue="32.200000000000003"/>
    </cacheField>
    <cacheField name="tree_stats_avgDegreeLeaves" numFmtId="0">
      <sharedItems containsString="0" containsBlank="1" containsNumber="1" minValue="0.83132200000000001" maxValue="0.96888099999999999"/>
    </cacheField>
    <cacheField name="tree_stats_avgDegree" numFmtId="0">
      <sharedItems containsString="0" containsBlank="1" containsNumber="1" minValue="1.7178800000000001" maxValue="1.93879"/>
    </cacheField>
    <cacheField name="tree_stats_avgKeyDepth" numFmtId="0">
      <sharedItems containsString="0" containsBlank="1" containsNumber="1" minValue="3.0001099999999998" maxValue="4.0817699999999997"/>
    </cacheField>
    <cacheField name="tree_stats_sizeInBytes" numFmtId="0">
      <sharedItems containsString="0" containsBlank="1" containsNumber="1" containsInteger="1" minValue="19173864" maxValue="2972124992"/>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2" maxValue="498703"/>
    </cacheField>
    <cacheField name="first_thread_announced_epoch_by_index" numFmtId="0">
      <sharedItems containsString="0" containsBlank="1" containsNumber="1" containsInteger="1" minValue="2962" maxValue="30858"/>
    </cacheField>
    <cacheField name="sum_elapsed_rebuild_depth_total" numFmtId="0">
      <sharedItems containsString="0" containsBlank="1" containsNumber="1" containsInteger="1" minValue="11568841330" maxValue="328988680671"/>
    </cacheField>
    <cacheField name="sum_elapsed_all_ops_total" numFmtId="0">
      <sharedItems containsString="0" containsBlank="1" containsNumber="1" containsInteger="1" minValue="5686386573437" maxValue="5686622230862"/>
    </cacheField>
    <cacheField name="total_find" numFmtId="0">
      <sharedItems containsString="0" containsBlank="1" containsNumber="1" containsInteger="1" minValue="270845203" maxValue="12439252863"/>
    </cacheField>
    <cacheField name="total_rq" numFmtId="0">
      <sharedItems containsString="0" containsBlank="1" containsNumber="1" containsInteger="1" minValue="0" maxValue="0"/>
    </cacheField>
    <cacheField name="total_updates" numFmtId="0">
      <sharedItems containsString="0" containsBlank="1" containsNumber="1" containsInteger="1" minValue="39312393" maxValue="1165514511"/>
    </cacheField>
    <cacheField name="total_queries" numFmtId="0">
      <sharedItems containsString="0" containsBlank="1" containsNumber="1" containsInteger="1" minValue="270845203" maxValue="12439252863"/>
    </cacheField>
    <cacheField name="total_ops" numFmtId="0">
      <sharedItems containsString="0" containsBlank="1" containsNumber="1" containsInteger="1" minValue="451414857" maxValue="12564889491"/>
    </cacheField>
    <cacheField name="find_throughput" numFmtId="0">
      <sharedItems containsString="0" containsBlank="1" containsNumber="1" containsInteger="1" minValue="9028173" maxValue="414641762"/>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1310413" maxValue="38850483"/>
    </cacheField>
    <cacheField name="query_throughput" numFmtId="0">
      <sharedItems containsString="0" containsBlank="1" containsNumber="1" containsInteger="1" minValue="9028173" maxValue="414641762"/>
    </cacheField>
    <cacheField name="total_throughput" numFmtId="0">
      <sharedItems containsString="0" containsBlank="1" containsNumber="1" containsInteger="1" minValue="15047161" maxValue="418829649"/>
    </cacheField>
    <cacheField name="PAPI_L2_TCM" numFmtId="0">
      <sharedItems containsString="0" containsBlank="1" containsNumber="1" minValue="8.6831399999999999" maxValue="32.959099999999999"/>
    </cacheField>
    <cacheField name="PAPI_L3_TCM" numFmtId="0">
      <sharedItems containsString="0" containsBlank="1" containsNumber="1" minValue="0.41703200000000001" maxValue="17.642499999999998"/>
    </cacheField>
    <cacheField name="PAPI_TOT_CYC" numFmtId="0">
      <sharedItems containsString="0" containsBlank="1" containsNumber="1" minValue="1244.21" maxValue="35159.5"/>
    </cacheField>
    <cacheField name="PAPI_RES_STL" numFmtId="0">
      <sharedItems containsString="0" containsBlank="1" containsNumber="1" minValue="507.77499999999998" maxValue="33266.800000000003"/>
    </cacheField>
    <cacheField name="maxresident_mb" numFmtId="0">
      <sharedItems containsString="0" containsBlank="1" containsNumber="1" containsInteger="1" minValue="1278" maxValue="14482"/>
    </cacheField>
    <cacheField name="prefill_elapsed_ms" numFmtId="0">
      <sharedItems containsString="0" containsBlank="1" containsNumber="1" containsInteger="1" minValue="157" maxValue="1219"/>
    </cacheField>
    <cacheField name="exp" numFmtId="0">
      <sharedItems containsBlank="1" count="10">
        <s v="u=1%, k=2x10^6"/>
        <s v="u=1%, k=2x10^7"/>
        <s v="u=1%, k=2x10^8"/>
        <s v="u=10%, k=2x10^6"/>
        <s v="u=10%, k=2x10^7"/>
        <s v="u=10%, k=2x10^8"/>
        <s v="u=40%, k=2x10^6"/>
        <s v="u=40%, k=2x10^7"/>
        <s v="u=40%, k=2x10^8"/>
        <m/>
      </sharedItems>
    </cacheField>
    <cacheField name="seconds" numFmtId="0">
      <sharedItems containsString="0" containsBlank="1" containsNumber="1" containsInteger="1" minValue="30" maxValue="30" count="2">
        <n v="30"/>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6">
  <r>
    <s v="disable_multicounter/step10001.txt"/>
    <x v="0"/>
    <n v="64"/>
    <s v="reclaimer_debra"/>
    <s v="allocator_new"/>
    <s v="pool_none"/>
    <x v="0"/>
    <n v="0.5"/>
    <n v="0.5"/>
    <n v="0"/>
    <n v="1"/>
    <n v="2000000"/>
    <n v="190"/>
    <n v="190"/>
    <n v="190"/>
    <n v="0"/>
    <s v="insertIfAbsent"/>
    <n v="999383689652"/>
    <n v="999931"/>
    <n v="999383689652"/>
    <n v="999931"/>
    <s v="success"/>
    <n v="6"/>
    <n v="59448"/>
    <n v="1085256"/>
    <n v="1144704"/>
    <n v="999931"/>
    <n v="19.255600000000001"/>
    <n v="0.92137800000000003"/>
    <n v="1.8735299999999999"/>
    <n v="3.0550999999999999"/>
    <n v="21668128"/>
    <s v="346 48766 1522766 1495530"/>
    <s v="97 48474 1522661 1495518"/>
    <n v="80048"/>
    <n v="30446"/>
    <n v="34326275991"/>
    <n v="5686389813580"/>
    <n v="4814803038"/>
    <n v="0"/>
    <n v="48620036"/>
    <n v="4814803038"/>
    <n v="4863423074"/>
    <n v="160493434"/>
    <n v="0"/>
    <n v="1620667"/>
    <n v="160493434"/>
    <n v="162114102"/>
    <n v="11.180999999999999"/>
    <n v="0.61071600000000004"/>
    <n v="3264.27"/>
    <n v="2521.5700000000002"/>
    <n v="1278"/>
    <n v="432"/>
    <x v="0"/>
    <x v="0"/>
  </r>
  <r>
    <s v="disable_multicounter/step10002.txt"/>
    <x v="0"/>
    <n v="64"/>
    <s v="reclaimer_debra"/>
    <s v="allocator_new"/>
    <s v="pool_none"/>
    <x v="0"/>
    <n v="0.5"/>
    <n v="0.5"/>
    <n v="0"/>
    <n v="1"/>
    <n v="20000000"/>
    <n v="190"/>
    <n v="190"/>
    <n v="190"/>
    <n v="0"/>
    <s v="insertIfAbsent"/>
    <n v="99972653210289"/>
    <n v="9998318"/>
    <n v="99972653210289"/>
    <n v="9998318"/>
    <s v="success"/>
    <n v="7"/>
    <n v="1892691"/>
    <n v="11998409"/>
    <n v="13891100"/>
    <n v="9998318"/>
    <n v="7.33934"/>
    <n v="0.83330400000000004"/>
    <n v="1.71976"/>
    <n v="4.05349"/>
    <n v="328270968"/>
    <s v="31 12596 714701 6287861 21008"/>
    <s v="8 12543 714694 6287853 21007"/>
    <n v="17850"/>
    <n v="24126"/>
    <n v="62861556602"/>
    <n v="5686392278906"/>
    <n v="4184745107"/>
    <n v="0"/>
    <n v="42262272"/>
    <n v="4184745107"/>
    <n v="4227007379"/>
    <n v="139491503"/>
    <n v="0"/>
    <n v="1408742"/>
    <n v="139491503"/>
    <n v="140900245"/>
    <n v="16.812200000000001"/>
    <n v="6.6675599999999999"/>
    <n v="3727.3"/>
    <n v="2959.65"/>
    <n v="2474"/>
    <n v="422"/>
    <x v="1"/>
    <x v="0"/>
  </r>
  <r>
    <s v="disable_multicounter/step10003.txt"/>
    <x v="0"/>
    <n v="64"/>
    <s v="reclaimer_debra"/>
    <s v="allocator_new"/>
    <s v="pool_none"/>
    <x v="0"/>
    <n v="0.5"/>
    <n v="0.5"/>
    <n v="0"/>
    <n v="1"/>
    <n v="200000000"/>
    <n v="190"/>
    <n v="190"/>
    <n v="190"/>
    <n v="0"/>
    <s v="insertIfAbsent"/>
    <n v="1.00007071268101E+16"/>
    <n v="100003329"/>
    <n v="1.00007071268101E+16"/>
    <n v="100003329"/>
    <s v="success"/>
    <n v="7"/>
    <n v="14737971"/>
    <n v="117816632"/>
    <n v="132554603"/>
    <n v="100003329"/>
    <n v="8.9940899999999999"/>
    <n v="0.84880500000000003"/>
    <n v="1.7544299999999999"/>
    <n v="4.0763499999999997"/>
    <n v="2950379320"/>
    <s v="0 0 162375 3273478 570560"/>
    <s v="0 0 162375 3273478 570560"/>
    <n v="5"/>
    <n v="22636"/>
    <n v="11880089470"/>
    <n v="5686389864446"/>
    <n v="3943063833"/>
    <n v="0"/>
    <n v="39834132"/>
    <n v="3943063833"/>
    <n v="3982897965"/>
    <n v="131435461"/>
    <n v="0"/>
    <n v="1327804"/>
    <n v="131435461"/>
    <n v="132763265"/>
    <n v="19.722799999999999"/>
    <n v="9.4998000000000005"/>
    <n v="3983.9"/>
    <n v="3226.23"/>
    <n v="8015"/>
    <n v="1033"/>
    <x v="2"/>
    <x v="0"/>
  </r>
  <r>
    <s v="disable_multicounter/step10004.txt"/>
    <x v="0"/>
    <n v="64"/>
    <s v="reclaimer_debra"/>
    <s v="allocator_new"/>
    <s v="pool_none"/>
    <x v="0"/>
    <n v="5"/>
    <n v="5"/>
    <n v="0"/>
    <n v="1"/>
    <n v="2000000"/>
    <n v="190"/>
    <n v="190"/>
    <n v="190"/>
    <n v="0"/>
    <s v="insertIfAbsent"/>
    <n v="1001522367422"/>
    <n v="1001372"/>
    <n v="1001522367422"/>
    <n v="1001372"/>
    <s v="success"/>
    <n v="6"/>
    <n v="71016"/>
    <n v="1110546"/>
    <n v="1181562"/>
    <n v="1001372"/>
    <n v="16.638000000000002"/>
    <n v="0.90169299999999997"/>
    <n v="1.8474999999999999"/>
    <n v="3.08047"/>
    <n v="22931104"/>
    <s v="5239 114205 3487038 3418251"/>
    <s v="222 110409 3484909 3418142"/>
    <n v="215746"/>
    <n v="7688"/>
    <n v="96362472858"/>
    <n v="5686390180636"/>
    <n v="1000539956"/>
    <n v="0"/>
    <n v="111173732"/>
    <n v="1000539956"/>
    <n v="1111713688"/>
    <n v="33351331"/>
    <n v="0"/>
    <n v="3705791"/>
    <n v="33351331"/>
    <n v="37057122"/>
    <n v="17.610600000000002"/>
    <n v="4.0726100000000001"/>
    <n v="14281"/>
    <n v="13315.5"/>
    <n v="1301"/>
    <n v="324"/>
    <x v="3"/>
    <x v="0"/>
  </r>
  <r>
    <s v="disable_multicounter/step10005.txt"/>
    <x v="0"/>
    <n v="64"/>
    <s v="reclaimer_debra"/>
    <s v="allocator_new"/>
    <s v="pool_none"/>
    <x v="0"/>
    <n v="5"/>
    <n v="5"/>
    <n v="0"/>
    <n v="1"/>
    <n v="20000000"/>
    <n v="190"/>
    <n v="190"/>
    <n v="190"/>
    <n v="0"/>
    <s v="insertIfAbsent"/>
    <n v="100057510375658"/>
    <n v="10006366"/>
    <n v="100057510375658"/>
    <n v="10006366"/>
    <s v="success"/>
    <n v="7"/>
    <n v="1902001"/>
    <n v="12036691"/>
    <n v="13938692"/>
    <n v="10006366"/>
    <n v="7.3284399999999996"/>
    <n v="0.83132200000000001"/>
    <n v="1.7178800000000001"/>
    <n v="4.0545"/>
    <n v="329575080"/>
    <s v="460 34931 1986893 17035370 57800"/>
    <s v="22 34400 1986682 17035115 57800"/>
    <n v="58829"/>
    <n v="7848"/>
    <n v="151125010261"/>
    <n v="5686389831167"/>
    <n v="1021328988"/>
    <n v="0"/>
    <n v="113481566"/>
    <n v="1021328988"/>
    <n v="1134810554"/>
    <n v="34044299"/>
    <n v="0"/>
    <n v="3782718"/>
    <n v="34044299"/>
    <n v="37827018"/>
    <n v="22.257400000000001"/>
    <n v="9.3474400000000006"/>
    <n v="13838.8"/>
    <n v="12826.4"/>
    <n v="2546"/>
    <n v="366"/>
    <x v="4"/>
    <x v="0"/>
  </r>
  <r>
    <s v="disable_multicounter/step10006.txt"/>
    <x v="0"/>
    <n v="64"/>
    <s v="reclaimer_debra"/>
    <s v="allocator_new"/>
    <s v="pool_none"/>
    <x v="0"/>
    <n v="5"/>
    <n v="5"/>
    <n v="0"/>
    <n v="1"/>
    <n v="200000000"/>
    <n v="190"/>
    <n v="190"/>
    <n v="190"/>
    <n v="0"/>
    <s v="insertIfAbsent"/>
    <n v="1.0000177431949E+16"/>
    <n v="99997618"/>
    <n v="1.0000177431949E+16"/>
    <n v="99997618"/>
    <s v="success"/>
    <n v="7"/>
    <n v="14018892"/>
    <n v="116180572"/>
    <n v="130199464"/>
    <n v="99997618"/>
    <n v="9.2874300000000005"/>
    <n v="0.86070899999999995"/>
    <n v="1.76803"/>
    <n v="4.0622600000000002"/>
    <n v="2870546240"/>
    <s v="34 9997 1011300 8996767 1573443"/>
    <s v="2 9934 1011282 8996756 1573442"/>
    <n v="9722"/>
    <n v="7448"/>
    <n v="192495350877"/>
    <n v="5686622230862"/>
    <n v="1046328212"/>
    <n v="0"/>
    <n v="116255071"/>
    <n v="1046328212"/>
    <n v="1162583283"/>
    <n v="34877607"/>
    <n v="0"/>
    <n v="3875169"/>
    <n v="34877607"/>
    <n v="38752776"/>
    <n v="22.039000000000001"/>
    <n v="10.766299999999999"/>
    <n v="13296"/>
    <n v="12392"/>
    <n v="12743"/>
    <n v="1047"/>
    <x v="5"/>
    <x v="0"/>
  </r>
  <r>
    <s v="disable_multicounter/step10007.txt"/>
    <x v="0"/>
    <n v="64"/>
    <s v="reclaimer_debra"/>
    <s v="allocator_new"/>
    <s v="pool_none"/>
    <x v="0"/>
    <n v="20"/>
    <n v="20"/>
    <n v="0"/>
    <n v="1"/>
    <n v="2000000"/>
    <n v="190"/>
    <n v="190"/>
    <n v="190"/>
    <n v="0"/>
    <s v="insertIfAbsent"/>
    <n v="1000740568136"/>
    <n v="1000757"/>
    <n v="1000740568136"/>
    <n v="1000757"/>
    <s v="success"/>
    <n v="6"/>
    <n v="35643"/>
    <n v="1037964"/>
    <n v="1073607"/>
    <n v="1000757"/>
    <n v="30.121099999999998"/>
    <n v="0.96415399999999996"/>
    <n v="1.93214"/>
    <n v="3.0052300000000001"/>
    <n v="19173864"/>
    <s v="23168 194152 5674033 5553585"/>
    <s v="361 176502 5663839 5553046"/>
    <n v="483425"/>
    <n v="3176"/>
    <n v="203347649851"/>
    <n v="5686390994794"/>
    <n v="270845203"/>
    <n v="0"/>
    <n v="180569654"/>
    <n v="270845203"/>
    <n v="451414857"/>
    <n v="9028173"/>
    <n v="0"/>
    <n v="6018988"/>
    <n v="9028173"/>
    <n v="15047161"/>
    <n v="26.477599999999999"/>
    <n v="10.8672"/>
    <n v="35159.5"/>
    <n v="33266.800000000003"/>
    <n v="1327"/>
    <n v="225"/>
    <x v="6"/>
    <x v="0"/>
  </r>
  <r>
    <s v="disable_multicounter/step10008.txt"/>
    <x v="0"/>
    <n v="64"/>
    <s v="reclaimer_debra"/>
    <s v="allocator_new"/>
    <s v="pool_none"/>
    <x v="0"/>
    <n v="20"/>
    <n v="20"/>
    <n v="0"/>
    <n v="1"/>
    <n v="20000000"/>
    <n v="190"/>
    <n v="190"/>
    <n v="190"/>
    <n v="0"/>
    <s v="insertIfAbsent"/>
    <n v="99989585665303"/>
    <n v="9999856"/>
    <n v="99989585665303"/>
    <n v="9999856"/>
    <s v="success"/>
    <n v="7"/>
    <n v="1799664"/>
    <n v="11797887"/>
    <n v="13597551"/>
    <n v="9999856"/>
    <n v="7.5556099999999997"/>
    <n v="0.84759700000000004"/>
    <n v="1.73542"/>
    <n v="4.0347900000000001"/>
    <n v="318344656"/>
    <s v="1861 59027 3305814 27859150 95516"/>
    <s v="37 57071 3304779 27857922 95513"/>
    <n v="135557"/>
    <n v="3578"/>
    <n v="304602616995"/>
    <n v="5686390880988"/>
    <n v="279012963"/>
    <n v="0"/>
    <n v="185988072"/>
    <n v="279012963"/>
    <n v="465001035"/>
    <n v="9300432"/>
    <n v="0"/>
    <n v="6199602"/>
    <n v="9300432"/>
    <n v="15500034"/>
    <n v="32.959099999999999"/>
    <n v="16.91"/>
    <n v="33528.6"/>
    <n v="31108.1"/>
    <n v="2680"/>
    <n v="339"/>
    <x v="7"/>
    <x v="0"/>
  </r>
  <r>
    <s v="disable_multicounter/step10009.txt"/>
    <x v="0"/>
    <n v="64"/>
    <s v="reclaimer_debra"/>
    <s v="allocator_new"/>
    <s v="pool_none"/>
    <x v="0"/>
    <n v="20"/>
    <n v="20"/>
    <n v="0"/>
    <n v="1"/>
    <n v="200000000"/>
    <n v="190"/>
    <n v="190"/>
    <n v="190"/>
    <n v="0"/>
    <s v="insertIfAbsent"/>
    <n v="9998664621393280"/>
    <n v="99983992"/>
    <n v="9998664621393280"/>
    <n v="99983992"/>
    <s v="success"/>
    <n v="7"/>
    <n v="14731084"/>
    <n v="117788920"/>
    <n v="132520004"/>
    <n v="99983992"/>
    <n v="8.9959399999999992"/>
    <n v="0.84884000000000004"/>
    <n v="1.75448"/>
    <n v="4.0762200000000002"/>
    <n v="2949431648"/>
    <s v="139 15125 1681590 15982093 2651610"/>
    <s v="3 14972 1681502 15982007 2651608"/>
    <n v="22270"/>
    <n v="3180"/>
    <n v="325778372797"/>
    <n v="5686612833092"/>
    <n v="284881247"/>
    <n v="0"/>
    <n v="189929485"/>
    <n v="284881247"/>
    <n v="474810732"/>
    <n v="9496041"/>
    <n v="0"/>
    <n v="6330982"/>
    <n v="9496041"/>
    <n v="15827024"/>
    <n v="32.054099999999998"/>
    <n v="16.701899999999998"/>
    <n v="31836.5"/>
    <n v="30084.9"/>
    <n v="12727"/>
    <n v="1069"/>
    <x v="8"/>
    <x v="0"/>
  </r>
  <r>
    <s v="disable_multicounter/step10010.txt"/>
    <x v="0"/>
    <n v="64"/>
    <s v="reclaimer_debra"/>
    <s v="allocator_new"/>
    <s v="pool_none"/>
    <x v="0"/>
    <n v="0.5"/>
    <n v="0.5"/>
    <n v="0"/>
    <n v="1"/>
    <n v="2000000"/>
    <n v="190"/>
    <n v="190"/>
    <n v="190"/>
    <n v="0"/>
    <s v="insertIfAbsent"/>
    <n v="998745812642"/>
    <n v="999346"/>
    <n v="998745812642"/>
    <n v="999346"/>
    <s v="success"/>
    <n v="6"/>
    <n v="83758"/>
    <n v="1137850"/>
    <n v="1221608"/>
    <n v="999346"/>
    <n v="14.585000000000001"/>
    <n v="0.87827599999999995"/>
    <n v="1.81806"/>
    <n v="3.1114299999999999"/>
    <n v="24344592"/>
    <s v="360 48530 1516401 1491841"/>
    <s v="96 48253 1516305 1491833"/>
    <n v="73878"/>
    <n v="30716"/>
    <n v="34145197642"/>
    <n v="5686389859534"/>
    <n v="4791911448"/>
    <n v="0"/>
    <n v="48403032"/>
    <n v="4791911448"/>
    <n v="4840314480"/>
    <n v="159730381"/>
    <n v="0"/>
    <n v="1613434"/>
    <n v="159730381"/>
    <n v="161343816"/>
    <n v="11.1845"/>
    <n v="0.61714500000000005"/>
    <n v="3280.87"/>
    <n v="2535.65"/>
    <n v="1280"/>
    <n v="399"/>
    <x v="0"/>
    <x v="0"/>
  </r>
  <r>
    <s v="disable_multicounter/step10011.txt"/>
    <x v="0"/>
    <n v="64"/>
    <s v="reclaimer_debra"/>
    <s v="allocator_new"/>
    <s v="pool_none"/>
    <x v="0"/>
    <n v="0.5"/>
    <n v="0.5"/>
    <n v="0"/>
    <n v="1"/>
    <n v="20000000"/>
    <n v="190"/>
    <n v="190"/>
    <n v="190"/>
    <n v="0"/>
    <s v="insertIfAbsent"/>
    <n v="99985530224439"/>
    <n v="9998343"/>
    <n v="99985530224439"/>
    <n v="9998343"/>
    <s v="success"/>
    <n v="7"/>
    <n v="1890863"/>
    <n v="11994028"/>
    <n v="13884891"/>
    <n v="9998343"/>
    <n v="7.3431499999999996"/>
    <n v="0.83360999999999996"/>
    <n v="1.7200899999999999"/>
    <n v="4.0532500000000002"/>
    <n v="328067144"/>
    <s v="24 12465 715089 6284984 21223"/>
    <s v="8 12414 715083 6284976 21223"/>
    <n v="15704"/>
    <n v="24610"/>
    <n v="63736882591"/>
    <n v="5686390199620"/>
    <n v="4180861007"/>
    <n v="0"/>
    <n v="42231443"/>
    <n v="4180861007"/>
    <n v="4223092450"/>
    <n v="139362033"/>
    <n v="0"/>
    <n v="1407714"/>
    <n v="139362033"/>
    <n v="140769748"/>
    <n v="16.8337"/>
    <n v="6.6706099999999999"/>
    <n v="3731.08"/>
    <n v="2959.94"/>
    <n v="2478"/>
    <n v="376"/>
    <x v="1"/>
    <x v="0"/>
  </r>
  <r>
    <s v="disable_multicounter/step10012.txt"/>
    <x v="0"/>
    <n v="64"/>
    <s v="reclaimer_debra"/>
    <s v="allocator_new"/>
    <s v="pool_none"/>
    <x v="0"/>
    <n v="0.5"/>
    <n v="0.5"/>
    <n v="0"/>
    <n v="1"/>
    <n v="200000000"/>
    <n v="190"/>
    <n v="190"/>
    <n v="190"/>
    <n v="0"/>
    <s v="insertIfAbsent"/>
    <n v="9999687100184080"/>
    <n v="99997915"/>
    <n v="9999687100184080"/>
    <n v="99997915"/>
    <s v="success"/>
    <n v="7"/>
    <n v="14764479"/>
    <n v="117876634"/>
    <n v="132641113"/>
    <n v="99997915"/>
    <n v="8.9838000000000005"/>
    <n v="0.84832700000000005"/>
    <n v="1.7539"/>
    <n v="4.0770600000000004"/>
    <n v="2953275848"/>
    <s v="0 0 148704 3208817 562376"/>
    <s v="0 0 148704 3208817 562376"/>
    <n v="3"/>
    <n v="23862"/>
    <n v="11568841330"/>
    <n v="5686390391500"/>
    <n v="3891502873"/>
    <n v="0"/>
    <n v="39312393"/>
    <n v="3891502873"/>
    <n v="3930815266"/>
    <n v="129716762"/>
    <n v="0"/>
    <n v="1310413"/>
    <n v="129716762"/>
    <n v="131027175"/>
    <n v="19.648900000000001"/>
    <n v="9.5027500000000007"/>
    <n v="4037.32"/>
    <n v="3282.94"/>
    <n v="8003"/>
    <n v="1064"/>
    <x v="2"/>
    <x v="0"/>
  </r>
  <r>
    <s v="disable_multicounter/step10013.txt"/>
    <x v="0"/>
    <n v="64"/>
    <s v="reclaimer_debra"/>
    <s v="allocator_new"/>
    <s v="pool_none"/>
    <x v="0"/>
    <n v="5"/>
    <n v="5"/>
    <n v="0"/>
    <n v="1"/>
    <n v="2000000"/>
    <n v="190"/>
    <n v="190"/>
    <n v="190"/>
    <n v="0"/>
    <s v="insertIfAbsent"/>
    <n v="999186643855"/>
    <n v="999074"/>
    <n v="999186643855"/>
    <n v="999074"/>
    <s v="success"/>
    <n v="7"/>
    <n v="73905"/>
    <n v="1118049"/>
    <n v="1191954"/>
    <n v="999074"/>
    <n v="16.1282"/>
    <n v="0.89358700000000002"/>
    <n v="1.8381799999999999"/>
    <n v="3.08995"/>
    <n v="23301208"/>
    <s v="5272 113961 3485939 3417173"/>
    <s v="221 110056 3483768 3417049"/>
    <n v="210642"/>
    <n v="7670"/>
    <n v="95055106358"/>
    <n v="5686390609122"/>
    <n v="999134237"/>
    <n v="0"/>
    <n v="111014730"/>
    <n v="999134237"/>
    <n v="1110148967"/>
    <n v="33304474"/>
    <n v="0"/>
    <n v="3700491"/>
    <n v="33304474"/>
    <n v="37004965"/>
    <n v="17.7287"/>
    <n v="4.1081700000000003"/>
    <n v="14304"/>
    <n v="13338.4"/>
    <n v="1301"/>
    <n v="408"/>
    <x v="3"/>
    <x v="0"/>
  </r>
  <r>
    <s v="disable_multicounter/step10014.txt"/>
    <x v="0"/>
    <n v="64"/>
    <s v="reclaimer_debra"/>
    <s v="allocator_new"/>
    <s v="pool_none"/>
    <x v="0"/>
    <n v="5"/>
    <n v="5"/>
    <n v="0"/>
    <n v="1"/>
    <n v="20000000"/>
    <n v="190"/>
    <n v="190"/>
    <n v="190"/>
    <n v="0"/>
    <s v="insertIfAbsent"/>
    <n v="99972121105303"/>
    <n v="9999677"/>
    <n v="99972121105303"/>
    <n v="9999677"/>
    <s v="success"/>
    <n v="7"/>
    <n v="1876703"/>
    <n v="11984690"/>
    <n v="13861393"/>
    <n v="9999677"/>
    <n v="7.3860299999999999"/>
    <n v="0.83437099999999997"/>
    <n v="1.7214"/>
    <n v="4.0479900000000004"/>
    <n v="326926136"/>
    <s v="428 34771 2015048 17150745 58809"/>
    <s v="22 34249 2014848 17150529 58808"/>
    <n v="55916"/>
    <n v="7892"/>
    <n v="151356430144"/>
    <n v="5686386573437"/>
    <n v="1027323697"/>
    <n v="0"/>
    <n v="114137186"/>
    <n v="1027323697"/>
    <n v="1141460883"/>
    <n v="34244123"/>
    <n v="0"/>
    <n v="3804572"/>
    <n v="34244123"/>
    <n v="38048696"/>
    <n v="22.321999999999999"/>
    <n v="9.3607800000000001"/>
    <n v="13760.2"/>
    <n v="12748.1"/>
    <n v="2540"/>
    <n v="370"/>
    <x v="4"/>
    <x v="0"/>
  </r>
  <r>
    <s v="disable_multicounter/step10015.txt"/>
    <x v="0"/>
    <n v="64"/>
    <s v="reclaimer_debra"/>
    <s v="allocator_new"/>
    <s v="pool_none"/>
    <x v="0"/>
    <n v="5"/>
    <n v="5"/>
    <n v="0"/>
    <n v="1"/>
    <n v="200000000"/>
    <n v="190"/>
    <n v="190"/>
    <n v="190"/>
    <n v="0"/>
    <s v="insertIfAbsent"/>
    <n v="9999378637209130"/>
    <n v="99997544"/>
    <n v="9999378637209130"/>
    <n v="99997544"/>
    <s v="success"/>
    <n v="7"/>
    <n v="14058218"/>
    <n v="116261636"/>
    <n v="130319854"/>
    <n v="99997544"/>
    <n v="9.2700099999999992"/>
    <n v="0.86010799999999998"/>
    <n v="1.76732"/>
    <n v="4.0630899999999999"/>
    <n v="2874718032"/>
    <s v="43 10042 1011867 9021522 1578971"/>
    <s v="2 9975 1011842 9021507 1578971"/>
    <n v="10094"/>
    <n v="7464"/>
    <n v="201035749226"/>
    <n v="5686432438297"/>
    <n v="1049156337"/>
    <n v="0"/>
    <n v="116567597"/>
    <n v="1049156337"/>
    <n v="1165723934"/>
    <n v="34971877"/>
    <n v="0"/>
    <n v="3885586"/>
    <n v="34971877"/>
    <n v="38857464"/>
    <n v="21.903099999999998"/>
    <n v="10.734999999999999"/>
    <n v="13246.9"/>
    <n v="12349.2"/>
    <n v="12742"/>
    <n v="1119"/>
    <x v="5"/>
    <x v="0"/>
  </r>
  <r>
    <s v="disable_multicounter/step10016.txt"/>
    <x v="0"/>
    <n v="64"/>
    <s v="reclaimer_debra"/>
    <s v="allocator_new"/>
    <s v="pool_none"/>
    <x v="0"/>
    <n v="20"/>
    <n v="20"/>
    <n v="0"/>
    <n v="1"/>
    <n v="2000000"/>
    <n v="190"/>
    <n v="190"/>
    <n v="190"/>
    <n v="0"/>
    <s v="insertIfAbsent"/>
    <n v="999534467445"/>
    <n v="999901"/>
    <n v="999534467445"/>
    <n v="999901"/>
    <s v="success"/>
    <n v="6"/>
    <n v="82645"/>
    <n v="1135117"/>
    <n v="1217762"/>
    <n v="999901"/>
    <n v="14.7349"/>
    <n v="0.88087899999999997"/>
    <n v="1.8210999999999999"/>
    <n v="3.1077900000000001"/>
    <n v="24206280"/>
    <s v="23214 193932 5677131 5560667"/>
    <s v="361 176417 5666863 5560151"/>
    <n v="494434"/>
    <n v="3144"/>
    <n v="204654244736"/>
    <n v="5686388913513"/>
    <n v="271178195"/>
    <n v="0"/>
    <n v="180805399"/>
    <n v="271178195"/>
    <n v="451983594"/>
    <n v="9039273"/>
    <n v="0"/>
    <n v="6026846"/>
    <n v="9039273"/>
    <n v="15066119"/>
    <n v="26.328099999999999"/>
    <n v="10.815899999999999"/>
    <n v="35109.800000000003"/>
    <n v="33245.800000000003"/>
    <n v="1324"/>
    <n v="203"/>
    <x v="6"/>
    <x v="0"/>
  </r>
  <r>
    <s v="disable_multicounter/step10017.txt"/>
    <x v="0"/>
    <n v="64"/>
    <s v="reclaimer_debra"/>
    <s v="allocator_new"/>
    <s v="pool_none"/>
    <x v="0"/>
    <n v="20"/>
    <n v="20"/>
    <n v="0"/>
    <n v="1"/>
    <n v="20000000"/>
    <n v="190"/>
    <n v="190"/>
    <n v="190"/>
    <n v="0"/>
    <s v="insertIfAbsent"/>
    <n v="100061063185957"/>
    <n v="10004617"/>
    <n v="100061063185957"/>
    <n v="10004617"/>
    <s v="success"/>
    <n v="7"/>
    <n v="1783891"/>
    <n v="11768535"/>
    <n v="13552426"/>
    <n v="10004617"/>
    <n v="7.5971200000000003"/>
    <n v="0.85011599999999998"/>
    <n v="1.7382200000000001"/>
    <n v="4.0315200000000004"/>
    <n v="316738504"/>
    <s v="1723 58868 3306093 27839053 95274"/>
    <s v="37 56982 3304987 27837895 95273"/>
    <n v="137759"/>
    <n v="3552"/>
    <n v="303672791965"/>
    <n v="5686389187355"/>
    <n v="278797909"/>
    <n v="0"/>
    <n v="185864779"/>
    <n v="278797909"/>
    <n v="464662688"/>
    <n v="9293263"/>
    <n v="0"/>
    <n v="6195492"/>
    <n v="9293263"/>
    <n v="15488756"/>
    <n v="32.906399999999998"/>
    <n v="16.8443"/>
    <n v="33549.699999999997"/>
    <n v="31118.5"/>
    <n v="2681"/>
    <n v="377"/>
    <x v="7"/>
    <x v="0"/>
  </r>
  <r>
    <s v="disable_multicounter/step10018.txt"/>
    <x v="0"/>
    <n v="64"/>
    <s v="reclaimer_debra"/>
    <s v="allocator_new"/>
    <s v="pool_none"/>
    <x v="0"/>
    <n v="20"/>
    <n v="20"/>
    <n v="0"/>
    <n v="1"/>
    <n v="200000000"/>
    <n v="190"/>
    <n v="190"/>
    <n v="190"/>
    <n v="0"/>
    <s v="insertIfAbsent"/>
    <n v="9999791182423110"/>
    <n v="99997474"/>
    <n v="9999791182423110"/>
    <n v="99997474"/>
    <s v="success"/>
    <n v="7"/>
    <n v="14939238"/>
    <n v="118259973"/>
    <n v="133199211"/>
    <n v="99997474"/>
    <n v="8.9160599999999999"/>
    <n v="0.84557300000000002"/>
    <n v="1.75074"/>
    <n v="4.0817699999999997"/>
    <n v="2972124992"/>
    <s v="130 15043 1568312 15275418 2568117"/>
    <s v="3 14865 1568230 15275326 2568115"/>
    <n v="21952"/>
    <n v="2962"/>
    <n v="318338488461"/>
    <n v="5686581857882"/>
    <n v="276438928"/>
    <n v="0"/>
    <n v="184302415"/>
    <n v="276438928"/>
    <n v="460741343"/>
    <n v="9214630"/>
    <n v="0"/>
    <n v="6143413"/>
    <n v="9214630"/>
    <n v="15358044"/>
    <n v="29.1816"/>
    <n v="15.4466"/>
    <n v="32758.7"/>
    <n v="31000.7"/>
    <n v="12820"/>
    <n v="1068"/>
    <x v="8"/>
    <x v="0"/>
  </r>
  <r>
    <s v="disable_multicounter/step10019.txt"/>
    <x v="0"/>
    <n v="64"/>
    <s v="reclaimer_debra"/>
    <s v="allocator_new"/>
    <s v="pool_none"/>
    <x v="0"/>
    <n v="0.5"/>
    <n v="0.5"/>
    <n v="0"/>
    <n v="1"/>
    <n v="2000000"/>
    <n v="190"/>
    <n v="190"/>
    <n v="190"/>
    <n v="0"/>
    <s v="insertIfAbsent"/>
    <n v="999330295597"/>
    <n v="999850"/>
    <n v="999330295597"/>
    <n v="999850"/>
    <s v="success"/>
    <n v="7"/>
    <n v="82388"/>
    <n v="1134587"/>
    <n v="1216975"/>
    <n v="999850"/>
    <n v="14.7713"/>
    <n v="0.88124599999999997"/>
    <n v="1.82159"/>
    <n v="3.1071599999999999"/>
    <n v="24177024"/>
    <s v="370 48942 1524323 1500494"/>
    <s v="97 48681 1524228 1500487"/>
    <n v="68077"/>
    <n v="30858"/>
    <n v="34272351017"/>
    <n v="5686388604493"/>
    <n v="4827495101"/>
    <n v="0"/>
    <n v="48775075"/>
    <n v="4827495101"/>
    <n v="4876270176"/>
    <n v="160916503"/>
    <n v="0"/>
    <n v="1625835"/>
    <n v="160916503"/>
    <n v="162542339"/>
    <n v="11.222300000000001"/>
    <n v="0.61604099999999995"/>
    <n v="3256.85"/>
    <n v="2510.11"/>
    <n v="1278"/>
    <n v="157"/>
    <x v="0"/>
    <x v="0"/>
  </r>
  <r>
    <s v="disable_multicounter/step10020.txt"/>
    <x v="0"/>
    <n v="64"/>
    <s v="reclaimer_debra"/>
    <s v="allocator_new"/>
    <s v="pool_none"/>
    <x v="0"/>
    <n v="0.5"/>
    <n v="0.5"/>
    <n v="0"/>
    <n v="1"/>
    <n v="20000000"/>
    <n v="190"/>
    <n v="190"/>
    <n v="190"/>
    <n v="0"/>
    <s v="insertIfAbsent"/>
    <n v="100008726892939"/>
    <n v="10000941"/>
    <n v="100008726892939"/>
    <n v="10000941"/>
    <s v="success"/>
    <n v="7"/>
    <n v="1897268"/>
    <n v="12011983"/>
    <n v="13909251"/>
    <n v="10000941"/>
    <n v="7.3311999999999999"/>
    <n v="0.83257999999999999"/>
    <n v="1.7190099999999999"/>
    <n v="4.05436"/>
    <n v="328819312"/>
    <s v="23 12561 715841 6316782 21446"/>
    <s v="8 12516 715835 6316771 21446"/>
    <n v="14844"/>
    <n v="24888"/>
    <n v="62518130608"/>
    <n v="5686388585581"/>
    <n v="4198802353"/>
    <n v="0"/>
    <n v="42400320"/>
    <n v="4198802353"/>
    <n v="4241202673"/>
    <n v="139960078"/>
    <n v="0"/>
    <n v="1413344"/>
    <n v="139960078"/>
    <n v="141373422"/>
    <n v="16.7667"/>
    <n v="6.6663199999999998"/>
    <n v="3716"/>
    <n v="2954.02"/>
    <n v="2477"/>
    <n v="345"/>
    <x v="1"/>
    <x v="0"/>
  </r>
  <r>
    <s v="disable_multicounter/step10021.txt"/>
    <x v="0"/>
    <n v="64"/>
    <s v="reclaimer_debra"/>
    <s v="allocator_new"/>
    <s v="pool_none"/>
    <x v="0"/>
    <n v="0.5"/>
    <n v="0.5"/>
    <n v="0"/>
    <n v="1"/>
    <n v="200000000"/>
    <n v="190"/>
    <n v="190"/>
    <n v="190"/>
    <n v="0"/>
    <s v="insertIfAbsent"/>
    <n v="1.00001492082931E+16"/>
    <n v="99999161"/>
    <n v="1.00001492082931E+16"/>
    <n v="99999161"/>
    <s v="success"/>
    <n v="7"/>
    <n v="14744596"/>
    <n v="117832409"/>
    <n v="132577005"/>
    <n v="99999161"/>
    <n v="8.9915699999999994"/>
    <n v="0.84865599999999997"/>
    <n v="1.75427"/>
    <n v="4.07653"/>
    <n v="2951113824"/>
    <s v="0 0 159168 3255797 568635"/>
    <s v="0 0 159167 3255797 568635"/>
    <n v="2"/>
    <n v="23786"/>
    <n v="11857742460"/>
    <n v="5686388618941"/>
    <n v="3931391407"/>
    <n v="0"/>
    <n v="39711687"/>
    <n v="3931391407"/>
    <n v="3971103094"/>
    <n v="131046380"/>
    <n v="0"/>
    <n v="1323722"/>
    <n v="131046380"/>
    <n v="132370103"/>
    <n v="19.6233"/>
    <n v="9.4975100000000001"/>
    <n v="3995.91"/>
    <n v="3232.67"/>
    <n v="8013"/>
    <n v="1097"/>
    <x v="2"/>
    <x v="0"/>
  </r>
  <r>
    <s v="disable_multicounter/step10022.txt"/>
    <x v="0"/>
    <n v="64"/>
    <s v="reclaimer_debra"/>
    <s v="allocator_new"/>
    <s v="pool_none"/>
    <x v="0"/>
    <n v="5"/>
    <n v="5"/>
    <n v="0"/>
    <n v="1"/>
    <n v="2000000"/>
    <n v="190"/>
    <n v="190"/>
    <n v="190"/>
    <n v="0"/>
    <s v="insertIfAbsent"/>
    <n v="1000833501025"/>
    <n v="1000589"/>
    <n v="1000833501025"/>
    <n v="1000589"/>
    <s v="success"/>
    <n v="6"/>
    <n v="84434"/>
    <n v="1140188"/>
    <n v="1224622"/>
    <n v="1000589"/>
    <n v="14.5039"/>
    <n v="0.87756500000000004"/>
    <n v="1.8170599999999999"/>
    <n v="3.1122399999999999"/>
    <n v="24426160"/>
    <s v="5386 113768 3474965 3409917"/>
    <s v="221 109924 3472877 3409806"/>
    <n v="211669"/>
    <n v="7664"/>
    <n v="96150626011"/>
    <n v="5686388692583"/>
    <n v="997496743"/>
    <n v="0"/>
    <n v="110838805"/>
    <n v="997496743"/>
    <n v="1108335548"/>
    <n v="33249891"/>
    <n v="0"/>
    <n v="3694626"/>
    <n v="33249891"/>
    <n v="36944518"/>
    <n v="17.7776"/>
    <n v="4.14276"/>
    <n v="14320.2"/>
    <n v="13365"/>
    <n v="1304"/>
    <n v="383"/>
    <x v="3"/>
    <x v="0"/>
  </r>
  <r>
    <s v="disable_multicounter/step10023.txt"/>
    <x v="0"/>
    <n v="64"/>
    <s v="reclaimer_debra"/>
    <s v="allocator_new"/>
    <s v="pool_none"/>
    <x v="0"/>
    <n v="5"/>
    <n v="5"/>
    <n v="0"/>
    <n v="1"/>
    <n v="20000000"/>
    <n v="190"/>
    <n v="190"/>
    <n v="190"/>
    <n v="0"/>
    <s v="insertIfAbsent"/>
    <n v="99986026312993"/>
    <n v="10000325"/>
    <n v="99986026312993"/>
    <n v="10000325"/>
    <s v="success"/>
    <n v="7"/>
    <n v="1855313"/>
    <n v="11942382"/>
    <n v="13797695"/>
    <n v="10000325"/>
    <n v="7.4368600000000002"/>
    <n v="0.83738100000000004"/>
    <n v="1.72478"/>
    <n v="4.0428300000000004"/>
    <n v="324707288"/>
    <s v="389 34688 2037452 17218658 58788"/>
    <s v="22 34170 2037217 17218402 58788"/>
    <n v="63132"/>
    <n v="7852"/>
    <n v="152979516800"/>
    <n v="5686432695031"/>
    <n v="1031446110"/>
    <n v="0"/>
    <n v="114603087"/>
    <n v="1031446110"/>
    <n v="1146049197"/>
    <n v="34381537"/>
    <n v="0"/>
    <n v="3820102"/>
    <n v="34381537"/>
    <n v="38201639"/>
    <n v="22.229700000000001"/>
    <n v="9.30077"/>
    <n v="13699.2"/>
    <n v="12693.8"/>
    <n v="2541"/>
    <n v="343"/>
    <x v="4"/>
    <x v="0"/>
  </r>
  <r>
    <s v="disable_multicounter/step10024.txt"/>
    <x v="0"/>
    <n v="64"/>
    <s v="reclaimer_debra"/>
    <s v="allocator_new"/>
    <s v="pool_none"/>
    <x v="0"/>
    <n v="5"/>
    <n v="5"/>
    <n v="0"/>
    <n v="1"/>
    <n v="200000000"/>
    <n v="190"/>
    <n v="190"/>
    <n v="190"/>
    <n v="0"/>
    <s v="insertIfAbsent"/>
    <n v="1.0000201425965E+16"/>
    <n v="100004544"/>
    <n v="1.0000201425965E+16"/>
    <n v="100004544"/>
    <s v="success"/>
    <n v="7"/>
    <n v="14217612"/>
    <n v="116620118"/>
    <n v="130837730"/>
    <n v="100004544"/>
    <n v="9.2025100000000002"/>
    <n v="0.85752399999999995"/>
    <n v="1.76434"/>
    <n v="4.0664800000000003"/>
    <n v="2892197072"/>
    <s v="21 10078 1011851 9152842 1605759"/>
    <s v="2 10017 1011834 9152824 1605758"/>
    <n v="9997"/>
    <n v="7364"/>
    <n v="196352956911"/>
    <n v="5686438168423"/>
    <n v="1063055263"/>
    <n v="0"/>
    <n v="118127949"/>
    <n v="1063055263"/>
    <n v="1181183212"/>
    <n v="35435175"/>
    <n v="0"/>
    <n v="3937598"/>
    <n v="35435175"/>
    <n v="39372773"/>
    <n v="22.3385"/>
    <n v="10.8462"/>
    <n v="13080.2"/>
    <n v="12189.9"/>
    <n v="12771"/>
    <n v="1128"/>
    <x v="5"/>
    <x v="0"/>
  </r>
  <r>
    <s v="disable_multicounter/step10025.txt"/>
    <x v="0"/>
    <n v="64"/>
    <s v="reclaimer_debra"/>
    <s v="allocator_new"/>
    <s v="pool_none"/>
    <x v="0"/>
    <n v="20"/>
    <n v="20"/>
    <n v="0"/>
    <n v="1"/>
    <n v="2000000"/>
    <n v="190"/>
    <n v="190"/>
    <n v="190"/>
    <n v="0"/>
    <s v="insertIfAbsent"/>
    <n v="999038005177"/>
    <n v="998752"/>
    <n v="999038005177"/>
    <n v="998752"/>
    <s v="success"/>
    <n v="6"/>
    <n v="82606"/>
    <n v="1135191"/>
    <n v="1217797"/>
    <n v="998752"/>
    <n v="14.7422"/>
    <n v="0.87980999999999998"/>
    <n v="1.82013"/>
    <n v="3.1091199999999999"/>
    <n v="24219648"/>
    <s v="23523 195033 5700911 5583767"/>
    <s v="362 177258 5690721 5583211"/>
    <n v="498703"/>
    <n v="3214"/>
    <n v="205252105881"/>
    <n v="5686389616545"/>
    <n v="272226613"/>
    <n v="0"/>
    <n v="181464566"/>
    <n v="272226613"/>
    <n v="453691179"/>
    <n v="9074220"/>
    <n v="0"/>
    <n v="6048818"/>
    <n v="9074220"/>
    <n v="15123039"/>
    <n v="26.1143"/>
    <n v="10.689299999999999"/>
    <n v="34973.1"/>
    <n v="33084.1"/>
    <n v="1325"/>
    <n v="225"/>
    <x v="6"/>
    <x v="0"/>
  </r>
  <r>
    <s v="disable_multicounter/step10026.txt"/>
    <x v="0"/>
    <n v="64"/>
    <s v="reclaimer_debra"/>
    <s v="allocator_new"/>
    <s v="pool_none"/>
    <x v="0"/>
    <n v="20"/>
    <n v="20"/>
    <n v="0"/>
    <n v="1"/>
    <n v="20000000"/>
    <n v="190"/>
    <n v="190"/>
    <n v="190"/>
    <n v="0"/>
    <s v="insertIfAbsent"/>
    <n v="100000084380741"/>
    <n v="10000319"/>
    <n v="100000084380741"/>
    <n v="10000319"/>
    <s v="success"/>
    <n v="7"/>
    <n v="1778817"/>
    <n v="11754623"/>
    <n v="13533440"/>
    <n v="10000319"/>
    <n v="7.6081099999999999"/>
    <n v="0.85075599999999996"/>
    <n v="1.7389300000000001"/>
    <n v="4.0306199999999999"/>
    <n v="316150376"/>
    <s v="1938 59104 3306405 27837539 95305"/>
    <s v="37 57166 3305446 27836288 95303"/>
    <n v="138960"/>
    <n v="3512"/>
    <n v="304059557828"/>
    <n v="5686389772347"/>
    <n v="278788157"/>
    <n v="0"/>
    <n v="185853777"/>
    <n v="278788157"/>
    <n v="464641934"/>
    <n v="9292938"/>
    <n v="0"/>
    <n v="6195125"/>
    <n v="9292938"/>
    <n v="15488064"/>
    <n v="32.600499999999997"/>
    <n v="16.7349"/>
    <n v="33580.1"/>
    <n v="31138.799999999999"/>
    <n v="2660"/>
    <n v="360"/>
    <x v="7"/>
    <x v="0"/>
  </r>
  <r>
    <s v="disable_multicounter/step10027.txt"/>
    <x v="0"/>
    <n v="64"/>
    <s v="reclaimer_debra"/>
    <s v="allocator_new"/>
    <s v="pool_none"/>
    <x v="0"/>
    <n v="20"/>
    <n v="20"/>
    <n v="0"/>
    <n v="1"/>
    <n v="200000000"/>
    <n v="190"/>
    <n v="190"/>
    <n v="190"/>
    <n v="0"/>
    <s v="insertIfAbsent"/>
    <n v="1.00000509447621E+16"/>
    <n v="100004898"/>
    <n v="1.00000509447621E+16"/>
    <n v="100004898"/>
    <s v="success"/>
    <n v="7"/>
    <n v="14677717"/>
    <n v="117680520"/>
    <n v="132358237"/>
    <n v="100004898"/>
    <n v="9.0176300000000005"/>
    <n v="0.8498"/>
    <n v="1.75556"/>
    <n v="4.0747400000000003"/>
    <n v="2943771032"/>
    <s v="135 15036 1709348 16094883 2669526"/>
    <s v="3 14863 1709253 16094786 2669526"/>
    <n v="22529"/>
    <n v="3092"/>
    <n v="328988680671"/>
    <n v="5686390245043"/>
    <n v="286249972"/>
    <n v="0"/>
    <n v="190844546"/>
    <n v="286249972"/>
    <n v="477094518"/>
    <n v="9541665"/>
    <n v="0"/>
    <n v="6361484"/>
    <n v="9541665"/>
    <n v="15903150"/>
    <n v="30.4956"/>
    <n v="15.937200000000001"/>
    <n v="31622.7"/>
    <n v="29890.400000000001"/>
    <n v="12852"/>
    <n v="1140"/>
    <x v="8"/>
    <x v="0"/>
  </r>
  <r>
    <s v="istree_exp1_scaling_threads/scaling_threads/step10085.txt"/>
    <x v="1"/>
    <n v="72"/>
    <s v="reclaimer_debra"/>
    <s v="allocator_new"/>
    <s v="pool_none"/>
    <x v="0"/>
    <n v="0.5"/>
    <n v="0.5"/>
    <n v="0"/>
    <n v="1"/>
    <n v="2000000"/>
    <n v="190"/>
    <n v="190"/>
    <n v="190"/>
    <n v="0"/>
    <s v="insertIfAbsent"/>
    <n v="999835045740"/>
    <n v="999287"/>
    <n v="999835045740"/>
    <n v="999287"/>
    <s v="success"/>
    <n v="6"/>
    <n v="53635"/>
    <n v="1073091"/>
    <n v="1126726"/>
    <n v="999287"/>
    <n v="21.007300000000001"/>
    <n v="0.93122300000000002"/>
    <n v="1.88689"/>
    <n v="3.0430299999999999"/>
    <m/>
    <m/>
    <m/>
    <m/>
    <m/>
    <m/>
    <m/>
    <n v="12439252863"/>
    <n v="0"/>
    <n v="125636628"/>
    <n v="12439252863"/>
    <n v="12564889491"/>
    <n v="414641762"/>
    <n v="0"/>
    <n v="4187887"/>
    <n v="414641762"/>
    <n v="418829649"/>
    <n v="8.6910299999999996"/>
    <n v="0.41849999999999998"/>
    <n v="1244.21"/>
    <n v="507.77499999999998"/>
    <n v="1417"/>
    <n v="319"/>
    <x v="0"/>
    <x v="0"/>
  </r>
  <r>
    <s v="istree_exp1_scaling_threads/scaling_threads/step10105.txt"/>
    <x v="1"/>
    <n v="72"/>
    <s v="reclaimer_debra"/>
    <s v="allocator_new"/>
    <s v="pool_none"/>
    <x v="0"/>
    <n v="0.5"/>
    <n v="0.5"/>
    <n v="0"/>
    <n v="1"/>
    <n v="20000000"/>
    <n v="190"/>
    <n v="190"/>
    <n v="190"/>
    <n v="0"/>
    <s v="insertIfAbsent"/>
    <n v="99986455043617"/>
    <n v="9998828"/>
    <n v="99986455043617"/>
    <n v="9998828"/>
    <s v="success"/>
    <n v="7"/>
    <n v="1772802"/>
    <n v="11746158"/>
    <n v="13518960"/>
    <n v="9998828"/>
    <n v="7.6257599999999996"/>
    <n v="0.85124200000000005"/>
    <n v="1.7396199999999999"/>
    <n v="4.0302199999999999"/>
    <m/>
    <m/>
    <m/>
    <m/>
    <m/>
    <m/>
    <m/>
    <n v="7367812203"/>
    <n v="0"/>
    <n v="74436137"/>
    <n v="7367812203"/>
    <n v="7442248340"/>
    <n v="245593740"/>
    <n v="0"/>
    <n v="2481204"/>
    <n v="245593740"/>
    <n v="248074944"/>
    <n v="16.342600000000001"/>
    <n v="6.65191"/>
    <n v="2105.85"/>
    <n v="1323.7"/>
    <n v="2732"/>
    <n v="414"/>
    <x v="1"/>
    <x v="0"/>
  </r>
  <r>
    <s v="istree_exp1_scaling_threads/scaling_threads/step10125.txt"/>
    <x v="1"/>
    <n v="72"/>
    <s v="reclaimer_debra"/>
    <s v="allocator_new"/>
    <s v="pool_none"/>
    <x v="0"/>
    <n v="0.5"/>
    <n v="0.5"/>
    <n v="0"/>
    <n v="1"/>
    <n v="200000000"/>
    <n v="190"/>
    <n v="190"/>
    <n v="190"/>
    <n v="0"/>
    <s v="insertIfAbsent"/>
    <n v="9999758602336900"/>
    <n v="100001679"/>
    <n v="9999758602336900"/>
    <n v="100001679"/>
    <s v="success"/>
    <n v="7"/>
    <n v="12544402"/>
    <n v="113102318"/>
    <n v="125646720"/>
    <n v="100001679"/>
    <n v="10.0162"/>
    <n v="0.88417000000000001"/>
    <n v="1.7959000000000001"/>
    <n v="4.03125"/>
    <m/>
    <m/>
    <m/>
    <m/>
    <m/>
    <m/>
    <m/>
    <n v="5617040370"/>
    <n v="0"/>
    <n v="56725964"/>
    <n v="5617040370"/>
    <n v="5673766334"/>
    <n v="187234679"/>
    <n v="0"/>
    <n v="1890865"/>
    <n v="187234679"/>
    <n v="189125544"/>
    <n v="19.406099999999999"/>
    <n v="9.5748999999999995"/>
    <n v="2739.01"/>
    <n v="1976.2"/>
    <n v="13350"/>
    <n v="1219"/>
    <x v="2"/>
    <x v="0"/>
  </r>
  <r>
    <s v="istree_exp1_scaling_threads/scaling_threads/step10165.txt"/>
    <x v="1"/>
    <n v="72"/>
    <s v="reclaimer_debra"/>
    <s v="allocator_new"/>
    <s v="pool_none"/>
    <x v="0"/>
    <n v="5"/>
    <n v="5"/>
    <n v="0"/>
    <n v="1"/>
    <n v="2000000"/>
    <n v="190"/>
    <n v="190"/>
    <n v="190"/>
    <n v="0"/>
    <s v="insertIfAbsent"/>
    <n v="999404080834"/>
    <n v="999677"/>
    <n v="999404080834"/>
    <n v="999677"/>
    <s v="success"/>
    <n v="6"/>
    <n v="57680"/>
    <n v="1081977"/>
    <n v="1139657"/>
    <n v="999677"/>
    <n v="19.758299999999998"/>
    <n v="0.92393599999999998"/>
    <n v="1.87717"/>
    <n v="3.0515500000000002"/>
    <m/>
    <m/>
    <m/>
    <m/>
    <m/>
    <m/>
    <m/>
    <n v="6190820070"/>
    <n v="0"/>
    <n v="687853448"/>
    <n v="6190820070"/>
    <n v="6878673518"/>
    <n v="206360669"/>
    <n v="0"/>
    <n v="22928448"/>
    <n v="206360669"/>
    <n v="229289117"/>
    <n v="12.4824"/>
    <n v="3.1570999999999998"/>
    <n v="2303.87"/>
    <n v="1475.35"/>
    <n v="1590"/>
    <n v="280"/>
    <x v="3"/>
    <x v="0"/>
  </r>
  <r>
    <s v="istree_exp1_scaling_threads/scaling_threads/step10185.txt"/>
    <x v="1"/>
    <n v="72"/>
    <s v="reclaimer_debra"/>
    <s v="allocator_new"/>
    <s v="pool_none"/>
    <x v="0"/>
    <n v="5"/>
    <n v="5"/>
    <n v="0"/>
    <n v="1"/>
    <n v="20000000"/>
    <n v="190"/>
    <n v="190"/>
    <n v="190"/>
    <n v="0"/>
    <s v="insertIfAbsent"/>
    <n v="99989770084437"/>
    <n v="10000351"/>
    <n v="99989770084437"/>
    <n v="10000351"/>
    <s v="success"/>
    <n v="7"/>
    <n v="1642698"/>
    <n v="11476840"/>
    <n v="13119538"/>
    <n v="10000351"/>
    <n v="7.98658"/>
    <n v="0.87135099999999999"/>
    <n v="1.7622500000000001"/>
    <n v="4.0033799999999999"/>
    <m/>
    <m/>
    <m/>
    <m/>
    <m/>
    <m/>
    <m/>
    <n v="4904824317"/>
    <n v="0"/>
    <n v="544974299"/>
    <n v="4904824317"/>
    <n v="5449798616"/>
    <n v="163494143"/>
    <n v="0"/>
    <n v="18165809"/>
    <n v="163494143"/>
    <n v="181659953"/>
    <n v="19.2593"/>
    <n v="8.5625"/>
    <n v="2854.45"/>
    <n v="1929.76"/>
    <n v="2871"/>
    <n v="463"/>
    <x v="4"/>
    <x v="0"/>
  </r>
  <r>
    <s v="istree_exp1_scaling_threads/scaling_threads/step10205.txt"/>
    <x v="1"/>
    <n v="72"/>
    <s v="reclaimer_debra"/>
    <s v="allocator_new"/>
    <s v="pool_none"/>
    <x v="0"/>
    <n v="5"/>
    <n v="5"/>
    <n v="0"/>
    <n v="1"/>
    <n v="200000000"/>
    <n v="190"/>
    <n v="190"/>
    <n v="190"/>
    <n v="0"/>
    <s v="insertIfAbsent"/>
    <n v="9999194203323920"/>
    <n v="99991558"/>
    <n v="9999194203323920"/>
    <n v="99991558"/>
    <s v="success"/>
    <n v="7"/>
    <n v="14718658"/>
    <n v="117719729"/>
    <n v="132438387"/>
    <n v="99991558"/>
    <n v="8.9979899999999997"/>
    <n v="0.84940400000000005"/>
    <n v="1.7549999999999999"/>
    <n v="4.0773299999999999"/>
    <m/>
    <m/>
    <m/>
    <m/>
    <m/>
    <m/>
    <m/>
    <n v="3822205301"/>
    <n v="0"/>
    <n v="424691924"/>
    <n v="3822205301"/>
    <n v="4246897225"/>
    <n v="127406843"/>
    <n v="0"/>
    <n v="14156397"/>
    <n v="127406843"/>
    <n v="141563240"/>
    <n v="22.249500000000001"/>
    <n v="11.283799999999999"/>
    <n v="3461.27"/>
    <n v="2580.65"/>
    <n v="14282"/>
    <n v="1076"/>
    <x v="5"/>
    <x v="0"/>
  </r>
  <r>
    <s v="istree_exp1_scaling_threads/scaling_threads/step10245.txt"/>
    <x v="1"/>
    <n v="72"/>
    <s v="reclaimer_debra"/>
    <s v="allocator_new"/>
    <s v="pool_none"/>
    <x v="0"/>
    <n v="20"/>
    <n v="20"/>
    <n v="0"/>
    <n v="1"/>
    <n v="2000000"/>
    <n v="190"/>
    <n v="190"/>
    <n v="190"/>
    <n v="0"/>
    <s v="insertIfAbsent"/>
    <n v="999982522472"/>
    <n v="1000466"/>
    <n v="999982522472"/>
    <n v="1000466"/>
    <s v="success"/>
    <n v="6"/>
    <n v="53830"/>
    <n v="1074771"/>
    <n v="1128601"/>
    <n v="1000466"/>
    <n v="20.966000000000001"/>
    <n v="0.93086400000000002"/>
    <n v="1.8864700000000001"/>
    <n v="3.0434800000000002"/>
    <m/>
    <m/>
    <m/>
    <m/>
    <m/>
    <m/>
    <m/>
    <n v="1732750100"/>
    <n v="0"/>
    <n v="1155175554"/>
    <n v="1732750100"/>
    <n v="2887925654"/>
    <n v="57758336"/>
    <n v="0"/>
    <n v="38505851"/>
    <n v="57758336"/>
    <n v="96264188"/>
    <n v="25.0594"/>
    <n v="11.960599999999999"/>
    <n v="5484.09"/>
    <n v="4201.26"/>
    <n v="1754"/>
    <n v="238"/>
    <x v="6"/>
    <x v="0"/>
  </r>
  <r>
    <s v="istree_exp1_scaling_threads/scaling_threads/step10265.txt"/>
    <x v="1"/>
    <n v="72"/>
    <s v="reclaimer_debra"/>
    <s v="allocator_new"/>
    <s v="pool_none"/>
    <x v="0"/>
    <n v="20"/>
    <n v="20"/>
    <n v="0"/>
    <n v="1"/>
    <n v="20000000"/>
    <n v="190"/>
    <n v="190"/>
    <n v="190"/>
    <n v="0"/>
    <s v="insertIfAbsent"/>
    <n v="99998199829640"/>
    <n v="9998385"/>
    <n v="99998199829640"/>
    <n v="9998385"/>
    <s v="success"/>
    <n v="7"/>
    <n v="1899976"/>
    <n v="12014808"/>
    <n v="13914784"/>
    <n v="9998385"/>
    <n v="7.3236600000000003"/>
    <n v="0.83217200000000002"/>
    <n v="1.71854"/>
    <n v="4.0549299999999997"/>
    <m/>
    <m/>
    <m/>
    <m/>
    <m/>
    <m/>
    <m/>
    <n v="1743620250"/>
    <n v="0"/>
    <n v="1162436033"/>
    <n v="1743620250"/>
    <n v="2906056283"/>
    <n v="58120675"/>
    <n v="0"/>
    <n v="38747867"/>
    <n v="58120675"/>
    <n v="96868542"/>
    <n v="28.7178"/>
    <n v="15.287000000000001"/>
    <n v="5289.51"/>
    <n v="3631.44"/>
    <n v="2940"/>
    <n v="430"/>
    <x v="7"/>
    <x v="0"/>
  </r>
  <r>
    <s v="istree_exp1_scaling_threads/scaling_threads/step10285.txt"/>
    <x v="1"/>
    <n v="72"/>
    <s v="reclaimer_debra"/>
    <s v="allocator_new"/>
    <s v="pool_none"/>
    <x v="0"/>
    <n v="20"/>
    <n v="20"/>
    <n v="0"/>
    <n v="1"/>
    <n v="200000000"/>
    <n v="190"/>
    <n v="190"/>
    <n v="190"/>
    <n v="0"/>
    <s v="insertIfAbsent"/>
    <n v="9999831485565940"/>
    <n v="99989179"/>
    <n v="9999831485565940"/>
    <n v="99989179"/>
    <s v="success"/>
    <n v="7"/>
    <n v="11184610"/>
    <n v="110338426"/>
    <n v="121523036"/>
    <n v="99989179"/>
    <n v="10.8652"/>
    <n v="0.90620500000000004"/>
    <n v="1.8228"/>
    <n v="4.0034999999999998"/>
    <m/>
    <m/>
    <m/>
    <m/>
    <m/>
    <m/>
    <m/>
    <n v="1501174471"/>
    <n v="0"/>
    <n v="1000719258"/>
    <n v="1501174471"/>
    <n v="2501893729"/>
    <n v="50039149"/>
    <n v="0"/>
    <n v="33357308"/>
    <n v="50039149"/>
    <n v="83396457"/>
    <n v="31.511700000000001"/>
    <n v="17.642499999999998"/>
    <n v="5688.54"/>
    <n v="4209.05"/>
    <n v="14460"/>
    <n v="1130"/>
    <x v="8"/>
    <x v="0"/>
  </r>
  <r>
    <s v="istree_exp1_scaling_threads/scaling_threads/step10405.txt"/>
    <x v="1"/>
    <n v="72"/>
    <s v="reclaimer_debra"/>
    <s v="allocator_new"/>
    <s v="pool_none"/>
    <x v="0"/>
    <n v="0.5"/>
    <n v="0.5"/>
    <n v="0"/>
    <n v="1"/>
    <n v="2000000"/>
    <n v="190"/>
    <n v="190"/>
    <n v="190"/>
    <n v="0"/>
    <s v="insertIfAbsent"/>
    <n v="1000013528401"/>
    <n v="1000022"/>
    <n v="1000013528401"/>
    <n v="1000022"/>
    <s v="success"/>
    <n v="6"/>
    <n v="57538"/>
    <n v="1081807"/>
    <n v="1139345"/>
    <n v="1000022"/>
    <n v="19.801600000000001"/>
    <n v="0.9244"/>
    <n v="1.8777200000000001"/>
    <n v="3.0511300000000001"/>
    <m/>
    <m/>
    <m/>
    <m/>
    <m/>
    <m/>
    <m/>
    <n v="12315483338"/>
    <n v="0"/>
    <n v="124415316"/>
    <n v="12315483338"/>
    <n v="12439898654"/>
    <n v="410516111"/>
    <n v="0"/>
    <n v="4147177"/>
    <n v="410516111"/>
    <n v="414663288"/>
    <n v="8.6831399999999999"/>
    <n v="0.41703200000000001"/>
    <n v="1258.56"/>
    <n v="520.18899999999996"/>
    <n v="1420"/>
    <n v="163"/>
    <x v="0"/>
    <x v="0"/>
  </r>
  <r>
    <s v="istree_exp1_scaling_threads/scaling_threads/step10425.txt"/>
    <x v="1"/>
    <n v="72"/>
    <s v="reclaimer_debra"/>
    <s v="allocator_new"/>
    <s v="pool_none"/>
    <x v="0"/>
    <n v="0.5"/>
    <n v="0.5"/>
    <n v="0"/>
    <n v="1"/>
    <n v="20000000"/>
    <n v="190"/>
    <n v="190"/>
    <n v="190"/>
    <n v="0"/>
    <s v="insertIfAbsent"/>
    <n v="100064071276951"/>
    <n v="10004000"/>
    <n v="100064071276951"/>
    <n v="10004000"/>
    <s v="success"/>
    <n v="7"/>
    <n v="1627452"/>
    <n v="11449759"/>
    <n v="13077211"/>
    <n v="10004000"/>
    <n v="8.0353899999999996"/>
    <n v="0.87373000000000001"/>
    <n v="1.7649900000000001"/>
    <n v="4.0003299999999999"/>
    <m/>
    <m/>
    <m/>
    <m/>
    <m/>
    <m/>
    <m/>
    <n v="7423940279"/>
    <n v="0"/>
    <n v="75020593"/>
    <n v="7423940279"/>
    <n v="7498960872"/>
    <n v="247464675"/>
    <n v="0"/>
    <n v="2500686"/>
    <n v="247464675"/>
    <n v="249965362"/>
    <n v="16.4436"/>
    <n v="6.6525699999999999"/>
    <n v="2089.62"/>
    <n v="1319.79"/>
    <n v="2771"/>
    <n v="358"/>
    <x v="1"/>
    <x v="0"/>
  </r>
  <r>
    <s v="istree_exp1_scaling_threads/scaling_threads/step10445.txt"/>
    <x v="1"/>
    <n v="72"/>
    <s v="reclaimer_debra"/>
    <s v="allocator_new"/>
    <s v="pool_none"/>
    <x v="0"/>
    <n v="0.5"/>
    <n v="0.5"/>
    <n v="0"/>
    <n v="1"/>
    <n v="200000000"/>
    <n v="190"/>
    <n v="190"/>
    <n v="190"/>
    <n v="0"/>
    <s v="insertIfAbsent"/>
    <n v="1.00009925550785E+16"/>
    <n v="100001770"/>
    <n v="1.00009925550785E+16"/>
    <n v="100001770"/>
    <s v="success"/>
    <n v="7"/>
    <n v="12530386"/>
    <n v="113071227"/>
    <n v="125601613"/>
    <n v="100001770"/>
    <n v="10.0238"/>
    <n v="0.88441400000000003"/>
    <n v="1.7961800000000001"/>
    <n v="4.0309799999999996"/>
    <m/>
    <m/>
    <m/>
    <m/>
    <m/>
    <m/>
    <m/>
    <n v="5608804235"/>
    <n v="0"/>
    <n v="56655950"/>
    <n v="5608804235"/>
    <n v="5665460185"/>
    <n v="186960141"/>
    <n v="0"/>
    <n v="1888531"/>
    <n v="186960141"/>
    <n v="188848672"/>
    <n v="19.498100000000001"/>
    <n v="9.5772499999999994"/>
    <n v="2744.31"/>
    <n v="1990.16"/>
    <n v="13373"/>
    <n v="1206"/>
    <x v="2"/>
    <x v="0"/>
  </r>
  <r>
    <s v="istree_exp1_scaling_threads/scaling_threads/step10485.txt"/>
    <x v="1"/>
    <n v="72"/>
    <s v="reclaimer_debra"/>
    <s v="allocator_new"/>
    <s v="pool_none"/>
    <x v="0"/>
    <n v="5"/>
    <n v="5"/>
    <n v="0"/>
    <n v="1"/>
    <n v="2000000"/>
    <n v="190"/>
    <n v="190"/>
    <n v="190"/>
    <n v="0"/>
    <s v="insertIfAbsent"/>
    <n v="999764645917"/>
    <n v="999921"/>
    <n v="999764645917"/>
    <n v="999921"/>
    <s v="success"/>
    <n v="6"/>
    <n v="55422"/>
    <n v="1077565"/>
    <n v="1132987"/>
    <n v="999921"/>
    <n v="20.442900000000002"/>
    <n v="0.92794500000000002"/>
    <n v="1.8825499999999999"/>
    <n v="3.0468799999999998"/>
    <m/>
    <m/>
    <m/>
    <m/>
    <m/>
    <m/>
    <m/>
    <n v="6462374878"/>
    <n v="0"/>
    <n v="718091023"/>
    <n v="6462374878"/>
    <n v="7180465901"/>
    <n v="215412495"/>
    <n v="0"/>
    <n v="23936367"/>
    <n v="215412495"/>
    <n v="239348863"/>
    <n v="12.3866"/>
    <n v="3.1609699999999998"/>
    <n v="2203.11"/>
    <n v="1374.42"/>
    <n v="1598"/>
    <n v="309"/>
    <x v="3"/>
    <x v="0"/>
  </r>
  <r>
    <s v="istree_exp1_scaling_threads/scaling_threads/step10505.txt"/>
    <x v="1"/>
    <n v="72"/>
    <s v="reclaimer_debra"/>
    <s v="allocator_new"/>
    <s v="pool_none"/>
    <x v="0"/>
    <n v="5"/>
    <n v="5"/>
    <n v="0"/>
    <n v="1"/>
    <n v="20000000"/>
    <n v="190"/>
    <n v="190"/>
    <n v="190"/>
    <n v="0"/>
    <s v="insertIfAbsent"/>
    <n v="100011998527577"/>
    <n v="10000410"/>
    <n v="100011998527577"/>
    <n v="10000410"/>
    <s v="success"/>
    <n v="7"/>
    <n v="1831487"/>
    <n v="11864818"/>
    <n v="13696305"/>
    <n v="10000410"/>
    <n v="7.4782400000000004"/>
    <n v="0.842862"/>
    <n v="1.7301500000000001"/>
    <n v="4.0411799999999998"/>
    <m/>
    <m/>
    <m/>
    <m/>
    <m/>
    <m/>
    <m/>
    <n v="4916261750"/>
    <n v="0"/>
    <n v="546245323"/>
    <n v="4916261750"/>
    <n v="5462507073"/>
    <n v="163875391"/>
    <n v="0"/>
    <n v="18208177"/>
    <n v="163875391"/>
    <n v="182083569"/>
    <n v="19.246300000000002"/>
    <n v="8.5577100000000002"/>
    <n v="2847.26"/>
    <n v="1925.39"/>
    <n v="2871"/>
    <n v="375"/>
    <x v="4"/>
    <x v="0"/>
  </r>
  <r>
    <s v="istree_exp1_scaling_threads/scaling_threads/step10525.txt"/>
    <x v="1"/>
    <n v="72"/>
    <s v="reclaimer_debra"/>
    <s v="allocator_new"/>
    <s v="pool_none"/>
    <x v="0"/>
    <n v="5"/>
    <n v="5"/>
    <n v="0"/>
    <n v="1"/>
    <n v="200000000"/>
    <n v="190"/>
    <n v="190"/>
    <n v="190"/>
    <n v="0"/>
    <s v="insertIfAbsent"/>
    <n v="9999838922357580"/>
    <n v="100005496"/>
    <n v="9999838922357580"/>
    <n v="100005496"/>
    <s v="success"/>
    <n v="7"/>
    <n v="14838225"/>
    <n v="118006113"/>
    <n v="132844338"/>
    <n v="100005496"/>
    <n v="8.9528499999999998"/>
    <n v="0.84745999999999999"/>
    <n v="1.7527999999999999"/>
    <n v="4.0799099999999999"/>
    <m/>
    <m/>
    <m/>
    <m/>
    <m/>
    <m/>
    <m/>
    <n v="3844392175"/>
    <n v="0"/>
    <n v="427151612"/>
    <n v="3844392175"/>
    <n v="4271543787"/>
    <n v="128146405"/>
    <n v="0"/>
    <n v="14238387"/>
    <n v="128146405"/>
    <n v="142384792"/>
    <n v="22.248699999999999"/>
    <n v="11.283200000000001"/>
    <n v="3437.8"/>
    <n v="2560.42"/>
    <n v="14261"/>
    <n v="1065"/>
    <x v="5"/>
    <x v="0"/>
  </r>
  <r>
    <s v="istree_exp1_scaling_threads/scaling_threads/step10565.txt"/>
    <x v="1"/>
    <n v="72"/>
    <s v="reclaimer_debra"/>
    <s v="allocator_new"/>
    <s v="pool_none"/>
    <x v="0"/>
    <n v="20"/>
    <n v="20"/>
    <n v="0"/>
    <n v="1"/>
    <n v="2000000"/>
    <n v="190"/>
    <n v="190"/>
    <n v="190"/>
    <n v="0"/>
    <s v="insertIfAbsent"/>
    <n v="999707457610"/>
    <n v="1000221"/>
    <n v="999707457610"/>
    <n v="1000221"/>
    <s v="success"/>
    <n v="6"/>
    <n v="33088"/>
    <n v="1032347"/>
    <n v="1065435"/>
    <n v="1000221"/>
    <n v="32.200000000000003"/>
    <n v="0.96888099999999999"/>
    <n v="1.93879"/>
    <n v="3.0001099999999998"/>
    <m/>
    <m/>
    <m/>
    <m/>
    <m/>
    <m/>
    <m/>
    <n v="1735799952"/>
    <n v="0"/>
    <n v="1157286430"/>
    <n v="1735799952"/>
    <n v="2893086382"/>
    <n v="57859998"/>
    <n v="0"/>
    <n v="38576214"/>
    <n v="57859998"/>
    <n v="96436212"/>
    <n v="25.061399999999999"/>
    <n v="11.969099999999999"/>
    <n v="5482.6"/>
    <n v="4201.91"/>
    <n v="1754"/>
    <n v="325"/>
    <x v="6"/>
    <x v="0"/>
  </r>
  <r>
    <s v="istree_exp1_scaling_threads/scaling_threads/step10585.txt"/>
    <x v="1"/>
    <n v="72"/>
    <s v="reclaimer_debra"/>
    <s v="allocator_new"/>
    <s v="pool_none"/>
    <x v="0"/>
    <n v="20"/>
    <n v="20"/>
    <n v="0"/>
    <n v="1"/>
    <n v="20000000"/>
    <n v="190"/>
    <n v="190"/>
    <n v="190"/>
    <n v="0"/>
    <s v="insertIfAbsent"/>
    <n v="99989343832914"/>
    <n v="9999423"/>
    <n v="99989343832914"/>
    <n v="9999423"/>
    <s v="success"/>
    <n v="7"/>
    <n v="1738872"/>
    <n v="11670736"/>
    <n v="13409608"/>
    <n v="9999423"/>
    <n v="7.7116699999999998"/>
    <n v="0.85679499999999997"/>
    <n v="1.74569"/>
    <n v="4.0226199999999999"/>
    <m/>
    <m/>
    <m/>
    <m/>
    <m/>
    <m/>
    <m/>
    <n v="1748221613"/>
    <n v="0"/>
    <n v="1165514511"/>
    <n v="1748221613"/>
    <n v="2913736124"/>
    <n v="58274053"/>
    <n v="0"/>
    <n v="38850483"/>
    <n v="58274053"/>
    <n v="97124537"/>
    <n v="28.604399999999998"/>
    <n v="15.3042"/>
    <n v="5274.42"/>
    <n v="3623.29"/>
    <n v="2936"/>
    <n v="398"/>
    <x v="7"/>
    <x v="0"/>
  </r>
  <r>
    <s v="istree_exp1_scaling_threads/scaling_threads/step10605.txt"/>
    <x v="1"/>
    <n v="72"/>
    <s v="reclaimer_debra"/>
    <s v="allocator_new"/>
    <s v="pool_none"/>
    <x v="0"/>
    <n v="20"/>
    <n v="20"/>
    <n v="0"/>
    <n v="1"/>
    <n v="200000000"/>
    <n v="190"/>
    <n v="190"/>
    <n v="190"/>
    <n v="0"/>
    <s v="insertIfAbsent"/>
    <n v="1.000072359141E+16"/>
    <n v="100002652"/>
    <n v="1.000072359141E+16"/>
    <n v="100002652"/>
    <s v="success"/>
    <n v="7"/>
    <n v="12219390"/>
    <n v="112439873"/>
    <n v="124659263"/>
    <n v="100002652"/>
    <n v="10.2018"/>
    <n v="0.88938799999999996"/>
    <n v="1.8022100000000001"/>
    <n v="4.02454"/>
    <m/>
    <m/>
    <m/>
    <m/>
    <m/>
    <m/>
    <m/>
    <n v="1507676815"/>
    <n v="0"/>
    <n v="1005084722"/>
    <n v="1507676815"/>
    <n v="2512761537"/>
    <n v="50255893"/>
    <n v="0"/>
    <n v="33502824"/>
    <n v="50255893"/>
    <n v="83758717"/>
    <n v="31.508800000000001"/>
    <n v="17.6357"/>
    <n v="5665.72"/>
    <n v="4201.68"/>
    <n v="14482"/>
    <n v="1150"/>
    <x v="8"/>
    <x v="0"/>
  </r>
  <r>
    <m/>
    <x v="2"/>
    <m/>
    <m/>
    <m/>
    <m/>
    <x v="1"/>
    <m/>
    <m/>
    <m/>
    <m/>
    <m/>
    <m/>
    <m/>
    <m/>
    <m/>
    <m/>
    <m/>
    <m/>
    <m/>
    <m/>
    <m/>
    <m/>
    <m/>
    <m/>
    <m/>
    <m/>
    <m/>
    <m/>
    <m/>
    <m/>
    <m/>
    <m/>
    <m/>
    <m/>
    <m/>
    <m/>
    <m/>
    <m/>
    <m/>
    <m/>
    <m/>
    <m/>
    <m/>
    <m/>
    <m/>
    <m/>
    <m/>
    <m/>
    <m/>
    <m/>
    <m/>
    <m/>
    <m/>
    <x v="9"/>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6" applyNumberFormats="0" applyBorderFormats="0" applyFontFormats="0" applyPatternFormats="0" applyAlignmentFormats="0" applyWidthHeightFormats="1" dataCaption="Values" updatedVersion="6" minRefreshableVersion="3" rowGrandTotals="0" colGrandTotals="0" itemPrintTitles="1" createdVersion="5" indent="0" outline="1" outlineData="1" multipleFieldFilters="0" chartFormat="10">
  <location ref="A4:B8" firstHeaderRow="1" firstDataRow="1" firstDataCol="1" rowPageCount="1" colPageCount="1"/>
  <pivotFields count="56">
    <pivotField showAll="0" defaultSubtotal="0"/>
    <pivotField axis="axisRow" showAll="0" defaultSubtotal="0">
      <items count="3">
        <item h="1" x="2"/>
        <item n="fetch&amp;add" x="0"/>
        <item n="multicounter" x="1"/>
      </items>
    </pivotField>
    <pivotField showAll="0" defaultSubtotal="0"/>
    <pivotField showAll="0" defaultSubtotal="0"/>
    <pivotField showAll="0" defaultSubtotal="0"/>
    <pivotField showAll="0" defaultSubtotal="0"/>
    <pivotField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sortType="descending" defaultSubtotal="0">
      <items count="10">
        <item x="9"/>
        <item x="8"/>
        <item x="7"/>
        <item x="6"/>
        <item x="5"/>
        <item x="4"/>
        <item x="3"/>
        <item x="2"/>
        <item x="1"/>
        <item x="0"/>
      </items>
    </pivotField>
    <pivotField axis="axisRow" showAll="0" defaultSubtotal="0">
      <items count="2">
        <item x="0"/>
        <item x="1"/>
      </items>
    </pivotField>
  </pivotFields>
  <rowFields count="2">
    <field x="1"/>
    <field x="55"/>
  </rowFields>
  <rowItems count="4">
    <i>
      <x v="1"/>
    </i>
    <i r="1">
      <x/>
    </i>
    <i>
      <x v="2"/>
    </i>
    <i r="1">
      <x/>
    </i>
  </rowItems>
  <colItems count="1">
    <i/>
  </colItems>
  <pageFields count="1">
    <pageField fld="54" item="1" hier="-1"/>
  </pageFields>
  <dataFields count="1">
    <dataField name="Average of total_throughput" fld="47" subtotal="average" baseField="13" baseItem="0" numFmtId="1"/>
  </dataFields>
  <formats count="2">
    <format dxfId="12">
      <pivotArea outline="0" collapsedLevelsAreSubtotals="1" fieldPosition="0"/>
    </format>
    <format dxfId="13">
      <pivotArea outline="0" collapsedLevelsAreSubtotals="1" fieldPosition="0"/>
    </format>
  </formats>
  <chartFormats count="3">
    <chartFormat chart="7" format="0" series="1">
      <pivotArea type="data" outline="0" fieldPosition="0">
        <references count="2">
          <reference field="4294967294" count="1" selected="0">
            <x v="0"/>
          </reference>
          <reference field="1" count="1" selected="0">
            <x v="1"/>
          </reference>
        </references>
      </pivotArea>
    </chartFormat>
    <chartFormat chart="7" format="1" series="1">
      <pivotArea type="data" outline="0" fieldPosition="0">
        <references count="2">
          <reference field="4294967294" count="1" selected="0">
            <x v="0"/>
          </reference>
          <reference field="1" count="1" selected="0">
            <x v="2"/>
          </reference>
        </references>
      </pivotArea>
    </chartFormat>
    <chartFormat chart="9"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1" growShrinkType="overwriteClear" connectionId="2"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D46"/>
  <sheetViews>
    <sheetView workbookViewId="0">
      <selection activeCell="BD4" sqref="BD4"/>
    </sheetView>
  </sheetViews>
  <sheetFormatPr defaultRowHeight="14.6"/>
  <cols>
    <col min="1" max="1" width="30.84375" bestFit="1" customWidth="1"/>
    <col min="2" max="2" width="14.84375"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9.84375"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9.84375"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9.3046875" bestFit="1" customWidth="1"/>
    <col min="33" max="33" width="36.69140625" customWidth="1"/>
    <col min="34" max="34" width="42.3046875" customWidth="1"/>
    <col min="35" max="35" width="26.15234375" customWidth="1"/>
    <col min="36" max="36" width="35.765625" customWidth="1"/>
    <col min="37" max="37" width="29.61328125" customWidth="1"/>
    <col min="38" max="38" width="23.4609375" customWidth="1"/>
    <col min="39" max="39" width="10.84375" customWidth="1"/>
    <col min="40" max="40" width="7.4609375" customWidth="1"/>
    <col min="41" max="41" width="12.3046875" customWidth="1"/>
    <col min="42" max="42" width="11.765625" customWidth="1"/>
    <col min="43" max="43" width="10.84375" customWidth="1"/>
    <col min="44" max="44" width="14.61328125" bestFit="1" customWidth="1"/>
    <col min="45" max="45" width="13.15234375" bestFit="1" customWidth="1"/>
    <col min="46" max="46" width="17.3046875" bestFit="1" customWidth="1"/>
    <col min="47" max="47" width="16.15234375" bestFit="1" customWidth="1"/>
    <col min="48" max="48" width="15.23046875" customWidth="1"/>
    <col min="49" max="50" width="12.15234375" bestFit="1" customWidth="1"/>
    <col min="51" max="51" width="13.07421875" bestFit="1" customWidth="1"/>
    <col min="52" max="52" width="12.3046875" bestFit="1" customWidth="1"/>
    <col min="53" max="53" width="14.765625" bestFit="1" customWidth="1"/>
    <col min="54" max="54" width="16.3828125" bestFit="1" customWidth="1"/>
  </cols>
  <sheetData>
    <row r="1" spans="1:56">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67</v>
      </c>
      <c r="S1" t="s">
        <v>68</v>
      </c>
      <c r="T1" t="s">
        <v>45</v>
      </c>
      <c r="U1" t="s">
        <v>69</v>
      </c>
      <c r="V1" t="s">
        <v>70</v>
      </c>
      <c r="W1" t="s">
        <v>36</v>
      </c>
      <c r="X1" t="s">
        <v>37</v>
      </c>
      <c r="Y1" t="s">
        <v>38</v>
      </c>
      <c r="Z1" t="s">
        <v>39</v>
      </c>
      <c r="AA1" t="s">
        <v>40</v>
      </c>
      <c r="AB1" t="s">
        <v>41</v>
      </c>
      <c r="AC1" t="s">
        <v>42</v>
      </c>
      <c r="AD1" t="s">
        <v>43</v>
      </c>
      <c r="AE1" t="s">
        <v>44</v>
      </c>
      <c r="AF1" t="s">
        <v>74</v>
      </c>
      <c r="AG1" t="s">
        <v>75</v>
      </c>
      <c r="AH1" t="s">
        <v>76</v>
      </c>
      <c r="AI1" t="s">
        <v>77</v>
      </c>
      <c r="AJ1" t="s">
        <v>78</v>
      </c>
      <c r="AK1" t="s">
        <v>79</v>
      </c>
      <c r="AL1" t="s">
        <v>80</v>
      </c>
      <c r="AM1" t="s">
        <v>46</v>
      </c>
      <c r="AN1" t="s">
        <v>47</v>
      </c>
      <c r="AO1" t="s">
        <v>48</v>
      </c>
      <c r="AP1" t="s">
        <v>49</v>
      </c>
      <c r="AQ1" t="s">
        <v>50</v>
      </c>
      <c r="AR1" t="s">
        <v>51</v>
      </c>
      <c r="AS1" t="s">
        <v>52</v>
      </c>
      <c r="AT1" t="s">
        <v>53</v>
      </c>
      <c r="AU1" t="s">
        <v>54</v>
      </c>
      <c r="AV1" t="s">
        <v>55</v>
      </c>
      <c r="AW1" t="s">
        <v>56</v>
      </c>
      <c r="AX1" t="s">
        <v>57</v>
      </c>
      <c r="AY1" t="s">
        <v>58</v>
      </c>
      <c r="AZ1" t="s">
        <v>81</v>
      </c>
      <c r="BA1" t="s">
        <v>72</v>
      </c>
      <c r="BB1" t="s">
        <v>73</v>
      </c>
      <c r="BC1" t="s">
        <v>65</v>
      </c>
      <c r="BD1" t="s">
        <v>183</v>
      </c>
    </row>
    <row r="2" spans="1:56">
      <c r="A2" t="s">
        <v>82</v>
      </c>
      <c r="B2" t="s">
        <v>161</v>
      </c>
      <c r="C2">
        <v>64</v>
      </c>
      <c r="D2" t="s">
        <v>64</v>
      </c>
      <c r="E2" t="s">
        <v>59</v>
      </c>
      <c r="F2" t="s">
        <v>60</v>
      </c>
      <c r="G2">
        <v>30000</v>
      </c>
      <c r="H2">
        <v>0.5</v>
      </c>
      <c r="I2">
        <v>0.5</v>
      </c>
      <c r="J2">
        <v>0</v>
      </c>
      <c r="K2">
        <v>1</v>
      </c>
      <c r="L2">
        <v>2000000</v>
      </c>
      <c r="M2">
        <v>190</v>
      </c>
      <c r="N2">
        <v>190</v>
      </c>
      <c r="O2">
        <v>190</v>
      </c>
      <c r="P2">
        <v>0</v>
      </c>
      <c r="Q2" t="s">
        <v>61</v>
      </c>
      <c r="R2">
        <v>999383689652</v>
      </c>
      <c r="S2">
        <v>999931</v>
      </c>
      <c r="T2">
        <v>999383689652</v>
      </c>
      <c r="U2">
        <v>999931</v>
      </c>
      <c r="V2" t="s">
        <v>71</v>
      </c>
      <c r="W2">
        <v>6</v>
      </c>
      <c r="X2">
        <v>59448</v>
      </c>
      <c r="Y2">
        <v>1085256</v>
      </c>
      <c r="Z2">
        <v>1144704</v>
      </c>
      <c r="AA2">
        <v>999931</v>
      </c>
      <c r="AB2">
        <v>19.255600000000001</v>
      </c>
      <c r="AC2">
        <v>0.92137800000000003</v>
      </c>
      <c r="AD2">
        <v>1.8735299999999999</v>
      </c>
      <c r="AE2">
        <v>3.0550999999999999</v>
      </c>
      <c r="AF2">
        <v>21668128</v>
      </c>
      <c r="AG2" t="s">
        <v>83</v>
      </c>
      <c r="AH2" t="s">
        <v>84</v>
      </c>
      <c r="AI2">
        <v>80048</v>
      </c>
      <c r="AJ2">
        <v>30446</v>
      </c>
      <c r="AK2">
        <v>34326275991</v>
      </c>
      <c r="AL2">
        <v>5686389813580</v>
      </c>
      <c r="AM2">
        <v>4814803038</v>
      </c>
      <c r="AN2">
        <v>0</v>
      </c>
      <c r="AO2">
        <v>48620036</v>
      </c>
      <c r="AP2">
        <v>4814803038</v>
      </c>
      <c r="AQ2">
        <v>4863423074</v>
      </c>
      <c r="AR2">
        <v>160493434</v>
      </c>
      <c r="AS2">
        <v>0</v>
      </c>
      <c r="AT2">
        <v>1620667</v>
      </c>
      <c r="AU2">
        <v>160493434</v>
      </c>
      <c r="AV2">
        <v>162114102</v>
      </c>
      <c r="AW2">
        <v>11.180999999999999</v>
      </c>
      <c r="AX2">
        <v>0.61071600000000004</v>
      </c>
      <c r="AY2">
        <v>3264.27</v>
      </c>
      <c r="AZ2">
        <v>2521.5700000000002</v>
      </c>
      <c r="BA2">
        <v>1278</v>
      </c>
      <c r="BB2">
        <v>432</v>
      </c>
      <c r="BC2" t="str">
        <f>"u="&amp;(H2+I2)&amp;"%, k=2x10^"&amp;LOG10(L2/2)</f>
        <v>u=1%, k=2x10^6</v>
      </c>
      <c r="BD2">
        <f>G2/1000</f>
        <v>30</v>
      </c>
    </row>
    <row r="3" spans="1:56">
      <c r="A3" t="s">
        <v>85</v>
      </c>
      <c r="B3" t="s">
        <v>161</v>
      </c>
      <c r="C3">
        <v>64</v>
      </c>
      <c r="D3" t="s">
        <v>64</v>
      </c>
      <c r="E3" t="s">
        <v>59</v>
      </c>
      <c r="F3" t="s">
        <v>60</v>
      </c>
      <c r="G3">
        <v>30000</v>
      </c>
      <c r="H3">
        <v>0.5</v>
      </c>
      <c r="I3">
        <v>0.5</v>
      </c>
      <c r="J3">
        <v>0</v>
      </c>
      <c r="K3">
        <v>1</v>
      </c>
      <c r="L3">
        <v>20000000</v>
      </c>
      <c r="M3">
        <v>190</v>
      </c>
      <c r="N3">
        <v>190</v>
      </c>
      <c r="O3">
        <v>190</v>
      </c>
      <c r="P3">
        <v>0</v>
      </c>
      <c r="Q3" t="s">
        <v>61</v>
      </c>
      <c r="R3">
        <v>99972653210289</v>
      </c>
      <c r="S3">
        <v>9998318</v>
      </c>
      <c r="T3">
        <v>99972653210289</v>
      </c>
      <c r="U3">
        <v>9998318</v>
      </c>
      <c r="V3" t="s">
        <v>71</v>
      </c>
      <c r="W3">
        <v>7</v>
      </c>
      <c r="X3">
        <v>1892691</v>
      </c>
      <c r="Y3">
        <v>11998409</v>
      </c>
      <c r="Z3">
        <v>13891100</v>
      </c>
      <c r="AA3">
        <v>9998318</v>
      </c>
      <c r="AB3">
        <v>7.33934</v>
      </c>
      <c r="AC3">
        <v>0.83330400000000004</v>
      </c>
      <c r="AD3">
        <v>1.71976</v>
      </c>
      <c r="AE3">
        <v>4.05349</v>
      </c>
      <c r="AF3">
        <v>328270968</v>
      </c>
      <c r="AG3" t="s">
        <v>86</v>
      </c>
      <c r="AH3" t="s">
        <v>87</v>
      </c>
      <c r="AI3">
        <v>17850</v>
      </c>
      <c r="AJ3">
        <v>24126</v>
      </c>
      <c r="AK3">
        <v>62861556602</v>
      </c>
      <c r="AL3">
        <v>5686392278906</v>
      </c>
      <c r="AM3">
        <v>4184745107</v>
      </c>
      <c r="AN3">
        <v>0</v>
      </c>
      <c r="AO3">
        <v>42262272</v>
      </c>
      <c r="AP3">
        <v>4184745107</v>
      </c>
      <c r="AQ3">
        <v>4227007379</v>
      </c>
      <c r="AR3">
        <v>139491503</v>
      </c>
      <c r="AS3">
        <v>0</v>
      </c>
      <c r="AT3">
        <v>1408742</v>
      </c>
      <c r="AU3">
        <v>139491503</v>
      </c>
      <c r="AV3">
        <v>140900245</v>
      </c>
      <c r="AW3">
        <v>16.812200000000001</v>
      </c>
      <c r="AX3">
        <v>6.6675599999999999</v>
      </c>
      <c r="AY3">
        <v>3727.3</v>
      </c>
      <c r="AZ3">
        <v>2959.65</v>
      </c>
      <c r="BA3">
        <v>2474</v>
      </c>
      <c r="BB3">
        <v>422</v>
      </c>
      <c r="BC3" t="str">
        <f t="shared" ref="BC3:BC46" si="0">"u="&amp;(H3+I3)&amp;"%, k=2x10^"&amp;LOG10(L3/2)</f>
        <v>u=1%, k=2x10^7</v>
      </c>
      <c r="BD3">
        <f t="shared" ref="BD3:BD46" si="1">G3/1000</f>
        <v>30</v>
      </c>
    </row>
    <row r="4" spans="1:56">
      <c r="A4" t="s">
        <v>88</v>
      </c>
      <c r="B4" t="s">
        <v>161</v>
      </c>
      <c r="C4">
        <v>64</v>
      </c>
      <c r="D4" t="s">
        <v>64</v>
      </c>
      <c r="E4" t="s">
        <v>59</v>
      </c>
      <c r="F4" t="s">
        <v>60</v>
      </c>
      <c r="G4">
        <v>30000</v>
      </c>
      <c r="H4">
        <v>0.5</v>
      </c>
      <c r="I4">
        <v>0.5</v>
      </c>
      <c r="J4">
        <v>0</v>
      </c>
      <c r="K4">
        <v>1</v>
      </c>
      <c r="L4">
        <v>200000000</v>
      </c>
      <c r="M4">
        <v>190</v>
      </c>
      <c r="N4">
        <v>190</v>
      </c>
      <c r="O4">
        <v>190</v>
      </c>
      <c r="P4">
        <v>0</v>
      </c>
      <c r="Q4" t="s">
        <v>61</v>
      </c>
      <c r="R4">
        <v>1.00007071268101E+16</v>
      </c>
      <c r="S4">
        <v>100003329</v>
      </c>
      <c r="T4">
        <v>1.00007071268101E+16</v>
      </c>
      <c r="U4">
        <v>100003329</v>
      </c>
      <c r="V4" t="s">
        <v>71</v>
      </c>
      <c r="W4">
        <v>7</v>
      </c>
      <c r="X4">
        <v>14737971</v>
      </c>
      <c r="Y4">
        <v>117816632</v>
      </c>
      <c r="Z4">
        <v>132554603</v>
      </c>
      <c r="AA4">
        <v>100003329</v>
      </c>
      <c r="AB4">
        <v>8.9940899999999999</v>
      </c>
      <c r="AC4">
        <v>0.84880500000000003</v>
      </c>
      <c r="AD4">
        <v>1.7544299999999999</v>
      </c>
      <c r="AE4">
        <v>4.0763499999999997</v>
      </c>
      <c r="AF4">
        <v>2950379320</v>
      </c>
      <c r="AG4" t="s">
        <v>89</v>
      </c>
      <c r="AH4" t="s">
        <v>89</v>
      </c>
      <c r="AI4">
        <v>5</v>
      </c>
      <c r="AJ4">
        <v>22636</v>
      </c>
      <c r="AK4">
        <v>11880089470</v>
      </c>
      <c r="AL4">
        <v>5686389864446</v>
      </c>
      <c r="AM4">
        <v>3943063833</v>
      </c>
      <c r="AN4">
        <v>0</v>
      </c>
      <c r="AO4">
        <v>39834132</v>
      </c>
      <c r="AP4">
        <v>3943063833</v>
      </c>
      <c r="AQ4">
        <v>3982897965</v>
      </c>
      <c r="AR4">
        <v>131435461</v>
      </c>
      <c r="AS4">
        <v>0</v>
      </c>
      <c r="AT4">
        <v>1327804</v>
      </c>
      <c r="AU4">
        <v>131435461</v>
      </c>
      <c r="AV4">
        <v>132763265</v>
      </c>
      <c r="AW4">
        <v>19.722799999999999</v>
      </c>
      <c r="AX4">
        <v>9.4998000000000005</v>
      </c>
      <c r="AY4">
        <v>3983.9</v>
      </c>
      <c r="AZ4">
        <v>3226.23</v>
      </c>
      <c r="BA4">
        <v>8015</v>
      </c>
      <c r="BB4">
        <v>1033</v>
      </c>
      <c r="BC4" t="str">
        <f t="shared" si="0"/>
        <v>u=1%, k=2x10^8</v>
      </c>
      <c r="BD4">
        <f t="shared" si="1"/>
        <v>30</v>
      </c>
    </row>
    <row r="5" spans="1:56">
      <c r="A5" t="s">
        <v>90</v>
      </c>
      <c r="B5" t="s">
        <v>161</v>
      </c>
      <c r="C5">
        <v>64</v>
      </c>
      <c r="D5" t="s">
        <v>64</v>
      </c>
      <c r="E5" t="s">
        <v>59</v>
      </c>
      <c r="F5" t="s">
        <v>60</v>
      </c>
      <c r="G5">
        <v>30000</v>
      </c>
      <c r="H5">
        <v>5</v>
      </c>
      <c r="I5">
        <v>5</v>
      </c>
      <c r="J5">
        <v>0</v>
      </c>
      <c r="K5">
        <v>1</v>
      </c>
      <c r="L5">
        <v>2000000</v>
      </c>
      <c r="M5">
        <v>190</v>
      </c>
      <c r="N5">
        <v>190</v>
      </c>
      <c r="O5">
        <v>190</v>
      </c>
      <c r="P5">
        <v>0</v>
      </c>
      <c r="Q5" t="s">
        <v>61</v>
      </c>
      <c r="R5">
        <v>1001522367422</v>
      </c>
      <c r="S5">
        <v>1001372</v>
      </c>
      <c r="T5">
        <v>1001522367422</v>
      </c>
      <c r="U5">
        <v>1001372</v>
      </c>
      <c r="V5" t="s">
        <v>71</v>
      </c>
      <c r="W5">
        <v>6</v>
      </c>
      <c r="X5">
        <v>71016</v>
      </c>
      <c r="Y5">
        <v>1110546</v>
      </c>
      <c r="Z5">
        <v>1181562</v>
      </c>
      <c r="AA5">
        <v>1001372</v>
      </c>
      <c r="AB5">
        <v>16.638000000000002</v>
      </c>
      <c r="AC5">
        <v>0.90169299999999997</v>
      </c>
      <c r="AD5">
        <v>1.8474999999999999</v>
      </c>
      <c r="AE5">
        <v>3.08047</v>
      </c>
      <c r="AF5">
        <v>22931104</v>
      </c>
      <c r="AG5" t="s">
        <v>91</v>
      </c>
      <c r="AH5" t="s">
        <v>92</v>
      </c>
      <c r="AI5">
        <v>215746</v>
      </c>
      <c r="AJ5">
        <v>7688</v>
      </c>
      <c r="AK5">
        <v>96362472858</v>
      </c>
      <c r="AL5">
        <v>5686390180636</v>
      </c>
      <c r="AM5">
        <v>1000539956</v>
      </c>
      <c r="AN5">
        <v>0</v>
      </c>
      <c r="AO5">
        <v>111173732</v>
      </c>
      <c r="AP5">
        <v>1000539956</v>
      </c>
      <c r="AQ5">
        <v>1111713688</v>
      </c>
      <c r="AR5">
        <v>33351331</v>
      </c>
      <c r="AS5">
        <v>0</v>
      </c>
      <c r="AT5">
        <v>3705791</v>
      </c>
      <c r="AU5">
        <v>33351331</v>
      </c>
      <c r="AV5">
        <v>37057122</v>
      </c>
      <c r="AW5">
        <v>17.610600000000002</v>
      </c>
      <c r="AX5">
        <v>4.0726100000000001</v>
      </c>
      <c r="AY5">
        <v>14281</v>
      </c>
      <c r="AZ5">
        <v>13315.5</v>
      </c>
      <c r="BA5">
        <v>1301</v>
      </c>
      <c r="BB5">
        <v>324</v>
      </c>
      <c r="BC5" t="str">
        <f t="shared" si="0"/>
        <v>u=10%, k=2x10^6</v>
      </c>
      <c r="BD5">
        <f t="shared" si="1"/>
        <v>30</v>
      </c>
    </row>
    <row r="6" spans="1:56">
      <c r="A6" t="s">
        <v>93</v>
      </c>
      <c r="B6" t="s">
        <v>161</v>
      </c>
      <c r="C6">
        <v>64</v>
      </c>
      <c r="D6" t="s">
        <v>64</v>
      </c>
      <c r="E6" t="s">
        <v>59</v>
      </c>
      <c r="F6" t="s">
        <v>60</v>
      </c>
      <c r="G6">
        <v>30000</v>
      </c>
      <c r="H6">
        <v>5</v>
      </c>
      <c r="I6">
        <v>5</v>
      </c>
      <c r="J6">
        <v>0</v>
      </c>
      <c r="K6">
        <v>1</v>
      </c>
      <c r="L6">
        <v>20000000</v>
      </c>
      <c r="M6">
        <v>190</v>
      </c>
      <c r="N6">
        <v>190</v>
      </c>
      <c r="O6">
        <v>190</v>
      </c>
      <c r="P6">
        <v>0</v>
      </c>
      <c r="Q6" t="s">
        <v>61</v>
      </c>
      <c r="R6">
        <v>100057510375658</v>
      </c>
      <c r="S6">
        <v>10006366</v>
      </c>
      <c r="T6">
        <v>100057510375658</v>
      </c>
      <c r="U6">
        <v>10006366</v>
      </c>
      <c r="V6" t="s">
        <v>71</v>
      </c>
      <c r="W6">
        <v>7</v>
      </c>
      <c r="X6">
        <v>1902001</v>
      </c>
      <c r="Y6">
        <v>12036691</v>
      </c>
      <c r="Z6">
        <v>13938692</v>
      </c>
      <c r="AA6">
        <v>10006366</v>
      </c>
      <c r="AB6">
        <v>7.3284399999999996</v>
      </c>
      <c r="AC6">
        <v>0.83132200000000001</v>
      </c>
      <c r="AD6">
        <v>1.7178800000000001</v>
      </c>
      <c r="AE6">
        <v>4.0545</v>
      </c>
      <c r="AF6">
        <v>329575080</v>
      </c>
      <c r="AG6" t="s">
        <v>94</v>
      </c>
      <c r="AH6" t="s">
        <v>95</v>
      </c>
      <c r="AI6">
        <v>58829</v>
      </c>
      <c r="AJ6">
        <v>7848</v>
      </c>
      <c r="AK6">
        <v>151125010261</v>
      </c>
      <c r="AL6">
        <v>5686389831167</v>
      </c>
      <c r="AM6">
        <v>1021328988</v>
      </c>
      <c r="AN6">
        <v>0</v>
      </c>
      <c r="AO6">
        <v>113481566</v>
      </c>
      <c r="AP6">
        <v>1021328988</v>
      </c>
      <c r="AQ6">
        <v>1134810554</v>
      </c>
      <c r="AR6">
        <v>34044299</v>
      </c>
      <c r="AS6">
        <v>0</v>
      </c>
      <c r="AT6">
        <v>3782718</v>
      </c>
      <c r="AU6">
        <v>34044299</v>
      </c>
      <c r="AV6">
        <v>37827018</v>
      </c>
      <c r="AW6">
        <v>22.257400000000001</v>
      </c>
      <c r="AX6">
        <v>9.3474400000000006</v>
      </c>
      <c r="AY6">
        <v>13838.8</v>
      </c>
      <c r="AZ6">
        <v>12826.4</v>
      </c>
      <c r="BA6">
        <v>2546</v>
      </c>
      <c r="BB6">
        <v>366</v>
      </c>
      <c r="BC6" t="str">
        <f t="shared" si="0"/>
        <v>u=10%, k=2x10^7</v>
      </c>
      <c r="BD6">
        <f t="shared" si="1"/>
        <v>30</v>
      </c>
    </row>
    <row r="7" spans="1:56">
      <c r="A7" t="s">
        <v>96</v>
      </c>
      <c r="B7" t="s">
        <v>161</v>
      </c>
      <c r="C7">
        <v>64</v>
      </c>
      <c r="D7" t="s">
        <v>64</v>
      </c>
      <c r="E7" t="s">
        <v>59</v>
      </c>
      <c r="F7" t="s">
        <v>60</v>
      </c>
      <c r="G7">
        <v>30000</v>
      </c>
      <c r="H7">
        <v>5</v>
      </c>
      <c r="I7">
        <v>5</v>
      </c>
      <c r="J7">
        <v>0</v>
      </c>
      <c r="K7">
        <v>1</v>
      </c>
      <c r="L7">
        <v>200000000</v>
      </c>
      <c r="M7">
        <v>190</v>
      </c>
      <c r="N7">
        <v>190</v>
      </c>
      <c r="O7">
        <v>190</v>
      </c>
      <c r="P7">
        <v>0</v>
      </c>
      <c r="Q7" t="s">
        <v>61</v>
      </c>
      <c r="R7">
        <v>1.0000177431949E+16</v>
      </c>
      <c r="S7">
        <v>99997618</v>
      </c>
      <c r="T7">
        <v>1.0000177431949E+16</v>
      </c>
      <c r="U7">
        <v>99997618</v>
      </c>
      <c r="V7" t="s">
        <v>71</v>
      </c>
      <c r="W7">
        <v>7</v>
      </c>
      <c r="X7">
        <v>14018892</v>
      </c>
      <c r="Y7">
        <v>116180572</v>
      </c>
      <c r="Z7">
        <v>130199464</v>
      </c>
      <c r="AA7">
        <v>99997618</v>
      </c>
      <c r="AB7">
        <v>9.2874300000000005</v>
      </c>
      <c r="AC7">
        <v>0.86070899999999995</v>
      </c>
      <c r="AD7">
        <v>1.76803</v>
      </c>
      <c r="AE7">
        <v>4.0622600000000002</v>
      </c>
      <c r="AF7">
        <v>2870546240</v>
      </c>
      <c r="AG7" t="s">
        <v>97</v>
      </c>
      <c r="AH7" t="s">
        <v>98</v>
      </c>
      <c r="AI7">
        <v>9722</v>
      </c>
      <c r="AJ7">
        <v>7448</v>
      </c>
      <c r="AK7">
        <v>192495350877</v>
      </c>
      <c r="AL7">
        <v>5686622230862</v>
      </c>
      <c r="AM7">
        <v>1046328212</v>
      </c>
      <c r="AN7">
        <v>0</v>
      </c>
      <c r="AO7">
        <v>116255071</v>
      </c>
      <c r="AP7">
        <v>1046328212</v>
      </c>
      <c r="AQ7">
        <v>1162583283</v>
      </c>
      <c r="AR7">
        <v>34877607</v>
      </c>
      <c r="AS7">
        <v>0</v>
      </c>
      <c r="AT7">
        <v>3875169</v>
      </c>
      <c r="AU7">
        <v>34877607</v>
      </c>
      <c r="AV7">
        <v>38752776</v>
      </c>
      <c r="AW7">
        <v>22.039000000000001</v>
      </c>
      <c r="AX7">
        <v>10.766299999999999</v>
      </c>
      <c r="AY7">
        <v>13296</v>
      </c>
      <c r="AZ7">
        <v>12392</v>
      </c>
      <c r="BA7">
        <v>12743</v>
      </c>
      <c r="BB7">
        <v>1047</v>
      </c>
      <c r="BC7" t="str">
        <f t="shared" si="0"/>
        <v>u=10%, k=2x10^8</v>
      </c>
      <c r="BD7">
        <f t="shared" si="1"/>
        <v>30</v>
      </c>
    </row>
    <row r="8" spans="1:56">
      <c r="A8" t="s">
        <v>99</v>
      </c>
      <c r="B8" t="s">
        <v>161</v>
      </c>
      <c r="C8">
        <v>64</v>
      </c>
      <c r="D8" t="s">
        <v>64</v>
      </c>
      <c r="E8" t="s">
        <v>59</v>
      </c>
      <c r="F8" t="s">
        <v>60</v>
      </c>
      <c r="G8">
        <v>30000</v>
      </c>
      <c r="H8">
        <v>20</v>
      </c>
      <c r="I8">
        <v>20</v>
      </c>
      <c r="J8">
        <v>0</v>
      </c>
      <c r="K8">
        <v>1</v>
      </c>
      <c r="L8">
        <v>2000000</v>
      </c>
      <c r="M8">
        <v>190</v>
      </c>
      <c r="N8">
        <v>190</v>
      </c>
      <c r="O8">
        <v>190</v>
      </c>
      <c r="P8">
        <v>0</v>
      </c>
      <c r="Q8" t="s">
        <v>61</v>
      </c>
      <c r="R8">
        <v>1000740568136</v>
      </c>
      <c r="S8">
        <v>1000757</v>
      </c>
      <c r="T8">
        <v>1000740568136</v>
      </c>
      <c r="U8">
        <v>1000757</v>
      </c>
      <c r="V8" t="s">
        <v>71</v>
      </c>
      <c r="W8">
        <v>6</v>
      </c>
      <c r="X8">
        <v>35643</v>
      </c>
      <c r="Y8">
        <v>1037964</v>
      </c>
      <c r="Z8">
        <v>1073607</v>
      </c>
      <c r="AA8">
        <v>1000757</v>
      </c>
      <c r="AB8">
        <v>30.121099999999998</v>
      </c>
      <c r="AC8">
        <v>0.96415399999999996</v>
      </c>
      <c r="AD8">
        <v>1.93214</v>
      </c>
      <c r="AE8">
        <v>3.0052300000000001</v>
      </c>
      <c r="AF8">
        <v>19173864</v>
      </c>
      <c r="AG8" t="s">
        <v>100</v>
      </c>
      <c r="AH8" t="s">
        <v>101</v>
      </c>
      <c r="AI8">
        <v>483425</v>
      </c>
      <c r="AJ8">
        <v>3176</v>
      </c>
      <c r="AK8">
        <v>203347649851</v>
      </c>
      <c r="AL8">
        <v>5686390994794</v>
      </c>
      <c r="AM8">
        <v>270845203</v>
      </c>
      <c r="AN8">
        <v>0</v>
      </c>
      <c r="AO8">
        <v>180569654</v>
      </c>
      <c r="AP8">
        <v>270845203</v>
      </c>
      <c r="AQ8">
        <v>451414857</v>
      </c>
      <c r="AR8">
        <v>9028173</v>
      </c>
      <c r="AS8">
        <v>0</v>
      </c>
      <c r="AT8">
        <v>6018988</v>
      </c>
      <c r="AU8">
        <v>9028173</v>
      </c>
      <c r="AV8">
        <v>15047161</v>
      </c>
      <c r="AW8">
        <v>26.477599999999999</v>
      </c>
      <c r="AX8">
        <v>10.8672</v>
      </c>
      <c r="AY8">
        <v>35159.5</v>
      </c>
      <c r="AZ8">
        <v>33266.800000000003</v>
      </c>
      <c r="BA8">
        <v>1327</v>
      </c>
      <c r="BB8">
        <v>225</v>
      </c>
      <c r="BC8" t="str">
        <f t="shared" si="0"/>
        <v>u=40%, k=2x10^6</v>
      </c>
      <c r="BD8">
        <f t="shared" si="1"/>
        <v>30</v>
      </c>
    </row>
    <row r="9" spans="1:56">
      <c r="A9" t="s">
        <v>102</v>
      </c>
      <c r="B9" t="s">
        <v>161</v>
      </c>
      <c r="C9">
        <v>64</v>
      </c>
      <c r="D9" t="s">
        <v>64</v>
      </c>
      <c r="E9" t="s">
        <v>59</v>
      </c>
      <c r="F9" t="s">
        <v>60</v>
      </c>
      <c r="G9">
        <v>30000</v>
      </c>
      <c r="H9">
        <v>20</v>
      </c>
      <c r="I9">
        <v>20</v>
      </c>
      <c r="J9">
        <v>0</v>
      </c>
      <c r="K9">
        <v>1</v>
      </c>
      <c r="L9">
        <v>20000000</v>
      </c>
      <c r="M9">
        <v>190</v>
      </c>
      <c r="N9">
        <v>190</v>
      </c>
      <c r="O9">
        <v>190</v>
      </c>
      <c r="P9">
        <v>0</v>
      </c>
      <c r="Q9" t="s">
        <v>61</v>
      </c>
      <c r="R9">
        <v>99989585665303</v>
      </c>
      <c r="S9">
        <v>9999856</v>
      </c>
      <c r="T9">
        <v>99989585665303</v>
      </c>
      <c r="U9">
        <v>9999856</v>
      </c>
      <c r="V9" t="s">
        <v>71</v>
      </c>
      <c r="W9">
        <v>7</v>
      </c>
      <c r="X9">
        <v>1799664</v>
      </c>
      <c r="Y9">
        <v>11797887</v>
      </c>
      <c r="Z9">
        <v>13597551</v>
      </c>
      <c r="AA9">
        <v>9999856</v>
      </c>
      <c r="AB9">
        <v>7.5556099999999997</v>
      </c>
      <c r="AC9">
        <v>0.84759700000000004</v>
      </c>
      <c r="AD9">
        <v>1.73542</v>
      </c>
      <c r="AE9">
        <v>4.0347900000000001</v>
      </c>
      <c r="AF9">
        <v>318344656</v>
      </c>
      <c r="AG9" t="s">
        <v>103</v>
      </c>
      <c r="AH9" t="s">
        <v>104</v>
      </c>
      <c r="AI9">
        <v>135557</v>
      </c>
      <c r="AJ9">
        <v>3578</v>
      </c>
      <c r="AK9">
        <v>304602616995</v>
      </c>
      <c r="AL9">
        <v>5686390880988</v>
      </c>
      <c r="AM9">
        <v>279012963</v>
      </c>
      <c r="AN9">
        <v>0</v>
      </c>
      <c r="AO9">
        <v>185988072</v>
      </c>
      <c r="AP9">
        <v>279012963</v>
      </c>
      <c r="AQ9">
        <v>465001035</v>
      </c>
      <c r="AR9">
        <v>9300432</v>
      </c>
      <c r="AS9">
        <v>0</v>
      </c>
      <c r="AT9">
        <v>6199602</v>
      </c>
      <c r="AU9">
        <v>9300432</v>
      </c>
      <c r="AV9">
        <v>15500034</v>
      </c>
      <c r="AW9">
        <v>32.959099999999999</v>
      </c>
      <c r="AX9">
        <v>16.91</v>
      </c>
      <c r="AY9">
        <v>33528.6</v>
      </c>
      <c r="AZ9">
        <v>31108.1</v>
      </c>
      <c r="BA9">
        <v>2680</v>
      </c>
      <c r="BB9">
        <v>339</v>
      </c>
      <c r="BC9" t="str">
        <f t="shared" si="0"/>
        <v>u=40%, k=2x10^7</v>
      </c>
      <c r="BD9">
        <f t="shared" si="1"/>
        <v>30</v>
      </c>
    </row>
    <row r="10" spans="1:56">
      <c r="A10" t="s">
        <v>105</v>
      </c>
      <c r="B10" t="s">
        <v>161</v>
      </c>
      <c r="C10">
        <v>64</v>
      </c>
      <c r="D10" t="s">
        <v>64</v>
      </c>
      <c r="E10" t="s">
        <v>59</v>
      </c>
      <c r="F10" t="s">
        <v>60</v>
      </c>
      <c r="G10">
        <v>30000</v>
      </c>
      <c r="H10">
        <v>20</v>
      </c>
      <c r="I10">
        <v>20</v>
      </c>
      <c r="J10">
        <v>0</v>
      </c>
      <c r="K10">
        <v>1</v>
      </c>
      <c r="L10">
        <v>200000000</v>
      </c>
      <c r="M10">
        <v>190</v>
      </c>
      <c r="N10">
        <v>190</v>
      </c>
      <c r="O10">
        <v>190</v>
      </c>
      <c r="P10">
        <v>0</v>
      </c>
      <c r="Q10" t="s">
        <v>61</v>
      </c>
      <c r="R10">
        <v>9998664621393280</v>
      </c>
      <c r="S10">
        <v>99983992</v>
      </c>
      <c r="T10">
        <v>9998664621393280</v>
      </c>
      <c r="U10">
        <v>99983992</v>
      </c>
      <c r="V10" t="s">
        <v>71</v>
      </c>
      <c r="W10">
        <v>7</v>
      </c>
      <c r="X10">
        <v>14731084</v>
      </c>
      <c r="Y10">
        <v>117788920</v>
      </c>
      <c r="Z10">
        <v>132520004</v>
      </c>
      <c r="AA10">
        <v>99983992</v>
      </c>
      <c r="AB10">
        <v>8.9959399999999992</v>
      </c>
      <c r="AC10">
        <v>0.84884000000000004</v>
      </c>
      <c r="AD10">
        <v>1.75448</v>
      </c>
      <c r="AE10">
        <v>4.0762200000000002</v>
      </c>
      <c r="AF10">
        <v>2949431648</v>
      </c>
      <c r="AG10" t="s">
        <v>106</v>
      </c>
      <c r="AH10" t="s">
        <v>107</v>
      </c>
      <c r="AI10">
        <v>22270</v>
      </c>
      <c r="AJ10">
        <v>3180</v>
      </c>
      <c r="AK10">
        <v>325778372797</v>
      </c>
      <c r="AL10">
        <v>5686612833092</v>
      </c>
      <c r="AM10">
        <v>284881247</v>
      </c>
      <c r="AN10">
        <v>0</v>
      </c>
      <c r="AO10">
        <v>189929485</v>
      </c>
      <c r="AP10">
        <v>284881247</v>
      </c>
      <c r="AQ10">
        <v>474810732</v>
      </c>
      <c r="AR10">
        <v>9496041</v>
      </c>
      <c r="AS10">
        <v>0</v>
      </c>
      <c r="AT10">
        <v>6330982</v>
      </c>
      <c r="AU10">
        <v>9496041</v>
      </c>
      <c r="AV10">
        <v>15827024</v>
      </c>
      <c r="AW10">
        <v>32.054099999999998</v>
      </c>
      <c r="AX10">
        <v>16.701899999999998</v>
      </c>
      <c r="AY10">
        <v>31836.5</v>
      </c>
      <c r="AZ10">
        <v>30084.9</v>
      </c>
      <c r="BA10">
        <v>12727</v>
      </c>
      <c r="BB10">
        <v>1069</v>
      </c>
      <c r="BC10" t="str">
        <f t="shared" si="0"/>
        <v>u=40%, k=2x10^8</v>
      </c>
      <c r="BD10">
        <f t="shared" si="1"/>
        <v>30</v>
      </c>
    </row>
    <row r="11" spans="1:56">
      <c r="A11" t="s">
        <v>108</v>
      </c>
      <c r="B11" t="s">
        <v>161</v>
      </c>
      <c r="C11">
        <v>64</v>
      </c>
      <c r="D11" t="s">
        <v>64</v>
      </c>
      <c r="E11" t="s">
        <v>59</v>
      </c>
      <c r="F11" t="s">
        <v>60</v>
      </c>
      <c r="G11">
        <v>30000</v>
      </c>
      <c r="H11">
        <v>0.5</v>
      </c>
      <c r="I11">
        <v>0.5</v>
      </c>
      <c r="J11">
        <v>0</v>
      </c>
      <c r="K11">
        <v>1</v>
      </c>
      <c r="L11">
        <v>2000000</v>
      </c>
      <c r="M11">
        <v>190</v>
      </c>
      <c r="N11">
        <v>190</v>
      </c>
      <c r="O11">
        <v>190</v>
      </c>
      <c r="P11">
        <v>0</v>
      </c>
      <c r="Q11" t="s">
        <v>61</v>
      </c>
      <c r="R11">
        <v>998745812642</v>
      </c>
      <c r="S11">
        <v>999346</v>
      </c>
      <c r="T11">
        <v>998745812642</v>
      </c>
      <c r="U11">
        <v>999346</v>
      </c>
      <c r="V11" t="s">
        <v>71</v>
      </c>
      <c r="W11">
        <v>6</v>
      </c>
      <c r="X11">
        <v>83758</v>
      </c>
      <c r="Y11">
        <v>1137850</v>
      </c>
      <c r="Z11">
        <v>1221608</v>
      </c>
      <c r="AA11">
        <v>999346</v>
      </c>
      <c r="AB11">
        <v>14.585000000000001</v>
      </c>
      <c r="AC11">
        <v>0.87827599999999995</v>
      </c>
      <c r="AD11">
        <v>1.81806</v>
      </c>
      <c r="AE11">
        <v>3.1114299999999999</v>
      </c>
      <c r="AF11">
        <v>24344592</v>
      </c>
      <c r="AG11" t="s">
        <v>109</v>
      </c>
      <c r="AH11" t="s">
        <v>110</v>
      </c>
      <c r="AI11">
        <v>73878</v>
      </c>
      <c r="AJ11">
        <v>30716</v>
      </c>
      <c r="AK11">
        <v>34145197642</v>
      </c>
      <c r="AL11">
        <v>5686389859534</v>
      </c>
      <c r="AM11">
        <v>4791911448</v>
      </c>
      <c r="AN11">
        <v>0</v>
      </c>
      <c r="AO11">
        <v>48403032</v>
      </c>
      <c r="AP11">
        <v>4791911448</v>
      </c>
      <c r="AQ11">
        <v>4840314480</v>
      </c>
      <c r="AR11">
        <v>159730381</v>
      </c>
      <c r="AS11">
        <v>0</v>
      </c>
      <c r="AT11">
        <v>1613434</v>
      </c>
      <c r="AU11">
        <v>159730381</v>
      </c>
      <c r="AV11">
        <v>161343816</v>
      </c>
      <c r="AW11">
        <v>11.1845</v>
      </c>
      <c r="AX11">
        <v>0.61714500000000005</v>
      </c>
      <c r="AY11">
        <v>3280.87</v>
      </c>
      <c r="AZ11">
        <v>2535.65</v>
      </c>
      <c r="BA11">
        <v>1280</v>
      </c>
      <c r="BB11">
        <v>399</v>
      </c>
      <c r="BC11" t="str">
        <f t="shared" si="0"/>
        <v>u=1%, k=2x10^6</v>
      </c>
      <c r="BD11">
        <f t="shared" si="1"/>
        <v>30</v>
      </c>
    </row>
    <row r="12" spans="1:56">
      <c r="A12" t="s">
        <v>111</v>
      </c>
      <c r="B12" t="s">
        <v>161</v>
      </c>
      <c r="C12">
        <v>64</v>
      </c>
      <c r="D12" t="s">
        <v>64</v>
      </c>
      <c r="E12" t="s">
        <v>59</v>
      </c>
      <c r="F12" t="s">
        <v>60</v>
      </c>
      <c r="G12">
        <v>30000</v>
      </c>
      <c r="H12">
        <v>0.5</v>
      </c>
      <c r="I12">
        <v>0.5</v>
      </c>
      <c r="J12">
        <v>0</v>
      </c>
      <c r="K12">
        <v>1</v>
      </c>
      <c r="L12">
        <v>20000000</v>
      </c>
      <c r="M12">
        <v>190</v>
      </c>
      <c r="N12">
        <v>190</v>
      </c>
      <c r="O12">
        <v>190</v>
      </c>
      <c r="P12">
        <v>0</v>
      </c>
      <c r="Q12" t="s">
        <v>61</v>
      </c>
      <c r="R12">
        <v>99985530224439</v>
      </c>
      <c r="S12">
        <v>9998343</v>
      </c>
      <c r="T12">
        <v>99985530224439</v>
      </c>
      <c r="U12">
        <v>9998343</v>
      </c>
      <c r="V12" t="s">
        <v>71</v>
      </c>
      <c r="W12">
        <v>7</v>
      </c>
      <c r="X12">
        <v>1890863</v>
      </c>
      <c r="Y12">
        <v>11994028</v>
      </c>
      <c r="Z12">
        <v>13884891</v>
      </c>
      <c r="AA12">
        <v>9998343</v>
      </c>
      <c r="AB12">
        <v>7.3431499999999996</v>
      </c>
      <c r="AC12">
        <v>0.83360999999999996</v>
      </c>
      <c r="AD12">
        <v>1.7200899999999999</v>
      </c>
      <c r="AE12">
        <v>4.0532500000000002</v>
      </c>
      <c r="AF12">
        <v>328067144</v>
      </c>
      <c r="AG12" t="s">
        <v>112</v>
      </c>
      <c r="AH12" t="s">
        <v>113</v>
      </c>
      <c r="AI12">
        <v>15704</v>
      </c>
      <c r="AJ12">
        <v>24610</v>
      </c>
      <c r="AK12">
        <v>63736882591</v>
      </c>
      <c r="AL12">
        <v>5686390199620</v>
      </c>
      <c r="AM12">
        <v>4180861007</v>
      </c>
      <c r="AN12">
        <v>0</v>
      </c>
      <c r="AO12">
        <v>42231443</v>
      </c>
      <c r="AP12">
        <v>4180861007</v>
      </c>
      <c r="AQ12">
        <v>4223092450</v>
      </c>
      <c r="AR12">
        <v>139362033</v>
      </c>
      <c r="AS12">
        <v>0</v>
      </c>
      <c r="AT12">
        <v>1407714</v>
      </c>
      <c r="AU12">
        <v>139362033</v>
      </c>
      <c r="AV12">
        <v>140769748</v>
      </c>
      <c r="AW12">
        <v>16.8337</v>
      </c>
      <c r="AX12">
        <v>6.6706099999999999</v>
      </c>
      <c r="AY12">
        <v>3731.08</v>
      </c>
      <c r="AZ12">
        <v>2959.94</v>
      </c>
      <c r="BA12">
        <v>2478</v>
      </c>
      <c r="BB12">
        <v>376</v>
      </c>
      <c r="BC12" t="str">
        <f t="shared" si="0"/>
        <v>u=1%, k=2x10^7</v>
      </c>
      <c r="BD12">
        <f t="shared" si="1"/>
        <v>30</v>
      </c>
    </row>
    <row r="13" spans="1:56">
      <c r="A13" t="s">
        <v>114</v>
      </c>
      <c r="B13" t="s">
        <v>161</v>
      </c>
      <c r="C13">
        <v>64</v>
      </c>
      <c r="D13" t="s">
        <v>64</v>
      </c>
      <c r="E13" t="s">
        <v>59</v>
      </c>
      <c r="F13" t="s">
        <v>60</v>
      </c>
      <c r="G13">
        <v>30000</v>
      </c>
      <c r="H13">
        <v>0.5</v>
      </c>
      <c r="I13">
        <v>0.5</v>
      </c>
      <c r="J13">
        <v>0</v>
      </c>
      <c r="K13">
        <v>1</v>
      </c>
      <c r="L13">
        <v>200000000</v>
      </c>
      <c r="M13">
        <v>190</v>
      </c>
      <c r="N13">
        <v>190</v>
      </c>
      <c r="O13">
        <v>190</v>
      </c>
      <c r="P13">
        <v>0</v>
      </c>
      <c r="Q13" t="s">
        <v>61</v>
      </c>
      <c r="R13">
        <v>9999687100184080</v>
      </c>
      <c r="S13">
        <v>99997915</v>
      </c>
      <c r="T13">
        <v>9999687100184080</v>
      </c>
      <c r="U13">
        <v>99997915</v>
      </c>
      <c r="V13" t="s">
        <v>71</v>
      </c>
      <c r="W13">
        <v>7</v>
      </c>
      <c r="X13">
        <v>14764479</v>
      </c>
      <c r="Y13">
        <v>117876634</v>
      </c>
      <c r="Z13">
        <v>132641113</v>
      </c>
      <c r="AA13">
        <v>99997915</v>
      </c>
      <c r="AB13">
        <v>8.9838000000000005</v>
      </c>
      <c r="AC13">
        <v>0.84832700000000005</v>
      </c>
      <c r="AD13">
        <v>1.7539</v>
      </c>
      <c r="AE13">
        <v>4.0770600000000004</v>
      </c>
      <c r="AF13">
        <v>2953275848</v>
      </c>
      <c r="AG13" t="s">
        <v>115</v>
      </c>
      <c r="AH13" t="s">
        <v>115</v>
      </c>
      <c r="AI13">
        <v>3</v>
      </c>
      <c r="AJ13">
        <v>23862</v>
      </c>
      <c r="AK13">
        <v>11568841330</v>
      </c>
      <c r="AL13">
        <v>5686390391500</v>
      </c>
      <c r="AM13">
        <v>3891502873</v>
      </c>
      <c r="AN13">
        <v>0</v>
      </c>
      <c r="AO13">
        <v>39312393</v>
      </c>
      <c r="AP13">
        <v>3891502873</v>
      </c>
      <c r="AQ13">
        <v>3930815266</v>
      </c>
      <c r="AR13">
        <v>129716762</v>
      </c>
      <c r="AS13">
        <v>0</v>
      </c>
      <c r="AT13">
        <v>1310413</v>
      </c>
      <c r="AU13">
        <v>129716762</v>
      </c>
      <c r="AV13">
        <v>131027175</v>
      </c>
      <c r="AW13">
        <v>19.648900000000001</v>
      </c>
      <c r="AX13">
        <v>9.5027500000000007</v>
      </c>
      <c r="AY13">
        <v>4037.32</v>
      </c>
      <c r="AZ13">
        <v>3282.94</v>
      </c>
      <c r="BA13">
        <v>8003</v>
      </c>
      <c r="BB13">
        <v>1064</v>
      </c>
      <c r="BC13" t="str">
        <f t="shared" si="0"/>
        <v>u=1%, k=2x10^8</v>
      </c>
      <c r="BD13">
        <f t="shared" si="1"/>
        <v>30</v>
      </c>
    </row>
    <row r="14" spans="1:56">
      <c r="A14" t="s">
        <v>116</v>
      </c>
      <c r="B14" t="s">
        <v>161</v>
      </c>
      <c r="C14">
        <v>64</v>
      </c>
      <c r="D14" t="s">
        <v>64</v>
      </c>
      <c r="E14" t="s">
        <v>59</v>
      </c>
      <c r="F14" t="s">
        <v>60</v>
      </c>
      <c r="G14">
        <v>30000</v>
      </c>
      <c r="H14">
        <v>5</v>
      </c>
      <c r="I14">
        <v>5</v>
      </c>
      <c r="J14">
        <v>0</v>
      </c>
      <c r="K14">
        <v>1</v>
      </c>
      <c r="L14">
        <v>2000000</v>
      </c>
      <c r="M14">
        <v>190</v>
      </c>
      <c r="N14">
        <v>190</v>
      </c>
      <c r="O14">
        <v>190</v>
      </c>
      <c r="P14">
        <v>0</v>
      </c>
      <c r="Q14" t="s">
        <v>61</v>
      </c>
      <c r="R14">
        <v>999186643855</v>
      </c>
      <c r="S14">
        <v>999074</v>
      </c>
      <c r="T14">
        <v>999186643855</v>
      </c>
      <c r="U14">
        <v>999074</v>
      </c>
      <c r="V14" t="s">
        <v>71</v>
      </c>
      <c r="W14">
        <v>7</v>
      </c>
      <c r="X14">
        <v>73905</v>
      </c>
      <c r="Y14">
        <v>1118049</v>
      </c>
      <c r="Z14">
        <v>1191954</v>
      </c>
      <c r="AA14">
        <v>999074</v>
      </c>
      <c r="AB14">
        <v>16.1282</v>
      </c>
      <c r="AC14">
        <v>0.89358700000000002</v>
      </c>
      <c r="AD14">
        <v>1.8381799999999999</v>
      </c>
      <c r="AE14">
        <v>3.08995</v>
      </c>
      <c r="AF14">
        <v>23301208</v>
      </c>
      <c r="AG14" t="s">
        <v>117</v>
      </c>
      <c r="AH14" t="s">
        <v>118</v>
      </c>
      <c r="AI14">
        <v>210642</v>
      </c>
      <c r="AJ14">
        <v>7670</v>
      </c>
      <c r="AK14">
        <v>95055106358</v>
      </c>
      <c r="AL14">
        <v>5686390609122</v>
      </c>
      <c r="AM14">
        <v>999134237</v>
      </c>
      <c r="AN14">
        <v>0</v>
      </c>
      <c r="AO14">
        <v>111014730</v>
      </c>
      <c r="AP14">
        <v>999134237</v>
      </c>
      <c r="AQ14">
        <v>1110148967</v>
      </c>
      <c r="AR14">
        <v>33304474</v>
      </c>
      <c r="AS14">
        <v>0</v>
      </c>
      <c r="AT14">
        <v>3700491</v>
      </c>
      <c r="AU14">
        <v>33304474</v>
      </c>
      <c r="AV14">
        <v>37004965</v>
      </c>
      <c r="AW14">
        <v>17.7287</v>
      </c>
      <c r="AX14">
        <v>4.1081700000000003</v>
      </c>
      <c r="AY14">
        <v>14304</v>
      </c>
      <c r="AZ14">
        <v>13338.4</v>
      </c>
      <c r="BA14">
        <v>1301</v>
      </c>
      <c r="BB14">
        <v>408</v>
      </c>
      <c r="BC14" t="str">
        <f t="shared" si="0"/>
        <v>u=10%, k=2x10^6</v>
      </c>
      <c r="BD14">
        <f t="shared" si="1"/>
        <v>30</v>
      </c>
    </row>
    <row r="15" spans="1:56">
      <c r="A15" t="s">
        <v>119</v>
      </c>
      <c r="B15" t="s">
        <v>161</v>
      </c>
      <c r="C15">
        <v>64</v>
      </c>
      <c r="D15" t="s">
        <v>64</v>
      </c>
      <c r="E15" t="s">
        <v>59</v>
      </c>
      <c r="F15" t="s">
        <v>60</v>
      </c>
      <c r="G15">
        <v>30000</v>
      </c>
      <c r="H15">
        <v>5</v>
      </c>
      <c r="I15">
        <v>5</v>
      </c>
      <c r="J15">
        <v>0</v>
      </c>
      <c r="K15">
        <v>1</v>
      </c>
      <c r="L15">
        <v>20000000</v>
      </c>
      <c r="M15">
        <v>190</v>
      </c>
      <c r="N15">
        <v>190</v>
      </c>
      <c r="O15">
        <v>190</v>
      </c>
      <c r="P15">
        <v>0</v>
      </c>
      <c r="Q15" t="s">
        <v>61</v>
      </c>
      <c r="R15">
        <v>99972121105303</v>
      </c>
      <c r="S15">
        <v>9999677</v>
      </c>
      <c r="T15">
        <v>99972121105303</v>
      </c>
      <c r="U15">
        <v>9999677</v>
      </c>
      <c r="V15" t="s">
        <v>71</v>
      </c>
      <c r="W15">
        <v>7</v>
      </c>
      <c r="X15">
        <v>1876703</v>
      </c>
      <c r="Y15">
        <v>11984690</v>
      </c>
      <c r="Z15">
        <v>13861393</v>
      </c>
      <c r="AA15">
        <v>9999677</v>
      </c>
      <c r="AB15">
        <v>7.3860299999999999</v>
      </c>
      <c r="AC15">
        <v>0.83437099999999997</v>
      </c>
      <c r="AD15">
        <v>1.7214</v>
      </c>
      <c r="AE15">
        <v>4.0479900000000004</v>
      </c>
      <c r="AF15">
        <v>326926136</v>
      </c>
      <c r="AG15" t="s">
        <v>120</v>
      </c>
      <c r="AH15" t="s">
        <v>121</v>
      </c>
      <c r="AI15">
        <v>55916</v>
      </c>
      <c r="AJ15">
        <v>7892</v>
      </c>
      <c r="AK15">
        <v>151356430144</v>
      </c>
      <c r="AL15">
        <v>5686386573437</v>
      </c>
      <c r="AM15">
        <v>1027323697</v>
      </c>
      <c r="AN15">
        <v>0</v>
      </c>
      <c r="AO15">
        <v>114137186</v>
      </c>
      <c r="AP15">
        <v>1027323697</v>
      </c>
      <c r="AQ15">
        <v>1141460883</v>
      </c>
      <c r="AR15">
        <v>34244123</v>
      </c>
      <c r="AS15">
        <v>0</v>
      </c>
      <c r="AT15">
        <v>3804572</v>
      </c>
      <c r="AU15">
        <v>34244123</v>
      </c>
      <c r="AV15">
        <v>38048696</v>
      </c>
      <c r="AW15">
        <v>22.321999999999999</v>
      </c>
      <c r="AX15">
        <v>9.3607800000000001</v>
      </c>
      <c r="AY15">
        <v>13760.2</v>
      </c>
      <c r="AZ15">
        <v>12748.1</v>
      </c>
      <c r="BA15">
        <v>2540</v>
      </c>
      <c r="BB15">
        <v>370</v>
      </c>
      <c r="BC15" t="str">
        <f t="shared" si="0"/>
        <v>u=10%, k=2x10^7</v>
      </c>
      <c r="BD15">
        <f t="shared" si="1"/>
        <v>30</v>
      </c>
    </row>
    <row r="16" spans="1:56">
      <c r="A16" t="s">
        <v>122</v>
      </c>
      <c r="B16" t="s">
        <v>161</v>
      </c>
      <c r="C16">
        <v>64</v>
      </c>
      <c r="D16" t="s">
        <v>64</v>
      </c>
      <c r="E16" t="s">
        <v>59</v>
      </c>
      <c r="F16" t="s">
        <v>60</v>
      </c>
      <c r="G16">
        <v>30000</v>
      </c>
      <c r="H16">
        <v>5</v>
      </c>
      <c r="I16">
        <v>5</v>
      </c>
      <c r="J16">
        <v>0</v>
      </c>
      <c r="K16">
        <v>1</v>
      </c>
      <c r="L16">
        <v>200000000</v>
      </c>
      <c r="M16">
        <v>190</v>
      </c>
      <c r="N16">
        <v>190</v>
      </c>
      <c r="O16">
        <v>190</v>
      </c>
      <c r="P16">
        <v>0</v>
      </c>
      <c r="Q16" t="s">
        <v>61</v>
      </c>
      <c r="R16">
        <v>9999378637209130</v>
      </c>
      <c r="S16">
        <v>99997544</v>
      </c>
      <c r="T16">
        <v>9999378637209130</v>
      </c>
      <c r="U16">
        <v>99997544</v>
      </c>
      <c r="V16" t="s">
        <v>71</v>
      </c>
      <c r="W16">
        <v>7</v>
      </c>
      <c r="X16">
        <v>14058218</v>
      </c>
      <c r="Y16">
        <v>116261636</v>
      </c>
      <c r="Z16">
        <v>130319854</v>
      </c>
      <c r="AA16">
        <v>99997544</v>
      </c>
      <c r="AB16">
        <v>9.2700099999999992</v>
      </c>
      <c r="AC16">
        <v>0.86010799999999998</v>
      </c>
      <c r="AD16">
        <v>1.76732</v>
      </c>
      <c r="AE16">
        <v>4.0630899999999999</v>
      </c>
      <c r="AF16">
        <v>2874718032</v>
      </c>
      <c r="AG16" t="s">
        <v>123</v>
      </c>
      <c r="AH16" t="s">
        <v>124</v>
      </c>
      <c r="AI16">
        <v>10094</v>
      </c>
      <c r="AJ16">
        <v>7464</v>
      </c>
      <c r="AK16">
        <v>201035749226</v>
      </c>
      <c r="AL16">
        <v>5686432438297</v>
      </c>
      <c r="AM16">
        <v>1049156337</v>
      </c>
      <c r="AN16">
        <v>0</v>
      </c>
      <c r="AO16">
        <v>116567597</v>
      </c>
      <c r="AP16">
        <v>1049156337</v>
      </c>
      <c r="AQ16">
        <v>1165723934</v>
      </c>
      <c r="AR16">
        <v>34971877</v>
      </c>
      <c r="AS16">
        <v>0</v>
      </c>
      <c r="AT16">
        <v>3885586</v>
      </c>
      <c r="AU16">
        <v>34971877</v>
      </c>
      <c r="AV16">
        <v>38857464</v>
      </c>
      <c r="AW16">
        <v>21.903099999999998</v>
      </c>
      <c r="AX16">
        <v>10.734999999999999</v>
      </c>
      <c r="AY16">
        <v>13246.9</v>
      </c>
      <c r="AZ16">
        <v>12349.2</v>
      </c>
      <c r="BA16">
        <v>12742</v>
      </c>
      <c r="BB16">
        <v>1119</v>
      </c>
      <c r="BC16" t="str">
        <f t="shared" si="0"/>
        <v>u=10%, k=2x10^8</v>
      </c>
      <c r="BD16">
        <f t="shared" si="1"/>
        <v>30</v>
      </c>
    </row>
    <row r="17" spans="1:56">
      <c r="A17" t="s">
        <v>125</v>
      </c>
      <c r="B17" t="s">
        <v>161</v>
      </c>
      <c r="C17">
        <v>64</v>
      </c>
      <c r="D17" t="s">
        <v>64</v>
      </c>
      <c r="E17" t="s">
        <v>59</v>
      </c>
      <c r="F17" t="s">
        <v>60</v>
      </c>
      <c r="G17">
        <v>30000</v>
      </c>
      <c r="H17">
        <v>20</v>
      </c>
      <c r="I17">
        <v>20</v>
      </c>
      <c r="J17">
        <v>0</v>
      </c>
      <c r="K17">
        <v>1</v>
      </c>
      <c r="L17">
        <v>2000000</v>
      </c>
      <c r="M17">
        <v>190</v>
      </c>
      <c r="N17">
        <v>190</v>
      </c>
      <c r="O17">
        <v>190</v>
      </c>
      <c r="P17">
        <v>0</v>
      </c>
      <c r="Q17" t="s">
        <v>61</v>
      </c>
      <c r="R17">
        <v>999534467445</v>
      </c>
      <c r="S17">
        <v>999901</v>
      </c>
      <c r="T17">
        <v>999534467445</v>
      </c>
      <c r="U17">
        <v>999901</v>
      </c>
      <c r="V17" t="s">
        <v>71</v>
      </c>
      <c r="W17">
        <v>6</v>
      </c>
      <c r="X17">
        <v>82645</v>
      </c>
      <c r="Y17">
        <v>1135117</v>
      </c>
      <c r="Z17">
        <v>1217762</v>
      </c>
      <c r="AA17">
        <v>999901</v>
      </c>
      <c r="AB17">
        <v>14.7349</v>
      </c>
      <c r="AC17">
        <v>0.88087899999999997</v>
      </c>
      <c r="AD17">
        <v>1.8210999999999999</v>
      </c>
      <c r="AE17">
        <v>3.1077900000000001</v>
      </c>
      <c r="AF17">
        <v>24206280</v>
      </c>
      <c r="AG17" t="s">
        <v>126</v>
      </c>
      <c r="AH17" t="s">
        <v>127</v>
      </c>
      <c r="AI17">
        <v>494434</v>
      </c>
      <c r="AJ17">
        <v>3144</v>
      </c>
      <c r="AK17">
        <v>204654244736</v>
      </c>
      <c r="AL17">
        <v>5686388913513</v>
      </c>
      <c r="AM17">
        <v>271178195</v>
      </c>
      <c r="AN17">
        <v>0</v>
      </c>
      <c r="AO17">
        <v>180805399</v>
      </c>
      <c r="AP17">
        <v>271178195</v>
      </c>
      <c r="AQ17">
        <v>451983594</v>
      </c>
      <c r="AR17">
        <v>9039273</v>
      </c>
      <c r="AS17">
        <v>0</v>
      </c>
      <c r="AT17">
        <v>6026846</v>
      </c>
      <c r="AU17">
        <v>9039273</v>
      </c>
      <c r="AV17">
        <v>15066119</v>
      </c>
      <c r="AW17">
        <v>26.328099999999999</v>
      </c>
      <c r="AX17">
        <v>10.815899999999999</v>
      </c>
      <c r="AY17">
        <v>35109.800000000003</v>
      </c>
      <c r="AZ17">
        <v>33245.800000000003</v>
      </c>
      <c r="BA17">
        <v>1324</v>
      </c>
      <c r="BB17">
        <v>203</v>
      </c>
      <c r="BC17" t="str">
        <f t="shared" si="0"/>
        <v>u=40%, k=2x10^6</v>
      </c>
      <c r="BD17">
        <f t="shared" si="1"/>
        <v>30</v>
      </c>
    </row>
    <row r="18" spans="1:56">
      <c r="A18" t="s">
        <v>128</v>
      </c>
      <c r="B18" t="s">
        <v>161</v>
      </c>
      <c r="C18">
        <v>64</v>
      </c>
      <c r="D18" t="s">
        <v>64</v>
      </c>
      <c r="E18" t="s">
        <v>59</v>
      </c>
      <c r="F18" t="s">
        <v>60</v>
      </c>
      <c r="G18">
        <v>30000</v>
      </c>
      <c r="H18">
        <v>20</v>
      </c>
      <c r="I18">
        <v>20</v>
      </c>
      <c r="J18">
        <v>0</v>
      </c>
      <c r="K18">
        <v>1</v>
      </c>
      <c r="L18">
        <v>20000000</v>
      </c>
      <c r="M18">
        <v>190</v>
      </c>
      <c r="N18">
        <v>190</v>
      </c>
      <c r="O18">
        <v>190</v>
      </c>
      <c r="P18">
        <v>0</v>
      </c>
      <c r="Q18" t="s">
        <v>61</v>
      </c>
      <c r="R18">
        <v>100061063185957</v>
      </c>
      <c r="S18">
        <v>10004617</v>
      </c>
      <c r="T18">
        <v>100061063185957</v>
      </c>
      <c r="U18">
        <v>10004617</v>
      </c>
      <c r="V18" t="s">
        <v>71</v>
      </c>
      <c r="W18">
        <v>7</v>
      </c>
      <c r="X18">
        <v>1783891</v>
      </c>
      <c r="Y18">
        <v>11768535</v>
      </c>
      <c r="Z18">
        <v>13552426</v>
      </c>
      <c r="AA18">
        <v>10004617</v>
      </c>
      <c r="AB18">
        <v>7.5971200000000003</v>
      </c>
      <c r="AC18">
        <v>0.85011599999999998</v>
      </c>
      <c r="AD18">
        <v>1.7382200000000001</v>
      </c>
      <c r="AE18">
        <v>4.0315200000000004</v>
      </c>
      <c r="AF18">
        <v>316738504</v>
      </c>
      <c r="AG18" t="s">
        <v>129</v>
      </c>
      <c r="AH18" t="s">
        <v>130</v>
      </c>
      <c r="AI18">
        <v>137759</v>
      </c>
      <c r="AJ18">
        <v>3552</v>
      </c>
      <c r="AK18">
        <v>303672791965</v>
      </c>
      <c r="AL18">
        <v>5686389187355</v>
      </c>
      <c r="AM18">
        <v>278797909</v>
      </c>
      <c r="AN18">
        <v>0</v>
      </c>
      <c r="AO18">
        <v>185864779</v>
      </c>
      <c r="AP18">
        <v>278797909</v>
      </c>
      <c r="AQ18">
        <v>464662688</v>
      </c>
      <c r="AR18">
        <v>9293263</v>
      </c>
      <c r="AS18">
        <v>0</v>
      </c>
      <c r="AT18">
        <v>6195492</v>
      </c>
      <c r="AU18">
        <v>9293263</v>
      </c>
      <c r="AV18">
        <v>15488756</v>
      </c>
      <c r="AW18">
        <v>32.906399999999998</v>
      </c>
      <c r="AX18">
        <v>16.8443</v>
      </c>
      <c r="AY18">
        <v>33549.699999999997</v>
      </c>
      <c r="AZ18">
        <v>31118.5</v>
      </c>
      <c r="BA18">
        <v>2681</v>
      </c>
      <c r="BB18">
        <v>377</v>
      </c>
      <c r="BC18" t="str">
        <f t="shared" si="0"/>
        <v>u=40%, k=2x10^7</v>
      </c>
      <c r="BD18">
        <f t="shared" si="1"/>
        <v>30</v>
      </c>
    </row>
    <row r="19" spans="1:56">
      <c r="A19" t="s">
        <v>131</v>
      </c>
      <c r="B19" t="s">
        <v>161</v>
      </c>
      <c r="C19">
        <v>64</v>
      </c>
      <c r="D19" t="s">
        <v>64</v>
      </c>
      <c r="E19" t="s">
        <v>59</v>
      </c>
      <c r="F19" t="s">
        <v>60</v>
      </c>
      <c r="G19">
        <v>30000</v>
      </c>
      <c r="H19">
        <v>20</v>
      </c>
      <c r="I19">
        <v>20</v>
      </c>
      <c r="J19">
        <v>0</v>
      </c>
      <c r="K19">
        <v>1</v>
      </c>
      <c r="L19">
        <v>200000000</v>
      </c>
      <c r="M19">
        <v>190</v>
      </c>
      <c r="N19">
        <v>190</v>
      </c>
      <c r="O19">
        <v>190</v>
      </c>
      <c r="P19">
        <v>0</v>
      </c>
      <c r="Q19" t="s">
        <v>61</v>
      </c>
      <c r="R19">
        <v>9999791182423110</v>
      </c>
      <c r="S19">
        <v>99997474</v>
      </c>
      <c r="T19">
        <v>9999791182423110</v>
      </c>
      <c r="U19">
        <v>99997474</v>
      </c>
      <c r="V19" t="s">
        <v>71</v>
      </c>
      <c r="W19">
        <v>7</v>
      </c>
      <c r="X19">
        <v>14939238</v>
      </c>
      <c r="Y19">
        <v>118259973</v>
      </c>
      <c r="Z19">
        <v>133199211</v>
      </c>
      <c r="AA19">
        <v>99997474</v>
      </c>
      <c r="AB19">
        <v>8.9160599999999999</v>
      </c>
      <c r="AC19">
        <v>0.84557300000000002</v>
      </c>
      <c r="AD19">
        <v>1.75074</v>
      </c>
      <c r="AE19">
        <v>4.0817699999999997</v>
      </c>
      <c r="AF19">
        <v>2972124992</v>
      </c>
      <c r="AG19" t="s">
        <v>132</v>
      </c>
      <c r="AH19" t="s">
        <v>133</v>
      </c>
      <c r="AI19">
        <v>21952</v>
      </c>
      <c r="AJ19">
        <v>2962</v>
      </c>
      <c r="AK19">
        <v>318338488461</v>
      </c>
      <c r="AL19">
        <v>5686581857882</v>
      </c>
      <c r="AM19">
        <v>276438928</v>
      </c>
      <c r="AN19">
        <v>0</v>
      </c>
      <c r="AO19">
        <v>184302415</v>
      </c>
      <c r="AP19">
        <v>276438928</v>
      </c>
      <c r="AQ19">
        <v>460741343</v>
      </c>
      <c r="AR19">
        <v>9214630</v>
      </c>
      <c r="AS19">
        <v>0</v>
      </c>
      <c r="AT19">
        <v>6143413</v>
      </c>
      <c r="AU19">
        <v>9214630</v>
      </c>
      <c r="AV19">
        <v>15358044</v>
      </c>
      <c r="AW19">
        <v>29.1816</v>
      </c>
      <c r="AX19">
        <v>15.4466</v>
      </c>
      <c r="AY19">
        <v>32758.7</v>
      </c>
      <c r="AZ19">
        <v>31000.7</v>
      </c>
      <c r="BA19">
        <v>12820</v>
      </c>
      <c r="BB19">
        <v>1068</v>
      </c>
      <c r="BC19" t="str">
        <f t="shared" si="0"/>
        <v>u=40%, k=2x10^8</v>
      </c>
      <c r="BD19">
        <f t="shared" si="1"/>
        <v>30</v>
      </c>
    </row>
    <row r="20" spans="1:56">
      <c r="A20" t="s">
        <v>134</v>
      </c>
      <c r="B20" t="s">
        <v>161</v>
      </c>
      <c r="C20">
        <v>64</v>
      </c>
      <c r="D20" t="s">
        <v>64</v>
      </c>
      <c r="E20" t="s">
        <v>59</v>
      </c>
      <c r="F20" t="s">
        <v>60</v>
      </c>
      <c r="G20">
        <v>30000</v>
      </c>
      <c r="H20">
        <v>0.5</v>
      </c>
      <c r="I20">
        <v>0.5</v>
      </c>
      <c r="J20">
        <v>0</v>
      </c>
      <c r="K20">
        <v>1</v>
      </c>
      <c r="L20">
        <v>2000000</v>
      </c>
      <c r="M20">
        <v>190</v>
      </c>
      <c r="N20">
        <v>190</v>
      </c>
      <c r="O20">
        <v>190</v>
      </c>
      <c r="P20">
        <v>0</v>
      </c>
      <c r="Q20" t="s">
        <v>61</v>
      </c>
      <c r="R20">
        <v>999330295597</v>
      </c>
      <c r="S20">
        <v>999850</v>
      </c>
      <c r="T20">
        <v>999330295597</v>
      </c>
      <c r="U20">
        <v>999850</v>
      </c>
      <c r="V20" t="s">
        <v>71</v>
      </c>
      <c r="W20">
        <v>7</v>
      </c>
      <c r="X20">
        <v>82388</v>
      </c>
      <c r="Y20">
        <v>1134587</v>
      </c>
      <c r="Z20">
        <v>1216975</v>
      </c>
      <c r="AA20">
        <v>999850</v>
      </c>
      <c r="AB20">
        <v>14.7713</v>
      </c>
      <c r="AC20">
        <v>0.88124599999999997</v>
      </c>
      <c r="AD20">
        <v>1.82159</v>
      </c>
      <c r="AE20">
        <v>3.1071599999999999</v>
      </c>
      <c r="AF20">
        <v>24177024</v>
      </c>
      <c r="AG20" t="s">
        <v>135</v>
      </c>
      <c r="AH20" t="s">
        <v>136</v>
      </c>
      <c r="AI20">
        <v>68077</v>
      </c>
      <c r="AJ20">
        <v>30858</v>
      </c>
      <c r="AK20">
        <v>34272351017</v>
      </c>
      <c r="AL20">
        <v>5686388604493</v>
      </c>
      <c r="AM20">
        <v>4827495101</v>
      </c>
      <c r="AN20">
        <v>0</v>
      </c>
      <c r="AO20">
        <v>48775075</v>
      </c>
      <c r="AP20">
        <v>4827495101</v>
      </c>
      <c r="AQ20">
        <v>4876270176</v>
      </c>
      <c r="AR20">
        <v>160916503</v>
      </c>
      <c r="AS20">
        <v>0</v>
      </c>
      <c r="AT20">
        <v>1625835</v>
      </c>
      <c r="AU20">
        <v>160916503</v>
      </c>
      <c r="AV20">
        <v>162542339</v>
      </c>
      <c r="AW20">
        <v>11.222300000000001</v>
      </c>
      <c r="AX20">
        <v>0.61604099999999995</v>
      </c>
      <c r="AY20">
        <v>3256.85</v>
      </c>
      <c r="AZ20">
        <v>2510.11</v>
      </c>
      <c r="BA20">
        <v>1278</v>
      </c>
      <c r="BB20">
        <v>157</v>
      </c>
      <c r="BC20" t="str">
        <f t="shared" si="0"/>
        <v>u=1%, k=2x10^6</v>
      </c>
      <c r="BD20">
        <f t="shared" si="1"/>
        <v>30</v>
      </c>
    </row>
    <row r="21" spans="1:56">
      <c r="A21" t="s">
        <v>137</v>
      </c>
      <c r="B21" t="s">
        <v>161</v>
      </c>
      <c r="C21">
        <v>64</v>
      </c>
      <c r="D21" t="s">
        <v>64</v>
      </c>
      <c r="E21" t="s">
        <v>59</v>
      </c>
      <c r="F21" t="s">
        <v>60</v>
      </c>
      <c r="G21">
        <v>30000</v>
      </c>
      <c r="H21">
        <v>0.5</v>
      </c>
      <c r="I21">
        <v>0.5</v>
      </c>
      <c r="J21">
        <v>0</v>
      </c>
      <c r="K21">
        <v>1</v>
      </c>
      <c r="L21">
        <v>20000000</v>
      </c>
      <c r="M21">
        <v>190</v>
      </c>
      <c r="N21">
        <v>190</v>
      </c>
      <c r="O21">
        <v>190</v>
      </c>
      <c r="P21">
        <v>0</v>
      </c>
      <c r="Q21" t="s">
        <v>61</v>
      </c>
      <c r="R21">
        <v>100008726892939</v>
      </c>
      <c r="S21">
        <v>10000941</v>
      </c>
      <c r="T21">
        <v>100008726892939</v>
      </c>
      <c r="U21">
        <v>10000941</v>
      </c>
      <c r="V21" t="s">
        <v>71</v>
      </c>
      <c r="W21">
        <v>7</v>
      </c>
      <c r="X21">
        <v>1897268</v>
      </c>
      <c r="Y21">
        <v>12011983</v>
      </c>
      <c r="Z21">
        <v>13909251</v>
      </c>
      <c r="AA21">
        <v>10000941</v>
      </c>
      <c r="AB21">
        <v>7.3311999999999999</v>
      </c>
      <c r="AC21">
        <v>0.83257999999999999</v>
      </c>
      <c r="AD21">
        <v>1.7190099999999999</v>
      </c>
      <c r="AE21">
        <v>4.05436</v>
      </c>
      <c r="AF21">
        <v>328819312</v>
      </c>
      <c r="AG21" t="s">
        <v>138</v>
      </c>
      <c r="AH21" t="s">
        <v>139</v>
      </c>
      <c r="AI21">
        <v>14844</v>
      </c>
      <c r="AJ21">
        <v>24888</v>
      </c>
      <c r="AK21">
        <v>62518130608</v>
      </c>
      <c r="AL21">
        <v>5686388585581</v>
      </c>
      <c r="AM21">
        <v>4198802353</v>
      </c>
      <c r="AN21">
        <v>0</v>
      </c>
      <c r="AO21">
        <v>42400320</v>
      </c>
      <c r="AP21">
        <v>4198802353</v>
      </c>
      <c r="AQ21">
        <v>4241202673</v>
      </c>
      <c r="AR21">
        <v>139960078</v>
      </c>
      <c r="AS21">
        <v>0</v>
      </c>
      <c r="AT21">
        <v>1413344</v>
      </c>
      <c r="AU21">
        <v>139960078</v>
      </c>
      <c r="AV21">
        <v>141373422</v>
      </c>
      <c r="AW21">
        <v>16.7667</v>
      </c>
      <c r="AX21">
        <v>6.6663199999999998</v>
      </c>
      <c r="AY21">
        <v>3716</v>
      </c>
      <c r="AZ21">
        <v>2954.02</v>
      </c>
      <c r="BA21">
        <v>2477</v>
      </c>
      <c r="BB21">
        <v>345</v>
      </c>
      <c r="BC21" t="str">
        <f t="shared" si="0"/>
        <v>u=1%, k=2x10^7</v>
      </c>
      <c r="BD21">
        <f t="shared" si="1"/>
        <v>30</v>
      </c>
    </row>
    <row r="22" spans="1:56">
      <c r="A22" t="s">
        <v>140</v>
      </c>
      <c r="B22" t="s">
        <v>161</v>
      </c>
      <c r="C22">
        <v>64</v>
      </c>
      <c r="D22" t="s">
        <v>64</v>
      </c>
      <c r="E22" t="s">
        <v>59</v>
      </c>
      <c r="F22" t="s">
        <v>60</v>
      </c>
      <c r="G22">
        <v>30000</v>
      </c>
      <c r="H22">
        <v>0.5</v>
      </c>
      <c r="I22">
        <v>0.5</v>
      </c>
      <c r="J22">
        <v>0</v>
      </c>
      <c r="K22">
        <v>1</v>
      </c>
      <c r="L22">
        <v>200000000</v>
      </c>
      <c r="M22">
        <v>190</v>
      </c>
      <c r="N22">
        <v>190</v>
      </c>
      <c r="O22">
        <v>190</v>
      </c>
      <c r="P22">
        <v>0</v>
      </c>
      <c r="Q22" t="s">
        <v>61</v>
      </c>
      <c r="R22">
        <v>1.00001492082931E+16</v>
      </c>
      <c r="S22">
        <v>99999161</v>
      </c>
      <c r="T22">
        <v>1.00001492082931E+16</v>
      </c>
      <c r="U22">
        <v>99999161</v>
      </c>
      <c r="V22" t="s">
        <v>71</v>
      </c>
      <c r="W22">
        <v>7</v>
      </c>
      <c r="X22">
        <v>14744596</v>
      </c>
      <c r="Y22">
        <v>117832409</v>
      </c>
      <c r="Z22">
        <v>132577005</v>
      </c>
      <c r="AA22">
        <v>99999161</v>
      </c>
      <c r="AB22">
        <v>8.9915699999999994</v>
      </c>
      <c r="AC22">
        <v>0.84865599999999997</v>
      </c>
      <c r="AD22">
        <v>1.75427</v>
      </c>
      <c r="AE22">
        <v>4.07653</v>
      </c>
      <c r="AF22">
        <v>2951113824</v>
      </c>
      <c r="AG22" t="s">
        <v>141</v>
      </c>
      <c r="AH22" t="s">
        <v>142</v>
      </c>
      <c r="AI22">
        <v>2</v>
      </c>
      <c r="AJ22">
        <v>23786</v>
      </c>
      <c r="AK22">
        <v>11857742460</v>
      </c>
      <c r="AL22">
        <v>5686388618941</v>
      </c>
      <c r="AM22">
        <v>3931391407</v>
      </c>
      <c r="AN22">
        <v>0</v>
      </c>
      <c r="AO22">
        <v>39711687</v>
      </c>
      <c r="AP22">
        <v>3931391407</v>
      </c>
      <c r="AQ22">
        <v>3971103094</v>
      </c>
      <c r="AR22">
        <v>131046380</v>
      </c>
      <c r="AS22">
        <v>0</v>
      </c>
      <c r="AT22">
        <v>1323722</v>
      </c>
      <c r="AU22">
        <v>131046380</v>
      </c>
      <c r="AV22">
        <v>132370103</v>
      </c>
      <c r="AW22">
        <v>19.6233</v>
      </c>
      <c r="AX22">
        <v>9.4975100000000001</v>
      </c>
      <c r="AY22">
        <v>3995.91</v>
      </c>
      <c r="AZ22">
        <v>3232.67</v>
      </c>
      <c r="BA22">
        <v>8013</v>
      </c>
      <c r="BB22">
        <v>1097</v>
      </c>
      <c r="BC22" t="str">
        <f t="shared" si="0"/>
        <v>u=1%, k=2x10^8</v>
      </c>
      <c r="BD22">
        <f t="shared" si="1"/>
        <v>30</v>
      </c>
    </row>
    <row r="23" spans="1:56">
      <c r="A23" t="s">
        <v>143</v>
      </c>
      <c r="B23" t="s">
        <v>161</v>
      </c>
      <c r="C23">
        <v>64</v>
      </c>
      <c r="D23" t="s">
        <v>64</v>
      </c>
      <c r="E23" t="s">
        <v>59</v>
      </c>
      <c r="F23" t="s">
        <v>60</v>
      </c>
      <c r="G23">
        <v>30000</v>
      </c>
      <c r="H23">
        <v>5</v>
      </c>
      <c r="I23">
        <v>5</v>
      </c>
      <c r="J23">
        <v>0</v>
      </c>
      <c r="K23">
        <v>1</v>
      </c>
      <c r="L23">
        <v>2000000</v>
      </c>
      <c r="M23">
        <v>190</v>
      </c>
      <c r="N23">
        <v>190</v>
      </c>
      <c r="O23">
        <v>190</v>
      </c>
      <c r="P23">
        <v>0</v>
      </c>
      <c r="Q23" t="s">
        <v>61</v>
      </c>
      <c r="R23">
        <v>1000833501025</v>
      </c>
      <c r="S23">
        <v>1000589</v>
      </c>
      <c r="T23">
        <v>1000833501025</v>
      </c>
      <c r="U23">
        <v>1000589</v>
      </c>
      <c r="V23" t="s">
        <v>71</v>
      </c>
      <c r="W23">
        <v>6</v>
      </c>
      <c r="X23">
        <v>84434</v>
      </c>
      <c r="Y23">
        <v>1140188</v>
      </c>
      <c r="Z23">
        <v>1224622</v>
      </c>
      <c r="AA23">
        <v>1000589</v>
      </c>
      <c r="AB23">
        <v>14.5039</v>
      </c>
      <c r="AC23">
        <v>0.87756500000000004</v>
      </c>
      <c r="AD23">
        <v>1.8170599999999999</v>
      </c>
      <c r="AE23">
        <v>3.1122399999999999</v>
      </c>
      <c r="AF23">
        <v>24426160</v>
      </c>
      <c r="AG23" t="s">
        <v>144</v>
      </c>
      <c r="AH23" t="s">
        <v>145</v>
      </c>
      <c r="AI23">
        <v>211669</v>
      </c>
      <c r="AJ23">
        <v>7664</v>
      </c>
      <c r="AK23">
        <v>96150626011</v>
      </c>
      <c r="AL23">
        <v>5686388692583</v>
      </c>
      <c r="AM23">
        <v>997496743</v>
      </c>
      <c r="AN23">
        <v>0</v>
      </c>
      <c r="AO23">
        <v>110838805</v>
      </c>
      <c r="AP23">
        <v>997496743</v>
      </c>
      <c r="AQ23">
        <v>1108335548</v>
      </c>
      <c r="AR23">
        <v>33249891</v>
      </c>
      <c r="AS23">
        <v>0</v>
      </c>
      <c r="AT23">
        <v>3694626</v>
      </c>
      <c r="AU23">
        <v>33249891</v>
      </c>
      <c r="AV23">
        <v>36944518</v>
      </c>
      <c r="AW23">
        <v>17.7776</v>
      </c>
      <c r="AX23">
        <v>4.14276</v>
      </c>
      <c r="AY23">
        <v>14320.2</v>
      </c>
      <c r="AZ23">
        <v>13365</v>
      </c>
      <c r="BA23">
        <v>1304</v>
      </c>
      <c r="BB23">
        <v>383</v>
      </c>
      <c r="BC23" t="str">
        <f t="shared" si="0"/>
        <v>u=10%, k=2x10^6</v>
      </c>
      <c r="BD23">
        <f t="shared" si="1"/>
        <v>30</v>
      </c>
    </row>
    <row r="24" spans="1:56">
      <c r="A24" t="s">
        <v>146</v>
      </c>
      <c r="B24" t="s">
        <v>161</v>
      </c>
      <c r="C24">
        <v>64</v>
      </c>
      <c r="D24" t="s">
        <v>64</v>
      </c>
      <c r="E24" t="s">
        <v>59</v>
      </c>
      <c r="F24" t="s">
        <v>60</v>
      </c>
      <c r="G24">
        <v>30000</v>
      </c>
      <c r="H24">
        <v>5</v>
      </c>
      <c r="I24">
        <v>5</v>
      </c>
      <c r="J24">
        <v>0</v>
      </c>
      <c r="K24">
        <v>1</v>
      </c>
      <c r="L24">
        <v>20000000</v>
      </c>
      <c r="M24">
        <v>190</v>
      </c>
      <c r="N24">
        <v>190</v>
      </c>
      <c r="O24">
        <v>190</v>
      </c>
      <c r="P24">
        <v>0</v>
      </c>
      <c r="Q24" t="s">
        <v>61</v>
      </c>
      <c r="R24">
        <v>99986026312993</v>
      </c>
      <c r="S24">
        <v>10000325</v>
      </c>
      <c r="T24">
        <v>99986026312993</v>
      </c>
      <c r="U24">
        <v>10000325</v>
      </c>
      <c r="V24" t="s">
        <v>71</v>
      </c>
      <c r="W24">
        <v>7</v>
      </c>
      <c r="X24">
        <v>1855313</v>
      </c>
      <c r="Y24">
        <v>11942382</v>
      </c>
      <c r="Z24">
        <v>13797695</v>
      </c>
      <c r="AA24">
        <v>10000325</v>
      </c>
      <c r="AB24">
        <v>7.4368600000000002</v>
      </c>
      <c r="AC24">
        <v>0.83738100000000004</v>
      </c>
      <c r="AD24">
        <v>1.72478</v>
      </c>
      <c r="AE24">
        <v>4.0428300000000004</v>
      </c>
      <c r="AF24">
        <v>324707288</v>
      </c>
      <c r="AG24" t="s">
        <v>147</v>
      </c>
      <c r="AH24" t="s">
        <v>148</v>
      </c>
      <c r="AI24">
        <v>63132</v>
      </c>
      <c r="AJ24">
        <v>7852</v>
      </c>
      <c r="AK24">
        <v>152979516800</v>
      </c>
      <c r="AL24">
        <v>5686432695031</v>
      </c>
      <c r="AM24">
        <v>1031446110</v>
      </c>
      <c r="AN24">
        <v>0</v>
      </c>
      <c r="AO24">
        <v>114603087</v>
      </c>
      <c r="AP24">
        <v>1031446110</v>
      </c>
      <c r="AQ24">
        <v>1146049197</v>
      </c>
      <c r="AR24">
        <v>34381537</v>
      </c>
      <c r="AS24">
        <v>0</v>
      </c>
      <c r="AT24">
        <v>3820102</v>
      </c>
      <c r="AU24">
        <v>34381537</v>
      </c>
      <c r="AV24">
        <v>38201639</v>
      </c>
      <c r="AW24">
        <v>22.229700000000001</v>
      </c>
      <c r="AX24">
        <v>9.30077</v>
      </c>
      <c r="AY24">
        <v>13699.2</v>
      </c>
      <c r="AZ24">
        <v>12693.8</v>
      </c>
      <c r="BA24">
        <v>2541</v>
      </c>
      <c r="BB24">
        <v>343</v>
      </c>
      <c r="BC24" t="str">
        <f t="shared" si="0"/>
        <v>u=10%, k=2x10^7</v>
      </c>
      <c r="BD24">
        <f t="shared" si="1"/>
        <v>30</v>
      </c>
    </row>
    <row r="25" spans="1:56">
      <c r="A25" t="s">
        <v>149</v>
      </c>
      <c r="B25" t="s">
        <v>161</v>
      </c>
      <c r="C25">
        <v>64</v>
      </c>
      <c r="D25" t="s">
        <v>64</v>
      </c>
      <c r="E25" t="s">
        <v>59</v>
      </c>
      <c r="F25" t="s">
        <v>60</v>
      </c>
      <c r="G25">
        <v>30000</v>
      </c>
      <c r="H25">
        <v>5</v>
      </c>
      <c r="I25">
        <v>5</v>
      </c>
      <c r="J25">
        <v>0</v>
      </c>
      <c r="K25">
        <v>1</v>
      </c>
      <c r="L25">
        <v>200000000</v>
      </c>
      <c r="M25">
        <v>190</v>
      </c>
      <c r="N25">
        <v>190</v>
      </c>
      <c r="O25">
        <v>190</v>
      </c>
      <c r="P25">
        <v>0</v>
      </c>
      <c r="Q25" t="s">
        <v>61</v>
      </c>
      <c r="R25">
        <v>1.0000201425965E+16</v>
      </c>
      <c r="S25">
        <v>100004544</v>
      </c>
      <c r="T25">
        <v>1.0000201425965E+16</v>
      </c>
      <c r="U25">
        <v>100004544</v>
      </c>
      <c r="V25" t="s">
        <v>71</v>
      </c>
      <c r="W25">
        <v>7</v>
      </c>
      <c r="X25">
        <v>14217612</v>
      </c>
      <c r="Y25">
        <v>116620118</v>
      </c>
      <c r="Z25">
        <v>130837730</v>
      </c>
      <c r="AA25">
        <v>100004544</v>
      </c>
      <c r="AB25">
        <v>9.2025100000000002</v>
      </c>
      <c r="AC25">
        <v>0.85752399999999995</v>
      </c>
      <c r="AD25">
        <v>1.76434</v>
      </c>
      <c r="AE25">
        <v>4.0664800000000003</v>
      </c>
      <c r="AF25">
        <v>2892197072</v>
      </c>
      <c r="AG25" t="s">
        <v>150</v>
      </c>
      <c r="AH25" t="s">
        <v>151</v>
      </c>
      <c r="AI25">
        <v>9997</v>
      </c>
      <c r="AJ25">
        <v>7364</v>
      </c>
      <c r="AK25">
        <v>196352956911</v>
      </c>
      <c r="AL25">
        <v>5686438168423</v>
      </c>
      <c r="AM25">
        <v>1063055263</v>
      </c>
      <c r="AN25">
        <v>0</v>
      </c>
      <c r="AO25">
        <v>118127949</v>
      </c>
      <c r="AP25">
        <v>1063055263</v>
      </c>
      <c r="AQ25">
        <v>1181183212</v>
      </c>
      <c r="AR25">
        <v>35435175</v>
      </c>
      <c r="AS25">
        <v>0</v>
      </c>
      <c r="AT25">
        <v>3937598</v>
      </c>
      <c r="AU25">
        <v>35435175</v>
      </c>
      <c r="AV25">
        <v>39372773</v>
      </c>
      <c r="AW25">
        <v>22.3385</v>
      </c>
      <c r="AX25">
        <v>10.8462</v>
      </c>
      <c r="AY25">
        <v>13080.2</v>
      </c>
      <c r="AZ25">
        <v>12189.9</v>
      </c>
      <c r="BA25">
        <v>12771</v>
      </c>
      <c r="BB25">
        <v>1128</v>
      </c>
      <c r="BC25" t="str">
        <f t="shared" si="0"/>
        <v>u=10%, k=2x10^8</v>
      </c>
      <c r="BD25">
        <f t="shared" si="1"/>
        <v>30</v>
      </c>
    </row>
    <row r="26" spans="1:56">
      <c r="A26" t="s">
        <v>152</v>
      </c>
      <c r="B26" t="s">
        <v>161</v>
      </c>
      <c r="C26">
        <v>64</v>
      </c>
      <c r="D26" t="s">
        <v>64</v>
      </c>
      <c r="E26" t="s">
        <v>59</v>
      </c>
      <c r="F26" t="s">
        <v>60</v>
      </c>
      <c r="G26">
        <v>30000</v>
      </c>
      <c r="H26">
        <v>20</v>
      </c>
      <c r="I26">
        <v>20</v>
      </c>
      <c r="J26">
        <v>0</v>
      </c>
      <c r="K26">
        <v>1</v>
      </c>
      <c r="L26">
        <v>2000000</v>
      </c>
      <c r="M26">
        <v>190</v>
      </c>
      <c r="N26">
        <v>190</v>
      </c>
      <c r="O26">
        <v>190</v>
      </c>
      <c r="P26">
        <v>0</v>
      </c>
      <c r="Q26" t="s">
        <v>61</v>
      </c>
      <c r="R26">
        <v>999038005177</v>
      </c>
      <c r="S26">
        <v>998752</v>
      </c>
      <c r="T26">
        <v>999038005177</v>
      </c>
      <c r="U26">
        <v>998752</v>
      </c>
      <c r="V26" t="s">
        <v>71</v>
      </c>
      <c r="W26">
        <v>6</v>
      </c>
      <c r="X26">
        <v>82606</v>
      </c>
      <c r="Y26">
        <v>1135191</v>
      </c>
      <c r="Z26">
        <v>1217797</v>
      </c>
      <c r="AA26">
        <v>998752</v>
      </c>
      <c r="AB26">
        <v>14.7422</v>
      </c>
      <c r="AC26">
        <v>0.87980999999999998</v>
      </c>
      <c r="AD26">
        <v>1.82013</v>
      </c>
      <c r="AE26">
        <v>3.1091199999999999</v>
      </c>
      <c r="AF26">
        <v>24219648</v>
      </c>
      <c r="AG26" t="s">
        <v>153</v>
      </c>
      <c r="AH26" t="s">
        <v>154</v>
      </c>
      <c r="AI26">
        <v>498703</v>
      </c>
      <c r="AJ26">
        <v>3214</v>
      </c>
      <c r="AK26">
        <v>205252105881</v>
      </c>
      <c r="AL26">
        <v>5686389616545</v>
      </c>
      <c r="AM26">
        <v>272226613</v>
      </c>
      <c r="AN26">
        <v>0</v>
      </c>
      <c r="AO26">
        <v>181464566</v>
      </c>
      <c r="AP26">
        <v>272226613</v>
      </c>
      <c r="AQ26">
        <v>453691179</v>
      </c>
      <c r="AR26">
        <v>9074220</v>
      </c>
      <c r="AS26">
        <v>0</v>
      </c>
      <c r="AT26">
        <v>6048818</v>
      </c>
      <c r="AU26">
        <v>9074220</v>
      </c>
      <c r="AV26">
        <v>15123039</v>
      </c>
      <c r="AW26">
        <v>26.1143</v>
      </c>
      <c r="AX26">
        <v>10.689299999999999</v>
      </c>
      <c r="AY26">
        <v>34973.1</v>
      </c>
      <c r="AZ26">
        <v>33084.1</v>
      </c>
      <c r="BA26">
        <v>1325</v>
      </c>
      <c r="BB26">
        <v>225</v>
      </c>
      <c r="BC26" t="str">
        <f t="shared" si="0"/>
        <v>u=40%, k=2x10^6</v>
      </c>
      <c r="BD26">
        <f t="shared" si="1"/>
        <v>30</v>
      </c>
    </row>
    <row r="27" spans="1:56">
      <c r="A27" t="s">
        <v>155</v>
      </c>
      <c r="B27" t="s">
        <v>161</v>
      </c>
      <c r="C27">
        <v>64</v>
      </c>
      <c r="D27" t="s">
        <v>64</v>
      </c>
      <c r="E27" t="s">
        <v>59</v>
      </c>
      <c r="F27" t="s">
        <v>60</v>
      </c>
      <c r="G27">
        <v>30000</v>
      </c>
      <c r="H27">
        <v>20</v>
      </c>
      <c r="I27">
        <v>20</v>
      </c>
      <c r="J27">
        <v>0</v>
      </c>
      <c r="K27">
        <v>1</v>
      </c>
      <c r="L27">
        <v>20000000</v>
      </c>
      <c r="M27">
        <v>190</v>
      </c>
      <c r="N27">
        <v>190</v>
      </c>
      <c r="O27">
        <v>190</v>
      </c>
      <c r="P27">
        <v>0</v>
      </c>
      <c r="Q27" t="s">
        <v>61</v>
      </c>
      <c r="R27">
        <v>100000084380741</v>
      </c>
      <c r="S27">
        <v>10000319</v>
      </c>
      <c r="T27">
        <v>100000084380741</v>
      </c>
      <c r="U27">
        <v>10000319</v>
      </c>
      <c r="V27" t="s">
        <v>71</v>
      </c>
      <c r="W27">
        <v>7</v>
      </c>
      <c r="X27">
        <v>1778817</v>
      </c>
      <c r="Y27">
        <v>11754623</v>
      </c>
      <c r="Z27">
        <v>13533440</v>
      </c>
      <c r="AA27">
        <v>10000319</v>
      </c>
      <c r="AB27">
        <v>7.6081099999999999</v>
      </c>
      <c r="AC27">
        <v>0.85075599999999996</v>
      </c>
      <c r="AD27">
        <v>1.7389300000000001</v>
      </c>
      <c r="AE27">
        <v>4.0306199999999999</v>
      </c>
      <c r="AF27">
        <v>316150376</v>
      </c>
      <c r="AG27" t="s">
        <v>156</v>
      </c>
      <c r="AH27" t="s">
        <v>157</v>
      </c>
      <c r="AI27">
        <v>138960</v>
      </c>
      <c r="AJ27">
        <v>3512</v>
      </c>
      <c r="AK27">
        <v>304059557828</v>
      </c>
      <c r="AL27">
        <v>5686389772347</v>
      </c>
      <c r="AM27">
        <v>278788157</v>
      </c>
      <c r="AN27">
        <v>0</v>
      </c>
      <c r="AO27">
        <v>185853777</v>
      </c>
      <c r="AP27">
        <v>278788157</v>
      </c>
      <c r="AQ27">
        <v>464641934</v>
      </c>
      <c r="AR27">
        <v>9292938</v>
      </c>
      <c r="AS27">
        <v>0</v>
      </c>
      <c r="AT27">
        <v>6195125</v>
      </c>
      <c r="AU27">
        <v>9292938</v>
      </c>
      <c r="AV27">
        <v>15488064</v>
      </c>
      <c r="AW27">
        <v>32.600499999999997</v>
      </c>
      <c r="AX27">
        <v>16.7349</v>
      </c>
      <c r="AY27">
        <v>33580.1</v>
      </c>
      <c r="AZ27">
        <v>31138.799999999999</v>
      </c>
      <c r="BA27">
        <v>2660</v>
      </c>
      <c r="BB27">
        <v>360</v>
      </c>
      <c r="BC27" t="str">
        <f t="shared" si="0"/>
        <v>u=40%, k=2x10^7</v>
      </c>
      <c r="BD27">
        <f t="shared" si="1"/>
        <v>30</v>
      </c>
    </row>
    <row r="28" spans="1:56">
      <c r="A28" t="s">
        <v>158</v>
      </c>
      <c r="B28" t="s">
        <v>161</v>
      </c>
      <c r="C28">
        <v>64</v>
      </c>
      <c r="D28" t="s">
        <v>64</v>
      </c>
      <c r="E28" t="s">
        <v>59</v>
      </c>
      <c r="F28" t="s">
        <v>60</v>
      </c>
      <c r="G28">
        <v>30000</v>
      </c>
      <c r="H28">
        <v>20</v>
      </c>
      <c r="I28">
        <v>20</v>
      </c>
      <c r="J28">
        <v>0</v>
      </c>
      <c r="K28">
        <v>1</v>
      </c>
      <c r="L28">
        <v>200000000</v>
      </c>
      <c r="M28">
        <v>190</v>
      </c>
      <c r="N28">
        <v>190</v>
      </c>
      <c r="O28">
        <v>190</v>
      </c>
      <c r="P28">
        <v>0</v>
      </c>
      <c r="Q28" t="s">
        <v>61</v>
      </c>
      <c r="R28">
        <v>1.00000509447621E+16</v>
      </c>
      <c r="S28">
        <v>100004898</v>
      </c>
      <c r="T28">
        <v>1.00000509447621E+16</v>
      </c>
      <c r="U28">
        <v>100004898</v>
      </c>
      <c r="V28" t="s">
        <v>71</v>
      </c>
      <c r="W28">
        <v>7</v>
      </c>
      <c r="X28">
        <v>14677717</v>
      </c>
      <c r="Y28">
        <v>117680520</v>
      </c>
      <c r="Z28">
        <v>132358237</v>
      </c>
      <c r="AA28">
        <v>100004898</v>
      </c>
      <c r="AB28">
        <v>9.0176300000000005</v>
      </c>
      <c r="AC28">
        <v>0.8498</v>
      </c>
      <c r="AD28">
        <v>1.75556</v>
      </c>
      <c r="AE28">
        <v>4.0747400000000003</v>
      </c>
      <c r="AF28">
        <v>2943771032</v>
      </c>
      <c r="AG28" t="s">
        <v>159</v>
      </c>
      <c r="AH28" t="s">
        <v>160</v>
      </c>
      <c r="AI28">
        <v>22529</v>
      </c>
      <c r="AJ28">
        <v>3092</v>
      </c>
      <c r="AK28">
        <v>328988680671</v>
      </c>
      <c r="AL28">
        <v>5686390245043</v>
      </c>
      <c r="AM28">
        <v>286249972</v>
      </c>
      <c r="AN28">
        <v>0</v>
      </c>
      <c r="AO28">
        <v>190844546</v>
      </c>
      <c r="AP28">
        <v>286249972</v>
      </c>
      <c r="AQ28">
        <v>477094518</v>
      </c>
      <c r="AR28">
        <v>9541665</v>
      </c>
      <c r="AS28">
        <v>0</v>
      </c>
      <c r="AT28">
        <v>6361484</v>
      </c>
      <c r="AU28">
        <v>9541665</v>
      </c>
      <c r="AV28">
        <v>15903150</v>
      </c>
      <c r="AW28">
        <v>30.4956</v>
      </c>
      <c r="AX28">
        <v>15.937200000000001</v>
      </c>
      <c r="AY28">
        <v>31622.7</v>
      </c>
      <c r="AZ28">
        <v>29890.400000000001</v>
      </c>
      <c r="BA28">
        <v>12852</v>
      </c>
      <c r="BB28">
        <v>1140</v>
      </c>
      <c r="BC28" t="str">
        <f t="shared" si="0"/>
        <v>u=40%, k=2x10^8</v>
      </c>
      <c r="BD28">
        <f t="shared" si="1"/>
        <v>30</v>
      </c>
    </row>
    <row r="29" spans="1:56">
      <c r="A29" t="s">
        <v>162</v>
      </c>
      <c r="B29" t="s">
        <v>63</v>
      </c>
      <c r="C29">
        <v>72</v>
      </c>
      <c r="D29" t="s">
        <v>64</v>
      </c>
      <c r="E29" t="s">
        <v>59</v>
      </c>
      <c r="F29" t="s">
        <v>60</v>
      </c>
      <c r="G29">
        <v>30000</v>
      </c>
      <c r="H29">
        <v>0.5</v>
      </c>
      <c r="I29">
        <v>0.5</v>
      </c>
      <c r="J29">
        <v>0</v>
      </c>
      <c r="K29">
        <v>1</v>
      </c>
      <c r="L29">
        <v>2000000</v>
      </c>
      <c r="M29">
        <v>190</v>
      </c>
      <c r="N29">
        <v>190</v>
      </c>
      <c r="O29">
        <v>190</v>
      </c>
      <c r="P29">
        <v>0</v>
      </c>
      <c r="Q29" t="s">
        <v>61</v>
      </c>
      <c r="R29">
        <v>999835045740</v>
      </c>
      <c r="S29">
        <v>999287</v>
      </c>
      <c r="T29">
        <v>999835045740</v>
      </c>
      <c r="U29">
        <v>999287</v>
      </c>
      <c r="V29" t="s">
        <v>71</v>
      </c>
      <c r="W29">
        <v>6</v>
      </c>
      <c r="X29">
        <v>53635</v>
      </c>
      <c r="Y29">
        <v>1073091</v>
      </c>
      <c r="Z29">
        <v>1126726</v>
      </c>
      <c r="AA29">
        <v>999287</v>
      </c>
      <c r="AB29">
        <v>21.007300000000001</v>
      </c>
      <c r="AC29">
        <v>0.93122300000000002</v>
      </c>
      <c r="AD29">
        <v>1.88689</v>
      </c>
      <c r="AE29">
        <v>3.0430299999999999</v>
      </c>
      <c r="AM29">
        <v>12439252863</v>
      </c>
      <c r="AN29">
        <v>0</v>
      </c>
      <c r="AO29">
        <v>125636628</v>
      </c>
      <c r="AP29">
        <v>12439252863</v>
      </c>
      <c r="AQ29">
        <v>12564889491</v>
      </c>
      <c r="AR29">
        <v>414641762</v>
      </c>
      <c r="AS29">
        <v>0</v>
      </c>
      <c r="AT29">
        <v>4187887</v>
      </c>
      <c r="AU29">
        <v>414641762</v>
      </c>
      <c r="AV29">
        <v>418829649</v>
      </c>
      <c r="AW29">
        <v>8.6910299999999996</v>
      </c>
      <c r="AX29">
        <v>0.41849999999999998</v>
      </c>
      <c r="AY29">
        <v>1244.21</v>
      </c>
      <c r="AZ29">
        <v>507.77499999999998</v>
      </c>
      <c r="BA29">
        <v>1417</v>
      </c>
      <c r="BB29">
        <v>319</v>
      </c>
      <c r="BC29" t="str">
        <f t="shared" si="0"/>
        <v>u=1%, k=2x10^6</v>
      </c>
      <c r="BD29">
        <f t="shared" si="1"/>
        <v>30</v>
      </c>
    </row>
    <row r="30" spans="1:56">
      <c r="A30" t="s">
        <v>163</v>
      </c>
      <c r="B30" t="s">
        <v>63</v>
      </c>
      <c r="C30">
        <v>72</v>
      </c>
      <c r="D30" t="s">
        <v>64</v>
      </c>
      <c r="E30" t="s">
        <v>59</v>
      </c>
      <c r="F30" t="s">
        <v>60</v>
      </c>
      <c r="G30">
        <v>30000</v>
      </c>
      <c r="H30">
        <v>0.5</v>
      </c>
      <c r="I30">
        <v>0.5</v>
      </c>
      <c r="J30">
        <v>0</v>
      </c>
      <c r="K30">
        <v>1</v>
      </c>
      <c r="L30">
        <v>20000000</v>
      </c>
      <c r="M30">
        <v>190</v>
      </c>
      <c r="N30">
        <v>190</v>
      </c>
      <c r="O30">
        <v>190</v>
      </c>
      <c r="P30">
        <v>0</v>
      </c>
      <c r="Q30" t="s">
        <v>61</v>
      </c>
      <c r="R30">
        <v>99986455043617</v>
      </c>
      <c r="S30">
        <v>9998828</v>
      </c>
      <c r="T30">
        <v>99986455043617</v>
      </c>
      <c r="U30">
        <v>9998828</v>
      </c>
      <c r="V30" t="s">
        <v>71</v>
      </c>
      <c r="W30">
        <v>7</v>
      </c>
      <c r="X30">
        <v>1772802</v>
      </c>
      <c r="Y30">
        <v>11746158</v>
      </c>
      <c r="Z30">
        <v>13518960</v>
      </c>
      <c r="AA30">
        <v>9998828</v>
      </c>
      <c r="AB30">
        <v>7.6257599999999996</v>
      </c>
      <c r="AC30">
        <v>0.85124200000000005</v>
      </c>
      <c r="AD30">
        <v>1.7396199999999999</v>
      </c>
      <c r="AE30">
        <v>4.0302199999999999</v>
      </c>
      <c r="AM30">
        <v>7367812203</v>
      </c>
      <c r="AN30">
        <v>0</v>
      </c>
      <c r="AO30">
        <v>74436137</v>
      </c>
      <c r="AP30">
        <v>7367812203</v>
      </c>
      <c r="AQ30">
        <v>7442248340</v>
      </c>
      <c r="AR30">
        <v>245593740</v>
      </c>
      <c r="AS30">
        <v>0</v>
      </c>
      <c r="AT30">
        <v>2481204</v>
      </c>
      <c r="AU30">
        <v>245593740</v>
      </c>
      <c r="AV30">
        <v>248074944</v>
      </c>
      <c r="AW30">
        <v>16.342600000000001</v>
      </c>
      <c r="AX30">
        <v>6.65191</v>
      </c>
      <c r="AY30">
        <v>2105.85</v>
      </c>
      <c r="AZ30">
        <v>1323.7</v>
      </c>
      <c r="BA30">
        <v>2732</v>
      </c>
      <c r="BB30">
        <v>414</v>
      </c>
      <c r="BC30" t="str">
        <f t="shared" si="0"/>
        <v>u=1%, k=2x10^7</v>
      </c>
      <c r="BD30">
        <f t="shared" si="1"/>
        <v>30</v>
      </c>
    </row>
    <row r="31" spans="1:56">
      <c r="A31" t="s">
        <v>164</v>
      </c>
      <c r="B31" t="s">
        <v>63</v>
      </c>
      <c r="C31">
        <v>72</v>
      </c>
      <c r="D31" t="s">
        <v>64</v>
      </c>
      <c r="E31" t="s">
        <v>59</v>
      </c>
      <c r="F31" t="s">
        <v>60</v>
      </c>
      <c r="G31">
        <v>30000</v>
      </c>
      <c r="H31">
        <v>0.5</v>
      </c>
      <c r="I31">
        <v>0.5</v>
      </c>
      <c r="J31">
        <v>0</v>
      </c>
      <c r="K31">
        <v>1</v>
      </c>
      <c r="L31">
        <v>200000000</v>
      </c>
      <c r="M31">
        <v>190</v>
      </c>
      <c r="N31">
        <v>190</v>
      </c>
      <c r="O31">
        <v>190</v>
      </c>
      <c r="P31">
        <v>0</v>
      </c>
      <c r="Q31" t="s">
        <v>61</v>
      </c>
      <c r="R31">
        <v>9999758602336900</v>
      </c>
      <c r="S31">
        <v>100001679</v>
      </c>
      <c r="T31">
        <v>9999758602336900</v>
      </c>
      <c r="U31">
        <v>100001679</v>
      </c>
      <c r="V31" t="s">
        <v>71</v>
      </c>
      <c r="W31">
        <v>7</v>
      </c>
      <c r="X31">
        <v>12544402</v>
      </c>
      <c r="Y31">
        <v>113102318</v>
      </c>
      <c r="Z31">
        <v>125646720</v>
      </c>
      <c r="AA31">
        <v>100001679</v>
      </c>
      <c r="AB31">
        <v>10.0162</v>
      </c>
      <c r="AC31">
        <v>0.88417000000000001</v>
      </c>
      <c r="AD31">
        <v>1.7959000000000001</v>
      </c>
      <c r="AE31">
        <v>4.03125</v>
      </c>
      <c r="AM31">
        <v>5617040370</v>
      </c>
      <c r="AN31">
        <v>0</v>
      </c>
      <c r="AO31">
        <v>56725964</v>
      </c>
      <c r="AP31">
        <v>5617040370</v>
      </c>
      <c r="AQ31">
        <v>5673766334</v>
      </c>
      <c r="AR31">
        <v>187234679</v>
      </c>
      <c r="AS31">
        <v>0</v>
      </c>
      <c r="AT31">
        <v>1890865</v>
      </c>
      <c r="AU31">
        <v>187234679</v>
      </c>
      <c r="AV31">
        <v>189125544</v>
      </c>
      <c r="AW31">
        <v>19.406099999999999</v>
      </c>
      <c r="AX31">
        <v>9.5748999999999995</v>
      </c>
      <c r="AY31">
        <v>2739.01</v>
      </c>
      <c r="AZ31">
        <v>1976.2</v>
      </c>
      <c r="BA31">
        <v>13350</v>
      </c>
      <c r="BB31">
        <v>1219</v>
      </c>
      <c r="BC31" t="str">
        <f t="shared" si="0"/>
        <v>u=1%, k=2x10^8</v>
      </c>
      <c r="BD31">
        <f t="shared" si="1"/>
        <v>30</v>
      </c>
    </row>
    <row r="32" spans="1:56">
      <c r="A32" t="s">
        <v>165</v>
      </c>
      <c r="B32" t="s">
        <v>63</v>
      </c>
      <c r="C32">
        <v>72</v>
      </c>
      <c r="D32" t="s">
        <v>64</v>
      </c>
      <c r="E32" t="s">
        <v>59</v>
      </c>
      <c r="F32" t="s">
        <v>60</v>
      </c>
      <c r="G32">
        <v>30000</v>
      </c>
      <c r="H32">
        <v>5</v>
      </c>
      <c r="I32">
        <v>5</v>
      </c>
      <c r="J32">
        <v>0</v>
      </c>
      <c r="K32">
        <v>1</v>
      </c>
      <c r="L32">
        <v>2000000</v>
      </c>
      <c r="M32">
        <v>190</v>
      </c>
      <c r="N32">
        <v>190</v>
      </c>
      <c r="O32">
        <v>190</v>
      </c>
      <c r="P32">
        <v>0</v>
      </c>
      <c r="Q32" t="s">
        <v>61</v>
      </c>
      <c r="R32">
        <v>999404080834</v>
      </c>
      <c r="S32">
        <v>999677</v>
      </c>
      <c r="T32">
        <v>999404080834</v>
      </c>
      <c r="U32">
        <v>999677</v>
      </c>
      <c r="V32" t="s">
        <v>71</v>
      </c>
      <c r="W32">
        <v>6</v>
      </c>
      <c r="X32">
        <v>57680</v>
      </c>
      <c r="Y32">
        <v>1081977</v>
      </c>
      <c r="Z32">
        <v>1139657</v>
      </c>
      <c r="AA32">
        <v>999677</v>
      </c>
      <c r="AB32">
        <v>19.758299999999998</v>
      </c>
      <c r="AC32">
        <v>0.92393599999999998</v>
      </c>
      <c r="AD32">
        <v>1.87717</v>
      </c>
      <c r="AE32">
        <v>3.0515500000000002</v>
      </c>
      <c r="AM32">
        <v>6190820070</v>
      </c>
      <c r="AN32">
        <v>0</v>
      </c>
      <c r="AO32">
        <v>687853448</v>
      </c>
      <c r="AP32">
        <v>6190820070</v>
      </c>
      <c r="AQ32">
        <v>6878673518</v>
      </c>
      <c r="AR32">
        <v>206360669</v>
      </c>
      <c r="AS32">
        <v>0</v>
      </c>
      <c r="AT32">
        <v>22928448</v>
      </c>
      <c r="AU32">
        <v>206360669</v>
      </c>
      <c r="AV32">
        <v>229289117</v>
      </c>
      <c r="AW32">
        <v>12.4824</v>
      </c>
      <c r="AX32">
        <v>3.1570999999999998</v>
      </c>
      <c r="AY32">
        <v>2303.87</v>
      </c>
      <c r="AZ32">
        <v>1475.35</v>
      </c>
      <c r="BA32">
        <v>1590</v>
      </c>
      <c r="BB32">
        <v>280</v>
      </c>
      <c r="BC32" t="str">
        <f t="shared" si="0"/>
        <v>u=10%, k=2x10^6</v>
      </c>
      <c r="BD32">
        <f t="shared" si="1"/>
        <v>30</v>
      </c>
    </row>
    <row r="33" spans="1:56">
      <c r="A33" t="s">
        <v>166</v>
      </c>
      <c r="B33" t="s">
        <v>63</v>
      </c>
      <c r="C33">
        <v>72</v>
      </c>
      <c r="D33" t="s">
        <v>64</v>
      </c>
      <c r="E33" t="s">
        <v>59</v>
      </c>
      <c r="F33" t="s">
        <v>60</v>
      </c>
      <c r="G33">
        <v>30000</v>
      </c>
      <c r="H33">
        <v>5</v>
      </c>
      <c r="I33">
        <v>5</v>
      </c>
      <c r="J33">
        <v>0</v>
      </c>
      <c r="K33">
        <v>1</v>
      </c>
      <c r="L33">
        <v>20000000</v>
      </c>
      <c r="M33">
        <v>190</v>
      </c>
      <c r="N33">
        <v>190</v>
      </c>
      <c r="O33">
        <v>190</v>
      </c>
      <c r="P33">
        <v>0</v>
      </c>
      <c r="Q33" t="s">
        <v>61</v>
      </c>
      <c r="R33">
        <v>99989770084437</v>
      </c>
      <c r="S33">
        <v>10000351</v>
      </c>
      <c r="T33">
        <v>99989770084437</v>
      </c>
      <c r="U33">
        <v>10000351</v>
      </c>
      <c r="V33" t="s">
        <v>71</v>
      </c>
      <c r="W33">
        <v>7</v>
      </c>
      <c r="X33">
        <v>1642698</v>
      </c>
      <c r="Y33">
        <v>11476840</v>
      </c>
      <c r="Z33">
        <v>13119538</v>
      </c>
      <c r="AA33">
        <v>10000351</v>
      </c>
      <c r="AB33">
        <v>7.98658</v>
      </c>
      <c r="AC33">
        <v>0.87135099999999999</v>
      </c>
      <c r="AD33">
        <v>1.7622500000000001</v>
      </c>
      <c r="AE33">
        <v>4.0033799999999999</v>
      </c>
      <c r="AM33">
        <v>4904824317</v>
      </c>
      <c r="AN33">
        <v>0</v>
      </c>
      <c r="AO33">
        <v>544974299</v>
      </c>
      <c r="AP33">
        <v>4904824317</v>
      </c>
      <c r="AQ33">
        <v>5449798616</v>
      </c>
      <c r="AR33">
        <v>163494143</v>
      </c>
      <c r="AS33">
        <v>0</v>
      </c>
      <c r="AT33">
        <v>18165809</v>
      </c>
      <c r="AU33">
        <v>163494143</v>
      </c>
      <c r="AV33">
        <v>181659953</v>
      </c>
      <c r="AW33">
        <v>19.2593</v>
      </c>
      <c r="AX33">
        <v>8.5625</v>
      </c>
      <c r="AY33">
        <v>2854.45</v>
      </c>
      <c r="AZ33">
        <v>1929.76</v>
      </c>
      <c r="BA33">
        <v>2871</v>
      </c>
      <c r="BB33">
        <v>463</v>
      </c>
      <c r="BC33" t="str">
        <f t="shared" si="0"/>
        <v>u=10%, k=2x10^7</v>
      </c>
      <c r="BD33">
        <f t="shared" si="1"/>
        <v>30</v>
      </c>
    </row>
    <row r="34" spans="1:56">
      <c r="A34" t="s">
        <v>167</v>
      </c>
      <c r="B34" t="s">
        <v>63</v>
      </c>
      <c r="C34">
        <v>72</v>
      </c>
      <c r="D34" t="s">
        <v>64</v>
      </c>
      <c r="E34" t="s">
        <v>59</v>
      </c>
      <c r="F34" t="s">
        <v>60</v>
      </c>
      <c r="G34">
        <v>30000</v>
      </c>
      <c r="H34">
        <v>5</v>
      </c>
      <c r="I34">
        <v>5</v>
      </c>
      <c r="J34">
        <v>0</v>
      </c>
      <c r="K34">
        <v>1</v>
      </c>
      <c r="L34">
        <v>200000000</v>
      </c>
      <c r="M34">
        <v>190</v>
      </c>
      <c r="N34">
        <v>190</v>
      </c>
      <c r="O34">
        <v>190</v>
      </c>
      <c r="P34">
        <v>0</v>
      </c>
      <c r="Q34" t="s">
        <v>61</v>
      </c>
      <c r="R34">
        <v>9999194203323920</v>
      </c>
      <c r="S34">
        <v>99991558</v>
      </c>
      <c r="T34">
        <v>9999194203323920</v>
      </c>
      <c r="U34">
        <v>99991558</v>
      </c>
      <c r="V34" t="s">
        <v>71</v>
      </c>
      <c r="W34">
        <v>7</v>
      </c>
      <c r="X34">
        <v>14718658</v>
      </c>
      <c r="Y34">
        <v>117719729</v>
      </c>
      <c r="Z34">
        <v>132438387</v>
      </c>
      <c r="AA34">
        <v>99991558</v>
      </c>
      <c r="AB34">
        <v>8.9979899999999997</v>
      </c>
      <c r="AC34">
        <v>0.84940400000000005</v>
      </c>
      <c r="AD34">
        <v>1.7549999999999999</v>
      </c>
      <c r="AE34">
        <v>4.0773299999999999</v>
      </c>
      <c r="AM34">
        <v>3822205301</v>
      </c>
      <c r="AN34">
        <v>0</v>
      </c>
      <c r="AO34">
        <v>424691924</v>
      </c>
      <c r="AP34">
        <v>3822205301</v>
      </c>
      <c r="AQ34">
        <v>4246897225</v>
      </c>
      <c r="AR34">
        <v>127406843</v>
      </c>
      <c r="AS34">
        <v>0</v>
      </c>
      <c r="AT34">
        <v>14156397</v>
      </c>
      <c r="AU34">
        <v>127406843</v>
      </c>
      <c r="AV34">
        <v>141563240</v>
      </c>
      <c r="AW34">
        <v>22.249500000000001</v>
      </c>
      <c r="AX34">
        <v>11.283799999999999</v>
      </c>
      <c r="AY34">
        <v>3461.27</v>
      </c>
      <c r="AZ34">
        <v>2580.65</v>
      </c>
      <c r="BA34">
        <v>14282</v>
      </c>
      <c r="BB34">
        <v>1076</v>
      </c>
      <c r="BC34" t="str">
        <f t="shared" si="0"/>
        <v>u=10%, k=2x10^8</v>
      </c>
      <c r="BD34">
        <f t="shared" si="1"/>
        <v>30</v>
      </c>
    </row>
    <row r="35" spans="1:56">
      <c r="A35" t="s">
        <v>168</v>
      </c>
      <c r="B35" t="s">
        <v>63</v>
      </c>
      <c r="C35">
        <v>72</v>
      </c>
      <c r="D35" t="s">
        <v>64</v>
      </c>
      <c r="E35" t="s">
        <v>59</v>
      </c>
      <c r="F35" t="s">
        <v>60</v>
      </c>
      <c r="G35">
        <v>30000</v>
      </c>
      <c r="H35">
        <v>20</v>
      </c>
      <c r="I35">
        <v>20</v>
      </c>
      <c r="J35">
        <v>0</v>
      </c>
      <c r="K35">
        <v>1</v>
      </c>
      <c r="L35">
        <v>2000000</v>
      </c>
      <c r="M35">
        <v>190</v>
      </c>
      <c r="N35">
        <v>190</v>
      </c>
      <c r="O35">
        <v>190</v>
      </c>
      <c r="P35">
        <v>0</v>
      </c>
      <c r="Q35" t="s">
        <v>61</v>
      </c>
      <c r="R35">
        <v>999982522472</v>
      </c>
      <c r="S35">
        <v>1000466</v>
      </c>
      <c r="T35">
        <v>999982522472</v>
      </c>
      <c r="U35">
        <v>1000466</v>
      </c>
      <c r="V35" t="s">
        <v>71</v>
      </c>
      <c r="W35">
        <v>6</v>
      </c>
      <c r="X35">
        <v>53830</v>
      </c>
      <c r="Y35">
        <v>1074771</v>
      </c>
      <c r="Z35">
        <v>1128601</v>
      </c>
      <c r="AA35">
        <v>1000466</v>
      </c>
      <c r="AB35">
        <v>20.966000000000001</v>
      </c>
      <c r="AC35">
        <v>0.93086400000000002</v>
      </c>
      <c r="AD35">
        <v>1.8864700000000001</v>
      </c>
      <c r="AE35">
        <v>3.0434800000000002</v>
      </c>
      <c r="AM35">
        <v>1732750100</v>
      </c>
      <c r="AN35">
        <v>0</v>
      </c>
      <c r="AO35">
        <v>1155175554</v>
      </c>
      <c r="AP35">
        <v>1732750100</v>
      </c>
      <c r="AQ35">
        <v>2887925654</v>
      </c>
      <c r="AR35">
        <v>57758336</v>
      </c>
      <c r="AS35">
        <v>0</v>
      </c>
      <c r="AT35">
        <v>38505851</v>
      </c>
      <c r="AU35">
        <v>57758336</v>
      </c>
      <c r="AV35">
        <v>96264188</v>
      </c>
      <c r="AW35">
        <v>25.0594</v>
      </c>
      <c r="AX35">
        <v>11.960599999999999</v>
      </c>
      <c r="AY35">
        <v>5484.09</v>
      </c>
      <c r="AZ35">
        <v>4201.26</v>
      </c>
      <c r="BA35">
        <v>1754</v>
      </c>
      <c r="BB35">
        <v>238</v>
      </c>
      <c r="BC35" t="str">
        <f t="shared" si="0"/>
        <v>u=40%, k=2x10^6</v>
      </c>
      <c r="BD35">
        <f t="shared" si="1"/>
        <v>30</v>
      </c>
    </row>
    <row r="36" spans="1:56">
      <c r="A36" t="s">
        <v>169</v>
      </c>
      <c r="B36" t="s">
        <v>63</v>
      </c>
      <c r="C36">
        <v>72</v>
      </c>
      <c r="D36" t="s">
        <v>64</v>
      </c>
      <c r="E36" t="s">
        <v>59</v>
      </c>
      <c r="F36" t="s">
        <v>60</v>
      </c>
      <c r="G36">
        <v>30000</v>
      </c>
      <c r="H36">
        <v>20</v>
      </c>
      <c r="I36">
        <v>20</v>
      </c>
      <c r="J36">
        <v>0</v>
      </c>
      <c r="K36">
        <v>1</v>
      </c>
      <c r="L36">
        <v>20000000</v>
      </c>
      <c r="M36">
        <v>190</v>
      </c>
      <c r="N36">
        <v>190</v>
      </c>
      <c r="O36">
        <v>190</v>
      </c>
      <c r="P36">
        <v>0</v>
      </c>
      <c r="Q36" t="s">
        <v>61</v>
      </c>
      <c r="R36">
        <v>99998199829640</v>
      </c>
      <c r="S36">
        <v>9998385</v>
      </c>
      <c r="T36">
        <v>99998199829640</v>
      </c>
      <c r="U36">
        <v>9998385</v>
      </c>
      <c r="V36" t="s">
        <v>71</v>
      </c>
      <c r="W36">
        <v>7</v>
      </c>
      <c r="X36">
        <v>1899976</v>
      </c>
      <c r="Y36">
        <v>12014808</v>
      </c>
      <c r="Z36">
        <v>13914784</v>
      </c>
      <c r="AA36">
        <v>9998385</v>
      </c>
      <c r="AB36">
        <v>7.3236600000000003</v>
      </c>
      <c r="AC36">
        <v>0.83217200000000002</v>
      </c>
      <c r="AD36">
        <v>1.71854</v>
      </c>
      <c r="AE36">
        <v>4.0549299999999997</v>
      </c>
      <c r="AM36">
        <v>1743620250</v>
      </c>
      <c r="AN36">
        <v>0</v>
      </c>
      <c r="AO36">
        <v>1162436033</v>
      </c>
      <c r="AP36">
        <v>1743620250</v>
      </c>
      <c r="AQ36">
        <v>2906056283</v>
      </c>
      <c r="AR36">
        <v>58120675</v>
      </c>
      <c r="AS36">
        <v>0</v>
      </c>
      <c r="AT36">
        <v>38747867</v>
      </c>
      <c r="AU36">
        <v>58120675</v>
      </c>
      <c r="AV36">
        <v>96868542</v>
      </c>
      <c r="AW36">
        <v>28.7178</v>
      </c>
      <c r="AX36">
        <v>15.287000000000001</v>
      </c>
      <c r="AY36">
        <v>5289.51</v>
      </c>
      <c r="AZ36">
        <v>3631.44</v>
      </c>
      <c r="BA36">
        <v>2940</v>
      </c>
      <c r="BB36">
        <v>430</v>
      </c>
      <c r="BC36" t="str">
        <f t="shared" si="0"/>
        <v>u=40%, k=2x10^7</v>
      </c>
      <c r="BD36">
        <f t="shared" si="1"/>
        <v>30</v>
      </c>
    </row>
    <row r="37" spans="1:56">
      <c r="A37" t="s">
        <v>170</v>
      </c>
      <c r="B37" t="s">
        <v>63</v>
      </c>
      <c r="C37">
        <v>72</v>
      </c>
      <c r="D37" t="s">
        <v>64</v>
      </c>
      <c r="E37" t="s">
        <v>59</v>
      </c>
      <c r="F37" t="s">
        <v>60</v>
      </c>
      <c r="G37">
        <v>30000</v>
      </c>
      <c r="H37">
        <v>20</v>
      </c>
      <c r="I37">
        <v>20</v>
      </c>
      <c r="J37">
        <v>0</v>
      </c>
      <c r="K37">
        <v>1</v>
      </c>
      <c r="L37">
        <v>200000000</v>
      </c>
      <c r="M37">
        <v>190</v>
      </c>
      <c r="N37">
        <v>190</v>
      </c>
      <c r="O37">
        <v>190</v>
      </c>
      <c r="P37">
        <v>0</v>
      </c>
      <c r="Q37" t="s">
        <v>61</v>
      </c>
      <c r="R37">
        <v>9999831485565940</v>
      </c>
      <c r="S37">
        <v>99989179</v>
      </c>
      <c r="T37">
        <v>9999831485565940</v>
      </c>
      <c r="U37">
        <v>99989179</v>
      </c>
      <c r="V37" t="s">
        <v>71</v>
      </c>
      <c r="W37">
        <v>7</v>
      </c>
      <c r="X37">
        <v>11184610</v>
      </c>
      <c r="Y37">
        <v>110338426</v>
      </c>
      <c r="Z37">
        <v>121523036</v>
      </c>
      <c r="AA37">
        <v>99989179</v>
      </c>
      <c r="AB37">
        <v>10.8652</v>
      </c>
      <c r="AC37">
        <v>0.90620500000000004</v>
      </c>
      <c r="AD37">
        <v>1.8228</v>
      </c>
      <c r="AE37">
        <v>4.0034999999999998</v>
      </c>
      <c r="AM37">
        <v>1501174471</v>
      </c>
      <c r="AN37">
        <v>0</v>
      </c>
      <c r="AO37">
        <v>1000719258</v>
      </c>
      <c r="AP37">
        <v>1501174471</v>
      </c>
      <c r="AQ37">
        <v>2501893729</v>
      </c>
      <c r="AR37">
        <v>50039149</v>
      </c>
      <c r="AS37">
        <v>0</v>
      </c>
      <c r="AT37">
        <v>33357308</v>
      </c>
      <c r="AU37">
        <v>50039149</v>
      </c>
      <c r="AV37">
        <v>83396457</v>
      </c>
      <c r="AW37">
        <v>31.511700000000001</v>
      </c>
      <c r="AX37">
        <v>17.642499999999998</v>
      </c>
      <c r="AY37">
        <v>5688.54</v>
      </c>
      <c r="AZ37">
        <v>4209.05</v>
      </c>
      <c r="BA37">
        <v>14460</v>
      </c>
      <c r="BB37">
        <v>1130</v>
      </c>
      <c r="BC37" t="str">
        <f t="shared" si="0"/>
        <v>u=40%, k=2x10^8</v>
      </c>
      <c r="BD37">
        <f t="shared" si="1"/>
        <v>30</v>
      </c>
    </row>
    <row r="38" spans="1:56">
      <c r="A38" t="s">
        <v>171</v>
      </c>
      <c r="B38" t="s">
        <v>63</v>
      </c>
      <c r="C38">
        <v>72</v>
      </c>
      <c r="D38" t="s">
        <v>64</v>
      </c>
      <c r="E38" t="s">
        <v>59</v>
      </c>
      <c r="F38" t="s">
        <v>60</v>
      </c>
      <c r="G38">
        <v>30000</v>
      </c>
      <c r="H38">
        <v>0.5</v>
      </c>
      <c r="I38">
        <v>0.5</v>
      </c>
      <c r="J38">
        <v>0</v>
      </c>
      <c r="K38">
        <v>1</v>
      </c>
      <c r="L38">
        <v>2000000</v>
      </c>
      <c r="M38">
        <v>190</v>
      </c>
      <c r="N38">
        <v>190</v>
      </c>
      <c r="O38">
        <v>190</v>
      </c>
      <c r="P38">
        <v>0</v>
      </c>
      <c r="Q38" t="s">
        <v>61</v>
      </c>
      <c r="R38">
        <v>1000013528401</v>
      </c>
      <c r="S38">
        <v>1000022</v>
      </c>
      <c r="T38">
        <v>1000013528401</v>
      </c>
      <c r="U38">
        <v>1000022</v>
      </c>
      <c r="V38" t="s">
        <v>71</v>
      </c>
      <c r="W38">
        <v>6</v>
      </c>
      <c r="X38">
        <v>57538</v>
      </c>
      <c r="Y38">
        <v>1081807</v>
      </c>
      <c r="Z38">
        <v>1139345</v>
      </c>
      <c r="AA38">
        <v>1000022</v>
      </c>
      <c r="AB38">
        <v>19.801600000000001</v>
      </c>
      <c r="AC38">
        <v>0.9244</v>
      </c>
      <c r="AD38">
        <v>1.8777200000000001</v>
      </c>
      <c r="AE38">
        <v>3.0511300000000001</v>
      </c>
      <c r="AM38">
        <v>12315483338</v>
      </c>
      <c r="AN38">
        <v>0</v>
      </c>
      <c r="AO38">
        <v>124415316</v>
      </c>
      <c r="AP38">
        <v>12315483338</v>
      </c>
      <c r="AQ38">
        <v>12439898654</v>
      </c>
      <c r="AR38">
        <v>410516111</v>
      </c>
      <c r="AS38">
        <v>0</v>
      </c>
      <c r="AT38">
        <v>4147177</v>
      </c>
      <c r="AU38">
        <v>410516111</v>
      </c>
      <c r="AV38">
        <v>414663288</v>
      </c>
      <c r="AW38">
        <v>8.6831399999999999</v>
      </c>
      <c r="AX38">
        <v>0.41703200000000001</v>
      </c>
      <c r="AY38">
        <v>1258.56</v>
      </c>
      <c r="AZ38">
        <v>520.18899999999996</v>
      </c>
      <c r="BA38">
        <v>1420</v>
      </c>
      <c r="BB38">
        <v>163</v>
      </c>
      <c r="BC38" t="str">
        <f t="shared" si="0"/>
        <v>u=1%, k=2x10^6</v>
      </c>
      <c r="BD38">
        <f t="shared" si="1"/>
        <v>30</v>
      </c>
    </row>
    <row r="39" spans="1:56">
      <c r="A39" t="s">
        <v>172</v>
      </c>
      <c r="B39" t="s">
        <v>63</v>
      </c>
      <c r="C39">
        <v>72</v>
      </c>
      <c r="D39" t="s">
        <v>64</v>
      </c>
      <c r="E39" t="s">
        <v>59</v>
      </c>
      <c r="F39" t="s">
        <v>60</v>
      </c>
      <c r="G39">
        <v>30000</v>
      </c>
      <c r="H39">
        <v>0.5</v>
      </c>
      <c r="I39">
        <v>0.5</v>
      </c>
      <c r="J39">
        <v>0</v>
      </c>
      <c r="K39">
        <v>1</v>
      </c>
      <c r="L39">
        <v>20000000</v>
      </c>
      <c r="M39">
        <v>190</v>
      </c>
      <c r="N39">
        <v>190</v>
      </c>
      <c r="O39">
        <v>190</v>
      </c>
      <c r="P39">
        <v>0</v>
      </c>
      <c r="Q39" t="s">
        <v>61</v>
      </c>
      <c r="R39">
        <v>100064071276951</v>
      </c>
      <c r="S39">
        <v>10004000</v>
      </c>
      <c r="T39">
        <v>100064071276951</v>
      </c>
      <c r="U39">
        <v>10004000</v>
      </c>
      <c r="V39" t="s">
        <v>71</v>
      </c>
      <c r="W39">
        <v>7</v>
      </c>
      <c r="X39">
        <v>1627452</v>
      </c>
      <c r="Y39">
        <v>11449759</v>
      </c>
      <c r="Z39">
        <v>13077211</v>
      </c>
      <c r="AA39">
        <v>10004000</v>
      </c>
      <c r="AB39">
        <v>8.0353899999999996</v>
      </c>
      <c r="AC39">
        <v>0.87373000000000001</v>
      </c>
      <c r="AD39">
        <v>1.7649900000000001</v>
      </c>
      <c r="AE39">
        <v>4.0003299999999999</v>
      </c>
      <c r="AM39">
        <v>7423940279</v>
      </c>
      <c r="AN39">
        <v>0</v>
      </c>
      <c r="AO39">
        <v>75020593</v>
      </c>
      <c r="AP39">
        <v>7423940279</v>
      </c>
      <c r="AQ39">
        <v>7498960872</v>
      </c>
      <c r="AR39">
        <v>247464675</v>
      </c>
      <c r="AS39">
        <v>0</v>
      </c>
      <c r="AT39">
        <v>2500686</v>
      </c>
      <c r="AU39">
        <v>247464675</v>
      </c>
      <c r="AV39">
        <v>249965362</v>
      </c>
      <c r="AW39">
        <v>16.4436</v>
      </c>
      <c r="AX39">
        <v>6.6525699999999999</v>
      </c>
      <c r="AY39">
        <v>2089.62</v>
      </c>
      <c r="AZ39">
        <v>1319.79</v>
      </c>
      <c r="BA39">
        <v>2771</v>
      </c>
      <c r="BB39">
        <v>358</v>
      </c>
      <c r="BC39" t="str">
        <f t="shared" si="0"/>
        <v>u=1%, k=2x10^7</v>
      </c>
      <c r="BD39">
        <f t="shared" si="1"/>
        <v>30</v>
      </c>
    </row>
    <row r="40" spans="1:56">
      <c r="A40" t="s">
        <v>173</v>
      </c>
      <c r="B40" t="s">
        <v>63</v>
      </c>
      <c r="C40">
        <v>72</v>
      </c>
      <c r="D40" t="s">
        <v>64</v>
      </c>
      <c r="E40" t="s">
        <v>59</v>
      </c>
      <c r="F40" t="s">
        <v>60</v>
      </c>
      <c r="G40">
        <v>30000</v>
      </c>
      <c r="H40">
        <v>0.5</v>
      </c>
      <c r="I40">
        <v>0.5</v>
      </c>
      <c r="J40">
        <v>0</v>
      </c>
      <c r="K40">
        <v>1</v>
      </c>
      <c r="L40">
        <v>200000000</v>
      </c>
      <c r="M40">
        <v>190</v>
      </c>
      <c r="N40">
        <v>190</v>
      </c>
      <c r="O40">
        <v>190</v>
      </c>
      <c r="P40">
        <v>0</v>
      </c>
      <c r="Q40" t="s">
        <v>61</v>
      </c>
      <c r="R40">
        <v>1.00009925550785E+16</v>
      </c>
      <c r="S40">
        <v>100001770</v>
      </c>
      <c r="T40">
        <v>1.00009925550785E+16</v>
      </c>
      <c r="U40">
        <v>100001770</v>
      </c>
      <c r="V40" t="s">
        <v>71</v>
      </c>
      <c r="W40">
        <v>7</v>
      </c>
      <c r="X40">
        <v>12530386</v>
      </c>
      <c r="Y40">
        <v>113071227</v>
      </c>
      <c r="Z40">
        <v>125601613</v>
      </c>
      <c r="AA40">
        <v>100001770</v>
      </c>
      <c r="AB40">
        <v>10.0238</v>
      </c>
      <c r="AC40">
        <v>0.88441400000000003</v>
      </c>
      <c r="AD40">
        <v>1.7961800000000001</v>
      </c>
      <c r="AE40">
        <v>4.0309799999999996</v>
      </c>
      <c r="AM40">
        <v>5608804235</v>
      </c>
      <c r="AN40">
        <v>0</v>
      </c>
      <c r="AO40">
        <v>56655950</v>
      </c>
      <c r="AP40">
        <v>5608804235</v>
      </c>
      <c r="AQ40">
        <v>5665460185</v>
      </c>
      <c r="AR40">
        <v>186960141</v>
      </c>
      <c r="AS40">
        <v>0</v>
      </c>
      <c r="AT40">
        <v>1888531</v>
      </c>
      <c r="AU40">
        <v>186960141</v>
      </c>
      <c r="AV40">
        <v>188848672</v>
      </c>
      <c r="AW40">
        <v>19.498100000000001</v>
      </c>
      <c r="AX40">
        <v>9.5772499999999994</v>
      </c>
      <c r="AY40">
        <v>2744.31</v>
      </c>
      <c r="AZ40">
        <v>1990.16</v>
      </c>
      <c r="BA40">
        <v>13373</v>
      </c>
      <c r="BB40">
        <v>1206</v>
      </c>
      <c r="BC40" t="str">
        <f t="shared" si="0"/>
        <v>u=1%, k=2x10^8</v>
      </c>
      <c r="BD40">
        <f t="shared" si="1"/>
        <v>30</v>
      </c>
    </row>
    <row r="41" spans="1:56">
      <c r="A41" t="s">
        <v>174</v>
      </c>
      <c r="B41" t="s">
        <v>63</v>
      </c>
      <c r="C41">
        <v>72</v>
      </c>
      <c r="D41" t="s">
        <v>64</v>
      </c>
      <c r="E41" t="s">
        <v>59</v>
      </c>
      <c r="F41" t="s">
        <v>60</v>
      </c>
      <c r="G41">
        <v>30000</v>
      </c>
      <c r="H41">
        <v>5</v>
      </c>
      <c r="I41">
        <v>5</v>
      </c>
      <c r="J41">
        <v>0</v>
      </c>
      <c r="K41">
        <v>1</v>
      </c>
      <c r="L41">
        <v>2000000</v>
      </c>
      <c r="M41">
        <v>190</v>
      </c>
      <c r="N41">
        <v>190</v>
      </c>
      <c r="O41">
        <v>190</v>
      </c>
      <c r="P41">
        <v>0</v>
      </c>
      <c r="Q41" t="s">
        <v>61</v>
      </c>
      <c r="R41">
        <v>999764645917</v>
      </c>
      <c r="S41">
        <v>999921</v>
      </c>
      <c r="T41">
        <v>999764645917</v>
      </c>
      <c r="U41">
        <v>999921</v>
      </c>
      <c r="V41" t="s">
        <v>71</v>
      </c>
      <c r="W41">
        <v>6</v>
      </c>
      <c r="X41">
        <v>55422</v>
      </c>
      <c r="Y41">
        <v>1077565</v>
      </c>
      <c r="Z41">
        <v>1132987</v>
      </c>
      <c r="AA41">
        <v>999921</v>
      </c>
      <c r="AB41">
        <v>20.442900000000002</v>
      </c>
      <c r="AC41">
        <v>0.92794500000000002</v>
      </c>
      <c r="AD41">
        <v>1.8825499999999999</v>
      </c>
      <c r="AE41">
        <v>3.0468799999999998</v>
      </c>
      <c r="AM41">
        <v>6462374878</v>
      </c>
      <c r="AN41">
        <v>0</v>
      </c>
      <c r="AO41">
        <v>718091023</v>
      </c>
      <c r="AP41">
        <v>6462374878</v>
      </c>
      <c r="AQ41">
        <v>7180465901</v>
      </c>
      <c r="AR41">
        <v>215412495</v>
      </c>
      <c r="AS41">
        <v>0</v>
      </c>
      <c r="AT41">
        <v>23936367</v>
      </c>
      <c r="AU41">
        <v>215412495</v>
      </c>
      <c r="AV41">
        <v>239348863</v>
      </c>
      <c r="AW41">
        <v>12.3866</v>
      </c>
      <c r="AX41">
        <v>3.1609699999999998</v>
      </c>
      <c r="AY41">
        <v>2203.11</v>
      </c>
      <c r="AZ41">
        <v>1374.42</v>
      </c>
      <c r="BA41">
        <v>1598</v>
      </c>
      <c r="BB41">
        <v>309</v>
      </c>
      <c r="BC41" t="str">
        <f t="shared" si="0"/>
        <v>u=10%, k=2x10^6</v>
      </c>
      <c r="BD41">
        <f t="shared" si="1"/>
        <v>30</v>
      </c>
    </row>
    <row r="42" spans="1:56">
      <c r="A42" t="s">
        <v>175</v>
      </c>
      <c r="B42" t="s">
        <v>63</v>
      </c>
      <c r="C42">
        <v>72</v>
      </c>
      <c r="D42" t="s">
        <v>64</v>
      </c>
      <c r="E42" t="s">
        <v>59</v>
      </c>
      <c r="F42" t="s">
        <v>60</v>
      </c>
      <c r="G42">
        <v>30000</v>
      </c>
      <c r="H42">
        <v>5</v>
      </c>
      <c r="I42">
        <v>5</v>
      </c>
      <c r="J42">
        <v>0</v>
      </c>
      <c r="K42">
        <v>1</v>
      </c>
      <c r="L42">
        <v>20000000</v>
      </c>
      <c r="M42">
        <v>190</v>
      </c>
      <c r="N42">
        <v>190</v>
      </c>
      <c r="O42">
        <v>190</v>
      </c>
      <c r="P42">
        <v>0</v>
      </c>
      <c r="Q42" t="s">
        <v>61</v>
      </c>
      <c r="R42">
        <v>100011998527577</v>
      </c>
      <c r="S42">
        <v>10000410</v>
      </c>
      <c r="T42">
        <v>100011998527577</v>
      </c>
      <c r="U42">
        <v>10000410</v>
      </c>
      <c r="V42" t="s">
        <v>71</v>
      </c>
      <c r="W42">
        <v>7</v>
      </c>
      <c r="X42">
        <v>1831487</v>
      </c>
      <c r="Y42">
        <v>11864818</v>
      </c>
      <c r="Z42">
        <v>13696305</v>
      </c>
      <c r="AA42">
        <v>10000410</v>
      </c>
      <c r="AB42">
        <v>7.4782400000000004</v>
      </c>
      <c r="AC42">
        <v>0.842862</v>
      </c>
      <c r="AD42">
        <v>1.7301500000000001</v>
      </c>
      <c r="AE42">
        <v>4.0411799999999998</v>
      </c>
      <c r="AM42">
        <v>4916261750</v>
      </c>
      <c r="AN42">
        <v>0</v>
      </c>
      <c r="AO42">
        <v>546245323</v>
      </c>
      <c r="AP42">
        <v>4916261750</v>
      </c>
      <c r="AQ42">
        <v>5462507073</v>
      </c>
      <c r="AR42">
        <v>163875391</v>
      </c>
      <c r="AS42">
        <v>0</v>
      </c>
      <c r="AT42">
        <v>18208177</v>
      </c>
      <c r="AU42">
        <v>163875391</v>
      </c>
      <c r="AV42">
        <v>182083569</v>
      </c>
      <c r="AW42">
        <v>19.246300000000002</v>
      </c>
      <c r="AX42">
        <v>8.5577100000000002</v>
      </c>
      <c r="AY42">
        <v>2847.26</v>
      </c>
      <c r="AZ42">
        <v>1925.39</v>
      </c>
      <c r="BA42">
        <v>2871</v>
      </c>
      <c r="BB42">
        <v>375</v>
      </c>
      <c r="BC42" t="str">
        <f t="shared" si="0"/>
        <v>u=10%, k=2x10^7</v>
      </c>
      <c r="BD42">
        <f t="shared" si="1"/>
        <v>30</v>
      </c>
    </row>
    <row r="43" spans="1:56">
      <c r="A43" t="s">
        <v>176</v>
      </c>
      <c r="B43" t="s">
        <v>63</v>
      </c>
      <c r="C43">
        <v>72</v>
      </c>
      <c r="D43" t="s">
        <v>64</v>
      </c>
      <c r="E43" t="s">
        <v>59</v>
      </c>
      <c r="F43" t="s">
        <v>60</v>
      </c>
      <c r="G43">
        <v>30000</v>
      </c>
      <c r="H43">
        <v>5</v>
      </c>
      <c r="I43">
        <v>5</v>
      </c>
      <c r="J43">
        <v>0</v>
      </c>
      <c r="K43">
        <v>1</v>
      </c>
      <c r="L43">
        <v>200000000</v>
      </c>
      <c r="M43">
        <v>190</v>
      </c>
      <c r="N43">
        <v>190</v>
      </c>
      <c r="O43">
        <v>190</v>
      </c>
      <c r="P43">
        <v>0</v>
      </c>
      <c r="Q43" t="s">
        <v>61</v>
      </c>
      <c r="R43">
        <v>9999838922357580</v>
      </c>
      <c r="S43">
        <v>100005496</v>
      </c>
      <c r="T43">
        <v>9999838922357580</v>
      </c>
      <c r="U43">
        <v>100005496</v>
      </c>
      <c r="V43" t="s">
        <v>71</v>
      </c>
      <c r="W43">
        <v>7</v>
      </c>
      <c r="X43">
        <v>14838225</v>
      </c>
      <c r="Y43">
        <v>118006113</v>
      </c>
      <c r="Z43">
        <v>132844338</v>
      </c>
      <c r="AA43">
        <v>100005496</v>
      </c>
      <c r="AB43">
        <v>8.9528499999999998</v>
      </c>
      <c r="AC43">
        <v>0.84745999999999999</v>
      </c>
      <c r="AD43">
        <v>1.7527999999999999</v>
      </c>
      <c r="AE43">
        <v>4.0799099999999999</v>
      </c>
      <c r="AM43">
        <v>3844392175</v>
      </c>
      <c r="AN43">
        <v>0</v>
      </c>
      <c r="AO43">
        <v>427151612</v>
      </c>
      <c r="AP43">
        <v>3844392175</v>
      </c>
      <c r="AQ43">
        <v>4271543787</v>
      </c>
      <c r="AR43">
        <v>128146405</v>
      </c>
      <c r="AS43">
        <v>0</v>
      </c>
      <c r="AT43">
        <v>14238387</v>
      </c>
      <c r="AU43">
        <v>128146405</v>
      </c>
      <c r="AV43">
        <v>142384792</v>
      </c>
      <c r="AW43">
        <v>22.248699999999999</v>
      </c>
      <c r="AX43">
        <v>11.283200000000001</v>
      </c>
      <c r="AY43">
        <v>3437.8</v>
      </c>
      <c r="AZ43">
        <v>2560.42</v>
      </c>
      <c r="BA43">
        <v>14261</v>
      </c>
      <c r="BB43">
        <v>1065</v>
      </c>
      <c r="BC43" t="str">
        <f t="shared" si="0"/>
        <v>u=10%, k=2x10^8</v>
      </c>
      <c r="BD43">
        <f t="shared" si="1"/>
        <v>30</v>
      </c>
    </row>
    <row r="44" spans="1:56">
      <c r="A44" t="s">
        <v>177</v>
      </c>
      <c r="B44" t="s">
        <v>63</v>
      </c>
      <c r="C44">
        <v>72</v>
      </c>
      <c r="D44" t="s">
        <v>64</v>
      </c>
      <c r="E44" t="s">
        <v>59</v>
      </c>
      <c r="F44" t="s">
        <v>60</v>
      </c>
      <c r="G44">
        <v>30000</v>
      </c>
      <c r="H44">
        <v>20</v>
      </c>
      <c r="I44">
        <v>20</v>
      </c>
      <c r="J44">
        <v>0</v>
      </c>
      <c r="K44">
        <v>1</v>
      </c>
      <c r="L44">
        <v>2000000</v>
      </c>
      <c r="M44">
        <v>190</v>
      </c>
      <c r="N44">
        <v>190</v>
      </c>
      <c r="O44">
        <v>190</v>
      </c>
      <c r="P44">
        <v>0</v>
      </c>
      <c r="Q44" t="s">
        <v>61</v>
      </c>
      <c r="R44">
        <v>999707457610</v>
      </c>
      <c r="S44">
        <v>1000221</v>
      </c>
      <c r="T44">
        <v>999707457610</v>
      </c>
      <c r="U44">
        <v>1000221</v>
      </c>
      <c r="V44" t="s">
        <v>71</v>
      </c>
      <c r="W44">
        <v>6</v>
      </c>
      <c r="X44">
        <v>33088</v>
      </c>
      <c r="Y44">
        <v>1032347</v>
      </c>
      <c r="Z44">
        <v>1065435</v>
      </c>
      <c r="AA44">
        <v>1000221</v>
      </c>
      <c r="AB44">
        <v>32.200000000000003</v>
      </c>
      <c r="AC44">
        <v>0.96888099999999999</v>
      </c>
      <c r="AD44">
        <v>1.93879</v>
      </c>
      <c r="AE44">
        <v>3.0001099999999998</v>
      </c>
      <c r="AM44">
        <v>1735799952</v>
      </c>
      <c r="AN44">
        <v>0</v>
      </c>
      <c r="AO44">
        <v>1157286430</v>
      </c>
      <c r="AP44">
        <v>1735799952</v>
      </c>
      <c r="AQ44">
        <v>2893086382</v>
      </c>
      <c r="AR44">
        <v>57859998</v>
      </c>
      <c r="AS44">
        <v>0</v>
      </c>
      <c r="AT44">
        <v>38576214</v>
      </c>
      <c r="AU44">
        <v>57859998</v>
      </c>
      <c r="AV44">
        <v>96436212</v>
      </c>
      <c r="AW44">
        <v>25.061399999999999</v>
      </c>
      <c r="AX44">
        <v>11.969099999999999</v>
      </c>
      <c r="AY44">
        <v>5482.6</v>
      </c>
      <c r="AZ44">
        <v>4201.91</v>
      </c>
      <c r="BA44">
        <v>1754</v>
      </c>
      <c r="BB44">
        <v>325</v>
      </c>
      <c r="BC44" t="str">
        <f t="shared" si="0"/>
        <v>u=40%, k=2x10^6</v>
      </c>
      <c r="BD44">
        <f t="shared" si="1"/>
        <v>30</v>
      </c>
    </row>
    <row r="45" spans="1:56">
      <c r="A45" t="s">
        <v>178</v>
      </c>
      <c r="B45" t="s">
        <v>63</v>
      </c>
      <c r="C45">
        <v>72</v>
      </c>
      <c r="D45" t="s">
        <v>64</v>
      </c>
      <c r="E45" t="s">
        <v>59</v>
      </c>
      <c r="F45" t="s">
        <v>60</v>
      </c>
      <c r="G45">
        <v>30000</v>
      </c>
      <c r="H45">
        <v>20</v>
      </c>
      <c r="I45">
        <v>20</v>
      </c>
      <c r="J45">
        <v>0</v>
      </c>
      <c r="K45">
        <v>1</v>
      </c>
      <c r="L45">
        <v>20000000</v>
      </c>
      <c r="M45">
        <v>190</v>
      </c>
      <c r="N45">
        <v>190</v>
      </c>
      <c r="O45">
        <v>190</v>
      </c>
      <c r="P45">
        <v>0</v>
      </c>
      <c r="Q45" t="s">
        <v>61</v>
      </c>
      <c r="R45">
        <v>99989343832914</v>
      </c>
      <c r="S45">
        <v>9999423</v>
      </c>
      <c r="T45">
        <v>99989343832914</v>
      </c>
      <c r="U45">
        <v>9999423</v>
      </c>
      <c r="V45" t="s">
        <v>71</v>
      </c>
      <c r="W45">
        <v>7</v>
      </c>
      <c r="X45">
        <v>1738872</v>
      </c>
      <c r="Y45">
        <v>11670736</v>
      </c>
      <c r="Z45">
        <v>13409608</v>
      </c>
      <c r="AA45">
        <v>9999423</v>
      </c>
      <c r="AB45">
        <v>7.7116699999999998</v>
      </c>
      <c r="AC45">
        <v>0.85679499999999997</v>
      </c>
      <c r="AD45">
        <v>1.74569</v>
      </c>
      <c r="AE45">
        <v>4.0226199999999999</v>
      </c>
      <c r="AM45">
        <v>1748221613</v>
      </c>
      <c r="AN45">
        <v>0</v>
      </c>
      <c r="AO45">
        <v>1165514511</v>
      </c>
      <c r="AP45">
        <v>1748221613</v>
      </c>
      <c r="AQ45">
        <v>2913736124</v>
      </c>
      <c r="AR45">
        <v>58274053</v>
      </c>
      <c r="AS45">
        <v>0</v>
      </c>
      <c r="AT45">
        <v>38850483</v>
      </c>
      <c r="AU45">
        <v>58274053</v>
      </c>
      <c r="AV45">
        <v>97124537</v>
      </c>
      <c r="AW45">
        <v>28.604399999999998</v>
      </c>
      <c r="AX45">
        <v>15.3042</v>
      </c>
      <c r="AY45">
        <v>5274.42</v>
      </c>
      <c r="AZ45">
        <v>3623.29</v>
      </c>
      <c r="BA45">
        <v>2936</v>
      </c>
      <c r="BB45">
        <v>398</v>
      </c>
      <c r="BC45" t="str">
        <f t="shared" si="0"/>
        <v>u=40%, k=2x10^7</v>
      </c>
      <c r="BD45">
        <f t="shared" si="1"/>
        <v>30</v>
      </c>
    </row>
    <row r="46" spans="1:56">
      <c r="A46" t="s">
        <v>179</v>
      </c>
      <c r="B46" t="s">
        <v>63</v>
      </c>
      <c r="C46">
        <v>72</v>
      </c>
      <c r="D46" t="s">
        <v>64</v>
      </c>
      <c r="E46" t="s">
        <v>59</v>
      </c>
      <c r="F46" t="s">
        <v>60</v>
      </c>
      <c r="G46">
        <v>30000</v>
      </c>
      <c r="H46">
        <v>20</v>
      </c>
      <c r="I46">
        <v>20</v>
      </c>
      <c r="J46">
        <v>0</v>
      </c>
      <c r="K46">
        <v>1</v>
      </c>
      <c r="L46">
        <v>200000000</v>
      </c>
      <c r="M46">
        <v>190</v>
      </c>
      <c r="N46">
        <v>190</v>
      </c>
      <c r="O46">
        <v>190</v>
      </c>
      <c r="P46">
        <v>0</v>
      </c>
      <c r="Q46" t="s">
        <v>61</v>
      </c>
      <c r="R46">
        <v>1.000072359141E+16</v>
      </c>
      <c r="S46">
        <v>100002652</v>
      </c>
      <c r="T46">
        <v>1.000072359141E+16</v>
      </c>
      <c r="U46">
        <v>100002652</v>
      </c>
      <c r="V46" t="s">
        <v>71</v>
      </c>
      <c r="W46">
        <v>7</v>
      </c>
      <c r="X46">
        <v>12219390</v>
      </c>
      <c r="Y46">
        <v>112439873</v>
      </c>
      <c r="Z46">
        <v>124659263</v>
      </c>
      <c r="AA46">
        <v>100002652</v>
      </c>
      <c r="AB46">
        <v>10.2018</v>
      </c>
      <c r="AC46">
        <v>0.88938799999999996</v>
      </c>
      <c r="AD46">
        <v>1.8022100000000001</v>
      </c>
      <c r="AE46">
        <v>4.02454</v>
      </c>
      <c r="AM46">
        <v>1507676815</v>
      </c>
      <c r="AN46">
        <v>0</v>
      </c>
      <c r="AO46">
        <v>1005084722</v>
      </c>
      <c r="AP46">
        <v>1507676815</v>
      </c>
      <c r="AQ46">
        <v>2512761537</v>
      </c>
      <c r="AR46">
        <v>50255893</v>
      </c>
      <c r="AS46">
        <v>0</v>
      </c>
      <c r="AT46">
        <v>33502824</v>
      </c>
      <c r="AU46">
        <v>50255893</v>
      </c>
      <c r="AV46">
        <v>83758717</v>
      </c>
      <c r="AW46">
        <v>31.508800000000001</v>
      </c>
      <c r="AX46">
        <v>17.6357</v>
      </c>
      <c r="AY46">
        <v>5665.72</v>
      </c>
      <c r="AZ46">
        <v>4201.68</v>
      </c>
      <c r="BA46">
        <v>14482</v>
      </c>
      <c r="BB46">
        <v>1150</v>
      </c>
      <c r="BC46" t="str">
        <f t="shared" si="0"/>
        <v>u=40%, k=2x10^8</v>
      </c>
      <c r="BD46">
        <f t="shared" si="1"/>
        <v>30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38"/>
  <sheetViews>
    <sheetView tabSelected="1"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65</v>
      </c>
      <c r="B2" t="s">
        <v>182</v>
      </c>
      <c r="C2" t="str">
        <f>B2&amp;", 190 threads"</f>
        <v>u=40%, k=2x10^8, 190 threads</v>
      </c>
      <c r="Z2" s="2" t="s">
        <v>0</v>
      </c>
      <c r="AA2" t="s">
        <v>66</v>
      </c>
    </row>
    <row r="3" spans="1:27">
      <c r="Z3" s="2"/>
    </row>
    <row r="4" spans="1:27">
      <c r="A4" s="6" t="s">
        <v>18</v>
      </c>
      <c r="B4" t="s">
        <v>62</v>
      </c>
      <c r="Z4" s="2"/>
    </row>
    <row r="5" spans="1:27">
      <c r="A5" s="7" t="s">
        <v>180</v>
      </c>
      <c r="B5" s="8"/>
      <c r="Z5" s="2"/>
    </row>
    <row r="6" spans="1:27">
      <c r="A6" s="9">
        <v>30</v>
      </c>
      <c r="B6" s="8">
        <v>15696072.666666666</v>
      </c>
      <c r="N6" s="2"/>
    </row>
    <row r="7" spans="1:27">
      <c r="A7" s="7" t="s">
        <v>181</v>
      </c>
      <c r="B7" s="8"/>
    </row>
    <row r="8" spans="1:27">
      <c r="A8" s="9">
        <v>30</v>
      </c>
      <c r="B8" s="8">
        <v>83577587</v>
      </c>
      <c r="N8" s="2"/>
    </row>
    <row r="13" spans="1:27">
      <c r="O13" s="3"/>
    </row>
    <row r="14" spans="1:27">
      <c r="Z14" s="2"/>
    </row>
    <row r="20" spans="2:6">
      <c r="D20">
        <f t="shared" ref="D20:F20" si="0">D5</f>
        <v>0</v>
      </c>
      <c r="E20">
        <f t="shared" si="0"/>
        <v>0</v>
      </c>
      <c r="F20">
        <f t="shared" si="0"/>
        <v>0</v>
      </c>
    </row>
    <row r="21" spans="2:6">
      <c r="B21" s="8"/>
      <c r="C21" s="8"/>
      <c r="D21" s="8">
        <f t="shared" ref="B21:F21" si="1">D6</f>
        <v>0</v>
      </c>
      <c r="E21" s="8">
        <f t="shared" si="1"/>
        <v>0</v>
      </c>
      <c r="F21" s="8">
        <f t="shared" si="1"/>
        <v>0</v>
      </c>
    </row>
    <row r="22" spans="2:6">
      <c r="B22" s="8"/>
      <c r="C22" s="8"/>
      <c r="D22" s="8">
        <f t="shared" ref="B22:F22" si="2">D7</f>
        <v>0</v>
      </c>
      <c r="E22" s="8">
        <f t="shared" si="2"/>
        <v>0</v>
      </c>
      <c r="F22" s="8">
        <f t="shared" si="2"/>
        <v>0</v>
      </c>
    </row>
    <row r="23" spans="2:6">
      <c r="B23" s="8"/>
      <c r="C23" s="8"/>
      <c r="D23" s="8">
        <f t="shared" ref="B23:F23" si="3">D8</f>
        <v>0</v>
      </c>
      <c r="E23" s="8">
        <f t="shared" si="3"/>
        <v>0</v>
      </c>
      <c r="F23" s="8">
        <f t="shared" si="3"/>
        <v>0</v>
      </c>
    </row>
    <row r="24" spans="2:6">
      <c r="B24" s="8"/>
      <c r="C24" s="8"/>
      <c r="D24" s="8">
        <f t="shared" ref="A22:F25" si="4">D9</f>
        <v>0</v>
      </c>
      <c r="E24" s="8">
        <f t="shared" si="4"/>
        <v>0</v>
      </c>
      <c r="F24" s="8">
        <f t="shared" si="4"/>
        <v>0</v>
      </c>
    </row>
    <row r="25" spans="2:6">
      <c r="B25" s="8"/>
      <c r="C25" s="8"/>
      <c r="D25" s="8">
        <f t="shared" si="4"/>
        <v>0</v>
      </c>
      <c r="E25" s="8">
        <f t="shared" si="4"/>
        <v>0</v>
      </c>
      <c r="F25" s="8">
        <f t="shared" si="4"/>
        <v>0</v>
      </c>
    </row>
    <row r="26" spans="2:6">
      <c r="B26" s="8"/>
      <c r="C26" s="8"/>
    </row>
    <row r="27" spans="2:6">
      <c r="B27" s="8"/>
      <c r="C27" s="8"/>
    </row>
    <row r="28" spans="2:6">
      <c r="B28" s="8"/>
      <c r="C28" s="8"/>
    </row>
    <row r="29" spans="2:6">
      <c r="B29" s="8"/>
      <c r="C29" s="8"/>
    </row>
    <row r="30" spans="2:6">
      <c r="B30" s="8"/>
      <c r="C30" s="8"/>
    </row>
    <row r="31" spans="2:6">
      <c r="B31" s="8"/>
      <c r="C31" s="8"/>
    </row>
    <row r="32" spans="2:6">
      <c r="B32" s="8"/>
      <c r="C32" s="8"/>
    </row>
    <row r="33" spans="2:3">
      <c r="B33" s="8"/>
      <c r="C33" s="8"/>
    </row>
    <row r="34" spans="2:3">
      <c r="B34" s="8"/>
      <c r="C34" s="8"/>
    </row>
    <row r="35" spans="2:3">
      <c r="B35" s="8"/>
      <c r="C35" s="8"/>
    </row>
    <row r="36" spans="2:3">
      <c r="B36" s="8"/>
      <c r="C36" s="8"/>
    </row>
    <row r="37" spans="2:3">
      <c r="B37" s="8"/>
      <c r="C37" s="8"/>
    </row>
    <row r="38" spans="2:3">
      <c r="B38" s="8"/>
      <c r="C38" s="8"/>
    </row>
  </sheetData>
  <pageMargins left="0.7" right="0.7" top="0.75" bottom="0.75" header="0.3" footer="0.3"/>
  <pageSetup paperSize="0"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instructions</vt:lpstr>
      <vt:lpstr>data</vt:lpstr>
      <vt:lpstr>pivot</vt:lpstr>
      <vt:lpstr>data!ExternalData_11</vt:lpstr>
      <vt:lpstr>data!ExternalData_12</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2019-06-05T19:48:43Z</dcterms:modified>
</cp:coreProperties>
</file>