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5_numerical_stability_vs_time\"/>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_xlnm._FilterDatabase" localSheetId="1" hidden="1">data!$A$1:$BC$46</definedName>
    <definedName name="ExternalData_11" localSheetId="1">data!$A$1:$AP$1327</definedName>
    <definedName name="ExternalData_12" localSheetId="1">data!$A$1:$BB$28</definedName>
    <definedName name="ExternalData_13" localSheetId="1">data!$A$1:$BB$85</definedName>
  </definedNames>
  <calcPr calcId="162913"/>
  <pivotCaches>
    <pivotCache cacheId="6"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47" i="2" l="1"/>
  <c r="BD47" i="2"/>
  <c r="BC48" i="2"/>
  <c r="BD48" i="2"/>
  <c r="BC49" i="2"/>
  <c r="BD49" i="2"/>
  <c r="BC50" i="2"/>
  <c r="BD50" i="2"/>
  <c r="BC51" i="2"/>
  <c r="BD51" i="2"/>
  <c r="BC52" i="2"/>
  <c r="BD52" i="2"/>
  <c r="BC53" i="2"/>
  <c r="BD53" i="2"/>
  <c r="BC54" i="2"/>
  <c r="BD54" i="2"/>
  <c r="BC55" i="2"/>
  <c r="BD55" i="2"/>
  <c r="BC56" i="2"/>
  <c r="BD56" i="2"/>
  <c r="BC57" i="2"/>
  <c r="BD57" i="2"/>
  <c r="BC58" i="2"/>
  <c r="BD58" i="2"/>
  <c r="BC59" i="2"/>
  <c r="BD59" i="2"/>
  <c r="BC60" i="2"/>
  <c r="BD60" i="2"/>
  <c r="BC61" i="2"/>
  <c r="BD61" i="2"/>
  <c r="BC62" i="2"/>
  <c r="BD62" i="2"/>
  <c r="BC63" i="2"/>
  <c r="BD63" i="2"/>
  <c r="BC64" i="2"/>
  <c r="BD64" i="2"/>
  <c r="BC65" i="2"/>
  <c r="BD65" i="2"/>
  <c r="BC66" i="2"/>
  <c r="BD66" i="2"/>
  <c r="BC67" i="2"/>
  <c r="BD67" i="2"/>
  <c r="BC68" i="2"/>
  <c r="BD68" i="2"/>
  <c r="BC69" i="2"/>
  <c r="BD69" i="2"/>
  <c r="BC70" i="2"/>
  <c r="BD70" i="2"/>
  <c r="BC71" i="2"/>
  <c r="BD71" i="2"/>
  <c r="BC72" i="2"/>
  <c r="BD72" i="2"/>
  <c r="BC73" i="2"/>
  <c r="BD73" i="2"/>
  <c r="BC74" i="2"/>
  <c r="BD74" i="2"/>
  <c r="BC75" i="2"/>
  <c r="BD75" i="2"/>
  <c r="BC76" i="2"/>
  <c r="BD76" i="2"/>
  <c r="BC77" i="2"/>
  <c r="BD77" i="2"/>
  <c r="BC78" i="2"/>
  <c r="BD78" i="2"/>
  <c r="BC79" i="2"/>
  <c r="BD79" i="2"/>
  <c r="BC80" i="2"/>
  <c r="BD80" i="2"/>
  <c r="BC81" i="2"/>
  <c r="BD81" i="2"/>
  <c r="BC82" i="2"/>
  <c r="BD82" i="2"/>
  <c r="BC83" i="2"/>
  <c r="BD83" i="2"/>
  <c r="BC84" i="2"/>
  <c r="BD84" i="2"/>
  <c r="BC85" i="2"/>
  <c r="BD85" i="2"/>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2" i="2"/>
  <c r="C2" i="1"/>
  <c r="BC46" i="2" l="1"/>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D24" i="1" l="1"/>
  <c r="E24" i="1"/>
  <c r="F24" i="1"/>
  <c r="D25" i="1"/>
  <c r="E25" i="1"/>
  <c r="F25" i="1"/>
  <c r="F23" i="1" l="1"/>
  <c r="E23" i="1"/>
  <c r="D23" i="1"/>
  <c r="F22" i="1"/>
  <c r="E22" i="1"/>
  <c r="D22" i="1"/>
  <c r="F21" i="1"/>
  <c r="E21" i="1"/>
  <c r="D21" i="1"/>
  <c r="F20" i="1"/>
  <c r="E20" i="1"/>
  <c r="D20"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exp3_disable_multicounter\disable_multicounter.csv" comma="1">
      <textFields>
        <textField/>
      </textFields>
    </textPr>
  </connection>
  <connection id="2" name="Connection1" type="6" refreshedVersion="6" background="1" saveData="1">
    <textPr sourceFile="C:\Users\t35brown\Documents\bitbucket\setbench\microbench\experiments\istree_exp5_numerical_stability_vs_time\istree_exp5_numerical_stability_vs_time.csv" comma="1">
      <textFields>
        <textField/>
      </textFields>
    </textPr>
  </connection>
  <connection id="3"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<sst xmlns="http://schemas.openxmlformats.org/spreadsheetml/2006/main" count="788" uniqueCount="287">
  <si>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</si>
  <si>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</si>
  <si>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</si>
  <si>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</si>
  <si>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</si>
  <si>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</si>
  <si>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</si>
  <si>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</si>
  <si>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</si>
  <si>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</si>
  <si>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</si>
  <si>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</si>
  <si>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</si>
  <si>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</si>
  <si>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</si>
  <si>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</si>
  <si>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</si>
  <si>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</si>
  <si>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</si>
  <si>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</si>
  <si>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</si>
  <si>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</si>
  <si>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</si>
  <si>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</si>
  <si>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</si>
  <si>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</si>
  <si>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</si>
  <si>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</si>
  <si>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</si>
  <si>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</si>
  <si>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</si>
  <si>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</si>
  <si>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</si>
  <si>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</si>
  <si>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</si>
  <si>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</si>
  <si>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</si>
  <si>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</si>
  <si>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</si>
  <si>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</si>
  <si>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</si>
  <si>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</si>
  <si>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</si>
  <si>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</si>
  <si>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</si>
  <si>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</si>
  <si>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</si>
  <si>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</si>
  <si>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</si>
  <si>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</si>
  <si>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</si>
  <si>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</si>
  <si>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</si>
  <si>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</si>
  <si>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</si>
  <si>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</si>
  <si>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</si>
  <si>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</si>
  <si>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</si>
  <si>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</si>
  <si>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</si>
  <si>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</si>
  <si>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</si>
  <si>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</si>
  <si>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</si>
  <si>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</si>
  <si>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</si>
  <si>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</si>
  <si>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</si>
  <si>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</si>
  <si>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</si>
  <si>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</si>
  <si>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</si>
  <si>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</si>
  <si>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</si>
  <si>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</si>
  <si>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</si>
  <si>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</si>
  <si>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</si>
  <si>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</si>
  <si>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</si>
  <si>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</si>
  <si>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seconds</t>
  </si>
  <si>
    <t>istree_exp5_numerical_stability_vs_time/step10001.txt</t>
  </si>
  <si>
    <t>18 22148 186980 4696904 11733</t>
  </si>
  <si>
    <t>7 22141 186796 4696696 11733</t>
  </si>
  <si>
    <t>istree_exp5_numerical_stability_vs_time/step10002.txt</t>
  </si>
  <si>
    <t>67 47461 400410 10046765 25170</t>
  </si>
  <si>
    <t>15 47443 400068 10046262 25170</t>
  </si>
  <si>
    <t>istree_exp5_numerical_stability_vs_time/step10003.txt</t>
  </si>
  <si>
    <t>116 95208 815024 20530085 51515</t>
  </si>
  <si>
    <t>30 95184 814304 20529059 51514</t>
  </si>
  <si>
    <t>istree_exp5_numerical_stability_vs_time/step10004.txt</t>
  </si>
  <si>
    <t>222 193790 1643878 41310676 103780</t>
  </si>
  <si>
    <t>61 193713 1642507 41308705 103778</t>
  </si>
  <si>
    <t>istree_exp5_numerical_stability_vs_time/step10005.txt</t>
  </si>
  <si>
    <t>406 390717 3307690 82839547 207768</t>
  </si>
  <si>
    <t>123 390608 3304887 82835467 207766</t>
  </si>
  <si>
    <t>istree_exp5_numerical_stability_vs_time/step10006.txt</t>
  </si>
  <si>
    <t>849 781740 6599280 165741318 416828</t>
  </si>
  <si>
    <t>247 781473 6593627 165733380 416819</t>
  </si>
  <si>
    <t>istree_exp5_numerical_stability_vs_time/step10007.txt</t>
  </si>
  <si>
    <t>1904 1559925 13165820 330332754 828602</t>
  </si>
  <si>
    <t>493 1559381 13154525 330316727 828588</t>
  </si>
  <si>
    <t>istree_exp5_numerical_stability_vs_time/step10008.txt</t>
  </si>
  <si>
    <t>bronson_pext_bst_occ</t>
  </si>
  <si>
    <t>164 740</t>
  </si>
  <si>
    <t>istree_exp5_numerical_stability_vs_time/step10009.txt</t>
  </si>
  <si>
    <t>istree_exp5_numerical_stability_vs_time/step10010.txt</t>
  </si>
  <si>
    <t>164 2412</t>
  </si>
  <si>
    <t>istree_exp5_numerical_stability_vs_time/step10011.txt</t>
  </si>
  <si>
    <t>istree_exp5_numerical_stability_vs_time/step10012.txt</t>
  </si>
  <si>
    <t>istree_exp5_numerical_stability_vs_time/step10013.txt</t>
  </si>
  <si>
    <t>166 17446</t>
  </si>
  <si>
    <t>istree_exp5_numerical_stability_vs_time/step10014.txt</t>
  </si>
  <si>
    <t>154 34382</t>
  </si>
  <si>
    <t>istree_exp5_numerical_stability_vs_time/step10015.txt</t>
  </si>
  <si>
    <t>0 22 4233 361129 733</t>
  </si>
  <si>
    <t>istree_exp5_numerical_stability_vs_time/step10016.txt</t>
  </si>
  <si>
    <t>1 3164 26485 669454 1713</t>
  </si>
  <si>
    <t>1 3164 26483 669453 1713</t>
  </si>
  <si>
    <t>istree_exp5_numerical_stability_vs_time/step10017.txt</t>
  </si>
  <si>
    <t>2 6326 53043 1338337 3312</t>
  </si>
  <si>
    <t>2 6326 53041 1338333 3312</t>
  </si>
  <si>
    <t>istree_exp5_numerical_stability_vs_time/step10018.txt</t>
  </si>
  <si>
    <t>5 12651 106604 2675751 6647</t>
  </si>
  <si>
    <t>4 12651 106590 2675742 6647</t>
  </si>
  <si>
    <t>istree_exp5_numerical_stability_vs_time/step10019.txt</t>
  </si>
  <si>
    <t>8 25302 212046 5352003 13390</t>
  </si>
  <si>
    <t>8 25301 212035 5351986 13390</t>
  </si>
  <si>
    <t>istree_exp5_numerical_stability_vs_time/step10020.txt</t>
  </si>
  <si>
    <t>16 50609 426481 10708860 26813</t>
  </si>
  <si>
    <t>16 50609 426452 10708831 26813</t>
  </si>
  <si>
    <t>istree_exp5_numerical_stability_vs_time/step10021.txt</t>
  </si>
  <si>
    <t>38 101220 851692 21411930 53744</t>
  </si>
  <si>
    <t>32 101214 851626 21411870 53744</t>
  </si>
  <si>
    <t>istree_exp5_numerical_stability_vs_time/step10022.txt</t>
  </si>
  <si>
    <t>154 842</t>
  </si>
  <si>
    <t>istree_exp5_numerical_stability_vs_time/step10023.txt</t>
  </si>
  <si>
    <t>166 1520</t>
  </si>
  <si>
    <t>istree_exp5_numerical_stability_vs_time/step10024.txt</t>
  </si>
  <si>
    <t>istree_exp5_numerical_stability_vs_time/step10025.txt</t>
  </si>
  <si>
    <t>164 5562</t>
  </si>
  <si>
    <t>istree_exp5_numerical_stability_vs_time/step10026.txt</t>
  </si>
  <si>
    <t>164 11008</t>
  </si>
  <si>
    <t>istree_exp5_numerical_stability_vs_time/step10027.txt</t>
  </si>
  <si>
    <t>148 21682</t>
  </si>
  <si>
    <t>istree_exp5_numerical_stability_vs_time/step10028.txt</t>
  </si>
  <si>
    <t>164 42830</t>
  </si>
  <si>
    <t>istree_exp5_numerical_stability_vs_time/step10029.txt</t>
  </si>
  <si>
    <t>31 22152 188246 4975764 12184</t>
  </si>
  <si>
    <t>7 22140 188099 4975547 12184</t>
  </si>
  <si>
    <t>istree_exp5_numerical_stability_vs_time/step10030.txt</t>
  </si>
  <si>
    <t>46 47463 399940 10044587 24799</t>
  </si>
  <si>
    <t>15 47448 399602 10044050 24798</t>
  </si>
  <si>
    <t>istree_exp5_numerical_stability_vs_time/step10031.txt</t>
  </si>
  <si>
    <t>101 97798 825335 20632199 51570</t>
  </si>
  <si>
    <t>30 97764 824601 20631214 51568</t>
  </si>
  <si>
    <t>istree_exp5_numerical_stability_vs_time/step10032.txt</t>
  </si>
  <si>
    <t>212 193879 1647846 41311909 103724</t>
  </si>
  <si>
    <t>61 193812 1646419 41309872 103724</t>
  </si>
  <si>
    <t>istree_exp5_numerical_stability_vs_time/step10033.txt</t>
  </si>
  <si>
    <t>479 391923 3304690 82861060 209164</t>
  </si>
  <si>
    <t>123 391783 3301849 82857154 209162</t>
  </si>
  <si>
    <t>istree_exp5_numerical_stability_vs_time/step10034.txt</t>
  </si>
  <si>
    <t>887 781518 6591328 165295512 412623</t>
  </si>
  <si>
    <t>247 781227 6585818 165287729 412616</t>
  </si>
  <si>
    <t>istree_exp5_numerical_stability_vs_time/step10035.txt</t>
  </si>
  <si>
    <t>1803 1560090 13167081 330350256 828306</t>
  </si>
  <si>
    <t>493 1559551 13155877 330334435 828291</t>
  </si>
  <si>
    <t>istree_exp5_numerical_stability_vs_time/step10036.txt</t>
  </si>
  <si>
    <t>166 742</t>
  </si>
  <si>
    <t>istree_exp5_numerical_stability_vs_time/step10037.txt</t>
  </si>
  <si>
    <t>168 1298</t>
  </si>
  <si>
    <t>istree_exp5_numerical_stability_vs_time/step10038.txt</t>
  </si>
  <si>
    <t>166 2410</t>
  </si>
  <si>
    <t>istree_exp5_numerical_stability_vs_time/step10039.txt</t>
  </si>
  <si>
    <t>150 4592</t>
  </si>
  <si>
    <t>istree_exp5_numerical_stability_vs_time/step10040.txt</t>
  </si>
  <si>
    <t>150 8884</t>
  </si>
  <si>
    <t>istree_exp5_numerical_stability_vs_time/step10041.txt</t>
  </si>
  <si>
    <t>istree_exp5_numerical_stability_vs_time/step10042.txt</t>
  </si>
  <si>
    <t>168 34448</t>
  </si>
  <si>
    <t>istree_exp5_numerical_stability_vs_time/step10043.txt</t>
  </si>
  <si>
    <t>0 17 4229 360724 738</t>
  </si>
  <si>
    <t>istree_exp5_numerical_stability_vs_time/step10044.txt</t>
  </si>
  <si>
    <t>2 3163 26486 671165 1724</t>
  </si>
  <si>
    <t>1 3163 26482 671162 1724</t>
  </si>
  <si>
    <t>istree_exp5_numerical_stability_vs_time/step10045.txt</t>
  </si>
  <si>
    <t>3 6326 53177 1339953 3399</t>
  </si>
  <si>
    <t>2 6326 53173 1339952 3399</t>
  </si>
  <si>
    <t>istree_exp5_numerical_stability_vs_time/step10046.txt</t>
  </si>
  <si>
    <t>4 12652 106580 2677918 6518</t>
  </si>
  <si>
    <t>4 12652 106572 2677910 6518</t>
  </si>
  <si>
    <t>istree_exp5_numerical_stability_vs_time/step10047.txt</t>
  </si>
  <si>
    <t>8 25301 212973 5349635 13349</t>
  </si>
  <si>
    <t>7 25301 212960 5349627 13349</t>
  </si>
  <si>
    <t>istree_exp5_numerical_stability_vs_time/step10048.txt</t>
  </si>
  <si>
    <t>18 50615 426027 10720622 26509</t>
  </si>
  <si>
    <t>16 50613 425996 10720598 26509</t>
  </si>
  <si>
    <t>istree_exp5_numerical_stability_vs_time/step10049.txt</t>
  </si>
  <si>
    <t>32 101221 853495 21420032 53610</t>
  </si>
  <si>
    <t>32 101215 853454 21419983 53610</t>
  </si>
  <si>
    <t>istree_exp5_numerical_stability_vs_time/step10050.txt</t>
  </si>
  <si>
    <t>istree_exp5_numerical_stability_vs_time/step10051.txt</t>
  </si>
  <si>
    <t>170 1524</t>
  </si>
  <si>
    <t>istree_exp5_numerical_stability_vs_time/step10052.txt</t>
  </si>
  <si>
    <t>166 2884</t>
  </si>
  <si>
    <t>istree_exp5_numerical_stability_vs_time/step10053.txt</t>
  </si>
  <si>
    <t>166 5580</t>
  </si>
  <si>
    <t>istree_exp5_numerical_stability_vs_time/step10054.txt</t>
  </si>
  <si>
    <t>164 10966</t>
  </si>
  <si>
    <t>istree_exp5_numerical_stability_vs_time/step10055.txt</t>
  </si>
  <si>
    <t>168 21652</t>
  </si>
  <si>
    <t>istree_exp5_numerical_stability_vs_time/step10056.txt</t>
  </si>
  <si>
    <t>168 42794</t>
  </si>
  <si>
    <t>istree_exp5_numerical_stability_vs_time/step10057.txt</t>
  </si>
  <si>
    <t>23 22146 185820 4826155 11818</t>
  </si>
  <si>
    <t>7 22141 185673 4825891 11818</t>
  </si>
  <si>
    <t>istree_exp5_numerical_stability_vs_time/step10058.txt</t>
  </si>
  <si>
    <t>45 47431 399682 9961590 25002</t>
  </si>
  <si>
    <t>14 47418 399316 9961135 25000</t>
  </si>
  <si>
    <t>istree_exp5_numerical_stability_vs_time/step10059.txt</t>
  </si>
  <si>
    <t>97 95551 814885 20559976 51917</t>
  </si>
  <si>
    <t>30 95516 814196 20558943 51916</t>
  </si>
  <si>
    <t>istree_exp5_numerical_stability_vs_time/step10060.txt</t>
  </si>
  <si>
    <t>227 192990 1625931 40833941 102817</t>
  </si>
  <si>
    <t>61 192928 1624541 40831964 102812</t>
  </si>
  <si>
    <t>istree_exp5_numerical_stability_vs_time/step10061.txt</t>
  </si>
  <si>
    <t>453 391094 3305982 82844468 208445</t>
  </si>
  <si>
    <t>123 390955 3303133 82840597 208441</t>
  </si>
  <si>
    <t>istree_exp5_numerical_stability_vs_time/step10062.txt</t>
  </si>
  <si>
    <t>924 783345 6611186 165822883 417208</t>
  </si>
  <si>
    <t>247 783099 6605466 165814978 417200</t>
  </si>
  <si>
    <t>istree_exp5_numerical_stability_vs_time/step10063.txt</t>
  </si>
  <si>
    <t>1890 1569284 13225475 331986005 834355</t>
  </si>
  <si>
    <t>496 1568777 13214009 331969978 834344</t>
  </si>
  <si>
    <t>istree_exp5_numerical_stability_vs_time/step10064.txt</t>
  </si>
  <si>
    <t>168 740</t>
  </si>
  <si>
    <t>istree_exp5_numerical_stability_vs_time/step10065.txt</t>
  </si>
  <si>
    <t>164 1300</t>
  </si>
  <si>
    <t>istree_exp5_numerical_stability_vs_time/step10066.txt</t>
  </si>
  <si>
    <t>166 2414</t>
  </si>
  <si>
    <t>istree_exp5_numerical_stability_vs_time/step10067.txt</t>
  </si>
  <si>
    <t>166 4570</t>
  </si>
  <si>
    <t>istree_exp5_numerical_stability_vs_time/step10068.txt</t>
  </si>
  <si>
    <t>168 8908</t>
  </si>
  <si>
    <t>istree_exp5_numerical_stability_vs_time/step10069.txt</t>
  </si>
  <si>
    <t>istree_exp5_numerical_stability_vs_time/step10070.txt</t>
  </si>
  <si>
    <t>168 34396</t>
  </si>
  <si>
    <t>istree_exp5_numerical_stability_vs_time/step10071.txt</t>
  </si>
  <si>
    <t>0 11 3929 355895 723</t>
  </si>
  <si>
    <t>istree_exp5_numerical_stability_vs_time/step10072.txt</t>
  </si>
  <si>
    <t>1 3163 26721 670041 1704</t>
  </si>
  <si>
    <t>1 3163 26719 670038 1704</t>
  </si>
  <si>
    <t>istree_exp5_numerical_stability_vs_time/step10073.txt</t>
  </si>
  <si>
    <t>2 6326 53246 1340241 3298</t>
  </si>
  <si>
    <t>2 6326 53243 1340239 3298</t>
  </si>
  <si>
    <t>istree_exp5_numerical_stability_vs_time/step10074.txt</t>
  </si>
  <si>
    <t>5 12652 106482 2677793 6638</t>
  </si>
  <si>
    <t>4 12652 106474 2677785 6638</t>
  </si>
  <si>
    <t>istree_exp5_numerical_stability_vs_time/step10075.txt</t>
  </si>
  <si>
    <t>9 25302 214483 5353850 13328</t>
  </si>
  <si>
    <t>8 25301 214458 5353841 13328</t>
  </si>
  <si>
    <t>istree_exp5_numerical_stability_vs_time/step10076.txt</t>
  </si>
  <si>
    <t>17 49952 425994 10580224 26823</t>
  </si>
  <si>
    <t>15 49952 425973 10580193 26823</t>
  </si>
  <si>
    <t>istree_exp5_numerical_stability_vs_time/step10077.txt</t>
  </si>
  <si>
    <t>32 101211 852309 21383937 53425</t>
  </si>
  <si>
    <t>31 101207 852250 21383888 53425</t>
  </si>
  <si>
    <t>istree_exp5_numerical_stability_vs_time/step10078.txt</t>
  </si>
  <si>
    <t>164 836</t>
  </si>
  <si>
    <t>istree_exp5_numerical_stability_vs_time/step10079.txt</t>
  </si>
  <si>
    <t>166 1518</t>
  </si>
  <si>
    <t>istree_exp5_numerical_stability_vs_time/step10080.txt</t>
  </si>
  <si>
    <t>istree_exp5_numerical_stability_vs_time/step10081.txt</t>
  </si>
  <si>
    <t>166 5604</t>
  </si>
  <si>
    <t>istree_exp5_numerical_stability_vs_time/step10082.txt</t>
  </si>
  <si>
    <t>164 10910</t>
  </si>
  <si>
    <t>istree_exp5_numerical_stability_vs_time/step10083.txt</t>
  </si>
  <si>
    <t>170 21636</t>
  </si>
  <si>
    <t>istree_exp5_numerical_stability_vs_time/step10084.txt</t>
  </si>
  <si>
    <t>164 42800</t>
  </si>
  <si>
    <t>u=1%, k=2x10^7</t>
  </si>
  <si>
    <t>ISTree</t>
  </si>
  <si>
    <t>BCCO</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</si>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</sst>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2">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[exp5_numerical_stability_vs_time.xlsm]pivot!PivotTableMain</c:name>
    <c:fmtId val="9"/>
  </c:pivotSource>
  <c:chart>
    <c:title>
      <c:tx>
        <c:strRef>
          <c:f>pivot!$C$2</c:f>
          <c:strCache>
            <c:ptCount val="1"/>
            <c:pt idx="0">
              <c:v>u=1%, k=2x10^7, 190 threads</c:v>
            </c:pt>
          </c:strCache>
        </c:strRef>
      </c:tx>
      <c:layout>
        <c:manualLayout>
          <c:xMode val="edge"/>
          <c:yMode val="edge"/>
          <c:x val="0.32717618653076008"/>
          <c:y val="1.8466614263811579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5"/>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6"/>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8"/>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9"/>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10"/>
        <c:spPr>
          <a:solidFill>
            <a:schemeClr val="accent1"/>
          </a:solidFill>
          <a:ln>
            <a:noFill/>
          </a:ln>
          <a:effectLst/>
        </c:spPr>
        <c:marker>
          <c:symbol val="none"/>
        </c:marker>
        <c:dLbl>
          <c:idx val="0"/>
          <c:layout/>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extLst>
            <c:ext xmlns:c15="http://schemas.microsoft.com/office/drawing/2012/chart" uri="{CE6537A1-D6FC-4f65-9D91-7224C49458BB}">
              <c15:layout/>
            </c:ext>
          </c:extLst>
        </c:dLbl>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pivot!$C$2</c:f>
              <c:strCache>
                <c:ptCount val="1"/>
                <c:pt idx="0">
                  <c:v>1</c:v>
                </c:pt>
              </c:strCache>
            </c:strRef>
          </c:tx>
          <c:spPr>
            <a:solidFill>
              <a:schemeClr val="accent1"/>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265972419</c:v>
                </c:pt>
                <c:pt idx="1">
                  <c:v>113891355.66666667</c:v>
                </c:pt>
              </c:numCache>
            </c:numRef>
          </c:val>
          <c:extLst>
            <c:ext xmlns:c16="http://schemas.microsoft.com/office/drawing/2014/chart" uri="{C3380CC4-5D6E-409C-BE32-E72D297353CC}">
              <c16:uniqueId val="{00000000-4146-42C1-9805-FC7D8BA1FD5F}"/>
            </c:ext>
          </c:extLst>
        </c:ser>
        <c:ser>
          <c:idx val="1"/>
          <c:order val="1"/>
          <c:tx>
            <c:strRef>
              <c:f>pivot!$C$2</c:f>
              <c:strCache>
                <c:ptCount val="1"/>
                <c:pt idx="0">
                  <c:v>2</c:v>
                </c:pt>
              </c:strCache>
            </c:strRef>
          </c:tx>
          <c:spPr>
            <a:solidFill>
              <a:schemeClr val="accent2"/>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255241171.33333334</c:v>
                </c:pt>
                <c:pt idx="1">
                  <c:v>115301171</c:v>
                </c:pt>
              </c:numCache>
            </c:numRef>
          </c:val>
          <c:extLst>
            <c:ext xmlns:c16="http://schemas.microsoft.com/office/drawing/2014/chart" uri="{C3380CC4-5D6E-409C-BE32-E72D297353CC}">
              <c16:uniqueId val="{00000000-AE96-4064-A03B-A7E34F09FDD5}"/>
            </c:ext>
          </c:extLst>
        </c:ser>
        <c:ser>
          <c:idx val="2"/>
          <c:order val="2"/>
          <c:tx>
            <c:strRef>
              <c:f>pivot!$C$2</c:f>
              <c:strCache>
                <c:ptCount val="1"/>
                <c:pt idx="0">
                  <c:v>4</c:v>
                </c:pt>
              </c:strCache>
            </c:strRef>
          </c:tx>
          <c:spPr>
            <a:solidFill>
              <a:schemeClr val="accent3"/>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251449945</c:v>
                </c:pt>
                <c:pt idx="1">
                  <c:v>114780073.33333333</c:v>
                </c:pt>
              </c:numCache>
            </c:numRef>
          </c:val>
          <c:extLst>
            <c:ext xmlns:c16="http://schemas.microsoft.com/office/drawing/2014/chart" uri="{C3380CC4-5D6E-409C-BE32-E72D297353CC}">
              <c16:uniqueId val="{00000001-AE96-4064-A03B-A7E34F09FDD5}"/>
            </c:ext>
          </c:extLst>
        </c:ser>
        <c:ser>
          <c:idx val="3"/>
          <c:order val="3"/>
          <c:tx>
            <c:strRef>
              <c:f>pivot!$C$2</c:f>
              <c:strCache>
                <c:ptCount val="1"/>
                <c:pt idx="0">
                  <c:v>8</c:v>
                </c:pt>
              </c:strCache>
            </c:strRef>
          </c:tx>
          <c:spPr>
            <a:solidFill>
              <a:schemeClr val="accent4"/>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250938116.33333334</c:v>
                </c:pt>
                <c:pt idx="1">
                  <c:v>114798996.33333333</c:v>
                </c:pt>
              </c:numCache>
            </c:numRef>
          </c:val>
          <c:extLst>
            <c:ext xmlns:c16="http://schemas.microsoft.com/office/drawing/2014/chart" uri="{C3380CC4-5D6E-409C-BE32-E72D297353CC}">
              <c16:uniqueId val="{00000002-AE96-4064-A03B-A7E34F09FDD5}"/>
            </c:ext>
          </c:extLst>
        </c:ser>
        <c:ser>
          <c:idx val="4"/>
          <c:order val="4"/>
          <c:tx>
            <c:strRef>
              <c:f>pivot!$C$2</c:f>
              <c:strCache>
                <c:ptCount val="1"/>
                <c:pt idx="0">
                  <c:v>16</c:v>
                </c:pt>
              </c:strCache>
            </c:strRef>
          </c:tx>
          <c:spPr>
            <a:solidFill>
              <a:schemeClr val="accent5"/>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250047292.33333334</c:v>
                </c:pt>
                <c:pt idx="1">
                  <c:v>114156831.33333333</c:v>
                </c:pt>
              </c:numCache>
            </c:numRef>
          </c:val>
          <c:extLst>
            <c:ext xmlns:c16="http://schemas.microsoft.com/office/drawing/2014/chart" uri="{C3380CC4-5D6E-409C-BE32-E72D297353CC}">
              <c16:uniqueId val="{00000003-AE96-4064-A03B-A7E34F09FDD5}"/>
            </c:ext>
          </c:extLst>
        </c:ser>
        <c:ser>
          <c:idx val="5"/>
          <c:order val="5"/>
          <c:tx>
            <c:strRef>
              <c:f>pivot!$C$2</c:f>
              <c:strCache>
                <c:ptCount val="1"/>
                <c:pt idx="0">
                  <c:v>32</c:v>
                </c:pt>
              </c:strCache>
            </c:strRef>
          </c:tx>
          <c:spPr>
            <a:solidFill>
              <a:schemeClr val="accent6"/>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249215385.33333334</c:v>
                </c:pt>
                <c:pt idx="1">
                  <c:v>113133287.66666667</c:v>
                </c:pt>
              </c:numCache>
            </c:numRef>
          </c:val>
          <c:extLst>
            <c:ext xmlns:c16="http://schemas.microsoft.com/office/drawing/2014/chart" uri="{C3380CC4-5D6E-409C-BE32-E72D297353CC}">
              <c16:uniqueId val="{00000004-AE96-4064-A03B-A7E34F09FDD5}"/>
            </c:ext>
          </c:extLst>
        </c:ser>
        <c:ser>
          <c:idx val="6"/>
          <c:order val="6"/>
          <c:tx>
            <c:strRef>
              <c:f>pivot!$C$2</c:f>
              <c:strCache>
                <c:ptCount val="1"/>
                <c:pt idx="0">
                  <c:v>64</c:v>
                </c:pt>
              </c:strCache>
            </c:strRef>
          </c:tx>
          <c:spPr>
            <a:solidFill>
              <a:schemeClr val="accent1">
                <a:lumMod val="60000"/>
              </a:schemeClr>
            </a:solidFill>
            <a:ln>
              <a:noFill/>
            </a:ln>
            <a:effectLst/>
          </c:spPr>
          <c:invertIfNegative val="0"/>
          <c:dLbls>
            <c:spPr>
              <a:solidFill>
                <a:srgbClr val="000000"/>
              </a:solidFill>
              <a:ln w="12700" cap="flat" cmpd="sng" algn="ctr">
                <a:solidFill>
                  <a:srgbClr val="FFFFFF"/>
                </a:solidFill>
                <a:prstDash val="solid"/>
                <a:round/>
                <a:headEnd type="none" w="med" len="med"/>
                <a:tailEnd type="none" w="med" len="med"/>
              </a:ln>
              <a:effectLst/>
            </c:spPr>
            <c:txPr>
              <a:bodyPr rot="0" spcFirstLastPara="1" vertOverflow="ellipsis" vert="horz" wrap="square" lIns="38100" tIns="19050" rIns="38100" bIns="19050" anchor="ctr" anchorCtr="1">
                <a:spAutoFit/>
              </a:bodyPr>
              <a:lstStyle/>
              <a:p>
                <a:pPr>
                  <a:defRPr sz="3200" b="0" i="0" u="none" strike="noStrike" kern="1200" baseline="0">
                    <a:solidFill>
                      <a:srgbClr val="FFFFFF"/>
                    </a:solidFill>
                    <a:latin typeface="+mn-lt"/>
                    <a:ea typeface="+mn-ea"/>
                    <a:cs typeface="+mn-cs"/>
                  </a:defRPr>
                </a:pPr>
                <a:endParaRPr lang="en-US"/>
              </a:p>
            </c:txPr>
            <c:dLblPos val="inBase"/>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pivot!$C$2</c:f>
              <c:strCache>
                <c:ptCount val="2"/>
                <c:pt idx="0">
                  <c:v>ISTree</c:v>
                </c:pt>
                <c:pt idx="1">
                  <c:v>BCCO</c:v>
                </c:pt>
              </c:strCache>
            </c:strRef>
          </c:cat>
          <c:val>
            <c:numRef>
              <c:f>pivot!$C$2</c:f>
              <c:numCache>
                <c:formatCode>0</c:formatCode>
                <c:ptCount val="2"/>
                <c:pt idx="0">
                  <c:v>250029726</c:v>
                </c:pt>
                <c:pt idx="1">
                  <c:v>112942324.66666667</c:v>
                </c:pt>
              </c:numCache>
            </c:numRef>
          </c:val>
          <c:extLst>
            <c:ext xmlns:c16="http://schemas.microsoft.com/office/drawing/2014/chart" uri="{C3380CC4-5D6E-409C-BE32-E72D297353CC}">
              <c16:uniqueId val="{00000005-AE96-4064-A03B-A7E34F09FDD5}"/>
            </c:ext>
          </c:extLst>
        </c:ser>
        <c:dLbls>
          <c:dLblPos val="inEnd"/>
          <c:showLegendKey val="0"/>
          <c:showVal val="1"/>
          <c:showCatName val="0"/>
          <c:showSerName val="0"/>
          <c:showPercent val="0"/>
          <c:showBubbleSize val="0"/>
        </c:dLbls>
        <c:gapWidth val="77"/>
        <c:overlap val="-2"/>
        <c:axId val="603778032"/>
        <c:axId val="603783856"/>
      </c:barChart>
      <c:catAx>
        <c:axId val="603778032"/>
        <c:scaling>
          <c:orientation val="minMax"/>
        </c:scaling>
        <c:delete val="0"/>
        <c:axPos val="b"/>
        <c:majorGridlines>
          <c:spPr>
            <a:ln w="38100" cap="flat" cmpd="sng" algn="ctr">
              <a:solidFill>
                <a:schemeClr val="bg2">
                  <a:lumMod val="75000"/>
                </a:schemeClr>
              </a:solidFill>
              <a:round/>
            </a:ln>
            <a:effectLst/>
          </c:spPr>
        </c:majorGridlines>
        <c:minorGridlines>
          <c:spPr>
            <a:ln w="381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seconds</a:t>
                </a:r>
                <a:r>
                  <a:rPr lang="en-CA" sz="4000" baseline="0"/>
                  <a:t> to run</a:t>
                </a:r>
                <a:endParaRPr lang="en-CA" sz="4000"/>
              </a:p>
            </c:rich>
          </c:tx>
          <c:layout>
            <c:manualLayout>
              <c:xMode val="edge"/>
              <c:yMode val="edge"/>
              <c:x val="0.42473890462569241"/>
              <c:y val="0.9123446529397361"/>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83856"/>
        <c:crosses val="autoZero"/>
        <c:auto val="1"/>
        <c:lblAlgn val="ctr"/>
        <c:lblOffset val="20"/>
        <c:tickMarkSkip val="1"/>
        <c:noMultiLvlLbl val="0"/>
      </c:catAx>
      <c:valAx>
        <c:axId val="603783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CA" sz="4000"/>
                  <a:t>operations per microsecond</a:t>
                </a:r>
              </a:p>
            </c:rich>
          </c:tx>
          <c:layout>
            <c:manualLayout>
              <c:xMode val="edge"/>
              <c:yMode val="edge"/>
              <c:x val="2.9458182833719459E-3"/>
              <c:y val="7.8848686574177707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603778032"/>
        <c:crosses val="autoZero"/>
        <c:crossBetween val="between"/>
        <c:dispUnits>
          <c:builtInUnit val="millions"/>
        </c:dispUnits>
      </c:valAx>
      <c:spPr>
        <a:noFill/>
        <a:ln w="38100">
          <a:solidFill>
            <a:srgbClr val="000000"/>
          </a:solidFill>
        </a:ln>
        <a:effectLst/>
      </c:spPr>
    </c:plotArea>
    <c:plotVisOnly val="1"/>
    <c:dispBlanksAs val="gap"/>
    <c:showDLblsOverMax val="0"/>
  </c:chart>
  <c:spPr>
    <a:solidFill>
      <a:srgbClr val="FFFFFF"/>
    </a:solidFill>
    <a:ln w="38100" cap="flat" cmpd="sng" algn="ctr">
      <a:noFill/>
      <a:round/>
    </a:ln>
    <a:effectLst/>
  </c:spPr>
  <c:txPr>
    <a:bodyPr/>
    <a:lstStyle/>
    <a:p>
      <a:pPr>
        <a:defRPr sz="32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88447</xdr:colOff>
      <xdr:row>0</xdr:row>
      <xdr:rowOff>129268</xdr:rowOff>
    </xdr:from>
    <xdr:to>
      <xdr:col>47</xdr:col>
      <xdr:colOff>612321</xdr:colOff>
      <xdr:row>45</xdr:row>
      <xdr:rowOff>115660</xdr:rowOff>
    </xdr:to>
    <xdr:graphicFrame macro="">
      <xdr:nvGraphicFramePr>
        <xdr:cNvPr id="7"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766948611112" missingItemsLimit="0" createdVersion="6" refreshedVersion="6" minRefreshableVersion="3" recordCount="85">
  <cacheSource type="worksheet">
    <worksheetSource ref="A1:BD1048576" sheet="data"/>
  </cacheSource>
  <cacheFields count="56">
    <cacheField name="filename" numFmtId="0">
      <sharedItems containsBlank="1"/>
    </cacheField>
    <cacheField name="DS_TYPENAME" numFmtId="0">
      <sharedItems containsBlank="1" count="3">
        <s v="brown_ext_ist_lf"/>
        <s v="bronson_pext_bst_occ"/>
        <m/>
      </sharedItems>
    </cacheField>
    <cacheField name="size_node" numFmtId="0">
      <sharedItems containsString="0" containsBlank="1" containsNumber="1" containsInteger="1" minValue="72"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1000" maxValue="64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 maxValue="2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44026226360" maxValue="100069101498184"/>
    </cacheField>
    <cacheField name="threads_final_size" numFmtId="0">
      <sharedItems containsString="0" containsBlank="1" containsNumber="1" containsInteger="1" minValue="9994827" maxValue="10006057"/>
    </cacheField>
    <cacheField name="final_keysum" numFmtId="0">
      <sharedItems containsString="0" containsBlank="1" containsNumber="1" containsInteger="1" minValue="99944026226360" maxValue="100069101498184"/>
    </cacheField>
    <cacheField name="final_size" numFmtId="0">
      <sharedItems containsString="0" containsBlank="1" containsNumber="1" containsInteger="1" minValue="9994827" maxValue="10006057"/>
    </cacheField>
    <cacheField name="validate_result" numFmtId="0">
      <sharedItems containsBlank="1"/>
    </cacheField>
    <cacheField name="tree_stats_height" numFmtId="0">
      <sharedItems containsString="0" containsBlank="1" containsNumber="1" containsInteger="1" minValue="7" maxValue="30"/>
    </cacheField>
    <cacheField name="tree_stats_numInternals" numFmtId="0">
      <sharedItems containsString="0" containsBlank="1" containsNumber="1" containsInteger="1" minValue="1625831" maxValue="6861369"/>
    </cacheField>
    <cacheField name="tree_stats_numLeaves" numFmtId="0">
      <sharedItems containsString="0" containsBlank="1" containsNumber="1" containsInteger="1" minValue="4339102" maxValue="12026251"/>
    </cacheField>
    <cacheField name="tree_stats_numNodes" numFmtId="0">
      <sharedItems containsString="0" containsBlank="1" containsNumber="1" containsInteger="1" minValue="10118116" maxValue="13929501"/>
    </cacheField>
    <cacheField name="tree_stats_numKeys" numFmtId="0">
      <sharedItems containsString="0" containsBlank="1" containsNumber="1" containsInteger="1" minValue="9994827" maxValue="10006057"/>
    </cacheField>
    <cacheField name="tree_stats_avgDegreeInternal" numFmtId="0">
      <sharedItems containsString="0" containsBlank="1" containsNumber="1" minValue="1.75074" maxValue="8.0391200000000005"/>
    </cacheField>
    <cacheField name="tree_stats_avgDegreeLeaves" numFmtId="0">
      <sharedItems containsString="0" containsBlank="1" containsNumber="1" minValue="0.83164400000000005" maxValue="2.3048999999999999"/>
    </cacheField>
    <cacheField name="tree_stats_avgDegree" numFmtId="0">
      <sharedItems containsString="0" containsBlank="1" containsNumber="1" minValue="1.71801" maxValue="1.98837"/>
    </cacheField>
    <cacheField name="tree_stats_avgKeyDepth" numFmtId="0">
      <sharedItems containsString="0" containsBlank="1" containsNumber="1" minValue="4.0000099999999996" maxValue="23.297000000000001"/>
    </cacheField>
    <cacheField name="tree_stats_sizeInBytes" numFmtId="0">
      <sharedItems containsString="0" containsBlank="1" containsNumber="1" containsInteger="1" minValue="313148320" maxValue="675672816"/>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6" maxValue="6276586"/>
    </cacheField>
    <cacheField name="first_thread_announced_epoch_by_index" numFmtId="0">
      <sharedItems containsBlank="1" containsMixedTypes="1" containsNumber="1" containsInteger="1" minValue="672" maxValue="99156"/>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53033146" maxValue="15862871639"/>
    </cacheField>
    <cacheField name="total_rq" numFmtId="0">
      <sharedItems containsString="0" containsBlank="1" containsNumber="1" containsInteger="1" minValue="0" maxValue="0"/>
    </cacheField>
    <cacheField name="total_updates" numFmtId="0">
      <sharedItems containsString="0" containsBlank="1" containsNumber="1" containsInteger="1" minValue="1136454" maxValue="2480647580"/>
    </cacheField>
    <cacheField name="total_queries" numFmtId="0">
      <sharedItems containsString="0" containsBlank="1" containsNumber="1" containsInteger="1" minValue="53033146" maxValue="15862871639"/>
    </cacheField>
    <cacheField name="total_ops" numFmtId="0">
      <sharedItems containsString="0" containsBlank="1" containsNumber="1" containsInteger="1" minValue="88394573" maxValue="16023109710"/>
    </cacheField>
    <cacheField name="find_throughput" numFmtId="0">
      <sharedItems containsString="0" containsBlank="1" containsNumber="1" containsInteger="1" minValue="53033146" maxValue="26449286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122719" maxValue="38760118"/>
    </cacheField>
    <cacheField name="query_throughput" numFmtId="0">
      <sharedItems containsString="0" containsBlank="1" containsNumber="1" containsInteger="1" minValue="53033146" maxValue="264492865"/>
    </cacheField>
    <cacheField name="total_throughput" numFmtId="0">
      <sharedItems containsString="0" containsBlank="1" containsNumber="1" containsInteger="1" minValue="88394573" maxValue="267163161"/>
    </cacheField>
    <cacheField name="PAPI_L2_TCM" numFmtId="0">
      <sharedItems containsString="0" containsBlank="1" containsNumber="1" minValue="15.9283" maxValue="33.216000000000001"/>
    </cacheField>
    <cacheField name="PAPI_L3_TCM" numFmtId="0">
      <sharedItems containsString="0" containsBlank="1" containsNumber="1" minValue="6.4747199999999996" maxValue="15.317399999999999"/>
    </cacheField>
    <cacheField name="PAPI_TOT_CYC" numFmtId="0">
      <sharedItems containsString="0" containsBlank="1" containsNumber="1" minValue="1977.15" maxValue="5831.2"/>
    </cacheField>
    <cacheField name="PAPI_RES_STL" numFmtId="0">
      <sharedItems containsString="0" containsBlank="1" containsNumber="1" minValue="1210.42" maxValue="4196.62"/>
    </cacheField>
    <cacheField name="maxresident_mb" numFmtId="0">
      <sharedItems containsString="0" containsBlank="1" containsNumber="1" containsInteger="1" minValue="1761" maxValue="2962"/>
    </cacheField>
    <cacheField name="prefill_elapsed_ms" numFmtId="0">
      <sharedItems containsString="0" containsBlank="1" containsNumber="1" containsInteger="1" minValue="282" maxValue="519"/>
    </cacheField>
    <cacheField name="exp" numFmtId="0">
      <sharedItems containsBlank="1" count="3">
        <s v="u=40%, k=2x10^7"/>
        <s v="u=1%, k=2x10^7"/>
        <m/>
      </sharedItems>
    </cacheField>
    <cacheField name="seconds" numFmtId="0">
      <sharedItems containsString="0" containsBlank="1" containsNumber="1" containsInteger="1" minValue="1" maxValue="64" count="8">
        <n v="1"/>
        <n v="2"/>
        <n v="4"/>
        <n v="8"/>
        <n v="16"/>
        <n v="32"/>
        <n v="64"/>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5">
  <r>
    <s v="istree_exp5_numerical_stability_vs_time/step10001.txt"/>
    <x v="0"/>
    <n v="72"/>
    <s v="reclaimer_debra"/>
    <s v="allocator_new"/>
    <s v="pool_none"/>
    <n v="1000"/>
    <n v="20"/>
    <n v="20"/>
    <n v="0"/>
    <n v="1"/>
    <n v="20000000"/>
    <n v="190"/>
    <n v="190"/>
    <n v="190"/>
    <n v="0"/>
    <s v="insertIfAbsent"/>
    <n v="99994827517479"/>
    <n v="10000265"/>
    <n v="99994827517479"/>
    <n v="10000265"/>
    <s v="success"/>
    <n v="7"/>
    <n v="1705040"/>
    <n v="11602812"/>
    <n v="13307852"/>
    <n v="10000265"/>
    <n v="7.8050100000000002"/>
    <n v="0.86188299999999995"/>
    <n v="1.75146"/>
    <n v="4.0158500000000004"/>
    <n v="322048304"/>
    <s v="18 22148 186980 4696904 11733"/>
    <s v="7 22141 186796 4696696 11733"/>
    <n v="88902"/>
    <n v="672"/>
    <m/>
    <m/>
    <n v="53033146"/>
    <n v="0"/>
    <n v="35361427"/>
    <n v="53033146"/>
    <n v="88394573"/>
    <n v="53033146"/>
    <n v="0"/>
    <n v="35361427"/>
    <n v="53033146"/>
    <n v="88394573"/>
    <n v="28.523700000000002"/>
    <n v="15.0518"/>
    <n v="5081.71"/>
    <n v="3458.1"/>
    <n v="2852"/>
    <n v="451"/>
    <x v="0"/>
    <x v="0"/>
  </r>
  <r>
    <s v="istree_exp5_numerical_stability_vs_time/step10002.txt"/>
    <x v="0"/>
    <n v="72"/>
    <s v="reclaimer_debra"/>
    <s v="allocator_new"/>
    <s v="pool_none"/>
    <n v="2000"/>
    <n v="20"/>
    <n v="20"/>
    <n v="0"/>
    <n v="1"/>
    <n v="20000000"/>
    <n v="190"/>
    <n v="190"/>
    <n v="190"/>
    <n v="0"/>
    <s v="insertIfAbsent"/>
    <n v="99986882809813"/>
    <n v="10000723"/>
    <n v="99986882809813"/>
    <n v="10000723"/>
    <s v="success"/>
    <n v="7"/>
    <n v="1690519"/>
    <n v="11573533"/>
    <n v="13264052"/>
    <n v="10000723"/>
    <n v="7.8461400000000001"/>
    <n v="0.86410299999999995"/>
    <n v="1.75397"/>
    <n v="4.01295"/>
    <n v="320418096"/>
    <s v="67 47461 400410 10046765 25170"/>
    <s v="15 47443 400068 10046262 25170"/>
    <n v="189736"/>
    <n v="1406"/>
    <m/>
    <m/>
    <n v="112924981"/>
    <n v="0"/>
    <n v="75267979"/>
    <n v="112924981"/>
    <n v="188192960"/>
    <n v="56462490"/>
    <n v="0"/>
    <n v="37633989"/>
    <n v="56462490"/>
    <n v="94096480"/>
    <n v="28.564399999999999"/>
    <n v="15.2094"/>
    <n v="5223.17"/>
    <n v="3588.47"/>
    <n v="2894"/>
    <n v="342"/>
    <x v="0"/>
    <x v="1"/>
  </r>
  <r>
    <s v="istree_exp5_numerical_stability_vs_time/step10003.txt"/>
    <x v="0"/>
    <n v="72"/>
    <s v="reclaimer_debra"/>
    <s v="allocator_new"/>
    <s v="pool_none"/>
    <n v="4000"/>
    <n v="20"/>
    <n v="20"/>
    <n v="0"/>
    <n v="1"/>
    <n v="20000000"/>
    <n v="190"/>
    <n v="190"/>
    <n v="190"/>
    <n v="0"/>
    <s v="insertIfAbsent"/>
    <n v="99976261773222"/>
    <n v="9998293"/>
    <n v="99976261773222"/>
    <n v="9998293"/>
    <s v="success"/>
    <n v="7"/>
    <n v="1884213"/>
    <n v="11987463"/>
    <n v="13871676"/>
    <n v="9998293"/>
    <n v="7.36205"/>
    <n v="0.83406199999999997"/>
    <n v="1.7207699999999999"/>
    <n v="4.0516100000000002"/>
    <n v="342572032"/>
    <s v="116 95208 815024 20530085 51515"/>
    <s v="30 95184 814304 20529059 51514"/>
    <n v="380074"/>
    <n v="2912"/>
    <m/>
    <m/>
    <n v="229667698"/>
    <n v="0"/>
    <n v="153119865"/>
    <n v="229667698"/>
    <n v="382787563"/>
    <n v="57416924"/>
    <n v="0"/>
    <n v="38279966"/>
    <n v="57416924"/>
    <n v="95696890"/>
    <n v="28.471900000000002"/>
    <n v="15.1676"/>
    <n v="5234.6899999999996"/>
    <n v="3591.81"/>
    <n v="2910"/>
    <n v="445"/>
    <x v="0"/>
    <x v="2"/>
  </r>
  <r>
    <s v="istree_exp5_numerical_stability_vs_time/step10004.txt"/>
    <x v="0"/>
    <n v="72"/>
    <s v="reclaimer_debra"/>
    <s v="allocator_new"/>
    <s v="pool_none"/>
    <n v="8000"/>
    <n v="20"/>
    <n v="20"/>
    <n v="0"/>
    <n v="1"/>
    <n v="20000000"/>
    <n v="190"/>
    <n v="190"/>
    <n v="190"/>
    <n v="0"/>
    <s v="insertIfAbsent"/>
    <n v="100031136960372"/>
    <n v="10000894"/>
    <n v="100031136960372"/>
    <n v="10000894"/>
    <s v="success"/>
    <n v="7"/>
    <n v="1845861"/>
    <n v="11912212"/>
    <n v="13758073"/>
    <n v="10000894"/>
    <n v="7.4534700000000003"/>
    <n v="0.83955000000000002"/>
    <n v="1.7269099999999999"/>
    <n v="4.0438400000000003"/>
    <n v="338297472"/>
    <s v="222 193790 1643878 41310676 103780"/>
    <s v="61 193713 1642507 41308705 103778"/>
    <n v="775739"/>
    <n v="5898"/>
    <m/>
    <m/>
    <n v="462502064"/>
    <n v="0"/>
    <n v="308321754"/>
    <n v="462502064"/>
    <n v="770823818"/>
    <n v="57812758"/>
    <n v="0"/>
    <n v="38540219"/>
    <n v="57812758"/>
    <n v="96352977"/>
    <n v="28.5276"/>
    <n v="15.2387"/>
    <n v="5274.36"/>
    <n v="3627.64"/>
    <n v="2927"/>
    <n v="386"/>
    <x v="0"/>
    <x v="3"/>
  </r>
  <r>
    <s v="istree_exp5_numerical_stability_vs_time/step10005.txt"/>
    <x v="0"/>
    <n v="72"/>
    <s v="reclaimer_debra"/>
    <s v="allocator_new"/>
    <s v="pool_none"/>
    <n v="16000"/>
    <n v="20"/>
    <n v="20"/>
    <n v="0"/>
    <n v="1"/>
    <n v="20000000"/>
    <n v="190"/>
    <n v="190"/>
    <n v="190"/>
    <n v="0"/>
    <s v="insertIfAbsent"/>
    <n v="99977363344333"/>
    <n v="9997861"/>
    <n v="99977363344333"/>
    <n v="9997861"/>
    <s v="success"/>
    <n v="7"/>
    <n v="1789929"/>
    <n v="11790761"/>
    <n v="13580690"/>
    <n v="9997861"/>
    <n v="7.5872799999999998"/>
    <n v="0.84794000000000003"/>
    <n v="1.7361800000000001"/>
    <n v="4.0329300000000003"/>
    <n v="331870288"/>
    <s v="406 390717 3307690 82839547 207768"/>
    <s v="123 390608 3304887 82835467 207766"/>
    <n v="1557639"/>
    <n v="11846"/>
    <m/>
    <m/>
    <n v="927918603"/>
    <n v="0"/>
    <n v="618610027"/>
    <n v="927918603"/>
    <n v="1546528630"/>
    <n v="57994912"/>
    <n v="0"/>
    <n v="38663126"/>
    <n v="57994912"/>
    <n v="96658039"/>
    <n v="28.596299999999999"/>
    <n v="15.284000000000001"/>
    <n v="5286.38"/>
    <n v="3635.32"/>
    <n v="2929"/>
    <n v="378"/>
    <x v="0"/>
    <x v="4"/>
  </r>
  <r>
    <s v="istree_exp5_numerical_stability_vs_time/step10006.txt"/>
    <x v="0"/>
    <n v="72"/>
    <s v="reclaimer_debra"/>
    <s v="allocator_new"/>
    <s v="pool_none"/>
    <n v="32000"/>
    <n v="20"/>
    <n v="20"/>
    <n v="0"/>
    <n v="1"/>
    <n v="20000000"/>
    <n v="190"/>
    <n v="190"/>
    <n v="190"/>
    <n v="0"/>
    <s v="insertIfAbsent"/>
    <n v="99972816447581"/>
    <n v="9998815"/>
    <n v="99972816447581"/>
    <n v="9998815"/>
    <s v="success"/>
    <n v="7"/>
    <n v="1887855"/>
    <n v="11995989"/>
    <n v="13883844"/>
    <n v="9998815"/>
    <n v="7.3543000000000003"/>
    <n v="0.83351299999999995"/>
    <n v="1.72018"/>
    <n v="4.0523899999999999"/>
    <n v="343001168"/>
    <s v="849 781740 6599280 165741318 416828"/>
    <s v="247 781473 6593627 165733380 416819"/>
    <n v="3126340"/>
    <n v="23648"/>
    <m/>
    <m/>
    <n v="1856979707"/>
    <n v="0"/>
    <n v="1238006668"/>
    <n v="1856979707"/>
    <n v="3094986375"/>
    <n v="58030615"/>
    <n v="0"/>
    <n v="38687708"/>
    <n v="58030615"/>
    <n v="96718324"/>
    <n v="28.6357"/>
    <n v="15.304600000000001"/>
    <n v="5297.81"/>
    <n v="3651.56"/>
    <n v="2939"/>
    <n v="436"/>
    <x v="0"/>
    <x v="5"/>
  </r>
  <r>
    <s v="istree_exp5_numerical_stability_vs_time/step10007.txt"/>
    <x v="0"/>
    <n v="72"/>
    <s v="reclaimer_debra"/>
    <s v="allocator_new"/>
    <s v="pool_none"/>
    <n v="64000"/>
    <n v="20"/>
    <n v="20"/>
    <n v="0"/>
    <n v="1"/>
    <n v="20000000"/>
    <n v="190"/>
    <n v="190"/>
    <n v="190"/>
    <n v="0"/>
    <s v="insertIfAbsent"/>
    <n v="99993133890336"/>
    <n v="9999668"/>
    <n v="99993133890336"/>
    <n v="9999668"/>
    <s v="success"/>
    <n v="7"/>
    <n v="1897634"/>
    <n v="12017128"/>
    <n v="13914762"/>
    <n v="9999668"/>
    <n v="7.3326900000000004"/>
    <n v="0.83211800000000002"/>
    <n v="1.7186399999999999"/>
    <n v="4.0542499999999997"/>
    <n v="344120176"/>
    <s v="1904 1559925 13165820 330332754 828602"/>
    <s v="493 1559381 13154525 330316727 828588"/>
    <n v="6227875"/>
    <n v="47284"/>
    <m/>
    <m/>
    <n v="3701441456"/>
    <n v="0"/>
    <n v="2467648164"/>
    <n v="3701441456"/>
    <n v="6169089620"/>
    <n v="57835022"/>
    <n v="0"/>
    <n v="38557002"/>
    <n v="57835022"/>
    <n v="96392025"/>
    <n v="28.629799999999999"/>
    <n v="15.308199999999999"/>
    <n v="5321.82"/>
    <n v="3666.44"/>
    <n v="2961"/>
    <n v="367"/>
    <x v="0"/>
    <x v="6"/>
  </r>
  <r>
    <s v="istree_exp5_numerical_stability_vs_time/step10008.txt"/>
    <x v="1"/>
    <m/>
    <s v="reclaimer_debra"/>
    <s v="allocator_new"/>
    <s v="pool_none"/>
    <n v="1000"/>
    <n v="20"/>
    <n v="20"/>
    <n v="0"/>
    <n v="1"/>
    <n v="20000000"/>
    <n v="190"/>
    <n v="190"/>
    <n v="190"/>
    <n v="0"/>
    <s v="insertIfAbsent"/>
    <n v="99976803464800"/>
    <n v="9997576"/>
    <n v="99976803464800"/>
    <n v="9997576"/>
    <s v="success"/>
    <n v="29"/>
    <n v="6695328"/>
    <n v="5072744"/>
    <n v="11768072"/>
    <n v="9997576"/>
    <n v="1.7576499999999999"/>
    <n v="1.9708399999999999"/>
    <n v="1.84955"/>
    <n v="23.1858"/>
    <n v="659012032"/>
    <m/>
    <m/>
    <m/>
    <s v="164 740"/>
    <m/>
    <m/>
    <n v="57830389"/>
    <n v="0"/>
    <n v="38551503"/>
    <n v="57830389"/>
    <n v="96381892"/>
    <n v="57830389"/>
    <n v="0"/>
    <n v="38551503"/>
    <n v="57830389"/>
    <n v="96381892"/>
    <n v="31.627500000000001"/>
    <n v="11.5001"/>
    <n v="5425.5"/>
    <n v="3830.75"/>
    <n v="1953"/>
    <n v="438"/>
    <x v="0"/>
    <x v="0"/>
  </r>
  <r>
    <s v="istree_exp5_numerical_stability_vs_time/step10009.txt"/>
    <x v="1"/>
    <m/>
    <s v="reclaimer_debra"/>
    <s v="allocator_new"/>
    <s v="pool_none"/>
    <n v="2000"/>
    <n v="20"/>
    <n v="20"/>
    <n v="0"/>
    <n v="1"/>
    <n v="20000000"/>
    <n v="190"/>
    <n v="190"/>
    <n v="190"/>
    <n v="0"/>
    <s v="insertIfAbsent"/>
    <n v="100069101498184"/>
    <n v="10006057"/>
    <n v="100069101498184"/>
    <n v="10006057"/>
    <s v="success"/>
    <n v="29"/>
    <n v="6838399"/>
    <n v="5185720"/>
    <n v="12024119"/>
    <n v="10006057"/>
    <n v="1.7583200000000001"/>
    <n v="1.92954"/>
    <n v="1.8321700000000001"/>
    <n v="23.2559"/>
    <n v="673350664"/>
    <m/>
    <m/>
    <m/>
    <n v="1296"/>
    <m/>
    <m/>
    <n v="115096921"/>
    <n v="0"/>
    <n v="76728499"/>
    <n v="115096921"/>
    <n v="191825420"/>
    <n v="57548460"/>
    <n v="0"/>
    <n v="38364249"/>
    <n v="57548460"/>
    <n v="95912710"/>
    <n v="31.488199999999999"/>
    <n v="11.6419"/>
    <n v="5494.43"/>
    <n v="3896.16"/>
    <n v="2059"/>
    <n v="434"/>
    <x v="0"/>
    <x v="1"/>
  </r>
  <r>
    <s v="istree_exp5_numerical_stability_vs_time/step10010.txt"/>
    <x v="1"/>
    <m/>
    <s v="reclaimer_debra"/>
    <s v="allocator_new"/>
    <s v="pool_none"/>
    <n v="4000"/>
    <n v="20"/>
    <n v="20"/>
    <n v="0"/>
    <n v="1"/>
    <n v="20000000"/>
    <n v="190"/>
    <n v="190"/>
    <n v="190"/>
    <n v="0"/>
    <s v="insertIfAbsent"/>
    <n v="100009682063206"/>
    <n v="10000068"/>
    <n v="100009682063206"/>
    <n v="10000068"/>
    <s v="success"/>
    <n v="30"/>
    <n v="6857918"/>
    <n v="5202884"/>
    <n v="12060802"/>
    <n v="10000068"/>
    <n v="1.75867"/>
    <n v="1.9220200000000001"/>
    <n v="1.82914"/>
    <n v="23.2879"/>
    <n v="675404912"/>
    <m/>
    <m/>
    <m/>
    <s v="164 2412"/>
    <m/>
    <m/>
    <n v="228400727"/>
    <n v="0"/>
    <n v="152243782"/>
    <n v="228400727"/>
    <n v="380644509"/>
    <n v="57100181"/>
    <n v="0"/>
    <n v="38060945"/>
    <n v="57100181"/>
    <n v="95161127"/>
    <n v="31.967400000000001"/>
    <n v="11.7797"/>
    <n v="5543.82"/>
    <n v="3953.54"/>
    <n v="2194"/>
    <n v="422"/>
    <x v="0"/>
    <x v="2"/>
  </r>
  <r>
    <s v="istree_exp5_numerical_stability_vs_time/step10011.txt"/>
    <x v="1"/>
    <m/>
    <s v="reclaimer_debra"/>
    <s v="allocator_new"/>
    <s v="pool_none"/>
    <n v="8000"/>
    <n v="20"/>
    <n v="20"/>
    <n v="0"/>
    <n v="1"/>
    <n v="20000000"/>
    <n v="190"/>
    <n v="190"/>
    <n v="190"/>
    <n v="0"/>
    <s v="insertIfAbsent"/>
    <n v="100015141549283"/>
    <n v="10000185"/>
    <n v="100015141549283"/>
    <n v="10000185"/>
    <s v="success"/>
    <n v="29"/>
    <n v="6857058"/>
    <n v="5201397"/>
    <n v="12058455"/>
    <n v="10000185"/>
    <n v="1.7585500000000001"/>
    <n v="1.9226000000000001"/>
    <n v="1.82931"/>
    <n v="23.2834"/>
    <n v="675273480"/>
    <m/>
    <m/>
    <m/>
    <n v="4602"/>
    <m/>
    <m/>
    <n v="448573162"/>
    <n v="0"/>
    <n v="299041313"/>
    <n v="448573162"/>
    <n v="747614475"/>
    <n v="56071645"/>
    <n v="0"/>
    <n v="37380164"/>
    <n v="56071645"/>
    <n v="93451809"/>
    <n v="32.044400000000003"/>
    <n v="11.947900000000001"/>
    <n v="5648.91"/>
    <n v="4029.1"/>
    <n v="2341"/>
    <n v="442"/>
    <x v="0"/>
    <x v="3"/>
  </r>
  <r>
    <s v="istree_exp5_numerical_stability_vs_time/step10012.txt"/>
    <x v="1"/>
    <m/>
    <s v="reclaimer_debra"/>
    <s v="allocator_new"/>
    <s v="pool_none"/>
    <n v="16000"/>
    <n v="20"/>
    <n v="20"/>
    <n v="0"/>
    <n v="1"/>
    <n v="20000000"/>
    <n v="190"/>
    <n v="190"/>
    <n v="190"/>
    <n v="0"/>
    <s v="insertIfAbsent"/>
    <n v="99995929172155"/>
    <n v="10001156"/>
    <n v="99995929172155"/>
    <n v="10001156"/>
    <s v="success"/>
    <n v="29"/>
    <n v="6858235"/>
    <n v="5203496"/>
    <n v="12061731"/>
    <n v="10001156"/>
    <n v="1.7587200000000001"/>
    <n v="1.92201"/>
    <n v="1.8291599999999999"/>
    <n v="23.230899999999998"/>
    <n v="675456936"/>
    <m/>
    <m/>
    <m/>
    <n v="8926"/>
    <m/>
    <m/>
    <n v="885312908"/>
    <n v="0"/>
    <n v="590214101"/>
    <n v="885312908"/>
    <n v="1475527009"/>
    <n v="55332056"/>
    <n v="0"/>
    <n v="36888381"/>
    <n v="55332056"/>
    <n v="92220438"/>
    <n v="32.392800000000001"/>
    <n v="12.124599999999999"/>
    <n v="5722.18"/>
    <n v="4085.58"/>
    <n v="2455"/>
    <n v="435"/>
    <x v="0"/>
    <x v="4"/>
  </r>
  <r>
    <s v="istree_exp5_numerical_stability_vs_time/step10013.txt"/>
    <x v="1"/>
    <m/>
    <s v="reclaimer_debra"/>
    <s v="allocator_new"/>
    <s v="pool_none"/>
    <n v="32000"/>
    <n v="20"/>
    <n v="20"/>
    <n v="0"/>
    <n v="1"/>
    <n v="20000000"/>
    <n v="190"/>
    <n v="190"/>
    <n v="190"/>
    <n v="0"/>
    <s v="insertIfAbsent"/>
    <n v="99980713773591"/>
    <n v="9998252"/>
    <n v="99980713773591"/>
    <n v="9998252"/>
    <s v="success"/>
    <n v="29"/>
    <n v="6856128"/>
    <n v="5201930"/>
    <n v="12058058"/>
    <n v="9998252"/>
    <n v="1.7587299999999999"/>
    <n v="1.9220299999999999"/>
    <n v="1.82918"/>
    <n v="23.297000000000001"/>
    <n v="675251248"/>
    <m/>
    <m/>
    <m/>
    <s v="166 17446"/>
    <m/>
    <m/>
    <n v="1757849489"/>
    <n v="0"/>
    <n v="1171834955"/>
    <n v="1757849489"/>
    <n v="2929684444"/>
    <n v="54932796"/>
    <n v="0"/>
    <n v="36619842"/>
    <n v="54932796"/>
    <n v="91552638"/>
    <n v="32.777200000000001"/>
    <n v="12.305199999999999"/>
    <n v="5768.61"/>
    <n v="4156.05"/>
    <n v="2512"/>
    <n v="429"/>
    <x v="0"/>
    <x v="5"/>
  </r>
  <r>
    <s v="istree_exp5_numerical_stability_vs_time/step10014.txt"/>
    <x v="1"/>
    <m/>
    <s v="reclaimer_debra"/>
    <s v="allocator_new"/>
    <s v="pool_none"/>
    <n v="64000"/>
    <n v="20"/>
    <n v="20"/>
    <n v="0"/>
    <n v="1"/>
    <n v="20000000"/>
    <n v="190"/>
    <n v="190"/>
    <n v="190"/>
    <n v="0"/>
    <s v="insertIfAbsent"/>
    <n v="99988174846441"/>
    <n v="10000268"/>
    <n v="99988174846441"/>
    <n v="10000268"/>
    <s v="success"/>
    <n v="29"/>
    <n v="6857697"/>
    <n v="5202296"/>
    <n v="12059993"/>
    <n v="10000268"/>
    <n v="1.75861"/>
    <n v="1.92228"/>
    <n v="1.82921"/>
    <n v="23.1831"/>
    <n v="675359608"/>
    <m/>
    <m/>
    <m/>
    <s v="154 34382"/>
    <m/>
    <m/>
    <n v="3477077642"/>
    <n v="0"/>
    <n v="2318070958"/>
    <n v="3477077642"/>
    <n v="5795148600"/>
    <n v="54329338"/>
    <n v="0"/>
    <n v="36219858"/>
    <n v="54329338"/>
    <n v="90549196"/>
    <n v="33.140500000000003"/>
    <n v="12.439"/>
    <n v="5831.2"/>
    <n v="4172.25"/>
    <n v="2531"/>
    <n v="440"/>
    <x v="0"/>
    <x v="6"/>
  </r>
  <r>
    <s v="istree_exp5_numerical_stability_vs_time/step10015.txt"/>
    <x v="0"/>
    <n v="72"/>
    <s v="reclaimer_debra"/>
    <s v="allocator_new"/>
    <s v="pool_none"/>
    <n v="1000"/>
    <n v="0.5"/>
    <n v="0.5"/>
    <n v="0"/>
    <n v="1"/>
    <n v="20000000"/>
    <n v="190"/>
    <n v="190"/>
    <n v="190"/>
    <n v="0"/>
    <s v="insertIfAbsent"/>
    <n v="100004450361732"/>
    <n v="9998713"/>
    <n v="100004450361732"/>
    <n v="9998713"/>
    <s v="success"/>
    <n v="7"/>
    <n v="1901877"/>
    <n v="12022433"/>
    <n v="13924310"/>
    <n v="9998713"/>
    <n v="7.3213499999999998"/>
    <n v="0.83167100000000005"/>
    <n v="1.7180800000000001"/>
    <n v="4.0552599999999996"/>
    <n v="344541312"/>
    <s v="0 22 4233 361129 733"/>
    <s v="0 22 4233 361129 733"/>
    <n v="11"/>
    <n v="1670"/>
    <m/>
    <m/>
    <n v="264492865"/>
    <n v="0"/>
    <n v="2670296"/>
    <n v="264492865"/>
    <n v="267163161"/>
    <n v="264492865"/>
    <n v="0"/>
    <n v="2670296"/>
    <n v="264492865"/>
    <n v="267163161"/>
    <n v="15.9283"/>
    <n v="6.4747199999999996"/>
    <n v="1977.15"/>
    <n v="1210.42"/>
    <n v="1915"/>
    <n v="365"/>
    <x v="1"/>
    <x v="0"/>
  </r>
  <r>
    <s v="istree_exp5_numerical_stability_vs_time/step10016.txt"/>
    <x v="0"/>
    <n v="72"/>
    <s v="reclaimer_debra"/>
    <s v="allocator_new"/>
    <s v="pool_none"/>
    <n v="2000"/>
    <n v="0.5"/>
    <n v="0.5"/>
    <n v="0"/>
    <n v="1"/>
    <n v="20000000"/>
    <n v="190"/>
    <n v="190"/>
    <n v="190"/>
    <n v="0"/>
    <s v="insertIfAbsent"/>
    <n v="100008572143870"/>
    <n v="10001237"/>
    <n v="100008572143870"/>
    <n v="10001237"/>
    <s v="success"/>
    <n v="7"/>
    <n v="1646770"/>
    <n v="11485757"/>
    <n v="13132527"/>
    <n v="10001237"/>
    <n v="7.9747199999999996"/>
    <n v="0.87075100000000005"/>
    <n v="1.76156"/>
    <n v="4.0042"/>
    <n v="315513696"/>
    <s v="1 3164 26485 669454 1713"/>
    <s v="1 3164 26483 669453 1713"/>
    <n v="2212"/>
    <n v="3140"/>
    <m/>
    <m/>
    <n v="503772496"/>
    <n v="0"/>
    <n v="5088744"/>
    <n v="503772496"/>
    <n v="508861240"/>
    <n v="251886248"/>
    <n v="0"/>
    <n v="2544372"/>
    <n v="251886248"/>
    <n v="254430620"/>
    <n v="16.213200000000001"/>
    <n v="6.5886699999999996"/>
    <n v="2021.61"/>
    <n v="1261.5"/>
    <n v="2600"/>
    <n v="358"/>
    <x v="1"/>
    <x v="1"/>
  </r>
  <r>
    <s v="istree_exp5_numerical_stability_vs_time/step10017.txt"/>
    <x v="0"/>
    <n v="72"/>
    <s v="reclaimer_debra"/>
    <s v="allocator_new"/>
    <s v="pool_none"/>
    <n v="4000"/>
    <n v="0.5"/>
    <n v="0.5"/>
    <n v="0"/>
    <n v="1"/>
    <n v="20000000"/>
    <n v="190"/>
    <n v="190"/>
    <n v="190"/>
    <n v="0"/>
    <s v="insertIfAbsent"/>
    <n v="99999214876747"/>
    <n v="10000194"/>
    <n v="99999214876747"/>
    <n v="10000194"/>
    <s v="success"/>
    <n v="7"/>
    <n v="1625831"/>
    <n v="11442616"/>
    <n v="13068447"/>
    <n v="10000194"/>
    <n v="8.0380099999999999"/>
    <n v="0.87394300000000003"/>
    <n v="1.76522"/>
    <n v="4.0000099999999996"/>
    <n v="313148320"/>
    <s v="2 6326 53043 1338337 3312"/>
    <s v="2 6326 53041 1338333 3312"/>
    <n v="5168"/>
    <n v="6144"/>
    <m/>
    <m/>
    <n v="989203389"/>
    <n v="0"/>
    <n v="9995530"/>
    <n v="989203389"/>
    <n v="999198919"/>
    <n v="247300847"/>
    <n v="0"/>
    <n v="2498882"/>
    <n v="247300847"/>
    <n v="249799729"/>
    <n v="16.273199999999999"/>
    <n v="6.6117600000000003"/>
    <n v="2068.69"/>
    <n v="1301.05"/>
    <n v="2735"/>
    <n v="412"/>
    <x v="1"/>
    <x v="2"/>
  </r>
  <r>
    <s v="istree_exp5_numerical_stability_vs_time/step10018.txt"/>
    <x v="0"/>
    <n v="72"/>
    <s v="reclaimer_debra"/>
    <s v="allocator_new"/>
    <s v="pool_none"/>
    <n v="8000"/>
    <n v="0.5"/>
    <n v="0.5"/>
    <n v="0"/>
    <n v="1"/>
    <n v="20000000"/>
    <n v="190"/>
    <n v="190"/>
    <n v="190"/>
    <n v="0"/>
    <s v="insertIfAbsent"/>
    <n v="99967026804737"/>
    <n v="9996811"/>
    <n v="99967026804737"/>
    <n v="9996811"/>
    <s v="success"/>
    <n v="7"/>
    <n v="1655378"/>
    <n v="11499042"/>
    <n v="13154420"/>
    <n v="9996811"/>
    <n v="7.9464800000000002"/>
    <n v="0.86936000000000002"/>
    <n v="1.75996"/>
    <n v="4.0060200000000004"/>
    <n v="316414928"/>
    <s v="5 12651 106604 2675751 6647"/>
    <s v="4 12651 106590 2675742 6647"/>
    <n v="9778"/>
    <n v="12522"/>
    <m/>
    <m/>
    <n v="1992378457"/>
    <n v="0"/>
    <n v="20119981"/>
    <n v="1992378457"/>
    <n v="2012498438"/>
    <n v="249047307"/>
    <n v="0"/>
    <n v="2514997"/>
    <n v="249047307"/>
    <n v="251562304"/>
    <n v="16.297699999999999"/>
    <n v="6.6344099999999999"/>
    <n v="2064.88"/>
    <n v="1285.77"/>
    <n v="2783"/>
    <n v="399"/>
    <x v="1"/>
    <x v="3"/>
  </r>
  <r>
    <s v="istree_exp5_numerical_stability_vs_time/step10019.txt"/>
    <x v="0"/>
    <n v="72"/>
    <s v="reclaimer_debra"/>
    <s v="allocator_new"/>
    <s v="pool_none"/>
    <n v="16000"/>
    <n v="0.5"/>
    <n v="0.5"/>
    <n v="0"/>
    <n v="1"/>
    <n v="20000000"/>
    <n v="190"/>
    <n v="190"/>
    <n v="190"/>
    <n v="0"/>
    <s v="insertIfAbsent"/>
    <n v="100022778580258"/>
    <n v="10003354"/>
    <n v="100022778580258"/>
    <n v="10003354"/>
    <s v="success"/>
    <n v="7"/>
    <n v="1642730"/>
    <n v="11479716"/>
    <n v="13122446"/>
    <n v="10003354"/>
    <n v="7.9881900000000003"/>
    <n v="0.871394"/>
    <n v="1.76231"/>
    <n v="4.0033899999999996"/>
    <n v="315093840"/>
    <s v="8 25302 212046 5352003 13390"/>
    <s v="8 25301 212035 5351986 13390"/>
    <n v="19652"/>
    <n v="24646"/>
    <m/>
    <m/>
    <n v="3965613755"/>
    <n v="0"/>
    <n v="40061871"/>
    <n v="3965613755"/>
    <n v="4005675626"/>
    <n v="247850859"/>
    <n v="0"/>
    <n v="2503866"/>
    <n v="247850859"/>
    <n v="250354726"/>
    <n v="16.331099999999999"/>
    <n v="6.64954"/>
    <n v="2082.58"/>
    <n v="1308.67"/>
    <n v="2770"/>
    <n v="413"/>
    <x v="1"/>
    <x v="4"/>
  </r>
  <r>
    <s v="istree_exp5_numerical_stability_vs_time/step10020.txt"/>
    <x v="0"/>
    <n v="72"/>
    <s v="reclaimer_debra"/>
    <s v="allocator_new"/>
    <s v="pool_none"/>
    <n v="32000"/>
    <n v="0.5"/>
    <n v="0.5"/>
    <n v="0"/>
    <n v="1"/>
    <n v="20000000"/>
    <n v="190"/>
    <n v="190"/>
    <n v="190"/>
    <n v="0"/>
    <s v="insertIfAbsent"/>
    <n v="100003122963526"/>
    <n v="9999658"/>
    <n v="100003122963526"/>
    <n v="9999658"/>
    <s v="success"/>
    <n v="7"/>
    <n v="1629368"/>
    <n v="11449239"/>
    <n v="13078607"/>
    <n v="9999658"/>
    <n v="8.0267999999999997"/>
    <n v="0.87339100000000003"/>
    <n v="1.76458"/>
    <n v="4.0007200000000003"/>
    <n v="313537248"/>
    <s v="16 50609 426481 10708860 26813"/>
    <s v="16 50609 426452 10708831 26813"/>
    <n v="38110"/>
    <n v="49220"/>
    <m/>
    <m/>
    <n v="7922095330"/>
    <n v="0"/>
    <n v="80013042"/>
    <n v="7922095330"/>
    <n v="8002108372"/>
    <n v="247565479"/>
    <n v="0"/>
    <n v="2500407"/>
    <n v="247565479"/>
    <n v="250065886"/>
    <n v="16.369499999999999"/>
    <n v="6.6597400000000002"/>
    <n v="2087.9"/>
    <n v="1312.2"/>
    <n v="2774"/>
    <n v="355"/>
    <x v="1"/>
    <x v="5"/>
  </r>
  <r>
    <s v="istree_exp5_numerical_stability_vs_time/step10021.txt"/>
    <x v="0"/>
    <n v="72"/>
    <s v="reclaimer_debra"/>
    <s v="allocator_new"/>
    <s v="pool_none"/>
    <n v="64000"/>
    <n v="0.5"/>
    <n v="0.5"/>
    <n v="0"/>
    <n v="1"/>
    <n v="20000000"/>
    <n v="190"/>
    <n v="190"/>
    <n v="190"/>
    <n v="0"/>
    <s v="insertIfAbsent"/>
    <n v="100005131715058"/>
    <n v="10001160"/>
    <n v="100005131715058"/>
    <n v="10001160"/>
    <s v="success"/>
    <n v="7"/>
    <n v="1629584"/>
    <n v="11450879"/>
    <n v="13080463"/>
    <n v="10001160"/>
    <n v="8.0268700000000006"/>
    <n v="0.87339699999999998"/>
    <n v="1.7645900000000001"/>
    <n v="4.0007599999999996"/>
    <n v="313580768"/>
    <s v="38 101220 851692 21411930 53744"/>
    <s v="32 101214 851626 21411870 53744"/>
    <n v="74581"/>
    <n v="98474"/>
    <m/>
    <m/>
    <n v="15843034042"/>
    <n v="0"/>
    <n v="160014905"/>
    <n v="15843034042"/>
    <n v="16003048947"/>
    <n v="247547406"/>
    <n v="0"/>
    <n v="2500232"/>
    <n v="247547406"/>
    <n v="250047639"/>
    <n v="16.374500000000001"/>
    <n v="6.6691000000000003"/>
    <n v="2088.77"/>
    <n v="1317.47"/>
    <n v="2769"/>
    <n v="400"/>
    <x v="1"/>
    <x v="6"/>
  </r>
  <r>
    <s v="istree_exp5_numerical_stability_vs_time/step10022.txt"/>
    <x v="1"/>
    <m/>
    <s v="reclaimer_debra"/>
    <s v="allocator_new"/>
    <s v="pool_none"/>
    <n v="1000"/>
    <n v="0.5"/>
    <n v="0.5"/>
    <n v="0"/>
    <n v="1"/>
    <n v="20000000"/>
    <n v="190"/>
    <n v="190"/>
    <n v="190"/>
    <n v="0"/>
    <s v="insertIfAbsent"/>
    <n v="99994358562355"/>
    <n v="10000443"/>
    <n v="99994358562355"/>
    <n v="10000443"/>
    <s v="success"/>
    <n v="29"/>
    <n v="5778657"/>
    <n v="4340629"/>
    <n v="10119286"/>
    <n v="10000443"/>
    <n v="1.75115"/>
    <n v="2.3039200000000002"/>
    <n v="1.9882599999999999"/>
    <n v="22.732800000000001"/>
    <n v="566680016"/>
    <m/>
    <m/>
    <m/>
    <s v="154 842"/>
    <m/>
    <m/>
    <n v="112915004"/>
    <n v="0"/>
    <n v="1141343"/>
    <n v="112915004"/>
    <n v="114056347"/>
    <n v="112915004"/>
    <n v="0"/>
    <n v="1141343"/>
    <n v="112915004"/>
    <n v="114056347"/>
    <n v="28.722999999999999"/>
    <n v="10.457800000000001"/>
    <n v="4584.2299999999996"/>
    <n v="3230.88"/>
    <n v="1761"/>
    <n v="431"/>
    <x v="1"/>
    <x v="0"/>
  </r>
  <r>
    <s v="istree_exp5_numerical_stability_vs_time/step10023.txt"/>
    <x v="1"/>
    <m/>
    <s v="reclaimer_debra"/>
    <s v="allocator_new"/>
    <s v="pool_none"/>
    <n v="2000"/>
    <n v="0.5"/>
    <n v="0.5"/>
    <n v="0"/>
    <n v="1"/>
    <n v="20000000"/>
    <n v="190"/>
    <n v="190"/>
    <n v="190"/>
    <n v="0"/>
    <s v="insertIfAbsent"/>
    <n v="100014976805535"/>
    <n v="9999800"/>
    <n v="100014976805535"/>
    <n v="9999800"/>
    <s v="success"/>
    <n v="29"/>
    <n v="5840886"/>
    <n v="4391086"/>
    <n v="10231972"/>
    <n v="9999800"/>
    <n v="1.7517799999999999"/>
    <n v="2.2772999999999999"/>
    <n v="1.9773099999999999"/>
    <n v="22.748999999999999"/>
    <n v="572990432"/>
    <m/>
    <m/>
    <m/>
    <s v="166 1520"/>
    <m/>
    <m/>
    <n v="227859525"/>
    <n v="0"/>
    <n v="2301809"/>
    <n v="227859525"/>
    <n v="230161334"/>
    <n v="113929762"/>
    <n v="0"/>
    <n v="1150904"/>
    <n v="113929762"/>
    <n v="115080667"/>
    <n v="28.970199999999998"/>
    <n v="10.5589"/>
    <n v="4584.72"/>
    <n v="3224.38"/>
    <n v="1768"/>
    <n v="426"/>
    <x v="1"/>
    <x v="1"/>
  </r>
  <r>
    <s v="istree_exp5_numerical_stability_vs_time/step10024.txt"/>
    <x v="1"/>
    <m/>
    <s v="reclaimer_debra"/>
    <s v="allocator_new"/>
    <s v="pool_none"/>
    <n v="4000"/>
    <n v="0.5"/>
    <n v="0.5"/>
    <n v="0"/>
    <n v="1"/>
    <n v="20000000"/>
    <n v="190"/>
    <n v="190"/>
    <n v="190"/>
    <n v="0"/>
    <s v="insertIfAbsent"/>
    <n v="100010800900582"/>
    <n v="10000293"/>
    <n v="100010800900582"/>
    <n v="10000293"/>
    <s v="success"/>
    <n v="29"/>
    <n v="5951716"/>
    <n v="4481156"/>
    <n v="10432872"/>
    <n v="10000293"/>
    <n v="1.75292"/>
    <n v="2.23163"/>
    <n v="1.9585399999999999"/>
    <n v="22.851299999999998"/>
    <n v="584240832"/>
    <m/>
    <m/>
    <m/>
    <n v="2876"/>
    <m/>
    <m/>
    <n v="450592324"/>
    <n v="0"/>
    <n v="4554568"/>
    <n v="450592324"/>
    <n v="455146892"/>
    <n v="112648081"/>
    <n v="0"/>
    <n v="1138642"/>
    <n v="112648081"/>
    <n v="113786723"/>
    <n v="28.949400000000001"/>
    <n v="10.654500000000001"/>
    <n v="4637.93"/>
    <n v="3217.6"/>
    <n v="1782"/>
    <n v="519"/>
    <x v="1"/>
    <x v="2"/>
  </r>
  <r>
    <s v="istree_exp5_numerical_stability_vs_time/step10025.txt"/>
    <x v="1"/>
    <m/>
    <s v="reclaimer_debra"/>
    <s v="allocator_new"/>
    <s v="pool_none"/>
    <n v="8000"/>
    <n v="0.5"/>
    <n v="0.5"/>
    <n v="0"/>
    <n v="1"/>
    <n v="20000000"/>
    <n v="190"/>
    <n v="190"/>
    <n v="190"/>
    <n v="0"/>
    <s v="insertIfAbsent"/>
    <n v="100001799431532"/>
    <n v="10000676"/>
    <n v="100001799431532"/>
    <n v="10000676"/>
    <s v="success"/>
    <n v="29"/>
    <n v="6141072"/>
    <n v="4633741"/>
    <n v="10774813"/>
    <n v="10000676"/>
    <n v="1.7545500000000001"/>
    <n v="2.1582300000000001"/>
    <n v="1.92815"/>
    <n v="22.896699999999999"/>
    <n v="603389528"/>
    <m/>
    <m/>
    <m/>
    <s v="164 5562"/>
    <m/>
    <m/>
    <n v="906920836"/>
    <n v="0"/>
    <n v="9157792"/>
    <n v="906920836"/>
    <n v="916078628"/>
    <n v="113365104"/>
    <n v="0"/>
    <n v="1144724"/>
    <n v="113365104"/>
    <n v="114509828"/>
    <n v="28.756900000000002"/>
    <n v="10.726000000000001"/>
    <n v="4606.67"/>
    <n v="3235.25"/>
    <n v="1804"/>
    <n v="429"/>
    <x v="1"/>
    <x v="3"/>
  </r>
  <r>
    <s v="istree_exp5_numerical_stability_vs_time/step10026.txt"/>
    <x v="1"/>
    <m/>
    <s v="reclaimer_debra"/>
    <s v="allocator_new"/>
    <s v="pool_none"/>
    <n v="16000"/>
    <n v="0.5"/>
    <n v="0.5"/>
    <n v="0"/>
    <n v="1"/>
    <n v="20000000"/>
    <n v="190"/>
    <n v="190"/>
    <n v="190"/>
    <n v="0"/>
    <s v="insertIfAbsent"/>
    <n v="99997895663594"/>
    <n v="10000154"/>
    <n v="99997895663594"/>
    <n v="10000154"/>
    <s v="success"/>
    <n v="29"/>
    <n v="6408503"/>
    <n v="4844569"/>
    <n v="11253072"/>
    <n v="10000154"/>
    <n v="1.75596"/>
    <n v="2.0642"/>
    <n v="1.88866"/>
    <n v="23.022200000000002"/>
    <n v="630172032"/>
    <m/>
    <m/>
    <m/>
    <s v="164 11008"/>
    <m/>
    <m/>
    <n v="1815112611"/>
    <n v="0"/>
    <n v="18341800"/>
    <n v="1815112611"/>
    <n v="1833454411"/>
    <n v="113444538"/>
    <n v="0"/>
    <n v="1146362"/>
    <n v="113444538"/>
    <n v="114590900"/>
    <n v="28.706"/>
    <n v="10.8188"/>
    <n v="4603.83"/>
    <n v="3237.85"/>
    <n v="1836"/>
    <n v="437"/>
    <x v="1"/>
    <x v="4"/>
  </r>
  <r>
    <s v="istree_exp5_numerical_stability_vs_time/step10027.txt"/>
    <x v="1"/>
    <m/>
    <s v="reclaimer_debra"/>
    <s v="allocator_new"/>
    <s v="pool_none"/>
    <n v="32000"/>
    <n v="0.5"/>
    <n v="0.5"/>
    <n v="0"/>
    <n v="1"/>
    <n v="20000000"/>
    <n v="190"/>
    <n v="190"/>
    <n v="190"/>
    <n v="0"/>
    <s v="insertIfAbsent"/>
    <n v="99981731977691"/>
    <n v="9998345"/>
    <n v="99981731977691"/>
    <n v="9998345"/>
    <s v="success"/>
    <n v="29"/>
    <n v="6677103"/>
    <n v="5057290"/>
    <n v="11734393"/>
    <n v="9998345"/>
    <n v="1.7574099999999999"/>
    <n v="1.97702"/>
    <n v="1.85205"/>
    <n v="23.189399999999999"/>
    <n v="657126008"/>
    <m/>
    <m/>
    <m/>
    <s v="148 21682"/>
    <m/>
    <m/>
    <n v="3597360925"/>
    <n v="0"/>
    <n v="36338908"/>
    <n v="3597360925"/>
    <n v="3633699833"/>
    <n v="112417528"/>
    <n v="0"/>
    <n v="1135590"/>
    <n v="112417528"/>
    <n v="113553119"/>
    <n v="29.118600000000001"/>
    <n v="10.902699999999999"/>
    <n v="4643.59"/>
    <n v="3276.45"/>
    <n v="1867"/>
    <n v="437"/>
    <x v="1"/>
    <x v="5"/>
  </r>
  <r>
    <s v="istree_exp5_numerical_stability_vs_time/step10028.txt"/>
    <x v="1"/>
    <m/>
    <s v="reclaimer_debra"/>
    <s v="allocator_new"/>
    <s v="pool_none"/>
    <n v="64000"/>
    <n v="0.5"/>
    <n v="0.5"/>
    <n v="0"/>
    <n v="1"/>
    <n v="20000000"/>
    <n v="190"/>
    <n v="190"/>
    <n v="190"/>
    <n v="0"/>
    <s v="insertIfAbsent"/>
    <n v="100008956020404"/>
    <n v="10000105"/>
    <n v="100008956020404"/>
    <n v="10000105"/>
    <s v="success"/>
    <n v="29"/>
    <n v="6827090"/>
    <n v="5178373"/>
    <n v="12005463"/>
    <n v="10000105"/>
    <n v="1.7585"/>
    <n v="1.93113"/>
    <n v="1.8329599999999999"/>
    <n v="23.2256"/>
    <n v="672305928"/>
    <m/>
    <m/>
    <m/>
    <s v="164 42830"/>
    <m/>
    <m/>
    <n v="7163079646"/>
    <n v="0"/>
    <n v="72342994"/>
    <n v="7163079646"/>
    <n v="7235422640"/>
    <n v="111923119"/>
    <n v="0"/>
    <n v="1130359"/>
    <n v="111923119"/>
    <n v="113053478"/>
    <n v="29.105499999999999"/>
    <n v="10.995699999999999"/>
    <n v="4663.5"/>
    <n v="3285.81"/>
    <n v="1886"/>
    <n v="432"/>
    <x v="1"/>
    <x v="6"/>
  </r>
  <r>
    <s v="istree_exp5_numerical_stability_vs_time/step10029.txt"/>
    <x v="0"/>
    <n v="72"/>
    <s v="reclaimer_debra"/>
    <s v="allocator_new"/>
    <s v="pool_none"/>
    <n v="1000"/>
    <n v="20"/>
    <n v="20"/>
    <n v="0"/>
    <n v="1"/>
    <n v="20000000"/>
    <n v="190"/>
    <n v="190"/>
    <n v="190"/>
    <n v="0"/>
    <s v="insertIfAbsent"/>
    <n v="100014204708887"/>
    <n v="10001250"/>
    <n v="100014204708887"/>
    <n v="10001250"/>
    <s v="success"/>
    <n v="7"/>
    <n v="1894922"/>
    <n v="12005106"/>
    <n v="13900028"/>
    <n v="10001250"/>
    <n v="7.3354100000000004"/>
    <n v="0.83308300000000002"/>
    <n v="1.7195100000000001"/>
    <n v="4.0539399999999999"/>
    <n v="343698784"/>
    <s v="31 22152 188246 4975764 12184"/>
    <s v="7 22140 188099 4975547 12184"/>
    <n v="90839"/>
    <n v="704"/>
    <m/>
    <m/>
    <n v="55977885"/>
    <n v="0"/>
    <n v="37311229"/>
    <n v="55977885"/>
    <n v="93289114"/>
    <n v="55977885"/>
    <n v="0"/>
    <n v="37311229"/>
    <n v="55977885"/>
    <n v="93289114"/>
    <n v="28.089300000000001"/>
    <n v="14.7736"/>
    <n v="5034.84"/>
    <n v="3468.26"/>
    <n v="2849"/>
    <n v="380"/>
    <x v="0"/>
    <x v="0"/>
  </r>
  <r>
    <s v="istree_exp5_numerical_stability_vs_time/step10030.txt"/>
    <x v="0"/>
    <n v="72"/>
    <s v="reclaimer_debra"/>
    <s v="allocator_new"/>
    <s v="pool_none"/>
    <n v="2000"/>
    <n v="20"/>
    <n v="20"/>
    <n v="0"/>
    <n v="1"/>
    <n v="20000000"/>
    <n v="190"/>
    <n v="190"/>
    <n v="190"/>
    <n v="0"/>
    <s v="insertIfAbsent"/>
    <n v="100000415032806"/>
    <n v="10000472"/>
    <n v="100000415032806"/>
    <n v="10000472"/>
    <s v="success"/>
    <n v="7"/>
    <n v="1682965"/>
    <n v="11558276"/>
    <n v="13241241"/>
    <n v="10000472"/>
    <n v="7.8678100000000004"/>
    <n v="0.86522200000000005"/>
    <n v="1.75525"/>
    <n v="4.0114400000000003"/>
    <n v="319569632"/>
    <s v="46 47463 399940 10044587 24799"/>
    <s v="15 47448 399602 10044050 24798"/>
    <n v="190611"/>
    <n v="1438"/>
    <m/>
    <m/>
    <n v="112877316"/>
    <n v="0"/>
    <n v="75260764"/>
    <n v="112877316"/>
    <n v="188138080"/>
    <n v="56438658"/>
    <n v="0"/>
    <n v="37630382"/>
    <n v="56438658"/>
    <n v="94069040"/>
    <n v="28.570699999999999"/>
    <n v="15.203799999999999"/>
    <n v="5221.59"/>
    <n v="3582.69"/>
    <n v="2880"/>
    <n v="348"/>
    <x v="0"/>
    <x v="1"/>
  </r>
  <r>
    <s v="istree_exp5_numerical_stability_vs_time/step10031.txt"/>
    <x v="0"/>
    <n v="72"/>
    <s v="reclaimer_debra"/>
    <s v="allocator_new"/>
    <s v="pool_none"/>
    <n v="4000"/>
    <n v="20"/>
    <n v="20"/>
    <n v="0"/>
    <n v="1"/>
    <n v="20000000"/>
    <n v="190"/>
    <n v="190"/>
    <n v="190"/>
    <n v="0"/>
    <s v="insertIfAbsent"/>
    <n v="99964283666637"/>
    <n v="9999529"/>
    <n v="99964283666637"/>
    <n v="9999529"/>
    <s v="success"/>
    <n v="7"/>
    <n v="1732478"/>
    <n v="11665695"/>
    <n v="13398173"/>
    <n v="9999529"/>
    <n v="7.73353"/>
    <n v="0.85717399999999999"/>
    <n v="1.74634"/>
    <n v="4.02189"/>
    <n v="325254176"/>
    <s v="101 97798 825335 20632199 51570"/>
    <s v="30 97764 824601 20631214 51568"/>
    <n v="392360"/>
    <n v="2944"/>
    <m/>
    <m/>
    <n v="231022380"/>
    <n v="0"/>
    <n v="154034186"/>
    <n v="231022380"/>
    <n v="385056566"/>
    <n v="57755595"/>
    <n v="0"/>
    <n v="38508546"/>
    <n v="57755595"/>
    <n v="96264141"/>
    <n v="28.543199999999999"/>
    <n v="15.2174"/>
    <n v="5229.4799999999996"/>
    <n v="3600.99"/>
    <n v="2909"/>
    <n v="359"/>
    <x v="0"/>
    <x v="2"/>
  </r>
  <r>
    <s v="istree_exp5_numerical_stability_vs_time/step10032.txt"/>
    <x v="0"/>
    <n v="72"/>
    <s v="reclaimer_debra"/>
    <s v="allocator_new"/>
    <s v="pool_none"/>
    <n v="8000"/>
    <n v="20"/>
    <n v="20"/>
    <n v="0"/>
    <n v="1"/>
    <n v="20000000"/>
    <n v="190"/>
    <n v="190"/>
    <n v="190"/>
    <n v="0"/>
    <s v="insertIfAbsent"/>
    <n v="99980318123951"/>
    <n v="9998372"/>
    <n v="99980318123951"/>
    <n v="9998372"/>
    <s v="success"/>
    <n v="7"/>
    <n v="1839459"/>
    <n v="11895301"/>
    <n v="13734760"/>
    <n v="9998372"/>
    <n v="7.4667399999999997"/>
    <n v="0.84053100000000003"/>
    <n v="1.7279599999999999"/>
    <n v="4.0426099999999998"/>
    <n v="337513344"/>
    <s v="212 193879 1647846 41311909 103724"/>
    <s v="61 193812 1646419 41309872 103724"/>
    <n v="771002"/>
    <n v="5902"/>
    <m/>
    <m/>
    <n v="462537027"/>
    <n v="0"/>
    <n v="308374438"/>
    <n v="462537027"/>
    <n v="770911465"/>
    <n v="57817128"/>
    <n v="0"/>
    <n v="38546804"/>
    <n v="57817128"/>
    <n v="96363933"/>
    <n v="28.578199999999999"/>
    <n v="15.243399999999999"/>
    <n v="5272.6"/>
    <n v="3628.62"/>
    <n v="2920"/>
    <n v="392"/>
    <x v="0"/>
    <x v="3"/>
  </r>
  <r>
    <s v="istree_exp5_numerical_stability_vs_time/step10033.txt"/>
    <x v="0"/>
    <n v="72"/>
    <s v="reclaimer_debra"/>
    <s v="allocator_new"/>
    <s v="pool_none"/>
    <n v="16000"/>
    <n v="20"/>
    <n v="20"/>
    <n v="0"/>
    <n v="1"/>
    <n v="20000000"/>
    <n v="190"/>
    <n v="190"/>
    <n v="190"/>
    <n v="0"/>
    <s v="insertIfAbsent"/>
    <n v="100011541905466"/>
    <n v="9997818"/>
    <n v="100011541905466"/>
    <n v="9997818"/>
    <s v="success"/>
    <n v="7"/>
    <n v="1734120"/>
    <n v="11668340"/>
    <n v="13402460"/>
    <n v="9997818"/>
    <n v="7.7286799999999998"/>
    <n v="0.85683299999999996"/>
    <n v="1.74597"/>
    <n v="4.0221299999999998"/>
    <n v="325430032"/>
    <s v="479 391923 3304690 82861060 209164"/>
    <s v="123 391783 3301849 82857154 209162"/>
    <n v="1574960"/>
    <n v="11816"/>
    <m/>
    <m/>
    <n v="928275499"/>
    <n v="0"/>
    <n v="618858076"/>
    <n v="928275499"/>
    <n v="1547133575"/>
    <n v="58017218"/>
    <n v="0"/>
    <n v="38678629"/>
    <n v="58017218"/>
    <n v="96695848"/>
    <n v="28.596"/>
    <n v="15.2967"/>
    <n v="5283.83"/>
    <n v="3645.92"/>
    <n v="2930"/>
    <n v="428"/>
    <x v="0"/>
    <x v="4"/>
  </r>
  <r>
    <s v="istree_exp5_numerical_stability_vs_time/step10034.txt"/>
    <x v="0"/>
    <n v="72"/>
    <s v="reclaimer_debra"/>
    <s v="allocator_new"/>
    <s v="pool_none"/>
    <n v="32000"/>
    <n v="20"/>
    <n v="20"/>
    <n v="0"/>
    <n v="1"/>
    <n v="20000000"/>
    <n v="190"/>
    <n v="190"/>
    <n v="190"/>
    <n v="0"/>
    <s v="insertIfAbsent"/>
    <n v="100010116648679"/>
    <n v="10002016"/>
    <n v="100010116648679"/>
    <n v="10002016"/>
    <s v="success"/>
    <n v="7"/>
    <n v="1625833"/>
    <n v="11444433"/>
    <n v="13070266"/>
    <n v="10002016"/>
    <n v="8.0391200000000005"/>
    <n v="0.87396300000000005"/>
    <n v="1.76525"/>
    <n v="4.0000099999999996"/>
    <n v="313177552"/>
    <s v="887 781518 6591328 165295512 412623"/>
    <s v="247 781227 6585818 165287729 412616"/>
    <n v="3115458"/>
    <n v="23664"/>
    <m/>
    <m/>
    <n v="1852472851"/>
    <n v="0"/>
    <n v="1234898598"/>
    <n v="1852472851"/>
    <n v="3087371449"/>
    <n v="57889776"/>
    <n v="0"/>
    <n v="38590581"/>
    <n v="57889776"/>
    <n v="96480357"/>
    <n v="28.655200000000001"/>
    <n v="15.315"/>
    <n v="5312.27"/>
    <n v="3657.97"/>
    <n v="2945"/>
    <n v="403"/>
    <x v="0"/>
    <x v="5"/>
  </r>
  <r>
    <s v="istree_exp5_numerical_stability_vs_time/step10035.txt"/>
    <x v="0"/>
    <n v="72"/>
    <s v="reclaimer_debra"/>
    <s v="allocator_new"/>
    <s v="pool_none"/>
    <n v="64000"/>
    <n v="20"/>
    <n v="20"/>
    <n v="0"/>
    <n v="1"/>
    <n v="20000000"/>
    <n v="190"/>
    <n v="190"/>
    <n v="190"/>
    <n v="0"/>
    <s v="insertIfAbsent"/>
    <n v="100015990633544"/>
    <n v="10000903"/>
    <n v="100015990633544"/>
    <n v="10000903"/>
    <s v="success"/>
    <n v="7"/>
    <n v="1886371"/>
    <n v="11995753"/>
    <n v="13882124"/>
    <n v="10000903"/>
    <n v="7.3591699999999998"/>
    <n v="0.833704"/>
    <n v="1.7204200000000001"/>
    <n v="4.0519800000000004"/>
    <n v="342878128"/>
    <s v="1803 1560090 13167081 330350256 828306"/>
    <s v="493 1559551 13155877 330334435 828291"/>
    <n v="6187726"/>
    <n v="47264"/>
    <m/>
    <m/>
    <n v="3701924103"/>
    <n v="0"/>
    <n v="2467882664"/>
    <n v="3701924103"/>
    <n v="6169806767"/>
    <n v="57842564"/>
    <n v="0"/>
    <n v="38560666"/>
    <n v="57842564"/>
    <n v="96403230"/>
    <n v="28.677900000000001"/>
    <n v="15.31"/>
    <n v="5323.05"/>
    <n v="3670.98"/>
    <n v="2961"/>
    <n v="393"/>
    <x v="0"/>
    <x v="6"/>
  </r>
  <r>
    <s v="istree_exp5_numerical_stability_vs_time/step10036.txt"/>
    <x v="1"/>
    <m/>
    <s v="reclaimer_debra"/>
    <s v="allocator_new"/>
    <s v="pool_none"/>
    <n v="1000"/>
    <n v="20"/>
    <n v="20"/>
    <n v="0"/>
    <n v="1"/>
    <n v="20000000"/>
    <n v="190"/>
    <n v="190"/>
    <n v="190"/>
    <n v="0"/>
    <s v="insertIfAbsent"/>
    <n v="100014965746868"/>
    <n v="10002047"/>
    <n v="100014965746868"/>
    <n v="10002047"/>
    <s v="success"/>
    <n v="29"/>
    <n v="6697467"/>
    <n v="5073532"/>
    <n v="11770999"/>
    <n v="10002047"/>
    <n v="1.75753"/>
    <n v="1.97142"/>
    <n v="1.84972"/>
    <n v="23.1694"/>
    <n v="659175944"/>
    <m/>
    <m/>
    <m/>
    <s v="166 742"/>
    <m/>
    <m/>
    <n v="57872706"/>
    <n v="0"/>
    <n v="38574663"/>
    <n v="57872706"/>
    <n v="96447369"/>
    <n v="57872706"/>
    <n v="0"/>
    <n v="38574663"/>
    <n v="57872706"/>
    <n v="96447369"/>
    <n v="31.401299999999999"/>
    <n v="11.5093"/>
    <n v="5432.59"/>
    <n v="3815.61"/>
    <n v="1953"/>
    <n v="427"/>
    <x v="0"/>
    <x v="0"/>
  </r>
  <r>
    <s v="istree_exp5_numerical_stability_vs_time/step10037.txt"/>
    <x v="1"/>
    <m/>
    <s v="reclaimer_debra"/>
    <s v="allocator_new"/>
    <s v="pool_none"/>
    <n v="2000"/>
    <n v="20"/>
    <n v="20"/>
    <n v="0"/>
    <n v="1"/>
    <n v="20000000"/>
    <n v="190"/>
    <n v="190"/>
    <n v="190"/>
    <n v="0"/>
    <s v="insertIfAbsent"/>
    <n v="100019666825977"/>
    <n v="10001160"/>
    <n v="100019666825977"/>
    <n v="10001160"/>
    <s v="success"/>
    <n v="29"/>
    <n v="6835444"/>
    <n v="5183312"/>
    <n v="12018756"/>
    <n v="10001160"/>
    <n v="1.7583"/>
    <n v="1.9294899999999999"/>
    <n v="1.83213"/>
    <n v="23.256900000000002"/>
    <n v="673050336"/>
    <m/>
    <m/>
    <m/>
    <s v="168 1298"/>
    <m/>
    <m/>
    <n v="115210770"/>
    <n v="0"/>
    <n v="76803215"/>
    <n v="115210770"/>
    <n v="192013985"/>
    <n v="57605385"/>
    <n v="0"/>
    <n v="38401607"/>
    <n v="57605385"/>
    <n v="96006992"/>
    <n v="31.506399999999999"/>
    <n v="11.653700000000001"/>
    <n v="5492.01"/>
    <n v="3884.63"/>
    <n v="2059"/>
    <n v="429"/>
    <x v="0"/>
    <x v="1"/>
  </r>
  <r>
    <s v="istree_exp5_numerical_stability_vs_time/step10038.txt"/>
    <x v="1"/>
    <m/>
    <s v="reclaimer_debra"/>
    <s v="allocator_new"/>
    <s v="pool_none"/>
    <n v="4000"/>
    <n v="20"/>
    <n v="20"/>
    <n v="0"/>
    <n v="1"/>
    <n v="20000000"/>
    <n v="190"/>
    <n v="190"/>
    <n v="190"/>
    <n v="0"/>
    <s v="insertIfAbsent"/>
    <n v="99972187284734"/>
    <n v="9998732"/>
    <n v="99972187284734"/>
    <n v="9998732"/>
    <s v="success"/>
    <n v="29"/>
    <n v="6857525"/>
    <n v="5203246"/>
    <n v="12060771"/>
    <n v="9998732"/>
    <n v="1.7587600000000001"/>
    <n v="1.9216299999999999"/>
    <n v="1.8290299999999999"/>
    <n v="23.2835"/>
    <n v="675403176"/>
    <m/>
    <m/>
    <m/>
    <s v="166 2410"/>
    <m/>
    <m/>
    <n v="227393245"/>
    <n v="0"/>
    <n v="151598901"/>
    <n v="227393245"/>
    <n v="378992146"/>
    <n v="56848311"/>
    <n v="0"/>
    <n v="37899725"/>
    <n v="56848311"/>
    <n v="94748036"/>
    <n v="32.210500000000003"/>
    <n v="11.7845"/>
    <n v="5572.4"/>
    <n v="3979.69"/>
    <n v="2192"/>
    <n v="433"/>
    <x v="0"/>
    <x v="2"/>
  </r>
  <r>
    <s v="istree_exp5_numerical_stability_vs_time/step10039.txt"/>
    <x v="1"/>
    <m/>
    <s v="reclaimer_debra"/>
    <s v="allocator_new"/>
    <s v="pool_none"/>
    <n v="8000"/>
    <n v="20"/>
    <n v="20"/>
    <n v="0"/>
    <n v="1"/>
    <n v="20000000"/>
    <n v="190"/>
    <n v="190"/>
    <n v="190"/>
    <n v="0"/>
    <s v="insertIfAbsent"/>
    <n v="100034669499869"/>
    <n v="10000806"/>
    <n v="100034669499869"/>
    <n v="10000806"/>
    <s v="success"/>
    <n v="29"/>
    <n v="6857733"/>
    <n v="5202195"/>
    <n v="12059928"/>
    <n v="10000806"/>
    <n v="1.7585900000000001"/>
    <n v="1.92242"/>
    <n v="1.8292600000000001"/>
    <n v="23.2684"/>
    <n v="675355968"/>
    <m/>
    <m/>
    <m/>
    <s v="150 4592"/>
    <m/>
    <m/>
    <n v="451401712"/>
    <n v="0"/>
    <n v="300939234"/>
    <n v="451401712"/>
    <n v="752340946"/>
    <n v="56425214"/>
    <n v="0"/>
    <n v="37617404"/>
    <n v="56425214"/>
    <n v="94042618"/>
    <n v="32.004300000000001"/>
    <n v="11.9541"/>
    <n v="5612.01"/>
    <n v="4023.75"/>
    <n v="2345"/>
    <n v="427"/>
    <x v="0"/>
    <x v="3"/>
  </r>
  <r>
    <s v="istree_exp5_numerical_stability_vs_time/step10040.txt"/>
    <x v="1"/>
    <m/>
    <s v="reclaimer_debra"/>
    <s v="allocator_new"/>
    <s v="pool_none"/>
    <n v="16000"/>
    <n v="20"/>
    <n v="20"/>
    <n v="0"/>
    <n v="1"/>
    <n v="20000000"/>
    <n v="190"/>
    <n v="190"/>
    <n v="190"/>
    <n v="0"/>
    <s v="insertIfAbsent"/>
    <n v="100004166665346"/>
    <n v="10002755"/>
    <n v="100004166665346"/>
    <n v="10002755"/>
    <s v="success"/>
    <n v="29"/>
    <n v="6860175"/>
    <n v="5203432"/>
    <n v="12063607"/>
    <n v="10002755"/>
    <n v="1.7585"/>
    <n v="1.9223399999999999"/>
    <n v="1.82917"/>
    <n v="23.248699999999999"/>
    <n v="675561992"/>
    <m/>
    <m/>
    <m/>
    <s v="150 8884"/>
    <m/>
    <m/>
    <n v="888002778"/>
    <n v="0"/>
    <n v="591964536"/>
    <n v="888002778"/>
    <n v="1479967314"/>
    <n v="55500173"/>
    <n v="0"/>
    <n v="36997783"/>
    <n v="55500173"/>
    <n v="92497957"/>
    <n v="32.450699999999998"/>
    <n v="12.1379"/>
    <n v="5710.04"/>
    <n v="4107.79"/>
    <n v="2459"/>
    <n v="457"/>
    <x v="0"/>
    <x v="4"/>
  </r>
  <r>
    <s v="istree_exp5_numerical_stability_vs_time/step10041.txt"/>
    <x v="1"/>
    <m/>
    <s v="reclaimer_debra"/>
    <s v="allocator_new"/>
    <s v="pool_none"/>
    <n v="32000"/>
    <n v="20"/>
    <n v="20"/>
    <n v="0"/>
    <n v="1"/>
    <n v="20000000"/>
    <n v="190"/>
    <n v="190"/>
    <n v="190"/>
    <n v="0"/>
    <s v="insertIfAbsent"/>
    <n v="100014888483260"/>
    <n v="10000164"/>
    <n v="100014888483260"/>
    <n v="10000164"/>
    <s v="success"/>
    <n v="29"/>
    <n v="6858391"/>
    <n v="5204447"/>
    <n v="12062838"/>
    <n v="10000164"/>
    <n v="1.75884"/>
    <n v="1.92147"/>
    <n v="1.82901"/>
    <n v="23.282"/>
    <n v="675518928"/>
    <m/>
    <m/>
    <m/>
    <n v="17464"/>
    <m/>
    <m/>
    <n v="1757221260"/>
    <n v="0"/>
    <n v="1171560413"/>
    <n v="1757221260"/>
    <n v="2928781673"/>
    <n v="54913164"/>
    <n v="0"/>
    <n v="36611262"/>
    <n v="54913164"/>
    <n v="91524427"/>
    <n v="33.185099999999998"/>
    <n v="12.294499999999999"/>
    <n v="5771.56"/>
    <n v="4154.55"/>
    <n v="2511"/>
    <n v="450"/>
    <x v="0"/>
    <x v="5"/>
  </r>
  <r>
    <s v="istree_exp5_numerical_stability_vs_time/step10042.txt"/>
    <x v="1"/>
    <m/>
    <s v="reclaimer_debra"/>
    <s v="allocator_new"/>
    <s v="pool_none"/>
    <n v="64000"/>
    <n v="20"/>
    <n v="20"/>
    <n v="0"/>
    <n v="1"/>
    <n v="20000000"/>
    <n v="190"/>
    <n v="190"/>
    <n v="190"/>
    <n v="0"/>
    <s v="insertIfAbsent"/>
    <n v="100067774164102"/>
    <n v="10005051"/>
    <n v="100067774164102"/>
    <n v="10005051"/>
    <s v="success"/>
    <n v="29"/>
    <n v="6861369"/>
    <n v="5204217"/>
    <n v="12065586"/>
    <n v="10005051"/>
    <n v="1.75848"/>
    <n v="1.92249"/>
    <n v="1.8292200000000001"/>
    <n v="23.2044"/>
    <n v="675672816"/>
    <m/>
    <m/>
    <m/>
    <s v="168 34448"/>
    <m/>
    <m/>
    <n v="3495817991"/>
    <n v="0"/>
    <n v="2330558513"/>
    <n v="3495817991"/>
    <n v="5826376504"/>
    <n v="54622156"/>
    <n v="0"/>
    <n v="36414976"/>
    <n v="54622156"/>
    <n v="91037132"/>
    <n v="33.1404"/>
    <n v="12.432399999999999"/>
    <n v="5803.4"/>
    <n v="4182"/>
    <n v="2531"/>
    <n v="440"/>
    <x v="0"/>
    <x v="6"/>
  </r>
  <r>
    <s v="istree_exp5_numerical_stability_vs_time/step10043.txt"/>
    <x v="0"/>
    <n v="72"/>
    <s v="reclaimer_debra"/>
    <s v="allocator_new"/>
    <s v="pool_none"/>
    <n v="1000"/>
    <n v="0.5"/>
    <n v="0.5"/>
    <n v="0"/>
    <n v="1"/>
    <n v="20000000"/>
    <n v="190"/>
    <n v="190"/>
    <n v="190"/>
    <n v="0"/>
    <s v="insertIfAbsent"/>
    <n v="99998159463364"/>
    <n v="10000883"/>
    <n v="99998159463364"/>
    <n v="10000883"/>
    <s v="success"/>
    <n v="7"/>
    <n v="1903154"/>
    <n v="12025371"/>
    <n v="13928525"/>
    <n v="10000883"/>
    <n v="7.3186499999999999"/>
    <n v="0.83164899999999997"/>
    <n v="1.71801"/>
    <n v="4.0555000000000003"/>
    <n v="344689376"/>
    <s v="0 17 4229 360724 738"/>
    <s v="0 17 4229 360724 738"/>
    <n v="6"/>
    <n v="1664"/>
    <m/>
    <m/>
    <n v="264045566"/>
    <n v="0"/>
    <n v="2667247"/>
    <n v="264045566"/>
    <n v="266712813"/>
    <n v="264045566"/>
    <n v="0"/>
    <n v="2667247"/>
    <n v="264045566"/>
    <n v="266712813"/>
    <n v="15.9292"/>
    <n v="6.4836999999999998"/>
    <n v="1979.93"/>
    <n v="1222.58"/>
    <n v="1916"/>
    <n v="369"/>
    <x v="1"/>
    <x v="0"/>
  </r>
  <r>
    <s v="istree_exp5_numerical_stability_vs_time/step10044.txt"/>
    <x v="0"/>
    <n v="72"/>
    <s v="reclaimer_debra"/>
    <s v="allocator_new"/>
    <s v="pool_none"/>
    <n v="2000"/>
    <n v="0.5"/>
    <n v="0.5"/>
    <n v="0"/>
    <n v="1"/>
    <n v="20000000"/>
    <n v="190"/>
    <n v="190"/>
    <n v="190"/>
    <n v="0"/>
    <s v="insertIfAbsent"/>
    <n v="100028986580250"/>
    <n v="10002827"/>
    <n v="100028986580250"/>
    <n v="10002827"/>
    <s v="success"/>
    <n v="7"/>
    <n v="1659390"/>
    <n v="11512751"/>
    <n v="13172141"/>
    <n v="10002827"/>
    <n v="7.9379400000000002"/>
    <n v="0.86884799999999995"/>
    <n v="1.75939"/>
    <n v="4.0067199999999996"/>
    <n v="316955216"/>
    <s v="2 3163 26486 671165 1724"/>
    <s v="1 3163 26482 671162 1724"/>
    <n v="2584"/>
    <n v="3132"/>
    <m/>
    <m/>
    <n v="508569913"/>
    <n v="0"/>
    <n v="5141593"/>
    <n v="508569913"/>
    <n v="513711506"/>
    <n v="254284956"/>
    <n v="0"/>
    <n v="2570796"/>
    <n v="254284956"/>
    <n v="256855753"/>
    <n v="16.1431"/>
    <n v="6.5848800000000001"/>
    <n v="2001.99"/>
    <n v="1240.3499999999999"/>
    <n v="2596"/>
    <n v="397"/>
    <x v="1"/>
    <x v="1"/>
  </r>
  <r>
    <s v="istree_exp5_numerical_stability_vs_time/step10045.txt"/>
    <x v="0"/>
    <n v="72"/>
    <s v="reclaimer_debra"/>
    <s v="allocator_new"/>
    <s v="pool_none"/>
    <n v="4000"/>
    <n v="0.5"/>
    <n v="0.5"/>
    <n v="0"/>
    <n v="1"/>
    <n v="20000000"/>
    <n v="190"/>
    <n v="190"/>
    <n v="190"/>
    <n v="0"/>
    <s v="insertIfAbsent"/>
    <n v="99982725658371"/>
    <n v="9998836"/>
    <n v="99982725658371"/>
    <n v="9998836"/>
    <s v="success"/>
    <n v="7"/>
    <n v="1641720"/>
    <n v="11473081"/>
    <n v="13114801"/>
    <n v="9998836"/>
    <n v="7.9884500000000003"/>
    <n v="0.87150399999999995"/>
    <n v="1.76241"/>
    <n v="4.00319"/>
    <n v="314906880"/>
    <s v="3 6326 53177 1339953 3399"/>
    <s v="2 6326 53173 1339952 3399"/>
    <n v="5280"/>
    <n v="6198"/>
    <m/>
    <m/>
    <n v="995640567"/>
    <n v="0"/>
    <n v="10060465"/>
    <n v="995640567"/>
    <n v="1005701032"/>
    <n v="248910141"/>
    <n v="0"/>
    <n v="2515116"/>
    <n v="248910141"/>
    <n v="251425258"/>
    <n v="16.2437"/>
    <n v="6.6146000000000003"/>
    <n v="2049.27"/>
    <n v="1276.73"/>
    <n v="2734"/>
    <n v="406"/>
    <x v="1"/>
    <x v="2"/>
  </r>
  <r>
    <s v="istree_exp5_numerical_stability_vs_time/step10046.txt"/>
    <x v="0"/>
    <n v="72"/>
    <s v="reclaimer_debra"/>
    <s v="allocator_new"/>
    <s v="pool_none"/>
    <n v="8000"/>
    <n v="0.5"/>
    <n v="0.5"/>
    <n v="0"/>
    <n v="1"/>
    <n v="20000000"/>
    <n v="190"/>
    <n v="190"/>
    <n v="190"/>
    <n v="0"/>
    <s v="insertIfAbsent"/>
    <n v="99963073237890"/>
    <n v="9997351"/>
    <n v="99963073237890"/>
    <n v="9997351"/>
    <s v="success"/>
    <n v="7"/>
    <n v="1647170"/>
    <n v="11483310"/>
    <n v="13130480"/>
    <n v="9997351"/>
    <n v="7.9715400000000001"/>
    <n v="0.87059799999999998"/>
    <n v="1.76139"/>
    <n v="4.0043800000000003"/>
    <n v="315506544"/>
    <s v="4 12652 106580 2677918 6518"/>
    <s v="4 12652 106572 2677910 6518"/>
    <n v="9848"/>
    <n v="12364"/>
    <m/>
    <m/>
    <n v="1988369360"/>
    <n v="0"/>
    <n v="20086196"/>
    <n v="1988369360"/>
    <n v="2008455556"/>
    <n v="248546170"/>
    <n v="0"/>
    <n v="2510774"/>
    <n v="248546170"/>
    <n v="251056944"/>
    <n v="16.2212"/>
    <n v="6.6342800000000004"/>
    <n v="2069.0300000000002"/>
    <n v="1291.54"/>
    <n v="2782"/>
    <n v="385"/>
    <x v="1"/>
    <x v="3"/>
  </r>
  <r>
    <s v="istree_exp5_numerical_stability_vs_time/step10047.txt"/>
    <x v="0"/>
    <n v="72"/>
    <s v="reclaimer_debra"/>
    <s v="allocator_new"/>
    <s v="pool_none"/>
    <n v="16000"/>
    <n v="0.5"/>
    <n v="0.5"/>
    <n v="0"/>
    <n v="1"/>
    <n v="20000000"/>
    <n v="190"/>
    <n v="190"/>
    <n v="190"/>
    <n v="0"/>
    <s v="insertIfAbsent"/>
    <n v="99947681666817"/>
    <n v="9994827"/>
    <n v="99947681666817"/>
    <n v="9994827"/>
    <s v="success"/>
    <n v="7"/>
    <n v="1829631"/>
    <n v="11862801"/>
    <n v="13692432"/>
    <n v="9994827"/>
    <n v="7.4837100000000003"/>
    <n v="0.84253500000000003"/>
    <n v="1.7299500000000001"/>
    <n v="4.0417199999999998"/>
    <n v="336182608"/>
    <s v="8 25301 212973 5349635 13349"/>
    <s v="7 25301 212960 5349627 13349"/>
    <n v="18461"/>
    <n v="24528"/>
    <m/>
    <m/>
    <n v="3954547788"/>
    <n v="0"/>
    <n v="39953810"/>
    <n v="3954547788"/>
    <n v="3994501598"/>
    <n v="247159236"/>
    <n v="0"/>
    <n v="2497113"/>
    <n v="247159236"/>
    <n v="249656349"/>
    <n v="16.325399999999998"/>
    <n v="6.6433799999999996"/>
    <n v="2087.69"/>
    <n v="1313.37"/>
    <n v="2731"/>
    <n v="416"/>
    <x v="1"/>
    <x v="4"/>
  </r>
  <r>
    <s v="istree_exp5_numerical_stability_vs_time/step10048.txt"/>
    <x v="0"/>
    <n v="72"/>
    <s v="reclaimer_debra"/>
    <s v="allocator_new"/>
    <s v="pool_none"/>
    <n v="32000"/>
    <n v="0.5"/>
    <n v="0.5"/>
    <n v="0"/>
    <n v="1"/>
    <n v="20000000"/>
    <n v="190"/>
    <n v="190"/>
    <n v="190"/>
    <n v="0"/>
    <s v="insertIfAbsent"/>
    <n v="99999475089589"/>
    <n v="10000383"/>
    <n v="99999475089589"/>
    <n v="10000383"/>
    <s v="success"/>
    <n v="7"/>
    <n v="1697094"/>
    <n v="11586364"/>
    <n v="13283458"/>
    <n v="10000383"/>
    <n v="7.8271800000000002"/>
    <n v="0.86311700000000002"/>
    <n v="1.75284"/>
    <n v="4.0142600000000002"/>
    <n v="321149440"/>
    <s v="18 50615 426027 10720622 26509"/>
    <s v="16 50613 425996 10720598 26509"/>
    <n v="37849"/>
    <n v="49672"/>
    <m/>
    <m/>
    <n v="7954788171"/>
    <n v="0"/>
    <n v="80343432"/>
    <n v="7954788171"/>
    <n v="8035131603"/>
    <n v="248587130"/>
    <n v="0"/>
    <n v="2510732"/>
    <n v="248587130"/>
    <n v="251097862"/>
    <n v="16.327500000000001"/>
    <n v="6.6603300000000001"/>
    <n v="2079.17"/>
    <n v="1305.53"/>
    <n v="2770"/>
    <n v="427"/>
    <x v="1"/>
    <x v="5"/>
  </r>
  <r>
    <s v="istree_exp5_numerical_stability_vs_time/step10049.txt"/>
    <x v="0"/>
    <n v="72"/>
    <s v="reclaimer_debra"/>
    <s v="allocator_new"/>
    <s v="pool_none"/>
    <n v="64000"/>
    <n v="0.5"/>
    <n v="0.5"/>
    <n v="0"/>
    <n v="1"/>
    <n v="20000000"/>
    <n v="190"/>
    <n v="190"/>
    <n v="190"/>
    <n v="0"/>
    <s v="insertIfAbsent"/>
    <n v="100031023042845"/>
    <n v="10000648"/>
    <n v="100031023042845"/>
    <n v="10000648"/>
    <s v="success"/>
    <n v="7"/>
    <n v="1685228"/>
    <n v="11562413"/>
    <n v="13247641"/>
    <n v="10000648"/>
    <n v="7.86104"/>
    <n v="0.864927"/>
    <n v="1.7548999999999999"/>
    <n v="4.0118900000000002"/>
    <n v="319816896"/>
    <s v="32 101221 853495 21420032 53610"/>
    <s v="32 101215 853454 21419983 53610"/>
    <n v="75233"/>
    <n v="99156"/>
    <m/>
    <m/>
    <n v="15862871639"/>
    <n v="0"/>
    <n v="160238071"/>
    <n v="15862871639"/>
    <n v="16023109710"/>
    <n v="247857369"/>
    <n v="0"/>
    <n v="2503719"/>
    <n v="247857369"/>
    <n v="250361089"/>
    <n v="16.3644"/>
    <n v="6.6663500000000004"/>
    <n v="2086.08"/>
    <n v="1313.47"/>
    <n v="2774"/>
    <n v="343"/>
    <x v="1"/>
    <x v="6"/>
  </r>
  <r>
    <s v="istree_exp5_numerical_stability_vs_time/step10050.txt"/>
    <x v="1"/>
    <m/>
    <s v="reclaimer_debra"/>
    <s v="allocator_new"/>
    <s v="pool_none"/>
    <n v="1000"/>
    <n v="0.5"/>
    <n v="0.5"/>
    <n v="0"/>
    <n v="1"/>
    <n v="20000000"/>
    <n v="190"/>
    <n v="190"/>
    <n v="190"/>
    <n v="0"/>
    <s v="insertIfAbsent"/>
    <n v="100012211489050"/>
    <n v="10001194"/>
    <n v="100012211489050"/>
    <n v="10001194"/>
    <s v="success"/>
    <n v="29"/>
    <n v="5779739"/>
    <n v="4339102"/>
    <n v="10118841"/>
    <n v="10001194"/>
    <n v="1.75074"/>
    <n v="2.3048999999999999"/>
    <n v="1.98837"/>
    <n v="22.7013"/>
    <n v="566655096"/>
    <m/>
    <m/>
    <m/>
    <n v="836"/>
    <m/>
    <m/>
    <n v="112769055"/>
    <n v="0"/>
    <n v="1139961"/>
    <n v="112769055"/>
    <n v="113909016"/>
    <n v="112769055"/>
    <n v="0"/>
    <n v="1139961"/>
    <n v="112769055"/>
    <n v="113909016"/>
    <n v="28.665099999999999"/>
    <n v="10.4587"/>
    <n v="4603.08"/>
    <n v="3248.04"/>
    <n v="1762"/>
    <n v="433"/>
    <x v="1"/>
    <x v="0"/>
  </r>
  <r>
    <s v="istree_exp5_numerical_stability_vs_time/step10051.txt"/>
    <x v="1"/>
    <m/>
    <s v="reclaimer_debra"/>
    <s v="allocator_new"/>
    <s v="pool_none"/>
    <n v="2000"/>
    <n v="0.5"/>
    <n v="0.5"/>
    <n v="0"/>
    <n v="1"/>
    <n v="20000000"/>
    <n v="190"/>
    <n v="190"/>
    <n v="190"/>
    <n v="0"/>
    <s v="insertIfAbsent"/>
    <n v="100031613149026"/>
    <n v="10000673"/>
    <n v="100031613149026"/>
    <n v="10000673"/>
    <s v="success"/>
    <n v="29"/>
    <n v="5842552"/>
    <n v="4390440"/>
    <n v="10232992"/>
    <n v="10000673"/>
    <n v="1.75146"/>
    <n v="2.2778299999999998"/>
    <n v="1.9773000000000001"/>
    <n v="22.7621"/>
    <n v="573047552"/>
    <m/>
    <m/>
    <m/>
    <s v="170 1524"/>
    <m/>
    <m/>
    <n v="228539748"/>
    <n v="0"/>
    <n v="2307483"/>
    <n v="228539748"/>
    <n v="230847231"/>
    <n v="114269874"/>
    <n v="0"/>
    <n v="1153741"/>
    <n v="114269874"/>
    <n v="115423615"/>
    <n v="28.585899999999999"/>
    <n v="10.5718"/>
    <n v="4569.5200000000004"/>
    <n v="3215"/>
    <n v="1770"/>
    <n v="453"/>
    <x v="1"/>
    <x v="1"/>
  </r>
  <r>
    <s v="istree_exp5_numerical_stability_vs_time/step10052.txt"/>
    <x v="1"/>
    <m/>
    <s v="reclaimer_debra"/>
    <s v="allocator_new"/>
    <s v="pool_none"/>
    <n v="4000"/>
    <n v="0.5"/>
    <n v="0.5"/>
    <n v="0"/>
    <n v="1"/>
    <n v="20000000"/>
    <n v="190"/>
    <n v="190"/>
    <n v="190"/>
    <n v="0"/>
    <s v="insertIfAbsent"/>
    <n v="99991022118329"/>
    <n v="9998743"/>
    <n v="99991022118329"/>
    <n v="9998743"/>
    <s v="success"/>
    <n v="29"/>
    <n v="5952731"/>
    <n v="4482292"/>
    <n v="10435023"/>
    <n v="9998743"/>
    <n v="1.75298"/>
    <n v="2.2307199999999998"/>
    <n v="1.9581900000000001"/>
    <n v="22.790099999999999"/>
    <n v="584361288"/>
    <m/>
    <m/>
    <m/>
    <s v="166 2884"/>
    <m/>
    <m/>
    <n v="456763699"/>
    <n v="0"/>
    <n v="4611323"/>
    <n v="456763699"/>
    <n v="461375022"/>
    <n v="114190924"/>
    <n v="0"/>
    <n v="1152830"/>
    <n v="114190924"/>
    <n v="115343755"/>
    <n v="28.6814"/>
    <n v="10.649699999999999"/>
    <n v="4581.7299999999996"/>
    <n v="3207.87"/>
    <n v="1782"/>
    <n v="445"/>
    <x v="1"/>
    <x v="2"/>
  </r>
  <r>
    <s v="istree_exp5_numerical_stability_vs_time/step10053.txt"/>
    <x v="1"/>
    <m/>
    <s v="reclaimer_debra"/>
    <s v="allocator_new"/>
    <s v="pool_none"/>
    <n v="8000"/>
    <n v="0.5"/>
    <n v="0.5"/>
    <n v="0"/>
    <n v="1"/>
    <n v="20000000"/>
    <n v="190"/>
    <n v="190"/>
    <n v="190"/>
    <n v="0"/>
    <s v="insertIfAbsent"/>
    <n v="100032659352433"/>
    <n v="10000536"/>
    <n v="100032659352433"/>
    <n v="10000536"/>
    <s v="success"/>
    <n v="29"/>
    <n v="6141346"/>
    <n v="4633779"/>
    <n v="10775125"/>
    <n v="10000536"/>
    <n v="1.7545200000000001"/>
    <n v="2.1581800000000002"/>
    <n v="1.92811"/>
    <n v="22.865200000000002"/>
    <n v="603407000"/>
    <m/>
    <m/>
    <m/>
    <s v="166 5580"/>
    <m/>
    <m/>
    <n v="908481616"/>
    <n v="0"/>
    <n v="9177305"/>
    <n v="908481616"/>
    <n v="917658921"/>
    <n v="113560202"/>
    <n v="0"/>
    <n v="1147163"/>
    <n v="113560202"/>
    <n v="114707365"/>
    <n v="28.727599999999999"/>
    <n v="10.7377"/>
    <n v="4603.1000000000004"/>
    <n v="3236.79"/>
    <n v="1804"/>
    <n v="447"/>
    <x v="1"/>
    <x v="3"/>
  </r>
  <r>
    <s v="istree_exp5_numerical_stability_vs_time/step10054.txt"/>
    <x v="1"/>
    <m/>
    <s v="reclaimer_debra"/>
    <s v="allocator_new"/>
    <s v="pool_none"/>
    <n v="16000"/>
    <n v="0.5"/>
    <n v="0.5"/>
    <n v="0"/>
    <n v="1"/>
    <n v="20000000"/>
    <n v="190"/>
    <n v="190"/>
    <n v="190"/>
    <n v="0"/>
    <s v="insertIfAbsent"/>
    <n v="99992133803743"/>
    <n v="9999536"/>
    <n v="99992133803743"/>
    <n v="9999536"/>
    <s v="success"/>
    <n v="29"/>
    <n v="6406833"/>
    <n v="4844197"/>
    <n v="11251030"/>
    <n v="9999536"/>
    <n v="1.7561"/>
    <n v="2.0642299999999998"/>
    <n v="1.8887700000000001"/>
    <n v="23.1084"/>
    <n v="630057680"/>
    <m/>
    <m/>
    <m/>
    <s v="164 10966"/>
    <m/>
    <m/>
    <n v="1808291232"/>
    <n v="0"/>
    <n v="18264415"/>
    <n v="1808291232"/>
    <n v="1826555647"/>
    <n v="113018202"/>
    <n v="0"/>
    <n v="1141525"/>
    <n v="113018202"/>
    <n v="114159727"/>
    <n v="29.032599999999999"/>
    <n v="10.811400000000001"/>
    <n v="4620.95"/>
    <n v="3255.2"/>
    <n v="1836"/>
    <n v="431"/>
    <x v="1"/>
    <x v="4"/>
  </r>
  <r>
    <s v="istree_exp5_numerical_stability_vs_time/step10055.txt"/>
    <x v="1"/>
    <m/>
    <s v="reclaimer_debra"/>
    <s v="allocator_new"/>
    <s v="pool_none"/>
    <n v="32000"/>
    <n v="0.5"/>
    <n v="0.5"/>
    <n v="0"/>
    <n v="1"/>
    <n v="20000000"/>
    <n v="190"/>
    <n v="190"/>
    <n v="190"/>
    <n v="0"/>
    <s v="insertIfAbsent"/>
    <n v="100031129123917"/>
    <n v="10001850"/>
    <n v="100031129123917"/>
    <n v="10001850"/>
    <s v="success"/>
    <n v="29"/>
    <n v="6678876"/>
    <n v="5059069"/>
    <n v="11737945"/>
    <n v="10001850"/>
    <n v="1.7574700000000001"/>
    <n v="1.9770099999999999"/>
    <n v="1.8521000000000001"/>
    <n v="23.172499999999999"/>
    <n v="657324920"/>
    <m/>
    <m/>
    <m/>
    <s v="168 21652"/>
    <m/>
    <m/>
    <n v="3598133473"/>
    <n v="0"/>
    <n v="36341605"/>
    <n v="3598133473"/>
    <n v="3634475078"/>
    <n v="112441671"/>
    <n v="0"/>
    <n v="1135675"/>
    <n v="112441671"/>
    <n v="113577346"/>
    <n v="29.376799999999999"/>
    <n v="10.910600000000001"/>
    <n v="4643.8500000000004"/>
    <n v="3276.52"/>
    <n v="1867"/>
    <n v="433"/>
    <x v="1"/>
    <x v="5"/>
  </r>
  <r>
    <s v="istree_exp5_numerical_stability_vs_time/step10056.txt"/>
    <x v="1"/>
    <m/>
    <s v="reclaimer_debra"/>
    <s v="allocator_new"/>
    <s v="pool_none"/>
    <n v="64000"/>
    <n v="0.5"/>
    <n v="0.5"/>
    <n v="0"/>
    <n v="1"/>
    <n v="20000000"/>
    <n v="190"/>
    <n v="190"/>
    <n v="190"/>
    <n v="0"/>
    <s v="insertIfAbsent"/>
    <n v="100001437009600"/>
    <n v="9998446"/>
    <n v="100001437009600"/>
    <n v="9998446"/>
    <s v="success"/>
    <n v="29"/>
    <n v="6829855"/>
    <n v="5178099"/>
    <n v="12007954"/>
    <n v="9998446"/>
    <n v="1.7581599999999999"/>
    <n v="1.9309099999999999"/>
    <n v="1.8326499999999999"/>
    <n v="23.234100000000002"/>
    <n v="672445424"/>
    <m/>
    <m/>
    <m/>
    <s v="168 42794"/>
    <m/>
    <m/>
    <n v="7141470289"/>
    <n v="0"/>
    <n v="72135622"/>
    <n v="7141470289"/>
    <n v="7213605911"/>
    <n v="111585473"/>
    <n v="0"/>
    <n v="1127119"/>
    <n v="111585473"/>
    <n v="112712592"/>
    <n v="29.082699999999999"/>
    <n v="10.997999999999999"/>
    <n v="4676.92"/>
    <n v="3304.24"/>
    <n v="1886"/>
    <n v="442"/>
    <x v="1"/>
    <x v="6"/>
  </r>
  <r>
    <s v="istree_exp5_numerical_stability_vs_time/step10057.txt"/>
    <x v="0"/>
    <n v="72"/>
    <s v="reclaimer_debra"/>
    <s v="allocator_new"/>
    <s v="pool_none"/>
    <n v="1000"/>
    <n v="20"/>
    <n v="20"/>
    <n v="0"/>
    <n v="1"/>
    <n v="20000000"/>
    <n v="190"/>
    <n v="190"/>
    <n v="190"/>
    <n v="0"/>
    <s v="insertIfAbsent"/>
    <n v="100016599489269"/>
    <n v="10000607"/>
    <n v="100016599489269"/>
    <n v="10000607"/>
    <s v="success"/>
    <n v="7"/>
    <n v="1844924"/>
    <n v="11894262"/>
    <n v="13739186"/>
    <n v="10000607"/>
    <n v="7.4470200000000002"/>
    <n v="0.84079300000000001"/>
    <n v="1.7278899999999999"/>
    <n v="4.0438799999999997"/>
    <n v="337909872"/>
    <s v="23 22146 185820 4826155 11818"/>
    <s v="7 22141 185673 4825891 11818"/>
    <n v="88579"/>
    <n v="696"/>
    <m/>
    <m/>
    <n v="54708443"/>
    <n v="0"/>
    <n v="36467320"/>
    <n v="54708443"/>
    <n v="91175763"/>
    <n v="54708443"/>
    <n v="0"/>
    <n v="36467320"/>
    <n v="54708443"/>
    <n v="91175763"/>
    <n v="28.2011"/>
    <n v="14.885199999999999"/>
    <n v="5113.84"/>
    <n v="3496.96"/>
    <n v="2848"/>
    <n v="345"/>
    <x v="0"/>
    <x v="0"/>
  </r>
  <r>
    <s v="istree_exp5_numerical_stability_vs_time/step10058.txt"/>
    <x v="0"/>
    <n v="72"/>
    <s v="reclaimer_debra"/>
    <s v="allocator_new"/>
    <s v="pool_none"/>
    <n v="2000"/>
    <n v="20"/>
    <n v="20"/>
    <n v="0"/>
    <n v="1"/>
    <n v="20000000"/>
    <n v="190"/>
    <n v="190"/>
    <n v="190"/>
    <n v="0"/>
    <s v="insertIfAbsent"/>
    <n v="99962456587998"/>
    <n v="9998076"/>
    <n v="99962456587998"/>
    <n v="9998076"/>
    <s v="success"/>
    <n v="7"/>
    <n v="1769233"/>
    <n v="11737906"/>
    <n v="13507139"/>
    <n v="9998076"/>
    <n v="7.6344599999999998"/>
    <n v="0.85177700000000001"/>
    <n v="1.74021"/>
    <n v="4.0294699999999999"/>
    <n v="329347664"/>
    <s v="45 47431 399682 9961590 25002"/>
    <s v="14 47418 399316 9961135 25000"/>
    <n v="186882"/>
    <n v="1410"/>
    <m/>
    <m/>
    <n v="111603747"/>
    <n v="0"/>
    <n v="74408542"/>
    <n v="111603747"/>
    <n v="186012289"/>
    <n v="55801873"/>
    <n v="0"/>
    <n v="37204271"/>
    <n v="55801873"/>
    <n v="93006144"/>
    <n v="28.438400000000001"/>
    <n v="15.086399999999999"/>
    <n v="5185.8599999999997"/>
    <n v="3560.21"/>
    <n v="2879"/>
    <n v="376"/>
    <x v="0"/>
    <x v="1"/>
  </r>
  <r>
    <s v="istree_exp5_numerical_stability_vs_time/step10059.txt"/>
    <x v="0"/>
    <n v="72"/>
    <s v="reclaimer_debra"/>
    <s v="allocator_new"/>
    <s v="pool_none"/>
    <n v="4000"/>
    <n v="20"/>
    <n v="20"/>
    <n v="0"/>
    <n v="1"/>
    <n v="20000000"/>
    <n v="190"/>
    <n v="190"/>
    <n v="190"/>
    <n v="0"/>
    <s v="insertIfAbsent"/>
    <n v="99957611099651"/>
    <n v="9996539"/>
    <n v="99957611099651"/>
    <n v="9996539"/>
    <s v="success"/>
    <n v="7"/>
    <n v="1856212"/>
    <n v="11929507"/>
    <n v="13785719"/>
    <n v="9996539"/>
    <n v="7.4268000000000001"/>
    <n v="0.83796700000000002"/>
    <n v="1.7251399999999999"/>
    <n v="4.0460500000000001"/>
    <n v="339403632"/>
    <s v="97 95551 814885 20559976 51917"/>
    <s v="30 95516 814196 20558943 51916"/>
    <n v="382270"/>
    <n v="2922"/>
    <m/>
    <m/>
    <n v="229889199"/>
    <n v="0"/>
    <n v="153280356"/>
    <n v="229889199"/>
    <n v="383169555"/>
    <n v="57472299"/>
    <n v="0"/>
    <n v="38320089"/>
    <n v="57472299"/>
    <n v="95792388"/>
    <n v="28.482800000000001"/>
    <n v="15.17"/>
    <n v="5249.85"/>
    <n v="3600.74"/>
    <n v="2913"/>
    <n v="373"/>
    <x v="0"/>
    <x v="2"/>
  </r>
  <r>
    <s v="istree_exp5_numerical_stability_vs_time/step10060.txt"/>
    <x v="0"/>
    <n v="72"/>
    <s v="reclaimer_debra"/>
    <s v="allocator_new"/>
    <s v="pool_none"/>
    <n v="8000"/>
    <n v="20"/>
    <n v="20"/>
    <n v="0"/>
    <n v="1"/>
    <n v="20000000"/>
    <n v="190"/>
    <n v="190"/>
    <n v="190"/>
    <n v="0"/>
    <s v="insertIfAbsent"/>
    <n v="99972177904792"/>
    <n v="9997102"/>
    <n v="99972177904792"/>
    <n v="9997102"/>
    <s v="success"/>
    <n v="7"/>
    <n v="1696914"/>
    <n v="11583435"/>
    <n v="13280349"/>
    <n v="9997102"/>
    <n v="7.8261799999999999"/>
    <n v="0.86305200000000004"/>
    <n v="1.7527699999999999"/>
    <n v="4.0143300000000002"/>
    <n v="321088192"/>
    <s v="227 192990 1625931 40833941 102817"/>
    <s v="61 192928 1624541 40831964 102812"/>
    <n v="764345"/>
    <n v="5818"/>
    <m/>
    <m/>
    <n v="457866445"/>
    <n v="0"/>
    <n v="305284482"/>
    <n v="457866445"/>
    <n v="763150927"/>
    <n v="57233305"/>
    <n v="0"/>
    <n v="38160560"/>
    <n v="57233305"/>
    <n v="95393865"/>
    <n v="28.628699999999998"/>
    <n v="15.2944"/>
    <n v="5337.77"/>
    <n v="3681.68"/>
    <n v="2921"/>
    <n v="440"/>
    <x v="0"/>
    <x v="3"/>
  </r>
  <r>
    <s v="istree_exp5_numerical_stability_vs_time/step10061.txt"/>
    <x v="0"/>
    <n v="72"/>
    <s v="reclaimer_debra"/>
    <s v="allocator_new"/>
    <s v="pool_none"/>
    <n v="16000"/>
    <n v="20"/>
    <n v="20"/>
    <n v="0"/>
    <n v="1"/>
    <n v="20000000"/>
    <n v="190"/>
    <n v="190"/>
    <n v="190"/>
    <n v="0"/>
    <s v="insertIfAbsent"/>
    <n v="100025602530740"/>
    <n v="10003624"/>
    <n v="100025602530740"/>
    <n v="10003624"/>
    <s v="success"/>
    <n v="7"/>
    <n v="1770294"/>
    <n v="11752978"/>
    <n v="13523272"/>
    <n v="10003624"/>
    <n v="7.6390000000000002"/>
    <n v="0.85115700000000005"/>
    <n v="1.73973"/>
    <n v="4.0287800000000002"/>
    <n v="329688784"/>
    <s v="453 391094 3305982 82844468 208445"/>
    <s v="123 390955 3303133 82840597 208441"/>
    <n v="1558306"/>
    <n v="11824"/>
    <m/>
    <m/>
    <n v="927990100"/>
    <n v="0"/>
    <n v="618620688"/>
    <n v="927990100"/>
    <n v="1546610788"/>
    <n v="57999381"/>
    <n v="0"/>
    <n v="38663793"/>
    <n v="57999381"/>
    <n v="96663174"/>
    <n v="28.640899999999998"/>
    <n v="15.288600000000001"/>
    <n v="5289.83"/>
    <n v="3638.97"/>
    <n v="2933"/>
    <n v="282"/>
    <x v="0"/>
    <x v="4"/>
  </r>
  <r>
    <s v="istree_exp5_numerical_stability_vs_time/step10062.txt"/>
    <x v="0"/>
    <n v="72"/>
    <s v="reclaimer_debra"/>
    <s v="allocator_new"/>
    <s v="pool_none"/>
    <n v="32000"/>
    <n v="20"/>
    <n v="20"/>
    <n v="0"/>
    <n v="1"/>
    <n v="20000000"/>
    <n v="190"/>
    <n v="190"/>
    <n v="190"/>
    <n v="0"/>
    <s v="insertIfAbsent"/>
    <n v="100005163935481"/>
    <n v="9999131"/>
    <n v="100005163935481"/>
    <n v="9999131"/>
    <s v="success"/>
    <n v="7"/>
    <n v="1773651"/>
    <n v="11755998"/>
    <n v="13529649"/>
    <n v="9999131"/>
    <n v="7.6281299999999996"/>
    <n v="0.85055599999999998"/>
    <n v="1.73905"/>
    <n v="4.02963"/>
    <n v="330007024"/>
    <s v="924 783345 6611186 165822883 417208"/>
    <s v="247 783099 6605466 165814978 417200"/>
    <n v="3124900"/>
    <n v="23664"/>
    <m/>
    <m/>
    <n v="1857841499"/>
    <n v="0"/>
    <n v="1238590424"/>
    <n v="1857841499"/>
    <n v="3096431923"/>
    <n v="58057546"/>
    <n v="0"/>
    <n v="38705950"/>
    <n v="58057546"/>
    <n v="96763497"/>
    <n v="28.6252"/>
    <n v="15.3012"/>
    <n v="5294.06"/>
    <n v="3641.61"/>
    <n v="2942"/>
    <n v="446"/>
    <x v="0"/>
    <x v="5"/>
  </r>
  <r>
    <s v="istree_exp5_numerical_stability_vs_time/step10063.txt"/>
    <x v="0"/>
    <n v="72"/>
    <s v="reclaimer_debra"/>
    <s v="allocator_new"/>
    <s v="pool_none"/>
    <n v="64000"/>
    <n v="20"/>
    <n v="20"/>
    <n v="0"/>
    <n v="1"/>
    <n v="20000000"/>
    <n v="190"/>
    <n v="190"/>
    <n v="190"/>
    <n v="0"/>
    <s v="insertIfAbsent"/>
    <n v="99952239207329"/>
    <n v="9997068"/>
    <n v="99952239207329"/>
    <n v="9997068"/>
    <s v="success"/>
    <n v="7"/>
    <n v="1777793"/>
    <n v="11749622"/>
    <n v="13527415"/>
    <n v="9997068"/>
    <n v="7.6091100000000003"/>
    <n v="0.85084199999999999"/>
    <n v="1.73902"/>
    <n v="4.0305200000000001"/>
    <n v="330218816"/>
    <s v="1890 1569284 13225475 331986005 834355"/>
    <s v="496 1568777 13214009 331969978 834344"/>
    <n v="6276586"/>
    <n v="47334"/>
    <m/>
    <m/>
    <n v="3720943886"/>
    <n v="0"/>
    <n v="2480647580"/>
    <n v="3720943886"/>
    <n v="6201591466"/>
    <n v="58139748"/>
    <n v="0"/>
    <n v="38760118"/>
    <n v="58139748"/>
    <n v="96899866"/>
    <n v="28.6404"/>
    <n v="15.317399999999999"/>
    <n v="5300.28"/>
    <n v="3657.47"/>
    <n v="2962"/>
    <n v="398"/>
    <x v="0"/>
    <x v="6"/>
  </r>
  <r>
    <s v="istree_exp5_numerical_stability_vs_time/step10064.txt"/>
    <x v="1"/>
    <m/>
    <s v="reclaimer_debra"/>
    <s v="allocator_new"/>
    <s v="pool_none"/>
    <n v="1000"/>
    <n v="20"/>
    <n v="20"/>
    <n v="0"/>
    <n v="1"/>
    <n v="20000000"/>
    <n v="190"/>
    <n v="190"/>
    <n v="190"/>
    <n v="0"/>
    <s v="insertIfAbsent"/>
    <n v="99981837849922"/>
    <n v="9996846"/>
    <n v="99981837849922"/>
    <n v="9996846"/>
    <s v="success"/>
    <n v="29"/>
    <n v="6690137"/>
    <n v="5069198"/>
    <n v="11759335"/>
    <n v="9996846"/>
    <n v="1.7577100000000001"/>
    <n v="1.9720800000000001"/>
    <n v="1.85012"/>
    <n v="23.203199999999999"/>
    <n v="658522760"/>
    <m/>
    <m/>
    <m/>
    <s v="168 740"/>
    <m/>
    <m/>
    <n v="57717558"/>
    <n v="0"/>
    <n v="38467976"/>
    <n v="57717558"/>
    <n v="96185534"/>
    <n v="57717558"/>
    <n v="0"/>
    <n v="38467976"/>
    <n v="57717558"/>
    <n v="96185534"/>
    <n v="31.25"/>
    <n v="11.5029"/>
    <n v="5439.67"/>
    <n v="3827.49"/>
    <n v="1951"/>
    <n v="429"/>
    <x v="0"/>
    <x v="0"/>
  </r>
  <r>
    <s v="istree_exp5_numerical_stability_vs_time/step10065.txt"/>
    <x v="1"/>
    <m/>
    <s v="reclaimer_debra"/>
    <s v="allocator_new"/>
    <s v="pool_none"/>
    <n v="2000"/>
    <n v="20"/>
    <n v="20"/>
    <n v="0"/>
    <n v="1"/>
    <n v="20000000"/>
    <n v="190"/>
    <n v="190"/>
    <n v="190"/>
    <n v="0"/>
    <s v="insertIfAbsent"/>
    <n v="99963776613071"/>
    <n v="9997966"/>
    <n v="99963776613071"/>
    <n v="9997966"/>
    <s v="success"/>
    <n v="29"/>
    <n v="6835304"/>
    <n v="5183100"/>
    <n v="12018404"/>
    <n v="9997966"/>
    <n v="1.7582800000000001"/>
    <n v="1.9289499999999999"/>
    <n v="1.83189"/>
    <n v="23.246500000000001"/>
    <n v="673030624"/>
    <m/>
    <m/>
    <m/>
    <s v="164 1300"/>
    <m/>
    <m/>
    <n v="114957104"/>
    <n v="0"/>
    <n v="76647318"/>
    <n v="114957104"/>
    <n v="191604422"/>
    <n v="57478552"/>
    <n v="0"/>
    <n v="38323659"/>
    <n v="57478552"/>
    <n v="95802211"/>
    <n v="31.622"/>
    <n v="11.6569"/>
    <n v="5489.81"/>
    <n v="3885.41"/>
    <n v="2058"/>
    <n v="431"/>
    <x v="0"/>
    <x v="1"/>
  </r>
  <r>
    <s v="istree_exp5_numerical_stability_vs_time/step10066.txt"/>
    <x v="1"/>
    <m/>
    <s v="reclaimer_debra"/>
    <s v="allocator_new"/>
    <s v="pool_none"/>
    <n v="4000"/>
    <n v="20"/>
    <n v="20"/>
    <n v="0"/>
    <n v="1"/>
    <n v="20000000"/>
    <n v="190"/>
    <n v="190"/>
    <n v="190"/>
    <n v="0"/>
    <s v="insertIfAbsent"/>
    <n v="100011308176816"/>
    <n v="9999568"/>
    <n v="100011308176816"/>
    <n v="9999568"/>
    <s v="success"/>
    <n v="29"/>
    <n v="6857374"/>
    <n v="5201793"/>
    <n v="12059167"/>
    <n v="9999568"/>
    <n v="1.75857"/>
    <n v="1.9223300000000001"/>
    <n v="1.82921"/>
    <n v="23.259899999999998"/>
    <n v="675313352"/>
    <m/>
    <m/>
    <m/>
    <s v="166 2414"/>
    <m/>
    <m/>
    <n v="228384520"/>
    <n v="0"/>
    <n v="152259809"/>
    <n v="228384520"/>
    <n v="380644329"/>
    <n v="57096130"/>
    <n v="0"/>
    <n v="38064952"/>
    <n v="57096130"/>
    <n v="95161082"/>
    <n v="31.7315"/>
    <n v="11.789099999999999"/>
    <n v="5548.22"/>
    <n v="3957.71"/>
    <n v="2194"/>
    <n v="461"/>
    <x v="0"/>
    <x v="2"/>
  </r>
  <r>
    <s v="istree_exp5_numerical_stability_vs_time/step10067.txt"/>
    <x v="1"/>
    <m/>
    <s v="reclaimer_debra"/>
    <s v="allocator_new"/>
    <s v="pool_none"/>
    <n v="8000"/>
    <n v="20"/>
    <n v="20"/>
    <n v="0"/>
    <n v="1"/>
    <n v="20000000"/>
    <n v="190"/>
    <n v="190"/>
    <n v="190"/>
    <n v="0"/>
    <s v="insertIfAbsent"/>
    <n v="99976366375823"/>
    <n v="9997842"/>
    <n v="99976366375823"/>
    <n v="9997842"/>
    <s v="success"/>
    <n v="29"/>
    <n v="6856377"/>
    <n v="5205485"/>
    <n v="12061862"/>
    <n v="9997842"/>
    <n v="1.75922"/>
    <n v="1.9206399999999999"/>
    <n v="1.8288800000000001"/>
    <n v="23.259499999999999"/>
    <n v="675464272"/>
    <m/>
    <m/>
    <m/>
    <s v="166 4570"/>
    <m/>
    <m/>
    <n v="450155171"/>
    <n v="0"/>
    <n v="300064990"/>
    <n v="450155171"/>
    <n v="750220161"/>
    <n v="56269396"/>
    <n v="0"/>
    <n v="37508123"/>
    <n v="56269396"/>
    <n v="93777520"/>
    <n v="32.131599999999999"/>
    <n v="11.9438"/>
    <n v="5629.98"/>
    <n v="4032.89"/>
    <n v="2343"/>
    <n v="444"/>
    <x v="0"/>
    <x v="3"/>
  </r>
  <r>
    <s v="istree_exp5_numerical_stability_vs_time/step10068.txt"/>
    <x v="1"/>
    <m/>
    <s v="reclaimer_debra"/>
    <s v="allocator_new"/>
    <s v="pool_none"/>
    <n v="16000"/>
    <n v="20"/>
    <n v="20"/>
    <n v="0"/>
    <n v="1"/>
    <n v="20000000"/>
    <n v="190"/>
    <n v="190"/>
    <n v="190"/>
    <n v="0"/>
    <s v="insertIfAbsent"/>
    <n v="100014516116184"/>
    <n v="10000475"/>
    <n v="100014516116184"/>
    <n v="10000475"/>
    <s v="success"/>
    <n v="29"/>
    <n v="6858712"/>
    <n v="5202446"/>
    <n v="12061158"/>
    <n v="10000475"/>
    <n v="1.7585200000000001"/>
    <n v="1.9222600000000001"/>
    <n v="1.8291500000000001"/>
    <n v="23.223500000000001"/>
    <n v="675424848"/>
    <m/>
    <m/>
    <m/>
    <s v="168 8908"/>
    <m/>
    <m/>
    <n v="891408273"/>
    <n v="0"/>
    <n v="594266413"/>
    <n v="891408273"/>
    <n v="1485674686"/>
    <n v="55713017"/>
    <n v="0"/>
    <n v="37141650"/>
    <n v="55713017"/>
    <n v="92854667"/>
    <n v="32.494300000000003"/>
    <n v="12.1349"/>
    <n v="5686.43"/>
    <n v="4085.36"/>
    <n v="2458"/>
    <n v="429"/>
    <x v="0"/>
    <x v="4"/>
  </r>
  <r>
    <s v="istree_exp5_numerical_stability_vs_time/step10069.txt"/>
    <x v="1"/>
    <m/>
    <s v="reclaimer_debra"/>
    <s v="allocator_new"/>
    <s v="pool_none"/>
    <n v="32000"/>
    <n v="20"/>
    <n v="20"/>
    <n v="0"/>
    <n v="1"/>
    <n v="20000000"/>
    <n v="190"/>
    <n v="190"/>
    <n v="190"/>
    <n v="0"/>
    <s v="insertIfAbsent"/>
    <n v="99993643123182"/>
    <n v="10001465"/>
    <n v="99993643123182"/>
    <n v="10001465"/>
    <s v="success"/>
    <n v="29"/>
    <n v="6860421"/>
    <n v="5203244"/>
    <n v="12063665"/>
    <n v="10001465"/>
    <n v="1.75844"/>
    <n v="1.9221600000000001"/>
    <n v="1.8290599999999999"/>
    <n v="23.2254"/>
    <n v="675565240"/>
    <m/>
    <m/>
    <m/>
    <n v="17490"/>
    <m/>
    <m/>
    <n v="1752577459"/>
    <n v="0"/>
    <n v="1168358186"/>
    <n v="1752577459"/>
    <n v="2920935645"/>
    <n v="54768045"/>
    <n v="0"/>
    <n v="36511193"/>
    <n v="54768045"/>
    <n v="91279238"/>
    <n v="32.929900000000004"/>
    <n v="12.2941"/>
    <n v="5786.55"/>
    <n v="4141.4399999999996"/>
    <n v="2510"/>
    <n v="443"/>
    <x v="0"/>
    <x v="5"/>
  </r>
  <r>
    <s v="istree_exp5_numerical_stability_vs_time/step10070.txt"/>
    <x v="1"/>
    <m/>
    <s v="reclaimer_debra"/>
    <s v="allocator_new"/>
    <s v="pool_none"/>
    <n v="64000"/>
    <n v="20"/>
    <n v="20"/>
    <n v="0"/>
    <n v="1"/>
    <n v="20000000"/>
    <n v="190"/>
    <n v="190"/>
    <n v="190"/>
    <n v="0"/>
    <s v="insertIfAbsent"/>
    <n v="100035579292592"/>
    <n v="10003312"/>
    <n v="100035579292592"/>
    <n v="10003312"/>
    <s v="success"/>
    <n v="29"/>
    <n v="6859173"/>
    <n v="5203308"/>
    <n v="12062481"/>
    <n v="10003312"/>
    <n v="1.7585900000000001"/>
    <n v="1.92249"/>
    <n v="1.8292900000000001"/>
    <n v="23.268999999999998"/>
    <n v="675498936"/>
    <m/>
    <m/>
    <m/>
    <s v="168 34396"/>
    <m/>
    <m/>
    <n v="3486576581"/>
    <n v="0"/>
    <n v="2324388985"/>
    <n v="3486576581"/>
    <n v="5810965566"/>
    <n v="54477759"/>
    <n v="0"/>
    <n v="36318577"/>
    <n v="54477759"/>
    <n v="90796336"/>
    <n v="33.216000000000001"/>
    <n v="12.4275"/>
    <n v="5819.62"/>
    <n v="4196.62"/>
    <n v="2534"/>
    <n v="420"/>
    <x v="0"/>
    <x v="6"/>
  </r>
  <r>
    <s v="istree_exp5_numerical_stability_vs_time/step10071.txt"/>
    <x v="0"/>
    <n v="72"/>
    <s v="reclaimer_debra"/>
    <s v="allocator_new"/>
    <s v="pool_none"/>
    <n v="1000"/>
    <n v="0.5"/>
    <n v="0.5"/>
    <n v="0"/>
    <n v="1"/>
    <n v="20000000"/>
    <n v="190"/>
    <n v="190"/>
    <n v="190"/>
    <n v="0"/>
    <s v="insertIfAbsent"/>
    <n v="99995854525913"/>
    <n v="10001564"/>
    <n v="99995854525913"/>
    <n v="10001564"/>
    <s v="success"/>
    <n v="7"/>
    <n v="1903250"/>
    <n v="12026251"/>
    <n v="13929501"/>
    <n v="10001564"/>
    <n v="7.3188000000000004"/>
    <n v="0.83164400000000005"/>
    <n v="1.71801"/>
    <n v="4.0555399999999997"/>
    <n v="344709952"/>
    <s v="0 11 3929 355895 723"/>
    <s v="0 11 3929 355895 723"/>
    <n v="6"/>
    <n v="1636"/>
    <m/>
    <m/>
    <n v="261400174"/>
    <n v="0"/>
    <n v="2641109"/>
    <n v="261400174"/>
    <n v="264041283"/>
    <n v="261400174"/>
    <n v="0"/>
    <n v="2641109"/>
    <n v="261400174"/>
    <n v="264041283"/>
    <n v="15.982100000000001"/>
    <n v="6.4802200000000001"/>
    <n v="1988.89"/>
    <n v="1232.33"/>
    <n v="1915"/>
    <n v="456"/>
    <x v="1"/>
    <x v="0"/>
  </r>
  <r>
    <s v="istree_exp5_numerical_stability_vs_time/step10072.txt"/>
    <x v="0"/>
    <n v="72"/>
    <s v="reclaimer_debra"/>
    <s v="allocator_new"/>
    <s v="pool_none"/>
    <n v="2000"/>
    <n v="0.5"/>
    <n v="0.5"/>
    <n v="0"/>
    <n v="1"/>
    <n v="20000000"/>
    <n v="190"/>
    <n v="190"/>
    <n v="190"/>
    <n v="0"/>
    <s v="insertIfAbsent"/>
    <n v="99999646836806"/>
    <n v="10000726"/>
    <n v="99999646836806"/>
    <n v="10000726"/>
    <s v="success"/>
    <n v="7"/>
    <n v="1645723"/>
    <n v="11483118"/>
    <n v="13128841"/>
    <n v="10000726"/>
    <n v="7.9775499999999999"/>
    <n v="0.87090699999999999"/>
    <n v="1.7617400000000001"/>
    <n v="4.0039899999999999"/>
    <n v="315387728"/>
    <s v="1 3163 26721 670041 1704"/>
    <s v="1 3163 26719 670038 1704"/>
    <n v="2711"/>
    <n v="3080"/>
    <m/>
    <m/>
    <n v="503786141"/>
    <n v="0"/>
    <n v="5088141"/>
    <n v="503786141"/>
    <n v="508874282"/>
    <n v="251893070"/>
    <n v="0"/>
    <n v="2544070"/>
    <n v="251893070"/>
    <n v="254437141"/>
    <n v="16.1584"/>
    <n v="6.5845799999999999"/>
    <n v="2021.72"/>
    <n v="1260.93"/>
    <n v="2602"/>
    <n v="367"/>
    <x v="1"/>
    <x v="1"/>
  </r>
  <r>
    <s v="istree_exp5_numerical_stability_vs_time/step10073.txt"/>
    <x v="0"/>
    <n v="72"/>
    <s v="reclaimer_debra"/>
    <s v="allocator_new"/>
    <s v="pool_none"/>
    <n v="4000"/>
    <n v="0.5"/>
    <n v="0.5"/>
    <n v="0"/>
    <n v="1"/>
    <n v="20000000"/>
    <n v="190"/>
    <n v="190"/>
    <n v="190"/>
    <n v="0"/>
    <s v="insertIfAbsent"/>
    <n v="99975182398884"/>
    <n v="9998637"/>
    <n v="99975182398884"/>
    <n v="9998637"/>
    <s v="success"/>
    <n v="7"/>
    <n v="1657608"/>
    <n v="11504830"/>
    <n v="13162438"/>
    <n v="9998637"/>
    <n v="7.94062"/>
    <n v="0.86908200000000002"/>
    <n v="1.75963"/>
    <n v="4.0063700000000004"/>
    <n v="316685904"/>
    <s v="2 6326 53246 1340241 3298"/>
    <s v="2 6326 53243 1340239 3298"/>
    <n v="5917"/>
    <n v="6268"/>
    <m/>
    <m/>
    <n v="1002369409"/>
    <n v="0"/>
    <n v="10129984"/>
    <n v="1002369409"/>
    <n v="1012499393"/>
    <n v="250592352"/>
    <n v="0"/>
    <n v="2532496"/>
    <n v="250592352"/>
    <n v="253124848"/>
    <n v="16.225000000000001"/>
    <n v="6.60588"/>
    <n v="2037.4"/>
    <n v="1264.3499999999999"/>
    <n v="2733"/>
    <n v="442"/>
    <x v="1"/>
    <x v="2"/>
  </r>
  <r>
    <s v="istree_exp5_numerical_stability_vs_time/step10074.txt"/>
    <x v="0"/>
    <n v="72"/>
    <s v="reclaimer_debra"/>
    <s v="allocator_new"/>
    <s v="pool_none"/>
    <n v="8000"/>
    <n v="0.5"/>
    <n v="0.5"/>
    <n v="0"/>
    <n v="1"/>
    <n v="20000000"/>
    <n v="190"/>
    <n v="190"/>
    <n v="190"/>
    <n v="0"/>
    <s v="insertIfAbsent"/>
    <n v="99999860076018"/>
    <n v="10000450"/>
    <n v="99999860076018"/>
    <n v="10000450"/>
    <s v="success"/>
    <n v="7"/>
    <n v="1630185"/>
    <n v="11451661"/>
    <n v="13081846"/>
    <n v="10000450"/>
    <n v="8.0247600000000006"/>
    <n v="0.87327500000000002"/>
    <n v="1.7644500000000001"/>
    <n v="4.0008800000000004"/>
    <n v="313641360"/>
    <s v="5 12652 106482 2677793 6638"/>
    <s v="4 12652 106474 2677785 6638"/>
    <n v="9931"/>
    <n v="12412"/>
    <m/>
    <m/>
    <n v="1981544227"/>
    <n v="0"/>
    <n v="20016587"/>
    <n v="1981544227"/>
    <n v="2001560814"/>
    <n v="247693028"/>
    <n v="0"/>
    <n v="2502073"/>
    <n v="247693028"/>
    <n v="250195101"/>
    <n v="16.244900000000001"/>
    <n v="6.6363500000000002"/>
    <n v="2078.42"/>
    <n v="1296.5999999999999"/>
    <n v="2776"/>
    <n v="393"/>
    <x v="1"/>
    <x v="3"/>
  </r>
  <r>
    <s v="istree_exp5_numerical_stability_vs_time/step10075.txt"/>
    <x v="0"/>
    <n v="72"/>
    <s v="reclaimer_debra"/>
    <s v="allocator_new"/>
    <s v="pool_none"/>
    <n v="16000"/>
    <n v="0.5"/>
    <n v="0.5"/>
    <n v="0"/>
    <n v="1"/>
    <n v="20000000"/>
    <n v="190"/>
    <n v="190"/>
    <n v="190"/>
    <n v="0"/>
    <s v="insertIfAbsent"/>
    <n v="100008478433037"/>
    <n v="10000004"/>
    <n v="100008478433037"/>
    <n v="10000004"/>
    <s v="success"/>
    <n v="7"/>
    <n v="1634035"/>
    <n v="11458590"/>
    <n v="13092625"/>
    <n v="10000004"/>
    <n v="8.0124499999999994"/>
    <n v="0.87270800000000004"/>
    <n v="1.76379"/>
    <n v="4.0016499999999997"/>
    <n v="314060224"/>
    <s v="9 25302 214483 5353850 13328"/>
    <s v="8 25301 214458 5353841 13328"/>
    <n v="19586"/>
    <n v="24564"/>
    <m/>
    <m/>
    <n v="3962073820"/>
    <n v="0"/>
    <n v="40019021"/>
    <n v="3962073820"/>
    <n v="4002092841"/>
    <n v="247629613"/>
    <n v="0"/>
    <n v="2501188"/>
    <n v="247629613"/>
    <n v="250130802"/>
    <n v="16.286200000000001"/>
    <n v="6.65435"/>
    <n v="2083.56"/>
    <n v="1305.8499999999999"/>
    <n v="2772"/>
    <n v="412"/>
    <x v="1"/>
    <x v="4"/>
  </r>
  <r>
    <s v="istree_exp5_numerical_stability_vs_time/step10076.txt"/>
    <x v="0"/>
    <n v="72"/>
    <s v="reclaimer_debra"/>
    <s v="allocator_new"/>
    <s v="pool_none"/>
    <n v="32000"/>
    <n v="0.5"/>
    <n v="0.5"/>
    <n v="0"/>
    <n v="1"/>
    <n v="20000000"/>
    <n v="190"/>
    <n v="190"/>
    <n v="190"/>
    <n v="0"/>
    <s v="insertIfAbsent"/>
    <n v="100005268698771"/>
    <n v="9999155"/>
    <n v="100005268698771"/>
    <n v="9999155"/>
    <s v="success"/>
    <n v="7"/>
    <n v="1741521"/>
    <n v="11685844"/>
    <n v="13427365"/>
    <n v="9999155"/>
    <n v="7.71014"/>
    <n v="0.85566399999999998"/>
    <n v="1.74468"/>
    <n v="4.02346"/>
    <n v="326305264"/>
    <s v="17 49952 425994 10580224 26823"/>
    <s v="15 49952 425973 10580193 26823"/>
    <n v="38174"/>
    <n v="48154"/>
    <m/>
    <m/>
    <n v="7808557895"/>
    <n v="0"/>
    <n v="78879176"/>
    <n v="7808557895"/>
    <n v="7887437071"/>
    <n v="244017434"/>
    <n v="0"/>
    <n v="2464974"/>
    <n v="244017434"/>
    <n v="246482408"/>
    <n v="16.375"/>
    <n v="6.6587899999999998"/>
    <n v="2118.88"/>
    <n v="1344.94"/>
    <n v="2737"/>
    <n v="435"/>
    <x v="1"/>
    <x v="5"/>
  </r>
  <r>
    <s v="istree_exp5_numerical_stability_vs_time/step10077.txt"/>
    <x v="0"/>
    <n v="72"/>
    <s v="reclaimer_debra"/>
    <s v="allocator_new"/>
    <s v="pool_none"/>
    <n v="64000"/>
    <n v="0.5"/>
    <n v="0.5"/>
    <n v="0"/>
    <n v="1"/>
    <n v="20000000"/>
    <n v="190"/>
    <n v="190"/>
    <n v="190"/>
    <n v="0"/>
    <s v="insertIfAbsent"/>
    <n v="100012678809309"/>
    <n v="9999409"/>
    <n v="100012678809309"/>
    <n v="9999409"/>
    <s v="success"/>
    <n v="7"/>
    <n v="1814729"/>
    <n v="11835202"/>
    <n v="13649931"/>
    <n v="9999409"/>
    <n v="7.5217499999999999"/>
    <n v="0.84488700000000005"/>
    <n v="1.7325600000000001"/>
    <n v="4.0386600000000001"/>
    <n v="334546688"/>
    <s v="32 101211 852309 21383937 53425"/>
    <s v="31 101207 852250 21383888 53425"/>
    <n v="73415"/>
    <n v="98932"/>
    <m/>
    <m/>
    <n v="15819750846"/>
    <n v="0"/>
    <n v="159797973"/>
    <n v="15819750846"/>
    <n v="15979548819"/>
    <n v="247183606"/>
    <n v="0"/>
    <n v="2496843"/>
    <n v="247183606"/>
    <n v="249680450"/>
    <n v="16.343599999999999"/>
    <n v="6.6655100000000003"/>
    <n v="2092.2199999999998"/>
    <n v="1315.57"/>
    <n v="2730"/>
    <n v="393"/>
    <x v="1"/>
    <x v="6"/>
  </r>
  <r>
    <s v="istree_exp5_numerical_stability_vs_time/step10078.txt"/>
    <x v="1"/>
    <m/>
    <s v="reclaimer_debra"/>
    <s v="allocator_new"/>
    <s v="pool_none"/>
    <n v="1000"/>
    <n v="0.5"/>
    <n v="0.5"/>
    <n v="0"/>
    <n v="1"/>
    <n v="20000000"/>
    <n v="190"/>
    <n v="190"/>
    <n v="190"/>
    <n v="0"/>
    <s v="insertIfAbsent"/>
    <n v="100013508537799"/>
    <n v="10000307"/>
    <n v="100013508537799"/>
    <n v="10000307"/>
    <s v="success"/>
    <n v="29"/>
    <n v="5778167"/>
    <n v="4339949"/>
    <n v="10118116"/>
    <n v="10000307"/>
    <n v="1.75109"/>
    <n v="2.3042500000000001"/>
    <n v="1.9883599999999999"/>
    <n v="22.717099999999999"/>
    <n v="566614496"/>
    <m/>
    <m/>
    <m/>
    <s v="164 836"/>
    <m/>
    <m/>
    <n v="112572250"/>
    <n v="0"/>
    <n v="1136454"/>
    <n v="112572250"/>
    <n v="113708704"/>
    <n v="112572250"/>
    <n v="0"/>
    <n v="1136454"/>
    <n v="112572250"/>
    <n v="113708704"/>
    <n v="28.741299999999999"/>
    <n v="10.460100000000001"/>
    <n v="4592.4799999999996"/>
    <n v="3239.27"/>
    <n v="1762"/>
    <n v="438"/>
    <x v="1"/>
    <x v="0"/>
  </r>
  <r>
    <s v="istree_exp5_numerical_stability_vs_time/step10079.txt"/>
    <x v="1"/>
    <m/>
    <s v="reclaimer_debra"/>
    <s v="allocator_new"/>
    <s v="pool_none"/>
    <n v="2000"/>
    <n v="0.5"/>
    <n v="0.5"/>
    <n v="0"/>
    <n v="1"/>
    <n v="20000000"/>
    <n v="190"/>
    <n v="190"/>
    <n v="190"/>
    <n v="0"/>
    <s v="insertIfAbsent"/>
    <n v="99989833520703"/>
    <n v="9999653"/>
    <n v="99989833520703"/>
    <n v="9999653"/>
    <s v="success"/>
    <n v="29"/>
    <n v="5841151"/>
    <n v="4390407"/>
    <n v="10231558"/>
    <n v="9999653"/>
    <n v="1.75163"/>
    <n v="2.2776100000000001"/>
    <n v="1.97733"/>
    <n v="22.732600000000001"/>
    <n v="572967248"/>
    <m/>
    <m/>
    <m/>
    <s v="166 1518"/>
    <m/>
    <m/>
    <n v="228488277"/>
    <n v="0"/>
    <n v="2310186"/>
    <n v="228488277"/>
    <n v="230798463"/>
    <n v="114244138"/>
    <n v="0"/>
    <n v="1155093"/>
    <n v="114244138"/>
    <n v="115399231"/>
    <n v="28.533200000000001"/>
    <n v="10.5588"/>
    <n v="4565.59"/>
    <n v="3207.44"/>
    <n v="1769"/>
    <n v="428"/>
    <x v="1"/>
    <x v="1"/>
  </r>
  <r>
    <s v="istree_exp5_numerical_stability_vs_time/step10080.txt"/>
    <x v="1"/>
    <m/>
    <s v="reclaimer_debra"/>
    <s v="allocator_new"/>
    <s v="pool_none"/>
    <n v="4000"/>
    <n v="0.5"/>
    <n v="0.5"/>
    <n v="0"/>
    <n v="1"/>
    <n v="20000000"/>
    <n v="190"/>
    <n v="190"/>
    <n v="190"/>
    <n v="0"/>
    <s v="insertIfAbsent"/>
    <n v="100019246618708"/>
    <n v="10000375"/>
    <n v="100019246618708"/>
    <n v="10000375"/>
    <s v="success"/>
    <n v="29"/>
    <n v="5954250"/>
    <n v="4482801"/>
    <n v="10437051"/>
    <n v="10000375"/>
    <n v="1.7528699999999999"/>
    <n v="2.2308300000000001"/>
    <n v="1.9581599999999999"/>
    <n v="22.821400000000001"/>
    <n v="584474856"/>
    <m/>
    <m/>
    <m/>
    <n v="2886"/>
    <m/>
    <m/>
    <n v="456230628"/>
    <n v="0"/>
    <n v="4608343"/>
    <n v="456230628"/>
    <n v="460838971"/>
    <n v="114057657"/>
    <n v="0"/>
    <n v="1152085"/>
    <n v="114057657"/>
    <n v="115209742"/>
    <n v="28.785399999999999"/>
    <n v="10.655099999999999"/>
    <n v="4581.03"/>
    <n v="3219.91"/>
    <n v="1783"/>
    <n v="430"/>
    <x v="1"/>
    <x v="2"/>
  </r>
  <r>
    <s v="istree_exp5_numerical_stability_vs_time/step10081.txt"/>
    <x v="1"/>
    <m/>
    <s v="reclaimer_debra"/>
    <s v="allocator_new"/>
    <s v="pool_none"/>
    <n v="8000"/>
    <n v="0.5"/>
    <n v="0.5"/>
    <n v="0"/>
    <n v="1"/>
    <n v="20000000"/>
    <n v="190"/>
    <n v="190"/>
    <n v="190"/>
    <n v="0"/>
    <s v="insertIfAbsent"/>
    <n v="100003185683658"/>
    <n v="10000060"/>
    <n v="100003185683658"/>
    <n v="10000060"/>
    <s v="success"/>
    <n v="29"/>
    <n v="6142546"/>
    <n v="4635262"/>
    <n v="10777808"/>
    <n v="10000060"/>
    <n v="1.7546200000000001"/>
    <n v="2.1573899999999999"/>
    <n v="1.92784"/>
    <n v="22.9682"/>
    <n v="603557248"/>
    <m/>
    <m/>
    <m/>
    <s v="166 5604"/>
    <m/>
    <m/>
    <n v="912225235"/>
    <n v="0"/>
    <n v="9213137"/>
    <n v="912225235"/>
    <n v="921438372"/>
    <n v="114028154"/>
    <n v="0"/>
    <n v="1151642"/>
    <n v="114028154"/>
    <n v="115179796"/>
    <n v="28.715399999999999"/>
    <n v="10.7296"/>
    <n v="4581.74"/>
    <n v="3222.42"/>
    <n v="1805"/>
    <n v="424"/>
    <x v="1"/>
    <x v="3"/>
  </r>
  <r>
    <s v="istree_exp5_numerical_stability_vs_time/step10082.txt"/>
    <x v="1"/>
    <m/>
    <s v="reclaimer_debra"/>
    <s v="allocator_new"/>
    <s v="pool_none"/>
    <n v="16000"/>
    <n v="0.5"/>
    <n v="0.5"/>
    <n v="0"/>
    <n v="1"/>
    <n v="20000000"/>
    <n v="190"/>
    <n v="190"/>
    <n v="190"/>
    <n v="0"/>
    <s v="insertIfAbsent"/>
    <n v="100037555543846"/>
    <n v="10003584"/>
    <n v="100037555543846"/>
    <n v="10003584"/>
    <s v="success"/>
    <n v="29"/>
    <n v="6407530"/>
    <n v="4842908"/>
    <n v="11250438"/>
    <n v="10003584"/>
    <n v="1.7558199999999999"/>
    <n v="2.06562"/>
    <n v="1.88917"/>
    <n v="23.059100000000001"/>
    <n v="630024528"/>
    <m/>
    <m/>
    <m/>
    <s v="164 10910"/>
    <m/>
    <m/>
    <n v="1801314298"/>
    <n v="0"/>
    <n v="18203575"/>
    <n v="1801314298"/>
    <n v="1819517873"/>
    <n v="112582143"/>
    <n v="0"/>
    <n v="1137723"/>
    <n v="112582143"/>
    <n v="113719867"/>
    <n v="29.043800000000001"/>
    <n v="10.804500000000001"/>
    <n v="4638.49"/>
    <n v="3260.03"/>
    <n v="1835"/>
    <n v="436"/>
    <x v="1"/>
    <x v="4"/>
  </r>
  <r>
    <s v="istree_exp5_numerical_stability_vs_time/step10083.txt"/>
    <x v="1"/>
    <m/>
    <s v="reclaimer_debra"/>
    <s v="allocator_new"/>
    <s v="pool_none"/>
    <n v="32000"/>
    <n v="0.5"/>
    <n v="0.5"/>
    <n v="0"/>
    <n v="1"/>
    <n v="20000000"/>
    <n v="190"/>
    <n v="190"/>
    <n v="190"/>
    <n v="0"/>
    <s v="insertIfAbsent"/>
    <n v="99981162415626"/>
    <n v="9997968"/>
    <n v="99981162415626"/>
    <n v="9997968"/>
    <s v="success"/>
    <n v="29"/>
    <n v="6672081"/>
    <n v="5053963"/>
    <n v="11726044"/>
    <n v="9997968"/>
    <n v="1.7574799999999999"/>
    <n v="1.97824"/>
    <n v="1.85263"/>
    <n v="23.194099999999999"/>
    <n v="656658464"/>
    <m/>
    <m/>
    <m/>
    <s v="170 21636"/>
    <m/>
    <m/>
    <n v="3556693722"/>
    <n v="0"/>
    <n v="35927024"/>
    <n v="3556693722"/>
    <n v="3592620746"/>
    <n v="111146678"/>
    <n v="0"/>
    <n v="1122719"/>
    <n v="111146678"/>
    <n v="112269398"/>
    <n v="28.905799999999999"/>
    <n v="10.895300000000001"/>
    <n v="4694.78"/>
    <n v="3259.48"/>
    <n v="1866"/>
    <n v="445"/>
    <x v="1"/>
    <x v="5"/>
  </r>
  <r>
    <s v="istree_exp5_numerical_stability_vs_time/step10084.txt"/>
    <x v="1"/>
    <m/>
    <s v="reclaimer_debra"/>
    <s v="allocator_new"/>
    <s v="pool_none"/>
    <n v="64000"/>
    <n v="0.5"/>
    <n v="0.5"/>
    <n v="0"/>
    <n v="1"/>
    <n v="20000000"/>
    <n v="190"/>
    <n v="190"/>
    <n v="190"/>
    <n v="0"/>
    <s v="insertIfAbsent"/>
    <n v="99944026226360"/>
    <n v="9995950"/>
    <n v="99944026226360"/>
    <n v="9995950"/>
    <s v="success"/>
    <n v="29"/>
    <n v="6824929"/>
    <n v="5176475"/>
    <n v="12001404"/>
    <n v="9995950"/>
    <n v="1.75847"/>
    <n v="1.93103"/>
    <n v="1.8329"/>
    <n v="23.254000000000001"/>
    <n v="672078624"/>
    <m/>
    <m/>
    <m/>
    <s v="164 42800"/>
    <m/>
    <m/>
    <n v="7163550547"/>
    <n v="0"/>
    <n v="72347318"/>
    <n v="7163550547"/>
    <n v="7235897865"/>
    <n v="111930477"/>
    <n v="0"/>
    <n v="1130426"/>
    <n v="111930477"/>
    <n v="113060904"/>
    <n v="29.0001"/>
    <n v="10.9948"/>
    <n v="4663.42"/>
    <n v="3291.06"/>
    <n v="1885"/>
    <n v="440"/>
    <x v="1"/>
    <x v="6"/>
  </r>
  <r>
    <m/>
    <x v="2"/>
    <m/>
    <m/>
    <m/>
    <m/>
    <m/>
    <m/>
    <m/>
    <m/>
    <m/>
    <m/>
    <m/>
    <m/>
    <m/>
    <m/>
    <m/>
    <m/>
    <m/>
    <m/>
    <m/>
    <m/>
    <m/>
    <m/>
    <m/>
    <m/>
    <m/>
    <m/>
    <m/>
    <m/>
    <m/>
    <m/>
    <m/>
    <m/>
    <m/>
    <m/>
    <m/>
    <m/>
    <m/>
    <m/>
    <m/>
    <m/>
    <m/>
    <m/>
    <m/>
    <m/>
    <m/>
    <m/>
    <m/>
    <m/>
    <m/>
    <m/>
    <m/>
    <m/>
    <x v="2"/>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10">
  <location ref="A4:H7" firstHeaderRow="1" firstDataRow="2" firstDataCol="1" rowPageCount="1" colPageCount="1"/>
  <pivotFields count="56">
    <pivotField showAll="0" defaultSubtotal="0"/>
    <pivotField axis="axisRow" showAll="0" defaultSubtotal="0">
      <items count="3">
        <item x="2"/>
        <item n="ISTree" x="0"/>
        <item n="BCCO"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sortType="descending" defaultSubtotal="0">
      <items count="3">
        <item x="2"/>
        <item x="0"/>
        <item x="1"/>
      </items>
    </pivotField>
    <pivotField axis="axisCol" showAll="0" defaultSubtotal="0">
      <items count="8">
        <item x="7"/>
        <item x="0"/>
        <item x="1"/>
        <item x="2"/>
        <item x="3"/>
        <item x="4"/>
        <item x="5"/>
        <item x="6"/>
      </items>
    </pivotField>
  </pivotFields>
  <rowFields count="1">
    <field x="1"/>
  </rowFields>
  <rowItems count="2">
    <i>
      <x v="1"/>
    </i>
    <i>
      <x v="2"/>
    </i>
  </rowItems>
  <colFields count="1">
    <field x="55"/>
  </colFields>
  <colItems count="7">
    <i>
      <x v="1"/>
    </i>
    <i>
      <x v="2"/>
    </i>
    <i>
      <x v="3"/>
    </i>
    <i>
      <x v="4"/>
    </i>
    <i>
      <x v="5"/>
    </i>
    <i>
      <x v="6"/>
    </i>
    <i>
      <x v="7"/>
    </i>
  </colItems>
  <pageFields count="1">
    <pageField fld="54" item="2" hier="-1"/>
  </pageFields>
  <dataFields count="1">
    <dataField name="Average of total_throughput" fld="47" subtotal="average" baseField="13" baseItem="0" numFmtId="1"/>
  </dataFields>
  <formats count="2">
    <format dxfId="1">
      <pivotArea outline="0" collapsedLevelsAreSubtotals="1" fieldPosition="0"/>
    </format>
    <format dxfId="0">
      <pivotArea outline="0" collapsedLevelsAreSubtotals="1" fieldPosition="0"/>
    </format>
  </formats>
  <chartFormats count="9">
    <chartFormat chart="7" format="1" series="1">
      <pivotArea type="data" outline="0" fieldPosition="0">
        <references count="2">
          <reference field="4294967294" count="1" selected="0">
            <x v="0"/>
          </reference>
          <reference field="1" count="1" selected="0">
            <x v="1"/>
          </reference>
        </references>
      </pivotArea>
    </chartFormat>
    <chartFormat chart="9" format="4" series="1">
      <pivotArea type="data" outline="0" fieldPosition="0">
        <references count="2">
          <reference field="4294967294" count="1" selected="0">
            <x v="0"/>
          </reference>
          <reference field="55" count="1" selected="0">
            <x v="1"/>
          </reference>
        </references>
      </pivotArea>
    </chartFormat>
    <chartFormat chart="9" format="5" series="1">
      <pivotArea type="data" outline="0" fieldPosition="0">
        <references count="2">
          <reference field="4294967294" count="1" selected="0">
            <x v="0"/>
          </reference>
          <reference field="55" count="1" selected="0">
            <x v="2"/>
          </reference>
        </references>
      </pivotArea>
    </chartFormat>
    <chartFormat chart="9" format="6" series="1">
      <pivotArea type="data" outline="0" fieldPosition="0">
        <references count="2">
          <reference field="4294967294" count="1" selected="0">
            <x v="0"/>
          </reference>
          <reference field="55" count="1" selected="0">
            <x v="3"/>
          </reference>
        </references>
      </pivotArea>
    </chartFormat>
    <chartFormat chart="9" format="7" series="1">
      <pivotArea type="data" outline="0" fieldPosition="0">
        <references count="2">
          <reference field="4294967294" count="1" selected="0">
            <x v="0"/>
          </reference>
          <reference field="55" count="1" selected="0">
            <x v="4"/>
          </reference>
        </references>
      </pivotArea>
    </chartFormat>
    <chartFormat chart="9" format="8" series="1">
      <pivotArea type="data" outline="0" fieldPosition="0">
        <references count="2">
          <reference field="4294967294" count="1" selected="0">
            <x v="0"/>
          </reference>
          <reference field="55" count="1" selected="0">
            <x v="5"/>
          </reference>
        </references>
      </pivotArea>
    </chartFormat>
    <chartFormat chart="9" format="9" series="1">
      <pivotArea type="data" outline="0" fieldPosition="0">
        <references count="2">
          <reference field="4294967294" count="1" selected="0">
            <x v="0"/>
          </reference>
          <reference field="55" count="1" selected="0">
            <x v="6"/>
          </reference>
        </references>
      </pivotArea>
    </chartFormat>
    <chartFormat chart="9" format="10" series="1">
      <pivotArea type="data" outline="0" fieldPosition="0">
        <references count="2">
          <reference field="4294967294" count="1" selected="0">
            <x v="0"/>
          </reference>
          <reference field="55" count="1" selected="0">
            <x v="7"/>
          </reference>
        </references>
      </pivotArea>
    </chartFormat>
    <chartFormat chart="9" format="11" series="1">
      <pivotArea type="data" outline="0" fieldPosition="0">
        <references count="2">
          <reference field="4294967294" count="1" selected="0">
            <x v="0"/>
          </reference>
          <reference field="5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85"/>
  <sheetViews>
    <sheetView workbookViewId="0"/>
  </sheetViews>
  <sheetFormatPr defaultRowHeight="14.6"/>
  <cols>
    <col min="1" max="1" width="47.23046875" bestFit="1" customWidth="1"/>
    <col min="2" max="2" width="19.76562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8.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8.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7.15234375" bestFit="1" customWidth="1"/>
    <col min="34" max="34" width="42.3046875" customWidth="1"/>
    <col min="35" max="35" width="26.15234375" customWidth="1"/>
    <col min="36" max="36" width="35.765625" customWidth="1"/>
    <col min="37" max="37" width="29.61328125" customWidth="1"/>
    <col min="38" max="38" width="23.4609375" customWidth="1"/>
    <col min="39" max="39" width="11.84375" bestFit="1" customWidth="1"/>
    <col min="40" max="40" width="7.4609375" customWidth="1"/>
    <col min="41" max="41" width="12.3046875" customWidth="1"/>
    <col min="42" max="43" width="11.84375" bestFit="1"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6">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67</v>
      </c>
      <c r="S1" t="s">
        <v>68</v>
      </c>
      <c r="T1" t="s">
        <v>45</v>
      </c>
      <c r="U1" t="s">
        <v>69</v>
      </c>
      <c r="V1" t="s">
        <v>70</v>
      </c>
      <c r="W1" t="s">
        <v>36</v>
      </c>
      <c r="X1" t="s">
        <v>37</v>
      </c>
      <c r="Y1" t="s">
        <v>38</v>
      </c>
      <c r="Z1" t="s">
        <v>39</v>
      </c>
      <c r="AA1" t="s">
        <v>40</v>
      </c>
      <c r="AB1" t="s">
        <v>41</v>
      </c>
      <c r="AC1" t="s">
        <v>42</v>
      </c>
      <c r="AD1" t="s">
        <v>43</v>
      </c>
      <c r="AE1" t="s">
        <v>44</v>
      </c>
      <c r="AF1" t="s">
        <v>74</v>
      </c>
      <c r="AG1" t="s">
        <v>75</v>
      </c>
      <c r="AH1" t="s">
        <v>76</v>
      </c>
      <c r="AI1" t="s">
        <v>77</v>
      </c>
      <c r="AJ1" t="s">
        <v>78</v>
      </c>
      <c r="AK1" t="s">
        <v>79</v>
      </c>
      <c r="AL1" t="s">
        <v>80</v>
      </c>
      <c r="AM1" t="s">
        <v>46</v>
      </c>
      <c r="AN1" t="s">
        <v>47</v>
      </c>
      <c r="AO1" t="s">
        <v>48</v>
      </c>
      <c r="AP1" t="s">
        <v>49</v>
      </c>
      <c r="AQ1" t="s">
        <v>50</v>
      </c>
      <c r="AR1" t="s">
        <v>51</v>
      </c>
      <c r="AS1" t="s">
        <v>52</v>
      </c>
      <c r="AT1" t="s">
        <v>53</v>
      </c>
      <c r="AU1" t="s">
        <v>54</v>
      </c>
      <c r="AV1" t="s">
        <v>55</v>
      </c>
      <c r="AW1" t="s">
        <v>56</v>
      </c>
      <c r="AX1" t="s">
        <v>57</v>
      </c>
      <c r="AY1" t="s">
        <v>58</v>
      </c>
      <c r="AZ1" t="s">
        <v>81</v>
      </c>
      <c r="BA1" t="s">
        <v>72</v>
      </c>
      <c r="BB1" t="s">
        <v>73</v>
      </c>
      <c r="BC1" t="s">
        <v>65</v>
      </c>
      <c r="BD1" t="s">
        <v>82</v>
      </c>
    </row>
    <row r="2" spans="1:56">
      <c r="A2" t="s">
        <v>83</v>
      </c>
      <c r="B2" t="s">
        <v>63</v>
      </c>
      <c r="C2">
        <v>72</v>
      </c>
      <c r="D2" t="s">
        <v>64</v>
      </c>
      <c r="E2" t="s">
        <v>59</v>
      </c>
      <c r="F2" t="s">
        <v>60</v>
      </c>
      <c r="G2">
        <v>1000</v>
      </c>
      <c r="H2">
        <v>20</v>
      </c>
      <c r="I2">
        <v>20</v>
      </c>
      <c r="J2">
        <v>0</v>
      </c>
      <c r="K2">
        <v>1</v>
      </c>
      <c r="L2">
        <v>20000000</v>
      </c>
      <c r="M2">
        <v>190</v>
      </c>
      <c r="N2">
        <v>190</v>
      </c>
      <c r="O2">
        <v>190</v>
      </c>
      <c r="P2">
        <v>0</v>
      </c>
      <c r="Q2" t="s">
        <v>61</v>
      </c>
      <c r="R2">
        <v>99994827517479</v>
      </c>
      <c r="S2">
        <v>10000265</v>
      </c>
      <c r="T2">
        <v>99994827517479</v>
      </c>
      <c r="U2">
        <v>10000265</v>
      </c>
      <c r="V2" t="s">
        <v>71</v>
      </c>
      <c r="W2">
        <v>7</v>
      </c>
      <c r="X2">
        <v>1705040</v>
      </c>
      <c r="Y2">
        <v>11602812</v>
      </c>
      <c r="Z2">
        <v>13307852</v>
      </c>
      <c r="AA2">
        <v>10000265</v>
      </c>
      <c r="AB2">
        <v>7.8050100000000002</v>
      </c>
      <c r="AC2">
        <v>0.86188299999999995</v>
      </c>
      <c r="AD2">
        <v>1.75146</v>
      </c>
      <c r="AE2">
        <v>4.0158500000000004</v>
      </c>
      <c r="AF2">
        <v>322048304</v>
      </c>
      <c r="AG2" t="s">
        <v>84</v>
      </c>
      <c r="AH2" t="s">
        <v>85</v>
      </c>
      <c r="AI2">
        <v>88902</v>
      </c>
      <c r="AJ2">
        <v>672</v>
      </c>
      <c r="AM2">
        <v>53033146</v>
      </c>
      <c r="AN2">
        <v>0</v>
      </c>
      <c r="AO2">
        <v>35361427</v>
      </c>
      <c r="AP2">
        <v>53033146</v>
      </c>
      <c r="AQ2">
        <v>88394573</v>
      </c>
      <c r="AR2">
        <v>53033146</v>
      </c>
      <c r="AS2">
        <v>0</v>
      </c>
      <c r="AT2">
        <v>35361427</v>
      </c>
      <c r="AU2">
        <v>53033146</v>
      </c>
      <c r="AV2">
        <v>88394573</v>
      </c>
      <c r="AW2">
        <v>28.523700000000002</v>
      </c>
      <c r="AX2">
        <v>15.0518</v>
      </c>
      <c r="AY2">
        <v>5081.71</v>
      </c>
      <c r="AZ2">
        <v>3458.1</v>
      </c>
      <c r="BA2">
        <v>2852</v>
      </c>
      <c r="BB2">
        <v>451</v>
      </c>
      <c r="BC2" t="str">
        <f>"u="&amp;(H2+I2)&amp;"%, k=2x10^"&amp;LOG10(L2/2)</f>
        <v>u=40%, k=2x10^7</v>
      </c>
      <c r="BD2">
        <f>G2/1000</f>
        <v>1</v>
      </c>
    </row>
    <row r="3" spans="1:56">
      <c r="A3" t="s">
        <v>86</v>
      </c>
      <c r="B3" t="s">
        <v>63</v>
      </c>
      <c r="C3">
        <v>72</v>
      </c>
      <c r="D3" t="s">
        <v>64</v>
      </c>
      <c r="E3" t="s">
        <v>59</v>
      </c>
      <c r="F3" t="s">
        <v>60</v>
      </c>
      <c r="G3">
        <v>2000</v>
      </c>
      <c r="H3">
        <v>20</v>
      </c>
      <c r="I3">
        <v>20</v>
      </c>
      <c r="J3">
        <v>0</v>
      </c>
      <c r="K3">
        <v>1</v>
      </c>
      <c r="L3">
        <v>20000000</v>
      </c>
      <c r="M3">
        <v>190</v>
      </c>
      <c r="N3">
        <v>190</v>
      </c>
      <c r="O3">
        <v>190</v>
      </c>
      <c r="P3">
        <v>0</v>
      </c>
      <c r="Q3" t="s">
        <v>61</v>
      </c>
      <c r="R3">
        <v>99986882809813</v>
      </c>
      <c r="S3">
        <v>10000723</v>
      </c>
      <c r="T3">
        <v>99986882809813</v>
      </c>
      <c r="U3">
        <v>10000723</v>
      </c>
      <c r="V3" t="s">
        <v>71</v>
      </c>
      <c r="W3">
        <v>7</v>
      </c>
      <c r="X3">
        <v>1690519</v>
      </c>
      <c r="Y3">
        <v>11573533</v>
      </c>
      <c r="Z3">
        <v>13264052</v>
      </c>
      <c r="AA3">
        <v>10000723</v>
      </c>
      <c r="AB3">
        <v>7.8461400000000001</v>
      </c>
      <c r="AC3">
        <v>0.86410299999999995</v>
      </c>
      <c r="AD3">
        <v>1.75397</v>
      </c>
      <c r="AE3">
        <v>4.01295</v>
      </c>
      <c r="AF3">
        <v>320418096</v>
      </c>
      <c r="AG3" t="s">
        <v>87</v>
      </c>
      <c r="AH3" t="s">
        <v>88</v>
      </c>
      <c r="AI3">
        <v>189736</v>
      </c>
      <c r="AJ3">
        <v>1406</v>
      </c>
      <c r="AM3">
        <v>112924981</v>
      </c>
      <c r="AN3">
        <v>0</v>
      </c>
      <c r="AO3">
        <v>75267979</v>
      </c>
      <c r="AP3">
        <v>112924981</v>
      </c>
      <c r="AQ3">
        <v>188192960</v>
      </c>
      <c r="AR3">
        <v>56462490</v>
      </c>
      <c r="AS3">
        <v>0</v>
      </c>
      <c r="AT3">
        <v>37633989</v>
      </c>
      <c r="AU3">
        <v>56462490</v>
      </c>
      <c r="AV3">
        <v>94096480</v>
      </c>
      <c r="AW3">
        <v>28.564399999999999</v>
      </c>
      <c r="AX3">
        <v>15.2094</v>
      </c>
      <c r="AY3">
        <v>5223.17</v>
      </c>
      <c r="AZ3">
        <v>3588.47</v>
      </c>
      <c r="BA3">
        <v>2894</v>
      </c>
      <c r="BB3">
        <v>342</v>
      </c>
      <c r="BC3" t="str">
        <f t="shared" ref="BC3:BC46" si="0">"u="&amp;(H3+I3)&amp;"%, k=2x10^"&amp;LOG10(L3/2)</f>
        <v>u=40%, k=2x10^7</v>
      </c>
      <c r="BD3">
        <f t="shared" ref="BD3:BD46" si="1">G3/1000</f>
        <v>2</v>
      </c>
    </row>
    <row r="4" spans="1:56">
      <c r="A4" t="s">
        <v>89</v>
      </c>
      <c r="B4" t="s">
        <v>63</v>
      </c>
      <c r="C4">
        <v>72</v>
      </c>
      <c r="D4" t="s">
        <v>64</v>
      </c>
      <c r="E4" t="s">
        <v>59</v>
      </c>
      <c r="F4" t="s">
        <v>60</v>
      </c>
      <c r="G4">
        <v>4000</v>
      </c>
      <c r="H4">
        <v>20</v>
      </c>
      <c r="I4">
        <v>20</v>
      </c>
      <c r="J4">
        <v>0</v>
      </c>
      <c r="K4">
        <v>1</v>
      </c>
      <c r="L4">
        <v>20000000</v>
      </c>
      <c r="M4">
        <v>190</v>
      </c>
      <c r="N4">
        <v>190</v>
      </c>
      <c r="O4">
        <v>190</v>
      </c>
      <c r="P4">
        <v>0</v>
      </c>
      <c r="Q4" t="s">
        <v>61</v>
      </c>
      <c r="R4">
        <v>99976261773222</v>
      </c>
      <c r="S4">
        <v>9998293</v>
      </c>
      <c r="T4">
        <v>99976261773222</v>
      </c>
      <c r="U4">
        <v>9998293</v>
      </c>
      <c r="V4" t="s">
        <v>71</v>
      </c>
      <c r="W4">
        <v>7</v>
      </c>
      <c r="X4">
        <v>1884213</v>
      </c>
      <c r="Y4">
        <v>11987463</v>
      </c>
      <c r="Z4">
        <v>13871676</v>
      </c>
      <c r="AA4">
        <v>9998293</v>
      </c>
      <c r="AB4">
        <v>7.36205</v>
      </c>
      <c r="AC4">
        <v>0.83406199999999997</v>
      </c>
      <c r="AD4">
        <v>1.7207699999999999</v>
      </c>
      <c r="AE4">
        <v>4.0516100000000002</v>
      </c>
      <c r="AF4">
        <v>342572032</v>
      </c>
      <c r="AG4" t="s">
        <v>90</v>
      </c>
      <c r="AH4" t="s">
        <v>91</v>
      </c>
      <c r="AI4">
        <v>380074</v>
      </c>
      <c r="AJ4">
        <v>2912</v>
      </c>
      <c r="AM4">
        <v>229667698</v>
      </c>
      <c r="AN4">
        <v>0</v>
      </c>
      <c r="AO4">
        <v>153119865</v>
      </c>
      <c r="AP4">
        <v>229667698</v>
      </c>
      <c r="AQ4">
        <v>382787563</v>
      </c>
      <c r="AR4">
        <v>57416924</v>
      </c>
      <c r="AS4">
        <v>0</v>
      </c>
      <c r="AT4">
        <v>38279966</v>
      </c>
      <c r="AU4">
        <v>57416924</v>
      </c>
      <c r="AV4">
        <v>95696890</v>
      </c>
      <c r="AW4">
        <v>28.471900000000002</v>
      </c>
      <c r="AX4">
        <v>15.1676</v>
      </c>
      <c r="AY4">
        <v>5234.6899999999996</v>
      </c>
      <c r="AZ4">
        <v>3591.81</v>
      </c>
      <c r="BA4">
        <v>2910</v>
      </c>
      <c r="BB4">
        <v>445</v>
      </c>
      <c r="BC4" t="str">
        <f t="shared" si="0"/>
        <v>u=40%, k=2x10^7</v>
      </c>
      <c r="BD4">
        <f t="shared" si="1"/>
        <v>4</v>
      </c>
    </row>
    <row r="5" spans="1:56">
      <c r="A5" t="s">
        <v>92</v>
      </c>
      <c r="B5" t="s">
        <v>63</v>
      </c>
      <c r="C5">
        <v>72</v>
      </c>
      <c r="D5" t="s">
        <v>64</v>
      </c>
      <c r="E5" t="s">
        <v>59</v>
      </c>
      <c r="F5" t="s">
        <v>60</v>
      </c>
      <c r="G5">
        <v>8000</v>
      </c>
      <c r="H5">
        <v>20</v>
      </c>
      <c r="I5">
        <v>20</v>
      </c>
      <c r="J5">
        <v>0</v>
      </c>
      <c r="K5">
        <v>1</v>
      </c>
      <c r="L5">
        <v>20000000</v>
      </c>
      <c r="M5">
        <v>190</v>
      </c>
      <c r="N5">
        <v>190</v>
      </c>
      <c r="O5">
        <v>190</v>
      </c>
      <c r="P5">
        <v>0</v>
      </c>
      <c r="Q5" t="s">
        <v>61</v>
      </c>
      <c r="R5">
        <v>100031136960372</v>
      </c>
      <c r="S5">
        <v>10000894</v>
      </c>
      <c r="T5">
        <v>100031136960372</v>
      </c>
      <c r="U5">
        <v>10000894</v>
      </c>
      <c r="V5" t="s">
        <v>71</v>
      </c>
      <c r="W5">
        <v>7</v>
      </c>
      <c r="X5">
        <v>1845861</v>
      </c>
      <c r="Y5">
        <v>11912212</v>
      </c>
      <c r="Z5">
        <v>13758073</v>
      </c>
      <c r="AA5">
        <v>10000894</v>
      </c>
      <c r="AB5">
        <v>7.4534700000000003</v>
      </c>
      <c r="AC5">
        <v>0.83955000000000002</v>
      </c>
      <c r="AD5">
        <v>1.7269099999999999</v>
      </c>
      <c r="AE5">
        <v>4.0438400000000003</v>
      </c>
      <c r="AF5">
        <v>338297472</v>
      </c>
      <c r="AG5" t="s">
        <v>93</v>
      </c>
      <c r="AH5" t="s">
        <v>94</v>
      </c>
      <c r="AI5">
        <v>775739</v>
      </c>
      <c r="AJ5">
        <v>5898</v>
      </c>
      <c r="AM5">
        <v>462502064</v>
      </c>
      <c r="AN5">
        <v>0</v>
      </c>
      <c r="AO5">
        <v>308321754</v>
      </c>
      <c r="AP5">
        <v>462502064</v>
      </c>
      <c r="AQ5">
        <v>770823818</v>
      </c>
      <c r="AR5">
        <v>57812758</v>
      </c>
      <c r="AS5">
        <v>0</v>
      </c>
      <c r="AT5">
        <v>38540219</v>
      </c>
      <c r="AU5">
        <v>57812758</v>
      </c>
      <c r="AV5">
        <v>96352977</v>
      </c>
      <c r="AW5">
        <v>28.5276</v>
      </c>
      <c r="AX5">
        <v>15.2387</v>
      </c>
      <c r="AY5">
        <v>5274.36</v>
      </c>
      <c r="AZ5">
        <v>3627.64</v>
      </c>
      <c r="BA5">
        <v>2927</v>
      </c>
      <c r="BB5">
        <v>386</v>
      </c>
      <c r="BC5" t="str">
        <f t="shared" si="0"/>
        <v>u=40%, k=2x10^7</v>
      </c>
      <c r="BD5">
        <f t="shared" si="1"/>
        <v>8</v>
      </c>
    </row>
    <row r="6" spans="1:56">
      <c r="A6" t="s">
        <v>95</v>
      </c>
      <c r="B6" t="s">
        <v>63</v>
      </c>
      <c r="C6">
        <v>72</v>
      </c>
      <c r="D6" t="s">
        <v>64</v>
      </c>
      <c r="E6" t="s">
        <v>59</v>
      </c>
      <c r="F6" t="s">
        <v>60</v>
      </c>
      <c r="G6">
        <v>16000</v>
      </c>
      <c r="H6">
        <v>20</v>
      </c>
      <c r="I6">
        <v>20</v>
      </c>
      <c r="J6">
        <v>0</v>
      </c>
      <c r="K6">
        <v>1</v>
      </c>
      <c r="L6">
        <v>20000000</v>
      </c>
      <c r="M6">
        <v>190</v>
      </c>
      <c r="N6">
        <v>190</v>
      </c>
      <c r="O6">
        <v>190</v>
      </c>
      <c r="P6">
        <v>0</v>
      </c>
      <c r="Q6" t="s">
        <v>61</v>
      </c>
      <c r="R6">
        <v>99977363344333</v>
      </c>
      <c r="S6">
        <v>9997861</v>
      </c>
      <c r="T6">
        <v>99977363344333</v>
      </c>
      <c r="U6">
        <v>9997861</v>
      </c>
      <c r="V6" t="s">
        <v>71</v>
      </c>
      <c r="W6">
        <v>7</v>
      </c>
      <c r="X6">
        <v>1789929</v>
      </c>
      <c r="Y6">
        <v>11790761</v>
      </c>
      <c r="Z6">
        <v>13580690</v>
      </c>
      <c r="AA6">
        <v>9997861</v>
      </c>
      <c r="AB6">
        <v>7.5872799999999998</v>
      </c>
      <c r="AC6">
        <v>0.84794000000000003</v>
      </c>
      <c r="AD6">
        <v>1.7361800000000001</v>
      </c>
      <c r="AE6">
        <v>4.0329300000000003</v>
      </c>
      <c r="AF6">
        <v>331870288</v>
      </c>
      <c r="AG6" t="s">
        <v>96</v>
      </c>
      <c r="AH6" t="s">
        <v>97</v>
      </c>
      <c r="AI6">
        <v>1557639</v>
      </c>
      <c r="AJ6">
        <v>11846</v>
      </c>
      <c r="AM6">
        <v>927918603</v>
      </c>
      <c r="AN6">
        <v>0</v>
      </c>
      <c r="AO6">
        <v>618610027</v>
      </c>
      <c r="AP6">
        <v>927918603</v>
      </c>
      <c r="AQ6">
        <v>1546528630</v>
      </c>
      <c r="AR6">
        <v>57994912</v>
      </c>
      <c r="AS6">
        <v>0</v>
      </c>
      <c r="AT6">
        <v>38663126</v>
      </c>
      <c r="AU6">
        <v>57994912</v>
      </c>
      <c r="AV6">
        <v>96658039</v>
      </c>
      <c r="AW6">
        <v>28.596299999999999</v>
      </c>
      <c r="AX6">
        <v>15.284000000000001</v>
      </c>
      <c r="AY6">
        <v>5286.38</v>
      </c>
      <c r="AZ6">
        <v>3635.32</v>
      </c>
      <c r="BA6">
        <v>2929</v>
      </c>
      <c r="BB6">
        <v>378</v>
      </c>
      <c r="BC6" t="str">
        <f t="shared" si="0"/>
        <v>u=40%, k=2x10^7</v>
      </c>
      <c r="BD6">
        <f t="shared" si="1"/>
        <v>16</v>
      </c>
    </row>
    <row r="7" spans="1:56">
      <c r="A7" t="s">
        <v>98</v>
      </c>
      <c r="B7" t="s">
        <v>63</v>
      </c>
      <c r="C7">
        <v>72</v>
      </c>
      <c r="D7" t="s">
        <v>64</v>
      </c>
      <c r="E7" t="s">
        <v>59</v>
      </c>
      <c r="F7" t="s">
        <v>60</v>
      </c>
      <c r="G7">
        <v>32000</v>
      </c>
      <c r="H7">
        <v>20</v>
      </c>
      <c r="I7">
        <v>20</v>
      </c>
      <c r="J7">
        <v>0</v>
      </c>
      <c r="K7">
        <v>1</v>
      </c>
      <c r="L7">
        <v>20000000</v>
      </c>
      <c r="M7">
        <v>190</v>
      </c>
      <c r="N7">
        <v>190</v>
      </c>
      <c r="O7">
        <v>190</v>
      </c>
      <c r="P7">
        <v>0</v>
      </c>
      <c r="Q7" t="s">
        <v>61</v>
      </c>
      <c r="R7">
        <v>99972816447581</v>
      </c>
      <c r="S7">
        <v>9998815</v>
      </c>
      <c r="T7">
        <v>99972816447581</v>
      </c>
      <c r="U7">
        <v>9998815</v>
      </c>
      <c r="V7" t="s">
        <v>71</v>
      </c>
      <c r="W7">
        <v>7</v>
      </c>
      <c r="X7">
        <v>1887855</v>
      </c>
      <c r="Y7">
        <v>11995989</v>
      </c>
      <c r="Z7">
        <v>13883844</v>
      </c>
      <c r="AA7">
        <v>9998815</v>
      </c>
      <c r="AB7">
        <v>7.3543000000000003</v>
      </c>
      <c r="AC7">
        <v>0.83351299999999995</v>
      </c>
      <c r="AD7">
        <v>1.72018</v>
      </c>
      <c r="AE7">
        <v>4.0523899999999999</v>
      </c>
      <c r="AF7">
        <v>343001168</v>
      </c>
      <c r="AG7" t="s">
        <v>99</v>
      </c>
      <c r="AH7" t="s">
        <v>100</v>
      </c>
      <c r="AI7">
        <v>3126340</v>
      </c>
      <c r="AJ7">
        <v>23648</v>
      </c>
      <c r="AM7">
        <v>1856979707</v>
      </c>
      <c r="AN7">
        <v>0</v>
      </c>
      <c r="AO7">
        <v>1238006668</v>
      </c>
      <c r="AP7">
        <v>1856979707</v>
      </c>
      <c r="AQ7">
        <v>3094986375</v>
      </c>
      <c r="AR7">
        <v>58030615</v>
      </c>
      <c r="AS7">
        <v>0</v>
      </c>
      <c r="AT7">
        <v>38687708</v>
      </c>
      <c r="AU7">
        <v>58030615</v>
      </c>
      <c r="AV7">
        <v>96718324</v>
      </c>
      <c r="AW7">
        <v>28.6357</v>
      </c>
      <c r="AX7">
        <v>15.304600000000001</v>
      </c>
      <c r="AY7">
        <v>5297.81</v>
      </c>
      <c r="AZ7">
        <v>3651.56</v>
      </c>
      <c r="BA7">
        <v>2939</v>
      </c>
      <c r="BB7">
        <v>436</v>
      </c>
      <c r="BC7" t="str">
        <f t="shared" si="0"/>
        <v>u=40%, k=2x10^7</v>
      </c>
      <c r="BD7">
        <f t="shared" si="1"/>
        <v>32</v>
      </c>
    </row>
    <row r="8" spans="1:56">
      <c r="A8" t="s">
        <v>101</v>
      </c>
      <c r="B8" t="s">
        <v>63</v>
      </c>
      <c r="C8">
        <v>72</v>
      </c>
      <c r="D8" t="s">
        <v>64</v>
      </c>
      <c r="E8" t="s">
        <v>59</v>
      </c>
      <c r="F8" t="s">
        <v>60</v>
      </c>
      <c r="G8">
        <v>64000</v>
      </c>
      <c r="H8">
        <v>20</v>
      </c>
      <c r="I8">
        <v>20</v>
      </c>
      <c r="J8">
        <v>0</v>
      </c>
      <c r="K8">
        <v>1</v>
      </c>
      <c r="L8">
        <v>20000000</v>
      </c>
      <c r="M8">
        <v>190</v>
      </c>
      <c r="N8">
        <v>190</v>
      </c>
      <c r="O8">
        <v>190</v>
      </c>
      <c r="P8">
        <v>0</v>
      </c>
      <c r="Q8" t="s">
        <v>61</v>
      </c>
      <c r="R8">
        <v>99993133890336</v>
      </c>
      <c r="S8">
        <v>9999668</v>
      </c>
      <c r="T8">
        <v>99993133890336</v>
      </c>
      <c r="U8">
        <v>9999668</v>
      </c>
      <c r="V8" t="s">
        <v>71</v>
      </c>
      <c r="W8">
        <v>7</v>
      </c>
      <c r="X8">
        <v>1897634</v>
      </c>
      <c r="Y8">
        <v>12017128</v>
      </c>
      <c r="Z8">
        <v>13914762</v>
      </c>
      <c r="AA8">
        <v>9999668</v>
      </c>
      <c r="AB8">
        <v>7.3326900000000004</v>
      </c>
      <c r="AC8">
        <v>0.83211800000000002</v>
      </c>
      <c r="AD8">
        <v>1.7186399999999999</v>
      </c>
      <c r="AE8">
        <v>4.0542499999999997</v>
      </c>
      <c r="AF8">
        <v>344120176</v>
      </c>
      <c r="AG8" t="s">
        <v>102</v>
      </c>
      <c r="AH8" t="s">
        <v>103</v>
      </c>
      <c r="AI8">
        <v>6227875</v>
      </c>
      <c r="AJ8">
        <v>47284</v>
      </c>
      <c r="AM8">
        <v>3701441456</v>
      </c>
      <c r="AN8">
        <v>0</v>
      </c>
      <c r="AO8">
        <v>2467648164</v>
      </c>
      <c r="AP8">
        <v>3701441456</v>
      </c>
      <c r="AQ8">
        <v>6169089620</v>
      </c>
      <c r="AR8">
        <v>57835022</v>
      </c>
      <c r="AS8">
        <v>0</v>
      </c>
      <c r="AT8">
        <v>38557002</v>
      </c>
      <c r="AU8">
        <v>57835022</v>
      </c>
      <c r="AV8">
        <v>96392025</v>
      </c>
      <c r="AW8">
        <v>28.629799999999999</v>
      </c>
      <c r="AX8">
        <v>15.308199999999999</v>
      </c>
      <c r="AY8">
        <v>5321.82</v>
      </c>
      <c r="AZ8">
        <v>3666.44</v>
      </c>
      <c r="BA8">
        <v>2961</v>
      </c>
      <c r="BB8">
        <v>367</v>
      </c>
      <c r="BC8" t="str">
        <f t="shared" si="0"/>
        <v>u=40%, k=2x10^7</v>
      </c>
      <c r="BD8">
        <f t="shared" si="1"/>
        <v>64</v>
      </c>
    </row>
    <row r="9" spans="1:56">
      <c r="A9" t="s">
        <v>104</v>
      </c>
      <c r="B9" t="s">
        <v>105</v>
      </c>
      <c r="D9" t="s">
        <v>64</v>
      </c>
      <c r="E9" t="s">
        <v>59</v>
      </c>
      <c r="F9" t="s">
        <v>60</v>
      </c>
      <c r="G9">
        <v>1000</v>
      </c>
      <c r="H9">
        <v>20</v>
      </c>
      <c r="I9">
        <v>20</v>
      </c>
      <c r="J9">
        <v>0</v>
      </c>
      <c r="K9">
        <v>1</v>
      </c>
      <c r="L9">
        <v>20000000</v>
      </c>
      <c r="M9">
        <v>190</v>
      </c>
      <c r="N9">
        <v>190</v>
      </c>
      <c r="O9">
        <v>190</v>
      </c>
      <c r="P9">
        <v>0</v>
      </c>
      <c r="Q9" t="s">
        <v>61</v>
      </c>
      <c r="R9">
        <v>99976803464800</v>
      </c>
      <c r="S9">
        <v>9997576</v>
      </c>
      <c r="T9">
        <v>99976803464800</v>
      </c>
      <c r="U9">
        <v>9997576</v>
      </c>
      <c r="V9" t="s">
        <v>71</v>
      </c>
      <c r="W9">
        <v>29</v>
      </c>
      <c r="X9">
        <v>6695328</v>
      </c>
      <c r="Y9">
        <v>5072744</v>
      </c>
      <c r="Z9">
        <v>11768072</v>
      </c>
      <c r="AA9">
        <v>9997576</v>
      </c>
      <c r="AB9">
        <v>1.7576499999999999</v>
      </c>
      <c r="AC9">
        <v>1.9708399999999999</v>
      </c>
      <c r="AD9">
        <v>1.84955</v>
      </c>
      <c r="AE9">
        <v>23.1858</v>
      </c>
      <c r="AF9">
        <v>659012032</v>
      </c>
      <c r="AJ9" t="s">
        <v>106</v>
      </c>
      <c r="AM9">
        <v>57830389</v>
      </c>
      <c r="AN9">
        <v>0</v>
      </c>
      <c r="AO9">
        <v>38551503</v>
      </c>
      <c r="AP9">
        <v>57830389</v>
      </c>
      <c r="AQ9">
        <v>96381892</v>
      </c>
      <c r="AR9">
        <v>57830389</v>
      </c>
      <c r="AS9">
        <v>0</v>
      </c>
      <c r="AT9">
        <v>38551503</v>
      </c>
      <c r="AU9">
        <v>57830389</v>
      </c>
      <c r="AV9">
        <v>96381892</v>
      </c>
      <c r="AW9">
        <v>31.627500000000001</v>
      </c>
      <c r="AX9">
        <v>11.5001</v>
      </c>
      <c r="AY9">
        <v>5425.5</v>
      </c>
      <c r="AZ9">
        <v>3830.75</v>
      </c>
      <c r="BA9">
        <v>1953</v>
      </c>
      <c r="BB9">
        <v>438</v>
      </c>
      <c r="BC9" t="str">
        <f t="shared" si="0"/>
        <v>u=40%, k=2x10^7</v>
      </c>
      <c r="BD9">
        <f t="shared" si="1"/>
        <v>1</v>
      </c>
    </row>
    <row r="10" spans="1:56">
      <c r="A10" t="s">
        <v>107</v>
      </c>
      <c r="B10" t="s">
        <v>105</v>
      </c>
      <c r="D10" t="s">
        <v>64</v>
      </c>
      <c r="E10" t="s">
        <v>59</v>
      </c>
      <c r="F10" t="s">
        <v>60</v>
      </c>
      <c r="G10">
        <v>2000</v>
      </c>
      <c r="H10">
        <v>20</v>
      </c>
      <c r="I10">
        <v>20</v>
      </c>
      <c r="J10">
        <v>0</v>
      </c>
      <c r="K10">
        <v>1</v>
      </c>
      <c r="L10">
        <v>20000000</v>
      </c>
      <c r="M10">
        <v>190</v>
      </c>
      <c r="N10">
        <v>190</v>
      </c>
      <c r="O10">
        <v>190</v>
      </c>
      <c r="P10">
        <v>0</v>
      </c>
      <c r="Q10" t="s">
        <v>61</v>
      </c>
      <c r="R10">
        <v>100069101498184</v>
      </c>
      <c r="S10">
        <v>10006057</v>
      </c>
      <c r="T10">
        <v>100069101498184</v>
      </c>
      <c r="U10">
        <v>10006057</v>
      </c>
      <c r="V10" t="s">
        <v>71</v>
      </c>
      <c r="W10">
        <v>29</v>
      </c>
      <c r="X10">
        <v>6838399</v>
      </c>
      <c r="Y10">
        <v>5185720</v>
      </c>
      <c r="Z10">
        <v>12024119</v>
      </c>
      <c r="AA10">
        <v>10006057</v>
      </c>
      <c r="AB10">
        <v>1.7583200000000001</v>
      </c>
      <c r="AC10">
        <v>1.92954</v>
      </c>
      <c r="AD10">
        <v>1.8321700000000001</v>
      </c>
      <c r="AE10">
        <v>23.2559</v>
      </c>
      <c r="AF10">
        <v>673350664</v>
      </c>
      <c r="AJ10">
        <v>1296</v>
      </c>
      <c r="AM10">
        <v>115096921</v>
      </c>
      <c r="AN10">
        <v>0</v>
      </c>
      <c r="AO10">
        <v>76728499</v>
      </c>
      <c r="AP10">
        <v>115096921</v>
      </c>
      <c r="AQ10">
        <v>191825420</v>
      </c>
      <c r="AR10">
        <v>57548460</v>
      </c>
      <c r="AS10">
        <v>0</v>
      </c>
      <c r="AT10">
        <v>38364249</v>
      </c>
      <c r="AU10">
        <v>57548460</v>
      </c>
      <c r="AV10">
        <v>95912710</v>
      </c>
      <c r="AW10">
        <v>31.488199999999999</v>
      </c>
      <c r="AX10">
        <v>11.6419</v>
      </c>
      <c r="AY10">
        <v>5494.43</v>
      </c>
      <c r="AZ10">
        <v>3896.16</v>
      </c>
      <c r="BA10">
        <v>2059</v>
      </c>
      <c r="BB10">
        <v>434</v>
      </c>
      <c r="BC10" t="str">
        <f t="shared" si="0"/>
        <v>u=40%, k=2x10^7</v>
      </c>
      <c r="BD10">
        <f t="shared" si="1"/>
        <v>2</v>
      </c>
    </row>
    <row r="11" spans="1:56">
      <c r="A11" t="s">
        <v>108</v>
      </c>
      <c r="B11" t="s">
        <v>105</v>
      </c>
      <c r="D11" t="s">
        <v>64</v>
      </c>
      <c r="E11" t="s">
        <v>59</v>
      </c>
      <c r="F11" t="s">
        <v>60</v>
      </c>
      <c r="G11">
        <v>4000</v>
      </c>
      <c r="H11">
        <v>20</v>
      </c>
      <c r="I11">
        <v>20</v>
      </c>
      <c r="J11">
        <v>0</v>
      </c>
      <c r="K11">
        <v>1</v>
      </c>
      <c r="L11">
        <v>20000000</v>
      </c>
      <c r="M11">
        <v>190</v>
      </c>
      <c r="N11">
        <v>190</v>
      </c>
      <c r="O11">
        <v>190</v>
      </c>
      <c r="P11">
        <v>0</v>
      </c>
      <c r="Q11" t="s">
        <v>61</v>
      </c>
      <c r="R11">
        <v>100009682063206</v>
      </c>
      <c r="S11">
        <v>10000068</v>
      </c>
      <c r="T11">
        <v>100009682063206</v>
      </c>
      <c r="U11">
        <v>10000068</v>
      </c>
      <c r="V11" t="s">
        <v>71</v>
      </c>
      <c r="W11">
        <v>30</v>
      </c>
      <c r="X11">
        <v>6857918</v>
      </c>
      <c r="Y11">
        <v>5202884</v>
      </c>
      <c r="Z11">
        <v>12060802</v>
      </c>
      <c r="AA11">
        <v>10000068</v>
      </c>
      <c r="AB11">
        <v>1.75867</v>
      </c>
      <c r="AC11">
        <v>1.9220200000000001</v>
      </c>
      <c r="AD11">
        <v>1.82914</v>
      </c>
      <c r="AE11">
        <v>23.2879</v>
      </c>
      <c r="AF11">
        <v>675404912</v>
      </c>
      <c r="AJ11" t="s">
        <v>109</v>
      </c>
      <c r="AM11">
        <v>228400727</v>
      </c>
      <c r="AN11">
        <v>0</v>
      </c>
      <c r="AO11">
        <v>152243782</v>
      </c>
      <c r="AP11">
        <v>228400727</v>
      </c>
      <c r="AQ11">
        <v>380644509</v>
      </c>
      <c r="AR11">
        <v>57100181</v>
      </c>
      <c r="AS11">
        <v>0</v>
      </c>
      <c r="AT11">
        <v>38060945</v>
      </c>
      <c r="AU11">
        <v>57100181</v>
      </c>
      <c r="AV11">
        <v>95161127</v>
      </c>
      <c r="AW11">
        <v>31.967400000000001</v>
      </c>
      <c r="AX11">
        <v>11.7797</v>
      </c>
      <c r="AY11">
        <v>5543.82</v>
      </c>
      <c r="AZ11">
        <v>3953.54</v>
      </c>
      <c r="BA11">
        <v>2194</v>
      </c>
      <c r="BB11">
        <v>422</v>
      </c>
      <c r="BC11" t="str">
        <f t="shared" si="0"/>
        <v>u=40%, k=2x10^7</v>
      </c>
      <c r="BD11">
        <f t="shared" si="1"/>
        <v>4</v>
      </c>
    </row>
    <row r="12" spans="1:56">
      <c r="A12" t="s">
        <v>110</v>
      </c>
      <c r="B12" t="s">
        <v>105</v>
      </c>
      <c r="D12" t="s">
        <v>64</v>
      </c>
      <c r="E12" t="s">
        <v>59</v>
      </c>
      <c r="F12" t="s">
        <v>60</v>
      </c>
      <c r="G12">
        <v>8000</v>
      </c>
      <c r="H12">
        <v>20</v>
      </c>
      <c r="I12">
        <v>20</v>
      </c>
      <c r="J12">
        <v>0</v>
      </c>
      <c r="K12">
        <v>1</v>
      </c>
      <c r="L12">
        <v>20000000</v>
      </c>
      <c r="M12">
        <v>190</v>
      </c>
      <c r="N12">
        <v>190</v>
      </c>
      <c r="O12">
        <v>190</v>
      </c>
      <c r="P12">
        <v>0</v>
      </c>
      <c r="Q12" t="s">
        <v>61</v>
      </c>
      <c r="R12">
        <v>100015141549283</v>
      </c>
      <c r="S12">
        <v>10000185</v>
      </c>
      <c r="T12">
        <v>100015141549283</v>
      </c>
      <c r="U12">
        <v>10000185</v>
      </c>
      <c r="V12" t="s">
        <v>71</v>
      </c>
      <c r="W12">
        <v>29</v>
      </c>
      <c r="X12">
        <v>6857058</v>
      </c>
      <c r="Y12">
        <v>5201397</v>
      </c>
      <c r="Z12">
        <v>12058455</v>
      </c>
      <c r="AA12">
        <v>10000185</v>
      </c>
      <c r="AB12">
        <v>1.7585500000000001</v>
      </c>
      <c r="AC12">
        <v>1.9226000000000001</v>
      </c>
      <c r="AD12">
        <v>1.82931</v>
      </c>
      <c r="AE12">
        <v>23.2834</v>
      </c>
      <c r="AF12">
        <v>675273480</v>
      </c>
      <c r="AJ12">
        <v>4602</v>
      </c>
      <c r="AM12">
        <v>448573162</v>
      </c>
      <c r="AN12">
        <v>0</v>
      </c>
      <c r="AO12">
        <v>299041313</v>
      </c>
      <c r="AP12">
        <v>448573162</v>
      </c>
      <c r="AQ12">
        <v>747614475</v>
      </c>
      <c r="AR12">
        <v>56071645</v>
      </c>
      <c r="AS12">
        <v>0</v>
      </c>
      <c r="AT12">
        <v>37380164</v>
      </c>
      <c r="AU12">
        <v>56071645</v>
      </c>
      <c r="AV12">
        <v>93451809</v>
      </c>
      <c r="AW12">
        <v>32.044400000000003</v>
      </c>
      <c r="AX12">
        <v>11.947900000000001</v>
      </c>
      <c r="AY12">
        <v>5648.91</v>
      </c>
      <c r="AZ12">
        <v>4029.1</v>
      </c>
      <c r="BA12">
        <v>2341</v>
      </c>
      <c r="BB12">
        <v>442</v>
      </c>
      <c r="BC12" t="str">
        <f t="shared" si="0"/>
        <v>u=40%, k=2x10^7</v>
      </c>
      <c r="BD12">
        <f t="shared" si="1"/>
        <v>8</v>
      </c>
    </row>
    <row r="13" spans="1:56">
      <c r="A13" t="s">
        <v>111</v>
      </c>
      <c r="B13" t="s">
        <v>105</v>
      </c>
      <c r="D13" t="s">
        <v>64</v>
      </c>
      <c r="E13" t="s">
        <v>59</v>
      </c>
      <c r="F13" t="s">
        <v>60</v>
      </c>
      <c r="G13">
        <v>16000</v>
      </c>
      <c r="H13">
        <v>20</v>
      </c>
      <c r="I13">
        <v>20</v>
      </c>
      <c r="J13">
        <v>0</v>
      </c>
      <c r="K13">
        <v>1</v>
      </c>
      <c r="L13">
        <v>20000000</v>
      </c>
      <c r="M13">
        <v>190</v>
      </c>
      <c r="N13">
        <v>190</v>
      </c>
      <c r="O13">
        <v>190</v>
      </c>
      <c r="P13">
        <v>0</v>
      </c>
      <c r="Q13" t="s">
        <v>61</v>
      </c>
      <c r="R13">
        <v>99995929172155</v>
      </c>
      <c r="S13">
        <v>10001156</v>
      </c>
      <c r="T13">
        <v>99995929172155</v>
      </c>
      <c r="U13">
        <v>10001156</v>
      </c>
      <c r="V13" t="s">
        <v>71</v>
      </c>
      <c r="W13">
        <v>29</v>
      </c>
      <c r="X13">
        <v>6858235</v>
      </c>
      <c r="Y13">
        <v>5203496</v>
      </c>
      <c r="Z13">
        <v>12061731</v>
      </c>
      <c r="AA13">
        <v>10001156</v>
      </c>
      <c r="AB13">
        <v>1.7587200000000001</v>
      </c>
      <c r="AC13">
        <v>1.92201</v>
      </c>
      <c r="AD13">
        <v>1.8291599999999999</v>
      </c>
      <c r="AE13">
        <v>23.230899999999998</v>
      </c>
      <c r="AF13">
        <v>675456936</v>
      </c>
      <c r="AJ13">
        <v>8926</v>
      </c>
      <c r="AM13">
        <v>885312908</v>
      </c>
      <c r="AN13">
        <v>0</v>
      </c>
      <c r="AO13">
        <v>590214101</v>
      </c>
      <c r="AP13">
        <v>885312908</v>
      </c>
      <c r="AQ13">
        <v>1475527009</v>
      </c>
      <c r="AR13">
        <v>55332056</v>
      </c>
      <c r="AS13">
        <v>0</v>
      </c>
      <c r="AT13">
        <v>36888381</v>
      </c>
      <c r="AU13">
        <v>55332056</v>
      </c>
      <c r="AV13">
        <v>92220438</v>
      </c>
      <c r="AW13">
        <v>32.392800000000001</v>
      </c>
      <c r="AX13">
        <v>12.124599999999999</v>
      </c>
      <c r="AY13">
        <v>5722.18</v>
      </c>
      <c r="AZ13">
        <v>4085.58</v>
      </c>
      <c r="BA13">
        <v>2455</v>
      </c>
      <c r="BB13">
        <v>435</v>
      </c>
      <c r="BC13" t="str">
        <f t="shared" si="0"/>
        <v>u=40%, k=2x10^7</v>
      </c>
      <c r="BD13">
        <f t="shared" si="1"/>
        <v>16</v>
      </c>
    </row>
    <row r="14" spans="1:56">
      <c r="A14" t="s">
        <v>112</v>
      </c>
      <c r="B14" t="s">
        <v>105</v>
      </c>
      <c r="D14" t="s">
        <v>64</v>
      </c>
      <c r="E14" t="s">
        <v>59</v>
      </c>
      <c r="F14" t="s">
        <v>60</v>
      </c>
      <c r="G14">
        <v>32000</v>
      </c>
      <c r="H14">
        <v>20</v>
      </c>
      <c r="I14">
        <v>20</v>
      </c>
      <c r="J14">
        <v>0</v>
      </c>
      <c r="K14">
        <v>1</v>
      </c>
      <c r="L14">
        <v>20000000</v>
      </c>
      <c r="M14">
        <v>190</v>
      </c>
      <c r="N14">
        <v>190</v>
      </c>
      <c r="O14">
        <v>190</v>
      </c>
      <c r="P14">
        <v>0</v>
      </c>
      <c r="Q14" t="s">
        <v>61</v>
      </c>
      <c r="R14">
        <v>99980713773591</v>
      </c>
      <c r="S14">
        <v>9998252</v>
      </c>
      <c r="T14">
        <v>99980713773591</v>
      </c>
      <c r="U14">
        <v>9998252</v>
      </c>
      <c r="V14" t="s">
        <v>71</v>
      </c>
      <c r="W14">
        <v>29</v>
      </c>
      <c r="X14">
        <v>6856128</v>
      </c>
      <c r="Y14">
        <v>5201930</v>
      </c>
      <c r="Z14">
        <v>12058058</v>
      </c>
      <c r="AA14">
        <v>9998252</v>
      </c>
      <c r="AB14">
        <v>1.7587299999999999</v>
      </c>
      <c r="AC14">
        <v>1.9220299999999999</v>
      </c>
      <c r="AD14">
        <v>1.82918</v>
      </c>
      <c r="AE14">
        <v>23.297000000000001</v>
      </c>
      <c r="AF14">
        <v>675251248</v>
      </c>
      <c r="AJ14" t="s">
        <v>113</v>
      </c>
      <c r="AM14">
        <v>1757849489</v>
      </c>
      <c r="AN14">
        <v>0</v>
      </c>
      <c r="AO14">
        <v>1171834955</v>
      </c>
      <c r="AP14">
        <v>1757849489</v>
      </c>
      <c r="AQ14">
        <v>2929684444</v>
      </c>
      <c r="AR14">
        <v>54932796</v>
      </c>
      <c r="AS14">
        <v>0</v>
      </c>
      <c r="AT14">
        <v>36619842</v>
      </c>
      <c r="AU14">
        <v>54932796</v>
      </c>
      <c r="AV14">
        <v>91552638</v>
      </c>
      <c r="AW14">
        <v>32.777200000000001</v>
      </c>
      <c r="AX14">
        <v>12.305199999999999</v>
      </c>
      <c r="AY14">
        <v>5768.61</v>
      </c>
      <c r="AZ14">
        <v>4156.05</v>
      </c>
      <c r="BA14">
        <v>2512</v>
      </c>
      <c r="BB14">
        <v>429</v>
      </c>
      <c r="BC14" t="str">
        <f t="shared" si="0"/>
        <v>u=40%, k=2x10^7</v>
      </c>
      <c r="BD14">
        <f t="shared" si="1"/>
        <v>32</v>
      </c>
    </row>
    <row r="15" spans="1:56">
      <c r="A15" t="s">
        <v>114</v>
      </c>
      <c r="B15" t="s">
        <v>105</v>
      </c>
      <c r="D15" t="s">
        <v>64</v>
      </c>
      <c r="E15" t="s">
        <v>59</v>
      </c>
      <c r="F15" t="s">
        <v>60</v>
      </c>
      <c r="G15">
        <v>64000</v>
      </c>
      <c r="H15">
        <v>20</v>
      </c>
      <c r="I15">
        <v>20</v>
      </c>
      <c r="J15">
        <v>0</v>
      </c>
      <c r="K15">
        <v>1</v>
      </c>
      <c r="L15">
        <v>20000000</v>
      </c>
      <c r="M15">
        <v>190</v>
      </c>
      <c r="N15">
        <v>190</v>
      </c>
      <c r="O15">
        <v>190</v>
      </c>
      <c r="P15">
        <v>0</v>
      </c>
      <c r="Q15" t="s">
        <v>61</v>
      </c>
      <c r="R15">
        <v>99988174846441</v>
      </c>
      <c r="S15">
        <v>10000268</v>
      </c>
      <c r="T15">
        <v>99988174846441</v>
      </c>
      <c r="U15">
        <v>10000268</v>
      </c>
      <c r="V15" t="s">
        <v>71</v>
      </c>
      <c r="W15">
        <v>29</v>
      </c>
      <c r="X15">
        <v>6857697</v>
      </c>
      <c r="Y15">
        <v>5202296</v>
      </c>
      <c r="Z15">
        <v>12059993</v>
      </c>
      <c r="AA15">
        <v>10000268</v>
      </c>
      <c r="AB15">
        <v>1.75861</v>
      </c>
      <c r="AC15">
        <v>1.92228</v>
      </c>
      <c r="AD15">
        <v>1.82921</v>
      </c>
      <c r="AE15">
        <v>23.1831</v>
      </c>
      <c r="AF15">
        <v>675359608</v>
      </c>
      <c r="AJ15" t="s">
        <v>115</v>
      </c>
      <c r="AM15">
        <v>3477077642</v>
      </c>
      <c r="AN15">
        <v>0</v>
      </c>
      <c r="AO15">
        <v>2318070958</v>
      </c>
      <c r="AP15">
        <v>3477077642</v>
      </c>
      <c r="AQ15">
        <v>5795148600</v>
      </c>
      <c r="AR15">
        <v>54329338</v>
      </c>
      <c r="AS15">
        <v>0</v>
      </c>
      <c r="AT15">
        <v>36219858</v>
      </c>
      <c r="AU15">
        <v>54329338</v>
      </c>
      <c r="AV15">
        <v>90549196</v>
      </c>
      <c r="AW15">
        <v>33.140500000000003</v>
      </c>
      <c r="AX15">
        <v>12.439</v>
      </c>
      <c r="AY15">
        <v>5831.2</v>
      </c>
      <c r="AZ15">
        <v>4172.25</v>
      </c>
      <c r="BA15">
        <v>2531</v>
      </c>
      <c r="BB15">
        <v>440</v>
      </c>
      <c r="BC15" t="str">
        <f t="shared" si="0"/>
        <v>u=40%, k=2x10^7</v>
      </c>
      <c r="BD15">
        <f t="shared" si="1"/>
        <v>64</v>
      </c>
    </row>
    <row r="16" spans="1:56">
      <c r="A16" t="s">
        <v>116</v>
      </c>
      <c r="B16" t="s">
        <v>63</v>
      </c>
      <c r="C16">
        <v>72</v>
      </c>
      <c r="D16" t="s">
        <v>64</v>
      </c>
      <c r="E16" t="s">
        <v>59</v>
      </c>
      <c r="F16" t="s">
        <v>60</v>
      </c>
      <c r="G16">
        <v>1000</v>
      </c>
      <c r="H16">
        <v>0.5</v>
      </c>
      <c r="I16">
        <v>0.5</v>
      </c>
      <c r="J16">
        <v>0</v>
      </c>
      <c r="K16">
        <v>1</v>
      </c>
      <c r="L16">
        <v>20000000</v>
      </c>
      <c r="M16">
        <v>190</v>
      </c>
      <c r="N16">
        <v>190</v>
      </c>
      <c r="O16">
        <v>190</v>
      </c>
      <c r="P16">
        <v>0</v>
      </c>
      <c r="Q16" t="s">
        <v>61</v>
      </c>
      <c r="R16">
        <v>100004450361732</v>
      </c>
      <c r="S16">
        <v>9998713</v>
      </c>
      <c r="T16">
        <v>100004450361732</v>
      </c>
      <c r="U16">
        <v>9998713</v>
      </c>
      <c r="V16" t="s">
        <v>71</v>
      </c>
      <c r="W16">
        <v>7</v>
      </c>
      <c r="X16">
        <v>1901877</v>
      </c>
      <c r="Y16">
        <v>12022433</v>
      </c>
      <c r="Z16">
        <v>13924310</v>
      </c>
      <c r="AA16">
        <v>9998713</v>
      </c>
      <c r="AB16">
        <v>7.3213499999999998</v>
      </c>
      <c r="AC16">
        <v>0.83167100000000005</v>
      </c>
      <c r="AD16">
        <v>1.7180800000000001</v>
      </c>
      <c r="AE16">
        <v>4.0552599999999996</v>
      </c>
      <c r="AF16">
        <v>344541312</v>
      </c>
      <c r="AG16" t="s">
        <v>117</v>
      </c>
      <c r="AH16" t="s">
        <v>117</v>
      </c>
      <c r="AI16">
        <v>11</v>
      </c>
      <c r="AJ16">
        <v>1670</v>
      </c>
      <c r="AM16">
        <v>264492865</v>
      </c>
      <c r="AN16">
        <v>0</v>
      </c>
      <c r="AO16">
        <v>2670296</v>
      </c>
      <c r="AP16">
        <v>264492865</v>
      </c>
      <c r="AQ16">
        <v>267163161</v>
      </c>
      <c r="AR16">
        <v>264492865</v>
      </c>
      <c r="AS16">
        <v>0</v>
      </c>
      <c r="AT16">
        <v>2670296</v>
      </c>
      <c r="AU16">
        <v>264492865</v>
      </c>
      <c r="AV16">
        <v>267163161</v>
      </c>
      <c r="AW16">
        <v>15.9283</v>
      </c>
      <c r="AX16">
        <v>6.4747199999999996</v>
      </c>
      <c r="AY16">
        <v>1977.15</v>
      </c>
      <c r="AZ16">
        <v>1210.42</v>
      </c>
      <c r="BA16">
        <v>1915</v>
      </c>
      <c r="BB16">
        <v>365</v>
      </c>
      <c r="BC16" t="str">
        <f t="shared" si="0"/>
        <v>u=1%, k=2x10^7</v>
      </c>
      <c r="BD16">
        <f t="shared" si="1"/>
        <v>1</v>
      </c>
    </row>
    <row r="17" spans="1:56">
      <c r="A17" t="s">
        <v>118</v>
      </c>
      <c r="B17" t="s">
        <v>63</v>
      </c>
      <c r="C17">
        <v>72</v>
      </c>
      <c r="D17" t="s">
        <v>64</v>
      </c>
      <c r="E17" t="s">
        <v>59</v>
      </c>
      <c r="F17" t="s">
        <v>60</v>
      </c>
      <c r="G17">
        <v>2000</v>
      </c>
      <c r="H17">
        <v>0.5</v>
      </c>
      <c r="I17">
        <v>0.5</v>
      </c>
      <c r="J17">
        <v>0</v>
      </c>
      <c r="K17">
        <v>1</v>
      </c>
      <c r="L17">
        <v>20000000</v>
      </c>
      <c r="M17">
        <v>190</v>
      </c>
      <c r="N17">
        <v>190</v>
      </c>
      <c r="O17">
        <v>190</v>
      </c>
      <c r="P17">
        <v>0</v>
      </c>
      <c r="Q17" t="s">
        <v>61</v>
      </c>
      <c r="R17">
        <v>100008572143870</v>
      </c>
      <c r="S17">
        <v>10001237</v>
      </c>
      <c r="T17">
        <v>100008572143870</v>
      </c>
      <c r="U17">
        <v>10001237</v>
      </c>
      <c r="V17" t="s">
        <v>71</v>
      </c>
      <c r="W17">
        <v>7</v>
      </c>
      <c r="X17">
        <v>1646770</v>
      </c>
      <c r="Y17">
        <v>11485757</v>
      </c>
      <c r="Z17">
        <v>13132527</v>
      </c>
      <c r="AA17">
        <v>10001237</v>
      </c>
      <c r="AB17">
        <v>7.9747199999999996</v>
      </c>
      <c r="AC17">
        <v>0.87075100000000005</v>
      </c>
      <c r="AD17">
        <v>1.76156</v>
      </c>
      <c r="AE17">
        <v>4.0042</v>
      </c>
      <c r="AF17">
        <v>315513696</v>
      </c>
      <c r="AG17" t="s">
        <v>119</v>
      </c>
      <c r="AH17" t="s">
        <v>120</v>
      </c>
      <c r="AI17">
        <v>2212</v>
      </c>
      <c r="AJ17">
        <v>3140</v>
      </c>
      <c r="AM17">
        <v>503772496</v>
      </c>
      <c r="AN17">
        <v>0</v>
      </c>
      <c r="AO17">
        <v>5088744</v>
      </c>
      <c r="AP17">
        <v>503772496</v>
      </c>
      <c r="AQ17">
        <v>508861240</v>
      </c>
      <c r="AR17">
        <v>251886248</v>
      </c>
      <c r="AS17">
        <v>0</v>
      </c>
      <c r="AT17">
        <v>2544372</v>
      </c>
      <c r="AU17">
        <v>251886248</v>
      </c>
      <c r="AV17">
        <v>254430620</v>
      </c>
      <c r="AW17">
        <v>16.213200000000001</v>
      </c>
      <c r="AX17">
        <v>6.5886699999999996</v>
      </c>
      <c r="AY17">
        <v>2021.61</v>
      </c>
      <c r="AZ17">
        <v>1261.5</v>
      </c>
      <c r="BA17">
        <v>2600</v>
      </c>
      <c r="BB17">
        <v>358</v>
      </c>
      <c r="BC17" t="str">
        <f t="shared" si="0"/>
        <v>u=1%, k=2x10^7</v>
      </c>
      <c r="BD17">
        <f t="shared" si="1"/>
        <v>2</v>
      </c>
    </row>
    <row r="18" spans="1:56">
      <c r="A18" t="s">
        <v>121</v>
      </c>
      <c r="B18" t="s">
        <v>63</v>
      </c>
      <c r="C18">
        <v>72</v>
      </c>
      <c r="D18" t="s">
        <v>64</v>
      </c>
      <c r="E18" t="s">
        <v>59</v>
      </c>
      <c r="F18" t="s">
        <v>60</v>
      </c>
      <c r="G18">
        <v>4000</v>
      </c>
      <c r="H18">
        <v>0.5</v>
      </c>
      <c r="I18">
        <v>0.5</v>
      </c>
      <c r="J18">
        <v>0</v>
      </c>
      <c r="K18">
        <v>1</v>
      </c>
      <c r="L18">
        <v>20000000</v>
      </c>
      <c r="M18">
        <v>190</v>
      </c>
      <c r="N18">
        <v>190</v>
      </c>
      <c r="O18">
        <v>190</v>
      </c>
      <c r="P18">
        <v>0</v>
      </c>
      <c r="Q18" t="s">
        <v>61</v>
      </c>
      <c r="R18">
        <v>99999214876747</v>
      </c>
      <c r="S18">
        <v>10000194</v>
      </c>
      <c r="T18">
        <v>99999214876747</v>
      </c>
      <c r="U18">
        <v>10000194</v>
      </c>
      <c r="V18" t="s">
        <v>71</v>
      </c>
      <c r="W18">
        <v>7</v>
      </c>
      <c r="X18">
        <v>1625831</v>
      </c>
      <c r="Y18">
        <v>11442616</v>
      </c>
      <c r="Z18">
        <v>13068447</v>
      </c>
      <c r="AA18">
        <v>10000194</v>
      </c>
      <c r="AB18">
        <v>8.0380099999999999</v>
      </c>
      <c r="AC18">
        <v>0.87394300000000003</v>
      </c>
      <c r="AD18">
        <v>1.76522</v>
      </c>
      <c r="AE18">
        <v>4.0000099999999996</v>
      </c>
      <c r="AF18">
        <v>313148320</v>
      </c>
      <c r="AG18" t="s">
        <v>122</v>
      </c>
      <c r="AH18" t="s">
        <v>123</v>
      </c>
      <c r="AI18">
        <v>5168</v>
      </c>
      <c r="AJ18">
        <v>6144</v>
      </c>
      <c r="AM18">
        <v>989203389</v>
      </c>
      <c r="AN18">
        <v>0</v>
      </c>
      <c r="AO18">
        <v>9995530</v>
      </c>
      <c r="AP18">
        <v>989203389</v>
      </c>
      <c r="AQ18">
        <v>999198919</v>
      </c>
      <c r="AR18">
        <v>247300847</v>
      </c>
      <c r="AS18">
        <v>0</v>
      </c>
      <c r="AT18">
        <v>2498882</v>
      </c>
      <c r="AU18">
        <v>247300847</v>
      </c>
      <c r="AV18">
        <v>249799729</v>
      </c>
      <c r="AW18">
        <v>16.273199999999999</v>
      </c>
      <c r="AX18">
        <v>6.6117600000000003</v>
      </c>
      <c r="AY18">
        <v>2068.69</v>
      </c>
      <c r="AZ18">
        <v>1301.05</v>
      </c>
      <c r="BA18">
        <v>2735</v>
      </c>
      <c r="BB18">
        <v>412</v>
      </c>
      <c r="BC18" t="str">
        <f t="shared" si="0"/>
        <v>u=1%, k=2x10^7</v>
      </c>
      <c r="BD18">
        <f t="shared" si="1"/>
        <v>4</v>
      </c>
    </row>
    <row r="19" spans="1:56">
      <c r="A19" t="s">
        <v>124</v>
      </c>
      <c r="B19" t="s">
        <v>63</v>
      </c>
      <c r="C19">
        <v>72</v>
      </c>
      <c r="D19" t="s">
        <v>64</v>
      </c>
      <c r="E19" t="s">
        <v>59</v>
      </c>
      <c r="F19" t="s">
        <v>60</v>
      </c>
      <c r="G19">
        <v>8000</v>
      </c>
      <c r="H19">
        <v>0.5</v>
      </c>
      <c r="I19">
        <v>0.5</v>
      </c>
      <c r="J19">
        <v>0</v>
      </c>
      <c r="K19">
        <v>1</v>
      </c>
      <c r="L19">
        <v>20000000</v>
      </c>
      <c r="M19">
        <v>190</v>
      </c>
      <c r="N19">
        <v>190</v>
      </c>
      <c r="O19">
        <v>190</v>
      </c>
      <c r="P19">
        <v>0</v>
      </c>
      <c r="Q19" t="s">
        <v>61</v>
      </c>
      <c r="R19">
        <v>99967026804737</v>
      </c>
      <c r="S19">
        <v>9996811</v>
      </c>
      <c r="T19">
        <v>99967026804737</v>
      </c>
      <c r="U19">
        <v>9996811</v>
      </c>
      <c r="V19" t="s">
        <v>71</v>
      </c>
      <c r="W19">
        <v>7</v>
      </c>
      <c r="X19">
        <v>1655378</v>
      </c>
      <c r="Y19">
        <v>11499042</v>
      </c>
      <c r="Z19">
        <v>13154420</v>
      </c>
      <c r="AA19">
        <v>9996811</v>
      </c>
      <c r="AB19">
        <v>7.9464800000000002</v>
      </c>
      <c r="AC19">
        <v>0.86936000000000002</v>
      </c>
      <c r="AD19">
        <v>1.75996</v>
      </c>
      <c r="AE19">
        <v>4.0060200000000004</v>
      </c>
      <c r="AF19">
        <v>316414928</v>
      </c>
      <c r="AG19" t="s">
        <v>125</v>
      </c>
      <c r="AH19" t="s">
        <v>126</v>
      </c>
      <c r="AI19">
        <v>9778</v>
      </c>
      <c r="AJ19">
        <v>12522</v>
      </c>
      <c r="AM19">
        <v>1992378457</v>
      </c>
      <c r="AN19">
        <v>0</v>
      </c>
      <c r="AO19">
        <v>20119981</v>
      </c>
      <c r="AP19">
        <v>1992378457</v>
      </c>
      <c r="AQ19">
        <v>2012498438</v>
      </c>
      <c r="AR19">
        <v>249047307</v>
      </c>
      <c r="AS19">
        <v>0</v>
      </c>
      <c r="AT19">
        <v>2514997</v>
      </c>
      <c r="AU19">
        <v>249047307</v>
      </c>
      <c r="AV19">
        <v>251562304</v>
      </c>
      <c r="AW19">
        <v>16.297699999999999</v>
      </c>
      <c r="AX19">
        <v>6.6344099999999999</v>
      </c>
      <c r="AY19">
        <v>2064.88</v>
      </c>
      <c r="AZ19">
        <v>1285.77</v>
      </c>
      <c r="BA19">
        <v>2783</v>
      </c>
      <c r="BB19">
        <v>399</v>
      </c>
      <c r="BC19" t="str">
        <f t="shared" si="0"/>
        <v>u=1%, k=2x10^7</v>
      </c>
      <c r="BD19">
        <f t="shared" si="1"/>
        <v>8</v>
      </c>
    </row>
    <row r="20" spans="1:56">
      <c r="A20" t="s">
        <v>127</v>
      </c>
      <c r="B20" t="s">
        <v>63</v>
      </c>
      <c r="C20">
        <v>72</v>
      </c>
      <c r="D20" t="s">
        <v>64</v>
      </c>
      <c r="E20" t="s">
        <v>59</v>
      </c>
      <c r="F20" t="s">
        <v>60</v>
      </c>
      <c r="G20">
        <v>16000</v>
      </c>
      <c r="H20">
        <v>0.5</v>
      </c>
      <c r="I20">
        <v>0.5</v>
      </c>
      <c r="J20">
        <v>0</v>
      </c>
      <c r="K20">
        <v>1</v>
      </c>
      <c r="L20">
        <v>20000000</v>
      </c>
      <c r="M20">
        <v>190</v>
      </c>
      <c r="N20">
        <v>190</v>
      </c>
      <c r="O20">
        <v>190</v>
      </c>
      <c r="P20">
        <v>0</v>
      </c>
      <c r="Q20" t="s">
        <v>61</v>
      </c>
      <c r="R20">
        <v>100022778580258</v>
      </c>
      <c r="S20">
        <v>10003354</v>
      </c>
      <c r="T20">
        <v>100022778580258</v>
      </c>
      <c r="U20">
        <v>10003354</v>
      </c>
      <c r="V20" t="s">
        <v>71</v>
      </c>
      <c r="W20">
        <v>7</v>
      </c>
      <c r="X20">
        <v>1642730</v>
      </c>
      <c r="Y20">
        <v>11479716</v>
      </c>
      <c r="Z20">
        <v>13122446</v>
      </c>
      <c r="AA20">
        <v>10003354</v>
      </c>
      <c r="AB20">
        <v>7.9881900000000003</v>
      </c>
      <c r="AC20">
        <v>0.871394</v>
      </c>
      <c r="AD20">
        <v>1.76231</v>
      </c>
      <c r="AE20">
        <v>4.0033899999999996</v>
      </c>
      <c r="AF20">
        <v>315093840</v>
      </c>
      <c r="AG20" t="s">
        <v>128</v>
      </c>
      <c r="AH20" t="s">
        <v>129</v>
      </c>
      <c r="AI20">
        <v>19652</v>
      </c>
      <c r="AJ20">
        <v>24646</v>
      </c>
      <c r="AM20">
        <v>3965613755</v>
      </c>
      <c r="AN20">
        <v>0</v>
      </c>
      <c r="AO20">
        <v>40061871</v>
      </c>
      <c r="AP20">
        <v>3965613755</v>
      </c>
      <c r="AQ20">
        <v>4005675626</v>
      </c>
      <c r="AR20">
        <v>247850859</v>
      </c>
      <c r="AS20">
        <v>0</v>
      </c>
      <c r="AT20">
        <v>2503866</v>
      </c>
      <c r="AU20">
        <v>247850859</v>
      </c>
      <c r="AV20">
        <v>250354726</v>
      </c>
      <c r="AW20">
        <v>16.331099999999999</v>
      </c>
      <c r="AX20">
        <v>6.64954</v>
      </c>
      <c r="AY20">
        <v>2082.58</v>
      </c>
      <c r="AZ20">
        <v>1308.67</v>
      </c>
      <c r="BA20">
        <v>2770</v>
      </c>
      <c r="BB20">
        <v>413</v>
      </c>
      <c r="BC20" t="str">
        <f t="shared" si="0"/>
        <v>u=1%, k=2x10^7</v>
      </c>
      <c r="BD20">
        <f t="shared" si="1"/>
        <v>16</v>
      </c>
    </row>
    <row r="21" spans="1:56">
      <c r="A21" t="s">
        <v>130</v>
      </c>
      <c r="B21" t="s">
        <v>63</v>
      </c>
      <c r="C21">
        <v>72</v>
      </c>
      <c r="D21" t="s">
        <v>64</v>
      </c>
      <c r="E21" t="s">
        <v>59</v>
      </c>
      <c r="F21" t="s">
        <v>60</v>
      </c>
      <c r="G21">
        <v>32000</v>
      </c>
      <c r="H21">
        <v>0.5</v>
      </c>
      <c r="I21">
        <v>0.5</v>
      </c>
      <c r="J21">
        <v>0</v>
      </c>
      <c r="K21">
        <v>1</v>
      </c>
      <c r="L21">
        <v>20000000</v>
      </c>
      <c r="M21">
        <v>190</v>
      </c>
      <c r="N21">
        <v>190</v>
      </c>
      <c r="O21">
        <v>190</v>
      </c>
      <c r="P21">
        <v>0</v>
      </c>
      <c r="Q21" t="s">
        <v>61</v>
      </c>
      <c r="R21">
        <v>100003122963526</v>
      </c>
      <c r="S21">
        <v>9999658</v>
      </c>
      <c r="T21">
        <v>100003122963526</v>
      </c>
      <c r="U21">
        <v>9999658</v>
      </c>
      <c r="V21" t="s">
        <v>71</v>
      </c>
      <c r="W21">
        <v>7</v>
      </c>
      <c r="X21">
        <v>1629368</v>
      </c>
      <c r="Y21">
        <v>11449239</v>
      </c>
      <c r="Z21">
        <v>13078607</v>
      </c>
      <c r="AA21">
        <v>9999658</v>
      </c>
      <c r="AB21">
        <v>8.0267999999999997</v>
      </c>
      <c r="AC21">
        <v>0.87339100000000003</v>
      </c>
      <c r="AD21">
        <v>1.76458</v>
      </c>
      <c r="AE21">
        <v>4.0007200000000003</v>
      </c>
      <c r="AF21">
        <v>313537248</v>
      </c>
      <c r="AG21" t="s">
        <v>131</v>
      </c>
      <c r="AH21" t="s">
        <v>132</v>
      </c>
      <c r="AI21">
        <v>38110</v>
      </c>
      <c r="AJ21">
        <v>49220</v>
      </c>
      <c r="AM21">
        <v>7922095330</v>
      </c>
      <c r="AN21">
        <v>0</v>
      </c>
      <c r="AO21">
        <v>80013042</v>
      </c>
      <c r="AP21">
        <v>7922095330</v>
      </c>
      <c r="AQ21">
        <v>8002108372</v>
      </c>
      <c r="AR21">
        <v>247565479</v>
      </c>
      <c r="AS21">
        <v>0</v>
      </c>
      <c r="AT21">
        <v>2500407</v>
      </c>
      <c r="AU21">
        <v>247565479</v>
      </c>
      <c r="AV21">
        <v>250065886</v>
      </c>
      <c r="AW21">
        <v>16.369499999999999</v>
      </c>
      <c r="AX21">
        <v>6.6597400000000002</v>
      </c>
      <c r="AY21">
        <v>2087.9</v>
      </c>
      <c r="AZ21">
        <v>1312.2</v>
      </c>
      <c r="BA21">
        <v>2774</v>
      </c>
      <c r="BB21">
        <v>355</v>
      </c>
      <c r="BC21" t="str">
        <f t="shared" si="0"/>
        <v>u=1%, k=2x10^7</v>
      </c>
      <c r="BD21">
        <f t="shared" si="1"/>
        <v>32</v>
      </c>
    </row>
    <row r="22" spans="1:56">
      <c r="A22" t="s">
        <v>133</v>
      </c>
      <c r="B22" t="s">
        <v>63</v>
      </c>
      <c r="C22">
        <v>72</v>
      </c>
      <c r="D22" t="s">
        <v>64</v>
      </c>
      <c r="E22" t="s">
        <v>59</v>
      </c>
      <c r="F22" t="s">
        <v>60</v>
      </c>
      <c r="G22">
        <v>64000</v>
      </c>
      <c r="H22">
        <v>0.5</v>
      </c>
      <c r="I22">
        <v>0.5</v>
      </c>
      <c r="J22">
        <v>0</v>
      </c>
      <c r="K22">
        <v>1</v>
      </c>
      <c r="L22">
        <v>20000000</v>
      </c>
      <c r="M22">
        <v>190</v>
      </c>
      <c r="N22">
        <v>190</v>
      </c>
      <c r="O22">
        <v>190</v>
      </c>
      <c r="P22">
        <v>0</v>
      </c>
      <c r="Q22" t="s">
        <v>61</v>
      </c>
      <c r="R22">
        <v>100005131715058</v>
      </c>
      <c r="S22">
        <v>10001160</v>
      </c>
      <c r="T22">
        <v>100005131715058</v>
      </c>
      <c r="U22">
        <v>10001160</v>
      </c>
      <c r="V22" t="s">
        <v>71</v>
      </c>
      <c r="W22">
        <v>7</v>
      </c>
      <c r="X22">
        <v>1629584</v>
      </c>
      <c r="Y22">
        <v>11450879</v>
      </c>
      <c r="Z22">
        <v>13080463</v>
      </c>
      <c r="AA22">
        <v>10001160</v>
      </c>
      <c r="AB22">
        <v>8.0268700000000006</v>
      </c>
      <c r="AC22">
        <v>0.87339699999999998</v>
      </c>
      <c r="AD22">
        <v>1.7645900000000001</v>
      </c>
      <c r="AE22">
        <v>4.0007599999999996</v>
      </c>
      <c r="AF22">
        <v>313580768</v>
      </c>
      <c r="AG22" t="s">
        <v>134</v>
      </c>
      <c r="AH22" t="s">
        <v>135</v>
      </c>
      <c r="AI22">
        <v>74581</v>
      </c>
      <c r="AJ22">
        <v>98474</v>
      </c>
      <c r="AM22">
        <v>15843034042</v>
      </c>
      <c r="AN22">
        <v>0</v>
      </c>
      <c r="AO22">
        <v>160014905</v>
      </c>
      <c r="AP22">
        <v>15843034042</v>
      </c>
      <c r="AQ22">
        <v>16003048947</v>
      </c>
      <c r="AR22">
        <v>247547406</v>
      </c>
      <c r="AS22">
        <v>0</v>
      </c>
      <c r="AT22">
        <v>2500232</v>
      </c>
      <c r="AU22">
        <v>247547406</v>
      </c>
      <c r="AV22">
        <v>250047639</v>
      </c>
      <c r="AW22">
        <v>16.374500000000001</v>
      </c>
      <c r="AX22">
        <v>6.6691000000000003</v>
      </c>
      <c r="AY22">
        <v>2088.77</v>
      </c>
      <c r="AZ22">
        <v>1317.47</v>
      </c>
      <c r="BA22">
        <v>2769</v>
      </c>
      <c r="BB22">
        <v>400</v>
      </c>
      <c r="BC22" t="str">
        <f t="shared" si="0"/>
        <v>u=1%, k=2x10^7</v>
      </c>
      <c r="BD22">
        <f t="shared" si="1"/>
        <v>64</v>
      </c>
    </row>
    <row r="23" spans="1:56">
      <c r="A23" t="s">
        <v>136</v>
      </c>
      <c r="B23" t="s">
        <v>105</v>
      </c>
      <c r="D23" t="s">
        <v>64</v>
      </c>
      <c r="E23" t="s">
        <v>59</v>
      </c>
      <c r="F23" t="s">
        <v>60</v>
      </c>
      <c r="G23">
        <v>1000</v>
      </c>
      <c r="H23">
        <v>0.5</v>
      </c>
      <c r="I23">
        <v>0.5</v>
      </c>
      <c r="J23">
        <v>0</v>
      </c>
      <c r="K23">
        <v>1</v>
      </c>
      <c r="L23">
        <v>20000000</v>
      </c>
      <c r="M23">
        <v>190</v>
      </c>
      <c r="N23">
        <v>190</v>
      </c>
      <c r="O23">
        <v>190</v>
      </c>
      <c r="P23">
        <v>0</v>
      </c>
      <c r="Q23" t="s">
        <v>61</v>
      </c>
      <c r="R23">
        <v>99994358562355</v>
      </c>
      <c r="S23">
        <v>10000443</v>
      </c>
      <c r="T23">
        <v>99994358562355</v>
      </c>
      <c r="U23">
        <v>10000443</v>
      </c>
      <c r="V23" t="s">
        <v>71</v>
      </c>
      <c r="W23">
        <v>29</v>
      </c>
      <c r="X23">
        <v>5778657</v>
      </c>
      <c r="Y23">
        <v>4340629</v>
      </c>
      <c r="Z23">
        <v>10119286</v>
      </c>
      <c r="AA23">
        <v>10000443</v>
      </c>
      <c r="AB23">
        <v>1.75115</v>
      </c>
      <c r="AC23">
        <v>2.3039200000000002</v>
      </c>
      <c r="AD23">
        <v>1.9882599999999999</v>
      </c>
      <c r="AE23">
        <v>22.732800000000001</v>
      </c>
      <c r="AF23">
        <v>566680016</v>
      </c>
      <c r="AJ23" t="s">
        <v>137</v>
      </c>
      <c r="AM23">
        <v>112915004</v>
      </c>
      <c r="AN23">
        <v>0</v>
      </c>
      <c r="AO23">
        <v>1141343</v>
      </c>
      <c r="AP23">
        <v>112915004</v>
      </c>
      <c r="AQ23">
        <v>114056347</v>
      </c>
      <c r="AR23">
        <v>112915004</v>
      </c>
      <c r="AS23">
        <v>0</v>
      </c>
      <c r="AT23">
        <v>1141343</v>
      </c>
      <c r="AU23">
        <v>112915004</v>
      </c>
      <c r="AV23">
        <v>114056347</v>
      </c>
      <c r="AW23">
        <v>28.722999999999999</v>
      </c>
      <c r="AX23">
        <v>10.457800000000001</v>
      </c>
      <c r="AY23">
        <v>4584.2299999999996</v>
      </c>
      <c r="AZ23">
        <v>3230.88</v>
      </c>
      <c r="BA23">
        <v>1761</v>
      </c>
      <c r="BB23">
        <v>431</v>
      </c>
      <c r="BC23" t="str">
        <f t="shared" si="0"/>
        <v>u=1%, k=2x10^7</v>
      </c>
      <c r="BD23">
        <f t="shared" si="1"/>
        <v>1</v>
      </c>
    </row>
    <row r="24" spans="1:56">
      <c r="A24" t="s">
        <v>138</v>
      </c>
      <c r="B24" t="s">
        <v>105</v>
      </c>
      <c r="D24" t="s">
        <v>64</v>
      </c>
      <c r="E24" t="s">
        <v>59</v>
      </c>
      <c r="F24" t="s">
        <v>60</v>
      </c>
      <c r="G24">
        <v>2000</v>
      </c>
      <c r="H24">
        <v>0.5</v>
      </c>
      <c r="I24">
        <v>0.5</v>
      </c>
      <c r="J24">
        <v>0</v>
      </c>
      <c r="K24">
        <v>1</v>
      </c>
      <c r="L24">
        <v>20000000</v>
      </c>
      <c r="M24">
        <v>190</v>
      </c>
      <c r="N24">
        <v>190</v>
      </c>
      <c r="O24">
        <v>190</v>
      </c>
      <c r="P24">
        <v>0</v>
      </c>
      <c r="Q24" t="s">
        <v>61</v>
      </c>
      <c r="R24">
        <v>100014976805535</v>
      </c>
      <c r="S24">
        <v>9999800</v>
      </c>
      <c r="T24">
        <v>100014976805535</v>
      </c>
      <c r="U24">
        <v>9999800</v>
      </c>
      <c r="V24" t="s">
        <v>71</v>
      </c>
      <c r="W24">
        <v>29</v>
      </c>
      <c r="X24">
        <v>5840886</v>
      </c>
      <c r="Y24">
        <v>4391086</v>
      </c>
      <c r="Z24">
        <v>10231972</v>
      </c>
      <c r="AA24">
        <v>9999800</v>
      </c>
      <c r="AB24">
        <v>1.7517799999999999</v>
      </c>
      <c r="AC24">
        <v>2.2772999999999999</v>
      </c>
      <c r="AD24">
        <v>1.9773099999999999</v>
      </c>
      <c r="AE24">
        <v>22.748999999999999</v>
      </c>
      <c r="AF24">
        <v>572990432</v>
      </c>
      <c r="AJ24" t="s">
        <v>139</v>
      </c>
      <c r="AM24">
        <v>227859525</v>
      </c>
      <c r="AN24">
        <v>0</v>
      </c>
      <c r="AO24">
        <v>2301809</v>
      </c>
      <c r="AP24">
        <v>227859525</v>
      </c>
      <c r="AQ24">
        <v>230161334</v>
      </c>
      <c r="AR24">
        <v>113929762</v>
      </c>
      <c r="AS24">
        <v>0</v>
      </c>
      <c r="AT24">
        <v>1150904</v>
      </c>
      <c r="AU24">
        <v>113929762</v>
      </c>
      <c r="AV24">
        <v>115080667</v>
      </c>
      <c r="AW24">
        <v>28.970199999999998</v>
      </c>
      <c r="AX24">
        <v>10.5589</v>
      </c>
      <c r="AY24">
        <v>4584.72</v>
      </c>
      <c r="AZ24">
        <v>3224.38</v>
      </c>
      <c r="BA24">
        <v>1768</v>
      </c>
      <c r="BB24">
        <v>426</v>
      </c>
      <c r="BC24" t="str">
        <f t="shared" si="0"/>
        <v>u=1%, k=2x10^7</v>
      </c>
      <c r="BD24">
        <f t="shared" si="1"/>
        <v>2</v>
      </c>
    </row>
    <row r="25" spans="1:56">
      <c r="A25" t="s">
        <v>140</v>
      </c>
      <c r="B25" t="s">
        <v>105</v>
      </c>
      <c r="D25" t="s">
        <v>64</v>
      </c>
      <c r="E25" t="s">
        <v>59</v>
      </c>
      <c r="F25" t="s">
        <v>60</v>
      </c>
      <c r="G25">
        <v>4000</v>
      </c>
      <c r="H25">
        <v>0.5</v>
      </c>
      <c r="I25">
        <v>0.5</v>
      </c>
      <c r="J25">
        <v>0</v>
      </c>
      <c r="K25">
        <v>1</v>
      </c>
      <c r="L25">
        <v>20000000</v>
      </c>
      <c r="M25">
        <v>190</v>
      </c>
      <c r="N25">
        <v>190</v>
      </c>
      <c r="O25">
        <v>190</v>
      </c>
      <c r="P25">
        <v>0</v>
      </c>
      <c r="Q25" t="s">
        <v>61</v>
      </c>
      <c r="R25">
        <v>100010800900582</v>
      </c>
      <c r="S25">
        <v>10000293</v>
      </c>
      <c r="T25">
        <v>100010800900582</v>
      </c>
      <c r="U25">
        <v>10000293</v>
      </c>
      <c r="V25" t="s">
        <v>71</v>
      </c>
      <c r="W25">
        <v>29</v>
      </c>
      <c r="X25">
        <v>5951716</v>
      </c>
      <c r="Y25">
        <v>4481156</v>
      </c>
      <c r="Z25">
        <v>10432872</v>
      </c>
      <c r="AA25">
        <v>10000293</v>
      </c>
      <c r="AB25">
        <v>1.75292</v>
      </c>
      <c r="AC25">
        <v>2.23163</v>
      </c>
      <c r="AD25">
        <v>1.9585399999999999</v>
      </c>
      <c r="AE25">
        <v>22.851299999999998</v>
      </c>
      <c r="AF25">
        <v>584240832</v>
      </c>
      <c r="AJ25">
        <v>2876</v>
      </c>
      <c r="AM25">
        <v>450592324</v>
      </c>
      <c r="AN25">
        <v>0</v>
      </c>
      <c r="AO25">
        <v>4554568</v>
      </c>
      <c r="AP25">
        <v>450592324</v>
      </c>
      <c r="AQ25">
        <v>455146892</v>
      </c>
      <c r="AR25">
        <v>112648081</v>
      </c>
      <c r="AS25">
        <v>0</v>
      </c>
      <c r="AT25">
        <v>1138642</v>
      </c>
      <c r="AU25">
        <v>112648081</v>
      </c>
      <c r="AV25">
        <v>113786723</v>
      </c>
      <c r="AW25">
        <v>28.949400000000001</v>
      </c>
      <c r="AX25">
        <v>10.654500000000001</v>
      </c>
      <c r="AY25">
        <v>4637.93</v>
      </c>
      <c r="AZ25">
        <v>3217.6</v>
      </c>
      <c r="BA25">
        <v>1782</v>
      </c>
      <c r="BB25">
        <v>519</v>
      </c>
      <c r="BC25" t="str">
        <f t="shared" si="0"/>
        <v>u=1%, k=2x10^7</v>
      </c>
      <c r="BD25">
        <f t="shared" si="1"/>
        <v>4</v>
      </c>
    </row>
    <row r="26" spans="1:56">
      <c r="A26" t="s">
        <v>141</v>
      </c>
      <c r="B26" t="s">
        <v>105</v>
      </c>
      <c r="D26" t="s">
        <v>64</v>
      </c>
      <c r="E26" t="s">
        <v>59</v>
      </c>
      <c r="F26" t="s">
        <v>60</v>
      </c>
      <c r="G26">
        <v>8000</v>
      </c>
      <c r="H26">
        <v>0.5</v>
      </c>
      <c r="I26">
        <v>0.5</v>
      </c>
      <c r="J26">
        <v>0</v>
      </c>
      <c r="K26">
        <v>1</v>
      </c>
      <c r="L26">
        <v>20000000</v>
      </c>
      <c r="M26">
        <v>190</v>
      </c>
      <c r="N26">
        <v>190</v>
      </c>
      <c r="O26">
        <v>190</v>
      </c>
      <c r="P26">
        <v>0</v>
      </c>
      <c r="Q26" t="s">
        <v>61</v>
      </c>
      <c r="R26">
        <v>100001799431532</v>
      </c>
      <c r="S26">
        <v>10000676</v>
      </c>
      <c r="T26">
        <v>100001799431532</v>
      </c>
      <c r="U26">
        <v>10000676</v>
      </c>
      <c r="V26" t="s">
        <v>71</v>
      </c>
      <c r="W26">
        <v>29</v>
      </c>
      <c r="X26">
        <v>6141072</v>
      </c>
      <c r="Y26">
        <v>4633741</v>
      </c>
      <c r="Z26">
        <v>10774813</v>
      </c>
      <c r="AA26">
        <v>10000676</v>
      </c>
      <c r="AB26">
        <v>1.7545500000000001</v>
      </c>
      <c r="AC26">
        <v>2.1582300000000001</v>
      </c>
      <c r="AD26">
        <v>1.92815</v>
      </c>
      <c r="AE26">
        <v>22.896699999999999</v>
      </c>
      <c r="AF26">
        <v>603389528</v>
      </c>
      <c r="AJ26" t="s">
        <v>142</v>
      </c>
      <c r="AM26">
        <v>906920836</v>
      </c>
      <c r="AN26">
        <v>0</v>
      </c>
      <c r="AO26">
        <v>9157792</v>
      </c>
      <c r="AP26">
        <v>906920836</v>
      </c>
      <c r="AQ26">
        <v>916078628</v>
      </c>
      <c r="AR26">
        <v>113365104</v>
      </c>
      <c r="AS26">
        <v>0</v>
      </c>
      <c r="AT26">
        <v>1144724</v>
      </c>
      <c r="AU26">
        <v>113365104</v>
      </c>
      <c r="AV26">
        <v>114509828</v>
      </c>
      <c r="AW26">
        <v>28.756900000000002</v>
      </c>
      <c r="AX26">
        <v>10.726000000000001</v>
      </c>
      <c r="AY26">
        <v>4606.67</v>
      </c>
      <c r="AZ26">
        <v>3235.25</v>
      </c>
      <c r="BA26">
        <v>1804</v>
      </c>
      <c r="BB26">
        <v>429</v>
      </c>
      <c r="BC26" t="str">
        <f t="shared" si="0"/>
        <v>u=1%, k=2x10^7</v>
      </c>
      <c r="BD26">
        <f t="shared" si="1"/>
        <v>8</v>
      </c>
    </row>
    <row r="27" spans="1:56">
      <c r="A27" t="s">
        <v>143</v>
      </c>
      <c r="B27" t="s">
        <v>105</v>
      </c>
      <c r="D27" t="s">
        <v>64</v>
      </c>
      <c r="E27" t="s">
        <v>59</v>
      </c>
      <c r="F27" t="s">
        <v>60</v>
      </c>
      <c r="G27">
        <v>16000</v>
      </c>
      <c r="H27">
        <v>0.5</v>
      </c>
      <c r="I27">
        <v>0.5</v>
      </c>
      <c r="J27">
        <v>0</v>
      </c>
      <c r="K27">
        <v>1</v>
      </c>
      <c r="L27">
        <v>20000000</v>
      </c>
      <c r="M27">
        <v>190</v>
      </c>
      <c r="N27">
        <v>190</v>
      </c>
      <c r="O27">
        <v>190</v>
      </c>
      <c r="P27">
        <v>0</v>
      </c>
      <c r="Q27" t="s">
        <v>61</v>
      </c>
      <c r="R27">
        <v>99997895663594</v>
      </c>
      <c r="S27">
        <v>10000154</v>
      </c>
      <c r="T27">
        <v>99997895663594</v>
      </c>
      <c r="U27">
        <v>10000154</v>
      </c>
      <c r="V27" t="s">
        <v>71</v>
      </c>
      <c r="W27">
        <v>29</v>
      </c>
      <c r="X27">
        <v>6408503</v>
      </c>
      <c r="Y27">
        <v>4844569</v>
      </c>
      <c r="Z27">
        <v>11253072</v>
      </c>
      <c r="AA27">
        <v>10000154</v>
      </c>
      <c r="AB27">
        <v>1.75596</v>
      </c>
      <c r="AC27">
        <v>2.0642</v>
      </c>
      <c r="AD27">
        <v>1.88866</v>
      </c>
      <c r="AE27">
        <v>23.022200000000002</v>
      </c>
      <c r="AF27">
        <v>630172032</v>
      </c>
      <c r="AJ27" t="s">
        <v>144</v>
      </c>
      <c r="AM27">
        <v>1815112611</v>
      </c>
      <c r="AN27">
        <v>0</v>
      </c>
      <c r="AO27">
        <v>18341800</v>
      </c>
      <c r="AP27">
        <v>1815112611</v>
      </c>
      <c r="AQ27">
        <v>1833454411</v>
      </c>
      <c r="AR27">
        <v>113444538</v>
      </c>
      <c r="AS27">
        <v>0</v>
      </c>
      <c r="AT27">
        <v>1146362</v>
      </c>
      <c r="AU27">
        <v>113444538</v>
      </c>
      <c r="AV27">
        <v>114590900</v>
      </c>
      <c r="AW27">
        <v>28.706</v>
      </c>
      <c r="AX27">
        <v>10.8188</v>
      </c>
      <c r="AY27">
        <v>4603.83</v>
      </c>
      <c r="AZ27">
        <v>3237.85</v>
      </c>
      <c r="BA27">
        <v>1836</v>
      </c>
      <c r="BB27">
        <v>437</v>
      </c>
      <c r="BC27" t="str">
        <f t="shared" si="0"/>
        <v>u=1%, k=2x10^7</v>
      </c>
      <c r="BD27">
        <f t="shared" si="1"/>
        <v>16</v>
      </c>
    </row>
    <row r="28" spans="1:56">
      <c r="A28" t="s">
        <v>145</v>
      </c>
      <c r="B28" t="s">
        <v>105</v>
      </c>
      <c r="D28" t="s">
        <v>64</v>
      </c>
      <c r="E28" t="s">
        <v>59</v>
      </c>
      <c r="F28" t="s">
        <v>60</v>
      </c>
      <c r="G28">
        <v>32000</v>
      </c>
      <c r="H28">
        <v>0.5</v>
      </c>
      <c r="I28">
        <v>0.5</v>
      </c>
      <c r="J28">
        <v>0</v>
      </c>
      <c r="K28">
        <v>1</v>
      </c>
      <c r="L28">
        <v>20000000</v>
      </c>
      <c r="M28">
        <v>190</v>
      </c>
      <c r="N28">
        <v>190</v>
      </c>
      <c r="O28">
        <v>190</v>
      </c>
      <c r="P28">
        <v>0</v>
      </c>
      <c r="Q28" t="s">
        <v>61</v>
      </c>
      <c r="R28">
        <v>99981731977691</v>
      </c>
      <c r="S28">
        <v>9998345</v>
      </c>
      <c r="T28">
        <v>99981731977691</v>
      </c>
      <c r="U28">
        <v>9998345</v>
      </c>
      <c r="V28" t="s">
        <v>71</v>
      </c>
      <c r="W28">
        <v>29</v>
      </c>
      <c r="X28">
        <v>6677103</v>
      </c>
      <c r="Y28">
        <v>5057290</v>
      </c>
      <c r="Z28">
        <v>11734393</v>
      </c>
      <c r="AA28">
        <v>9998345</v>
      </c>
      <c r="AB28">
        <v>1.7574099999999999</v>
      </c>
      <c r="AC28">
        <v>1.97702</v>
      </c>
      <c r="AD28">
        <v>1.85205</v>
      </c>
      <c r="AE28">
        <v>23.189399999999999</v>
      </c>
      <c r="AF28">
        <v>657126008</v>
      </c>
      <c r="AJ28" t="s">
        <v>146</v>
      </c>
      <c r="AM28">
        <v>3597360925</v>
      </c>
      <c r="AN28">
        <v>0</v>
      </c>
      <c r="AO28">
        <v>36338908</v>
      </c>
      <c r="AP28">
        <v>3597360925</v>
      </c>
      <c r="AQ28">
        <v>3633699833</v>
      </c>
      <c r="AR28">
        <v>112417528</v>
      </c>
      <c r="AS28">
        <v>0</v>
      </c>
      <c r="AT28">
        <v>1135590</v>
      </c>
      <c r="AU28">
        <v>112417528</v>
      </c>
      <c r="AV28">
        <v>113553119</v>
      </c>
      <c r="AW28">
        <v>29.118600000000001</v>
      </c>
      <c r="AX28">
        <v>10.902699999999999</v>
      </c>
      <c r="AY28">
        <v>4643.59</v>
      </c>
      <c r="AZ28">
        <v>3276.45</v>
      </c>
      <c r="BA28">
        <v>1867</v>
      </c>
      <c r="BB28">
        <v>437</v>
      </c>
      <c r="BC28" t="str">
        <f t="shared" si="0"/>
        <v>u=1%, k=2x10^7</v>
      </c>
      <c r="BD28">
        <f t="shared" si="1"/>
        <v>32</v>
      </c>
    </row>
    <row r="29" spans="1:56">
      <c r="A29" t="s">
        <v>147</v>
      </c>
      <c r="B29" t="s">
        <v>105</v>
      </c>
      <c r="D29" t="s">
        <v>64</v>
      </c>
      <c r="E29" t="s">
        <v>59</v>
      </c>
      <c r="F29" t="s">
        <v>60</v>
      </c>
      <c r="G29">
        <v>64000</v>
      </c>
      <c r="H29">
        <v>0.5</v>
      </c>
      <c r="I29">
        <v>0.5</v>
      </c>
      <c r="J29">
        <v>0</v>
      </c>
      <c r="K29">
        <v>1</v>
      </c>
      <c r="L29">
        <v>20000000</v>
      </c>
      <c r="M29">
        <v>190</v>
      </c>
      <c r="N29">
        <v>190</v>
      </c>
      <c r="O29">
        <v>190</v>
      </c>
      <c r="P29">
        <v>0</v>
      </c>
      <c r="Q29" t="s">
        <v>61</v>
      </c>
      <c r="R29">
        <v>100008956020404</v>
      </c>
      <c r="S29">
        <v>10000105</v>
      </c>
      <c r="T29">
        <v>100008956020404</v>
      </c>
      <c r="U29">
        <v>10000105</v>
      </c>
      <c r="V29" t="s">
        <v>71</v>
      </c>
      <c r="W29">
        <v>29</v>
      </c>
      <c r="X29">
        <v>6827090</v>
      </c>
      <c r="Y29">
        <v>5178373</v>
      </c>
      <c r="Z29">
        <v>12005463</v>
      </c>
      <c r="AA29">
        <v>10000105</v>
      </c>
      <c r="AB29">
        <v>1.7585</v>
      </c>
      <c r="AC29">
        <v>1.93113</v>
      </c>
      <c r="AD29">
        <v>1.8329599999999999</v>
      </c>
      <c r="AE29">
        <v>23.2256</v>
      </c>
      <c r="AF29">
        <v>672305928</v>
      </c>
      <c r="AJ29" t="s">
        <v>148</v>
      </c>
      <c r="AM29">
        <v>7163079646</v>
      </c>
      <c r="AN29">
        <v>0</v>
      </c>
      <c r="AO29">
        <v>72342994</v>
      </c>
      <c r="AP29">
        <v>7163079646</v>
      </c>
      <c r="AQ29">
        <v>7235422640</v>
      </c>
      <c r="AR29">
        <v>111923119</v>
      </c>
      <c r="AS29">
        <v>0</v>
      </c>
      <c r="AT29">
        <v>1130359</v>
      </c>
      <c r="AU29">
        <v>111923119</v>
      </c>
      <c r="AV29">
        <v>113053478</v>
      </c>
      <c r="AW29">
        <v>29.105499999999999</v>
      </c>
      <c r="AX29">
        <v>10.995699999999999</v>
      </c>
      <c r="AY29">
        <v>4663.5</v>
      </c>
      <c r="AZ29">
        <v>3285.81</v>
      </c>
      <c r="BA29">
        <v>1886</v>
      </c>
      <c r="BB29">
        <v>432</v>
      </c>
      <c r="BC29" t="str">
        <f t="shared" si="0"/>
        <v>u=1%, k=2x10^7</v>
      </c>
      <c r="BD29">
        <f t="shared" si="1"/>
        <v>64</v>
      </c>
    </row>
    <row r="30" spans="1:56">
      <c r="A30" t="s">
        <v>149</v>
      </c>
      <c r="B30" t="s">
        <v>63</v>
      </c>
      <c r="C30">
        <v>72</v>
      </c>
      <c r="D30" t="s">
        <v>64</v>
      </c>
      <c r="E30" t="s">
        <v>59</v>
      </c>
      <c r="F30" t="s">
        <v>60</v>
      </c>
      <c r="G30">
        <v>1000</v>
      </c>
      <c r="H30">
        <v>20</v>
      </c>
      <c r="I30">
        <v>20</v>
      </c>
      <c r="J30">
        <v>0</v>
      </c>
      <c r="K30">
        <v>1</v>
      </c>
      <c r="L30">
        <v>20000000</v>
      </c>
      <c r="M30">
        <v>190</v>
      </c>
      <c r="N30">
        <v>190</v>
      </c>
      <c r="O30">
        <v>190</v>
      </c>
      <c r="P30">
        <v>0</v>
      </c>
      <c r="Q30" t="s">
        <v>61</v>
      </c>
      <c r="R30">
        <v>100014204708887</v>
      </c>
      <c r="S30">
        <v>10001250</v>
      </c>
      <c r="T30">
        <v>100014204708887</v>
      </c>
      <c r="U30">
        <v>10001250</v>
      </c>
      <c r="V30" t="s">
        <v>71</v>
      </c>
      <c r="W30">
        <v>7</v>
      </c>
      <c r="X30">
        <v>1894922</v>
      </c>
      <c r="Y30">
        <v>12005106</v>
      </c>
      <c r="Z30">
        <v>13900028</v>
      </c>
      <c r="AA30">
        <v>10001250</v>
      </c>
      <c r="AB30">
        <v>7.3354100000000004</v>
      </c>
      <c r="AC30">
        <v>0.83308300000000002</v>
      </c>
      <c r="AD30">
        <v>1.7195100000000001</v>
      </c>
      <c r="AE30">
        <v>4.0539399999999999</v>
      </c>
      <c r="AF30">
        <v>343698784</v>
      </c>
      <c r="AG30" t="s">
        <v>150</v>
      </c>
      <c r="AH30" t="s">
        <v>151</v>
      </c>
      <c r="AI30">
        <v>90839</v>
      </c>
      <c r="AJ30">
        <v>704</v>
      </c>
      <c r="AM30">
        <v>55977885</v>
      </c>
      <c r="AN30">
        <v>0</v>
      </c>
      <c r="AO30">
        <v>37311229</v>
      </c>
      <c r="AP30">
        <v>55977885</v>
      </c>
      <c r="AQ30">
        <v>93289114</v>
      </c>
      <c r="AR30">
        <v>55977885</v>
      </c>
      <c r="AS30">
        <v>0</v>
      </c>
      <c r="AT30">
        <v>37311229</v>
      </c>
      <c r="AU30">
        <v>55977885</v>
      </c>
      <c r="AV30">
        <v>93289114</v>
      </c>
      <c r="AW30">
        <v>28.089300000000001</v>
      </c>
      <c r="AX30">
        <v>14.7736</v>
      </c>
      <c r="AY30">
        <v>5034.84</v>
      </c>
      <c r="AZ30">
        <v>3468.26</v>
      </c>
      <c r="BA30">
        <v>2849</v>
      </c>
      <c r="BB30">
        <v>380</v>
      </c>
      <c r="BC30" t="str">
        <f t="shared" si="0"/>
        <v>u=40%, k=2x10^7</v>
      </c>
      <c r="BD30">
        <f t="shared" si="1"/>
        <v>1</v>
      </c>
    </row>
    <row r="31" spans="1:56">
      <c r="A31" t="s">
        <v>152</v>
      </c>
      <c r="B31" t="s">
        <v>63</v>
      </c>
      <c r="C31">
        <v>72</v>
      </c>
      <c r="D31" t="s">
        <v>64</v>
      </c>
      <c r="E31" t="s">
        <v>59</v>
      </c>
      <c r="F31" t="s">
        <v>60</v>
      </c>
      <c r="G31">
        <v>2000</v>
      </c>
      <c r="H31">
        <v>20</v>
      </c>
      <c r="I31">
        <v>20</v>
      </c>
      <c r="J31">
        <v>0</v>
      </c>
      <c r="K31">
        <v>1</v>
      </c>
      <c r="L31">
        <v>20000000</v>
      </c>
      <c r="M31">
        <v>190</v>
      </c>
      <c r="N31">
        <v>190</v>
      </c>
      <c r="O31">
        <v>190</v>
      </c>
      <c r="P31">
        <v>0</v>
      </c>
      <c r="Q31" t="s">
        <v>61</v>
      </c>
      <c r="R31">
        <v>100000415032806</v>
      </c>
      <c r="S31">
        <v>10000472</v>
      </c>
      <c r="T31">
        <v>100000415032806</v>
      </c>
      <c r="U31">
        <v>10000472</v>
      </c>
      <c r="V31" t="s">
        <v>71</v>
      </c>
      <c r="W31">
        <v>7</v>
      </c>
      <c r="X31">
        <v>1682965</v>
      </c>
      <c r="Y31">
        <v>11558276</v>
      </c>
      <c r="Z31">
        <v>13241241</v>
      </c>
      <c r="AA31">
        <v>10000472</v>
      </c>
      <c r="AB31">
        <v>7.8678100000000004</v>
      </c>
      <c r="AC31">
        <v>0.86522200000000005</v>
      </c>
      <c r="AD31">
        <v>1.75525</v>
      </c>
      <c r="AE31">
        <v>4.0114400000000003</v>
      </c>
      <c r="AF31">
        <v>319569632</v>
      </c>
      <c r="AG31" t="s">
        <v>153</v>
      </c>
      <c r="AH31" t="s">
        <v>154</v>
      </c>
      <c r="AI31">
        <v>190611</v>
      </c>
      <c r="AJ31">
        <v>1438</v>
      </c>
      <c r="AM31">
        <v>112877316</v>
      </c>
      <c r="AN31">
        <v>0</v>
      </c>
      <c r="AO31">
        <v>75260764</v>
      </c>
      <c r="AP31">
        <v>112877316</v>
      </c>
      <c r="AQ31">
        <v>188138080</v>
      </c>
      <c r="AR31">
        <v>56438658</v>
      </c>
      <c r="AS31">
        <v>0</v>
      </c>
      <c r="AT31">
        <v>37630382</v>
      </c>
      <c r="AU31">
        <v>56438658</v>
      </c>
      <c r="AV31">
        <v>94069040</v>
      </c>
      <c r="AW31">
        <v>28.570699999999999</v>
      </c>
      <c r="AX31">
        <v>15.203799999999999</v>
      </c>
      <c r="AY31">
        <v>5221.59</v>
      </c>
      <c r="AZ31">
        <v>3582.69</v>
      </c>
      <c r="BA31">
        <v>2880</v>
      </c>
      <c r="BB31">
        <v>348</v>
      </c>
      <c r="BC31" t="str">
        <f t="shared" si="0"/>
        <v>u=40%, k=2x10^7</v>
      </c>
      <c r="BD31">
        <f t="shared" si="1"/>
        <v>2</v>
      </c>
    </row>
    <row r="32" spans="1:56">
      <c r="A32" t="s">
        <v>155</v>
      </c>
      <c r="B32" t="s">
        <v>63</v>
      </c>
      <c r="C32">
        <v>72</v>
      </c>
      <c r="D32" t="s">
        <v>64</v>
      </c>
      <c r="E32" t="s">
        <v>59</v>
      </c>
      <c r="F32" t="s">
        <v>60</v>
      </c>
      <c r="G32">
        <v>4000</v>
      </c>
      <c r="H32">
        <v>20</v>
      </c>
      <c r="I32">
        <v>20</v>
      </c>
      <c r="J32">
        <v>0</v>
      </c>
      <c r="K32">
        <v>1</v>
      </c>
      <c r="L32">
        <v>20000000</v>
      </c>
      <c r="M32">
        <v>190</v>
      </c>
      <c r="N32">
        <v>190</v>
      </c>
      <c r="O32">
        <v>190</v>
      </c>
      <c r="P32">
        <v>0</v>
      </c>
      <c r="Q32" t="s">
        <v>61</v>
      </c>
      <c r="R32">
        <v>99964283666637</v>
      </c>
      <c r="S32">
        <v>9999529</v>
      </c>
      <c r="T32">
        <v>99964283666637</v>
      </c>
      <c r="U32">
        <v>9999529</v>
      </c>
      <c r="V32" t="s">
        <v>71</v>
      </c>
      <c r="W32">
        <v>7</v>
      </c>
      <c r="X32">
        <v>1732478</v>
      </c>
      <c r="Y32">
        <v>11665695</v>
      </c>
      <c r="Z32">
        <v>13398173</v>
      </c>
      <c r="AA32">
        <v>9999529</v>
      </c>
      <c r="AB32">
        <v>7.73353</v>
      </c>
      <c r="AC32">
        <v>0.85717399999999999</v>
      </c>
      <c r="AD32">
        <v>1.74634</v>
      </c>
      <c r="AE32">
        <v>4.02189</v>
      </c>
      <c r="AF32">
        <v>325254176</v>
      </c>
      <c r="AG32" t="s">
        <v>156</v>
      </c>
      <c r="AH32" t="s">
        <v>157</v>
      </c>
      <c r="AI32">
        <v>392360</v>
      </c>
      <c r="AJ32">
        <v>2944</v>
      </c>
      <c r="AM32">
        <v>231022380</v>
      </c>
      <c r="AN32">
        <v>0</v>
      </c>
      <c r="AO32">
        <v>154034186</v>
      </c>
      <c r="AP32">
        <v>231022380</v>
      </c>
      <c r="AQ32">
        <v>385056566</v>
      </c>
      <c r="AR32">
        <v>57755595</v>
      </c>
      <c r="AS32">
        <v>0</v>
      </c>
      <c r="AT32">
        <v>38508546</v>
      </c>
      <c r="AU32">
        <v>57755595</v>
      </c>
      <c r="AV32">
        <v>96264141</v>
      </c>
      <c r="AW32">
        <v>28.543199999999999</v>
      </c>
      <c r="AX32">
        <v>15.2174</v>
      </c>
      <c r="AY32">
        <v>5229.4799999999996</v>
      </c>
      <c r="AZ32">
        <v>3600.99</v>
      </c>
      <c r="BA32">
        <v>2909</v>
      </c>
      <c r="BB32">
        <v>359</v>
      </c>
      <c r="BC32" t="str">
        <f t="shared" si="0"/>
        <v>u=40%, k=2x10^7</v>
      </c>
      <c r="BD32">
        <f t="shared" si="1"/>
        <v>4</v>
      </c>
    </row>
    <row r="33" spans="1:56">
      <c r="A33" t="s">
        <v>158</v>
      </c>
      <c r="B33" t="s">
        <v>63</v>
      </c>
      <c r="C33">
        <v>72</v>
      </c>
      <c r="D33" t="s">
        <v>64</v>
      </c>
      <c r="E33" t="s">
        <v>59</v>
      </c>
      <c r="F33" t="s">
        <v>60</v>
      </c>
      <c r="G33">
        <v>8000</v>
      </c>
      <c r="H33">
        <v>20</v>
      </c>
      <c r="I33">
        <v>20</v>
      </c>
      <c r="J33">
        <v>0</v>
      </c>
      <c r="K33">
        <v>1</v>
      </c>
      <c r="L33">
        <v>20000000</v>
      </c>
      <c r="M33">
        <v>190</v>
      </c>
      <c r="N33">
        <v>190</v>
      </c>
      <c r="O33">
        <v>190</v>
      </c>
      <c r="P33">
        <v>0</v>
      </c>
      <c r="Q33" t="s">
        <v>61</v>
      </c>
      <c r="R33">
        <v>99980318123951</v>
      </c>
      <c r="S33">
        <v>9998372</v>
      </c>
      <c r="T33">
        <v>99980318123951</v>
      </c>
      <c r="U33">
        <v>9998372</v>
      </c>
      <c r="V33" t="s">
        <v>71</v>
      </c>
      <c r="W33">
        <v>7</v>
      </c>
      <c r="X33">
        <v>1839459</v>
      </c>
      <c r="Y33">
        <v>11895301</v>
      </c>
      <c r="Z33">
        <v>13734760</v>
      </c>
      <c r="AA33">
        <v>9998372</v>
      </c>
      <c r="AB33">
        <v>7.4667399999999997</v>
      </c>
      <c r="AC33">
        <v>0.84053100000000003</v>
      </c>
      <c r="AD33">
        <v>1.7279599999999999</v>
      </c>
      <c r="AE33">
        <v>4.0426099999999998</v>
      </c>
      <c r="AF33">
        <v>337513344</v>
      </c>
      <c r="AG33" t="s">
        <v>159</v>
      </c>
      <c r="AH33" t="s">
        <v>160</v>
      </c>
      <c r="AI33">
        <v>771002</v>
      </c>
      <c r="AJ33">
        <v>5902</v>
      </c>
      <c r="AM33">
        <v>462537027</v>
      </c>
      <c r="AN33">
        <v>0</v>
      </c>
      <c r="AO33">
        <v>308374438</v>
      </c>
      <c r="AP33">
        <v>462537027</v>
      </c>
      <c r="AQ33">
        <v>770911465</v>
      </c>
      <c r="AR33">
        <v>57817128</v>
      </c>
      <c r="AS33">
        <v>0</v>
      </c>
      <c r="AT33">
        <v>38546804</v>
      </c>
      <c r="AU33">
        <v>57817128</v>
      </c>
      <c r="AV33">
        <v>96363933</v>
      </c>
      <c r="AW33">
        <v>28.578199999999999</v>
      </c>
      <c r="AX33">
        <v>15.243399999999999</v>
      </c>
      <c r="AY33">
        <v>5272.6</v>
      </c>
      <c r="AZ33">
        <v>3628.62</v>
      </c>
      <c r="BA33">
        <v>2920</v>
      </c>
      <c r="BB33">
        <v>392</v>
      </c>
      <c r="BC33" t="str">
        <f t="shared" si="0"/>
        <v>u=40%, k=2x10^7</v>
      </c>
      <c r="BD33">
        <f t="shared" si="1"/>
        <v>8</v>
      </c>
    </row>
    <row r="34" spans="1:56">
      <c r="A34" t="s">
        <v>161</v>
      </c>
      <c r="B34" t="s">
        <v>63</v>
      </c>
      <c r="C34">
        <v>72</v>
      </c>
      <c r="D34" t="s">
        <v>64</v>
      </c>
      <c r="E34" t="s">
        <v>59</v>
      </c>
      <c r="F34" t="s">
        <v>60</v>
      </c>
      <c r="G34">
        <v>16000</v>
      </c>
      <c r="H34">
        <v>20</v>
      </c>
      <c r="I34">
        <v>20</v>
      </c>
      <c r="J34">
        <v>0</v>
      </c>
      <c r="K34">
        <v>1</v>
      </c>
      <c r="L34">
        <v>20000000</v>
      </c>
      <c r="M34">
        <v>190</v>
      </c>
      <c r="N34">
        <v>190</v>
      </c>
      <c r="O34">
        <v>190</v>
      </c>
      <c r="P34">
        <v>0</v>
      </c>
      <c r="Q34" t="s">
        <v>61</v>
      </c>
      <c r="R34">
        <v>100011541905466</v>
      </c>
      <c r="S34">
        <v>9997818</v>
      </c>
      <c r="T34">
        <v>100011541905466</v>
      </c>
      <c r="U34">
        <v>9997818</v>
      </c>
      <c r="V34" t="s">
        <v>71</v>
      </c>
      <c r="W34">
        <v>7</v>
      </c>
      <c r="X34">
        <v>1734120</v>
      </c>
      <c r="Y34">
        <v>11668340</v>
      </c>
      <c r="Z34">
        <v>13402460</v>
      </c>
      <c r="AA34">
        <v>9997818</v>
      </c>
      <c r="AB34">
        <v>7.7286799999999998</v>
      </c>
      <c r="AC34">
        <v>0.85683299999999996</v>
      </c>
      <c r="AD34">
        <v>1.74597</v>
      </c>
      <c r="AE34">
        <v>4.0221299999999998</v>
      </c>
      <c r="AF34">
        <v>325430032</v>
      </c>
      <c r="AG34" t="s">
        <v>162</v>
      </c>
      <c r="AH34" t="s">
        <v>163</v>
      </c>
      <c r="AI34">
        <v>1574960</v>
      </c>
      <c r="AJ34">
        <v>11816</v>
      </c>
      <c r="AM34">
        <v>928275499</v>
      </c>
      <c r="AN34">
        <v>0</v>
      </c>
      <c r="AO34">
        <v>618858076</v>
      </c>
      <c r="AP34">
        <v>928275499</v>
      </c>
      <c r="AQ34">
        <v>1547133575</v>
      </c>
      <c r="AR34">
        <v>58017218</v>
      </c>
      <c r="AS34">
        <v>0</v>
      </c>
      <c r="AT34">
        <v>38678629</v>
      </c>
      <c r="AU34">
        <v>58017218</v>
      </c>
      <c r="AV34">
        <v>96695848</v>
      </c>
      <c r="AW34">
        <v>28.596</v>
      </c>
      <c r="AX34">
        <v>15.2967</v>
      </c>
      <c r="AY34">
        <v>5283.83</v>
      </c>
      <c r="AZ34">
        <v>3645.92</v>
      </c>
      <c r="BA34">
        <v>2930</v>
      </c>
      <c r="BB34">
        <v>428</v>
      </c>
      <c r="BC34" t="str">
        <f t="shared" si="0"/>
        <v>u=40%, k=2x10^7</v>
      </c>
      <c r="BD34">
        <f t="shared" si="1"/>
        <v>16</v>
      </c>
    </row>
    <row r="35" spans="1:56">
      <c r="A35" t="s">
        <v>164</v>
      </c>
      <c r="B35" t="s">
        <v>63</v>
      </c>
      <c r="C35">
        <v>72</v>
      </c>
      <c r="D35" t="s">
        <v>64</v>
      </c>
      <c r="E35" t="s">
        <v>59</v>
      </c>
      <c r="F35" t="s">
        <v>60</v>
      </c>
      <c r="G35">
        <v>32000</v>
      </c>
      <c r="H35">
        <v>20</v>
      </c>
      <c r="I35">
        <v>20</v>
      </c>
      <c r="J35">
        <v>0</v>
      </c>
      <c r="K35">
        <v>1</v>
      </c>
      <c r="L35">
        <v>20000000</v>
      </c>
      <c r="M35">
        <v>190</v>
      </c>
      <c r="N35">
        <v>190</v>
      </c>
      <c r="O35">
        <v>190</v>
      </c>
      <c r="P35">
        <v>0</v>
      </c>
      <c r="Q35" t="s">
        <v>61</v>
      </c>
      <c r="R35">
        <v>100010116648679</v>
      </c>
      <c r="S35">
        <v>10002016</v>
      </c>
      <c r="T35">
        <v>100010116648679</v>
      </c>
      <c r="U35">
        <v>10002016</v>
      </c>
      <c r="V35" t="s">
        <v>71</v>
      </c>
      <c r="W35">
        <v>7</v>
      </c>
      <c r="X35">
        <v>1625833</v>
      </c>
      <c r="Y35">
        <v>11444433</v>
      </c>
      <c r="Z35">
        <v>13070266</v>
      </c>
      <c r="AA35">
        <v>10002016</v>
      </c>
      <c r="AB35">
        <v>8.0391200000000005</v>
      </c>
      <c r="AC35">
        <v>0.87396300000000005</v>
      </c>
      <c r="AD35">
        <v>1.76525</v>
      </c>
      <c r="AE35">
        <v>4.0000099999999996</v>
      </c>
      <c r="AF35">
        <v>313177552</v>
      </c>
      <c r="AG35" t="s">
        <v>165</v>
      </c>
      <c r="AH35" t="s">
        <v>166</v>
      </c>
      <c r="AI35">
        <v>3115458</v>
      </c>
      <c r="AJ35">
        <v>23664</v>
      </c>
      <c r="AM35">
        <v>1852472851</v>
      </c>
      <c r="AN35">
        <v>0</v>
      </c>
      <c r="AO35">
        <v>1234898598</v>
      </c>
      <c r="AP35">
        <v>1852472851</v>
      </c>
      <c r="AQ35">
        <v>3087371449</v>
      </c>
      <c r="AR35">
        <v>57889776</v>
      </c>
      <c r="AS35">
        <v>0</v>
      </c>
      <c r="AT35">
        <v>38590581</v>
      </c>
      <c r="AU35">
        <v>57889776</v>
      </c>
      <c r="AV35">
        <v>96480357</v>
      </c>
      <c r="AW35">
        <v>28.655200000000001</v>
      </c>
      <c r="AX35">
        <v>15.315</v>
      </c>
      <c r="AY35">
        <v>5312.27</v>
      </c>
      <c r="AZ35">
        <v>3657.97</v>
      </c>
      <c r="BA35">
        <v>2945</v>
      </c>
      <c r="BB35">
        <v>403</v>
      </c>
      <c r="BC35" t="str">
        <f t="shared" si="0"/>
        <v>u=40%, k=2x10^7</v>
      </c>
      <c r="BD35">
        <f t="shared" si="1"/>
        <v>32</v>
      </c>
    </row>
    <row r="36" spans="1:56">
      <c r="A36" t="s">
        <v>167</v>
      </c>
      <c r="B36" t="s">
        <v>63</v>
      </c>
      <c r="C36">
        <v>72</v>
      </c>
      <c r="D36" t="s">
        <v>64</v>
      </c>
      <c r="E36" t="s">
        <v>59</v>
      </c>
      <c r="F36" t="s">
        <v>60</v>
      </c>
      <c r="G36">
        <v>64000</v>
      </c>
      <c r="H36">
        <v>20</v>
      </c>
      <c r="I36">
        <v>20</v>
      </c>
      <c r="J36">
        <v>0</v>
      </c>
      <c r="K36">
        <v>1</v>
      </c>
      <c r="L36">
        <v>20000000</v>
      </c>
      <c r="M36">
        <v>190</v>
      </c>
      <c r="N36">
        <v>190</v>
      </c>
      <c r="O36">
        <v>190</v>
      </c>
      <c r="P36">
        <v>0</v>
      </c>
      <c r="Q36" t="s">
        <v>61</v>
      </c>
      <c r="R36">
        <v>100015990633544</v>
      </c>
      <c r="S36">
        <v>10000903</v>
      </c>
      <c r="T36">
        <v>100015990633544</v>
      </c>
      <c r="U36">
        <v>10000903</v>
      </c>
      <c r="V36" t="s">
        <v>71</v>
      </c>
      <c r="W36">
        <v>7</v>
      </c>
      <c r="X36">
        <v>1886371</v>
      </c>
      <c r="Y36">
        <v>11995753</v>
      </c>
      <c r="Z36">
        <v>13882124</v>
      </c>
      <c r="AA36">
        <v>10000903</v>
      </c>
      <c r="AB36">
        <v>7.3591699999999998</v>
      </c>
      <c r="AC36">
        <v>0.833704</v>
      </c>
      <c r="AD36">
        <v>1.7204200000000001</v>
      </c>
      <c r="AE36">
        <v>4.0519800000000004</v>
      </c>
      <c r="AF36">
        <v>342878128</v>
      </c>
      <c r="AG36" t="s">
        <v>168</v>
      </c>
      <c r="AH36" t="s">
        <v>169</v>
      </c>
      <c r="AI36">
        <v>6187726</v>
      </c>
      <c r="AJ36">
        <v>47264</v>
      </c>
      <c r="AM36">
        <v>3701924103</v>
      </c>
      <c r="AN36">
        <v>0</v>
      </c>
      <c r="AO36">
        <v>2467882664</v>
      </c>
      <c r="AP36">
        <v>3701924103</v>
      </c>
      <c r="AQ36">
        <v>6169806767</v>
      </c>
      <c r="AR36">
        <v>57842564</v>
      </c>
      <c r="AS36">
        <v>0</v>
      </c>
      <c r="AT36">
        <v>38560666</v>
      </c>
      <c r="AU36">
        <v>57842564</v>
      </c>
      <c r="AV36">
        <v>96403230</v>
      </c>
      <c r="AW36">
        <v>28.677900000000001</v>
      </c>
      <c r="AX36">
        <v>15.31</v>
      </c>
      <c r="AY36">
        <v>5323.05</v>
      </c>
      <c r="AZ36">
        <v>3670.98</v>
      </c>
      <c r="BA36">
        <v>2961</v>
      </c>
      <c r="BB36">
        <v>393</v>
      </c>
      <c r="BC36" t="str">
        <f t="shared" si="0"/>
        <v>u=40%, k=2x10^7</v>
      </c>
      <c r="BD36">
        <f t="shared" si="1"/>
        <v>64</v>
      </c>
    </row>
    <row r="37" spans="1:56">
      <c r="A37" t="s">
        <v>170</v>
      </c>
      <c r="B37" t="s">
        <v>105</v>
      </c>
      <c r="D37" t="s">
        <v>64</v>
      </c>
      <c r="E37" t="s">
        <v>59</v>
      </c>
      <c r="F37" t="s">
        <v>60</v>
      </c>
      <c r="G37">
        <v>1000</v>
      </c>
      <c r="H37">
        <v>20</v>
      </c>
      <c r="I37">
        <v>20</v>
      </c>
      <c r="J37">
        <v>0</v>
      </c>
      <c r="K37">
        <v>1</v>
      </c>
      <c r="L37">
        <v>20000000</v>
      </c>
      <c r="M37">
        <v>190</v>
      </c>
      <c r="N37">
        <v>190</v>
      </c>
      <c r="O37">
        <v>190</v>
      </c>
      <c r="P37">
        <v>0</v>
      </c>
      <c r="Q37" t="s">
        <v>61</v>
      </c>
      <c r="R37">
        <v>100014965746868</v>
      </c>
      <c r="S37">
        <v>10002047</v>
      </c>
      <c r="T37">
        <v>100014965746868</v>
      </c>
      <c r="U37">
        <v>10002047</v>
      </c>
      <c r="V37" t="s">
        <v>71</v>
      </c>
      <c r="W37">
        <v>29</v>
      </c>
      <c r="X37">
        <v>6697467</v>
      </c>
      <c r="Y37">
        <v>5073532</v>
      </c>
      <c r="Z37">
        <v>11770999</v>
      </c>
      <c r="AA37">
        <v>10002047</v>
      </c>
      <c r="AB37">
        <v>1.75753</v>
      </c>
      <c r="AC37">
        <v>1.97142</v>
      </c>
      <c r="AD37">
        <v>1.84972</v>
      </c>
      <c r="AE37">
        <v>23.1694</v>
      </c>
      <c r="AF37">
        <v>659175944</v>
      </c>
      <c r="AJ37" t="s">
        <v>171</v>
      </c>
      <c r="AM37">
        <v>57872706</v>
      </c>
      <c r="AN37">
        <v>0</v>
      </c>
      <c r="AO37">
        <v>38574663</v>
      </c>
      <c r="AP37">
        <v>57872706</v>
      </c>
      <c r="AQ37">
        <v>96447369</v>
      </c>
      <c r="AR37">
        <v>57872706</v>
      </c>
      <c r="AS37">
        <v>0</v>
      </c>
      <c r="AT37">
        <v>38574663</v>
      </c>
      <c r="AU37">
        <v>57872706</v>
      </c>
      <c r="AV37">
        <v>96447369</v>
      </c>
      <c r="AW37">
        <v>31.401299999999999</v>
      </c>
      <c r="AX37">
        <v>11.5093</v>
      </c>
      <c r="AY37">
        <v>5432.59</v>
      </c>
      <c r="AZ37">
        <v>3815.61</v>
      </c>
      <c r="BA37">
        <v>1953</v>
      </c>
      <c r="BB37">
        <v>427</v>
      </c>
      <c r="BC37" t="str">
        <f t="shared" si="0"/>
        <v>u=40%, k=2x10^7</v>
      </c>
      <c r="BD37">
        <f t="shared" si="1"/>
        <v>1</v>
      </c>
    </row>
    <row r="38" spans="1:56">
      <c r="A38" t="s">
        <v>172</v>
      </c>
      <c r="B38" t="s">
        <v>105</v>
      </c>
      <c r="D38" t="s">
        <v>64</v>
      </c>
      <c r="E38" t="s">
        <v>59</v>
      </c>
      <c r="F38" t="s">
        <v>60</v>
      </c>
      <c r="G38">
        <v>2000</v>
      </c>
      <c r="H38">
        <v>20</v>
      </c>
      <c r="I38">
        <v>20</v>
      </c>
      <c r="J38">
        <v>0</v>
      </c>
      <c r="K38">
        <v>1</v>
      </c>
      <c r="L38">
        <v>20000000</v>
      </c>
      <c r="M38">
        <v>190</v>
      </c>
      <c r="N38">
        <v>190</v>
      </c>
      <c r="O38">
        <v>190</v>
      </c>
      <c r="P38">
        <v>0</v>
      </c>
      <c r="Q38" t="s">
        <v>61</v>
      </c>
      <c r="R38">
        <v>100019666825977</v>
      </c>
      <c r="S38">
        <v>10001160</v>
      </c>
      <c r="T38">
        <v>100019666825977</v>
      </c>
      <c r="U38">
        <v>10001160</v>
      </c>
      <c r="V38" t="s">
        <v>71</v>
      </c>
      <c r="W38">
        <v>29</v>
      </c>
      <c r="X38">
        <v>6835444</v>
      </c>
      <c r="Y38">
        <v>5183312</v>
      </c>
      <c r="Z38">
        <v>12018756</v>
      </c>
      <c r="AA38">
        <v>10001160</v>
      </c>
      <c r="AB38">
        <v>1.7583</v>
      </c>
      <c r="AC38">
        <v>1.9294899999999999</v>
      </c>
      <c r="AD38">
        <v>1.83213</v>
      </c>
      <c r="AE38">
        <v>23.256900000000002</v>
      </c>
      <c r="AF38">
        <v>673050336</v>
      </c>
      <c r="AJ38" t="s">
        <v>173</v>
      </c>
      <c r="AM38">
        <v>115210770</v>
      </c>
      <c r="AN38">
        <v>0</v>
      </c>
      <c r="AO38">
        <v>76803215</v>
      </c>
      <c r="AP38">
        <v>115210770</v>
      </c>
      <c r="AQ38">
        <v>192013985</v>
      </c>
      <c r="AR38">
        <v>57605385</v>
      </c>
      <c r="AS38">
        <v>0</v>
      </c>
      <c r="AT38">
        <v>38401607</v>
      </c>
      <c r="AU38">
        <v>57605385</v>
      </c>
      <c r="AV38">
        <v>96006992</v>
      </c>
      <c r="AW38">
        <v>31.506399999999999</v>
      </c>
      <c r="AX38">
        <v>11.653700000000001</v>
      </c>
      <c r="AY38">
        <v>5492.01</v>
      </c>
      <c r="AZ38">
        <v>3884.63</v>
      </c>
      <c r="BA38">
        <v>2059</v>
      </c>
      <c r="BB38">
        <v>429</v>
      </c>
      <c r="BC38" t="str">
        <f t="shared" si="0"/>
        <v>u=40%, k=2x10^7</v>
      </c>
      <c r="BD38">
        <f t="shared" si="1"/>
        <v>2</v>
      </c>
    </row>
    <row r="39" spans="1:56">
      <c r="A39" t="s">
        <v>174</v>
      </c>
      <c r="B39" t="s">
        <v>105</v>
      </c>
      <c r="D39" t="s">
        <v>64</v>
      </c>
      <c r="E39" t="s">
        <v>59</v>
      </c>
      <c r="F39" t="s">
        <v>60</v>
      </c>
      <c r="G39">
        <v>4000</v>
      </c>
      <c r="H39">
        <v>20</v>
      </c>
      <c r="I39">
        <v>20</v>
      </c>
      <c r="J39">
        <v>0</v>
      </c>
      <c r="K39">
        <v>1</v>
      </c>
      <c r="L39">
        <v>20000000</v>
      </c>
      <c r="M39">
        <v>190</v>
      </c>
      <c r="N39">
        <v>190</v>
      </c>
      <c r="O39">
        <v>190</v>
      </c>
      <c r="P39">
        <v>0</v>
      </c>
      <c r="Q39" t="s">
        <v>61</v>
      </c>
      <c r="R39">
        <v>99972187284734</v>
      </c>
      <c r="S39">
        <v>9998732</v>
      </c>
      <c r="T39">
        <v>99972187284734</v>
      </c>
      <c r="U39">
        <v>9998732</v>
      </c>
      <c r="V39" t="s">
        <v>71</v>
      </c>
      <c r="W39">
        <v>29</v>
      </c>
      <c r="X39">
        <v>6857525</v>
      </c>
      <c r="Y39">
        <v>5203246</v>
      </c>
      <c r="Z39">
        <v>12060771</v>
      </c>
      <c r="AA39">
        <v>9998732</v>
      </c>
      <c r="AB39">
        <v>1.7587600000000001</v>
      </c>
      <c r="AC39">
        <v>1.9216299999999999</v>
      </c>
      <c r="AD39">
        <v>1.8290299999999999</v>
      </c>
      <c r="AE39">
        <v>23.2835</v>
      </c>
      <c r="AF39">
        <v>675403176</v>
      </c>
      <c r="AJ39" t="s">
        <v>175</v>
      </c>
      <c r="AM39">
        <v>227393245</v>
      </c>
      <c r="AN39">
        <v>0</v>
      </c>
      <c r="AO39">
        <v>151598901</v>
      </c>
      <c r="AP39">
        <v>227393245</v>
      </c>
      <c r="AQ39">
        <v>378992146</v>
      </c>
      <c r="AR39">
        <v>56848311</v>
      </c>
      <c r="AS39">
        <v>0</v>
      </c>
      <c r="AT39">
        <v>37899725</v>
      </c>
      <c r="AU39">
        <v>56848311</v>
      </c>
      <c r="AV39">
        <v>94748036</v>
      </c>
      <c r="AW39">
        <v>32.210500000000003</v>
      </c>
      <c r="AX39">
        <v>11.7845</v>
      </c>
      <c r="AY39">
        <v>5572.4</v>
      </c>
      <c r="AZ39">
        <v>3979.69</v>
      </c>
      <c r="BA39">
        <v>2192</v>
      </c>
      <c r="BB39">
        <v>433</v>
      </c>
      <c r="BC39" t="str">
        <f t="shared" si="0"/>
        <v>u=40%, k=2x10^7</v>
      </c>
      <c r="BD39">
        <f t="shared" si="1"/>
        <v>4</v>
      </c>
    </row>
    <row r="40" spans="1:56">
      <c r="A40" t="s">
        <v>176</v>
      </c>
      <c r="B40" t="s">
        <v>105</v>
      </c>
      <c r="D40" t="s">
        <v>64</v>
      </c>
      <c r="E40" t="s">
        <v>59</v>
      </c>
      <c r="F40" t="s">
        <v>60</v>
      </c>
      <c r="G40">
        <v>8000</v>
      </c>
      <c r="H40">
        <v>20</v>
      </c>
      <c r="I40">
        <v>20</v>
      </c>
      <c r="J40">
        <v>0</v>
      </c>
      <c r="K40">
        <v>1</v>
      </c>
      <c r="L40">
        <v>20000000</v>
      </c>
      <c r="M40">
        <v>190</v>
      </c>
      <c r="N40">
        <v>190</v>
      </c>
      <c r="O40">
        <v>190</v>
      </c>
      <c r="P40">
        <v>0</v>
      </c>
      <c r="Q40" t="s">
        <v>61</v>
      </c>
      <c r="R40">
        <v>100034669499869</v>
      </c>
      <c r="S40">
        <v>10000806</v>
      </c>
      <c r="T40">
        <v>100034669499869</v>
      </c>
      <c r="U40">
        <v>10000806</v>
      </c>
      <c r="V40" t="s">
        <v>71</v>
      </c>
      <c r="W40">
        <v>29</v>
      </c>
      <c r="X40">
        <v>6857733</v>
      </c>
      <c r="Y40">
        <v>5202195</v>
      </c>
      <c r="Z40">
        <v>12059928</v>
      </c>
      <c r="AA40">
        <v>10000806</v>
      </c>
      <c r="AB40">
        <v>1.7585900000000001</v>
      </c>
      <c r="AC40">
        <v>1.92242</v>
      </c>
      <c r="AD40">
        <v>1.8292600000000001</v>
      </c>
      <c r="AE40">
        <v>23.2684</v>
      </c>
      <c r="AF40">
        <v>675355968</v>
      </c>
      <c r="AJ40" t="s">
        <v>177</v>
      </c>
      <c r="AM40">
        <v>451401712</v>
      </c>
      <c r="AN40">
        <v>0</v>
      </c>
      <c r="AO40">
        <v>300939234</v>
      </c>
      <c r="AP40">
        <v>451401712</v>
      </c>
      <c r="AQ40">
        <v>752340946</v>
      </c>
      <c r="AR40">
        <v>56425214</v>
      </c>
      <c r="AS40">
        <v>0</v>
      </c>
      <c r="AT40">
        <v>37617404</v>
      </c>
      <c r="AU40">
        <v>56425214</v>
      </c>
      <c r="AV40">
        <v>94042618</v>
      </c>
      <c r="AW40">
        <v>32.004300000000001</v>
      </c>
      <c r="AX40">
        <v>11.9541</v>
      </c>
      <c r="AY40">
        <v>5612.01</v>
      </c>
      <c r="AZ40">
        <v>4023.75</v>
      </c>
      <c r="BA40">
        <v>2345</v>
      </c>
      <c r="BB40">
        <v>427</v>
      </c>
      <c r="BC40" t="str">
        <f t="shared" si="0"/>
        <v>u=40%, k=2x10^7</v>
      </c>
      <c r="BD40">
        <f t="shared" si="1"/>
        <v>8</v>
      </c>
    </row>
    <row r="41" spans="1:56">
      <c r="A41" t="s">
        <v>178</v>
      </c>
      <c r="B41" t="s">
        <v>105</v>
      </c>
      <c r="D41" t="s">
        <v>64</v>
      </c>
      <c r="E41" t="s">
        <v>59</v>
      </c>
      <c r="F41" t="s">
        <v>60</v>
      </c>
      <c r="G41">
        <v>16000</v>
      </c>
      <c r="H41">
        <v>20</v>
      </c>
      <c r="I41">
        <v>20</v>
      </c>
      <c r="J41">
        <v>0</v>
      </c>
      <c r="K41">
        <v>1</v>
      </c>
      <c r="L41">
        <v>20000000</v>
      </c>
      <c r="M41">
        <v>190</v>
      </c>
      <c r="N41">
        <v>190</v>
      </c>
      <c r="O41">
        <v>190</v>
      </c>
      <c r="P41">
        <v>0</v>
      </c>
      <c r="Q41" t="s">
        <v>61</v>
      </c>
      <c r="R41">
        <v>100004166665346</v>
      </c>
      <c r="S41">
        <v>10002755</v>
      </c>
      <c r="T41">
        <v>100004166665346</v>
      </c>
      <c r="U41">
        <v>10002755</v>
      </c>
      <c r="V41" t="s">
        <v>71</v>
      </c>
      <c r="W41">
        <v>29</v>
      </c>
      <c r="X41">
        <v>6860175</v>
      </c>
      <c r="Y41">
        <v>5203432</v>
      </c>
      <c r="Z41">
        <v>12063607</v>
      </c>
      <c r="AA41">
        <v>10002755</v>
      </c>
      <c r="AB41">
        <v>1.7585</v>
      </c>
      <c r="AC41">
        <v>1.9223399999999999</v>
      </c>
      <c r="AD41">
        <v>1.82917</v>
      </c>
      <c r="AE41">
        <v>23.248699999999999</v>
      </c>
      <c r="AF41">
        <v>675561992</v>
      </c>
      <c r="AJ41" t="s">
        <v>179</v>
      </c>
      <c r="AM41">
        <v>888002778</v>
      </c>
      <c r="AN41">
        <v>0</v>
      </c>
      <c r="AO41">
        <v>591964536</v>
      </c>
      <c r="AP41">
        <v>888002778</v>
      </c>
      <c r="AQ41">
        <v>1479967314</v>
      </c>
      <c r="AR41">
        <v>55500173</v>
      </c>
      <c r="AS41">
        <v>0</v>
      </c>
      <c r="AT41">
        <v>36997783</v>
      </c>
      <c r="AU41">
        <v>55500173</v>
      </c>
      <c r="AV41">
        <v>92497957</v>
      </c>
      <c r="AW41">
        <v>32.450699999999998</v>
      </c>
      <c r="AX41">
        <v>12.1379</v>
      </c>
      <c r="AY41">
        <v>5710.04</v>
      </c>
      <c r="AZ41">
        <v>4107.79</v>
      </c>
      <c r="BA41">
        <v>2459</v>
      </c>
      <c r="BB41">
        <v>457</v>
      </c>
      <c r="BC41" t="str">
        <f t="shared" si="0"/>
        <v>u=40%, k=2x10^7</v>
      </c>
      <c r="BD41">
        <f t="shared" si="1"/>
        <v>16</v>
      </c>
    </row>
    <row r="42" spans="1:56">
      <c r="A42" t="s">
        <v>180</v>
      </c>
      <c r="B42" t="s">
        <v>105</v>
      </c>
      <c r="D42" t="s">
        <v>64</v>
      </c>
      <c r="E42" t="s">
        <v>59</v>
      </c>
      <c r="F42" t="s">
        <v>60</v>
      </c>
      <c r="G42">
        <v>32000</v>
      </c>
      <c r="H42">
        <v>20</v>
      </c>
      <c r="I42">
        <v>20</v>
      </c>
      <c r="J42">
        <v>0</v>
      </c>
      <c r="K42">
        <v>1</v>
      </c>
      <c r="L42">
        <v>20000000</v>
      </c>
      <c r="M42">
        <v>190</v>
      </c>
      <c r="N42">
        <v>190</v>
      </c>
      <c r="O42">
        <v>190</v>
      </c>
      <c r="P42">
        <v>0</v>
      </c>
      <c r="Q42" t="s">
        <v>61</v>
      </c>
      <c r="R42">
        <v>100014888483260</v>
      </c>
      <c r="S42">
        <v>10000164</v>
      </c>
      <c r="T42">
        <v>100014888483260</v>
      </c>
      <c r="U42">
        <v>10000164</v>
      </c>
      <c r="V42" t="s">
        <v>71</v>
      </c>
      <c r="W42">
        <v>29</v>
      </c>
      <c r="X42">
        <v>6858391</v>
      </c>
      <c r="Y42">
        <v>5204447</v>
      </c>
      <c r="Z42">
        <v>12062838</v>
      </c>
      <c r="AA42">
        <v>10000164</v>
      </c>
      <c r="AB42">
        <v>1.75884</v>
      </c>
      <c r="AC42">
        <v>1.92147</v>
      </c>
      <c r="AD42">
        <v>1.82901</v>
      </c>
      <c r="AE42">
        <v>23.282</v>
      </c>
      <c r="AF42">
        <v>675518928</v>
      </c>
      <c r="AJ42">
        <v>17464</v>
      </c>
      <c r="AM42">
        <v>1757221260</v>
      </c>
      <c r="AN42">
        <v>0</v>
      </c>
      <c r="AO42">
        <v>1171560413</v>
      </c>
      <c r="AP42">
        <v>1757221260</v>
      </c>
      <c r="AQ42">
        <v>2928781673</v>
      </c>
      <c r="AR42">
        <v>54913164</v>
      </c>
      <c r="AS42">
        <v>0</v>
      </c>
      <c r="AT42">
        <v>36611262</v>
      </c>
      <c r="AU42">
        <v>54913164</v>
      </c>
      <c r="AV42">
        <v>91524427</v>
      </c>
      <c r="AW42">
        <v>33.185099999999998</v>
      </c>
      <c r="AX42">
        <v>12.294499999999999</v>
      </c>
      <c r="AY42">
        <v>5771.56</v>
      </c>
      <c r="AZ42">
        <v>4154.55</v>
      </c>
      <c r="BA42">
        <v>2511</v>
      </c>
      <c r="BB42">
        <v>450</v>
      </c>
      <c r="BC42" t="str">
        <f t="shared" si="0"/>
        <v>u=40%, k=2x10^7</v>
      </c>
      <c r="BD42">
        <f t="shared" si="1"/>
        <v>32</v>
      </c>
    </row>
    <row r="43" spans="1:56">
      <c r="A43" t="s">
        <v>181</v>
      </c>
      <c r="B43" t="s">
        <v>105</v>
      </c>
      <c r="D43" t="s">
        <v>64</v>
      </c>
      <c r="E43" t="s">
        <v>59</v>
      </c>
      <c r="F43" t="s">
        <v>60</v>
      </c>
      <c r="G43">
        <v>64000</v>
      </c>
      <c r="H43">
        <v>20</v>
      </c>
      <c r="I43">
        <v>20</v>
      </c>
      <c r="J43">
        <v>0</v>
      </c>
      <c r="K43">
        <v>1</v>
      </c>
      <c r="L43">
        <v>20000000</v>
      </c>
      <c r="M43">
        <v>190</v>
      </c>
      <c r="N43">
        <v>190</v>
      </c>
      <c r="O43">
        <v>190</v>
      </c>
      <c r="P43">
        <v>0</v>
      </c>
      <c r="Q43" t="s">
        <v>61</v>
      </c>
      <c r="R43">
        <v>100067774164102</v>
      </c>
      <c r="S43">
        <v>10005051</v>
      </c>
      <c r="T43">
        <v>100067774164102</v>
      </c>
      <c r="U43">
        <v>10005051</v>
      </c>
      <c r="V43" t="s">
        <v>71</v>
      </c>
      <c r="W43">
        <v>29</v>
      </c>
      <c r="X43">
        <v>6861369</v>
      </c>
      <c r="Y43">
        <v>5204217</v>
      </c>
      <c r="Z43">
        <v>12065586</v>
      </c>
      <c r="AA43">
        <v>10005051</v>
      </c>
      <c r="AB43">
        <v>1.75848</v>
      </c>
      <c r="AC43">
        <v>1.92249</v>
      </c>
      <c r="AD43">
        <v>1.8292200000000001</v>
      </c>
      <c r="AE43">
        <v>23.2044</v>
      </c>
      <c r="AF43">
        <v>675672816</v>
      </c>
      <c r="AJ43" t="s">
        <v>182</v>
      </c>
      <c r="AM43">
        <v>3495817991</v>
      </c>
      <c r="AN43">
        <v>0</v>
      </c>
      <c r="AO43">
        <v>2330558513</v>
      </c>
      <c r="AP43">
        <v>3495817991</v>
      </c>
      <c r="AQ43">
        <v>5826376504</v>
      </c>
      <c r="AR43">
        <v>54622156</v>
      </c>
      <c r="AS43">
        <v>0</v>
      </c>
      <c r="AT43">
        <v>36414976</v>
      </c>
      <c r="AU43">
        <v>54622156</v>
      </c>
      <c r="AV43">
        <v>91037132</v>
      </c>
      <c r="AW43">
        <v>33.1404</v>
      </c>
      <c r="AX43">
        <v>12.432399999999999</v>
      </c>
      <c r="AY43">
        <v>5803.4</v>
      </c>
      <c r="AZ43">
        <v>4182</v>
      </c>
      <c r="BA43">
        <v>2531</v>
      </c>
      <c r="BB43">
        <v>440</v>
      </c>
      <c r="BC43" t="str">
        <f t="shared" si="0"/>
        <v>u=40%, k=2x10^7</v>
      </c>
      <c r="BD43">
        <f t="shared" si="1"/>
        <v>64</v>
      </c>
    </row>
    <row r="44" spans="1:56">
      <c r="A44" t="s">
        <v>183</v>
      </c>
      <c r="B44" t="s">
        <v>63</v>
      </c>
      <c r="C44">
        <v>72</v>
      </c>
      <c r="D44" t="s">
        <v>64</v>
      </c>
      <c r="E44" t="s">
        <v>59</v>
      </c>
      <c r="F44" t="s">
        <v>60</v>
      </c>
      <c r="G44">
        <v>1000</v>
      </c>
      <c r="H44">
        <v>0.5</v>
      </c>
      <c r="I44">
        <v>0.5</v>
      </c>
      <c r="J44">
        <v>0</v>
      </c>
      <c r="K44">
        <v>1</v>
      </c>
      <c r="L44">
        <v>20000000</v>
      </c>
      <c r="M44">
        <v>190</v>
      </c>
      <c r="N44">
        <v>190</v>
      </c>
      <c r="O44">
        <v>190</v>
      </c>
      <c r="P44">
        <v>0</v>
      </c>
      <c r="Q44" t="s">
        <v>61</v>
      </c>
      <c r="R44">
        <v>99998159463364</v>
      </c>
      <c r="S44">
        <v>10000883</v>
      </c>
      <c r="T44">
        <v>99998159463364</v>
      </c>
      <c r="U44">
        <v>10000883</v>
      </c>
      <c r="V44" t="s">
        <v>71</v>
      </c>
      <c r="W44">
        <v>7</v>
      </c>
      <c r="X44">
        <v>1903154</v>
      </c>
      <c r="Y44">
        <v>12025371</v>
      </c>
      <c r="Z44">
        <v>13928525</v>
      </c>
      <c r="AA44">
        <v>10000883</v>
      </c>
      <c r="AB44">
        <v>7.3186499999999999</v>
      </c>
      <c r="AC44">
        <v>0.83164899999999997</v>
      </c>
      <c r="AD44">
        <v>1.71801</v>
      </c>
      <c r="AE44">
        <v>4.0555000000000003</v>
      </c>
      <c r="AF44">
        <v>344689376</v>
      </c>
      <c r="AG44" t="s">
        <v>184</v>
      </c>
      <c r="AH44" t="s">
        <v>184</v>
      </c>
      <c r="AI44">
        <v>6</v>
      </c>
      <c r="AJ44">
        <v>1664</v>
      </c>
      <c r="AM44">
        <v>264045566</v>
      </c>
      <c r="AN44">
        <v>0</v>
      </c>
      <c r="AO44">
        <v>2667247</v>
      </c>
      <c r="AP44">
        <v>264045566</v>
      </c>
      <c r="AQ44">
        <v>266712813</v>
      </c>
      <c r="AR44">
        <v>264045566</v>
      </c>
      <c r="AS44">
        <v>0</v>
      </c>
      <c r="AT44">
        <v>2667247</v>
      </c>
      <c r="AU44">
        <v>264045566</v>
      </c>
      <c r="AV44">
        <v>266712813</v>
      </c>
      <c r="AW44">
        <v>15.9292</v>
      </c>
      <c r="AX44">
        <v>6.4836999999999998</v>
      </c>
      <c r="AY44">
        <v>1979.93</v>
      </c>
      <c r="AZ44">
        <v>1222.58</v>
      </c>
      <c r="BA44">
        <v>1916</v>
      </c>
      <c r="BB44">
        <v>369</v>
      </c>
      <c r="BC44" t="str">
        <f t="shared" si="0"/>
        <v>u=1%, k=2x10^7</v>
      </c>
      <c r="BD44">
        <f t="shared" si="1"/>
        <v>1</v>
      </c>
    </row>
    <row r="45" spans="1:56">
      <c r="A45" t="s">
        <v>185</v>
      </c>
      <c r="B45" t="s">
        <v>63</v>
      </c>
      <c r="C45">
        <v>72</v>
      </c>
      <c r="D45" t="s">
        <v>64</v>
      </c>
      <c r="E45" t="s">
        <v>59</v>
      </c>
      <c r="F45" t="s">
        <v>60</v>
      </c>
      <c r="G45">
        <v>2000</v>
      </c>
      <c r="H45">
        <v>0.5</v>
      </c>
      <c r="I45">
        <v>0.5</v>
      </c>
      <c r="J45">
        <v>0</v>
      </c>
      <c r="K45">
        <v>1</v>
      </c>
      <c r="L45">
        <v>20000000</v>
      </c>
      <c r="M45">
        <v>190</v>
      </c>
      <c r="N45">
        <v>190</v>
      </c>
      <c r="O45">
        <v>190</v>
      </c>
      <c r="P45">
        <v>0</v>
      </c>
      <c r="Q45" t="s">
        <v>61</v>
      </c>
      <c r="R45">
        <v>100028986580250</v>
      </c>
      <c r="S45">
        <v>10002827</v>
      </c>
      <c r="T45">
        <v>100028986580250</v>
      </c>
      <c r="U45">
        <v>10002827</v>
      </c>
      <c r="V45" t="s">
        <v>71</v>
      </c>
      <c r="W45">
        <v>7</v>
      </c>
      <c r="X45">
        <v>1659390</v>
      </c>
      <c r="Y45">
        <v>11512751</v>
      </c>
      <c r="Z45">
        <v>13172141</v>
      </c>
      <c r="AA45">
        <v>10002827</v>
      </c>
      <c r="AB45">
        <v>7.9379400000000002</v>
      </c>
      <c r="AC45">
        <v>0.86884799999999995</v>
      </c>
      <c r="AD45">
        <v>1.75939</v>
      </c>
      <c r="AE45">
        <v>4.0067199999999996</v>
      </c>
      <c r="AF45">
        <v>316955216</v>
      </c>
      <c r="AG45" t="s">
        <v>186</v>
      </c>
      <c r="AH45" t="s">
        <v>187</v>
      </c>
      <c r="AI45">
        <v>2584</v>
      </c>
      <c r="AJ45">
        <v>3132</v>
      </c>
      <c r="AM45">
        <v>508569913</v>
      </c>
      <c r="AN45">
        <v>0</v>
      </c>
      <c r="AO45">
        <v>5141593</v>
      </c>
      <c r="AP45">
        <v>508569913</v>
      </c>
      <c r="AQ45">
        <v>513711506</v>
      </c>
      <c r="AR45">
        <v>254284956</v>
      </c>
      <c r="AS45">
        <v>0</v>
      </c>
      <c r="AT45">
        <v>2570796</v>
      </c>
      <c r="AU45">
        <v>254284956</v>
      </c>
      <c r="AV45">
        <v>256855753</v>
      </c>
      <c r="AW45">
        <v>16.1431</v>
      </c>
      <c r="AX45">
        <v>6.5848800000000001</v>
      </c>
      <c r="AY45">
        <v>2001.99</v>
      </c>
      <c r="AZ45">
        <v>1240.3499999999999</v>
      </c>
      <c r="BA45">
        <v>2596</v>
      </c>
      <c r="BB45">
        <v>397</v>
      </c>
      <c r="BC45" t="str">
        <f t="shared" si="0"/>
        <v>u=1%, k=2x10^7</v>
      </c>
      <c r="BD45">
        <f t="shared" si="1"/>
        <v>2</v>
      </c>
    </row>
    <row r="46" spans="1:56">
      <c r="A46" t="s">
        <v>188</v>
      </c>
      <c r="B46" t="s">
        <v>63</v>
      </c>
      <c r="C46">
        <v>72</v>
      </c>
      <c r="D46" t="s">
        <v>64</v>
      </c>
      <c r="E46" t="s">
        <v>59</v>
      </c>
      <c r="F46" t="s">
        <v>60</v>
      </c>
      <c r="G46">
        <v>4000</v>
      </c>
      <c r="H46">
        <v>0.5</v>
      </c>
      <c r="I46">
        <v>0.5</v>
      </c>
      <c r="J46">
        <v>0</v>
      </c>
      <c r="K46">
        <v>1</v>
      </c>
      <c r="L46">
        <v>20000000</v>
      </c>
      <c r="M46">
        <v>190</v>
      </c>
      <c r="N46">
        <v>190</v>
      </c>
      <c r="O46">
        <v>190</v>
      </c>
      <c r="P46">
        <v>0</v>
      </c>
      <c r="Q46" t="s">
        <v>61</v>
      </c>
      <c r="R46">
        <v>99982725658371</v>
      </c>
      <c r="S46">
        <v>9998836</v>
      </c>
      <c r="T46">
        <v>99982725658371</v>
      </c>
      <c r="U46">
        <v>9998836</v>
      </c>
      <c r="V46" t="s">
        <v>71</v>
      </c>
      <c r="W46">
        <v>7</v>
      </c>
      <c r="X46">
        <v>1641720</v>
      </c>
      <c r="Y46">
        <v>11473081</v>
      </c>
      <c r="Z46">
        <v>13114801</v>
      </c>
      <c r="AA46">
        <v>9998836</v>
      </c>
      <c r="AB46">
        <v>7.9884500000000003</v>
      </c>
      <c r="AC46">
        <v>0.87150399999999995</v>
      </c>
      <c r="AD46">
        <v>1.76241</v>
      </c>
      <c r="AE46">
        <v>4.00319</v>
      </c>
      <c r="AF46">
        <v>314906880</v>
      </c>
      <c r="AG46" t="s">
        <v>189</v>
      </c>
      <c r="AH46" t="s">
        <v>190</v>
      </c>
      <c r="AI46">
        <v>5280</v>
      </c>
      <c r="AJ46">
        <v>6198</v>
      </c>
      <c r="AM46">
        <v>995640567</v>
      </c>
      <c r="AN46">
        <v>0</v>
      </c>
      <c r="AO46">
        <v>10060465</v>
      </c>
      <c r="AP46">
        <v>995640567</v>
      </c>
      <c r="AQ46">
        <v>1005701032</v>
      </c>
      <c r="AR46">
        <v>248910141</v>
      </c>
      <c r="AS46">
        <v>0</v>
      </c>
      <c r="AT46">
        <v>2515116</v>
      </c>
      <c r="AU46">
        <v>248910141</v>
      </c>
      <c r="AV46">
        <v>251425258</v>
      </c>
      <c r="AW46">
        <v>16.2437</v>
      </c>
      <c r="AX46">
        <v>6.6146000000000003</v>
      </c>
      <c r="AY46">
        <v>2049.27</v>
      </c>
      <c r="AZ46">
        <v>1276.73</v>
      </c>
      <c r="BA46">
        <v>2734</v>
      </c>
      <c r="BB46">
        <v>406</v>
      </c>
      <c r="BC46" t="str">
        <f t="shared" si="0"/>
        <v>u=1%, k=2x10^7</v>
      </c>
      <c r="BD46">
        <f t="shared" si="1"/>
        <v>4</v>
      </c>
    </row>
    <row r="47" spans="1:56">
      <c r="A47" t="s">
        <v>191</v>
      </c>
      <c r="B47" t="s">
        <v>63</v>
      </c>
      <c r="C47">
        <v>72</v>
      </c>
      <c r="D47" t="s">
        <v>64</v>
      </c>
      <c r="E47" t="s">
        <v>59</v>
      </c>
      <c r="F47" t="s">
        <v>60</v>
      </c>
      <c r="G47">
        <v>8000</v>
      </c>
      <c r="H47">
        <v>0.5</v>
      </c>
      <c r="I47">
        <v>0.5</v>
      </c>
      <c r="J47">
        <v>0</v>
      </c>
      <c r="K47">
        <v>1</v>
      </c>
      <c r="L47">
        <v>20000000</v>
      </c>
      <c r="M47">
        <v>190</v>
      </c>
      <c r="N47">
        <v>190</v>
      </c>
      <c r="O47">
        <v>190</v>
      </c>
      <c r="P47">
        <v>0</v>
      </c>
      <c r="Q47" t="s">
        <v>61</v>
      </c>
      <c r="R47">
        <v>99963073237890</v>
      </c>
      <c r="S47">
        <v>9997351</v>
      </c>
      <c r="T47">
        <v>99963073237890</v>
      </c>
      <c r="U47">
        <v>9997351</v>
      </c>
      <c r="V47" t="s">
        <v>71</v>
      </c>
      <c r="W47">
        <v>7</v>
      </c>
      <c r="X47">
        <v>1647170</v>
      </c>
      <c r="Y47">
        <v>11483310</v>
      </c>
      <c r="Z47">
        <v>13130480</v>
      </c>
      <c r="AA47">
        <v>9997351</v>
      </c>
      <c r="AB47">
        <v>7.9715400000000001</v>
      </c>
      <c r="AC47">
        <v>0.87059799999999998</v>
      </c>
      <c r="AD47">
        <v>1.76139</v>
      </c>
      <c r="AE47">
        <v>4.0043800000000003</v>
      </c>
      <c r="AF47">
        <v>315506544</v>
      </c>
      <c r="AG47" t="s">
        <v>192</v>
      </c>
      <c r="AH47" t="s">
        <v>193</v>
      </c>
      <c r="AI47">
        <v>9848</v>
      </c>
      <c r="AJ47">
        <v>12364</v>
      </c>
      <c r="AM47">
        <v>1988369360</v>
      </c>
      <c r="AN47">
        <v>0</v>
      </c>
      <c r="AO47">
        <v>20086196</v>
      </c>
      <c r="AP47">
        <v>1988369360</v>
      </c>
      <c r="AQ47">
        <v>2008455556</v>
      </c>
      <c r="AR47">
        <v>248546170</v>
      </c>
      <c r="AS47">
        <v>0</v>
      </c>
      <c r="AT47">
        <v>2510774</v>
      </c>
      <c r="AU47">
        <v>248546170</v>
      </c>
      <c r="AV47">
        <v>251056944</v>
      </c>
      <c r="AW47">
        <v>16.2212</v>
      </c>
      <c r="AX47">
        <v>6.6342800000000004</v>
      </c>
      <c r="AY47">
        <v>2069.0300000000002</v>
      </c>
      <c r="AZ47">
        <v>1291.54</v>
      </c>
      <c r="BA47">
        <v>2782</v>
      </c>
      <c r="BB47">
        <v>385</v>
      </c>
      <c r="BC47" t="str">
        <f t="shared" ref="BC47:BC85" si="2">"u="&amp;(H47+I47)&amp;"%, k=2x10^"&amp;LOG10(L47/2)</f>
        <v>u=1%, k=2x10^7</v>
      </c>
      <c r="BD47">
        <f t="shared" ref="BD47:BD85" si="3">G47/1000</f>
        <v>8</v>
      </c>
    </row>
    <row r="48" spans="1:56">
      <c r="A48" t="s">
        <v>194</v>
      </c>
      <c r="B48" t="s">
        <v>63</v>
      </c>
      <c r="C48">
        <v>72</v>
      </c>
      <c r="D48" t="s">
        <v>64</v>
      </c>
      <c r="E48" t="s">
        <v>59</v>
      </c>
      <c r="F48" t="s">
        <v>60</v>
      </c>
      <c r="G48">
        <v>16000</v>
      </c>
      <c r="H48">
        <v>0.5</v>
      </c>
      <c r="I48">
        <v>0.5</v>
      </c>
      <c r="J48">
        <v>0</v>
      </c>
      <c r="K48">
        <v>1</v>
      </c>
      <c r="L48">
        <v>20000000</v>
      </c>
      <c r="M48">
        <v>190</v>
      </c>
      <c r="N48">
        <v>190</v>
      </c>
      <c r="O48">
        <v>190</v>
      </c>
      <c r="P48">
        <v>0</v>
      </c>
      <c r="Q48" t="s">
        <v>61</v>
      </c>
      <c r="R48">
        <v>99947681666817</v>
      </c>
      <c r="S48">
        <v>9994827</v>
      </c>
      <c r="T48">
        <v>99947681666817</v>
      </c>
      <c r="U48">
        <v>9994827</v>
      </c>
      <c r="V48" t="s">
        <v>71</v>
      </c>
      <c r="W48">
        <v>7</v>
      </c>
      <c r="X48">
        <v>1829631</v>
      </c>
      <c r="Y48">
        <v>11862801</v>
      </c>
      <c r="Z48">
        <v>13692432</v>
      </c>
      <c r="AA48">
        <v>9994827</v>
      </c>
      <c r="AB48">
        <v>7.4837100000000003</v>
      </c>
      <c r="AC48">
        <v>0.84253500000000003</v>
      </c>
      <c r="AD48">
        <v>1.7299500000000001</v>
      </c>
      <c r="AE48">
        <v>4.0417199999999998</v>
      </c>
      <c r="AF48">
        <v>336182608</v>
      </c>
      <c r="AG48" t="s">
        <v>195</v>
      </c>
      <c r="AH48" t="s">
        <v>196</v>
      </c>
      <c r="AI48">
        <v>18461</v>
      </c>
      <c r="AJ48">
        <v>24528</v>
      </c>
      <c r="AM48">
        <v>3954547788</v>
      </c>
      <c r="AN48">
        <v>0</v>
      </c>
      <c r="AO48">
        <v>39953810</v>
      </c>
      <c r="AP48">
        <v>3954547788</v>
      </c>
      <c r="AQ48">
        <v>3994501598</v>
      </c>
      <c r="AR48">
        <v>247159236</v>
      </c>
      <c r="AS48">
        <v>0</v>
      </c>
      <c r="AT48">
        <v>2497113</v>
      </c>
      <c r="AU48">
        <v>247159236</v>
      </c>
      <c r="AV48">
        <v>249656349</v>
      </c>
      <c r="AW48">
        <v>16.325399999999998</v>
      </c>
      <c r="AX48">
        <v>6.6433799999999996</v>
      </c>
      <c r="AY48">
        <v>2087.69</v>
      </c>
      <c r="AZ48">
        <v>1313.37</v>
      </c>
      <c r="BA48">
        <v>2731</v>
      </c>
      <c r="BB48">
        <v>416</v>
      </c>
      <c r="BC48" t="str">
        <f t="shared" si="2"/>
        <v>u=1%, k=2x10^7</v>
      </c>
      <c r="BD48">
        <f t="shared" si="3"/>
        <v>16</v>
      </c>
    </row>
    <row r="49" spans="1:56">
      <c r="A49" t="s">
        <v>197</v>
      </c>
      <c r="B49" t="s">
        <v>63</v>
      </c>
      <c r="C49">
        <v>72</v>
      </c>
      <c r="D49" t="s">
        <v>64</v>
      </c>
      <c r="E49" t="s">
        <v>59</v>
      </c>
      <c r="F49" t="s">
        <v>60</v>
      </c>
      <c r="G49">
        <v>32000</v>
      </c>
      <c r="H49">
        <v>0.5</v>
      </c>
      <c r="I49">
        <v>0.5</v>
      </c>
      <c r="J49">
        <v>0</v>
      </c>
      <c r="K49">
        <v>1</v>
      </c>
      <c r="L49">
        <v>20000000</v>
      </c>
      <c r="M49">
        <v>190</v>
      </c>
      <c r="N49">
        <v>190</v>
      </c>
      <c r="O49">
        <v>190</v>
      </c>
      <c r="P49">
        <v>0</v>
      </c>
      <c r="Q49" t="s">
        <v>61</v>
      </c>
      <c r="R49">
        <v>99999475089589</v>
      </c>
      <c r="S49">
        <v>10000383</v>
      </c>
      <c r="T49">
        <v>99999475089589</v>
      </c>
      <c r="U49">
        <v>10000383</v>
      </c>
      <c r="V49" t="s">
        <v>71</v>
      </c>
      <c r="W49">
        <v>7</v>
      </c>
      <c r="X49">
        <v>1697094</v>
      </c>
      <c r="Y49">
        <v>11586364</v>
      </c>
      <c r="Z49">
        <v>13283458</v>
      </c>
      <c r="AA49">
        <v>10000383</v>
      </c>
      <c r="AB49">
        <v>7.8271800000000002</v>
      </c>
      <c r="AC49">
        <v>0.86311700000000002</v>
      </c>
      <c r="AD49">
        <v>1.75284</v>
      </c>
      <c r="AE49">
        <v>4.0142600000000002</v>
      </c>
      <c r="AF49">
        <v>321149440</v>
      </c>
      <c r="AG49" t="s">
        <v>198</v>
      </c>
      <c r="AH49" t="s">
        <v>199</v>
      </c>
      <c r="AI49">
        <v>37849</v>
      </c>
      <c r="AJ49">
        <v>49672</v>
      </c>
      <c r="AM49">
        <v>7954788171</v>
      </c>
      <c r="AN49">
        <v>0</v>
      </c>
      <c r="AO49">
        <v>80343432</v>
      </c>
      <c r="AP49">
        <v>7954788171</v>
      </c>
      <c r="AQ49">
        <v>8035131603</v>
      </c>
      <c r="AR49">
        <v>248587130</v>
      </c>
      <c r="AS49">
        <v>0</v>
      </c>
      <c r="AT49">
        <v>2510732</v>
      </c>
      <c r="AU49">
        <v>248587130</v>
      </c>
      <c r="AV49">
        <v>251097862</v>
      </c>
      <c r="AW49">
        <v>16.327500000000001</v>
      </c>
      <c r="AX49">
        <v>6.6603300000000001</v>
      </c>
      <c r="AY49">
        <v>2079.17</v>
      </c>
      <c r="AZ49">
        <v>1305.53</v>
      </c>
      <c r="BA49">
        <v>2770</v>
      </c>
      <c r="BB49">
        <v>427</v>
      </c>
      <c r="BC49" t="str">
        <f t="shared" si="2"/>
        <v>u=1%, k=2x10^7</v>
      </c>
      <c r="BD49">
        <f t="shared" si="3"/>
        <v>32</v>
      </c>
    </row>
    <row r="50" spans="1:56">
      <c r="A50" t="s">
        <v>200</v>
      </c>
      <c r="B50" t="s">
        <v>63</v>
      </c>
      <c r="C50">
        <v>72</v>
      </c>
      <c r="D50" t="s">
        <v>64</v>
      </c>
      <c r="E50" t="s">
        <v>59</v>
      </c>
      <c r="F50" t="s">
        <v>60</v>
      </c>
      <c r="G50">
        <v>64000</v>
      </c>
      <c r="H50">
        <v>0.5</v>
      </c>
      <c r="I50">
        <v>0.5</v>
      </c>
      <c r="J50">
        <v>0</v>
      </c>
      <c r="K50">
        <v>1</v>
      </c>
      <c r="L50">
        <v>20000000</v>
      </c>
      <c r="M50">
        <v>190</v>
      </c>
      <c r="N50">
        <v>190</v>
      </c>
      <c r="O50">
        <v>190</v>
      </c>
      <c r="P50">
        <v>0</v>
      </c>
      <c r="Q50" t="s">
        <v>61</v>
      </c>
      <c r="R50">
        <v>100031023042845</v>
      </c>
      <c r="S50">
        <v>10000648</v>
      </c>
      <c r="T50">
        <v>100031023042845</v>
      </c>
      <c r="U50">
        <v>10000648</v>
      </c>
      <c r="V50" t="s">
        <v>71</v>
      </c>
      <c r="W50">
        <v>7</v>
      </c>
      <c r="X50">
        <v>1685228</v>
      </c>
      <c r="Y50">
        <v>11562413</v>
      </c>
      <c r="Z50">
        <v>13247641</v>
      </c>
      <c r="AA50">
        <v>10000648</v>
      </c>
      <c r="AB50">
        <v>7.86104</v>
      </c>
      <c r="AC50">
        <v>0.864927</v>
      </c>
      <c r="AD50">
        <v>1.7548999999999999</v>
      </c>
      <c r="AE50">
        <v>4.0118900000000002</v>
      </c>
      <c r="AF50">
        <v>319816896</v>
      </c>
      <c r="AG50" t="s">
        <v>201</v>
      </c>
      <c r="AH50" t="s">
        <v>202</v>
      </c>
      <c r="AI50">
        <v>75233</v>
      </c>
      <c r="AJ50">
        <v>99156</v>
      </c>
      <c r="AM50">
        <v>15862871639</v>
      </c>
      <c r="AN50">
        <v>0</v>
      </c>
      <c r="AO50">
        <v>160238071</v>
      </c>
      <c r="AP50">
        <v>15862871639</v>
      </c>
      <c r="AQ50">
        <v>16023109710</v>
      </c>
      <c r="AR50">
        <v>247857369</v>
      </c>
      <c r="AS50">
        <v>0</v>
      </c>
      <c r="AT50">
        <v>2503719</v>
      </c>
      <c r="AU50">
        <v>247857369</v>
      </c>
      <c r="AV50">
        <v>250361089</v>
      </c>
      <c r="AW50">
        <v>16.3644</v>
      </c>
      <c r="AX50">
        <v>6.6663500000000004</v>
      </c>
      <c r="AY50">
        <v>2086.08</v>
      </c>
      <c r="AZ50">
        <v>1313.47</v>
      </c>
      <c r="BA50">
        <v>2774</v>
      </c>
      <c r="BB50">
        <v>343</v>
      </c>
      <c r="BC50" t="str">
        <f t="shared" si="2"/>
        <v>u=1%, k=2x10^7</v>
      </c>
      <c r="BD50">
        <f t="shared" si="3"/>
        <v>64</v>
      </c>
    </row>
    <row r="51" spans="1:56">
      <c r="A51" t="s">
        <v>203</v>
      </c>
      <c r="B51" t="s">
        <v>105</v>
      </c>
      <c r="D51" t="s">
        <v>64</v>
      </c>
      <c r="E51" t="s">
        <v>59</v>
      </c>
      <c r="F51" t="s">
        <v>60</v>
      </c>
      <c r="G51">
        <v>1000</v>
      </c>
      <c r="H51">
        <v>0.5</v>
      </c>
      <c r="I51">
        <v>0.5</v>
      </c>
      <c r="J51">
        <v>0</v>
      </c>
      <c r="K51">
        <v>1</v>
      </c>
      <c r="L51">
        <v>20000000</v>
      </c>
      <c r="M51">
        <v>190</v>
      </c>
      <c r="N51">
        <v>190</v>
      </c>
      <c r="O51">
        <v>190</v>
      </c>
      <c r="P51">
        <v>0</v>
      </c>
      <c r="Q51" t="s">
        <v>61</v>
      </c>
      <c r="R51">
        <v>100012211489050</v>
      </c>
      <c r="S51">
        <v>10001194</v>
      </c>
      <c r="T51">
        <v>100012211489050</v>
      </c>
      <c r="U51">
        <v>10001194</v>
      </c>
      <c r="V51" t="s">
        <v>71</v>
      </c>
      <c r="W51">
        <v>29</v>
      </c>
      <c r="X51">
        <v>5779739</v>
      </c>
      <c r="Y51">
        <v>4339102</v>
      </c>
      <c r="Z51">
        <v>10118841</v>
      </c>
      <c r="AA51">
        <v>10001194</v>
      </c>
      <c r="AB51">
        <v>1.75074</v>
      </c>
      <c r="AC51">
        <v>2.3048999999999999</v>
      </c>
      <c r="AD51">
        <v>1.98837</v>
      </c>
      <c r="AE51">
        <v>22.7013</v>
      </c>
      <c r="AF51">
        <v>566655096</v>
      </c>
      <c r="AJ51">
        <v>836</v>
      </c>
      <c r="AM51">
        <v>112769055</v>
      </c>
      <c r="AN51">
        <v>0</v>
      </c>
      <c r="AO51">
        <v>1139961</v>
      </c>
      <c r="AP51">
        <v>112769055</v>
      </c>
      <c r="AQ51">
        <v>113909016</v>
      </c>
      <c r="AR51">
        <v>112769055</v>
      </c>
      <c r="AS51">
        <v>0</v>
      </c>
      <c r="AT51">
        <v>1139961</v>
      </c>
      <c r="AU51">
        <v>112769055</v>
      </c>
      <c r="AV51">
        <v>113909016</v>
      </c>
      <c r="AW51">
        <v>28.665099999999999</v>
      </c>
      <c r="AX51">
        <v>10.4587</v>
      </c>
      <c r="AY51">
        <v>4603.08</v>
      </c>
      <c r="AZ51">
        <v>3248.04</v>
      </c>
      <c r="BA51">
        <v>1762</v>
      </c>
      <c r="BB51">
        <v>433</v>
      </c>
      <c r="BC51" t="str">
        <f t="shared" si="2"/>
        <v>u=1%, k=2x10^7</v>
      </c>
      <c r="BD51">
        <f t="shared" si="3"/>
        <v>1</v>
      </c>
    </row>
    <row r="52" spans="1:56">
      <c r="A52" t="s">
        <v>204</v>
      </c>
      <c r="B52" t="s">
        <v>105</v>
      </c>
      <c r="D52" t="s">
        <v>64</v>
      </c>
      <c r="E52" t="s">
        <v>59</v>
      </c>
      <c r="F52" t="s">
        <v>60</v>
      </c>
      <c r="G52">
        <v>2000</v>
      </c>
      <c r="H52">
        <v>0.5</v>
      </c>
      <c r="I52">
        <v>0.5</v>
      </c>
      <c r="J52">
        <v>0</v>
      </c>
      <c r="K52">
        <v>1</v>
      </c>
      <c r="L52">
        <v>20000000</v>
      </c>
      <c r="M52">
        <v>190</v>
      </c>
      <c r="N52">
        <v>190</v>
      </c>
      <c r="O52">
        <v>190</v>
      </c>
      <c r="P52">
        <v>0</v>
      </c>
      <c r="Q52" t="s">
        <v>61</v>
      </c>
      <c r="R52">
        <v>100031613149026</v>
      </c>
      <c r="S52">
        <v>10000673</v>
      </c>
      <c r="T52">
        <v>100031613149026</v>
      </c>
      <c r="U52">
        <v>10000673</v>
      </c>
      <c r="V52" t="s">
        <v>71</v>
      </c>
      <c r="W52">
        <v>29</v>
      </c>
      <c r="X52">
        <v>5842552</v>
      </c>
      <c r="Y52">
        <v>4390440</v>
      </c>
      <c r="Z52">
        <v>10232992</v>
      </c>
      <c r="AA52">
        <v>10000673</v>
      </c>
      <c r="AB52">
        <v>1.75146</v>
      </c>
      <c r="AC52">
        <v>2.2778299999999998</v>
      </c>
      <c r="AD52">
        <v>1.9773000000000001</v>
      </c>
      <c r="AE52">
        <v>22.7621</v>
      </c>
      <c r="AF52">
        <v>573047552</v>
      </c>
      <c r="AJ52" t="s">
        <v>205</v>
      </c>
      <c r="AM52">
        <v>228539748</v>
      </c>
      <c r="AN52">
        <v>0</v>
      </c>
      <c r="AO52">
        <v>2307483</v>
      </c>
      <c r="AP52">
        <v>228539748</v>
      </c>
      <c r="AQ52">
        <v>230847231</v>
      </c>
      <c r="AR52">
        <v>114269874</v>
      </c>
      <c r="AS52">
        <v>0</v>
      </c>
      <c r="AT52">
        <v>1153741</v>
      </c>
      <c r="AU52">
        <v>114269874</v>
      </c>
      <c r="AV52">
        <v>115423615</v>
      </c>
      <c r="AW52">
        <v>28.585899999999999</v>
      </c>
      <c r="AX52">
        <v>10.5718</v>
      </c>
      <c r="AY52">
        <v>4569.5200000000004</v>
      </c>
      <c r="AZ52">
        <v>3215</v>
      </c>
      <c r="BA52">
        <v>1770</v>
      </c>
      <c r="BB52">
        <v>453</v>
      </c>
      <c r="BC52" t="str">
        <f t="shared" si="2"/>
        <v>u=1%, k=2x10^7</v>
      </c>
      <c r="BD52">
        <f t="shared" si="3"/>
        <v>2</v>
      </c>
    </row>
    <row r="53" spans="1:56">
      <c r="A53" t="s">
        <v>206</v>
      </c>
      <c r="B53" t="s">
        <v>105</v>
      </c>
      <c r="D53" t="s">
        <v>64</v>
      </c>
      <c r="E53" t="s">
        <v>59</v>
      </c>
      <c r="F53" t="s">
        <v>60</v>
      </c>
      <c r="G53">
        <v>4000</v>
      </c>
      <c r="H53">
        <v>0.5</v>
      </c>
      <c r="I53">
        <v>0.5</v>
      </c>
      <c r="J53">
        <v>0</v>
      </c>
      <c r="K53">
        <v>1</v>
      </c>
      <c r="L53">
        <v>20000000</v>
      </c>
      <c r="M53">
        <v>190</v>
      </c>
      <c r="N53">
        <v>190</v>
      </c>
      <c r="O53">
        <v>190</v>
      </c>
      <c r="P53">
        <v>0</v>
      </c>
      <c r="Q53" t="s">
        <v>61</v>
      </c>
      <c r="R53">
        <v>99991022118329</v>
      </c>
      <c r="S53">
        <v>9998743</v>
      </c>
      <c r="T53">
        <v>99991022118329</v>
      </c>
      <c r="U53">
        <v>9998743</v>
      </c>
      <c r="V53" t="s">
        <v>71</v>
      </c>
      <c r="W53">
        <v>29</v>
      </c>
      <c r="X53">
        <v>5952731</v>
      </c>
      <c r="Y53">
        <v>4482292</v>
      </c>
      <c r="Z53">
        <v>10435023</v>
      </c>
      <c r="AA53">
        <v>9998743</v>
      </c>
      <c r="AB53">
        <v>1.75298</v>
      </c>
      <c r="AC53">
        <v>2.2307199999999998</v>
      </c>
      <c r="AD53">
        <v>1.9581900000000001</v>
      </c>
      <c r="AE53">
        <v>22.790099999999999</v>
      </c>
      <c r="AF53">
        <v>584361288</v>
      </c>
      <c r="AJ53" t="s">
        <v>207</v>
      </c>
      <c r="AM53">
        <v>456763699</v>
      </c>
      <c r="AN53">
        <v>0</v>
      </c>
      <c r="AO53">
        <v>4611323</v>
      </c>
      <c r="AP53">
        <v>456763699</v>
      </c>
      <c r="AQ53">
        <v>461375022</v>
      </c>
      <c r="AR53">
        <v>114190924</v>
      </c>
      <c r="AS53">
        <v>0</v>
      </c>
      <c r="AT53">
        <v>1152830</v>
      </c>
      <c r="AU53">
        <v>114190924</v>
      </c>
      <c r="AV53">
        <v>115343755</v>
      </c>
      <c r="AW53">
        <v>28.6814</v>
      </c>
      <c r="AX53">
        <v>10.649699999999999</v>
      </c>
      <c r="AY53">
        <v>4581.7299999999996</v>
      </c>
      <c r="AZ53">
        <v>3207.87</v>
      </c>
      <c r="BA53">
        <v>1782</v>
      </c>
      <c r="BB53">
        <v>445</v>
      </c>
      <c r="BC53" t="str">
        <f t="shared" si="2"/>
        <v>u=1%, k=2x10^7</v>
      </c>
      <c r="BD53">
        <f t="shared" si="3"/>
        <v>4</v>
      </c>
    </row>
    <row r="54" spans="1:56">
      <c r="A54" t="s">
        <v>208</v>
      </c>
      <c r="B54" t="s">
        <v>105</v>
      </c>
      <c r="D54" t="s">
        <v>64</v>
      </c>
      <c r="E54" t="s">
        <v>59</v>
      </c>
      <c r="F54" t="s">
        <v>60</v>
      </c>
      <c r="G54">
        <v>8000</v>
      </c>
      <c r="H54">
        <v>0.5</v>
      </c>
      <c r="I54">
        <v>0.5</v>
      </c>
      <c r="J54">
        <v>0</v>
      </c>
      <c r="K54">
        <v>1</v>
      </c>
      <c r="L54">
        <v>20000000</v>
      </c>
      <c r="M54">
        <v>190</v>
      </c>
      <c r="N54">
        <v>190</v>
      </c>
      <c r="O54">
        <v>190</v>
      </c>
      <c r="P54">
        <v>0</v>
      </c>
      <c r="Q54" t="s">
        <v>61</v>
      </c>
      <c r="R54">
        <v>100032659352433</v>
      </c>
      <c r="S54">
        <v>10000536</v>
      </c>
      <c r="T54">
        <v>100032659352433</v>
      </c>
      <c r="U54">
        <v>10000536</v>
      </c>
      <c r="V54" t="s">
        <v>71</v>
      </c>
      <c r="W54">
        <v>29</v>
      </c>
      <c r="X54">
        <v>6141346</v>
      </c>
      <c r="Y54">
        <v>4633779</v>
      </c>
      <c r="Z54">
        <v>10775125</v>
      </c>
      <c r="AA54">
        <v>10000536</v>
      </c>
      <c r="AB54">
        <v>1.7545200000000001</v>
      </c>
      <c r="AC54">
        <v>2.1581800000000002</v>
      </c>
      <c r="AD54">
        <v>1.92811</v>
      </c>
      <c r="AE54">
        <v>22.865200000000002</v>
      </c>
      <c r="AF54">
        <v>603407000</v>
      </c>
      <c r="AJ54" t="s">
        <v>209</v>
      </c>
      <c r="AM54">
        <v>908481616</v>
      </c>
      <c r="AN54">
        <v>0</v>
      </c>
      <c r="AO54">
        <v>9177305</v>
      </c>
      <c r="AP54">
        <v>908481616</v>
      </c>
      <c r="AQ54">
        <v>917658921</v>
      </c>
      <c r="AR54">
        <v>113560202</v>
      </c>
      <c r="AS54">
        <v>0</v>
      </c>
      <c r="AT54">
        <v>1147163</v>
      </c>
      <c r="AU54">
        <v>113560202</v>
      </c>
      <c r="AV54">
        <v>114707365</v>
      </c>
      <c r="AW54">
        <v>28.727599999999999</v>
      </c>
      <c r="AX54">
        <v>10.7377</v>
      </c>
      <c r="AY54">
        <v>4603.1000000000004</v>
      </c>
      <c r="AZ54">
        <v>3236.79</v>
      </c>
      <c r="BA54">
        <v>1804</v>
      </c>
      <c r="BB54">
        <v>447</v>
      </c>
      <c r="BC54" t="str">
        <f t="shared" si="2"/>
        <v>u=1%, k=2x10^7</v>
      </c>
      <c r="BD54">
        <f t="shared" si="3"/>
        <v>8</v>
      </c>
    </row>
    <row r="55" spans="1:56">
      <c r="A55" t="s">
        <v>210</v>
      </c>
      <c r="B55" t="s">
        <v>105</v>
      </c>
      <c r="D55" t="s">
        <v>64</v>
      </c>
      <c r="E55" t="s">
        <v>59</v>
      </c>
      <c r="F55" t="s">
        <v>60</v>
      </c>
      <c r="G55">
        <v>16000</v>
      </c>
      <c r="H55">
        <v>0.5</v>
      </c>
      <c r="I55">
        <v>0.5</v>
      </c>
      <c r="J55">
        <v>0</v>
      </c>
      <c r="K55">
        <v>1</v>
      </c>
      <c r="L55">
        <v>20000000</v>
      </c>
      <c r="M55">
        <v>190</v>
      </c>
      <c r="N55">
        <v>190</v>
      </c>
      <c r="O55">
        <v>190</v>
      </c>
      <c r="P55">
        <v>0</v>
      </c>
      <c r="Q55" t="s">
        <v>61</v>
      </c>
      <c r="R55">
        <v>99992133803743</v>
      </c>
      <c r="S55">
        <v>9999536</v>
      </c>
      <c r="T55">
        <v>99992133803743</v>
      </c>
      <c r="U55">
        <v>9999536</v>
      </c>
      <c r="V55" t="s">
        <v>71</v>
      </c>
      <c r="W55">
        <v>29</v>
      </c>
      <c r="X55">
        <v>6406833</v>
      </c>
      <c r="Y55">
        <v>4844197</v>
      </c>
      <c r="Z55">
        <v>11251030</v>
      </c>
      <c r="AA55">
        <v>9999536</v>
      </c>
      <c r="AB55">
        <v>1.7561</v>
      </c>
      <c r="AC55">
        <v>2.0642299999999998</v>
      </c>
      <c r="AD55">
        <v>1.8887700000000001</v>
      </c>
      <c r="AE55">
        <v>23.1084</v>
      </c>
      <c r="AF55">
        <v>630057680</v>
      </c>
      <c r="AJ55" t="s">
        <v>211</v>
      </c>
      <c r="AM55">
        <v>1808291232</v>
      </c>
      <c r="AN55">
        <v>0</v>
      </c>
      <c r="AO55">
        <v>18264415</v>
      </c>
      <c r="AP55">
        <v>1808291232</v>
      </c>
      <c r="AQ55">
        <v>1826555647</v>
      </c>
      <c r="AR55">
        <v>113018202</v>
      </c>
      <c r="AS55">
        <v>0</v>
      </c>
      <c r="AT55">
        <v>1141525</v>
      </c>
      <c r="AU55">
        <v>113018202</v>
      </c>
      <c r="AV55">
        <v>114159727</v>
      </c>
      <c r="AW55">
        <v>29.032599999999999</v>
      </c>
      <c r="AX55">
        <v>10.811400000000001</v>
      </c>
      <c r="AY55">
        <v>4620.95</v>
      </c>
      <c r="AZ55">
        <v>3255.2</v>
      </c>
      <c r="BA55">
        <v>1836</v>
      </c>
      <c r="BB55">
        <v>431</v>
      </c>
      <c r="BC55" t="str">
        <f t="shared" si="2"/>
        <v>u=1%, k=2x10^7</v>
      </c>
      <c r="BD55">
        <f t="shared" si="3"/>
        <v>16</v>
      </c>
    </row>
    <row r="56" spans="1:56">
      <c r="A56" t="s">
        <v>212</v>
      </c>
      <c r="B56" t="s">
        <v>105</v>
      </c>
      <c r="D56" t="s">
        <v>64</v>
      </c>
      <c r="E56" t="s">
        <v>59</v>
      </c>
      <c r="F56" t="s">
        <v>60</v>
      </c>
      <c r="G56">
        <v>32000</v>
      </c>
      <c r="H56">
        <v>0.5</v>
      </c>
      <c r="I56">
        <v>0.5</v>
      </c>
      <c r="J56">
        <v>0</v>
      </c>
      <c r="K56">
        <v>1</v>
      </c>
      <c r="L56">
        <v>20000000</v>
      </c>
      <c r="M56">
        <v>190</v>
      </c>
      <c r="N56">
        <v>190</v>
      </c>
      <c r="O56">
        <v>190</v>
      </c>
      <c r="P56">
        <v>0</v>
      </c>
      <c r="Q56" t="s">
        <v>61</v>
      </c>
      <c r="R56">
        <v>100031129123917</v>
      </c>
      <c r="S56">
        <v>10001850</v>
      </c>
      <c r="T56">
        <v>100031129123917</v>
      </c>
      <c r="U56">
        <v>10001850</v>
      </c>
      <c r="V56" t="s">
        <v>71</v>
      </c>
      <c r="W56">
        <v>29</v>
      </c>
      <c r="X56">
        <v>6678876</v>
      </c>
      <c r="Y56">
        <v>5059069</v>
      </c>
      <c r="Z56">
        <v>11737945</v>
      </c>
      <c r="AA56">
        <v>10001850</v>
      </c>
      <c r="AB56">
        <v>1.7574700000000001</v>
      </c>
      <c r="AC56">
        <v>1.9770099999999999</v>
      </c>
      <c r="AD56">
        <v>1.8521000000000001</v>
      </c>
      <c r="AE56">
        <v>23.172499999999999</v>
      </c>
      <c r="AF56">
        <v>657324920</v>
      </c>
      <c r="AJ56" t="s">
        <v>213</v>
      </c>
      <c r="AM56">
        <v>3598133473</v>
      </c>
      <c r="AN56">
        <v>0</v>
      </c>
      <c r="AO56">
        <v>36341605</v>
      </c>
      <c r="AP56">
        <v>3598133473</v>
      </c>
      <c r="AQ56">
        <v>3634475078</v>
      </c>
      <c r="AR56">
        <v>112441671</v>
      </c>
      <c r="AS56">
        <v>0</v>
      </c>
      <c r="AT56">
        <v>1135675</v>
      </c>
      <c r="AU56">
        <v>112441671</v>
      </c>
      <c r="AV56">
        <v>113577346</v>
      </c>
      <c r="AW56">
        <v>29.376799999999999</v>
      </c>
      <c r="AX56">
        <v>10.910600000000001</v>
      </c>
      <c r="AY56">
        <v>4643.8500000000004</v>
      </c>
      <c r="AZ56">
        <v>3276.52</v>
      </c>
      <c r="BA56">
        <v>1867</v>
      </c>
      <c r="BB56">
        <v>433</v>
      </c>
      <c r="BC56" t="str">
        <f t="shared" si="2"/>
        <v>u=1%, k=2x10^7</v>
      </c>
      <c r="BD56">
        <f t="shared" si="3"/>
        <v>32</v>
      </c>
    </row>
    <row r="57" spans="1:56">
      <c r="A57" t="s">
        <v>214</v>
      </c>
      <c r="B57" t="s">
        <v>105</v>
      </c>
      <c r="D57" t="s">
        <v>64</v>
      </c>
      <c r="E57" t="s">
        <v>59</v>
      </c>
      <c r="F57" t="s">
        <v>60</v>
      </c>
      <c r="G57">
        <v>64000</v>
      </c>
      <c r="H57">
        <v>0.5</v>
      </c>
      <c r="I57">
        <v>0.5</v>
      </c>
      <c r="J57">
        <v>0</v>
      </c>
      <c r="K57">
        <v>1</v>
      </c>
      <c r="L57">
        <v>20000000</v>
      </c>
      <c r="M57">
        <v>190</v>
      </c>
      <c r="N57">
        <v>190</v>
      </c>
      <c r="O57">
        <v>190</v>
      </c>
      <c r="P57">
        <v>0</v>
      </c>
      <c r="Q57" t="s">
        <v>61</v>
      </c>
      <c r="R57">
        <v>100001437009600</v>
      </c>
      <c r="S57">
        <v>9998446</v>
      </c>
      <c r="T57">
        <v>100001437009600</v>
      </c>
      <c r="U57">
        <v>9998446</v>
      </c>
      <c r="V57" t="s">
        <v>71</v>
      </c>
      <c r="W57">
        <v>29</v>
      </c>
      <c r="X57">
        <v>6829855</v>
      </c>
      <c r="Y57">
        <v>5178099</v>
      </c>
      <c r="Z57">
        <v>12007954</v>
      </c>
      <c r="AA57">
        <v>9998446</v>
      </c>
      <c r="AB57">
        <v>1.7581599999999999</v>
      </c>
      <c r="AC57">
        <v>1.9309099999999999</v>
      </c>
      <c r="AD57">
        <v>1.8326499999999999</v>
      </c>
      <c r="AE57">
        <v>23.234100000000002</v>
      </c>
      <c r="AF57">
        <v>672445424</v>
      </c>
      <c r="AJ57" t="s">
        <v>215</v>
      </c>
      <c r="AM57">
        <v>7141470289</v>
      </c>
      <c r="AN57">
        <v>0</v>
      </c>
      <c r="AO57">
        <v>72135622</v>
      </c>
      <c r="AP57">
        <v>7141470289</v>
      </c>
      <c r="AQ57">
        <v>7213605911</v>
      </c>
      <c r="AR57">
        <v>111585473</v>
      </c>
      <c r="AS57">
        <v>0</v>
      </c>
      <c r="AT57">
        <v>1127119</v>
      </c>
      <c r="AU57">
        <v>111585473</v>
      </c>
      <c r="AV57">
        <v>112712592</v>
      </c>
      <c r="AW57">
        <v>29.082699999999999</v>
      </c>
      <c r="AX57">
        <v>10.997999999999999</v>
      </c>
      <c r="AY57">
        <v>4676.92</v>
      </c>
      <c r="AZ57">
        <v>3304.24</v>
      </c>
      <c r="BA57">
        <v>1886</v>
      </c>
      <c r="BB57">
        <v>442</v>
      </c>
      <c r="BC57" t="str">
        <f t="shared" si="2"/>
        <v>u=1%, k=2x10^7</v>
      </c>
      <c r="BD57">
        <f t="shared" si="3"/>
        <v>64</v>
      </c>
    </row>
    <row r="58" spans="1:56">
      <c r="A58" t="s">
        <v>216</v>
      </c>
      <c r="B58" t="s">
        <v>63</v>
      </c>
      <c r="C58">
        <v>72</v>
      </c>
      <c r="D58" t="s">
        <v>64</v>
      </c>
      <c r="E58" t="s">
        <v>59</v>
      </c>
      <c r="F58" t="s">
        <v>60</v>
      </c>
      <c r="G58">
        <v>1000</v>
      </c>
      <c r="H58">
        <v>20</v>
      </c>
      <c r="I58">
        <v>20</v>
      </c>
      <c r="J58">
        <v>0</v>
      </c>
      <c r="K58">
        <v>1</v>
      </c>
      <c r="L58">
        <v>20000000</v>
      </c>
      <c r="M58">
        <v>190</v>
      </c>
      <c r="N58">
        <v>190</v>
      </c>
      <c r="O58">
        <v>190</v>
      </c>
      <c r="P58">
        <v>0</v>
      </c>
      <c r="Q58" t="s">
        <v>61</v>
      </c>
      <c r="R58">
        <v>100016599489269</v>
      </c>
      <c r="S58">
        <v>10000607</v>
      </c>
      <c r="T58">
        <v>100016599489269</v>
      </c>
      <c r="U58">
        <v>10000607</v>
      </c>
      <c r="V58" t="s">
        <v>71</v>
      </c>
      <c r="W58">
        <v>7</v>
      </c>
      <c r="X58">
        <v>1844924</v>
      </c>
      <c r="Y58">
        <v>11894262</v>
      </c>
      <c r="Z58">
        <v>13739186</v>
      </c>
      <c r="AA58">
        <v>10000607</v>
      </c>
      <c r="AB58">
        <v>7.4470200000000002</v>
      </c>
      <c r="AC58">
        <v>0.84079300000000001</v>
      </c>
      <c r="AD58">
        <v>1.7278899999999999</v>
      </c>
      <c r="AE58">
        <v>4.0438799999999997</v>
      </c>
      <c r="AF58">
        <v>337909872</v>
      </c>
      <c r="AG58" t="s">
        <v>217</v>
      </c>
      <c r="AH58" t="s">
        <v>218</v>
      </c>
      <c r="AI58">
        <v>88579</v>
      </c>
      <c r="AJ58">
        <v>696</v>
      </c>
      <c r="AM58">
        <v>54708443</v>
      </c>
      <c r="AN58">
        <v>0</v>
      </c>
      <c r="AO58">
        <v>36467320</v>
      </c>
      <c r="AP58">
        <v>54708443</v>
      </c>
      <c r="AQ58">
        <v>91175763</v>
      </c>
      <c r="AR58">
        <v>54708443</v>
      </c>
      <c r="AS58">
        <v>0</v>
      </c>
      <c r="AT58">
        <v>36467320</v>
      </c>
      <c r="AU58">
        <v>54708443</v>
      </c>
      <c r="AV58">
        <v>91175763</v>
      </c>
      <c r="AW58">
        <v>28.2011</v>
      </c>
      <c r="AX58">
        <v>14.885199999999999</v>
      </c>
      <c r="AY58">
        <v>5113.84</v>
      </c>
      <c r="AZ58">
        <v>3496.96</v>
      </c>
      <c r="BA58">
        <v>2848</v>
      </c>
      <c r="BB58">
        <v>345</v>
      </c>
      <c r="BC58" t="str">
        <f t="shared" si="2"/>
        <v>u=40%, k=2x10^7</v>
      </c>
      <c r="BD58">
        <f t="shared" si="3"/>
        <v>1</v>
      </c>
    </row>
    <row r="59" spans="1:56">
      <c r="A59" t="s">
        <v>219</v>
      </c>
      <c r="B59" t="s">
        <v>63</v>
      </c>
      <c r="C59">
        <v>72</v>
      </c>
      <c r="D59" t="s">
        <v>64</v>
      </c>
      <c r="E59" t="s">
        <v>59</v>
      </c>
      <c r="F59" t="s">
        <v>60</v>
      </c>
      <c r="G59">
        <v>2000</v>
      </c>
      <c r="H59">
        <v>20</v>
      </c>
      <c r="I59">
        <v>20</v>
      </c>
      <c r="J59">
        <v>0</v>
      </c>
      <c r="K59">
        <v>1</v>
      </c>
      <c r="L59">
        <v>20000000</v>
      </c>
      <c r="M59">
        <v>190</v>
      </c>
      <c r="N59">
        <v>190</v>
      </c>
      <c r="O59">
        <v>190</v>
      </c>
      <c r="P59">
        <v>0</v>
      </c>
      <c r="Q59" t="s">
        <v>61</v>
      </c>
      <c r="R59">
        <v>99962456587998</v>
      </c>
      <c r="S59">
        <v>9998076</v>
      </c>
      <c r="T59">
        <v>99962456587998</v>
      </c>
      <c r="U59">
        <v>9998076</v>
      </c>
      <c r="V59" t="s">
        <v>71</v>
      </c>
      <c r="W59">
        <v>7</v>
      </c>
      <c r="X59">
        <v>1769233</v>
      </c>
      <c r="Y59">
        <v>11737906</v>
      </c>
      <c r="Z59">
        <v>13507139</v>
      </c>
      <c r="AA59">
        <v>9998076</v>
      </c>
      <c r="AB59">
        <v>7.6344599999999998</v>
      </c>
      <c r="AC59">
        <v>0.85177700000000001</v>
      </c>
      <c r="AD59">
        <v>1.74021</v>
      </c>
      <c r="AE59">
        <v>4.0294699999999999</v>
      </c>
      <c r="AF59">
        <v>329347664</v>
      </c>
      <c r="AG59" t="s">
        <v>220</v>
      </c>
      <c r="AH59" t="s">
        <v>221</v>
      </c>
      <c r="AI59">
        <v>186882</v>
      </c>
      <c r="AJ59">
        <v>1410</v>
      </c>
      <c r="AM59">
        <v>111603747</v>
      </c>
      <c r="AN59">
        <v>0</v>
      </c>
      <c r="AO59">
        <v>74408542</v>
      </c>
      <c r="AP59">
        <v>111603747</v>
      </c>
      <c r="AQ59">
        <v>186012289</v>
      </c>
      <c r="AR59">
        <v>55801873</v>
      </c>
      <c r="AS59">
        <v>0</v>
      </c>
      <c r="AT59">
        <v>37204271</v>
      </c>
      <c r="AU59">
        <v>55801873</v>
      </c>
      <c r="AV59">
        <v>93006144</v>
      </c>
      <c r="AW59">
        <v>28.438400000000001</v>
      </c>
      <c r="AX59">
        <v>15.086399999999999</v>
      </c>
      <c r="AY59">
        <v>5185.8599999999997</v>
      </c>
      <c r="AZ59">
        <v>3560.21</v>
      </c>
      <c r="BA59">
        <v>2879</v>
      </c>
      <c r="BB59">
        <v>376</v>
      </c>
      <c r="BC59" t="str">
        <f t="shared" si="2"/>
        <v>u=40%, k=2x10^7</v>
      </c>
      <c r="BD59">
        <f t="shared" si="3"/>
        <v>2</v>
      </c>
    </row>
    <row r="60" spans="1:56">
      <c r="A60" t="s">
        <v>222</v>
      </c>
      <c r="B60" t="s">
        <v>63</v>
      </c>
      <c r="C60">
        <v>72</v>
      </c>
      <c r="D60" t="s">
        <v>64</v>
      </c>
      <c r="E60" t="s">
        <v>59</v>
      </c>
      <c r="F60" t="s">
        <v>60</v>
      </c>
      <c r="G60">
        <v>4000</v>
      </c>
      <c r="H60">
        <v>20</v>
      </c>
      <c r="I60">
        <v>20</v>
      </c>
      <c r="J60">
        <v>0</v>
      </c>
      <c r="K60">
        <v>1</v>
      </c>
      <c r="L60">
        <v>20000000</v>
      </c>
      <c r="M60">
        <v>190</v>
      </c>
      <c r="N60">
        <v>190</v>
      </c>
      <c r="O60">
        <v>190</v>
      </c>
      <c r="P60">
        <v>0</v>
      </c>
      <c r="Q60" t="s">
        <v>61</v>
      </c>
      <c r="R60">
        <v>99957611099651</v>
      </c>
      <c r="S60">
        <v>9996539</v>
      </c>
      <c r="T60">
        <v>99957611099651</v>
      </c>
      <c r="U60">
        <v>9996539</v>
      </c>
      <c r="V60" t="s">
        <v>71</v>
      </c>
      <c r="W60">
        <v>7</v>
      </c>
      <c r="X60">
        <v>1856212</v>
      </c>
      <c r="Y60">
        <v>11929507</v>
      </c>
      <c r="Z60">
        <v>13785719</v>
      </c>
      <c r="AA60">
        <v>9996539</v>
      </c>
      <c r="AB60">
        <v>7.4268000000000001</v>
      </c>
      <c r="AC60">
        <v>0.83796700000000002</v>
      </c>
      <c r="AD60">
        <v>1.7251399999999999</v>
      </c>
      <c r="AE60">
        <v>4.0460500000000001</v>
      </c>
      <c r="AF60">
        <v>339403632</v>
      </c>
      <c r="AG60" t="s">
        <v>223</v>
      </c>
      <c r="AH60" t="s">
        <v>224</v>
      </c>
      <c r="AI60">
        <v>382270</v>
      </c>
      <c r="AJ60">
        <v>2922</v>
      </c>
      <c r="AM60">
        <v>229889199</v>
      </c>
      <c r="AN60">
        <v>0</v>
      </c>
      <c r="AO60">
        <v>153280356</v>
      </c>
      <c r="AP60">
        <v>229889199</v>
      </c>
      <c r="AQ60">
        <v>383169555</v>
      </c>
      <c r="AR60">
        <v>57472299</v>
      </c>
      <c r="AS60">
        <v>0</v>
      </c>
      <c r="AT60">
        <v>38320089</v>
      </c>
      <c r="AU60">
        <v>57472299</v>
      </c>
      <c r="AV60">
        <v>95792388</v>
      </c>
      <c r="AW60">
        <v>28.482800000000001</v>
      </c>
      <c r="AX60">
        <v>15.17</v>
      </c>
      <c r="AY60">
        <v>5249.85</v>
      </c>
      <c r="AZ60">
        <v>3600.74</v>
      </c>
      <c r="BA60">
        <v>2913</v>
      </c>
      <c r="BB60">
        <v>373</v>
      </c>
      <c r="BC60" t="str">
        <f t="shared" si="2"/>
        <v>u=40%, k=2x10^7</v>
      </c>
      <c r="BD60">
        <f t="shared" si="3"/>
        <v>4</v>
      </c>
    </row>
    <row r="61" spans="1:56">
      <c r="A61" t="s">
        <v>225</v>
      </c>
      <c r="B61" t="s">
        <v>63</v>
      </c>
      <c r="C61">
        <v>72</v>
      </c>
      <c r="D61" t="s">
        <v>64</v>
      </c>
      <c r="E61" t="s">
        <v>59</v>
      </c>
      <c r="F61" t="s">
        <v>60</v>
      </c>
      <c r="G61">
        <v>8000</v>
      </c>
      <c r="H61">
        <v>20</v>
      </c>
      <c r="I61">
        <v>20</v>
      </c>
      <c r="J61">
        <v>0</v>
      </c>
      <c r="K61">
        <v>1</v>
      </c>
      <c r="L61">
        <v>20000000</v>
      </c>
      <c r="M61">
        <v>190</v>
      </c>
      <c r="N61">
        <v>190</v>
      </c>
      <c r="O61">
        <v>190</v>
      </c>
      <c r="P61">
        <v>0</v>
      </c>
      <c r="Q61" t="s">
        <v>61</v>
      </c>
      <c r="R61">
        <v>99972177904792</v>
      </c>
      <c r="S61">
        <v>9997102</v>
      </c>
      <c r="T61">
        <v>99972177904792</v>
      </c>
      <c r="U61">
        <v>9997102</v>
      </c>
      <c r="V61" t="s">
        <v>71</v>
      </c>
      <c r="W61">
        <v>7</v>
      </c>
      <c r="X61">
        <v>1696914</v>
      </c>
      <c r="Y61">
        <v>11583435</v>
      </c>
      <c r="Z61">
        <v>13280349</v>
      </c>
      <c r="AA61">
        <v>9997102</v>
      </c>
      <c r="AB61">
        <v>7.8261799999999999</v>
      </c>
      <c r="AC61">
        <v>0.86305200000000004</v>
      </c>
      <c r="AD61">
        <v>1.7527699999999999</v>
      </c>
      <c r="AE61">
        <v>4.0143300000000002</v>
      </c>
      <c r="AF61">
        <v>321088192</v>
      </c>
      <c r="AG61" t="s">
        <v>226</v>
      </c>
      <c r="AH61" t="s">
        <v>227</v>
      </c>
      <c r="AI61">
        <v>764345</v>
      </c>
      <c r="AJ61">
        <v>5818</v>
      </c>
      <c r="AM61">
        <v>457866445</v>
      </c>
      <c r="AN61">
        <v>0</v>
      </c>
      <c r="AO61">
        <v>305284482</v>
      </c>
      <c r="AP61">
        <v>457866445</v>
      </c>
      <c r="AQ61">
        <v>763150927</v>
      </c>
      <c r="AR61">
        <v>57233305</v>
      </c>
      <c r="AS61">
        <v>0</v>
      </c>
      <c r="AT61">
        <v>38160560</v>
      </c>
      <c r="AU61">
        <v>57233305</v>
      </c>
      <c r="AV61">
        <v>95393865</v>
      </c>
      <c r="AW61">
        <v>28.628699999999998</v>
      </c>
      <c r="AX61">
        <v>15.2944</v>
      </c>
      <c r="AY61">
        <v>5337.77</v>
      </c>
      <c r="AZ61">
        <v>3681.68</v>
      </c>
      <c r="BA61">
        <v>2921</v>
      </c>
      <c r="BB61">
        <v>440</v>
      </c>
      <c r="BC61" t="str">
        <f t="shared" si="2"/>
        <v>u=40%, k=2x10^7</v>
      </c>
      <c r="BD61">
        <f t="shared" si="3"/>
        <v>8</v>
      </c>
    </row>
    <row r="62" spans="1:56">
      <c r="A62" t="s">
        <v>228</v>
      </c>
      <c r="B62" t="s">
        <v>63</v>
      </c>
      <c r="C62">
        <v>72</v>
      </c>
      <c r="D62" t="s">
        <v>64</v>
      </c>
      <c r="E62" t="s">
        <v>59</v>
      </c>
      <c r="F62" t="s">
        <v>60</v>
      </c>
      <c r="G62">
        <v>16000</v>
      </c>
      <c r="H62">
        <v>20</v>
      </c>
      <c r="I62">
        <v>20</v>
      </c>
      <c r="J62">
        <v>0</v>
      </c>
      <c r="K62">
        <v>1</v>
      </c>
      <c r="L62">
        <v>20000000</v>
      </c>
      <c r="M62">
        <v>190</v>
      </c>
      <c r="N62">
        <v>190</v>
      </c>
      <c r="O62">
        <v>190</v>
      </c>
      <c r="P62">
        <v>0</v>
      </c>
      <c r="Q62" t="s">
        <v>61</v>
      </c>
      <c r="R62">
        <v>100025602530740</v>
      </c>
      <c r="S62">
        <v>10003624</v>
      </c>
      <c r="T62">
        <v>100025602530740</v>
      </c>
      <c r="U62">
        <v>10003624</v>
      </c>
      <c r="V62" t="s">
        <v>71</v>
      </c>
      <c r="W62">
        <v>7</v>
      </c>
      <c r="X62">
        <v>1770294</v>
      </c>
      <c r="Y62">
        <v>11752978</v>
      </c>
      <c r="Z62">
        <v>13523272</v>
      </c>
      <c r="AA62">
        <v>10003624</v>
      </c>
      <c r="AB62">
        <v>7.6390000000000002</v>
      </c>
      <c r="AC62">
        <v>0.85115700000000005</v>
      </c>
      <c r="AD62">
        <v>1.73973</v>
      </c>
      <c r="AE62">
        <v>4.0287800000000002</v>
      </c>
      <c r="AF62">
        <v>329688784</v>
      </c>
      <c r="AG62" t="s">
        <v>229</v>
      </c>
      <c r="AH62" t="s">
        <v>230</v>
      </c>
      <c r="AI62">
        <v>1558306</v>
      </c>
      <c r="AJ62">
        <v>11824</v>
      </c>
      <c r="AM62">
        <v>927990100</v>
      </c>
      <c r="AN62">
        <v>0</v>
      </c>
      <c r="AO62">
        <v>618620688</v>
      </c>
      <c r="AP62">
        <v>927990100</v>
      </c>
      <c r="AQ62">
        <v>1546610788</v>
      </c>
      <c r="AR62">
        <v>57999381</v>
      </c>
      <c r="AS62">
        <v>0</v>
      </c>
      <c r="AT62">
        <v>38663793</v>
      </c>
      <c r="AU62">
        <v>57999381</v>
      </c>
      <c r="AV62">
        <v>96663174</v>
      </c>
      <c r="AW62">
        <v>28.640899999999998</v>
      </c>
      <c r="AX62">
        <v>15.288600000000001</v>
      </c>
      <c r="AY62">
        <v>5289.83</v>
      </c>
      <c r="AZ62">
        <v>3638.97</v>
      </c>
      <c r="BA62">
        <v>2933</v>
      </c>
      <c r="BB62">
        <v>282</v>
      </c>
      <c r="BC62" t="str">
        <f t="shared" si="2"/>
        <v>u=40%, k=2x10^7</v>
      </c>
      <c r="BD62">
        <f t="shared" si="3"/>
        <v>16</v>
      </c>
    </row>
    <row r="63" spans="1:56">
      <c r="A63" t="s">
        <v>231</v>
      </c>
      <c r="B63" t="s">
        <v>63</v>
      </c>
      <c r="C63">
        <v>72</v>
      </c>
      <c r="D63" t="s">
        <v>64</v>
      </c>
      <c r="E63" t="s">
        <v>59</v>
      </c>
      <c r="F63" t="s">
        <v>60</v>
      </c>
      <c r="G63">
        <v>32000</v>
      </c>
      <c r="H63">
        <v>20</v>
      </c>
      <c r="I63">
        <v>20</v>
      </c>
      <c r="J63">
        <v>0</v>
      </c>
      <c r="K63">
        <v>1</v>
      </c>
      <c r="L63">
        <v>20000000</v>
      </c>
      <c r="M63">
        <v>190</v>
      </c>
      <c r="N63">
        <v>190</v>
      </c>
      <c r="O63">
        <v>190</v>
      </c>
      <c r="P63">
        <v>0</v>
      </c>
      <c r="Q63" t="s">
        <v>61</v>
      </c>
      <c r="R63">
        <v>100005163935481</v>
      </c>
      <c r="S63">
        <v>9999131</v>
      </c>
      <c r="T63">
        <v>100005163935481</v>
      </c>
      <c r="U63">
        <v>9999131</v>
      </c>
      <c r="V63" t="s">
        <v>71</v>
      </c>
      <c r="W63">
        <v>7</v>
      </c>
      <c r="X63">
        <v>1773651</v>
      </c>
      <c r="Y63">
        <v>11755998</v>
      </c>
      <c r="Z63">
        <v>13529649</v>
      </c>
      <c r="AA63">
        <v>9999131</v>
      </c>
      <c r="AB63">
        <v>7.6281299999999996</v>
      </c>
      <c r="AC63">
        <v>0.85055599999999998</v>
      </c>
      <c r="AD63">
        <v>1.73905</v>
      </c>
      <c r="AE63">
        <v>4.02963</v>
      </c>
      <c r="AF63">
        <v>330007024</v>
      </c>
      <c r="AG63" t="s">
        <v>232</v>
      </c>
      <c r="AH63" t="s">
        <v>233</v>
      </c>
      <c r="AI63">
        <v>3124900</v>
      </c>
      <c r="AJ63">
        <v>23664</v>
      </c>
      <c r="AM63">
        <v>1857841499</v>
      </c>
      <c r="AN63">
        <v>0</v>
      </c>
      <c r="AO63">
        <v>1238590424</v>
      </c>
      <c r="AP63">
        <v>1857841499</v>
      </c>
      <c r="AQ63">
        <v>3096431923</v>
      </c>
      <c r="AR63">
        <v>58057546</v>
      </c>
      <c r="AS63">
        <v>0</v>
      </c>
      <c r="AT63">
        <v>38705950</v>
      </c>
      <c r="AU63">
        <v>58057546</v>
      </c>
      <c r="AV63">
        <v>96763497</v>
      </c>
      <c r="AW63">
        <v>28.6252</v>
      </c>
      <c r="AX63">
        <v>15.3012</v>
      </c>
      <c r="AY63">
        <v>5294.06</v>
      </c>
      <c r="AZ63">
        <v>3641.61</v>
      </c>
      <c r="BA63">
        <v>2942</v>
      </c>
      <c r="BB63">
        <v>446</v>
      </c>
      <c r="BC63" t="str">
        <f t="shared" si="2"/>
        <v>u=40%, k=2x10^7</v>
      </c>
      <c r="BD63">
        <f t="shared" si="3"/>
        <v>32</v>
      </c>
    </row>
    <row r="64" spans="1:56">
      <c r="A64" t="s">
        <v>234</v>
      </c>
      <c r="B64" t="s">
        <v>63</v>
      </c>
      <c r="C64">
        <v>72</v>
      </c>
      <c r="D64" t="s">
        <v>64</v>
      </c>
      <c r="E64" t="s">
        <v>59</v>
      </c>
      <c r="F64" t="s">
        <v>60</v>
      </c>
      <c r="G64">
        <v>64000</v>
      </c>
      <c r="H64">
        <v>20</v>
      </c>
      <c r="I64">
        <v>20</v>
      </c>
      <c r="J64">
        <v>0</v>
      </c>
      <c r="K64">
        <v>1</v>
      </c>
      <c r="L64">
        <v>20000000</v>
      </c>
      <c r="M64">
        <v>190</v>
      </c>
      <c r="N64">
        <v>190</v>
      </c>
      <c r="O64">
        <v>190</v>
      </c>
      <c r="P64">
        <v>0</v>
      </c>
      <c r="Q64" t="s">
        <v>61</v>
      </c>
      <c r="R64">
        <v>99952239207329</v>
      </c>
      <c r="S64">
        <v>9997068</v>
      </c>
      <c r="T64">
        <v>99952239207329</v>
      </c>
      <c r="U64">
        <v>9997068</v>
      </c>
      <c r="V64" t="s">
        <v>71</v>
      </c>
      <c r="W64">
        <v>7</v>
      </c>
      <c r="X64">
        <v>1777793</v>
      </c>
      <c r="Y64">
        <v>11749622</v>
      </c>
      <c r="Z64">
        <v>13527415</v>
      </c>
      <c r="AA64">
        <v>9997068</v>
      </c>
      <c r="AB64">
        <v>7.6091100000000003</v>
      </c>
      <c r="AC64">
        <v>0.85084199999999999</v>
      </c>
      <c r="AD64">
        <v>1.73902</v>
      </c>
      <c r="AE64">
        <v>4.0305200000000001</v>
      </c>
      <c r="AF64">
        <v>330218816</v>
      </c>
      <c r="AG64" t="s">
        <v>235</v>
      </c>
      <c r="AH64" t="s">
        <v>236</v>
      </c>
      <c r="AI64">
        <v>6276586</v>
      </c>
      <c r="AJ64">
        <v>47334</v>
      </c>
      <c r="AM64">
        <v>3720943886</v>
      </c>
      <c r="AN64">
        <v>0</v>
      </c>
      <c r="AO64">
        <v>2480647580</v>
      </c>
      <c r="AP64">
        <v>3720943886</v>
      </c>
      <c r="AQ64">
        <v>6201591466</v>
      </c>
      <c r="AR64">
        <v>58139748</v>
      </c>
      <c r="AS64">
        <v>0</v>
      </c>
      <c r="AT64">
        <v>38760118</v>
      </c>
      <c r="AU64">
        <v>58139748</v>
      </c>
      <c r="AV64">
        <v>96899866</v>
      </c>
      <c r="AW64">
        <v>28.6404</v>
      </c>
      <c r="AX64">
        <v>15.317399999999999</v>
      </c>
      <c r="AY64">
        <v>5300.28</v>
      </c>
      <c r="AZ64">
        <v>3657.47</v>
      </c>
      <c r="BA64">
        <v>2962</v>
      </c>
      <c r="BB64">
        <v>398</v>
      </c>
      <c r="BC64" t="str">
        <f t="shared" si="2"/>
        <v>u=40%, k=2x10^7</v>
      </c>
      <c r="BD64">
        <f t="shared" si="3"/>
        <v>64</v>
      </c>
    </row>
    <row r="65" spans="1:56">
      <c r="A65" t="s">
        <v>237</v>
      </c>
      <c r="B65" t="s">
        <v>105</v>
      </c>
      <c r="D65" t="s">
        <v>64</v>
      </c>
      <c r="E65" t="s">
        <v>59</v>
      </c>
      <c r="F65" t="s">
        <v>60</v>
      </c>
      <c r="G65">
        <v>1000</v>
      </c>
      <c r="H65">
        <v>20</v>
      </c>
      <c r="I65">
        <v>20</v>
      </c>
      <c r="J65">
        <v>0</v>
      </c>
      <c r="K65">
        <v>1</v>
      </c>
      <c r="L65">
        <v>20000000</v>
      </c>
      <c r="M65">
        <v>190</v>
      </c>
      <c r="N65">
        <v>190</v>
      </c>
      <c r="O65">
        <v>190</v>
      </c>
      <c r="P65">
        <v>0</v>
      </c>
      <c r="Q65" t="s">
        <v>61</v>
      </c>
      <c r="R65">
        <v>99981837849922</v>
      </c>
      <c r="S65">
        <v>9996846</v>
      </c>
      <c r="T65">
        <v>99981837849922</v>
      </c>
      <c r="U65">
        <v>9996846</v>
      </c>
      <c r="V65" t="s">
        <v>71</v>
      </c>
      <c r="W65">
        <v>29</v>
      </c>
      <c r="X65">
        <v>6690137</v>
      </c>
      <c r="Y65">
        <v>5069198</v>
      </c>
      <c r="Z65">
        <v>11759335</v>
      </c>
      <c r="AA65">
        <v>9996846</v>
      </c>
      <c r="AB65">
        <v>1.7577100000000001</v>
      </c>
      <c r="AC65">
        <v>1.9720800000000001</v>
      </c>
      <c r="AD65">
        <v>1.85012</v>
      </c>
      <c r="AE65">
        <v>23.203199999999999</v>
      </c>
      <c r="AF65">
        <v>658522760</v>
      </c>
      <c r="AJ65" t="s">
        <v>238</v>
      </c>
      <c r="AM65">
        <v>57717558</v>
      </c>
      <c r="AN65">
        <v>0</v>
      </c>
      <c r="AO65">
        <v>38467976</v>
      </c>
      <c r="AP65">
        <v>57717558</v>
      </c>
      <c r="AQ65">
        <v>96185534</v>
      </c>
      <c r="AR65">
        <v>57717558</v>
      </c>
      <c r="AS65">
        <v>0</v>
      </c>
      <c r="AT65">
        <v>38467976</v>
      </c>
      <c r="AU65">
        <v>57717558</v>
      </c>
      <c r="AV65">
        <v>96185534</v>
      </c>
      <c r="AW65">
        <v>31.25</v>
      </c>
      <c r="AX65">
        <v>11.5029</v>
      </c>
      <c r="AY65">
        <v>5439.67</v>
      </c>
      <c r="AZ65">
        <v>3827.49</v>
      </c>
      <c r="BA65">
        <v>1951</v>
      </c>
      <c r="BB65">
        <v>429</v>
      </c>
      <c r="BC65" t="str">
        <f t="shared" si="2"/>
        <v>u=40%, k=2x10^7</v>
      </c>
      <c r="BD65">
        <f t="shared" si="3"/>
        <v>1</v>
      </c>
    </row>
    <row r="66" spans="1:56">
      <c r="A66" t="s">
        <v>239</v>
      </c>
      <c r="B66" t="s">
        <v>105</v>
      </c>
      <c r="D66" t="s">
        <v>64</v>
      </c>
      <c r="E66" t="s">
        <v>59</v>
      </c>
      <c r="F66" t="s">
        <v>60</v>
      </c>
      <c r="G66">
        <v>2000</v>
      </c>
      <c r="H66">
        <v>20</v>
      </c>
      <c r="I66">
        <v>20</v>
      </c>
      <c r="J66">
        <v>0</v>
      </c>
      <c r="K66">
        <v>1</v>
      </c>
      <c r="L66">
        <v>20000000</v>
      </c>
      <c r="M66">
        <v>190</v>
      </c>
      <c r="N66">
        <v>190</v>
      </c>
      <c r="O66">
        <v>190</v>
      </c>
      <c r="P66">
        <v>0</v>
      </c>
      <c r="Q66" t="s">
        <v>61</v>
      </c>
      <c r="R66">
        <v>99963776613071</v>
      </c>
      <c r="S66">
        <v>9997966</v>
      </c>
      <c r="T66">
        <v>99963776613071</v>
      </c>
      <c r="U66">
        <v>9997966</v>
      </c>
      <c r="V66" t="s">
        <v>71</v>
      </c>
      <c r="W66">
        <v>29</v>
      </c>
      <c r="X66">
        <v>6835304</v>
      </c>
      <c r="Y66">
        <v>5183100</v>
      </c>
      <c r="Z66">
        <v>12018404</v>
      </c>
      <c r="AA66">
        <v>9997966</v>
      </c>
      <c r="AB66">
        <v>1.7582800000000001</v>
      </c>
      <c r="AC66">
        <v>1.9289499999999999</v>
      </c>
      <c r="AD66">
        <v>1.83189</v>
      </c>
      <c r="AE66">
        <v>23.246500000000001</v>
      </c>
      <c r="AF66">
        <v>673030624</v>
      </c>
      <c r="AJ66" t="s">
        <v>240</v>
      </c>
      <c r="AM66">
        <v>114957104</v>
      </c>
      <c r="AN66">
        <v>0</v>
      </c>
      <c r="AO66">
        <v>76647318</v>
      </c>
      <c r="AP66">
        <v>114957104</v>
      </c>
      <c r="AQ66">
        <v>191604422</v>
      </c>
      <c r="AR66">
        <v>57478552</v>
      </c>
      <c r="AS66">
        <v>0</v>
      </c>
      <c r="AT66">
        <v>38323659</v>
      </c>
      <c r="AU66">
        <v>57478552</v>
      </c>
      <c r="AV66">
        <v>95802211</v>
      </c>
      <c r="AW66">
        <v>31.622</v>
      </c>
      <c r="AX66">
        <v>11.6569</v>
      </c>
      <c r="AY66">
        <v>5489.81</v>
      </c>
      <c r="AZ66">
        <v>3885.41</v>
      </c>
      <c r="BA66">
        <v>2058</v>
      </c>
      <c r="BB66">
        <v>431</v>
      </c>
      <c r="BC66" t="str">
        <f t="shared" si="2"/>
        <v>u=40%, k=2x10^7</v>
      </c>
      <c r="BD66">
        <f t="shared" si="3"/>
        <v>2</v>
      </c>
    </row>
    <row r="67" spans="1:56">
      <c r="A67" t="s">
        <v>241</v>
      </c>
      <c r="B67" t="s">
        <v>105</v>
      </c>
      <c r="D67" t="s">
        <v>64</v>
      </c>
      <c r="E67" t="s">
        <v>59</v>
      </c>
      <c r="F67" t="s">
        <v>60</v>
      </c>
      <c r="G67">
        <v>4000</v>
      </c>
      <c r="H67">
        <v>20</v>
      </c>
      <c r="I67">
        <v>20</v>
      </c>
      <c r="J67">
        <v>0</v>
      </c>
      <c r="K67">
        <v>1</v>
      </c>
      <c r="L67">
        <v>20000000</v>
      </c>
      <c r="M67">
        <v>190</v>
      </c>
      <c r="N67">
        <v>190</v>
      </c>
      <c r="O67">
        <v>190</v>
      </c>
      <c r="P67">
        <v>0</v>
      </c>
      <c r="Q67" t="s">
        <v>61</v>
      </c>
      <c r="R67">
        <v>100011308176816</v>
      </c>
      <c r="S67">
        <v>9999568</v>
      </c>
      <c r="T67">
        <v>100011308176816</v>
      </c>
      <c r="U67">
        <v>9999568</v>
      </c>
      <c r="V67" t="s">
        <v>71</v>
      </c>
      <c r="W67">
        <v>29</v>
      </c>
      <c r="X67">
        <v>6857374</v>
      </c>
      <c r="Y67">
        <v>5201793</v>
      </c>
      <c r="Z67">
        <v>12059167</v>
      </c>
      <c r="AA67">
        <v>9999568</v>
      </c>
      <c r="AB67">
        <v>1.75857</v>
      </c>
      <c r="AC67">
        <v>1.9223300000000001</v>
      </c>
      <c r="AD67">
        <v>1.82921</v>
      </c>
      <c r="AE67">
        <v>23.259899999999998</v>
      </c>
      <c r="AF67">
        <v>675313352</v>
      </c>
      <c r="AJ67" t="s">
        <v>242</v>
      </c>
      <c r="AM67">
        <v>228384520</v>
      </c>
      <c r="AN67">
        <v>0</v>
      </c>
      <c r="AO67">
        <v>152259809</v>
      </c>
      <c r="AP67">
        <v>228384520</v>
      </c>
      <c r="AQ67">
        <v>380644329</v>
      </c>
      <c r="AR67">
        <v>57096130</v>
      </c>
      <c r="AS67">
        <v>0</v>
      </c>
      <c r="AT67">
        <v>38064952</v>
      </c>
      <c r="AU67">
        <v>57096130</v>
      </c>
      <c r="AV67">
        <v>95161082</v>
      </c>
      <c r="AW67">
        <v>31.7315</v>
      </c>
      <c r="AX67">
        <v>11.789099999999999</v>
      </c>
      <c r="AY67">
        <v>5548.22</v>
      </c>
      <c r="AZ67">
        <v>3957.71</v>
      </c>
      <c r="BA67">
        <v>2194</v>
      </c>
      <c r="BB67">
        <v>461</v>
      </c>
      <c r="BC67" t="str">
        <f t="shared" si="2"/>
        <v>u=40%, k=2x10^7</v>
      </c>
      <c r="BD67">
        <f t="shared" si="3"/>
        <v>4</v>
      </c>
    </row>
    <row r="68" spans="1:56">
      <c r="A68" t="s">
        <v>243</v>
      </c>
      <c r="B68" t="s">
        <v>105</v>
      </c>
      <c r="D68" t="s">
        <v>64</v>
      </c>
      <c r="E68" t="s">
        <v>59</v>
      </c>
      <c r="F68" t="s">
        <v>60</v>
      </c>
      <c r="G68">
        <v>8000</v>
      </c>
      <c r="H68">
        <v>20</v>
      </c>
      <c r="I68">
        <v>20</v>
      </c>
      <c r="J68">
        <v>0</v>
      </c>
      <c r="K68">
        <v>1</v>
      </c>
      <c r="L68">
        <v>20000000</v>
      </c>
      <c r="M68">
        <v>190</v>
      </c>
      <c r="N68">
        <v>190</v>
      </c>
      <c r="O68">
        <v>190</v>
      </c>
      <c r="P68">
        <v>0</v>
      </c>
      <c r="Q68" t="s">
        <v>61</v>
      </c>
      <c r="R68">
        <v>99976366375823</v>
      </c>
      <c r="S68">
        <v>9997842</v>
      </c>
      <c r="T68">
        <v>99976366375823</v>
      </c>
      <c r="U68">
        <v>9997842</v>
      </c>
      <c r="V68" t="s">
        <v>71</v>
      </c>
      <c r="W68">
        <v>29</v>
      </c>
      <c r="X68">
        <v>6856377</v>
      </c>
      <c r="Y68">
        <v>5205485</v>
      </c>
      <c r="Z68">
        <v>12061862</v>
      </c>
      <c r="AA68">
        <v>9997842</v>
      </c>
      <c r="AB68">
        <v>1.75922</v>
      </c>
      <c r="AC68">
        <v>1.9206399999999999</v>
      </c>
      <c r="AD68">
        <v>1.8288800000000001</v>
      </c>
      <c r="AE68">
        <v>23.259499999999999</v>
      </c>
      <c r="AF68">
        <v>675464272</v>
      </c>
      <c r="AJ68" t="s">
        <v>244</v>
      </c>
      <c r="AM68">
        <v>450155171</v>
      </c>
      <c r="AN68">
        <v>0</v>
      </c>
      <c r="AO68">
        <v>300064990</v>
      </c>
      <c r="AP68">
        <v>450155171</v>
      </c>
      <c r="AQ68">
        <v>750220161</v>
      </c>
      <c r="AR68">
        <v>56269396</v>
      </c>
      <c r="AS68">
        <v>0</v>
      </c>
      <c r="AT68">
        <v>37508123</v>
      </c>
      <c r="AU68">
        <v>56269396</v>
      </c>
      <c r="AV68">
        <v>93777520</v>
      </c>
      <c r="AW68">
        <v>32.131599999999999</v>
      </c>
      <c r="AX68">
        <v>11.9438</v>
      </c>
      <c r="AY68">
        <v>5629.98</v>
      </c>
      <c r="AZ68">
        <v>4032.89</v>
      </c>
      <c r="BA68">
        <v>2343</v>
      </c>
      <c r="BB68">
        <v>444</v>
      </c>
      <c r="BC68" t="str">
        <f t="shared" si="2"/>
        <v>u=40%, k=2x10^7</v>
      </c>
      <c r="BD68">
        <f t="shared" si="3"/>
        <v>8</v>
      </c>
    </row>
    <row r="69" spans="1:56">
      <c r="A69" t="s">
        <v>245</v>
      </c>
      <c r="B69" t="s">
        <v>105</v>
      </c>
      <c r="D69" t="s">
        <v>64</v>
      </c>
      <c r="E69" t="s">
        <v>59</v>
      </c>
      <c r="F69" t="s">
        <v>60</v>
      </c>
      <c r="G69">
        <v>16000</v>
      </c>
      <c r="H69">
        <v>20</v>
      </c>
      <c r="I69">
        <v>20</v>
      </c>
      <c r="J69">
        <v>0</v>
      </c>
      <c r="K69">
        <v>1</v>
      </c>
      <c r="L69">
        <v>20000000</v>
      </c>
      <c r="M69">
        <v>190</v>
      </c>
      <c r="N69">
        <v>190</v>
      </c>
      <c r="O69">
        <v>190</v>
      </c>
      <c r="P69">
        <v>0</v>
      </c>
      <c r="Q69" t="s">
        <v>61</v>
      </c>
      <c r="R69">
        <v>100014516116184</v>
      </c>
      <c r="S69">
        <v>10000475</v>
      </c>
      <c r="T69">
        <v>100014516116184</v>
      </c>
      <c r="U69">
        <v>10000475</v>
      </c>
      <c r="V69" t="s">
        <v>71</v>
      </c>
      <c r="W69">
        <v>29</v>
      </c>
      <c r="X69">
        <v>6858712</v>
      </c>
      <c r="Y69">
        <v>5202446</v>
      </c>
      <c r="Z69">
        <v>12061158</v>
      </c>
      <c r="AA69">
        <v>10000475</v>
      </c>
      <c r="AB69">
        <v>1.7585200000000001</v>
      </c>
      <c r="AC69">
        <v>1.9222600000000001</v>
      </c>
      <c r="AD69">
        <v>1.8291500000000001</v>
      </c>
      <c r="AE69">
        <v>23.223500000000001</v>
      </c>
      <c r="AF69">
        <v>675424848</v>
      </c>
      <c r="AJ69" t="s">
        <v>246</v>
      </c>
      <c r="AM69">
        <v>891408273</v>
      </c>
      <c r="AN69">
        <v>0</v>
      </c>
      <c r="AO69">
        <v>594266413</v>
      </c>
      <c r="AP69">
        <v>891408273</v>
      </c>
      <c r="AQ69">
        <v>1485674686</v>
      </c>
      <c r="AR69">
        <v>55713017</v>
      </c>
      <c r="AS69">
        <v>0</v>
      </c>
      <c r="AT69">
        <v>37141650</v>
      </c>
      <c r="AU69">
        <v>55713017</v>
      </c>
      <c r="AV69">
        <v>92854667</v>
      </c>
      <c r="AW69">
        <v>32.494300000000003</v>
      </c>
      <c r="AX69">
        <v>12.1349</v>
      </c>
      <c r="AY69">
        <v>5686.43</v>
      </c>
      <c r="AZ69">
        <v>4085.36</v>
      </c>
      <c r="BA69">
        <v>2458</v>
      </c>
      <c r="BB69">
        <v>429</v>
      </c>
      <c r="BC69" t="str">
        <f t="shared" si="2"/>
        <v>u=40%, k=2x10^7</v>
      </c>
      <c r="BD69">
        <f t="shared" si="3"/>
        <v>16</v>
      </c>
    </row>
    <row r="70" spans="1:56">
      <c r="A70" t="s">
        <v>247</v>
      </c>
      <c r="B70" t="s">
        <v>105</v>
      </c>
      <c r="D70" t="s">
        <v>64</v>
      </c>
      <c r="E70" t="s">
        <v>59</v>
      </c>
      <c r="F70" t="s">
        <v>60</v>
      </c>
      <c r="G70">
        <v>32000</v>
      </c>
      <c r="H70">
        <v>20</v>
      </c>
      <c r="I70">
        <v>20</v>
      </c>
      <c r="J70">
        <v>0</v>
      </c>
      <c r="K70">
        <v>1</v>
      </c>
      <c r="L70">
        <v>20000000</v>
      </c>
      <c r="M70">
        <v>190</v>
      </c>
      <c r="N70">
        <v>190</v>
      </c>
      <c r="O70">
        <v>190</v>
      </c>
      <c r="P70">
        <v>0</v>
      </c>
      <c r="Q70" t="s">
        <v>61</v>
      </c>
      <c r="R70">
        <v>99993643123182</v>
      </c>
      <c r="S70">
        <v>10001465</v>
      </c>
      <c r="T70">
        <v>99993643123182</v>
      </c>
      <c r="U70">
        <v>10001465</v>
      </c>
      <c r="V70" t="s">
        <v>71</v>
      </c>
      <c r="W70">
        <v>29</v>
      </c>
      <c r="X70">
        <v>6860421</v>
      </c>
      <c r="Y70">
        <v>5203244</v>
      </c>
      <c r="Z70">
        <v>12063665</v>
      </c>
      <c r="AA70">
        <v>10001465</v>
      </c>
      <c r="AB70">
        <v>1.75844</v>
      </c>
      <c r="AC70">
        <v>1.9221600000000001</v>
      </c>
      <c r="AD70">
        <v>1.8290599999999999</v>
      </c>
      <c r="AE70">
        <v>23.2254</v>
      </c>
      <c r="AF70">
        <v>675565240</v>
      </c>
      <c r="AJ70">
        <v>17490</v>
      </c>
      <c r="AM70">
        <v>1752577459</v>
      </c>
      <c r="AN70">
        <v>0</v>
      </c>
      <c r="AO70">
        <v>1168358186</v>
      </c>
      <c r="AP70">
        <v>1752577459</v>
      </c>
      <c r="AQ70">
        <v>2920935645</v>
      </c>
      <c r="AR70">
        <v>54768045</v>
      </c>
      <c r="AS70">
        <v>0</v>
      </c>
      <c r="AT70">
        <v>36511193</v>
      </c>
      <c r="AU70">
        <v>54768045</v>
      </c>
      <c r="AV70">
        <v>91279238</v>
      </c>
      <c r="AW70">
        <v>32.929900000000004</v>
      </c>
      <c r="AX70">
        <v>12.2941</v>
      </c>
      <c r="AY70">
        <v>5786.55</v>
      </c>
      <c r="AZ70">
        <v>4141.4399999999996</v>
      </c>
      <c r="BA70">
        <v>2510</v>
      </c>
      <c r="BB70">
        <v>443</v>
      </c>
      <c r="BC70" t="str">
        <f t="shared" si="2"/>
        <v>u=40%, k=2x10^7</v>
      </c>
      <c r="BD70">
        <f t="shared" si="3"/>
        <v>32</v>
      </c>
    </row>
    <row r="71" spans="1:56">
      <c r="A71" t="s">
        <v>248</v>
      </c>
      <c r="B71" t="s">
        <v>105</v>
      </c>
      <c r="D71" t="s">
        <v>64</v>
      </c>
      <c r="E71" t="s">
        <v>59</v>
      </c>
      <c r="F71" t="s">
        <v>60</v>
      </c>
      <c r="G71">
        <v>64000</v>
      </c>
      <c r="H71">
        <v>20</v>
      </c>
      <c r="I71">
        <v>20</v>
      </c>
      <c r="J71">
        <v>0</v>
      </c>
      <c r="K71">
        <v>1</v>
      </c>
      <c r="L71">
        <v>20000000</v>
      </c>
      <c r="M71">
        <v>190</v>
      </c>
      <c r="N71">
        <v>190</v>
      </c>
      <c r="O71">
        <v>190</v>
      </c>
      <c r="P71">
        <v>0</v>
      </c>
      <c r="Q71" t="s">
        <v>61</v>
      </c>
      <c r="R71">
        <v>100035579292592</v>
      </c>
      <c r="S71">
        <v>10003312</v>
      </c>
      <c r="T71">
        <v>100035579292592</v>
      </c>
      <c r="U71">
        <v>10003312</v>
      </c>
      <c r="V71" t="s">
        <v>71</v>
      </c>
      <c r="W71">
        <v>29</v>
      </c>
      <c r="X71">
        <v>6859173</v>
      </c>
      <c r="Y71">
        <v>5203308</v>
      </c>
      <c r="Z71">
        <v>12062481</v>
      </c>
      <c r="AA71">
        <v>10003312</v>
      </c>
      <c r="AB71">
        <v>1.7585900000000001</v>
      </c>
      <c r="AC71">
        <v>1.92249</v>
      </c>
      <c r="AD71">
        <v>1.8292900000000001</v>
      </c>
      <c r="AE71">
        <v>23.268999999999998</v>
      </c>
      <c r="AF71">
        <v>675498936</v>
      </c>
      <c r="AJ71" t="s">
        <v>249</v>
      </c>
      <c r="AM71">
        <v>3486576581</v>
      </c>
      <c r="AN71">
        <v>0</v>
      </c>
      <c r="AO71">
        <v>2324388985</v>
      </c>
      <c r="AP71">
        <v>3486576581</v>
      </c>
      <c r="AQ71">
        <v>5810965566</v>
      </c>
      <c r="AR71">
        <v>54477759</v>
      </c>
      <c r="AS71">
        <v>0</v>
      </c>
      <c r="AT71">
        <v>36318577</v>
      </c>
      <c r="AU71">
        <v>54477759</v>
      </c>
      <c r="AV71">
        <v>90796336</v>
      </c>
      <c r="AW71">
        <v>33.216000000000001</v>
      </c>
      <c r="AX71">
        <v>12.4275</v>
      </c>
      <c r="AY71">
        <v>5819.62</v>
      </c>
      <c r="AZ71">
        <v>4196.62</v>
      </c>
      <c r="BA71">
        <v>2534</v>
      </c>
      <c r="BB71">
        <v>420</v>
      </c>
      <c r="BC71" t="str">
        <f t="shared" si="2"/>
        <v>u=40%, k=2x10^7</v>
      </c>
      <c r="BD71">
        <f t="shared" si="3"/>
        <v>64</v>
      </c>
    </row>
    <row r="72" spans="1:56">
      <c r="A72" t="s">
        <v>250</v>
      </c>
      <c r="B72" t="s">
        <v>63</v>
      </c>
      <c r="C72">
        <v>72</v>
      </c>
      <c r="D72" t="s">
        <v>64</v>
      </c>
      <c r="E72" t="s">
        <v>59</v>
      </c>
      <c r="F72" t="s">
        <v>60</v>
      </c>
      <c r="G72">
        <v>1000</v>
      </c>
      <c r="H72">
        <v>0.5</v>
      </c>
      <c r="I72">
        <v>0.5</v>
      </c>
      <c r="J72">
        <v>0</v>
      </c>
      <c r="K72">
        <v>1</v>
      </c>
      <c r="L72">
        <v>20000000</v>
      </c>
      <c r="M72">
        <v>190</v>
      </c>
      <c r="N72">
        <v>190</v>
      </c>
      <c r="O72">
        <v>190</v>
      </c>
      <c r="P72">
        <v>0</v>
      </c>
      <c r="Q72" t="s">
        <v>61</v>
      </c>
      <c r="R72">
        <v>99995854525913</v>
      </c>
      <c r="S72">
        <v>10001564</v>
      </c>
      <c r="T72">
        <v>99995854525913</v>
      </c>
      <c r="U72">
        <v>10001564</v>
      </c>
      <c r="V72" t="s">
        <v>71</v>
      </c>
      <c r="W72">
        <v>7</v>
      </c>
      <c r="X72">
        <v>1903250</v>
      </c>
      <c r="Y72">
        <v>12026251</v>
      </c>
      <c r="Z72">
        <v>13929501</v>
      </c>
      <c r="AA72">
        <v>10001564</v>
      </c>
      <c r="AB72">
        <v>7.3188000000000004</v>
      </c>
      <c r="AC72">
        <v>0.83164400000000005</v>
      </c>
      <c r="AD72">
        <v>1.71801</v>
      </c>
      <c r="AE72">
        <v>4.0555399999999997</v>
      </c>
      <c r="AF72">
        <v>344709952</v>
      </c>
      <c r="AG72" t="s">
        <v>251</v>
      </c>
      <c r="AH72" t="s">
        <v>251</v>
      </c>
      <c r="AI72">
        <v>6</v>
      </c>
      <c r="AJ72">
        <v>1636</v>
      </c>
      <c r="AM72">
        <v>261400174</v>
      </c>
      <c r="AN72">
        <v>0</v>
      </c>
      <c r="AO72">
        <v>2641109</v>
      </c>
      <c r="AP72">
        <v>261400174</v>
      </c>
      <c r="AQ72">
        <v>264041283</v>
      </c>
      <c r="AR72">
        <v>261400174</v>
      </c>
      <c r="AS72">
        <v>0</v>
      </c>
      <c r="AT72">
        <v>2641109</v>
      </c>
      <c r="AU72">
        <v>261400174</v>
      </c>
      <c r="AV72">
        <v>264041283</v>
      </c>
      <c r="AW72">
        <v>15.982100000000001</v>
      </c>
      <c r="AX72">
        <v>6.4802200000000001</v>
      </c>
      <c r="AY72">
        <v>1988.89</v>
      </c>
      <c r="AZ72">
        <v>1232.33</v>
      </c>
      <c r="BA72">
        <v>1915</v>
      </c>
      <c r="BB72">
        <v>456</v>
      </c>
      <c r="BC72" t="str">
        <f t="shared" si="2"/>
        <v>u=1%, k=2x10^7</v>
      </c>
      <c r="BD72">
        <f t="shared" si="3"/>
        <v>1</v>
      </c>
    </row>
    <row r="73" spans="1:56">
      <c r="A73" t="s">
        <v>252</v>
      </c>
      <c r="B73" t="s">
        <v>63</v>
      </c>
      <c r="C73">
        <v>72</v>
      </c>
      <c r="D73" t="s">
        <v>64</v>
      </c>
      <c r="E73" t="s">
        <v>59</v>
      </c>
      <c r="F73" t="s">
        <v>60</v>
      </c>
      <c r="G73">
        <v>2000</v>
      </c>
      <c r="H73">
        <v>0.5</v>
      </c>
      <c r="I73">
        <v>0.5</v>
      </c>
      <c r="J73">
        <v>0</v>
      </c>
      <c r="K73">
        <v>1</v>
      </c>
      <c r="L73">
        <v>20000000</v>
      </c>
      <c r="M73">
        <v>190</v>
      </c>
      <c r="N73">
        <v>190</v>
      </c>
      <c r="O73">
        <v>190</v>
      </c>
      <c r="P73">
        <v>0</v>
      </c>
      <c r="Q73" t="s">
        <v>61</v>
      </c>
      <c r="R73">
        <v>99999646836806</v>
      </c>
      <c r="S73">
        <v>10000726</v>
      </c>
      <c r="T73">
        <v>99999646836806</v>
      </c>
      <c r="U73">
        <v>10000726</v>
      </c>
      <c r="V73" t="s">
        <v>71</v>
      </c>
      <c r="W73">
        <v>7</v>
      </c>
      <c r="X73">
        <v>1645723</v>
      </c>
      <c r="Y73">
        <v>11483118</v>
      </c>
      <c r="Z73">
        <v>13128841</v>
      </c>
      <c r="AA73">
        <v>10000726</v>
      </c>
      <c r="AB73">
        <v>7.9775499999999999</v>
      </c>
      <c r="AC73">
        <v>0.87090699999999999</v>
      </c>
      <c r="AD73">
        <v>1.7617400000000001</v>
      </c>
      <c r="AE73">
        <v>4.0039899999999999</v>
      </c>
      <c r="AF73">
        <v>315387728</v>
      </c>
      <c r="AG73" t="s">
        <v>253</v>
      </c>
      <c r="AH73" t="s">
        <v>254</v>
      </c>
      <c r="AI73">
        <v>2711</v>
      </c>
      <c r="AJ73">
        <v>3080</v>
      </c>
      <c r="AM73">
        <v>503786141</v>
      </c>
      <c r="AN73">
        <v>0</v>
      </c>
      <c r="AO73">
        <v>5088141</v>
      </c>
      <c r="AP73">
        <v>503786141</v>
      </c>
      <c r="AQ73">
        <v>508874282</v>
      </c>
      <c r="AR73">
        <v>251893070</v>
      </c>
      <c r="AS73">
        <v>0</v>
      </c>
      <c r="AT73">
        <v>2544070</v>
      </c>
      <c r="AU73">
        <v>251893070</v>
      </c>
      <c r="AV73">
        <v>254437141</v>
      </c>
      <c r="AW73">
        <v>16.1584</v>
      </c>
      <c r="AX73">
        <v>6.5845799999999999</v>
      </c>
      <c r="AY73">
        <v>2021.72</v>
      </c>
      <c r="AZ73">
        <v>1260.93</v>
      </c>
      <c r="BA73">
        <v>2602</v>
      </c>
      <c r="BB73">
        <v>367</v>
      </c>
      <c r="BC73" t="str">
        <f t="shared" si="2"/>
        <v>u=1%, k=2x10^7</v>
      </c>
      <c r="BD73">
        <f t="shared" si="3"/>
        <v>2</v>
      </c>
    </row>
    <row r="74" spans="1:56">
      <c r="A74" t="s">
        <v>255</v>
      </c>
      <c r="B74" t="s">
        <v>63</v>
      </c>
      <c r="C74">
        <v>72</v>
      </c>
      <c r="D74" t="s">
        <v>64</v>
      </c>
      <c r="E74" t="s">
        <v>59</v>
      </c>
      <c r="F74" t="s">
        <v>60</v>
      </c>
      <c r="G74">
        <v>4000</v>
      </c>
      <c r="H74">
        <v>0.5</v>
      </c>
      <c r="I74">
        <v>0.5</v>
      </c>
      <c r="J74">
        <v>0</v>
      </c>
      <c r="K74">
        <v>1</v>
      </c>
      <c r="L74">
        <v>20000000</v>
      </c>
      <c r="M74">
        <v>190</v>
      </c>
      <c r="N74">
        <v>190</v>
      </c>
      <c r="O74">
        <v>190</v>
      </c>
      <c r="P74">
        <v>0</v>
      </c>
      <c r="Q74" t="s">
        <v>61</v>
      </c>
      <c r="R74">
        <v>99975182398884</v>
      </c>
      <c r="S74">
        <v>9998637</v>
      </c>
      <c r="T74">
        <v>99975182398884</v>
      </c>
      <c r="U74">
        <v>9998637</v>
      </c>
      <c r="V74" t="s">
        <v>71</v>
      </c>
      <c r="W74">
        <v>7</v>
      </c>
      <c r="X74">
        <v>1657608</v>
      </c>
      <c r="Y74">
        <v>11504830</v>
      </c>
      <c r="Z74">
        <v>13162438</v>
      </c>
      <c r="AA74">
        <v>9998637</v>
      </c>
      <c r="AB74">
        <v>7.94062</v>
      </c>
      <c r="AC74">
        <v>0.86908200000000002</v>
      </c>
      <c r="AD74">
        <v>1.75963</v>
      </c>
      <c r="AE74">
        <v>4.0063700000000004</v>
      </c>
      <c r="AF74">
        <v>316685904</v>
      </c>
      <c r="AG74" t="s">
        <v>256</v>
      </c>
      <c r="AH74" t="s">
        <v>257</v>
      </c>
      <c r="AI74">
        <v>5917</v>
      </c>
      <c r="AJ74">
        <v>6268</v>
      </c>
      <c r="AM74">
        <v>1002369409</v>
      </c>
      <c r="AN74">
        <v>0</v>
      </c>
      <c r="AO74">
        <v>10129984</v>
      </c>
      <c r="AP74">
        <v>1002369409</v>
      </c>
      <c r="AQ74">
        <v>1012499393</v>
      </c>
      <c r="AR74">
        <v>250592352</v>
      </c>
      <c r="AS74">
        <v>0</v>
      </c>
      <c r="AT74">
        <v>2532496</v>
      </c>
      <c r="AU74">
        <v>250592352</v>
      </c>
      <c r="AV74">
        <v>253124848</v>
      </c>
      <c r="AW74">
        <v>16.225000000000001</v>
      </c>
      <c r="AX74">
        <v>6.60588</v>
      </c>
      <c r="AY74">
        <v>2037.4</v>
      </c>
      <c r="AZ74">
        <v>1264.3499999999999</v>
      </c>
      <c r="BA74">
        <v>2733</v>
      </c>
      <c r="BB74">
        <v>442</v>
      </c>
      <c r="BC74" t="str">
        <f t="shared" si="2"/>
        <v>u=1%, k=2x10^7</v>
      </c>
      <c r="BD74">
        <f t="shared" si="3"/>
        <v>4</v>
      </c>
    </row>
    <row r="75" spans="1:56">
      <c r="A75" t="s">
        <v>258</v>
      </c>
      <c r="B75" t="s">
        <v>63</v>
      </c>
      <c r="C75">
        <v>72</v>
      </c>
      <c r="D75" t="s">
        <v>64</v>
      </c>
      <c r="E75" t="s">
        <v>59</v>
      </c>
      <c r="F75" t="s">
        <v>60</v>
      </c>
      <c r="G75">
        <v>8000</v>
      </c>
      <c r="H75">
        <v>0.5</v>
      </c>
      <c r="I75">
        <v>0.5</v>
      </c>
      <c r="J75">
        <v>0</v>
      </c>
      <c r="K75">
        <v>1</v>
      </c>
      <c r="L75">
        <v>20000000</v>
      </c>
      <c r="M75">
        <v>190</v>
      </c>
      <c r="N75">
        <v>190</v>
      </c>
      <c r="O75">
        <v>190</v>
      </c>
      <c r="P75">
        <v>0</v>
      </c>
      <c r="Q75" t="s">
        <v>61</v>
      </c>
      <c r="R75">
        <v>99999860076018</v>
      </c>
      <c r="S75">
        <v>10000450</v>
      </c>
      <c r="T75">
        <v>99999860076018</v>
      </c>
      <c r="U75">
        <v>10000450</v>
      </c>
      <c r="V75" t="s">
        <v>71</v>
      </c>
      <c r="W75">
        <v>7</v>
      </c>
      <c r="X75">
        <v>1630185</v>
      </c>
      <c r="Y75">
        <v>11451661</v>
      </c>
      <c r="Z75">
        <v>13081846</v>
      </c>
      <c r="AA75">
        <v>10000450</v>
      </c>
      <c r="AB75">
        <v>8.0247600000000006</v>
      </c>
      <c r="AC75">
        <v>0.87327500000000002</v>
      </c>
      <c r="AD75">
        <v>1.7644500000000001</v>
      </c>
      <c r="AE75">
        <v>4.0008800000000004</v>
      </c>
      <c r="AF75">
        <v>313641360</v>
      </c>
      <c r="AG75" t="s">
        <v>259</v>
      </c>
      <c r="AH75" t="s">
        <v>260</v>
      </c>
      <c r="AI75">
        <v>9931</v>
      </c>
      <c r="AJ75">
        <v>12412</v>
      </c>
      <c r="AM75">
        <v>1981544227</v>
      </c>
      <c r="AN75">
        <v>0</v>
      </c>
      <c r="AO75">
        <v>20016587</v>
      </c>
      <c r="AP75">
        <v>1981544227</v>
      </c>
      <c r="AQ75">
        <v>2001560814</v>
      </c>
      <c r="AR75">
        <v>247693028</v>
      </c>
      <c r="AS75">
        <v>0</v>
      </c>
      <c r="AT75">
        <v>2502073</v>
      </c>
      <c r="AU75">
        <v>247693028</v>
      </c>
      <c r="AV75">
        <v>250195101</v>
      </c>
      <c r="AW75">
        <v>16.244900000000001</v>
      </c>
      <c r="AX75">
        <v>6.6363500000000002</v>
      </c>
      <c r="AY75">
        <v>2078.42</v>
      </c>
      <c r="AZ75">
        <v>1296.5999999999999</v>
      </c>
      <c r="BA75">
        <v>2776</v>
      </c>
      <c r="BB75">
        <v>393</v>
      </c>
      <c r="BC75" t="str">
        <f t="shared" si="2"/>
        <v>u=1%, k=2x10^7</v>
      </c>
      <c r="BD75">
        <f t="shared" si="3"/>
        <v>8</v>
      </c>
    </row>
    <row r="76" spans="1:56">
      <c r="A76" t="s">
        <v>261</v>
      </c>
      <c r="B76" t="s">
        <v>63</v>
      </c>
      <c r="C76">
        <v>72</v>
      </c>
      <c r="D76" t="s">
        <v>64</v>
      </c>
      <c r="E76" t="s">
        <v>59</v>
      </c>
      <c r="F76" t="s">
        <v>60</v>
      </c>
      <c r="G76">
        <v>16000</v>
      </c>
      <c r="H76">
        <v>0.5</v>
      </c>
      <c r="I76">
        <v>0.5</v>
      </c>
      <c r="J76">
        <v>0</v>
      </c>
      <c r="K76">
        <v>1</v>
      </c>
      <c r="L76">
        <v>20000000</v>
      </c>
      <c r="M76">
        <v>190</v>
      </c>
      <c r="N76">
        <v>190</v>
      </c>
      <c r="O76">
        <v>190</v>
      </c>
      <c r="P76">
        <v>0</v>
      </c>
      <c r="Q76" t="s">
        <v>61</v>
      </c>
      <c r="R76">
        <v>100008478433037</v>
      </c>
      <c r="S76">
        <v>10000004</v>
      </c>
      <c r="T76">
        <v>100008478433037</v>
      </c>
      <c r="U76">
        <v>10000004</v>
      </c>
      <c r="V76" t="s">
        <v>71</v>
      </c>
      <c r="W76">
        <v>7</v>
      </c>
      <c r="X76">
        <v>1634035</v>
      </c>
      <c r="Y76">
        <v>11458590</v>
      </c>
      <c r="Z76">
        <v>13092625</v>
      </c>
      <c r="AA76">
        <v>10000004</v>
      </c>
      <c r="AB76">
        <v>8.0124499999999994</v>
      </c>
      <c r="AC76">
        <v>0.87270800000000004</v>
      </c>
      <c r="AD76">
        <v>1.76379</v>
      </c>
      <c r="AE76">
        <v>4.0016499999999997</v>
      </c>
      <c r="AF76">
        <v>314060224</v>
      </c>
      <c r="AG76" t="s">
        <v>262</v>
      </c>
      <c r="AH76" t="s">
        <v>263</v>
      </c>
      <c r="AI76">
        <v>19586</v>
      </c>
      <c r="AJ76">
        <v>24564</v>
      </c>
      <c r="AM76">
        <v>3962073820</v>
      </c>
      <c r="AN76">
        <v>0</v>
      </c>
      <c r="AO76">
        <v>40019021</v>
      </c>
      <c r="AP76">
        <v>3962073820</v>
      </c>
      <c r="AQ76">
        <v>4002092841</v>
      </c>
      <c r="AR76">
        <v>247629613</v>
      </c>
      <c r="AS76">
        <v>0</v>
      </c>
      <c r="AT76">
        <v>2501188</v>
      </c>
      <c r="AU76">
        <v>247629613</v>
      </c>
      <c r="AV76">
        <v>250130802</v>
      </c>
      <c r="AW76">
        <v>16.286200000000001</v>
      </c>
      <c r="AX76">
        <v>6.65435</v>
      </c>
      <c r="AY76">
        <v>2083.56</v>
      </c>
      <c r="AZ76">
        <v>1305.8499999999999</v>
      </c>
      <c r="BA76">
        <v>2772</v>
      </c>
      <c r="BB76">
        <v>412</v>
      </c>
      <c r="BC76" t="str">
        <f t="shared" si="2"/>
        <v>u=1%, k=2x10^7</v>
      </c>
      <c r="BD76">
        <f t="shared" si="3"/>
        <v>16</v>
      </c>
    </row>
    <row r="77" spans="1:56">
      <c r="A77" t="s">
        <v>264</v>
      </c>
      <c r="B77" t="s">
        <v>63</v>
      </c>
      <c r="C77">
        <v>72</v>
      </c>
      <c r="D77" t="s">
        <v>64</v>
      </c>
      <c r="E77" t="s">
        <v>59</v>
      </c>
      <c r="F77" t="s">
        <v>60</v>
      </c>
      <c r="G77">
        <v>32000</v>
      </c>
      <c r="H77">
        <v>0.5</v>
      </c>
      <c r="I77">
        <v>0.5</v>
      </c>
      <c r="J77">
        <v>0</v>
      </c>
      <c r="K77">
        <v>1</v>
      </c>
      <c r="L77">
        <v>20000000</v>
      </c>
      <c r="M77">
        <v>190</v>
      </c>
      <c r="N77">
        <v>190</v>
      </c>
      <c r="O77">
        <v>190</v>
      </c>
      <c r="P77">
        <v>0</v>
      </c>
      <c r="Q77" t="s">
        <v>61</v>
      </c>
      <c r="R77">
        <v>100005268698771</v>
      </c>
      <c r="S77">
        <v>9999155</v>
      </c>
      <c r="T77">
        <v>100005268698771</v>
      </c>
      <c r="U77">
        <v>9999155</v>
      </c>
      <c r="V77" t="s">
        <v>71</v>
      </c>
      <c r="W77">
        <v>7</v>
      </c>
      <c r="X77">
        <v>1741521</v>
      </c>
      <c r="Y77">
        <v>11685844</v>
      </c>
      <c r="Z77">
        <v>13427365</v>
      </c>
      <c r="AA77">
        <v>9999155</v>
      </c>
      <c r="AB77">
        <v>7.71014</v>
      </c>
      <c r="AC77">
        <v>0.85566399999999998</v>
      </c>
      <c r="AD77">
        <v>1.74468</v>
      </c>
      <c r="AE77">
        <v>4.02346</v>
      </c>
      <c r="AF77">
        <v>326305264</v>
      </c>
      <c r="AG77" t="s">
        <v>265</v>
      </c>
      <c r="AH77" t="s">
        <v>266</v>
      </c>
      <c r="AI77">
        <v>38174</v>
      </c>
      <c r="AJ77">
        <v>48154</v>
      </c>
      <c r="AM77">
        <v>7808557895</v>
      </c>
      <c r="AN77">
        <v>0</v>
      </c>
      <c r="AO77">
        <v>78879176</v>
      </c>
      <c r="AP77">
        <v>7808557895</v>
      </c>
      <c r="AQ77">
        <v>7887437071</v>
      </c>
      <c r="AR77">
        <v>244017434</v>
      </c>
      <c r="AS77">
        <v>0</v>
      </c>
      <c r="AT77">
        <v>2464974</v>
      </c>
      <c r="AU77">
        <v>244017434</v>
      </c>
      <c r="AV77">
        <v>246482408</v>
      </c>
      <c r="AW77">
        <v>16.375</v>
      </c>
      <c r="AX77">
        <v>6.6587899999999998</v>
      </c>
      <c r="AY77">
        <v>2118.88</v>
      </c>
      <c r="AZ77">
        <v>1344.94</v>
      </c>
      <c r="BA77">
        <v>2737</v>
      </c>
      <c r="BB77">
        <v>435</v>
      </c>
      <c r="BC77" t="str">
        <f t="shared" si="2"/>
        <v>u=1%, k=2x10^7</v>
      </c>
      <c r="BD77">
        <f t="shared" si="3"/>
        <v>32</v>
      </c>
    </row>
    <row r="78" spans="1:56">
      <c r="A78" t="s">
        <v>267</v>
      </c>
      <c r="B78" t="s">
        <v>63</v>
      </c>
      <c r="C78">
        <v>72</v>
      </c>
      <c r="D78" t="s">
        <v>64</v>
      </c>
      <c r="E78" t="s">
        <v>59</v>
      </c>
      <c r="F78" t="s">
        <v>60</v>
      </c>
      <c r="G78">
        <v>64000</v>
      </c>
      <c r="H78">
        <v>0.5</v>
      </c>
      <c r="I78">
        <v>0.5</v>
      </c>
      <c r="J78">
        <v>0</v>
      </c>
      <c r="K78">
        <v>1</v>
      </c>
      <c r="L78">
        <v>20000000</v>
      </c>
      <c r="M78">
        <v>190</v>
      </c>
      <c r="N78">
        <v>190</v>
      </c>
      <c r="O78">
        <v>190</v>
      </c>
      <c r="P78">
        <v>0</v>
      </c>
      <c r="Q78" t="s">
        <v>61</v>
      </c>
      <c r="R78">
        <v>100012678809309</v>
      </c>
      <c r="S78">
        <v>9999409</v>
      </c>
      <c r="T78">
        <v>100012678809309</v>
      </c>
      <c r="U78">
        <v>9999409</v>
      </c>
      <c r="V78" t="s">
        <v>71</v>
      </c>
      <c r="W78">
        <v>7</v>
      </c>
      <c r="X78">
        <v>1814729</v>
      </c>
      <c r="Y78">
        <v>11835202</v>
      </c>
      <c r="Z78">
        <v>13649931</v>
      </c>
      <c r="AA78">
        <v>9999409</v>
      </c>
      <c r="AB78">
        <v>7.5217499999999999</v>
      </c>
      <c r="AC78">
        <v>0.84488700000000005</v>
      </c>
      <c r="AD78">
        <v>1.7325600000000001</v>
      </c>
      <c r="AE78">
        <v>4.0386600000000001</v>
      </c>
      <c r="AF78">
        <v>334546688</v>
      </c>
      <c r="AG78" t="s">
        <v>268</v>
      </c>
      <c r="AH78" t="s">
        <v>269</v>
      </c>
      <c r="AI78">
        <v>73415</v>
      </c>
      <c r="AJ78">
        <v>98932</v>
      </c>
      <c r="AM78">
        <v>15819750846</v>
      </c>
      <c r="AN78">
        <v>0</v>
      </c>
      <c r="AO78">
        <v>159797973</v>
      </c>
      <c r="AP78">
        <v>15819750846</v>
      </c>
      <c r="AQ78">
        <v>15979548819</v>
      </c>
      <c r="AR78">
        <v>247183606</v>
      </c>
      <c r="AS78">
        <v>0</v>
      </c>
      <c r="AT78">
        <v>2496843</v>
      </c>
      <c r="AU78">
        <v>247183606</v>
      </c>
      <c r="AV78">
        <v>249680450</v>
      </c>
      <c r="AW78">
        <v>16.343599999999999</v>
      </c>
      <c r="AX78">
        <v>6.6655100000000003</v>
      </c>
      <c r="AY78">
        <v>2092.2199999999998</v>
      </c>
      <c r="AZ78">
        <v>1315.57</v>
      </c>
      <c r="BA78">
        <v>2730</v>
      </c>
      <c r="BB78">
        <v>393</v>
      </c>
      <c r="BC78" t="str">
        <f t="shared" si="2"/>
        <v>u=1%, k=2x10^7</v>
      </c>
      <c r="BD78">
        <f t="shared" si="3"/>
        <v>64</v>
      </c>
    </row>
    <row r="79" spans="1:56">
      <c r="A79" t="s">
        <v>270</v>
      </c>
      <c r="B79" t="s">
        <v>105</v>
      </c>
      <c r="D79" t="s">
        <v>64</v>
      </c>
      <c r="E79" t="s">
        <v>59</v>
      </c>
      <c r="F79" t="s">
        <v>60</v>
      </c>
      <c r="G79">
        <v>1000</v>
      </c>
      <c r="H79">
        <v>0.5</v>
      </c>
      <c r="I79">
        <v>0.5</v>
      </c>
      <c r="J79">
        <v>0</v>
      </c>
      <c r="K79">
        <v>1</v>
      </c>
      <c r="L79">
        <v>20000000</v>
      </c>
      <c r="M79">
        <v>190</v>
      </c>
      <c r="N79">
        <v>190</v>
      </c>
      <c r="O79">
        <v>190</v>
      </c>
      <c r="P79">
        <v>0</v>
      </c>
      <c r="Q79" t="s">
        <v>61</v>
      </c>
      <c r="R79">
        <v>100013508537799</v>
      </c>
      <c r="S79">
        <v>10000307</v>
      </c>
      <c r="T79">
        <v>100013508537799</v>
      </c>
      <c r="U79">
        <v>10000307</v>
      </c>
      <c r="V79" t="s">
        <v>71</v>
      </c>
      <c r="W79">
        <v>29</v>
      </c>
      <c r="X79">
        <v>5778167</v>
      </c>
      <c r="Y79">
        <v>4339949</v>
      </c>
      <c r="Z79">
        <v>10118116</v>
      </c>
      <c r="AA79">
        <v>10000307</v>
      </c>
      <c r="AB79">
        <v>1.75109</v>
      </c>
      <c r="AC79">
        <v>2.3042500000000001</v>
      </c>
      <c r="AD79">
        <v>1.9883599999999999</v>
      </c>
      <c r="AE79">
        <v>22.717099999999999</v>
      </c>
      <c r="AF79">
        <v>566614496</v>
      </c>
      <c r="AJ79" t="s">
        <v>271</v>
      </c>
      <c r="AM79">
        <v>112572250</v>
      </c>
      <c r="AN79">
        <v>0</v>
      </c>
      <c r="AO79">
        <v>1136454</v>
      </c>
      <c r="AP79">
        <v>112572250</v>
      </c>
      <c r="AQ79">
        <v>113708704</v>
      </c>
      <c r="AR79">
        <v>112572250</v>
      </c>
      <c r="AS79">
        <v>0</v>
      </c>
      <c r="AT79">
        <v>1136454</v>
      </c>
      <c r="AU79">
        <v>112572250</v>
      </c>
      <c r="AV79">
        <v>113708704</v>
      </c>
      <c r="AW79">
        <v>28.741299999999999</v>
      </c>
      <c r="AX79">
        <v>10.460100000000001</v>
      </c>
      <c r="AY79">
        <v>4592.4799999999996</v>
      </c>
      <c r="AZ79">
        <v>3239.27</v>
      </c>
      <c r="BA79">
        <v>1762</v>
      </c>
      <c r="BB79">
        <v>438</v>
      </c>
      <c r="BC79" t="str">
        <f t="shared" si="2"/>
        <v>u=1%, k=2x10^7</v>
      </c>
      <c r="BD79">
        <f t="shared" si="3"/>
        <v>1</v>
      </c>
    </row>
    <row r="80" spans="1:56">
      <c r="A80" t="s">
        <v>272</v>
      </c>
      <c r="B80" t="s">
        <v>105</v>
      </c>
      <c r="D80" t="s">
        <v>64</v>
      </c>
      <c r="E80" t="s">
        <v>59</v>
      </c>
      <c r="F80" t="s">
        <v>60</v>
      </c>
      <c r="G80">
        <v>2000</v>
      </c>
      <c r="H80">
        <v>0.5</v>
      </c>
      <c r="I80">
        <v>0.5</v>
      </c>
      <c r="J80">
        <v>0</v>
      </c>
      <c r="K80">
        <v>1</v>
      </c>
      <c r="L80">
        <v>20000000</v>
      </c>
      <c r="M80">
        <v>190</v>
      </c>
      <c r="N80">
        <v>190</v>
      </c>
      <c r="O80">
        <v>190</v>
      </c>
      <c r="P80">
        <v>0</v>
      </c>
      <c r="Q80" t="s">
        <v>61</v>
      </c>
      <c r="R80">
        <v>99989833520703</v>
      </c>
      <c r="S80">
        <v>9999653</v>
      </c>
      <c r="T80">
        <v>99989833520703</v>
      </c>
      <c r="U80">
        <v>9999653</v>
      </c>
      <c r="V80" t="s">
        <v>71</v>
      </c>
      <c r="W80">
        <v>29</v>
      </c>
      <c r="X80">
        <v>5841151</v>
      </c>
      <c r="Y80">
        <v>4390407</v>
      </c>
      <c r="Z80">
        <v>10231558</v>
      </c>
      <c r="AA80">
        <v>9999653</v>
      </c>
      <c r="AB80">
        <v>1.75163</v>
      </c>
      <c r="AC80">
        <v>2.2776100000000001</v>
      </c>
      <c r="AD80">
        <v>1.97733</v>
      </c>
      <c r="AE80">
        <v>22.732600000000001</v>
      </c>
      <c r="AF80">
        <v>572967248</v>
      </c>
      <c r="AJ80" t="s">
        <v>273</v>
      </c>
      <c r="AM80">
        <v>228488277</v>
      </c>
      <c r="AN80">
        <v>0</v>
      </c>
      <c r="AO80">
        <v>2310186</v>
      </c>
      <c r="AP80">
        <v>228488277</v>
      </c>
      <c r="AQ80">
        <v>230798463</v>
      </c>
      <c r="AR80">
        <v>114244138</v>
      </c>
      <c r="AS80">
        <v>0</v>
      </c>
      <c r="AT80">
        <v>1155093</v>
      </c>
      <c r="AU80">
        <v>114244138</v>
      </c>
      <c r="AV80">
        <v>115399231</v>
      </c>
      <c r="AW80">
        <v>28.533200000000001</v>
      </c>
      <c r="AX80">
        <v>10.5588</v>
      </c>
      <c r="AY80">
        <v>4565.59</v>
      </c>
      <c r="AZ80">
        <v>3207.44</v>
      </c>
      <c r="BA80">
        <v>1769</v>
      </c>
      <c r="BB80">
        <v>428</v>
      </c>
      <c r="BC80" t="str">
        <f t="shared" si="2"/>
        <v>u=1%, k=2x10^7</v>
      </c>
      <c r="BD80">
        <f t="shared" si="3"/>
        <v>2</v>
      </c>
    </row>
    <row r="81" spans="1:56">
      <c r="A81" t="s">
        <v>274</v>
      </c>
      <c r="B81" t="s">
        <v>105</v>
      </c>
      <c r="D81" t="s">
        <v>64</v>
      </c>
      <c r="E81" t="s">
        <v>59</v>
      </c>
      <c r="F81" t="s">
        <v>60</v>
      </c>
      <c r="G81">
        <v>4000</v>
      </c>
      <c r="H81">
        <v>0.5</v>
      </c>
      <c r="I81">
        <v>0.5</v>
      </c>
      <c r="J81">
        <v>0</v>
      </c>
      <c r="K81">
        <v>1</v>
      </c>
      <c r="L81">
        <v>20000000</v>
      </c>
      <c r="M81">
        <v>190</v>
      </c>
      <c r="N81">
        <v>190</v>
      </c>
      <c r="O81">
        <v>190</v>
      </c>
      <c r="P81">
        <v>0</v>
      </c>
      <c r="Q81" t="s">
        <v>61</v>
      </c>
      <c r="R81">
        <v>100019246618708</v>
      </c>
      <c r="S81">
        <v>10000375</v>
      </c>
      <c r="T81">
        <v>100019246618708</v>
      </c>
      <c r="U81">
        <v>10000375</v>
      </c>
      <c r="V81" t="s">
        <v>71</v>
      </c>
      <c r="W81">
        <v>29</v>
      </c>
      <c r="X81">
        <v>5954250</v>
      </c>
      <c r="Y81">
        <v>4482801</v>
      </c>
      <c r="Z81">
        <v>10437051</v>
      </c>
      <c r="AA81">
        <v>10000375</v>
      </c>
      <c r="AB81">
        <v>1.7528699999999999</v>
      </c>
      <c r="AC81">
        <v>2.2308300000000001</v>
      </c>
      <c r="AD81">
        <v>1.9581599999999999</v>
      </c>
      <c r="AE81">
        <v>22.821400000000001</v>
      </c>
      <c r="AF81">
        <v>584474856</v>
      </c>
      <c r="AJ81">
        <v>2886</v>
      </c>
      <c r="AM81">
        <v>456230628</v>
      </c>
      <c r="AN81">
        <v>0</v>
      </c>
      <c r="AO81">
        <v>4608343</v>
      </c>
      <c r="AP81">
        <v>456230628</v>
      </c>
      <c r="AQ81">
        <v>460838971</v>
      </c>
      <c r="AR81">
        <v>114057657</v>
      </c>
      <c r="AS81">
        <v>0</v>
      </c>
      <c r="AT81">
        <v>1152085</v>
      </c>
      <c r="AU81">
        <v>114057657</v>
      </c>
      <c r="AV81">
        <v>115209742</v>
      </c>
      <c r="AW81">
        <v>28.785399999999999</v>
      </c>
      <c r="AX81">
        <v>10.655099999999999</v>
      </c>
      <c r="AY81">
        <v>4581.03</v>
      </c>
      <c r="AZ81">
        <v>3219.91</v>
      </c>
      <c r="BA81">
        <v>1783</v>
      </c>
      <c r="BB81">
        <v>430</v>
      </c>
      <c r="BC81" t="str">
        <f t="shared" si="2"/>
        <v>u=1%, k=2x10^7</v>
      </c>
      <c r="BD81">
        <f t="shared" si="3"/>
        <v>4</v>
      </c>
    </row>
    <row r="82" spans="1:56">
      <c r="A82" t="s">
        <v>275</v>
      </c>
      <c r="B82" t="s">
        <v>105</v>
      </c>
      <c r="D82" t="s">
        <v>64</v>
      </c>
      <c r="E82" t="s">
        <v>59</v>
      </c>
      <c r="F82" t="s">
        <v>60</v>
      </c>
      <c r="G82">
        <v>8000</v>
      </c>
      <c r="H82">
        <v>0.5</v>
      </c>
      <c r="I82">
        <v>0.5</v>
      </c>
      <c r="J82">
        <v>0</v>
      </c>
      <c r="K82">
        <v>1</v>
      </c>
      <c r="L82">
        <v>20000000</v>
      </c>
      <c r="M82">
        <v>190</v>
      </c>
      <c r="N82">
        <v>190</v>
      </c>
      <c r="O82">
        <v>190</v>
      </c>
      <c r="P82">
        <v>0</v>
      </c>
      <c r="Q82" t="s">
        <v>61</v>
      </c>
      <c r="R82">
        <v>100003185683658</v>
      </c>
      <c r="S82">
        <v>10000060</v>
      </c>
      <c r="T82">
        <v>100003185683658</v>
      </c>
      <c r="U82">
        <v>10000060</v>
      </c>
      <c r="V82" t="s">
        <v>71</v>
      </c>
      <c r="W82">
        <v>29</v>
      </c>
      <c r="X82">
        <v>6142546</v>
      </c>
      <c r="Y82">
        <v>4635262</v>
      </c>
      <c r="Z82">
        <v>10777808</v>
      </c>
      <c r="AA82">
        <v>10000060</v>
      </c>
      <c r="AB82">
        <v>1.7546200000000001</v>
      </c>
      <c r="AC82">
        <v>2.1573899999999999</v>
      </c>
      <c r="AD82">
        <v>1.92784</v>
      </c>
      <c r="AE82">
        <v>22.9682</v>
      </c>
      <c r="AF82">
        <v>603557248</v>
      </c>
      <c r="AJ82" t="s">
        <v>276</v>
      </c>
      <c r="AM82">
        <v>912225235</v>
      </c>
      <c r="AN82">
        <v>0</v>
      </c>
      <c r="AO82">
        <v>9213137</v>
      </c>
      <c r="AP82">
        <v>912225235</v>
      </c>
      <c r="AQ82">
        <v>921438372</v>
      </c>
      <c r="AR82">
        <v>114028154</v>
      </c>
      <c r="AS82">
        <v>0</v>
      </c>
      <c r="AT82">
        <v>1151642</v>
      </c>
      <c r="AU82">
        <v>114028154</v>
      </c>
      <c r="AV82">
        <v>115179796</v>
      </c>
      <c r="AW82">
        <v>28.715399999999999</v>
      </c>
      <c r="AX82">
        <v>10.7296</v>
      </c>
      <c r="AY82">
        <v>4581.74</v>
      </c>
      <c r="AZ82">
        <v>3222.42</v>
      </c>
      <c r="BA82">
        <v>1805</v>
      </c>
      <c r="BB82">
        <v>424</v>
      </c>
      <c r="BC82" t="str">
        <f t="shared" si="2"/>
        <v>u=1%, k=2x10^7</v>
      </c>
      <c r="BD82">
        <f t="shared" si="3"/>
        <v>8</v>
      </c>
    </row>
    <row r="83" spans="1:56">
      <c r="A83" t="s">
        <v>277</v>
      </c>
      <c r="B83" t="s">
        <v>105</v>
      </c>
      <c r="D83" t="s">
        <v>64</v>
      </c>
      <c r="E83" t="s">
        <v>59</v>
      </c>
      <c r="F83" t="s">
        <v>60</v>
      </c>
      <c r="G83">
        <v>16000</v>
      </c>
      <c r="H83">
        <v>0.5</v>
      </c>
      <c r="I83">
        <v>0.5</v>
      </c>
      <c r="J83">
        <v>0</v>
      </c>
      <c r="K83">
        <v>1</v>
      </c>
      <c r="L83">
        <v>20000000</v>
      </c>
      <c r="M83">
        <v>190</v>
      </c>
      <c r="N83">
        <v>190</v>
      </c>
      <c r="O83">
        <v>190</v>
      </c>
      <c r="P83">
        <v>0</v>
      </c>
      <c r="Q83" t="s">
        <v>61</v>
      </c>
      <c r="R83">
        <v>100037555543846</v>
      </c>
      <c r="S83">
        <v>10003584</v>
      </c>
      <c r="T83">
        <v>100037555543846</v>
      </c>
      <c r="U83">
        <v>10003584</v>
      </c>
      <c r="V83" t="s">
        <v>71</v>
      </c>
      <c r="W83">
        <v>29</v>
      </c>
      <c r="X83">
        <v>6407530</v>
      </c>
      <c r="Y83">
        <v>4842908</v>
      </c>
      <c r="Z83">
        <v>11250438</v>
      </c>
      <c r="AA83">
        <v>10003584</v>
      </c>
      <c r="AB83">
        <v>1.7558199999999999</v>
      </c>
      <c r="AC83">
        <v>2.06562</v>
      </c>
      <c r="AD83">
        <v>1.88917</v>
      </c>
      <c r="AE83">
        <v>23.059100000000001</v>
      </c>
      <c r="AF83">
        <v>630024528</v>
      </c>
      <c r="AJ83" t="s">
        <v>278</v>
      </c>
      <c r="AM83">
        <v>1801314298</v>
      </c>
      <c r="AN83">
        <v>0</v>
      </c>
      <c r="AO83">
        <v>18203575</v>
      </c>
      <c r="AP83">
        <v>1801314298</v>
      </c>
      <c r="AQ83">
        <v>1819517873</v>
      </c>
      <c r="AR83">
        <v>112582143</v>
      </c>
      <c r="AS83">
        <v>0</v>
      </c>
      <c r="AT83">
        <v>1137723</v>
      </c>
      <c r="AU83">
        <v>112582143</v>
      </c>
      <c r="AV83">
        <v>113719867</v>
      </c>
      <c r="AW83">
        <v>29.043800000000001</v>
      </c>
      <c r="AX83">
        <v>10.804500000000001</v>
      </c>
      <c r="AY83">
        <v>4638.49</v>
      </c>
      <c r="AZ83">
        <v>3260.03</v>
      </c>
      <c r="BA83">
        <v>1835</v>
      </c>
      <c r="BB83">
        <v>436</v>
      </c>
      <c r="BC83" t="str">
        <f t="shared" si="2"/>
        <v>u=1%, k=2x10^7</v>
      </c>
      <c r="BD83">
        <f t="shared" si="3"/>
        <v>16</v>
      </c>
    </row>
    <row r="84" spans="1:56">
      <c r="A84" t="s">
        <v>279</v>
      </c>
      <c r="B84" t="s">
        <v>105</v>
      </c>
      <c r="D84" t="s">
        <v>64</v>
      </c>
      <c r="E84" t="s">
        <v>59</v>
      </c>
      <c r="F84" t="s">
        <v>60</v>
      </c>
      <c r="G84">
        <v>32000</v>
      </c>
      <c r="H84">
        <v>0.5</v>
      </c>
      <c r="I84">
        <v>0.5</v>
      </c>
      <c r="J84">
        <v>0</v>
      </c>
      <c r="K84">
        <v>1</v>
      </c>
      <c r="L84">
        <v>20000000</v>
      </c>
      <c r="M84">
        <v>190</v>
      </c>
      <c r="N84">
        <v>190</v>
      </c>
      <c r="O84">
        <v>190</v>
      </c>
      <c r="P84">
        <v>0</v>
      </c>
      <c r="Q84" t="s">
        <v>61</v>
      </c>
      <c r="R84">
        <v>99981162415626</v>
      </c>
      <c r="S84">
        <v>9997968</v>
      </c>
      <c r="T84">
        <v>99981162415626</v>
      </c>
      <c r="U84">
        <v>9997968</v>
      </c>
      <c r="V84" t="s">
        <v>71</v>
      </c>
      <c r="W84">
        <v>29</v>
      </c>
      <c r="X84">
        <v>6672081</v>
      </c>
      <c r="Y84">
        <v>5053963</v>
      </c>
      <c r="Z84">
        <v>11726044</v>
      </c>
      <c r="AA84">
        <v>9997968</v>
      </c>
      <c r="AB84">
        <v>1.7574799999999999</v>
      </c>
      <c r="AC84">
        <v>1.97824</v>
      </c>
      <c r="AD84">
        <v>1.85263</v>
      </c>
      <c r="AE84">
        <v>23.194099999999999</v>
      </c>
      <c r="AF84">
        <v>656658464</v>
      </c>
      <c r="AJ84" t="s">
        <v>280</v>
      </c>
      <c r="AM84">
        <v>3556693722</v>
      </c>
      <c r="AN84">
        <v>0</v>
      </c>
      <c r="AO84">
        <v>35927024</v>
      </c>
      <c r="AP84">
        <v>3556693722</v>
      </c>
      <c r="AQ84">
        <v>3592620746</v>
      </c>
      <c r="AR84">
        <v>111146678</v>
      </c>
      <c r="AS84">
        <v>0</v>
      </c>
      <c r="AT84">
        <v>1122719</v>
      </c>
      <c r="AU84">
        <v>111146678</v>
      </c>
      <c r="AV84">
        <v>112269398</v>
      </c>
      <c r="AW84">
        <v>28.905799999999999</v>
      </c>
      <c r="AX84">
        <v>10.895300000000001</v>
      </c>
      <c r="AY84">
        <v>4694.78</v>
      </c>
      <c r="AZ84">
        <v>3259.48</v>
      </c>
      <c r="BA84">
        <v>1866</v>
      </c>
      <c r="BB84">
        <v>445</v>
      </c>
      <c r="BC84" t="str">
        <f t="shared" si="2"/>
        <v>u=1%, k=2x10^7</v>
      </c>
      <c r="BD84">
        <f t="shared" si="3"/>
        <v>32</v>
      </c>
    </row>
    <row r="85" spans="1:56">
      <c r="A85" t="s">
        <v>281</v>
      </c>
      <c r="B85" t="s">
        <v>105</v>
      </c>
      <c r="D85" t="s">
        <v>64</v>
      </c>
      <c r="E85" t="s">
        <v>59</v>
      </c>
      <c r="F85" t="s">
        <v>60</v>
      </c>
      <c r="G85">
        <v>64000</v>
      </c>
      <c r="H85">
        <v>0.5</v>
      </c>
      <c r="I85">
        <v>0.5</v>
      </c>
      <c r="J85">
        <v>0</v>
      </c>
      <c r="K85">
        <v>1</v>
      </c>
      <c r="L85">
        <v>20000000</v>
      </c>
      <c r="M85">
        <v>190</v>
      </c>
      <c r="N85">
        <v>190</v>
      </c>
      <c r="O85">
        <v>190</v>
      </c>
      <c r="P85">
        <v>0</v>
      </c>
      <c r="Q85" t="s">
        <v>61</v>
      </c>
      <c r="R85">
        <v>99944026226360</v>
      </c>
      <c r="S85">
        <v>9995950</v>
      </c>
      <c r="T85">
        <v>99944026226360</v>
      </c>
      <c r="U85">
        <v>9995950</v>
      </c>
      <c r="V85" t="s">
        <v>71</v>
      </c>
      <c r="W85">
        <v>29</v>
      </c>
      <c r="X85">
        <v>6824929</v>
      </c>
      <c r="Y85">
        <v>5176475</v>
      </c>
      <c r="Z85">
        <v>12001404</v>
      </c>
      <c r="AA85">
        <v>9995950</v>
      </c>
      <c r="AB85">
        <v>1.75847</v>
      </c>
      <c r="AC85">
        <v>1.93103</v>
      </c>
      <c r="AD85">
        <v>1.8329</v>
      </c>
      <c r="AE85">
        <v>23.254000000000001</v>
      </c>
      <c r="AF85">
        <v>672078624</v>
      </c>
      <c r="AJ85" t="s">
        <v>282</v>
      </c>
      <c r="AM85">
        <v>7163550547</v>
      </c>
      <c r="AN85">
        <v>0</v>
      </c>
      <c r="AO85">
        <v>72347318</v>
      </c>
      <c r="AP85">
        <v>7163550547</v>
      </c>
      <c r="AQ85">
        <v>7235897865</v>
      </c>
      <c r="AR85">
        <v>111930477</v>
      </c>
      <c r="AS85">
        <v>0</v>
      </c>
      <c r="AT85">
        <v>1130426</v>
      </c>
      <c r="AU85">
        <v>111930477</v>
      </c>
      <c r="AV85">
        <v>113060904</v>
      </c>
      <c r="AW85">
        <v>29.0001</v>
      </c>
      <c r="AX85">
        <v>10.9948</v>
      </c>
      <c r="AY85">
        <v>4663.42</v>
      </c>
      <c r="AZ85">
        <v>3291.06</v>
      </c>
      <c r="BA85">
        <v>1885</v>
      </c>
      <c r="BB85">
        <v>440</v>
      </c>
      <c r="BC85" t="str">
        <f t="shared" si="2"/>
        <v>u=1%, k=2x10^7</v>
      </c>
      <c r="BD85">
        <f t="shared" si="3"/>
        <v>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8"/>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65</v>
      </c>
      <c r="B2" t="s">
        <v>283</v>
      </c>
      <c r="C2" t="str">
        <f>B2&amp;", 190 threads"</f>
        <v>u=1%, k=2x10^7, 190 threads</v>
      </c>
      <c r="Z2" s="2" t="s">
        <v>0</v>
      </c>
      <c r="AA2" t="s">
        <v>66</v>
      </c>
    </row>
    <row r="3" spans="1:27">
      <c r="Z3" s="2"/>
    </row>
    <row r="4" spans="1:27">
      <c r="A4" s="6" t="s">
        <v>62</v>
      </c>
      <c r="B4" s="6" t="s">
        <v>286</v>
      </c>
      <c r="Z4" s="2"/>
    </row>
    <row r="5" spans="1:27">
      <c r="A5" s="6" t="s">
        <v>18</v>
      </c>
      <c r="B5">
        <v>1</v>
      </c>
      <c r="C5">
        <v>2</v>
      </c>
      <c r="D5">
        <v>4</v>
      </c>
      <c r="E5">
        <v>8</v>
      </c>
      <c r="F5">
        <v>16</v>
      </c>
      <c r="G5">
        <v>32</v>
      </c>
      <c r="H5">
        <v>64</v>
      </c>
      <c r="Z5" s="2"/>
    </row>
    <row r="6" spans="1:27">
      <c r="A6" s="7" t="s">
        <v>284</v>
      </c>
      <c r="B6" s="8">
        <v>265972419</v>
      </c>
      <c r="C6" s="8">
        <v>255241171.33333334</v>
      </c>
      <c r="D6" s="8">
        <v>251449945</v>
      </c>
      <c r="E6" s="8">
        <v>250938116.33333334</v>
      </c>
      <c r="F6" s="8">
        <v>250047292.33333334</v>
      </c>
      <c r="G6" s="8">
        <v>249215385.33333334</v>
      </c>
      <c r="H6" s="8">
        <v>250029726</v>
      </c>
      <c r="N6" s="2"/>
    </row>
    <row r="7" spans="1:27">
      <c r="A7" s="7" t="s">
        <v>285</v>
      </c>
      <c r="B7" s="8">
        <v>113891355.66666667</v>
      </c>
      <c r="C7" s="8">
        <v>115301171</v>
      </c>
      <c r="D7" s="8">
        <v>114780073.33333333</v>
      </c>
      <c r="E7" s="8">
        <v>114798996.33333333</v>
      </c>
      <c r="F7" s="8">
        <v>114156831.33333333</v>
      </c>
      <c r="G7" s="8">
        <v>113133287.66666667</v>
      </c>
      <c r="H7" s="8">
        <v>112942324.66666667</v>
      </c>
    </row>
    <row r="8" spans="1:27">
      <c r="N8" s="2"/>
    </row>
    <row r="13" spans="1:27">
      <c r="O13" s="3"/>
    </row>
    <row r="14" spans="1:27">
      <c r="Z14" s="2"/>
    </row>
    <row r="20" spans="2:6">
      <c r="D20">
        <f t="shared" ref="D20:F20" si="0">D5</f>
        <v>4</v>
      </c>
      <c r="E20">
        <f t="shared" si="0"/>
        <v>8</v>
      </c>
      <c r="F20">
        <f t="shared" si="0"/>
        <v>16</v>
      </c>
    </row>
    <row r="21" spans="2:6">
      <c r="C21" s="8"/>
      <c r="D21" s="8">
        <f t="shared" ref="D21:F21" si="1">D6</f>
        <v>251449945</v>
      </c>
      <c r="E21" s="8">
        <f t="shared" si="1"/>
        <v>250938116.33333334</v>
      </c>
      <c r="F21" s="8">
        <f t="shared" si="1"/>
        <v>250047292.33333334</v>
      </c>
    </row>
    <row r="22" spans="2:6">
      <c r="C22" s="8"/>
      <c r="D22" s="8">
        <f t="shared" ref="D22:F22" si="2">D7</f>
        <v>114780073.33333333</v>
      </c>
      <c r="E22" s="8">
        <f t="shared" si="2"/>
        <v>114798996.33333333</v>
      </c>
      <c r="F22" s="8">
        <f t="shared" si="2"/>
        <v>114156831.33333333</v>
      </c>
    </row>
    <row r="23" spans="2:6">
      <c r="B23" s="8"/>
      <c r="C23" s="8"/>
      <c r="D23" s="8">
        <f t="shared" ref="D23:F23" si="3">D8</f>
        <v>0</v>
      </c>
      <c r="E23" s="8">
        <f t="shared" si="3"/>
        <v>0</v>
      </c>
      <c r="F23" s="8">
        <f t="shared" si="3"/>
        <v>0</v>
      </c>
    </row>
    <row r="24" spans="2:6">
      <c r="B24" s="8"/>
      <c r="C24" s="8"/>
      <c r="D24" s="8">
        <f t="shared" ref="D24:F25" si="4">D9</f>
        <v>0</v>
      </c>
      <c r="E24" s="8">
        <f t="shared" si="4"/>
        <v>0</v>
      </c>
      <c r="F24" s="8">
        <f t="shared" si="4"/>
        <v>0</v>
      </c>
    </row>
    <row r="25" spans="2:6">
      <c r="B25" s="8"/>
      <c r="C25" s="8"/>
      <c r="D25" s="8">
        <f t="shared" si="4"/>
        <v>0</v>
      </c>
      <c r="E25" s="8">
        <f t="shared" si="4"/>
        <v>0</v>
      </c>
      <c r="F25" s="8">
        <f t="shared" si="4"/>
        <v>0</v>
      </c>
    </row>
    <row r="26" spans="2:6">
      <c r="B26" s="8"/>
      <c r="C26" s="8"/>
    </row>
    <row r="27" spans="2:6">
      <c r="B27" s="8"/>
      <c r="C27" s="8"/>
    </row>
    <row r="28" spans="2:6">
      <c r="B28" s="8"/>
      <c r="C28" s="8"/>
    </row>
    <row r="29" spans="2:6">
      <c r="B29" s="8"/>
      <c r="C29" s="8"/>
    </row>
    <row r="30" spans="2:6">
      <c r="B30" s="8"/>
      <c r="C30" s="8"/>
    </row>
    <row r="31" spans="2:6">
      <c r="B31" s="8"/>
      <c r="C31" s="8"/>
    </row>
    <row r="32" spans="2:6">
      <c r="B32" s="8"/>
      <c r="C32" s="8"/>
    </row>
    <row r="33" spans="2:3">
      <c r="B33" s="8"/>
      <c r="C33" s="8"/>
    </row>
    <row r="34" spans="2:3">
      <c r="B34" s="8"/>
      <c r="C34" s="8"/>
    </row>
    <row r="35" spans="2:3">
      <c r="B35" s="8"/>
      <c r="C35" s="8"/>
    </row>
    <row r="36" spans="2:3">
      <c r="B36" s="8"/>
      <c r="C36" s="8"/>
    </row>
    <row r="37" spans="2:3">
      <c r="B37" s="8"/>
      <c r="C37" s="8"/>
    </row>
    <row r="38" spans="2:3">
      <c r="B38" s="8"/>
      <c r="C38" s="8"/>
    </row>
  </sheetData>
  <pageMargins left="0.7" right="0.7" top="0.75" bottom="0.75" header="0.3" footer="0.3"/>
  <pageSetup paperSize="0"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instructions</vt:lpstr>
      <vt:lpstr>data</vt:lpstr>
      <vt:lpstr>pivot</vt:lpstr>
      <vt:lpstr>data!ExternalData_11</vt:lpstr>
      <vt:lpstr>data!ExternalData_12</vt:lpstr>
      <vt:lpstr>data!ExternalData_13</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2019-06-05T22:24:30Z</dcterms:modified>
</cp:coreProperties>
</file>