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0.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1_scaling_threads\"/>
    </mc:Choice>
  </mc:AlternateContent>
  <bookViews>
    <workbookView xWindow="0" yWindow="0" windowWidth="28054" windowHeight="11811" activeTab="4"/>
  </bookViews>
  <sheets>
    <sheet name="instructions" sheetId="3" r:id="rId1"/>
    <sheet name="data" sheetId="2" r:id="rId2"/>
    <sheet name="maxresident (no)" sheetId="4" state="hidden" r:id="rId3"/>
    <sheet name="cycles (maybe no)" sheetId="6" state="hidden" r:id="rId4"/>
    <sheet name="throughput" sheetId="1" r:id="rId5"/>
    <sheet name="LLC misses" sheetId="5" r:id="rId6"/>
    <sheet name="height (no)" sheetId="7" state="hidden" r:id="rId7"/>
    <sheet name="prefilling (no)" sheetId="9" state="hidden" r:id="rId8"/>
    <sheet name="cycle_breakdown (replaced)" sheetId="10" state="hidden" r:id="rId9"/>
    <sheet name="avg key depth" sheetId="8" r:id="rId10"/>
    <sheet name="cycle_breakdown" sheetId="11" r:id="rId11"/>
  </sheets>
  <functionGroups builtInGroupCount="18"/>
  <definedNames>
    <definedName name="_xlnm._FilterDatabase" localSheetId="1" hidden="1">data!$A$1:$BC$641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62913"/>
  <pivotCaches>
    <pivotCache cacheId="240"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48" i="8" l="1"/>
  <c r="AB48" i="8"/>
  <c r="AC48" i="8"/>
  <c r="AD48" i="8"/>
  <c r="AA49" i="8"/>
  <c r="AB49" i="8"/>
  <c r="AC49" i="8"/>
  <c r="AD49" i="8"/>
  <c r="AA50" i="8"/>
  <c r="AB50" i="8"/>
  <c r="AC50" i="8"/>
  <c r="AD50" i="8"/>
  <c r="AB47" i="8"/>
  <c r="AC47" i="8"/>
  <c r="AD47" i="8"/>
  <c r="AA47" i="8"/>
  <c r="B48" i="8"/>
  <c r="C48" i="8"/>
  <c r="D48" i="8"/>
  <c r="E48" i="8"/>
  <c r="B49" i="8"/>
  <c r="C49" i="8"/>
  <c r="D49" i="8"/>
  <c r="E49" i="8"/>
  <c r="B50" i="8"/>
  <c r="C50" i="8"/>
  <c r="D50" i="8"/>
  <c r="E50" i="8"/>
  <c r="C47" i="8"/>
  <c r="D47" i="8"/>
  <c r="E47" i="8"/>
  <c r="B47" i="8"/>
  <c r="BC642" i="2" l="1"/>
  <c r="BD642" i="2"/>
  <c r="BC643" i="2"/>
  <c r="BD643" i="2"/>
  <c r="BC644" i="2"/>
  <c r="BD644" i="2"/>
  <c r="BC645" i="2"/>
  <c r="BD645" i="2"/>
  <c r="BC646" i="2"/>
  <c r="BD646" i="2"/>
  <c r="BC647" i="2"/>
  <c r="BD647" i="2"/>
  <c r="BC648" i="2"/>
  <c r="BD648" i="2"/>
  <c r="BC649" i="2"/>
  <c r="BD649" i="2"/>
  <c r="BC650" i="2"/>
  <c r="BD650" i="2"/>
  <c r="BC651" i="2"/>
  <c r="BD651" i="2"/>
  <c r="BC652" i="2"/>
  <c r="BD652" i="2"/>
  <c r="BC653" i="2"/>
  <c r="BD653" i="2"/>
  <c r="BC654" i="2"/>
  <c r="BD654" i="2"/>
  <c r="BC655" i="2"/>
  <c r="BD655" i="2"/>
  <c r="BC656" i="2"/>
  <c r="BD656" i="2"/>
  <c r="BC657" i="2"/>
  <c r="BD657" i="2"/>
  <c r="BC658" i="2"/>
  <c r="BD658" i="2"/>
  <c r="BC659" i="2"/>
  <c r="BD659" i="2"/>
  <c r="BC660" i="2"/>
  <c r="BD660" i="2"/>
  <c r="BC661" i="2"/>
  <c r="BD661" i="2"/>
  <c r="BC662" i="2"/>
  <c r="BD662" i="2"/>
  <c r="BC663" i="2"/>
  <c r="BD663" i="2"/>
  <c r="BC664" i="2"/>
  <c r="BD664" i="2"/>
  <c r="BC665" i="2"/>
  <c r="BD665" i="2"/>
  <c r="BC666" i="2"/>
  <c r="BD666" i="2"/>
  <c r="BC667" i="2"/>
  <c r="BD667" i="2"/>
  <c r="BC668" i="2"/>
  <c r="BD668" i="2"/>
  <c r="BC669" i="2"/>
  <c r="BD669" i="2"/>
  <c r="BC670" i="2"/>
  <c r="BD670" i="2"/>
  <c r="BC671" i="2"/>
  <c r="BD671" i="2"/>
  <c r="BC672" i="2"/>
  <c r="BD672" i="2"/>
  <c r="BC673" i="2"/>
  <c r="BD673" i="2"/>
  <c r="BC674" i="2"/>
  <c r="BD674" i="2"/>
  <c r="BC675" i="2"/>
  <c r="BD675" i="2"/>
  <c r="BC676" i="2"/>
  <c r="BD676" i="2"/>
  <c r="BC677" i="2"/>
  <c r="BD677" i="2"/>
  <c r="BC678" i="2"/>
  <c r="BD678" i="2"/>
  <c r="BC679" i="2"/>
  <c r="BD679" i="2"/>
  <c r="BC680" i="2"/>
  <c r="BD680" i="2"/>
  <c r="BC681" i="2"/>
  <c r="BD681" i="2"/>
  <c r="BC682" i="2"/>
  <c r="BD682" i="2"/>
  <c r="BC683" i="2"/>
  <c r="BD683" i="2"/>
  <c r="BC684" i="2"/>
  <c r="BD684" i="2"/>
  <c r="BC685" i="2"/>
  <c r="BD685" i="2"/>
  <c r="BC686" i="2"/>
  <c r="BD686" i="2"/>
  <c r="BC687" i="2"/>
  <c r="BD687" i="2"/>
  <c r="BC688" i="2"/>
  <c r="BD688" i="2"/>
  <c r="BC689" i="2"/>
  <c r="BD689" i="2"/>
  <c r="BC690" i="2"/>
  <c r="BD690" i="2"/>
  <c r="BC691" i="2"/>
  <c r="BD691" i="2"/>
  <c r="BC692" i="2"/>
  <c r="BD692" i="2"/>
  <c r="BC693" i="2"/>
  <c r="BD693" i="2"/>
  <c r="BC694" i="2"/>
  <c r="BD694" i="2"/>
  <c r="BC695" i="2"/>
  <c r="BD695" i="2"/>
  <c r="BC696" i="2"/>
  <c r="BD696" i="2"/>
  <c r="BC697" i="2"/>
  <c r="BD697" i="2"/>
  <c r="BC698" i="2"/>
  <c r="BD698" i="2"/>
  <c r="BC699" i="2"/>
  <c r="BD699" i="2"/>
  <c r="BC700" i="2"/>
  <c r="BD700" i="2"/>
  <c r="BC701" i="2"/>
  <c r="BD701" i="2"/>
  <c r="BC702" i="2"/>
  <c r="BD702" i="2"/>
  <c r="BC703" i="2"/>
  <c r="BD703" i="2"/>
  <c r="BC704" i="2"/>
  <c r="BD704" i="2"/>
  <c r="BC705" i="2"/>
  <c r="BD705" i="2"/>
  <c r="BC706" i="2"/>
  <c r="BD706" i="2"/>
  <c r="BC707" i="2"/>
  <c r="BD707" i="2"/>
  <c r="BC708" i="2"/>
  <c r="BD708" i="2"/>
  <c r="BC709" i="2"/>
  <c r="BD709" i="2"/>
  <c r="BC710" i="2"/>
  <c r="BD710" i="2"/>
  <c r="BC711" i="2"/>
  <c r="BD711" i="2"/>
  <c r="BC712" i="2"/>
  <c r="BD712" i="2"/>
  <c r="BC713" i="2"/>
  <c r="BD713" i="2"/>
  <c r="BC714" i="2"/>
  <c r="BD714" i="2"/>
  <c r="BC715" i="2"/>
  <c r="BD715" i="2"/>
  <c r="BC716" i="2"/>
  <c r="BD716" i="2"/>
  <c r="BC717" i="2"/>
  <c r="BD717" i="2"/>
  <c r="BC718" i="2"/>
  <c r="BD718" i="2"/>
  <c r="BC719" i="2"/>
  <c r="BD719" i="2"/>
  <c r="BC720" i="2"/>
  <c r="BD720" i="2"/>
  <c r="BC721" i="2"/>
  <c r="BD721" i="2"/>
  <c r="BC722" i="2"/>
  <c r="BD722" i="2"/>
  <c r="BC723" i="2"/>
  <c r="BD723" i="2"/>
  <c r="BC724" i="2"/>
  <c r="BD724" i="2"/>
  <c r="BC725" i="2"/>
  <c r="BD725" i="2"/>
  <c r="BC726" i="2"/>
  <c r="BD726" i="2"/>
  <c r="BC727" i="2"/>
  <c r="BD727" i="2"/>
  <c r="BC728" i="2"/>
  <c r="BD728" i="2"/>
  <c r="BC729" i="2"/>
  <c r="BD729" i="2"/>
  <c r="BC730" i="2"/>
  <c r="BD730" i="2"/>
  <c r="BC731" i="2"/>
  <c r="BD731" i="2"/>
  <c r="BC732" i="2"/>
  <c r="BD732" i="2"/>
  <c r="BC733" i="2"/>
  <c r="BD733" i="2"/>
  <c r="BC734" i="2"/>
  <c r="BD734" i="2"/>
  <c r="BC735" i="2"/>
  <c r="BD735" i="2"/>
  <c r="BC736" i="2"/>
  <c r="BD736" i="2"/>
  <c r="BC737" i="2"/>
  <c r="BD737" i="2"/>
  <c r="BC738" i="2"/>
  <c r="BD738" i="2"/>
  <c r="BC739" i="2"/>
  <c r="BD739" i="2"/>
  <c r="BC740" i="2"/>
  <c r="BD740" i="2"/>
  <c r="BC741" i="2"/>
  <c r="BD741" i="2"/>
  <c r="BC742" i="2"/>
  <c r="BD742" i="2"/>
  <c r="BC743" i="2"/>
  <c r="BD743" i="2"/>
  <c r="BC744" i="2"/>
  <c r="BD744" i="2"/>
  <c r="BC745" i="2"/>
  <c r="BD745" i="2"/>
  <c r="BC746" i="2"/>
  <c r="BD746" i="2"/>
  <c r="BC747" i="2"/>
  <c r="BD747" i="2"/>
  <c r="BC748" i="2"/>
  <c r="BD748" i="2"/>
  <c r="BC749" i="2"/>
  <c r="BD749" i="2"/>
  <c r="BC750" i="2"/>
  <c r="BD750" i="2"/>
  <c r="BC751" i="2"/>
  <c r="BD751" i="2"/>
  <c r="BC752" i="2"/>
  <c r="BD752" i="2"/>
  <c r="BC753" i="2"/>
  <c r="BD753" i="2"/>
  <c r="BC754" i="2"/>
  <c r="BD754" i="2"/>
  <c r="BC755" i="2"/>
  <c r="BD755" i="2"/>
  <c r="BC756" i="2"/>
  <c r="BD756" i="2"/>
  <c r="BC757" i="2"/>
  <c r="BD757" i="2"/>
  <c r="BC758" i="2"/>
  <c r="BD758" i="2"/>
  <c r="BC759" i="2"/>
  <c r="BD759" i="2"/>
  <c r="BC760" i="2"/>
  <c r="BD760" i="2"/>
  <c r="BC761" i="2"/>
  <c r="BD761" i="2"/>
  <c r="BC762" i="2"/>
  <c r="BD762" i="2"/>
  <c r="BC763" i="2"/>
  <c r="BD763" i="2"/>
  <c r="BC764" i="2"/>
  <c r="BD764" i="2"/>
  <c r="BC765" i="2"/>
  <c r="BD765" i="2"/>
  <c r="BC766" i="2"/>
  <c r="BD766" i="2"/>
  <c r="BC767" i="2"/>
  <c r="BD767" i="2"/>
  <c r="BC768" i="2"/>
  <c r="BD768" i="2"/>
  <c r="BC769" i="2"/>
  <c r="BD769" i="2"/>
  <c r="BC770" i="2"/>
  <c r="BD770" i="2"/>
  <c r="BC771" i="2"/>
  <c r="BD771" i="2"/>
  <c r="BC772" i="2"/>
  <c r="BD772" i="2"/>
  <c r="BC773" i="2"/>
  <c r="BD773" i="2"/>
  <c r="BC774" i="2"/>
  <c r="BD774" i="2"/>
  <c r="BC775" i="2"/>
  <c r="BD775" i="2"/>
  <c r="BC776" i="2"/>
  <c r="BD776" i="2"/>
  <c r="BC777" i="2"/>
  <c r="BD777" i="2"/>
  <c r="BC778" i="2"/>
  <c r="BD778" i="2"/>
  <c r="BC779" i="2"/>
  <c r="BD779" i="2"/>
  <c r="BC780" i="2"/>
  <c r="BD780" i="2"/>
  <c r="BC781" i="2"/>
  <c r="BD781" i="2"/>
  <c r="BC782" i="2"/>
  <c r="BD782" i="2"/>
  <c r="BC783" i="2"/>
  <c r="BD783" i="2"/>
  <c r="BC784" i="2"/>
  <c r="BD784" i="2"/>
  <c r="BC785" i="2"/>
  <c r="BD785" i="2"/>
  <c r="BC786" i="2"/>
  <c r="BD786" i="2"/>
  <c r="BC787" i="2"/>
  <c r="BD787" i="2"/>
  <c r="BC788" i="2"/>
  <c r="BD788" i="2"/>
  <c r="BC789" i="2"/>
  <c r="BD789" i="2"/>
  <c r="BC790" i="2"/>
  <c r="BD790" i="2"/>
  <c r="BC791" i="2"/>
  <c r="BD791" i="2"/>
  <c r="BC792" i="2"/>
  <c r="BD792" i="2"/>
  <c r="BC793" i="2"/>
  <c r="BD793" i="2"/>
  <c r="BC794" i="2"/>
  <c r="BD794" i="2"/>
  <c r="BC795" i="2"/>
  <c r="BD795" i="2"/>
  <c r="BC796" i="2"/>
  <c r="BD796" i="2"/>
  <c r="BC797" i="2"/>
  <c r="BD797" i="2"/>
  <c r="BC798" i="2"/>
  <c r="BD798" i="2"/>
  <c r="BC799" i="2"/>
  <c r="BD799" i="2"/>
  <c r="BC800" i="2"/>
  <c r="BD800" i="2"/>
  <c r="BC801" i="2"/>
  <c r="BD801" i="2"/>
  <c r="BC802" i="2"/>
  <c r="BD802" i="2"/>
  <c r="BC803" i="2"/>
  <c r="BD803" i="2"/>
  <c r="BC804" i="2"/>
  <c r="BD804" i="2"/>
  <c r="BC805" i="2"/>
  <c r="BD805" i="2"/>
  <c r="BC806" i="2"/>
  <c r="BD806" i="2"/>
  <c r="BC807" i="2"/>
  <c r="BD807" i="2"/>
  <c r="BC808" i="2"/>
  <c r="BD808" i="2"/>
  <c r="BC809" i="2"/>
  <c r="BD809" i="2"/>
  <c r="BC810" i="2"/>
  <c r="BD810" i="2"/>
  <c r="BC811" i="2"/>
  <c r="BD811" i="2"/>
  <c r="BC812" i="2"/>
  <c r="BD812" i="2"/>
  <c r="BC813" i="2"/>
  <c r="BD813" i="2"/>
  <c r="BC814" i="2"/>
  <c r="BD814" i="2"/>
  <c r="BC815" i="2"/>
  <c r="BD815" i="2"/>
  <c r="BC816" i="2"/>
  <c r="BD816" i="2"/>
  <c r="BC817" i="2"/>
  <c r="BD817" i="2"/>
  <c r="BC818" i="2"/>
  <c r="BD818" i="2"/>
  <c r="BC819" i="2"/>
  <c r="BD819" i="2"/>
  <c r="BC820" i="2"/>
  <c r="BD820" i="2"/>
  <c r="BC821" i="2"/>
  <c r="BD821" i="2"/>
  <c r="BC822" i="2"/>
  <c r="BD822" i="2"/>
  <c r="BC823" i="2"/>
  <c r="BD823" i="2"/>
  <c r="BC824" i="2"/>
  <c r="BD824" i="2"/>
  <c r="BC825" i="2"/>
  <c r="BD825" i="2"/>
  <c r="BC826" i="2"/>
  <c r="BD826" i="2"/>
  <c r="BC827" i="2"/>
  <c r="BD827" i="2"/>
  <c r="BC828" i="2"/>
  <c r="BD828" i="2"/>
  <c r="BC829" i="2"/>
  <c r="BD829" i="2"/>
  <c r="BC830" i="2"/>
  <c r="BD830" i="2"/>
  <c r="BC831" i="2"/>
  <c r="BD831" i="2"/>
  <c r="BC832" i="2"/>
  <c r="BD832" i="2"/>
  <c r="BC833" i="2"/>
  <c r="BD833" i="2"/>
  <c r="BC834" i="2"/>
  <c r="BD834" i="2"/>
  <c r="BC835" i="2"/>
  <c r="BD835" i="2"/>
  <c r="BC836" i="2"/>
  <c r="BD836" i="2"/>
  <c r="BC837" i="2"/>
  <c r="BD837" i="2"/>
  <c r="BC838" i="2"/>
  <c r="BD838" i="2"/>
  <c r="BC839" i="2"/>
  <c r="BD839" i="2"/>
  <c r="BC840" i="2"/>
  <c r="BD840" i="2"/>
  <c r="BC841" i="2"/>
  <c r="BD841" i="2"/>
  <c r="BC842" i="2"/>
  <c r="BD842" i="2"/>
  <c r="BC843" i="2"/>
  <c r="BD843" i="2"/>
  <c r="BC844" i="2"/>
  <c r="BD844" i="2"/>
  <c r="BC845" i="2"/>
  <c r="BD845" i="2"/>
  <c r="BC846" i="2"/>
  <c r="BD846" i="2"/>
  <c r="BC847" i="2"/>
  <c r="BD847" i="2"/>
  <c r="BC848" i="2"/>
  <c r="BD848" i="2"/>
  <c r="BC849" i="2"/>
  <c r="BD849" i="2"/>
  <c r="BC850" i="2"/>
  <c r="BD850" i="2"/>
  <c r="BC851" i="2"/>
  <c r="BD851" i="2"/>
  <c r="BC852" i="2"/>
  <c r="BD852" i="2"/>
  <c r="BC853" i="2"/>
  <c r="BD853" i="2"/>
  <c r="BC854" i="2"/>
  <c r="BD854" i="2"/>
  <c r="BC855" i="2"/>
  <c r="BD855" i="2"/>
  <c r="BC856" i="2"/>
  <c r="BD856" i="2"/>
  <c r="BC857" i="2"/>
  <c r="BD857" i="2"/>
  <c r="BC858" i="2"/>
  <c r="BD858" i="2"/>
  <c r="BC859" i="2"/>
  <c r="BD859" i="2"/>
  <c r="BC860" i="2"/>
  <c r="BD860" i="2"/>
  <c r="BC861" i="2"/>
  <c r="BD861" i="2"/>
  <c r="BC862" i="2"/>
  <c r="BD862" i="2"/>
  <c r="BC863" i="2"/>
  <c r="BD863" i="2"/>
  <c r="BC864" i="2"/>
  <c r="BD864" i="2"/>
  <c r="BC865" i="2"/>
  <c r="BD865" i="2"/>
  <c r="BC866" i="2"/>
  <c r="BD866" i="2"/>
  <c r="BC867" i="2"/>
  <c r="BD867" i="2"/>
  <c r="BC868" i="2"/>
  <c r="BD868" i="2"/>
  <c r="BC869" i="2"/>
  <c r="BD869" i="2"/>
  <c r="BC870" i="2"/>
  <c r="BD870" i="2"/>
  <c r="BC871" i="2"/>
  <c r="BD871" i="2"/>
  <c r="BC872" i="2"/>
  <c r="BD872" i="2"/>
  <c r="BC873" i="2"/>
  <c r="BD873" i="2"/>
  <c r="BC874" i="2"/>
  <c r="BD874" i="2"/>
  <c r="BC875" i="2"/>
  <c r="BD875" i="2"/>
  <c r="BC876" i="2"/>
  <c r="BD876" i="2"/>
  <c r="BC877" i="2"/>
  <c r="BD877" i="2"/>
  <c r="BC878" i="2"/>
  <c r="BD878" i="2"/>
  <c r="BC879" i="2"/>
  <c r="BD879" i="2"/>
  <c r="BC880" i="2"/>
  <c r="BD880" i="2"/>
  <c r="BC881" i="2"/>
  <c r="BD881" i="2"/>
  <c r="BC882" i="2"/>
  <c r="BD882" i="2"/>
  <c r="BC883" i="2"/>
  <c r="BD883" i="2"/>
  <c r="BC884" i="2"/>
  <c r="BD884" i="2"/>
  <c r="BC885" i="2"/>
  <c r="BD885" i="2"/>
  <c r="BC886" i="2"/>
  <c r="BD886" i="2"/>
  <c r="BC887" i="2"/>
  <c r="BD887" i="2"/>
  <c r="BC888" i="2"/>
  <c r="BD888" i="2"/>
  <c r="BC889" i="2"/>
  <c r="BD889" i="2"/>
  <c r="BC890" i="2"/>
  <c r="BD890" i="2"/>
  <c r="BC891" i="2"/>
  <c r="BD891" i="2"/>
  <c r="BC892" i="2"/>
  <c r="BD892" i="2"/>
  <c r="BC893" i="2"/>
  <c r="BD893" i="2"/>
  <c r="BC894" i="2"/>
  <c r="BD894" i="2"/>
  <c r="BC895" i="2"/>
  <c r="BD895" i="2"/>
  <c r="BC896" i="2"/>
  <c r="BD896" i="2"/>
  <c r="BC897" i="2"/>
  <c r="BD897" i="2"/>
  <c r="BC898" i="2"/>
  <c r="BD898" i="2"/>
  <c r="BC899" i="2"/>
  <c r="BD899" i="2"/>
  <c r="BC900" i="2"/>
  <c r="BD900" i="2"/>
  <c r="BC901" i="2"/>
  <c r="BD901" i="2"/>
  <c r="BC902" i="2"/>
  <c r="BD902" i="2"/>
  <c r="BC903" i="2"/>
  <c r="BD903" i="2"/>
  <c r="BC904" i="2"/>
  <c r="BD904" i="2"/>
  <c r="BC905" i="2"/>
  <c r="BD905" i="2"/>
  <c r="BC906" i="2"/>
  <c r="BD906" i="2"/>
  <c r="BC907" i="2"/>
  <c r="BD907" i="2"/>
  <c r="BC908" i="2"/>
  <c r="BD908" i="2"/>
  <c r="BC909" i="2"/>
  <c r="BD909" i="2"/>
  <c r="BC910" i="2"/>
  <c r="BD910" i="2"/>
  <c r="BC911" i="2"/>
  <c r="BD911" i="2"/>
  <c r="BC912" i="2"/>
  <c r="BD912" i="2"/>
  <c r="BC913" i="2"/>
  <c r="BD913" i="2"/>
  <c r="BC914" i="2"/>
  <c r="BD914" i="2"/>
  <c r="BC915" i="2"/>
  <c r="BD915" i="2"/>
  <c r="BC916" i="2"/>
  <c r="BD916" i="2"/>
  <c r="BC917" i="2"/>
  <c r="BD917" i="2"/>
  <c r="BC918" i="2"/>
  <c r="BD918" i="2"/>
  <c r="BC919" i="2"/>
  <c r="BD919" i="2"/>
  <c r="BC920" i="2"/>
  <c r="BD920" i="2"/>
  <c r="BC921" i="2"/>
  <c r="BD921" i="2"/>
  <c r="BC922" i="2"/>
  <c r="BD922" i="2"/>
  <c r="BC923" i="2"/>
  <c r="BD923" i="2"/>
  <c r="BC924" i="2"/>
  <c r="BD924" i="2"/>
  <c r="BC925" i="2"/>
  <c r="BD925" i="2"/>
  <c r="BC926" i="2"/>
  <c r="BD926" i="2"/>
  <c r="BC927" i="2"/>
  <c r="BD927" i="2"/>
  <c r="BC928" i="2"/>
  <c r="BD928" i="2"/>
  <c r="BC929" i="2"/>
  <c r="BD929" i="2"/>
  <c r="BC930" i="2"/>
  <c r="BD930" i="2"/>
  <c r="BC931" i="2"/>
  <c r="BD931" i="2"/>
  <c r="BC932" i="2"/>
  <c r="BD932" i="2"/>
  <c r="BC933" i="2"/>
  <c r="BD933" i="2"/>
  <c r="BC934" i="2"/>
  <c r="BD934" i="2"/>
  <c r="BC935" i="2"/>
  <c r="BD935" i="2"/>
  <c r="BC936" i="2"/>
  <c r="BD936" i="2"/>
  <c r="BC937" i="2"/>
  <c r="BD937" i="2"/>
  <c r="BC938" i="2"/>
  <c r="BD938" i="2"/>
  <c r="BC939" i="2"/>
  <c r="BD939" i="2"/>
  <c r="BC940" i="2"/>
  <c r="BD940" i="2"/>
  <c r="BC941" i="2"/>
  <c r="BD941" i="2"/>
  <c r="BC942" i="2"/>
  <c r="BD942" i="2"/>
  <c r="BC943" i="2"/>
  <c r="BD943" i="2"/>
  <c r="BC944" i="2"/>
  <c r="BD944" i="2"/>
  <c r="BC945" i="2"/>
  <c r="BD945" i="2"/>
  <c r="BC946" i="2"/>
  <c r="BD946" i="2"/>
  <c r="BC947" i="2"/>
  <c r="BD947" i="2"/>
  <c r="BC948" i="2"/>
  <c r="BD948" i="2"/>
  <c r="BC949" i="2"/>
  <c r="BD949" i="2"/>
  <c r="BC950" i="2"/>
  <c r="BD950" i="2"/>
  <c r="BC951" i="2"/>
  <c r="BD951" i="2"/>
  <c r="BC952" i="2"/>
  <c r="BD952" i="2"/>
  <c r="BC953" i="2"/>
  <c r="BD953" i="2"/>
  <c r="BC954" i="2"/>
  <c r="BD954" i="2"/>
  <c r="BC955" i="2"/>
  <c r="BD955" i="2"/>
  <c r="BC956" i="2"/>
  <c r="BD956" i="2"/>
  <c r="BC957" i="2"/>
  <c r="BD957" i="2"/>
  <c r="BC958" i="2"/>
  <c r="BD958" i="2"/>
  <c r="BC959" i="2"/>
  <c r="BD959" i="2"/>
  <c r="BC960" i="2"/>
  <c r="BD960" i="2"/>
  <c r="BC961" i="2"/>
  <c r="BD961" i="2"/>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6"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184" i="2"/>
  <c r="BD185" i="2"/>
  <c r="BD186" i="2"/>
  <c r="BD187" i="2"/>
  <c r="BD188" i="2"/>
  <c r="BD189" i="2"/>
  <c r="BD190" i="2"/>
  <c r="BD191" i="2"/>
  <c r="BD192" i="2"/>
  <c r="BD193" i="2"/>
  <c r="BD194" i="2"/>
  <c r="BD195" i="2"/>
  <c r="BD196" i="2"/>
  <c r="BD197" i="2"/>
  <c r="BD198" i="2"/>
  <c r="BD199" i="2"/>
  <c r="BD200" i="2"/>
  <c r="BD201" i="2"/>
  <c r="BD202" i="2"/>
  <c r="BD203" i="2"/>
  <c r="BD204" i="2"/>
  <c r="BD205" i="2"/>
  <c r="BD206" i="2"/>
  <c r="BD207" i="2"/>
  <c r="BD208" i="2"/>
  <c r="BD209" i="2"/>
  <c r="BD210" i="2"/>
  <c r="BD211" i="2"/>
  <c r="BD212" i="2"/>
  <c r="BD213" i="2"/>
  <c r="BD214" i="2"/>
  <c r="BD215" i="2"/>
  <c r="BD216" i="2"/>
  <c r="BD217" i="2"/>
  <c r="BD218" i="2"/>
  <c r="BD219" i="2"/>
  <c r="BD220" i="2"/>
  <c r="BD221" i="2"/>
  <c r="BD222" i="2"/>
  <c r="BD223" i="2"/>
  <c r="BD224" i="2"/>
  <c r="BD225" i="2"/>
  <c r="BD226" i="2"/>
  <c r="BD227" i="2"/>
  <c r="BD228" i="2"/>
  <c r="BD229" i="2"/>
  <c r="BD230" i="2"/>
  <c r="BD231" i="2"/>
  <c r="BD232" i="2"/>
  <c r="BD233" i="2"/>
  <c r="BD234" i="2"/>
  <c r="BD235" i="2"/>
  <c r="BD236" i="2"/>
  <c r="BD237" i="2"/>
  <c r="BD238" i="2"/>
  <c r="BD239" i="2"/>
  <c r="BD240" i="2"/>
  <c r="BD241" i="2"/>
  <c r="BD242" i="2"/>
  <c r="BD243" i="2"/>
  <c r="BD244" i="2"/>
  <c r="BD245" i="2"/>
  <c r="BD246" i="2"/>
  <c r="BD247" i="2"/>
  <c r="BD248" i="2"/>
  <c r="BD249" i="2"/>
  <c r="BD250" i="2"/>
  <c r="BD251" i="2"/>
  <c r="BD252" i="2"/>
  <c r="BD253" i="2"/>
  <c r="BD254" i="2"/>
  <c r="BD255" i="2"/>
  <c r="BD256" i="2"/>
  <c r="BD257" i="2"/>
  <c r="BD258" i="2"/>
  <c r="BD259" i="2"/>
  <c r="BD260" i="2"/>
  <c r="BD261" i="2"/>
  <c r="BD262" i="2"/>
  <c r="BD263" i="2"/>
  <c r="BD264" i="2"/>
  <c r="BD265" i="2"/>
  <c r="BD266" i="2"/>
  <c r="BD267" i="2"/>
  <c r="BD268" i="2"/>
  <c r="BD269" i="2"/>
  <c r="BD270" i="2"/>
  <c r="BD271" i="2"/>
  <c r="BD272" i="2"/>
  <c r="BD273" i="2"/>
  <c r="BD274" i="2"/>
  <c r="BD275"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301" i="2"/>
  <c r="BD302" i="2"/>
  <c r="BD303" i="2"/>
  <c r="BD304" i="2"/>
  <c r="BD305" i="2"/>
  <c r="BD306" i="2"/>
  <c r="BD307" i="2"/>
  <c r="BD308" i="2"/>
  <c r="BD309" i="2"/>
  <c r="BD310" i="2"/>
  <c r="BD311" i="2"/>
  <c r="BD312" i="2"/>
  <c r="BD313" i="2"/>
  <c r="BD314" i="2"/>
  <c r="BD315" i="2"/>
  <c r="BD316" i="2"/>
  <c r="BD317" i="2"/>
  <c r="BD318" i="2"/>
  <c r="BD319" i="2"/>
  <c r="BD320" i="2"/>
  <c r="BD321" i="2"/>
  <c r="BD322" i="2"/>
  <c r="BD323" i="2"/>
  <c r="BD324" i="2"/>
  <c r="BD325" i="2"/>
  <c r="BD326" i="2"/>
  <c r="BD327" i="2"/>
  <c r="BD328" i="2"/>
  <c r="BD329" i="2"/>
  <c r="BD330" i="2"/>
  <c r="BD331" i="2"/>
  <c r="BD332" i="2"/>
  <c r="BD333"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D378" i="2"/>
  <c r="BD379" i="2"/>
  <c r="BD380" i="2"/>
  <c r="BD381" i="2"/>
  <c r="BD382" i="2"/>
  <c r="BD383" i="2"/>
  <c r="BD384" i="2"/>
  <c r="BD385" i="2"/>
  <c r="BD386" i="2"/>
  <c r="BD387" i="2"/>
  <c r="BD388" i="2"/>
  <c r="BD389" i="2"/>
  <c r="BD390" i="2"/>
  <c r="BD391" i="2"/>
  <c r="BD392" i="2"/>
  <c r="BD393" i="2"/>
  <c r="BD394" i="2"/>
  <c r="BD395" i="2"/>
  <c r="BD396" i="2"/>
  <c r="BD397" i="2"/>
  <c r="BD398" i="2"/>
  <c r="BD399" i="2"/>
  <c r="BD400" i="2"/>
  <c r="BD401" i="2"/>
  <c r="BD402" i="2"/>
  <c r="BD403" i="2"/>
  <c r="BD404" i="2"/>
  <c r="BD405" i="2"/>
  <c r="BD406" i="2"/>
  <c r="BD407" i="2"/>
  <c r="BD408" i="2"/>
  <c r="BD409" i="2"/>
  <c r="BD410" i="2"/>
  <c r="BD411" i="2"/>
  <c r="BD412" i="2"/>
  <c r="BD413" i="2"/>
  <c r="BD414" i="2"/>
  <c r="BD415" i="2"/>
  <c r="BD416" i="2"/>
  <c r="BD417" i="2"/>
  <c r="BD418" i="2"/>
  <c r="BD419" i="2"/>
  <c r="BD420" i="2"/>
  <c r="BD421" i="2"/>
  <c r="BD422" i="2"/>
  <c r="BD423" i="2"/>
  <c r="BD424" i="2"/>
  <c r="BD425" i="2"/>
  <c r="BD426" i="2"/>
  <c r="BD427" i="2"/>
  <c r="BD428" i="2"/>
  <c r="BD429" i="2"/>
  <c r="BD430" i="2"/>
  <c r="BD431" i="2"/>
  <c r="BD432" i="2"/>
  <c r="BD433" i="2"/>
  <c r="BD434" i="2"/>
  <c r="BD435" i="2"/>
  <c r="BD436" i="2"/>
  <c r="BD437" i="2"/>
  <c r="BD438" i="2"/>
  <c r="BD439" i="2"/>
  <c r="BD440" i="2"/>
  <c r="BD441" i="2"/>
  <c r="BD442" i="2"/>
  <c r="BD443" i="2"/>
  <c r="BD444" i="2"/>
  <c r="BD445" i="2"/>
  <c r="BD446" i="2"/>
  <c r="BD447" i="2"/>
  <c r="BD448" i="2"/>
  <c r="BD449" i="2"/>
  <c r="BD450" i="2"/>
  <c r="BD451" i="2"/>
  <c r="BD452" i="2"/>
  <c r="BD453" i="2"/>
  <c r="BD454" i="2"/>
  <c r="BD455" i="2"/>
  <c r="BD456" i="2"/>
  <c r="BD457" i="2"/>
  <c r="BD458" i="2"/>
  <c r="BD459" i="2"/>
  <c r="BD460" i="2"/>
  <c r="BD461" i="2"/>
  <c r="BD462" i="2"/>
  <c r="BD463" i="2"/>
  <c r="BD464" i="2"/>
  <c r="BD465" i="2"/>
  <c r="BD466" i="2"/>
  <c r="BD467" i="2"/>
  <c r="BD468" i="2"/>
  <c r="BD469" i="2"/>
  <c r="BD470" i="2"/>
  <c r="BD471" i="2"/>
  <c r="BD472" i="2"/>
  <c r="BD473" i="2"/>
  <c r="BD474" i="2"/>
  <c r="BD475" i="2"/>
  <c r="BD476" i="2"/>
  <c r="BD477" i="2"/>
  <c r="BD478" i="2"/>
  <c r="BD479" i="2"/>
  <c r="BD480" i="2"/>
  <c r="BD481" i="2"/>
  <c r="BD482" i="2"/>
  <c r="BD483" i="2"/>
  <c r="BD484" i="2"/>
  <c r="BD485" i="2"/>
  <c r="BD486" i="2"/>
  <c r="BD487" i="2"/>
  <c r="BD488" i="2"/>
  <c r="BD489" i="2"/>
  <c r="BD490" i="2"/>
  <c r="BD491" i="2"/>
  <c r="BD492" i="2"/>
  <c r="BD493" i="2"/>
  <c r="BD494" i="2"/>
  <c r="BD495" i="2"/>
  <c r="BD496" i="2"/>
  <c r="BD497" i="2"/>
  <c r="BD498" i="2"/>
  <c r="BD499" i="2"/>
  <c r="BD500" i="2"/>
  <c r="BD501" i="2"/>
  <c r="BD502" i="2"/>
  <c r="BD503" i="2"/>
  <c r="BD504" i="2"/>
  <c r="BD505" i="2"/>
  <c r="BD506" i="2"/>
  <c r="BD507" i="2"/>
  <c r="BD508" i="2"/>
  <c r="BD509" i="2"/>
  <c r="BD510" i="2"/>
  <c r="BD511" i="2"/>
  <c r="BD512" i="2"/>
  <c r="BD513" i="2"/>
  <c r="BD514" i="2"/>
  <c r="BD515" i="2"/>
  <c r="BD516" i="2"/>
  <c r="BD517" i="2"/>
  <c r="BD518" i="2"/>
  <c r="BD519" i="2"/>
  <c r="BD520" i="2"/>
  <c r="BD521" i="2"/>
  <c r="BD522" i="2"/>
  <c r="BD523" i="2"/>
  <c r="BD524" i="2"/>
  <c r="BD525" i="2"/>
  <c r="BD526" i="2"/>
  <c r="BD527" i="2"/>
  <c r="BD528" i="2"/>
  <c r="BD529" i="2"/>
  <c r="BD530" i="2"/>
  <c r="BD531" i="2"/>
  <c r="BD532" i="2"/>
  <c r="BD533" i="2"/>
  <c r="BD534" i="2"/>
  <c r="BD535" i="2"/>
  <c r="BD536" i="2"/>
  <c r="BD537" i="2"/>
  <c r="BD538" i="2"/>
  <c r="BD539" i="2"/>
  <c r="BD540" i="2"/>
  <c r="BD541" i="2"/>
  <c r="BD542" i="2"/>
  <c r="BD543" i="2"/>
  <c r="BD544" i="2"/>
  <c r="BD545" i="2"/>
  <c r="BD546" i="2"/>
  <c r="BD547" i="2"/>
  <c r="BD548" i="2"/>
  <c r="BD549" i="2"/>
  <c r="BD550" i="2"/>
  <c r="BD551" i="2"/>
  <c r="BD552" i="2"/>
  <c r="BD553" i="2"/>
  <c r="BD554" i="2"/>
  <c r="BD555" i="2"/>
  <c r="BD556" i="2"/>
  <c r="BD557" i="2"/>
  <c r="BD558" i="2"/>
  <c r="BD559" i="2"/>
  <c r="BD560" i="2"/>
  <c r="BD561" i="2"/>
  <c r="BD562" i="2"/>
  <c r="BD563" i="2"/>
  <c r="BD564" i="2"/>
  <c r="BD565" i="2"/>
  <c r="BD566" i="2"/>
  <c r="BD567" i="2"/>
  <c r="BD568" i="2"/>
  <c r="BD569" i="2"/>
  <c r="BD570" i="2"/>
  <c r="BD571" i="2"/>
  <c r="BD572" i="2"/>
  <c r="BD573" i="2"/>
  <c r="BD574" i="2"/>
  <c r="BD575" i="2"/>
  <c r="BD576" i="2"/>
  <c r="BD577" i="2"/>
  <c r="BD578" i="2"/>
  <c r="BD579" i="2"/>
  <c r="BD580" i="2"/>
  <c r="BD581" i="2"/>
  <c r="BD582" i="2"/>
  <c r="BD583" i="2"/>
  <c r="BD584" i="2"/>
  <c r="BD585" i="2"/>
  <c r="BD586" i="2"/>
  <c r="BD587" i="2"/>
  <c r="BD588" i="2"/>
  <c r="BD589" i="2"/>
  <c r="BD590" i="2"/>
  <c r="BD591" i="2"/>
  <c r="BD592" i="2"/>
  <c r="BD593" i="2"/>
  <c r="BD594" i="2"/>
  <c r="BD595" i="2"/>
  <c r="BD596" i="2"/>
  <c r="BD597" i="2"/>
  <c r="BD598" i="2"/>
  <c r="BD599" i="2"/>
  <c r="BD600" i="2"/>
  <c r="BD601" i="2"/>
  <c r="BD602" i="2"/>
  <c r="BD603" i="2"/>
  <c r="BD604" i="2"/>
  <c r="BD605" i="2"/>
  <c r="BD606" i="2"/>
  <c r="BD607" i="2"/>
  <c r="BD608" i="2"/>
  <c r="BD609" i="2"/>
  <c r="BD610" i="2"/>
  <c r="BD611" i="2"/>
  <c r="BD612" i="2"/>
  <c r="BD613" i="2"/>
  <c r="BD614" i="2"/>
  <c r="BD615" i="2"/>
  <c r="BD616" i="2"/>
  <c r="BD617" i="2"/>
  <c r="BD618" i="2"/>
  <c r="BD619" i="2"/>
  <c r="BD620" i="2"/>
  <c r="BD621" i="2"/>
  <c r="BD622" i="2"/>
  <c r="BD623" i="2"/>
  <c r="BD624" i="2"/>
  <c r="BD625" i="2"/>
  <c r="BD626" i="2"/>
  <c r="BD627" i="2"/>
  <c r="BD628" i="2"/>
  <c r="BD629" i="2"/>
  <c r="BD630" i="2"/>
  <c r="BD631" i="2"/>
  <c r="BD632" i="2"/>
  <c r="BD633" i="2"/>
  <c r="BD634" i="2"/>
  <c r="BD635" i="2"/>
  <c r="BD636" i="2"/>
  <c r="BD637" i="2"/>
  <c r="BD638" i="2"/>
  <c r="BD639" i="2"/>
  <c r="BD640" i="2"/>
  <c r="BD641" i="2"/>
  <c r="BD2" i="2"/>
  <c r="BC641" i="2" l="1"/>
  <c r="BC640" i="2"/>
  <c r="BC639" i="2"/>
  <c r="BC638" i="2"/>
  <c r="BC637" i="2"/>
  <c r="BC636" i="2"/>
  <c r="BC635" i="2"/>
  <c r="BC634" i="2"/>
  <c r="BC633" i="2"/>
  <c r="BC632" i="2"/>
  <c r="BC631" i="2"/>
  <c r="BC630" i="2"/>
  <c r="BC629" i="2"/>
  <c r="BC628" i="2"/>
  <c r="BC627" i="2"/>
  <c r="BC626" i="2"/>
  <c r="BC625" i="2"/>
  <c r="BC624" i="2"/>
  <c r="BC623" i="2"/>
  <c r="BC622" i="2"/>
  <c r="BC621" i="2"/>
  <c r="BC620" i="2"/>
  <c r="BC619" i="2"/>
  <c r="BC618" i="2"/>
  <c r="BC617" i="2"/>
  <c r="BC616" i="2"/>
  <c r="BC615" i="2"/>
  <c r="BC614" i="2"/>
  <c r="BC613" i="2"/>
  <c r="BC612" i="2"/>
  <c r="BC611" i="2"/>
  <c r="BC610" i="2"/>
  <c r="BC609" i="2"/>
  <c r="BC608" i="2"/>
  <c r="BC607" i="2"/>
  <c r="BC606" i="2"/>
  <c r="BC605" i="2"/>
  <c r="BC604" i="2"/>
  <c r="BC603" i="2"/>
  <c r="BC602" i="2"/>
  <c r="BC601" i="2"/>
  <c r="BC600" i="2"/>
  <c r="BC599" i="2"/>
  <c r="BC598" i="2"/>
  <c r="BC597" i="2"/>
  <c r="BC596" i="2"/>
  <c r="BC595" i="2"/>
  <c r="BC594" i="2"/>
  <c r="BC593" i="2"/>
  <c r="BC592" i="2"/>
  <c r="BC591" i="2"/>
  <c r="BC590" i="2"/>
  <c r="BC589" i="2"/>
  <c r="BC588" i="2"/>
  <c r="BC587" i="2"/>
  <c r="BC586" i="2"/>
  <c r="BC585" i="2"/>
  <c r="BC584" i="2"/>
  <c r="BC583" i="2"/>
  <c r="BC582" i="2"/>
  <c r="BC581" i="2"/>
  <c r="BC580" i="2"/>
  <c r="BC579" i="2"/>
  <c r="BC578" i="2"/>
  <c r="BC577" i="2"/>
  <c r="BC576" i="2"/>
  <c r="BC575" i="2"/>
  <c r="BC574" i="2"/>
  <c r="BC573" i="2"/>
  <c r="BC572" i="2"/>
  <c r="BC571" i="2"/>
  <c r="BC570" i="2"/>
  <c r="BC569" i="2"/>
  <c r="BC568" i="2"/>
  <c r="BC567" i="2"/>
  <c r="BC566" i="2"/>
  <c r="BC565" i="2"/>
  <c r="BC564" i="2"/>
  <c r="BC563" i="2"/>
  <c r="BC562" i="2"/>
  <c r="BC561" i="2"/>
  <c r="BC560" i="2"/>
  <c r="BC559" i="2"/>
  <c r="BC558" i="2"/>
  <c r="BC557" i="2"/>
  <c r="BC556" i="2"/>
  <c r="BC555" i="2"/>
  <c r="BC554" i="2"/>
  <c r="BC553" i="2"/>
  <c r="BC552" i="2"/>
  <c r="BC551" i="2"/>
  <c r="BC550" i="2"/>
  <c r="BC549" i="2"/>
  <c r="BC548" i="2"/>
  <c r="BC547" i="2"/>
  <c r="BC546" i="2"/>
  <c r="BC545" i="2"/>
  <c r="BC544" i="2"/>
  <c r="BC543" i="2"/>
  <c r="BC542" i="2"/>
  <c r="BC541" i="2"/>
  <c r="BC540" i="2"/>
  <c r="BC539" i="2"/>
  <c r="BC538" i="2"/>
  <c r="BC537" i="2"/>
  <c r="BC536" i="2"/>
  <c r="BC535" i="2"/>
  <c r="BC534" i="2"/>
  <c r="BC533" i="2"/>
  <c r="BC532" i="2"/>
  <c r="BC531" i="2"/>
  <c r="BC530" i="2"/>
  <c r="BC529" i="2"/>
  <c r="BC528" i="2"/>
  <c r="BC527" i="2"/>
  <c r="BC526" i="2"/>
  <c r="BC525" i="2"/>
  <c r="BC524" i="2"/>
  <c r="BC523" i="2"/>
  <c r="BC522" i="2"/>
  <c r="BC521" i="2"/>
  <c r="BC520" i="2"/>
  <c r="BC519" i="2"/>
  <c r="BC518" i="2"/>
  <c r="BC517" i="2"/>
  <c r="BC516" i="2"/>
  <c r="BC515" i="2"/>
  <c r="BC514" i="2"/>
  <c r="BC513" i="2"/>
  <c r="BC512" i="2"/>
  <c r="BC511" i="2"/>
  <c r="BC510" i="2"/>
  <c r="BC509" i="2"/>
  <c r="BC508" i="2"/>
  <c r="BC507" i="2"/>
  <c r="BC506" i="2"/>
  <c r="BC505" i="2"/>
  <c r="BC504" i="2"/>
  <c r="BC503" i="2"/>
  <c r="BC502" i="2"/>
  <c r="BC501" i="2"/>
  <c r="BC500" i="2"/>
  <c r="BC499" i="2"/>
  <c r="BC498" i="2"/>
  <c r="BC497" i="2"/>
  <c r="BC496" i="2"/>
  <c r="BC495" i="2"/>
  <c r="BC494" i="2"/>
  <c r="BC493" i="2"/>
  <c r="BC492" i="2"/>
  <c r="BC491" i="2"/>
  <c r="BC490" i="2"/>
  <c r="BC489" i="2"/>
  <c r="BC488" i="2"/>
  <c r="BC487" i="2"/>
  <c r="BC486" i="2"/>
  <c r="BC485" i="2"/>
  <c r="BC484" i="2"/>
  <c r="BC483" i="2"/>
  <c r="BC482" i="2"/>
  <c r="BC481" i="2"/>
  <c r="BC480" i="2"/>
  <c r="BC479" i="2"/>
  <c r="BC478" i="2"/>
  <c r="BC477" i="2"/>
  <c r="BC476" i="2"/>
  <c r="BC475" i="2"/>
  <c r="BC474" i="2"/>
  <c r="BC473" i="2"/>
  <c r="BC472" i="2"/>
  <c r="BC471" i="2"/>
  <c r="BC470" i="2"/>
  <c r="BC469" i="2"/>
  <c r="BC468" i="2"/>
  <c r="BC467" i="2"/>
  <c r="BC466" i="2"/>
  <c r="BC465" i="2"/>
  <c r="BC464" i="2"/>
  <c r="BC463" i="2"/>
  <c r="BC462" i="2"/>
  <c r="BC461" i="2"/>
  <c r="BC460" i="2"/>
  <c r="BC459" i="2"/>
  <c r="BC458" i="2"/>
  <c r="BC457" i="2"/>
  <c r="BC456" i="2"/>
  <c r="BC455" i="2"/>
  <c r="BC454" i="2"/>
  <c r="BC453" i="2"/>
  <c r="BC452" i="2"/>
  <c r="BC451" i="2"/>
  <c r="BC450" i="2"/>
  <c r="BC449" i="2"/>
  <c r="BC448" i="2"/>
  <c r="BC447" i="2"/>
  <c r="BC446" i="2"/>
  <c r="BC445" i="2"/>
  <c r="BC444" i="2"/>
  <c r="BC443" i="2"/>
  <c r="BC442" i="2"/>
  <c r="BC441" i="2"/>
  <c r="BC440" i="2"/>
  <c r="BC439" i="2"/>
  <c r="BC438" i="2"/>
  <c r="BC437" i="2"/>
  <c r="BC436" i="2"/>
  <c r="BC435" i="2"/>
  <c r="BC434" i="2"/>
  <c r="BC433" i="2"/>
  <c r="BC432" i="2"/>
  <c r="BC431" i="2"/>
  <c r="BC430" i="2"/>
  <c r="BC429" i="2"/>
  <c r="BC428" i="2"/>
  <c r="BC427" i="2"/>
  <c r="BC426" i="2"/>
  <c r="BC425" i="2"/>
  <c r="BC424" i="2"/>
  <c r="BC423" i="2"/>
  <c r="BC422" i="2"/>
  <c r="BC421" i="2"/>
  <c r="BC420" i="2"/>
  <c r="BC419" i="2"/>
  <c r="BC418" i="2"/>
  <c r="BC417" i="2"/>
  <c r="BC416" i="2"/>
  <c r="BC415" i="2"/>
  <c r="BC414" i="2"/>
  <c r="BC413" i="2"/>
  <c r="BC412" i="2"/>
  <c r="BC411" i="2"/>
  <c r="BC410" i="2"/>
  <c r="BC409" i="2"/>
  <c r="BC408" i="2"/>
  <c r="BC407" i="2"/>
  <c r="BC406" i="2"/>
  <c r="BC405" i="2"/>
  <c r="BC404" i="2"/>
  <c r="BC403" i="2"/>
  <c r="BC402" i="2"/>
  <c r="BC401" i="2"/>
  <c r="BC400" i="2"/>
  <c r="BC399" i="2"/>
  <c r="BC398" i="2"/>
  <c r="BC397" i="2"/>
  <c r="BC396" i="2"/>
  <c r="BC395" i="2"/>
  <c r="BC394" i="2"/>
  <c r="BC393" i="2"/>
  <c r="BC392" i="2"/>
  <c r="BC391" i="2"/>
  <c r="BC390" i="2"/>
  <c r="BC389" i="2"/>
  <c r="BC388" i="2"/>
  <c r="BC387" i="2"/>
  <c r="BC386" i="2"/>
  <c r="BC385" i="2"/>
  <c r="BC384" i="2"/>
  <c r="BC383" i="2"/>
  <c r="BC382" i="2"/>
  <c r="BC381" i="2"/>
  <c r="BC380" i="2"/>
  <c r="BC379" i="2"/>
  <c r="BC378" i="2"/>
  <c r="BC377" i="2"/>
  <c r="BC376" i="2"/>
  <c r="BC375" i="2"/>
  <c r="BC374" i="2"/>
  <c r="BC373" i="2"/>
  <c r="BC372" i="2"/>
  <c r="BC371" i="2"/>
  <c r="BC370" i="2"/>
  <c r="BC369" i="2"/>
  <c r="BC368" i="2"/>
  <c r="BC367" i="2"/>
  <c r="BC366" i="2"/>
  <c r="BC365" i="2"/>
  <c r="BC364" i="2"/>
  <c r="BC363" i="2"/>
  <c r="BC362" i="2"/>
  <c r="BC361" i="2"/>
  <c r="BC360" i="2"/>
  <c r="BC359" i="2"/>
  <c r="BC358" i="2"/>
  <c r="BC357" i="2"/>
  <c r="BC356" i="2"/>
  <c r="BC355" i="2"/>
  <c r="BC354" i="2"/>
  <c r="BC353" i="2"/>
  <c r="BC352" i="2"/>
  <c r="BC351" i="2"/>
  <c r="BC350" i="2"/>
  <c r="BC349" i="2"/>
  <c r="BC348" i="2"/>
  <c r="BC347" i="2"/>
  <c r="BC346" i="2"/>
  <c r="BC345" i="2"/>
  <c r="BC344" i="2"/>
  <c r="BC343" i="2"/>
  <c r="BC342" i="2"/>
  <c r="BC341" i="2"/>
  <c r="BC340" i="2"/>
  <c r="BC339" i="2"/>
  <c r="BC338" i="2"/>
  <c r="BC337" i="2"/>
  <c r="BC336" i="2"/>
  <c r="BC335" i="2"/>
  <c r="BC334" i="2"/>
  <c r="BC333" i="2"/>
  <c r="BC332" i="2"/>
  <c r="BC331" i="2"/>
  <c r="BC330" i="2"/>
  <c r="BC329" i="2"/>
  <c r="BC328" i="2"/>
  <c r="BC327" i="2"/>
  <c r="BC326" i="2"/>
  <c r="BC325" i="2"/>
  <c r="BC324" i="2"/>
  <c r="BC323" i="2"/>
  <c r="BC322" i="2"/>
  <c r="BC321" i="2"/>
  <c r="BC320" i="2"/>
  <c r="BC319" i="2"/>
  <c r="BC318" i="2"/>
  <c r="BC317" i="2"/>
  <c r="BC316" i="2"/>
  <c r="BC315" i="2"/>
  <c r="BC314" i="2"/>
  <c r="BC313" i="2"/>
  <c r="BC312" i="2"/>
  <c r="BC311" i="2"/>
  <c r="BC310" i="2"/>
  <c r="BC309" i="2"/>
  <c r="BC308" i="2"/>
  <c r="BC307" i="2"/>
  <c r="BC306" i="2"/>
  <c r="BC305" i="2"/>
  <c r="BC304" i="2"/>
  <c r="BC303" i="2"/>
  <c r="BC302" i="2"/>
  <c r="BC301" i="2"/>
  <c r="BC300" i="2"/>
  <c r="BC299" i="2"/>
  <c r="BC298" i="2"/>
  <c r="BC297" i="2"/>
  <c r="BC296" i="2"/>
  <c r="BC295" i="2"/>
  <c r="BC294" i="2"/>
  <c r="BC293" i="2"/>
  <c r="BC292" i="2"/>
  <c r="BC291" i="2"/>
  <c r="BC290" i="2"/>
  <c r="BC289" i="2"/>
  <c r="BC288" i="2"/>
  <c r="BC287" i="2"/>
  <c r="BC286" i="2"/>
  <c r="BC285" i="2"/>
  <c r="BC284" i="2"/>
  <c r="BC283" i="2"/>
  <c r="BC282" i="2"/>
  <c r="BC281" i="2"/>
  <c r="BC280" i="2"/>
  <c r="BC279" i="2"/>
  <c r="BC278" i="2"/>
  <c r="BC277" i="2"/>
  <c r="BC276" i="2"/>
  <c r="BC275" i="2"/>
  <c r="BC274" i="2"/>
  <c r="BC273" i="2"/>
  <c r="BC272" i="2"/>
  <c r="BC271" i="2"/>
  <c r="BC270" i="2"/>
  <c r="BC269" i="2"/>
  <c r="BC268" i="2"/>
  <c r="BC267" i="2"/>
  <c r="BC266" i="2"/>
  <c r="BC265" i="2"/>
  <c r="BC264" i="2"/>
  <c r="BC263" i="2"/>
  <c r="BC262" i="2"/>
  <c r="BC261" i="2"/>
  <c r="BC260" i="2"/>
  <c r="BC259" i="2"/>
  <c r="BC258" i="2"/>
  <c r="BC257" i="2"/>
  <c r="BC256" i="2"/>
  <c r="BC255" i="2"/>
  <c r="BC254" i="2"/>
  <c r="BC253" i="2"/>
  <c r="BC252" i="2"/>
  <c r="BC251" i="2"/>
  <c r="BC250" i="2"/>
  <c r="BC249" i="2"/>
  <c r="BC248" i="2"/>
  <c r="BC247" i="2"/>
  <c r="BC246" i="2"/>
  <c r="BC245" i="2"/>
  <c r="BC244" i="2"/>
  <c r="BC243" i="2"/>
  <c r="BC242" i="2"/>
  <c r="BC241" i="2"/>
  <c r="BC240" i="2"/>
  <c r="BC239" i="2"/>
  <c r="BC238" i="2"/>
  <c r="BC237" i="2"/>
  <c r="BC236" i="2"/>
  <c r="BC235" i="2"/>
  <c r="BC234" i="2"/>
  <c r="BC233" i="2"/>
  <c r="BC232" i="2"/>
  <c r="BC231" i="2"/>
  <c r="BC230" i="2"/>
  <c r="BC229" i="2"/>
  <c r="BC228" i="2"/>
  <c r="BC227" i="2"/>
  <c r="BC226" i="2"/>
  <c r="BC225" i="2"/>
  <c r="BC224" i="2"/>
  <c r="BC223" i="2"/>
  <c r="BC222" i="2"/>
  <c r="BC221" i="2"/>
  <c r="BC220" i="2"/>
  <c r="BC219" i="2"/>
  <c r="BC218" i="2"/>
  <c r="BC217" i="2"/>
  <c r="BC216" i="2"/>
  <c r="BC215" i="2"/>
  <c r="BC214" i="2"/>
  <c r="BC213" i="2"/>
  <c r="BC212" i="2"/>
  <c r="BC211" i="2"/>
  <c r="BC210" i="2"/>
  <c r="BC209" i="2"/>
  <c r="BC208" i="2"/>
  <c r="BC207" i="2"/>
  <c r="BC206" i="2"/>
  <c r="BC205" i="2"/>
  <c r="BC204" i="2"/>
  <c r="BC203" i="2"/>
  <c r="BC202" i="2"/>
  <c r="BC201" i="2"/>
  <c r="BC200" i="2"/>
  <c r="BC199" i="2"/>
  <c r="BC198" i="2"/>
  <c r="BC197" i="2"/>
  <c r="BC196" i="2"/>
  <c r="BC195" i="2"/>
  <c r="BC194" i="2"/>
  <c r="BC193" i="2"/>
  <c r="BC192" i="2"/>
  <c r="BC191" i="2"/>
  <c r="BC190" i="2"/>
  <c r="BC189" i="2"/>
  <c r="BC188" i="2"/>
  <c r="BC187" i="2"/>
  <c r="BC186" i="2"/>
  <c r="BC185" i="2"/>
  <c r="BC184" i="2"/>
  <c r="BC183" i="2"/>
  <c r="BC182" i="2"/>
  <c r="BC181" i="2"/>
  <c r="BC180" i="2"/>
  <c r="BC179" i="2"/>
  <c r="BC178" i="2"/>
  <c r="BC177" i="2"/>
  <c r="BC176" i="2"/>
  <c r="BC175" i="2"/>
  <c r="BC174" i="2"/>
  <c r="BC173" i="2"/>
  <c r="BC172" i="2"/>
  <c r="BC171" i="2"/>
  <c r="BC170" i="2"/>
  <c r="BC169" i="2"/>
  <c r="BC168" i="2"/>
  <c r="BC167" i="2"/>
  <c r="BC166" i="2"/>
  <c r="BC165" i="2"/>
  <c r="BC164" i="2"/>
  <c r="BC163" i="2"/>
  <c r="BC162" i="2"/>
  <c r="BC161" i="2"/>
  <c r="BC160" i="2"/>
  <c r="BC159" i="2"/>
  <c r="BC158" i="2"/>
  <c r="BC157" i="2"/>
  <c r="BC156" i="2"/>
  <c r="BC155" i="2"/>
  <c r="BC154" i="2"/>
  <c r="BC153" i="2"/>
  <c r="BC152" i="2"/>
  <c r="BC151" i="2"/>
  <c r="BC150" i="2"/>
  <c r="BC149" i="2"/>
  <c r="BC148" i="2"/>
  <c r="BC147" i="2"/>
  <c r="BC146" i="2"/>
  <c r="BC145" i="2"/>
  <c r="BC144" i="2"/>
  <c r="BC143" i="2"/>
  <c r="BC142" i="2"/>
  <c r="BC141" i="2"/>
  <c r="BC140" i="2"/>
  <c r="BC139" i="2"/>
  <c r="BC138" i="2"/>
  <c r="BC137" i="2"/>
  <c r="BC136" i="2"/>
  <c r="BC135" i="2"/>
  <c r="BC134" i="2"/>
  <c r="BC133" i="2"/>
  <c r="BC132" i="2"/>
  <c r="BC131" i="2"/>
  <c r="BC130" i="2"/>
  <c r="BC129" i="2"/>
  <c r="BC128" i="2"/>
  <c r="BC127" i="2"/>
  <c r="BC126" i="2"/>
  <c r="BC125" i="2"/>
  <c r="BC124" i="2"/>
  <c r="BC123" i="2"/>
  <c r="BC122" i="2"/>
  <c r="BC121" i="2"/>
  <c r="BC120" i="2"/>
  <c r="BC119" i="2"/>
  <c r="BC118" i="2"/>
  <c r="BC117" i="2"/>
  <c r="BC116" i="2"/>
  <c r="BC115" i="2"/>
  <c r="BC114" i="2"/>
  <c r="BC113" i="2"/>
  <c r="BC112" i="2"/>
  <c r="BC111" i="2"/>
  <c r="BC110" i="2"/>
  <c r="BC109" i="2"/>
  <c r="BC108" i="2"/>
  <c r="BC107" i="2"/>
  <c r="BC106" i="2"/>
  <c r="BC105" i="2"/>
  <c r="BC104" i="2"/>
  <c r="BC103" i="2"/>
  <c r="BC102" i="2"/>
  <c r="BC101" i="2"/>
  <c r="BC100" i="2"/>
  <c r="BC99" i="2"/>
  <c r="BC98" i="2"/>
  <c r="BC97" i="2"/>
  <c r="BC96" i="2"/>
  <c r="BC95" i="2"/>
  <c r="BC94" i="2"/>
  <c r="BC93" i="2"/>
  <c r="BC92" i="2"/>
  <c r="BC91" i="2"/>
  <c r="BC90" i="2"/>
  <c r="BC89" i="2"/>
  <c r="BC88" i="2"/>
  <c r="BC87" i="2"/>
  <c r="BC86" i="2"/>
  <c r="BC85" i="2"/>
  <c r="BC84" i="2"/>
  <c r="BC83" i="2"/>
  <c r="BC82" i="2"/>
  <c r="BC81" i="2"/>
  <c r="BC80" i="2"/>
  <c r="BC79" i="2"/>
  <c r="BC78" i="2"/>
  <c r="BC77" i="2"/>
  <c r="BC76" i="2"/>
  <c r="BC75" i="2"/>
  <c r="BC74" i="2"/>
  <c r="BC73" i="2"/>
  <c r="BC72" i="2"/>
  <c r="BC71" i="2"/>
  <c r="BC70" i="2"/>
  <c r="BC69" i="2"/>
  <c r="BC68" i="2"/>
  <c r="BC67" i="2"/>
  <c r="BC66" i="2"/>
  <c r="BC65" i="2"/>
  <c r="BC64" i="2"/>
  <c r="BC63" i="2"/>
  <c r="BC62" i="2"/>
  <c r="BC61" i="2"/>
  <c r="BC60" i="2"/>
  <c r="BC59" i="2"/>
  <c r="BC58" i="2"/>
  <c r="BC57" i="2"/>
  <c r="BC56" i="2"/>
  <c r="BC55" i="2"/>
  <c r="BC54" i="2"/>
  <c r="BC53" i="2"/>
  <c r="BC52" i="2"/>
  <c r="BC51" i="2"/>
  <c r="BC50" i="2"/>
  <c r="BC49" i="2"/>
  <c r="BC48" i="2"/>
  <c r="BC47" i="2"/>
  <c r="BC46" i="2"/>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A24" i="8"/>
  <c r="A23" i="8"/>
  <c r="A22" i="8"/>
  <c r="A21" i="8"/>
  <c r="A20" i="8"/>
  <c r="C21" i="8"/>
  <c r="D21" i="8"/>
  <c r="E21" i="8"/>
  <c r="C22" i="8"/>
  <c r="D22" i="8"/>
  <c r="E22" i="8"/>
  <c r="C23" i="8"/>
  <c r="D23" i="8"/>
  <c r="E23" i="8"/>
  <c r="C24" i="8"/>
  <c r="D24" i="8"/>
  <c r="E24" i="8"/>
  <c r="B21" i="8"/>
  <c r="B22" i="8"/>
  <c r="B23" i="8"/>
  <c r="B24" i="8"/>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 i="11"/>
  <c r="F25" i="11"/>
  <c r="E25" i="11"/>
  <c r="D25" i="11"/>
  <c r="C25" i="11"/>
  <c r="B25" i="11"/>
  <c r="A25" i="11"/>
  <c r="F24" i="11"/>
  <c r="E24" i="11"/>
  <c r="D24" i="11"/>
  <c r="C24" i="11"/>
  <c r="B24" i="11"/>
  <c r="F23" i="11"/>
  <c r="E23" i="11"/>
  <c r="D23" i="11"/>
  <c r="C23" i="11"/>
  <c r="B23" i="11"/>
  <c r="F22" i="11"/>
  <c r="E22" i="11"/>
  <c r="D22" i="11"/>
  <c r="C22" i="11"/>
  <c r="B22" i="11"/>
  <c r="F21" i="11"/>
  <c r="E21" i="11"/>
  <c r="D21" i="11"/>
  <c r="C21" i="11"/>
  <c r="B21" i="11"/>
  <c r="F20" i="11"/>
  <c r="E20" i="11"/>
  <c r="D20" i="11"/>
  <c r="A20" i="1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E25" i="5"/>
  <c r="D25" i="5"/>
  <c r="C25" i="5"/>
  <c r="B25" i="5"/>
  <c r="A25" i="5"/>
  <c r="E24" i="5"/>
  <c r="D24" i="5"/>
  <c r="C24" i="5"/>
  <c r="B24" i="5"/>
  <c r="A24" i="5"/>
  <c r="E23" i="5"/>
  <c r="D23" i="5"/>
  <c r="C23" i="5"/>
  <c r="B23" i="5"/>
  <c r="A23" i="5"/>
  <c r="E22" i="5"/>
  <c r="D22" i="5"/>
  <c r="C22" i="5"/>
  <c r="B22" i="5"/>
  <c r="A22" i="5"/>
  <c r="E21" i="5"/>
  <c r="D21" i="5"/>
  <c r="C21" i="5"/>
  <c r="B21" i="5"/>
  <c r="A21" i="5"/>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B63" i="5" l="1"/>
  <c r="AD63" i="5"/>
  <c r="AE61" i="5"/>
  <c r="C61" i="5"/>
  <c r="C63" i="5"/>
  <c r="AE63" i="5"/>
  <c r="D61" i="5"/>
  <c r="AF61" i="5"/>
  <c r="AF63" i="5"/>
  <c r="D63" i="5"/>
  <c r="AG61" i="5"/>
  <c r="E61" i="5"/>
  <c r="E63" i="5"/>
  <c r="AG63" i="5"/>
  <c r="B62" i="5"/>
  <c r="AD62" i="5"/>
  <c r="C60" i="5"/>
  <c r="AE60" i="5"/>
  <c r="AE64" i="5"/>
  <c r="C64" i="5"/>
  <c r="D60" i="5"/>
  <c r="AF60" i="5"/>
  <c r="D62" i="5"/>
  <c r="AF62" i="5"/>
  <c r="AF64" i="5"/>
  <c r="D64" i="5"/>
  <c r="B60" i="5"/>
  <c r="AD60" i="5"/>
  <c r="AD64" i="5"/>
  <c r="B64" i="5"/>
  <c r="AE62" i="5"/>
  <c r="C62" i="5"/>
  <c r="E60" i="5"/>
  <c r="AG60" i="5"/>
  <c r="E62" i="5"/>
  <c r="AG62" i="5"/>
  <c r="AG64" i="5"/>
  <c r="E64" i="5"/>
  <c r="AD61" i="5"/>
  <c r="B61" i="5"/>
  <c r="A24" i="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<sst xmlns="http://schemas.openxmlformats.org/spreadsheetml/2006/main" count="7343" uniqueCount="1398">
  <si>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</si>
  <si>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</si>
  <si>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</si>
  <si>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</si>
  <si>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</si>
  <si>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</si>
  <si>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</si>
  <si>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</si>
  <si>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</si>
  <si>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</si>
  <si>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</si>
  <si>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</si>
  <si>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</si>
  <si>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</si>
  <si>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</si>
  <si>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</si>
  <si>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</si>
  <si>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</si>
  <si>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</si>
  <si>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</si>
  <si>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</si>
  <si>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</si>
  <si>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</si>
  <si>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</si>
  <si>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</si>
  <si>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</si>
  <si>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</si>
  <si>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</si>
  <si>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</si>
  <si>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</si>
  <si>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</si>
  <si>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</si>
  <si>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</si>
  <si>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</si>
  <si>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</si>
  <si>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</si>
  <si>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</si>
  <si>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</si>
  <si>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</si>
  <si>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</si>
  <si>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</si>
  <si>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</si>
  <si>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</si>
  <si>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</si>
  <si>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</si>
  <si>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</si>
  <si>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</si>
  <si>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</si>
  <si>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</si>
  <si>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</si>
  <si>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</si>
  <si>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</si>
  <si>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</si>
  <si>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</si>
  <si>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</si>
  <si>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</si>
  <si>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</si>
  <si>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</si>
  <si>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</si>
  <si>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</si>
  <si>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</si>
  <si>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</si>
  <si>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</si>
  <si>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</si>
  <si>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</si>
  <si>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</si>
  <si>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</si>
  <si>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</si>
  <si>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</si>
  <si>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</si>
  <si>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</si>
  <si>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</si>
  <si>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</si>
  <si>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</si>
  <si>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</si>
  <si>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</si>
  <si>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</si>
  <si>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</si>
  <si>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</si>
  <si>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</si>
  <si>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</si>
  <si>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</si>
  <si>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</si>
  <si>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</si>
  <si>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</si>
  <si>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</si>
  <si>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istree_exp1_scaling_threads/scaling_threads/step10001.txt</t>
  </si>
  <si>
    <t>istree_exp1_scaling_threads/scaling_threads/step10002.txt</t>
  </si>
  <si>
    <t>istree_exp1_scaling_threads/scaling_threads/step10003.txt</t>
  </si>
  <si>
    <t>istree_exp1_scaling_threads/scaling_threads/step10004.txt</t>
  </si>
  <si>
    <t>istree_exp1_scaling_threads/scaling_threads/step10005.txt</t>
  </si>
  <si>
    <t>istree_exp1_scaling_threads/scaling_threads/step10006.txt</t>
  </si>
  <si>
    <t>istree_exp1_scaling_threads/scaling_threads/step10007.txt</t>
  </si>
  <si>
    <t>istree_exp1_scaling_threads/scaling_threads/step10008.txt</t>
  </si>
  <si>
    <t>istree_exp1_scaling_threads/scaling_threads/step10009.txt</t>
  </si>
  <si>
    <t>istree_exp1_scaling_threads/scaling_threads/step10010.txt</t>
  </si>
  <si>
    <t>istree_exp1_scaling_threads/scaling_threads/step10011.txt</t>
  </si>
  <si>
    <t>istree_exp1_scaling_threads/scaling_threads/step10012.txt</t>
  </si>
  <si>
    <t>istree_exp1_scaling_threads/scaling_threads/step10013.txt</t>
  </si>
  <si>
    <t>istree_exp1_scaling_threads/scaling_threads/step10014.txt</t>
  </si>
  <si>
    <t>istree_exp1_scaling_threads/scaling_threads/step10015.txt</t>
  </si>
  <si>
    <t>istree_exp1_scaling_threads/scaling_threads/step10016.txt</t>
  </si>
  <si>
    <t>istree_exp1_scaling_threads/scaling_threads/step10017.txt</t>
  </si>
  <si>
    <t>istree_exp1_scaling_threads/scaling_threads/step10018.txt</t>
  </si>
  <si>
    <t>istree_exp1_scaling_threads/scaling_threads/step10019.txt</t>
  </si>
  <si>
    <t>istree_exp1_scaling_threads/scaling_threads/step10020.txt</t>
  </si>
  <si>
    <t>istree_exp1_scaling_threads/scaling_threads/step10021.txt</t>
  </si>
  <si>
    <t>istree_exp1_scaling_threads/scaling_threads/step10022.txt</t>
  </si>
  <si>
    <t>istree_exp1_scaling_threads/scaling_threads/step10023.txt</t>
  </si>
  <si>
    <t>istree_exp1_scaling_threads/scaling_threads/step10024.txt</t>
  </si>
  <si>
    <t>istree_exp1_scaling_threads/scaling_threads/step10025.txt</t>
  </si>
  <si>
    <t>istree_exp1_scaling_threads/scaling_threads/step10026.txt</t>
  </si>
  <si>
    <t>istree_exp1_scaling_threads/scaling_threads/step10027.txt</t>
  </si>
  <si>
    <t>istree_exp1_scaling_threads/scaling_threads/step10028.txt</t>
  </si>
  <si>
    <t>istree_exp1_scaling_threads/scaling_threads/step10029.txt</t>
  </si>
  <si>
    <t>istree_exp1_scaling_threads/scaling_threads/step10030.txt</t>
  </si>
  <si>
    <t>istree_exp1_scaling_threads/scaling_threads/step10031.txt</t>
  </si>
  <si>
    <t>istree_exp1_scaling_threads/scaling_threads/step10032.txt</t>
  </si>
  <si>
    <t>istree_exp1_scaling_threads/scaling_threads/step10033.txt</t>
  </si>
  <si>
    <t>istree_exp1_scaling_threads/scaling_threads/step10034.txt</t>
  </si>
  <si>
    <t>istree_exp1_scaling_threads/scaling_threads/step10035.txt</t>
  </si>
  <si>
    <t>istree_exp1_scaling_threads/scaling_threads/step10036.txt</t>
  </si>
  <si>
    <t>istree_exp1_scaling_threads/scaling_threads/step10037.txt</t>
  </si>
  <si>
    <t>istree_exp1_scaling_threads/scaling_threads/step10038.txt</t>
  </si>
  <si>
    <t>istree_exp1_scaling_threads/scaling_threads/step10039.txt</t>
  </si>
  <si>
    <t>istree_exp1_scaling_threads/scaling_threads/step10040.txt</t>
  </si>
  <si>
    <t>istree_exp1_scaling_threads/scaling_threads/step10041.txt</t>
  </si>
  <si>
    <t>istree_exp1_scaling_threads/scaling_threads/step10042.txt</t>
  </si>
  <si>
    <t>istree_exp1_scaling_threads/scaling_threads/step10043.txt</t>
  </si>
  <si>
    <t>istree_exp1_scaling_threads/scaling_threads/step10044.txt</t>
  </si>
  <si>
    <t>istree_exp1_scaling_threads/scaling_threads/step10045.txt</t>
  </si>
  <si>
    <t>istree_exp1_scaling_threads/scaling_threads/step10046.txt</t>
  </si>
  <si>
    <t>istree_exp1_scaling_threads/scaling_threads/step10047.txt</t>
  </si>
  <si>
    <t>istree_exp1_scaling_threads/scaling_threads/step10048.txt</t>
  </si>
  <si>
    <t>istree_exp1_scaling_threads/scaling_threads/step10049.txt</t>
  </si>
  <si>
    <t>istree_exp1_scaling_threads/scaling_threads/step10050.txt</t>
  </si>
  <si>
    <t>istree_exp1_scaling_threads/scaling_threads/step10051.txt</t>
  </si>
  <si>
    <t>istree_exp1_scaling_threads/scaling_threads/step10052.txt</t>
  </si>
  <si>
    <t>istree_exp1_scaling_threads/scaling_threads/step10053.txt</t>
  </si>
  <si>
    <t>istree_exp1_scaling_threads/scaling_threads/step10054.txt</t>
  </si>
  <si>
    <t>istree_exp1_scaling_threads/scaling_threads/step10055.txt</t>
  </si>
  <si>
    <t>istree_exp1_scaling_threads/scaling_threads/step10056.txt</t>
  </si>
  <si>
    <t>istree_exp1_scaling_threads/scaling_threads/step10057.txt</t>
  </si>
  <si>
    <t>istree_exp1_scaling_threads/scaling_threads/step10058.txt</t>
  </si>
  <si>
    <t>istree_exp1_scaling_threads/scaling_threads/step10059.txt</t>
  </si>
  <si>
    <t>istree_exp1_scaling_threads/scaling_threads/step10060.txt</t>
  </si>
  <si>
    <t>istree_exp1_scaling_threads/scaling_threads/step10061.txt</t>
  </si>
  <si>
    <t>istree_exp1_scaling_threads/scaling_threads/step10062.txt</t>
  </si>
  <si>
    <t>istree_exp1_scaling_threads/scaling_threads/step10063.txt</t>
  </si>
  <si>
    <t>istree_exp1_scaling_threads/scaling_threads/step10064.txt</t>
  </si>
  <si>
    <t>istree_exp1_scaling_threads/scaling_threads/step10065.txt</t>
  </si>
  <si>
    <t>istree_exp1_scaling_threads/scaling_threads/step10066.txt</t>
  </si>
  <si>
    <t>istree_exp1_scaling_threads/scaling_threads/step10067.txt</t>
  </si>
  <si>
    <t>istree_exp1_scaling_threads/scaling_threads/step10068.txt</t>
  </si>
  <si>
    <t>istree_exp1_scaling_threads/scaling_threads/step10069.txt</t>
  </si>
  <si>
    <t>istree_exp1_scaling_threads/scaling_threads/step10070.txt</t>
  </si>
  <si>
    <t>istree_exp1_scaling_threads/scaling_threads/step10071.txt</t>
  </si>
  <si>
    <t>istree_exp1_scaling_threads/scaling_threads/step10072.txt</t>
  </si>
  <si>
    <t>istree_exp1_scaling_threads/scaling_threads/step10073.txt</t>
  </si>
  <si>
    <t>istree_exp1_scaling_threads/scaling_threads/step10074.txt</t>
  </si>
  <si>
    <t>istree_exp1_scaling_threads/scaling_threads/step10075.txt</t>
  </si>
  <si>
    <t>istree_exp1_scaling_threads/scaling_threads/step10076.txt</t>
  </si>
  <si>
    <t>istree_exp1_scaling_threads/scaling_threads/step10077.txt</t>
  </si>
  <si>
    <t>istree_exp1_scaling_threads/scaling_threads/step10078.txt</t>
  </si>
  <si>
    <t>istree_exp1_scaling_threads/scaling_threads/step10079.txt</t>
  </si>
  <si>
    <t>istree_exp1_scaling_threads/scaling_threads/step10080.txt</t>
  </si>
  <si>
    <t>istree_exp1_scaling_threads/scaling_threads/step10081.txt</t>
  </si>
  <si>
    <t>istree_exp1_scaling_threads/scaling_threads/step10082.txt</t>
  </si>
  <si>
    <t>istree_exp1_scaling_threads/scaling_threads/step10083.txt</t>
  </si>
  <si>
    <t>istree_exp1_scaling_threads/scaling_threads/step10084.txt</t>
  </si>
  <si>
    <t>istree_exp1_scaling_threads/scaling_threads/step10085.txt</t>
  </si>
  <si>
    <t>istree_exp1_scaling_threads/scaling_threads/step10086.txt</t>
  </si>
  <si>
    <t>istree_exp1_scaling_threads/scaling_threads/step10087.txt</t>
  </si>
  <si>
    <t>istree_exp1_scaling_threads/scaling_threads/step10088.txt</t>
  </si>
  <si>
    <t>istree_exp1_scaling_threads/scaling_threads/step10089.txt</t>
  </si>
  <si>
    <t>istree_exp1_scaling_threads/scaling_threads/step10090.txt</t>
  </si>
  <si>
    <t>istree_exp1_scaling_threads/scaling_threads/step10091.txt</t>
  </si>
  <si>
    <t>istree_exp1_scaling_threads/scaling_threads/step10092.txt</t>
  </si>
  <si>
    <t>istree_exp1_scaling_threads/scaling_threads/step10093.txt</t>
  </si>
  <si>
    <t>istree_exp1_scaling_threads/scaling_threads/step10094.txt</t>
  </si>
  <si>
    <t>istree_exp1_scaling_threads/scaling_threads/step10095.txt</t>
  </si>
  <si>
    <t>istree_exp1_scaling_threads/scaling_threads/step10096.txt</t>
  </si>
  <si>
    <t>istree_exp1_scaling_threads/scaling_threads/step10097.txt</t>
  </si>
  <si>
    <t>istree_exp1_scaling_threads/scaling_threads/step10098.txt</t>
  </si>
  <si>
    <t>istree_exp1_scaling_threads/scaling_threads/step10099.txt</t>
  </si>
  <si>
    <t>istree_exp1_scaling_threads/scaling_threads/step10100.txt</t>
  </si>
  <si>
    <t>istree_exp1_scaling_threads/scaling_threads/step10101.txt</t>
  </si>
  <si>
    <t>istree_exp1_scaling_threads/scaling_threads/step10102.txt</t>
  </si>
  <si>
    <t>istree_exp1_scaling_threads/scaling_threads/step10103.txt</t>
  </si>
  <si>
    <t>istree_exp1_scaling_threads/scaling_threads/step10104.txt</t>
  </si>
  <si>
    <t>istree_exp1_scaling_threads/scaling_threads/step10105.txt</t>
  </si>
  <si>
    <t>istree_exp1_scaling_threads/scaling_threads/step10106.txt</t>
  </si>
  <si>
    <t>istree_exp1_scaling_threads/scaling_threads/step10107.txt</t>
  </si>
  <si>
    <t>istree_exp1_scaling_threads/scaling_threads/step10108.txt</t>
  </si>
  <si>
    <t>istree_exp1_scaling_threads/scaling_threads/step10109.txt</t>
  </si>
  <si>
    <t>istree_exp1_scaling_threads/scaling_threads/step10110.txt</t>
  </si>
  <si>
    <t>istree_exp1_scaling_threads/scaling_threads/step10111.txt</t>
  </si>
  <si>
    <t>istree_exp1_scaling_threads/scaling_threads/step10112.txt</t>
  </si>
  <si>
    <t>istree_exp1_scaling_threads/scaling_threads/step10113.txt</t>
  </si>
  <si>
    <t>istree_exp1_scaling_threads/scaling_threads/step10114.txt</t>
  </si>
  <si>
    <t>istree_exp1_scaling_threads/scaling_threads/step10115.txt</t>
  </si>
  <si>
    <t>istree_exp1_scaling_threads/scaling_threads/step10116.txt</t>
  </si>
  <si>
    <t>istree_exp1_scaling_threads/scaling_threads/step10117.txt</t>
  </si>
  <si>
    <t>istree_exp1_scaling_threads/scaling_threads/step10118.txt</t>
  </si>
  <si>
    <t>istree_exp1_scaling_threads/scaling_threads/step10119.txt</t>
  </si>
  <si>
    <t>istree_exp1_scaling_threads/scaling_threads/step10120.txt</t>
  </si>
  <si>
    <t>istree_exp1_scaling_threads/scaling_threads/step10121.txt</t>
  </si>
  <si>
    <t>istree_exp1_scaling_threads/scaling_threads/step10122.txt</t>
  </si>
  <si>
    <t>istree_exp1_scaling_threads/scaling_threads/step10123.txt</t>
  </si>
  <si>
    <t>istree_exp1_scaling_threads/scaling_threads/step10124.txt</t>
  </si>
  <si>
    <t>istree_exp1_scaling_threads/scaling_threads/step10125.txt</t>
  </si>
  <si>
    <t>istree_exp1_scaling_threads/scaling_threads/step10126.txt</t>
  </si>
  <si>
    <t>istree_exp1_scaling_threads/scaling_threads/step10127.txt</t>
  </si>
  <si>
    <t>istree_exp1_scaling_threads/scaling_threads/step10128.txt</t>
  </si>
  <si>
    <t>istree_exp1_scaling_threads/scaling_threads/step10129.txt</t>
  </si>
  <si>
    <t>istree_exp1_scaling_threads/scaling_threads/step10130.txt</t>
  </si>
  <si>
    <t>istree_exp1_scaling_threads/scaling_threads/step10131.txt</t>
  </si>
  <si>
    <t>istree_exp1_scaling_threads/scaling_threads/step10132.txt</t>
  </si>
  <si>
    <t>istree_exp1_scaling_threads/scaling_threads/step10133.txt</t>
  </si>
  <si>
    <t>istree_exp1_scaling_threads/scaling_threads/step10134.txt</t>
  </si>
  <si>
    <t>istree_exp1_scaling_threads/scaling_threads/step10135.txt</t>
  </si>
  <si>
    <t>istree_exp1_scaling_threads/scaling_threads/step10136.txt</t>
  </si>
  <si>
    <t>istree_exp1_scaling_threads/scaling_threads/step10137.txt</t>
  </si>
  <si>
    <t>istree_exp1_scaling_threads/scaling_threads/step10138.txt</t>
  </si>
  <si>
    <t>istree_exp1_scaling_threads/scaling_threads/step10139.txt</t>
  </si>
  <si>
    <t>istree_exp1_scaling_threads/scaling_threads/step10140.txt</t>
  </si>
  <si>
    <t>istree_exp1_scaling_threads/scaling_threads/step10141.txt</t>
  </si>
  <si>
    <t>istree_exp1_scaling_threads/scaling_threads/step10142.txt</t>
  </si>
  <si>
    <t>istree_exp1_scaling_threads/scaling_threads/step10143.txt</t>
  </si>
  <si>
    <t>istree_exp1_scaling_threads/scaling_threads/step10144.txt</t>
  </si>
  <si>
    <t>istree_exp1_scaling_threads/scaling_threads/step10145.txt</t>
  </si>
  <si>
    <t>istree_exp1_scaling_threads/scaling_threads/step10146.txt</t>
  </si>
  <si>
    <t>istree_exp1_scaling_threads/scaling_threads/step10147.txt</t>
  </si>
  <si>
    <t>istree_exp1_scaling_threads/scaling_threads/step10148.txt</t>
  </si>
  <si>
    <t>istree_exp1_scaling_threads/scaling_threads/step10149.txt</t>
  </si>
  <si>
    <t>istree_exp1_scaling_threads/scaling_threads/step10150.txt</t>
  </si>
  <si>
    <t>istree_exp1_scaling_threads/scaling_threads/step10151.txt</t>
  </si>
  <si>
    <t>istree_exp1_scaling_threads/scaling_threads/step10152.txt</t>
  </si>
  <si>
    <t>istree_exp1_scaling_threads/scaling_threads/step10153.txt</t>
  </si>
  <si>
    <t>istree_exp1_scaling_threads/scaling_threads/step10154.txt</t>
  </si>
  <si>
    <t>istree_exp1_scaling_threads/scaling_threads/step10155.txt</t>
  </si>
  <si>
    <t>istree_exp1_scaling_threads/scaling_threads/step10156.txt</t>
  </si>
  <si>
    <t>istree_exp1_scaling_threads/scaling_threads/step10157.txt</t>
  </si>
  <si>
    <t>istree_exp1_scaling_threads/scaling_threads/step10158.txt</t>
  </si>
  <si>
    <t>istree_exp1_scaling_threads/scaling_threads/step10159.txt</t>
  </si>
  <si>
    <t>istree_exp1_scaling_threads/scaling_threads/step10160.txt</t>
  </si>
  <si>
    <t>istree_exp1_scaling_threads/scaling_threads/step10161.txt</t>
  </si>
  <si>
    <t>istree_exp1_scaling_threads/scaling_threads/step10162.txt</t>
  </si>
  <si>
    <t>istree_exp1_scaling_threads/scaling_threads/step10163.txt</t>
  </si>
  <si>
    <t>istree_exp1_scaling_threads/scaling_threads/step10164.txt</t>
  </si>
  <si>
    <t>istree_exp1_scaling_threads/scaling_threads/step10165.txt</t>
  </si>
  <si>
    <t>istree_exp1_scaling_threads/scaling_threads/step10166.txt</t>
  </si>
  <si>
    <t>istree_exp1_scaling_threads/scaling_threads/step10167.txt</t>
  </si>
  <si>
    <t>istree_exp1_scaling_threads/scaling_threads/step10168.txt</t>
  </si>
  <si>
    <t>istree_exp1_scaling_threads/scaling_threads/step10169.txt</t>
  </si>
  <si>
    <t>istree_exp1_scaling_threads/scaling_threads/step10170.txt</t>
  </si>
  <si>
    <t>istree_exp1_scaling_threads/scaling_threads/step10171.txt</t>
  </si>
  <si>
    <t>istree_exp1_scaling_threads/scaling_threads/step10172.txt</t>
  </si>
  <si>
    <t>istree_exp1_scaling_threads/scaling_threads/step10173.txt</t>
  </si>
  <si>
    <t>istree_exp1_scaling_threads/scaling_threads/step10174.txt</t>
  </si>
  <si>
    <t>istree_exp1_scaling_threads/scaling_threads/step10175.txt</t>
  </si>
  <si>
    <t>istree_exp1_scaling_threads/scaling_threads/step10176.txt</t>
  </si>
  <si>
    <t>istree_exp1_scaling_threads/scaling_threads/step10177.txt</t>
  </si>
  <si>
    <t>istree_exp1_scaling_threads/scaling_threads/step10178.txt</t>
  </si>
  <si>
    <t>istree_exp1_scaling_threads/scaling_threads/step10179.txt</t>
  </si>
  <si>
    <t>istree_exp1_scaling_threads/scaling_threads/step10180.txt</t>
  </si>
  <si>
    <t>istree_exp1_scaling_threads/scaling_threads/step10181.txt</t>
  </si>
  <si>
    <t>istree_exp1_scaling_threads/scaling_threads/step10182.txt</t>
  </si>
  <si>
    <t>istree_exp1_scaling_threads/scaling_threads/step10183.txt</t>
  </si>
  <si>
    <t>istree_exp1_scaling_threads/scaling_threads/step10184.txt</t>
  </si>
  <si>
    <t>istree_exp1_scaling_threads/scaling_threads/step10185.txt</t>
  </si>
  <si>
    <t>istree_exp1_scaling_threads/scaling_threads/step10186.txt</t>
  </si>
  <si>
    <t>istree_exp1_scaling_threads/scaling_threads/step10187.txt</t>
  </si>
  <si>
    <t>istree_exp1_scaling_threads/scaling_threads/step10188.txt</t>
  </si>
  <si>
    <t>istree_exp1_scaling_threads/scaling_threads/step10189.txt</t>
  </si>
  <si>
    <t>istree_exp1_scaling_threads/scaling_threads/step10190.txt</t>
  </si>
  <si>
    <t>istree_exp1_scaling_threads/scaling_threads/step10191.txt</t>
  </si>
  <si>
    <t>istree_exp1_scaling_threads/scaling_threads/step10192.txt</t>
  </si>
  <si>
    <t>istree_exp1_scaling_threads/scaling_threads/step10193.txt</t>
  </si>
  <si>
    <t>istree_exp1_scaling_threads/scaling_threads/step10194.txt</t>
  </si>
  <si>
    <t>istree_exp1_scaling_threads/scaling_threads/step10195.txt</t>
  </si>
  <si>
    <t>istree_exp1_scaling_threads/scaling_threads/step10196.txt</t>
  </si>
  <si>
    <t>istree_exp1_scaling_threads/scaling_threads/step10197.txt</t>
  </si>
  <si>
    <t>istree_exp1_scaling_threads/scaling_threads/step10198.txt</t>
  </si>
  <si>
    <t>istree_exp1_scaling_threads/scaling_threads/step10199.txt</t>
  </si>
  <si>
    <t>istree_exp1_scaling_threads/scaling_threads/step10200.txt</t>
  </si>
  <si>
    <t>istree_exp1_scaling_threads/scaling_threads/step10201.txt</t>
  </si>
  <si>
    <t>istree_exp1_scaling_threads/scaling_threads/step10202.txt</t>
  </si>
  <si>
    <t>istree_exp1_scaling_threads/scaling_threads/step10203.txt</t>
  </si>
  <si>
    <t>istree_exp1_scaling_threads/scaling_threads/step10204.txt</t>
  </si>
  <si>
    <t>istree_exp1_scaling_threads/scaling_threads/step10205.txt</t>
  </si>
  <si>
    <t>istree_exp1_scaling_threads/scaling_threads/step10206.txt</t>
  </si>
  <si>
    <t>istree_exp1_scaling_threads/scaling_threads/step10207.txt</t>
  </si>
  <si>
    <t>istree_exp1_scaling_threads/scaling_threads/step10208.txt</t>
  </si>
  <si>
    <t>istree_exp1_scaling_threads/scaling_threads/step10209.txt</t>
  </si>
  <si>
    <t>istree_exp1_scaling_threads/scaling_threads/step10210.txt</t>
  </si>
  <si>
    <t>istree_exp1_scaling_threads/scaling_threads/step10211.txt</t>
  </si>
  <si>
    <t>istree_exp1_scaling_threads/scaling_threads/step10212.txt</t>
  </si>
  <si>
    <t>istree_exp1_scaling_threads/scaling_threads/step10213.txt</t>
  </si>
  <si>
    <t>istree_exp1_scaling_threads/scaling_threads/step10214.txt</t>
  </si>
  <si>
    <t>istree_exp1_scaling_threads/scaling_threads/step10215.txt</t>
  </si>
  <si>
    <t>istree_exp1_scaling_threads/scaling_threads/step10216.txt</t>
  </si>
  <si>
    <t>istree_exp1_scaling_threads/scaling_threads/step10217.txt</t>
  </si>
  <si>
    <t>istree_exp1_scaling_threads/scaling_threads/step10218.txt</t>
  </si>
  <si>
    <t>istree_exp1_scaling_threads/scaling_threads/step10219.txt</t>
  </si>
  <si>
    <t>istree_exp1_scaling_threads/scaling_threads/step10220.txt</t>
  </si>
  <si>
    <t>istree_exp1_scaling_threads/scaling_threads/step10221.txt</t>
  </si>
  <si>
    <t>istree_exp1_scaling_threads/scaling_threads/step10222.txt</t>
  </si>
  <si>
    <t>istree_exp1_scaling_threads/scaling_threads/step10223.txt</t>
  </si>
  <si>
    <t>istree_exp1_scaling_threads/scaling_threads/step10224.txt</t>
  </si>
  <si>
    <t>istree_exp1_scaling_threads/scaling_threads/step10225.txt</t>
  </si>
  <si>
    <t>istree_exp1_scaling_threads/scaling_threads/step10226.txt</t>
  </si>
  <si>
    <t>istree_exp1_scaling_threads/scaling_threads/step10227.txt</t>
  </si>
  <si>
    <t>istree_exp1_scaling_threads/scaling_threads/step10228.txt</t>
  </si>
  <si>
    <t>istree_exp1_scaling_threads/scaling_threads/step10229.txt</t>
  </si>
  <si>
    <t>istree_exp1_scaling_threads/scaling_threads/step10230.txt</t>
  </si>
  <si>
    <t>istree_exp1_scaling_threads/scaling_threads/step10231.txt</t>
  </si>
  <si>
    <t>istree_exp1_scaling_threads/scaling_threads/step10232.txt</t>
  </si>
  <si>
    <t>istree_exp1_scaling_threads/scaling_threads/step10233.txt</t>
  </si>
  <si>
    <t>istree_exp1_scaling_threads/scaling_threads/step10234.txt</t>
  </si>
  <si>
    <t>istree_exp1_scaling_threads/scaling_threads/step10235.txt</t>
  </si>
  <si>
    <t>istree_exp1_scaling_threads/scaling_threads/step10236.txt</t>
  </si>
  <si>
    <t>istree_exp1_scaling_threads/scaling_threads/step10237.txt</t>
  </si>
  <si>
    <t>istree_exp1_scaling_threads/scaling_threads/step10238.txt</t>
  </si>
  <si>
    <t>istree_exp1_scaling_threads/scaling_threads/step10239.txt</t>
  </si>
  <si>
    <t>istree_exp1_scaling_threads/scaling_threads/step10240.txt</t>
  </si>
  <si>
    <t>istree_exp1_scaling_threads/scaling_threads/step10241.txt</t>
  </si>
  <si>
    <t>istree_exp1_scaling_threads/scaling_threads/step10242.txt</t>
  </si>
  <si>
    <t>istree_exp1_scaling_threads/scaling_threads/step10243.txt</t>
  </si>
  <si>
    <t>istree_exp1_scaling_threads/scaling_threads/step10244.txt</t>
  </si>
  <si>
    <t>istree_exp1_scaling_threads/scaling_threads/step10245.txt</t>
  </si>
  <si>
    <t>istree_exp1_scaling_threads/scaling_threads/step10246.txt</t>
  </si>
  <si>
    <t>istree_exp1_scaling_threads/scaling_threads/step10247.txt</t>
  </si>
  <si>
    <t>istree_exp1_scaling_threads/scaling_threads/step10248.txt</t>
  </si>
  <si>
    <t>istree_exp1_scaling_threads/scaling_threads/step10249.txt</t>
  </si>
  <si>
    <t>istree_exp1_scaling_threads/scaling_threads/step10250.txt</t>
  </si>
  <si>
    <t>istree_exp1_scaling_threads/scaling_threads/step10251.txt</t>
  </si>
  <si>
    <t>istree_exp1_scaling_threads/scaling_threads/step10252.txt</t>
  </si>
  <si>
    <t>istree_exp1_scaling_threads/scaling_threads/step10253.txt</t>
  </si>
  <si>
    <t>istree_exp1_scaling_threads/scaling_threads/step10254.txt</t>
  </si>
  <si>
    <t>istree_exp1_scaling_threads/scaling_threads/step10255.txt</t>
  </si>
  <si>
    <t>istree_exp1_scaling_threads/scaling_threads/step10256.txt</t>
  </si>
  <si>
    <t>istree_exp1_scaling_threads/scaling_threads/step10257.txt</t>
  </si>
  <si>
    <t>istree_exp1_scaling_threads/scaling_threads/step10258.txt</t>
  </si>
  <si>
    <t>istree_exp1_scaling_threads/scaling_threads/step10259.txt</t>
  </si>
  <si>
    <t>istree_exp1_scaling_threads/scaling_threads/step10260.txt</t>
  </si>
  <si>
    <t>istree_exp1_scaling_threads/scaling_threads/step10261.txt</t>
  </si>
  <si>
    <t>istree_exp1_scaling_threads/scaling_threads/step10262.txt</t>
  </si>
  <si>
    <t>istree_exp1_scaling_threads/scaling_threads/step10263.txt</t>
  </si>
  <si>
    <t>istree_exp1_scaling_threads/scaling_threads/step10264.txt</t>
  </si>
  <si>
    <t>istree_exp1_scaling_threads/scaling_threads/step10265.txt</t>
  </si>
  <si>
    <t>istree_exp1_scaling_threads/scaling_threads/step10266.txt</t>
  </si>
  <si>
    <t>istree_exp1_scaling_threads/scaling_threads/step10267.txt</t>
  </si>
  <si>
    <t>istree_exp1_scaling_threads/scaling_threads/step10268.txt</t>
  </si>
  <si>
    <t>istree_exp1_scaling_threads/scaling_threads/step10269.txt</t>
  </si>
  <si>
    <t>istree_exp1_scaling_threads/scaling_threads/step10270.txt</t>
  </si>
  <si>
    <t>istree_exp1_scaling_threads/scaling_threads/step10271.txt</t>
  </si>
  <si>
    <t>istree_exp1_scaling_threads/scaling_threads/step10272.txt</t>
  </si>
  <si>
    <t>istree_exp1_scaling_threads/scaling_threads/step10273.txt</t>
  </si>
  <si>
    <t>istree_exp1_scaling_threads/scaling_threads/step10274.txt</t>
  </si>
  <si>
    <t>istree_exp1_scaling_threads/scaling_threads/step10275.txt</t>
  </si>
  <si>
    <t>istree_exp1_scaling_threads/scaling_threads/step10276.txt</t>
  </si>
  <si>
    <t>istree_exp1_scaling_threads/scaling_threads/step10277.txt</t>
  </si>
  <si>
    <t>istree_exp1_scaling_threads/scaling_threads/step10278.txt</t>
  </si>
  <si>
    <t>istree_exp1_scaling_threads/scaling_threads/step10279.txt</t>
  </si>
  <si>
    <t>istree_exp1_scaling_threads/scaling_threads/step10280.txt</t>
  </si>
  <si>
    <t>istree_exp1_scaling_threads/scaling_threads/step10281.txt</t>
  </si>
  <si>
    <t>istree_exp1_scaling_threads/scaling_threads/step10282.txt</t>
  </si>
  <si>
    <t>istree_exp1_scaling_threads/scaling_threads/step10283.txt</t>
  </si>
  <si>
    <t>istree_exp1_scaling_threads/scaling_threads/step10284.txt</t>
  </si>
  <si>
    <t>istree_exp1_scaling_threads/scaling_threads/step10285.txt</t>
  </si>
  <si>
    <t>istree_exp1_scaling_threads/scaling_threads/step10286.txt</t>
  </si>
  <si>
    <t>istree_exp1_scaling_threads/scaling_threads/step10287.txt</t>
  </si>
  <si>
    <t>istree_exp1_scaling_threads/scaling_threads/step10288.txt</t>
  </si>
  <si>
    <t>istree_exp1_scaling_threads/scaling_threads/step10289.txt</t>
  </si>
  <si>
    <t>istree_exp1_scaling_threads/scaling_threads/step10290.txt</t>
  </si>
  <si>
    <t>istree_exp1_scaling_threads/scaling_threads/step10291.txt</t>
  </si>
  <si>
    <t>istree_exp1_scaling_threads/scaling_threads/step10292.txt</t>
  </si>
  <si>
    <t>istree_exp1_scaling_threads/scaling_threads/step10293.txt</t>
  </si>
  <si>
    <t>istree_exp1_scaling_threads/scaling_threads/step10294.txt</t>
  </si>
  <si>
    <t>istree_exp1_scaling_threads/scaling_threads/step10295.txt</t>
  </si>
  <si>
    <t>istree_exp1_scaling_threads/scaling_threads/step10296.txt</t>
  </si>
  <si>
    <t>istree_exp1_scaling_threads/scaling_threads/step10297.txt</t>
  </si>
  <si>
    <t>istree_exp1_scaling_threads/scaling_threads/step10298.txt</t>
  </si>
  <si>
    <t>istree_exp1_scaling_threads/scaling_threads/step10299.txt</t>
  </si>
  <si>
    <t>istree_exp1_scaling_threads/scaling_threads/step10300.txt</t>
  </si>
  <si>
    <t>istree_exp1_scaling_threads/scaling_threads/step10301.txt</t>
  </si>
  <si>
    <t>istree_exp1_scaling_threads/scaling_threads/step10302.txt</t>
  </si>
  <si>
    <t>istree_exp1_scaling_threads/scaling_threads/step10303.txt</t>
  </si>
  <si>
    <t>istree_exp1_scaling_threads/scaling_threads/step10304.txt</t>
  </si>
  <si>
    <t>istree_exp1_scaling_threads/scaling_threads/step10305.txt</t>
  </si>
  <si>
    <t>istree_exp1_scaling_threads/scaling_threads/step10306.txt</t>
  </si>
  <si>
    <t>istree_exp1_scaling_threads/scaling_threads/step10307.txt</t>
  </si>
  <si>
    <t>istree_exp1_scaling_threads/scaling_threads/step10308.txt</t>
  </si>
  <si>
    <t>istree_exp1_scaling_threads/scaling_threads/step10309.txt</t>
  </si>
  <si>
    <t>istree_exp1_scaling_threads/scaling_threads/step10310.txt</t>
  </si>
  <si>
    <t>istree_exp1_scaling_threads/scaling_threads/step10311.txt</t>
  </si>
  <si>
    <t>istree_exp1_scaling_threads/scaling_threads/step10312.txt</t>
  </si>
  <si>
    <t>istree_exp1_scaling_threads/scaling_threads/step10313.txt</t>
  </si>
  <si>
    <t>istree_exp1_scaling_threads/scaling_threads/step10314.txt</t>
  </si>
  <si>
    <t>istree_exp1_scaling_threads/scaling_threads/step10315.txt</t>
  </si>
  <si>
    <t>istree_exp1_scaling_threads/scaling_threads/step10316.txt</t>
  </si>
  <si>
    <t>istree_exp1_scaling_threads/scaling_threads/step10317.txt</t>
  </si>
  <si>
    <t>istree_exp1_scaling_threads/scaling_threads/step10318.txt</t>
  </si>
  <si>
    <t>istree_exp1_scaling_threads/scaling_threads/step10319.txt</t>
  </si>
  <si>
    <t>istree_exp1_scaling_threads/scaling_threads/step10320.txt</t>
  </si>
  <si>
    <t>istree_exp1_scaling_threads/scaling_threads/step10321.txt</t>
  </si>
  <si>
    <t>istree_exp1_scaling_threads/scaling_threads/step10322.txt</t>
  </si>
  <si>
    <t>istree_exp1_scaling_threads/scaling_threads/step10323.txt</t>
  </si>
  <si>
    <t>istree_exp1_scaling_threads/scaling_threads/step10324.txt</t>
  </si>
  <si>
    <t>istree_exp1_scaling_threads/scaling_threads/step10325.txt</t>
  </si>
  <si>
    <t>istree_exp1_scaling_threads/scaling_threads/step10326.txt</t>
  </si>
  <si>
    <t>istree_exp1_scaling_threads/scaling_threads/step10327.txt</t>
  </si>
  <si>
    <t>istree_exp1_scaling_threads/scaling_threads/step10328.txt</t>
  </si>
  <si>
    <t>istree_exp1_scaling_threads/scaling_threads/step10329.txt</t>
  </si>
  <si>
    <t>istree_exp1_scaling_threads/scaling_threads/step10330.txt</t>
  </si>
  <si>
    <t>istree_exp1_scaling_threads/scaling_threads/step10331.txt</t>
  </si>
  <si>
    <t>istree_exp1_scaling_threads/scaling_threads/step10332.txt</t>
  </si>
  <si>
    <t>istree_exp1_scaling_threads/scaling_threads/step10333.txt</t>
  </si>
  <si>
    <t>istree_exp1_scaling_threads/scaling_threads/step10334.txt</t>
  </si>
  <si>
    <t>istree_exp1_scaling_threads/scaling_threads/step10335.txt</t>
  </si>
  <si>
    <t>istree_exp1_scaling_threads/scaling_threads/step10336.txt</t>
  </si>
  <si>
    <t>istree_exp1_scaling_threads/scaling_threads/step10337.txt</t>
  </si>
  <si>
    <t>istree_exp1_scaling_threads/scaling_threads/step10338.txt</t>
  </si>
  <si>
    <t>istree_exp1_scaling_threads/scaling_threads/step10339.txt</t>
  </si>
  <si>
    <t>istree_exp1_scaling_threads/scaling_threads/step10340.txt</t>
  </si>
  <si>
    <t>istree_exp1_scaling_threads/scaling_threads/step10341.txt</t>
  </si>
  <si>
    <t>istree_exp1_scaling_threads/scaling_threads/step10342.txt</t>
  </si>
  <si>
    <t>istree_exp1_scaling_threads/scaling_threads/step10343.txt</t>
  </si>
  <si>
    <t>istree_exp1_scaling_threads/scaling_threads/step10344.txt</t>
  </si>
  <si>
    <t>istree_exp1_scaling_threads/scaling_threads/step10345.txt</t>
  </si>
  <si>
    <t>istree_exp1_scaling_threads/scaling_threads/step10346.txt</t>
  </si>
  <si>
    <t>istree_exp1_scaling_threads/scaling_threads/step10347.txt</t>
  </si>
  <si>
    <t>istree_exp1_scaling_threads/scaling_threads/step10348.txt</t>
  </si>
  <si>
    <t>istree_exp1_scaling_threads/scaling_threads/step10349.txt</t>
  </si>
  <si>
    <t>istree_exp1_scaling_threads/scaling_threads/step10350.txt</t>
  </si>
  <si>
    <t>istree_exp1_scaling_threads/scaling_threads/step10351.txt</t>
  </si>
  <si>
    <t>istree_exp1_scaling_threads/scaling_threads/step10352.txt</t>
  </si>
  <si>
    <t>istree_exp1_scaling_threads/scaling_threads/step10353.txt</t>
  </si>
  <si>
    <t>istree_exp1_scaling_threads/scaling_threads/step10354.txt</t>
  </si>
  <si>
    <t>istree_exp1_scaling_threads/scaling_threads/step10355.txt</t>
  </si>
  <si>
    <t>istree_exp1_scaling_threads/scaling_threads/step10356.txt</t>
  </si>
  <si>
    <t>istree_exp1_scaling_threads/scaling_threads/step10357.txt</t>
  </si>
  <si>
    <t>istree_exp1_scaling_threads/scaling_threads/step10358.txt</t>
  </si>
  <si>
    <t>istree_exp1_scaling_threads/scaling_threads/step10359.txt</t>
  </si>
  <si>
    <t>istree_exp1_scaling_threads/scaling_threads/step10360.txt</t>
  </si>
  <si>
    <t>istree_exp1_scaling_threads/scaling_threads/step10361.txt</t>
  </si>
  <si>
    <t>istree_exp1_scaling_threads/scaling_threads/step10362.txt</t>
  </si>
  <si>
    <t>istree_exp1_scaling_threads/scaling_threads/step10363.txt</t>
  </si>
  <si>
    <t>istree_exp1_scaling_threads/scaling_threads/step10364.txt</t>
  </si>
  <si>
    <t>istree_exp1_scaling_threads/scaling_threads/step10365.txt</t>
  </si>
  <si>
    <t>istree_exp1_scaling_threads/scaling_threads/step10366.txt</t>
  </si>
  <si>
    <t>istree_exp1_scaling_threads/scaling_threads/step10367.txt</t>
  </si>
  <si>
    <t>istree_exp1_scaling_threads/scaling_threads/step10368.txt</t>
  </si>
  <si>
    <t>istree_exp1_scaling_threads/scaling_threads/step10369.txt</t>
  </si>
  <si>
    <t>istree_exp1_scaling_threads/scaling_threads/step10370.txt</t>
  </si>
  <si>
    <t>istree_exp1_scaling_threads/scaling_threads/step10371.txt</t>
  </si>
  <si>
    <t>istree_exp1_scaling_threads/scaling_threads/step10372.txt</t>
  </si>
  <si>
    <t>istree_exp1_scaling_threads/scaling_threads/step10373.txt</t>
  </si>
  <si>
    <t>istree_exp1_scaling_threads/scaling_threads/step10374.txt</t>
  </si>
  <si>
    <t>istree_exp1_scaling_threads/scaling_threads/step10375.txt</t>
  </si>
  <si>
    <t>istree_exp1_scaling_threads/scaling_threads/step10376.txt</t>
  </si>
  <si>
    <t>istree_exp1_scaling_threads/scaling_threads/step10377.txt</t>
  </si>
  <si>
    <t>istree_exp1_scaling_threads/scaling_threads/step10378.txt</t>
  </si>
  <si>
    <t>istree_exp1_scaling_threads/scaling_threads/step10379.txt</t>
  </si>
  <si>
    <t>istree_exp1_scaling_threads/scaling_threads/step10380.txt</t>
  </si>
  <si>
    <t>istree_exp1_scaling_threads/scaling_threads/step10381.txt</t>
  </si>
  <si>
    <t>istree_exp1_scaling_threads/scaling_threads/step10382.txt</t>
  </si>
  <si>
    <t>istree_exp1_scaling_threads/scaling_threads/step10383.txt</t>
  </si>
  <si>
    <t>istree_exp1_scaling_threads/scaling_threads/step10384.txt</t>
  </si>
  <si>
    <t>istree_exp1_scaling_threads/scaling_threads/step10385.txt</t>
  </si>
  <si>
    <t>istree_exp1_scaling_threads/scaling_threads/step10386.txt</t>
  </si>
  <si>
    <t>istree_exp1_scaling_threads/scaling_threads/step10387.txt</t>
  </si>
  <si>
    <t>istree_exp1_scaling_threads/scaling_threads/step10388.txt</t>
  </si>
  <si>
    <t>istree_exp1_scaling_threads/scaling_threads/step10389.txt</t>
  </si>
  <si>
    <t>istree_exp1_scaling_threads/scaling_threads/step10390.txt</t>
  </si>
  <si>
    <t>istree_exp1_scaling_threads/scaling_threads/step10391.txt</t>
  </si>
  <si>
    <t>istree_exp1_scaling_threads/scaling_threads/step10392.txt</t>
  </si>
  <si>
    <t>istree_exp1_scaling_threads/scaling_threads/step10393.txt</t>
  </si>
  <si>
    <t>istree_exp1_scaling_threads/scaling_threads/step10394.txt</t>
  </si>
  <si>
    <t>istree_exp1_scaling_threads/scaling_threads/step10395.txt</t>
  </si>
  <si>
    <t>istree_exp1_scaling_threads/scaling_threads/step10396.txt</t>
  </si>
  <si>
    <t>istree_exp1_scaling_threads/scaling_threads/step10397.txt</t>
  </si>
  <si>
    <t>istree_exp1_scaling_threads/scaling_threads/step10398.txt</t>
  </si>
  <si>
    <t>istree_exp1_scaling_threads/scaling_threads/step10399.txt</t>
  </si>
  <si>
    <t>istree_exp1_scaling_threads/scaling_threads/step10400.txt</t>
  </si>
  <si>
    <t>istree_exp1_scaling_threads/scaling_threads/step10401.txt</t>
  </si>
  <si>
    <t>istree_exp1_scaling_threads/scaling_threads/step10402.txt</t>
  </si>
  <si>
    <t>istree_exp1_scaling_threads/scaling_threads/step10403.txt</t>
  </si>
  <si>
    <t>istree_exp1_scaling_threads/scaling_threads/step10404.txt</t>
  </si>
  <si>
    <t>istree_exp1_scaling_threads/scaling_threads/step10405.txt</t>
  </si>
  <si>
    <t>istree_exp1_scaling_threads/scaling_threads/step10406.txt</t>
  </si>
  <si>
    <t>istree_exp1_scaling_threads/scaling_threads/step10407.txt</t>
  </si>
  <si>
    <t>istree_exp1_scaling_threads/scaling_threads/step10408.txt</t>
  </si>
  <si>
    <t>istree_exp1_scaling_threads/scaling_threads/step10409.txt</t>
  </si>
  <si>
    <t>istree_exp1_scaling_threads/scaling_threads/step10410.txt</t>
  </si>
  <si>
    <t>istree_exp1_scaling_threads/scaling_threads/step10411.txt</t>
  </si>
  <si>
    <t>istree_exp1_scaling_threads/scaling_threads/step10412.txt</t>
  </si>
  <si>
    <t>istree_exp1_scaling_threads/scaling_threads/step10413.txt</t>
  </si>
  <si>
    <t>istree_exp1_scaling_threads/scaling_threads/step10414.txt</t>
  </si>
  <si>
    <t>istree_exp1_scaling_threads/scaling_threads/step10415.txt</t>
  </si>
  <si>
    <t>istree_exp1_scaling_threads/scaling_threads/step10416.txt</t>
  </si>
  <si>
    <t>istree_exp1_scaling_threads/scaling_threads/step10417.txt</t>
  </si>
  <si>
    <t>istree_exp1_scaling_threads/scaling_threads/step10418.txt</t>
  </si>
  <si>
    <t>istree_exp1_scaling_threads/scaling_threads/step10419.txt</t>
  </si>
  <si>
    <t>istree_exp1_scaling_threads/scaling_threads/step10420.txt</t>
  </si>
  <si>
    <t>istree_exp1_scaling_threads/scaling_threads/step10421.txt</t>
  </si>
  <si>
    <t>istree_exp1_scaling_threads/scaling_threads/step10422.txt</t>
  </si>
  <si>
    <t>istree_exp1_scaling_threads/scaling_threads/step10423.txt</t>
  </si>
  <si>
    <t>istree_exp1_scaling_threads/scaling_threads/step10424.txt</t>
  </si>
  <si>
    <t>istree_exp1_scaling_threads/scaling_threads/step10425.txt</t>
  </si>
  <si>
    <t>istree_exp1_scaling_threads/scaling_threads/step10426.txt</t>
  </si>
  <si>
    <t>istree_exp1_scaling_threads/scaling_threads/step10427.txt</t>
  </si>
  <si>
    <t>istree_exp1_scaling_threads/scaling_threads/step10428.txt</t>
  </si>
  <si>
    <t>istree_exp1_scaling_threads/scaling_threads/step10429.txt</t>
  </si>
  <si>
    <t>istree_exp1_scaling_threads/scaling_threads/step10430.txt</t>
  </si>
  <si>
    <t>istree_exp1_scaling_threads/scaling_threads/step10431.txt</t>
  </si>
  <si>
    <t>istree_exp1_scaling_threads/scaling_threads/step10432.txt</t>
  </si>
  <si>
    <t>istree_exp1_scaling_threads/scaling_threads/step10433.txt</t>
  </si>
  <si>
    <t>istree_exp1_scaling_threads/scaling_threads/step10434.txt</t>
  </si>
  <si>
    <t>istree_exp1_scaling_threads/scaling_threads/step10435.txt</t>
  </si>
  <si>
    <t>istree_exp1_scaling_threads/scaling_threads/step10436.txt</t>
  </si>
  <si>
    <t>istree_exp1_scaling_threads/scaling_threads/step10437.txt</t>
  </si>
  <si>
    <t>istree_exp1_scaling_threads/scaling_threads/step10438.txt</t>
  </si>
  <si>
    <t>istree_exp1_scaling_threads/scaling_threads/step10439.txt</t>
  </si>
  <si>
    <t>istree_exp1_scaling_threads/scaling_threads/step10440.txt</t>
  </si>
  <si>
    <t>istree_exp1_scaling_threads/scaling_threads/step10441.txt</t>
  </si>
  <si>
    <t>istree_exp1_scaling_threads/scaling_threads/step10442.txt</t>
  </si>
  <si>
    <t>istree_exp1_scaling_threads/scaling_threads/step10443.txt</t>
  </si>
  <si>
    <t>istree_exp1_scaling_threads/scaling_threads/step10444.txt</t>
  </si>
  <si>
    <t>istree_exp1_scaling_threads/scaling_threads/step10445.txt</t>
  </si>
  <si>
    <t>istree_exp1_scaling_threads/scaling_threads/step10446.txt</t>
  </si>
  <si>
    <t>istree_exp1_scaling_threads/scaling_threads/step10447.txt</t>
  </si>
  <si>
    <t>istree_exp1_scaling_threads/scaling_threads/step10448.txt</t>
  </si>
  <si>
    <t>istree_exp1_scaling_threads/scaling_threads/step10449.txt</t>
  </si>
  <si>
    <t>istree_exp1_scaling_threads/scaling_threads/step10450.txt</t>
  </si>
  <si>
    <t>istree_exp1_scaling_threads/scaling_threads/step10451.txt</t>
  </si>
  <si>
    <t>istree_exp1_scaling_threads/scaling_threads/step10452.txt</t>
  </si>
  <si>
    <t>istree_exp1_scaling_threads/scaling_threads/step10453.txt</t>
  </si>
  <si>
    <t>istree_exp1_scaling_threads/scaling_threads/step10454.txt</t>
  </si>
  <si>
    <t>istree_exp1_scaling_threads/scaling_threads/step10455.txt</t>
  </si>
  <si>
    <t>istree_exp1_scaling_threads/scaling_threads/step10456.txt</t>
  </si>
  <si>
    <t>istree_exp1_scaling_threads/scaling_threads/step10457.txt</t>
  </si>
  <si>
    <t>istree_exp1_scaling_threads/scaling_threads/step10458.txt</t>
  </si>
  <si>
    <t>istree_exp1_scaling_threads/scaling_threads/step10459.txt</t>
  </si>
  <si>
    <t>istree_exp1_scaling_threads/scaling_threads/step10460.txt</t>
  </si>
  <si>
    <t>istree_exp1_scaling_threads/scaling_threads/step10461.txt</t>
  </si>
  <si>
    <t>istree_exp1_scaling_threads/scaling_threads/step10462.txt</t>
  </si>
  <si>
    <t>istree_exp1_scaling_threads/scaling_threads/step10463.txt</t>
  </si>
  <si>
    <t>istree_exp1_scaling_threads/scaling_threads/step10464.txt</t>
  </si>
  <si>
    <t>istree_exp1_scaling_threads/scaling_threads/step10465.txt</t>
  </si>
  <si>
    <t>istree_exp1_scaling_threads/scaling_threads/step10466.txt</t>
  </si>
  <si>
    <t>istree_exp1_scaling_threads/scaling_threads/step10467.txt</t>
  </si>
  <si>
    <t>istree_exp1_scaling_threads/scaling_threads/step10468.txt</t>
  </si>
  <si>
    <t>istree_exp1_scaling_threads/scaling_threads/step10469.txt</t>
  </si>
  <si>
    <t>istree_exp1_scaling_threads/scaling_threads/step10470.txt</t>
  </si>
  <si>
    <t>istree_exp1_scaling_threads/scaling_threads/step10471.txt</t>
  </si>
  <si>
    <t>istree_exp1_scaling_threads/scaling_threads/step10472.txt</t>
  </si>
  <si>
    <t>istree_exp1_scaling_threads/scaling_threads/step10473.txt</t>
  </si>
  <si>
    <t>istree_exp1_scaling_threads/scaling_threads/step10474.txt</t>
  </si>
  <si>
    <t>istree_exp1_scaling_threads/scaling_threads/step10475.txt</t>
  </si>
  <si>
    <t>istree_exp1_scaling_threads/scaling_threads/step10476.txt</t>
  </si>
  <si>
    <t>istree_exp1_scaling_threads/scaling_threads/step10477.txt</t>
  </si>
  <si>
    <t>istree_exp1_scaling_threads/scaling_threads/step10478.txt</t>
  </si>
  <si>
    <t>istree_exp1_scaling_threads/scaling_threads/step10479.txt</t>
  </si>
  <si>
    <t>istree_exp1_scaling_threads/scaling_threads/step10480.txt</t>
  </si>
  <si>
    <t>istree_exp1_scaling_threads/scaling_threads/step10481.txt</t>
  </si>
  <si>
    <t>istree_exp1_scaling_threads/scaling_threads/step10482.txt</t>
  </si>
  <si>
    <t>istree_exp1_scaling_threads/scaling_threads/step10483.txt</t>
  </si>
  <si>
    <t>istree_exp1_scaling_threads/scaling_threads/step10484.txt</t>
  </si>
  <si>
    <t>istree_exp1_scaling_threads/scaling_threads/step10485.txt</t>
  </si>
  <si>
    <t>istree_exp1_scaling_threads/scaling_threads/step10486.txt</t>
  </si>
  <si>
    <t>istree_exp1_scaling_threads/scaling_threads/step10487.txt</t>
  </si>
  <si>
    <t>istree_exp1_scaling_threads/scaling_threads/step10488.txt</t>
  </si>
  <si>
    <t>istree_exp1_scaling_threads/scaling_threads/step10489.txt</t>
  </si>
  <si>
    <t>istree_exp1_scaling_threads/scaling_threads/step10490.txt</t>
  </si>
  <si>
    <t>istree_exp1_scaling_threads/scaling_threads/step10491.txt</t>
  </si>
  <si>
    <t>istree_exp1_scaling_threads/scaling_threads/step10492.txt</t>
  </si>
  <si>
    <t>istree_exp1_scaling_threads/scaling_threads/step10493.txt</t>
  </si>
  <si>
    <t>istree_exp1_scaling_threads/scaling_threads/step10494.txt</t>
  </si>
  <si>
    <t>istree_exp1_scaling_threads/scaling_threads/step10495.txt</t>
  </si>
  <si>
    <t>istree_exp1_scaling_threads/scaling_threads/step10496.txt</t>
  </si>
  <si>
    <t>istree_exp1_scaling_threads/scaling_threads/step10497.txt</t>
  </si>
  <si>
    <t>istree_exp1_scaling_threads/scaling_threads/step10498.txt</t>
  </si>
  <si>
    <t>istree_exp1_scaling_threads/scaling_threads/step10499.txt</t>
  </si>
  <si>
    <t>istree_exp1_scaling_threads/scaling_threads/step10500.txt</t>
  </si>
  <si>
    <t>istree_exp1_scaling_threads/scaling_threads/step10501.txt</t>
  </si>
  <si>
    <t>istree_exp1_scaling_threads/scaling_threads/step10502.txt</t>
  </si>
  <si>
    <t>istree_exp1_scaling_threads/scaling_threads/step10503.txt</t>
  </si>
  <si>
    <t>istree_exp1_scaling_threads/scaling_threads/step10504.txt</t>
  </si>
  <si>
    <t>istree_exp1_scaling_threads/scaling_threads/step10505.txt</t>
  </si>
  <si>
    <t>istree_exp1_scaling_threads/scaling_threads/step10506.txt</t>
  </si>
  <si>
    <t>istree_exp1_scaling_threads/scaling_threads/step10507.txt</t>
  </si>
  <si>
    <t>istree_exp1_scaling_threads/scaling_threads/step10508.txt</t>
  </si>
  <si>
    <t>istree_exp1_scaling_threads/scaling_threads/step10509.txt</t>
  </si>
  <si>
    <t>istree_exp1_scaling_threads/scaling_threads/step10510.txt</t>
  </si>
  <si>
    <t>istree_exp1_scaling_threads/scaling_threads/step10511.txt</t>
  </si>
  <si>
    <t>istree_exp1_scaling_threads/scaling_threads/step10512.txt</t>
  </si>
  <si>
    <t>istree_exp1_scaling_threads/scaling_threads/step10513.txt</t>
  </si>
  <si>
    <t>istree_exp1_scaling_threads/scaling_threads/step10514.txt</t>
  </si>
  <si>
    <t>istree_exp1_scaling_threads/scaling_threads/step10515.txt</t>
  </si>
  <si>
    <t>istree_exp1_scaling_threads/scaling_threads/step10516.txt</t>
  </si>
  <si>
    <t>istree_exp1_scaling_threads/scaling_threads/step10517.txt</t>
  </si>
  <si>
    <t>istree_exp1_scaling_threads/scaling_threads/step10518.txt</t>
  </si>
  <si>
    <t>istree_exp1_scaling_threads/scaling_threads/step10519.txt</t>
  </si>
  <si>
    <t>istree_exp1_scaling_threads/scaling_threads/step10520.txt</t>
  </si>
  <si>
    <t>istree_exp1_scaling_threads/scaling_threads/step10521.txt</t>
  </si>
  <si>
    <t>istree_exp1_scaling_threads/scaling_threads/step10522.txt</t>
  </si>
  <si>
    <t>istree_exp1_scaling_threads/scaling_threads/step10523.txt</t>
  </si>
  <si>
    <t>istree_exp1_scaling_threads/scaling_threads/step10524.txt</t>
  </si>
  <si>
    <t>istree_exp1_scaling_threads/scaling_threads/step10525.txt</t>
  </si>
  <si>
    <t>istree_exp1_scaling_threads/scaling_threads/step10526.txt</t>
  </si>
  <si>
    <t>istree_exp1_scaling_threads/scaling_threads/step10527.txt</t>
  </si>
  <si>
    <t>istree_exp1_scaling_threads/scaling_threads/step10528.txt</t>
  </si>
  <si>
    <t>istree_exp1_scaling_threads/scaling_threads/step10529.txt</t>
  </si>
  <si>
    <t>istree_exp1_scaling_threads/scaling_threads/step10530.txt</t>
  </si>
  <si>
    <t>istree_exp1_scaling_threads/scaling_threads/step10531.txt</t>
  </si>
  <si>
    <t>istree_exp1_scaling_threads/scaling_threads/step10532.txt</t>
  </si>
  <si>
    <t>istree_exp1_scaling_threads/scaling_threads/step10533.txt</t>
  </si>
  <si>
    <t>istree_exp1_scaling_threads/scaling_threads/step10534.txt</t>
  </si>
  <si>
    <t>istree_exp1_scaling_threads/scaling_threads/step10535.txt</t>
  </si>
  <si>
    <t>istree_exp1_scaling_threads/scaling_threads/step10536.txt</t>
  </si>
  <si>
    <t>istree_exp1_scaling_threads/scaling_threads/step10537.txt</t>
  </si>
  <si>
    <t>istree_exp1_scaling_threads/scaling_threads/step10538.txt</t>
  </si>
  <si>
    <t>istree_exp1_scaling_threads/scaling_threads/step10539.txt</t>
  </si>
  <si>
    <t>istree_exp1_scaling_threads/scaling_threads/step10540.txt</t>
  </si>
  <si>
    <t>istree_exp1_scaling_threads/scaling_threads/step10541.txt</t>
  </si>
  <si>
    <t>istree_exp1_scaling_threads/scaling_threads/step10542.txt</t>
  </si>
  <si>
    <t>istree_exp1_scaling_threads/scaling_threads/step10543.txt</t>
  </si>
  <si>
    <t>istree_exp1_scaling_threads/scaling_threads/step10544.txt</t>
  </si>
  <si>
    <t>istree_exp1_scaling_threads/scaling_threads/step10545.txt</t>
  </si>
  <si>
    <t>istree_exp1_scaling_threads/scaling_threads/step10546.txt</t>
  </si>
  <si>
    <t>istree_exp1_scaling_threads/scaling_threads/step10547.txt</t>
  </si>
  <si>
    <t>istree_exp1_scaling_threads/scaling_threads/step10548.txt</t>
  </si>
  <si>
    <t>istree_exp1_scaling_threads/scaling_threads/step10549.txt</t>
  </si>
  <si>
    <t>istree_exp1_scaling_threads/scaling_threads/step10550.txt</t>
  </si>
  <si>
    <t>istree_exp1_scaling_threads/scaling_threads/step10551.txt</t>
  </si>
  <si>
    <t>istree_exp1_scaling_threads/scaling_threads/step10552.txt</t>
  </si>
  <si>
    <t>istree_exp1_scaling_threads/scaling_threads/step10553.txt</t>
  </si>
  <si>
    <t>istree_exp1_scaling_threads/scaling_threads/step10554.txt</t>
  </si>
  <si>
    <t>istree_exp1_scaling_threads/scaling_threads/step10555.txt</t>
  </si>
  <si>
    <t>istree_exp1_scaling_threads/scaling_threads/step10556.txt</t>
  </si>
  <si>
    <t>istree_exp1_scaling_threads/scaling_threads/step10557.txt</t>
  </si>
  <si>
    <t>istree_exp1_scaling_threads/scaling_threads/step10558.txt</t>
  </si>
  <si>
    <t>istree_exp1_scaling_threads/scaling_threads/step10559.txt</t>
  </si>
  <si>
    <t>istree_exp1_scaling_threads/scaling_threads/step10560.txt</t>
  </si>
  <si>
    <t>istree_exp1_scaling_threads/scaling_threads/step10561.txt</t>
  </si>
  <si>
    <t>istree_exp1_scaling_threads/scaling_threads/step10562.txt</t>
  </si>
  <si>
    <t>istree_exp1_scaling_threads/scaling_threads/step10563.txt</t>
  </si>
  <si>
    <t>istree_exp1_scaling_threads/scaling_threads/step10564.txt</t>
  </si>
  <si>
    <t>istree_exp1_scaling_threads/scaling_threads/step10565.txt</t>
  </si>
  <si>
    <t>istree_exp1_scaling_threads/scaling_threads/step10566.txt</t>
  </si>
  <si>
    <t>istree_exp1_scaling_threads/scaling_threads/step10567.txt</t>
  </si>
  <si>
    <t>istree_exp1_scaling_threads/scaling_threads/step10568.txt</t>
  </si>
  <si>
    <t>istree_exp1_scaling_threads/scaling_threads/step10569.txt</t>
  </si>
  <si>
    <t>istree_exp1_scaling_threads/scaling_threads/step10570.txt</t>
  </si>
  <si>
    <t>istree_exp1_scaling_threads/scaling_threads/step10571.txt</t>
  </si>
  <si>
    <t>istree_exp1_scaling_threads/scaling_threads/step10572.txt</t>
  </si>
  <si>
    <t>istree_exp1_scaling_threads/scaling_threads/step10573.txt</t>
  </si>
  <si>
    <t>istree_exp1_scaling_threads/scaling_threads/step10574.txt</t>
  </si>
  <si>
    <t>istree_exp1_scaling_threads/scaling_threads/step10575.txt</t>
  </si>
  <si>
    <t>istree_exp1_scaling_threads/scaling_threads/step10576.txt</t>
  </si>
  <si>
    <t>istree_exp1_scaling_threads/scaling_threads/step10577.txt</t>
  </si>
  <si>
    <t>istree_exp1_scaling_threads/scaling_threads/step10578.txt</t>
  </si>
  <si>
    <t>istree_exp1_scaling_threads/scaling_threads/step10579.txt</t>
  </si>
  <si>
    <t>istree_exp1_scaling_threads/scaling_threads/step10580.txt</t>
  </si>
  <si>
    <t>istree_exp1_scaling_threads/scaling_threads/step10581.txt</t>
  </si>
  <si>
    <t>istree_exp1_scaling_threads/scaling_threads/step10582.txt</t>
  </si>
  <si>
    <t>istree_exp1_scaling_threads/scaling_threads/step10583.txt</t>
  </si>
  <si>
    <t>istree_exp1_scaling_threads/scaling_threads/step10584.txt</t>
  </si>
  <si>
    <t>istree_exp1_scaling_threads/scaling_threads/step10585.txt</t>
  </si>
  <si>
    <t>istree_exp1_scaling_threads/scaling_threads/step10586.txt</t>
  </si>
  <si>
    <t>istree_exp1_scaling_threads/scaling_threads/step10587.txt</t>
  </si>
  <si>
    <t>istree_exp1_scaling_threads/scaling_threads/step10588.txt</t>
  </si>
  <si>
    <t>istree_exp1_scaling_threads/scaling_threads/step10589.txt</t>
  </si>
  <si>
    <t>istree_exp1_scaling_threads/scaling_threads/step10590.txt</t>
  </si>
  <si>
    <t>istree_exp1_scaling_threads/scaling_threads/step10591.txt</t>
  </si>
  <si>
    <t>istree_exp1_scaling_threads/scaling_threads/step10592.txt</t>
  </si>
  <si>
    <t>istree_exp1_scaling_threads/scaling_threads/step10593.txt</t>
  </si>
  <si>
    <t>istree_exp1_scaling_threads/scaling_threads/step10594.txt</t>
  </si>
  <si>
    <t>istree_exp1_scaling_threads/scaling_threads/step10595.txt</t>
  </si>
  <si>
    <t>istree_exp1_scaling_threads/scaling_threads/step10596.txt</t>
  </si>
  <si>
    <t>istree_exp1_scaling_threads/scaling_threads/step10597.txt</t>
  </si>
  <si>
    <t>istree_exp1_scaling_threads/scaling_threads/step10598.txt</t>
  </si>
  <si>
    <t>istree_exp1_scaling_threads/scaling_threads/step10599.txt</t>
  </si>
  <si>
    <t>istree_exp1_scaling_threads/scaling_threads/step10600.txt</t>
  </si>
  <si>
    <t>istree_exp1_scaling_threads/scaling_threads/step10601.txt</t>
  </si>
  <si>
    <t>istree_exp1_scaling_threads/scaling_threads/step10602.txt</t>
  </si>
  <si>
    <t>istree_exp1_scaling_threads/scaling_threads/step10603.txt</t>
  </si>
  <si>
    <t>istree_exp1_scaling_threads/scaling_threads/step10604.txt</t>
  </si>
  <si>
    <t>istree_exp1_scaling_threads/scaling_threads/step10605.txt</t>
  </si>
  <si>
    <t>istree_exp1_scaling_threads/scaling_threads/step10606.txt</t>
  </si>
  <si>
    <t>istree_exp1_scaling_threads/scaling_threads/step10607.txt</t>
  </si>
  <si>
    <t>istree_exp1_scaling_threads/scaling_threads/step10608.txt</t>
  </si>
  <si>
    <t>istree_exp1_scaling_threads/scaling_threads/step10609.txt</t>
  </si>
  <si>
    <t>istree_exp1_scaling_threads/scaling_threads/step10610.txt</t>
  </si>
  <si>
    <t>istree_exp1_scaling_threads/scaling_threads/step10611.txt</t>
  </si>
  <si>
    <t>istree_exp1_scaling_threads/scaling_threads/step10612.txt</t>
  </si>
  <si>
    <t>istree_exp1_scaling_threads/scaling_threads/step10613.txt</t>
  </si>
  <si>
    <t>istree_exp1_scaling_threads/scaling_threads/step10614.txt</t>
  </si>
  <si>
    <t>istree_exp1_scaling_threads/scaling_threads/step10615.txt</t>
  </si>
  <si>
    <t>istree_exp1_scaling_threads/scaling_threads/step10616.txt</t>
  </si>
  <si>
    <t>istree_exp1_scaling_threads/scaling_threads/step10617.txt</t>
  </si>
  <si>
    <t>istree_exp1_scaling_threads/scaling_threads/step10618.txt</t>
  </si>
  <si>
    <t>istree_exp1_scaling_threads/scaling_threads/step10619.txt</t>
  </si>
  <si>
    <t>istree_exp1_scaling_threads/scaling_threads/step10620.txt</t>
  </si>
  <si>
    <t>istree_exp1_scaling_threads/scaling_threads/step10621.txt</t>
  </si>
  <si>
    <t>istree_exp1_scaling_threads/scaling_threads/step10622.txt</t>
  </si>
  <si>
    <t>istree_exp1_scaling_threads/scaling_threads/step10623.txt</t>
  </si>
  <si>
    <t>istree_exp1_scaling_threads/scaling_threads/step10624.txt</t>
  </si>
  <si>
    <t>istree_exp1_scaling_threads/scaling_threads/step10625.txt</t>
  </si>
  <si>
    <t>istree_exp1_scaling_threads/scaling_threads/step10626.txt</t>
  </si>
  <si>
    <t>istree_exp1_scaling_threads/scaling_threads/step10627.txt</t>
  </si>
  <si>
    <t>istree_exp1_scaling_threads/scaling_threads/step10628.txt</t>
  </si>
  <si>
    <t>istree_exp1_scaling_threads/scaling_threads/step10629.txt</t>
  </si>
  <si>
    <t>istree_exp1_scaling_threads/scaling_threads/step10630.txt</t>
  </si>
  <si>
    <t>istree_exp1_scaling_threads/scaling_threads/step10631.txt</t>
  </si>
  <si>
    <t>istree_exp1_scaling_threads/scaling_threads/step10632.txt</t>
  </si>
  <si>
    <t>istree_exp1_scaling_threads/scaling_threads/step10633.txt</t>
  </si>
  <si>
    <t>istree_exp1_scaling_threads/scaling_threads/step10634.txt</t>
  </si>
  <si>
    <t>istree_exp1_scaling_threads/scaling_threads/step10635.txt</t>
  </si>
  <si>
    <t>istree_exp1_scaling_threads/scaling_threads/step10636.txt</t>
  </si>
  <si>
    <t>istree_exp1_scaling_threads/scaling_threads/step10637.txt</t>
  </si>
  <si>
    <t>istree_exp1_scaling_threads/scaling_threads/step10638.txt</t>
  </si>
  <si>
    <t>istree_exp1_scaling_threads/scaling_threads/step10639.txt</t>
  </si>
  <si>
    <t>istree_exp1_scaling_threads/scaling_threads/step10640.txt</t>
  </si>
  <si>
    <t>Average of maxresident_mb</t>
  </si>
  <si>
    <t>Average of PAPI_L3_TCM</t>
  </si>
  <si>
    <t>Average of PAPI_TOT_CYC</t>
  </si>
  <si>
    <t>Average of PAPI_RES_STL</t>
  </si>
  <si>
    <t>Average of tree_stats_height</t>
  </si>
  <si>
    <t>Average of tree_stats_avgKeyDepth</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</si>
  <si>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</si>
  <si>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</si>
  <si>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</si>
  <si>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</si>
  <si>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</si>
  <si>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</si>
  <si>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</si>
  <si>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</si>
  <si>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</si>
  <si>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</si>
  <si>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</si>
  <si>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</si>
  <si>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</si>
  <si>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u=40%, k=2x10^9</t>
  </si>
  <si>
    <t>full_rebuild_count</t>
  </si>
  <si>
    <t>istree_exp1_scaling_threads/step10001.txt</t>
  </si>
  <si>
    <t>istree_exp1_scaling_threads/step10002.txt</t>
  </si>
  <si>
    <t>istree_exp1_scaling_threads/step10003.txt</t>
  </si>
  <si>
    <t>istree_exp1_scaling_threads/step10004.txt</t>
  </si>
  <si>
    <t>istree_exp1_scaling_threads/step10005.txt</t>
  </si>
  <si>
    <t>istree_exp1_scaling_threads/step10006.txt</t>
  </si>
  <si>
    <t>1314 771506</t>
  </si>
  <si>
    <t>istree_exp1_scaling_threads/step10007.txt</t>
  </si>
  <si>
    <t>716 291906</t>
  </si>
  <si>
    <t>istree_exp1_scaling_threads/step10008.txt</t>
  </si>
  <si>
    <t>istree_exp1_scaling_threads/step10009.txt</t>
  </si>
  <si>
    <t>226 95144</t>
  </si>
  <si>
    <t>istree_exp1_scaling_threads/step10010.txt</t>
  </si>
  <si>
    <t>istree_exp1_scaling_threads/step10011.txt</t>
  </si>
  <si>
    <t>1262 346636</t>
  </si>
  <si>
    <t>istree_exp1_scaling_threads/step10012.txt</t>
  </si>
  <si>
    <t>istree_exp1_scaling_threads/step10013.txt</t>
  </si>
  <si>
    <t>istree_exp1_scaling_threads/step10014.txt</t>
  </si>
  <si>
    <t>istree_exp1_scaling_threads/step10015.txt</t>
  </si>
  <si>
    <t>istree_exp1_scaling_threads/step10016.txt</t>
  </si>
  <si>
    <t>1254 305450</t>
  </si>
  <si>
    <t>istree_exp1_scaling_threads/step10017.txt</t>
  </si>
  <si>
    <t>668 135524</t>
  </si>
  <si>
    <t>istree_exp1_scaling_threads/step10018.txt</t>
  </si>
  <si>
    <t>334 72464</t>
  </si>
  <si>
    <t>istree_exp1_scaling_threads/step10019.txt</t>
  </si>
  <si>
    <t>220 48770</t>
  </si>
  <si>
    <t>istree_exp1_scaling_threads/step10020.txt</t>
  </si>
  <si>
    <t>istree_exp1_scaling_threads/step10021.txt</t>
  </si>
  <si>
    <t>istree_exp1_scaling_threads/step10022.txt</t>
  </si>
  <si>
    <t>istree_exp1_scaling_threads/step10023.txt</t>
  </si>
  <si>
    <t>istree_exp1_scaling_threads/step10024.txt</t>
  </si>
  <si>
    <t>istree_exp1_scaling_threads/step10025.txt</t>
  </si>
  <si>
    <t>istree_exp1_scaling_threads/step10026.txt</t>
  </si>
  <si>
    <t>5370 354752</t>
  </si>
  <si>
    <t>istree_exp1_scaling_threads/step10027.txt</t>
  </si>
  <si>
    <t>1402 156310</t>
  </si>
  <si>
    <t>istree_exp1_scaling_threads/step10028.txt</t>
  </si>
  <si>
    <t>714 83584</t>
  </si>
  <si>
    <t>istree_exp1_scaling_threads/step10029.txt</t>
  </si>
  <si>
    <t>722 55376</t>
  </si>
  <si>
    <t>istree_exp1_scaling_threads/step10030.txt</t>
  </si>
  <si>
    <t>536 45050</t>
  </si>
  <si>
    <t>istree_exp1_scaling_threads/step10031.txt</t>
  </si>
  <si>
    <t>4918 160470</t>
  </si>
  <si>
    <t>istree_exp1_scaling_threads/step10032.txt</t>
  </si>
  <si>
    <t>1206 72902</t>
  </si>
  <si>
    <t>istree_exp1_scaling_threads/step10033.txt</t>
  </si>
  <si>
    <t>292 40100</t>
  </si>
  <si>
    <t>istree_exp1_scaling_threads/step10034.txt</t>
  </si>
  <si>
    <t>istree_exp1_scaling_threads/step10035.txt</t>
  </si>
  <si>
    <t>150 20840</t>
  </si>
  <si>
    <t>istree_exp1_scaling_threads/step10036.txt</t>
  </si>
  <si>
    <t>4892 132264</t>
  </si>
  <si>
    <t>istree_exp1_scaling_threads/step10037.txt</t>
  </si>
  <si>
    <t>1190 61014</t>
  </si>
  <si>
    <t>istree_exp1_scaling_threads/step10038.txt</t>
  </si>
  <si>
    <t>270 34592</t>
  </si>
  <si>
    <t>istree_exp1_scaling_threads/step10039.txt</t>
  </si>
  <si>
    <t>180 23162</t>
  </si>
  <si>
    <t>istree_exp1_scaling_threads/step10040.txt</t>
  </si>
  <si>
    <t>150 18066</t>
  </si>
  <si>
    <t>istree_exp1_scaling_threads/step10041.txt</t>
  </si>
  <si>
    <t>istree_exp1_scaling_threads/step10042.txt</t>
  </si>
  <si>
    <t>istree_exp1_scaling_threads/step10043.txt</t>
  </si>
  <si>
    <t>istree_exp1_scaling_threads/step10044.txt</t>
  </si>
  <si>
    <t>istree_exp1_scaling_threads/step10045.txt</t>
  </si>
  <si>
    <t>istree_exp1_scaling_threads/step10046.txt</t>
  </si>
  <si>
    <t>53286 277176</t>
  </si>
  <si>
    <t>istree_exp1_scaling_threads/step10047.txt</t>
  </si>
  <si>
    <t>14052 116218</t>
  </si>
  <si>
    <t>istree_exp1_scaling_threads/step10048.txt</t>
  </si>
  <si>
    <t>6550 60808</t>
  </si>
  <si>
    <t>istree_exp1_scaling_threads/step10049.txt</t>
  </si>
  <si>
    <t>4238 40128</t>
  </si>
  <si>
    <t>istree_exp1_scaling_threads/step10050.txt</t>
  </si>
  <si>
    <t>3000 31268</t>
  </si>
  <si>
    <t>istree_exp1_scaling_threads/step10051.txt</t>
  </si>
  <si>
    <t>50132 145880</t>
  </si>
  <si>
    <t>istree_exp1_scaling_threads/step10052.txt</t>
  </si>
  <si>
    <t>12748 57000</t>
  </si>
  <si>
    <t>istree_exp1_scaling_threads/step10053.txt</t>
  </si>
  <si>
    <t>2968 26732</t>
  </si>
  <si>
    <t>istree_exp1_scaling_threads/step10054.txt</t>
  </si>
  <si>
    <t>1422 17018</t>
  </si>
  <si>
    <t>istree_exp1_scaling_threads/step10055.txt</t>
  </si>
  <si>
    <t>774 13162</t>
  </si>
  <si>
    <t>istree_exp1_scaling_threads/step10056.txt</t>
  </si>
  <si>
    <t>50330 127822</t>
  </si>
  <si>
    <t>istree_exp1_scaling_threads/step10057.txt</t>
  </si>
  <si>
    <t>12750 49010</t>
  </si>
  <si>
    <t>istree_exp1_scaling_threads/step10058.txt</t>
  </si>
  <si>
    <t>2944 22984</t>
  </si>
  <si>
    <t>istree_exp1_scaling_threads/step10059.txt</t>
  </si>
  <si>
    <t>1390 14644</t>
  </si>
  <si>
    <t>istree_exp1_scaling_threads/step10060.txt</t>
  </si>
  <si>
    <t>736 11114</t>
  </si>
  <si>
    <t>istree_exp1_scaling_threads/step10061.txt</t>
  </si>
  <si>
    <t>istree_exp1_scaling_threads/step10062.txt</t>
  </si>
  <si>
    <t>istree_exp1_scaling_threads/step10063.txt</t>
  </si>
  <si>
    <t>istree_exp1_scaling_threads/step10064.txt</t>
  </si>
  <si>
    <t>istree_exp1_scaling_threads/step10065.txt</t>
  </si>
  <si>
    <t>istree_exp1_scaling_threads/step10066.txt</t>
  </si>
  <si>
    <t>523726 650548</t>
  </si>
  <si>
    <t>istree_exp1_scaling_threads/step10067.txt</t>
  </si>
  <si>
    <t>130408 189540</t>
  </si>
  <si>
    <t>istree_exp1_scaling_threads/step10068.txt</t>
  </si>
  <si>
    <t>61440 94156</t>
  </si>
  <si>
    <t>istree_exp1_scaling_threads/step10069.txt</t>
  </si>
  <si>
    <t>37022 58614</t>
  </si>
  <si>
    <t>istree_exp1_scaling_threads/step10070.txt</t>
  </si>
  <si>
    <t>26832 43546</t>
  </si>
  <si>
    <t>istree_exp1_scaling_threads/step10071.txt</t>
  </si>
  <si>
    <t>508108 566484</t>
  </si>
  <si>
    <t>istree_exp1_scaling_threads/step10072.txt</t>
  </si>
  <si>
    <t>124646 152568</t>
  </si>
  <si>
    <t>istree_exp1_scaling_threads/step10073.txt</t>
  </si>
  <si>
    <t>30948 46198</t>
  </si>
  <si>
    <t>istree_exp1_scaling_threads/step10074.txt</t>
  </si>
  <si>
    <t>13604 23838</t>
  </si>
  <si>
    <t>istree_exp1_scaling_threads/step10075.txt</t>
  </si>
  <si>
    <t>7928 15782</t>
  </si>
  <si>
    <t>istree_exp1_scaling_threads/step10076.txt</t>
  </si>
  <si>
    <t>510700 558706</t>
  </si>
  <si>
    <t>istree_exp1_scaling_threads/step10077.txt</t>
  </si>
  <si>
    <t>125368 148420</t>
  </si>
  <si>
    <t>istree_exp1_scaling_threads/step10078.txt</t>
  </si>
  <si>
    <t>31068 43890</t>
  </si>
  <si>
    <t>istree_exp1_scaling_threads/step10079.txt</t>
  </si>
  <si>
    <t>13658 22376</t>
  </si>
  <si>
    <t>istree_exp1_scaling_threads/step10080.txt</t>
  </si>
  <si>
    <t>7830 14468</t>
  </si>
  <si>
    <t>istree_exp1_scaling_threads/step10081.txt</t>
  </si>
  <si>
    <t>48 43144 618999 696087</t>
  </si>
  <si>
    <t>48 43135 618990 696084</t>
  </si>
  <si>
    <t>istree_exp1_scaling_threads/step10082.txt</t>
  </si>
  <si>
    <t>81 71449 682682 992689</t>
  </si>
  <si>
    <t>72 71445 682648 992686</t>
  </si>
  <si>
    <t>istree_exp1_scaling_threads/step10083.txt</t>
  </si>
  <si>
    <t>149 208704 360475 1535934</t>
  </si>
  <si>
    <t>132 208538 360403 1535922</t>
  </si>
  <si>
    <t>istree_exp1_scaling_threads/step10084.txt</t>
  </si>
  <si>
    <t>215 547583 98615 1528463</t>
  </si>
  <si>
    <t>188 547184 98565 1528446</t>
  </si>
  <si>
    <t>istree_exp1_scaling_threads/step10085.txt</t>
  </si>
  <si>
    <t>256 545231 265066 2179792</t>
  </si>
  <si>
    <t>232 544770 264898 2179766</t>
  </si>
  <si>
    <t>istree_exp1_scaling_threads/step10086.txt</t>
  </si>
  <si>
    <t>1338 666194</t>
  </si>
  <si>
    <t>istree_exp1_scaling_threads/step10087.txt</t>
  </si>
  <si>
    <t>700 256058</t>
  </si>
  <si>
    <t>istree_exp1_scaling_threads/step10088.txt</t>
  </si>
  <si>
    <t>istree_exp1_scaling_threads/step10089.txt</t>
  </si>
  <si>
    <t>istree_exp1_scaling_threads/step10090.txt</t>
  </si>
  <si>
    <t>istree_exp1_scaling_threads/step10091.txt</t>
  </si>
  <si>
    <t>1216 323752</t>
  </si>
  <si>
    <t>istree_exp1_scaling_threads/step10092.txt</t>
  </si>
  <si>
    <t>670 136996</t>
  </si>
  <si>
    <t>istree_exp1_scaling_threads/step10093.txt</t>
  </si>
  <si>
    <t>292 70962</t>
  </si>
  <si>
    <t>istree_exp1_scaling_threads/step10094.txt</t>
  </si>
  <si>
    <t>istree_exp1_scaling_threads/step10095.txt</t>
  </si>
  <si>
    <t>istree_exp1_scaling_threads/step10096.txt</t>
  </si>
  <si>
    <t>1214 288782</t>
  </si>
  <si>
    <t>istree_exp1_scaling_threads/step10097.txt</t>
  </si>
  <si>
    <t>726 127802</t>
  </si>
  <si>
    <t>istree_exp1_scaling_threads/step10098.txt</t>
  </si>
  <si>
    <t>istree_exp1_scaling_threads/step10099.txt</t>
  </si>
  <si>
    <t>istree_exp1_scaling_threads/step10100.txt</t>
  </si>
  <si>
    <t>istree_exp1_scaling_threads/step10101.txt</t>
  </si>
  <si>
    <t>2 5548 160161 1486065 4986</t>
  </si>
  <si>
    <t>2 5548 160160 1486063 4986</t>
  </si>
  <si>
    <t>istree_exp1_scaling_threads/step10102.txt</t>
  </si>
  <si>
    <t>3 9308 221548 2626256 8183</t>
  </si>
  <si>
    <t>3 9307 221547 2626254 8183</t>
  </si>
  <si>
    <t>istree_exp1_scaling_threads/step10103.txt</t>
  </si>
  <si>
    <t>7 23780 365397 5403732 15997</t>
  </si>
  <si>
    <t>7 23780 365386 5403724 15997</t>
  </si>
  <si>
    <t>istree_exp1_scaling_threads/step10104.txt</t>
  </si>
  <si>
    <t>11 34796 293637 7687557 19066</t>
  </si>
  <si>
    <t>11 34796 293625 7687542 19066</t>
  </si>
  <si>
    <t>istree_exp1_scaling_threads/step10105.txt</t>
  </si>
  <si>
    <t>17 47448 400808 10051875 25202</t>
  </si>
  <si>
    <t>15 47448 400787 10051850 25202</t>
  </si>
  <si>
    <t>istree_exp1_scaling_threads/step10106.txt</t>
  </si>
  <si>
    <t>5348 345810</t>
  </si>
  <si>
    <t>istree_exp1_scaling_threads/step10107.txt</t>
  </si>
  <si>
    <t>1406 151280</t>
  </si>
  <si>
    <t>istree_exp1_scaling_threads/step10108.txt</t>
  </si>
  <si>
    <t>758 80464</t>
  </si>
  <si>
    <t>istree_exp1_scaling_threads/step10109.txt</t>
  </si>
  <si>
    <t>684 52342</t>
  </si>
  <si>
    <t>istree_exp1_scaling_threads/step10110.txt</t>
  </si>
  <si>
    <t>672 42148</t>
  </si>
  <si>
    <t>istree_exp1_scaling_threads/step10111.txt</t>
  </si>
  <si>
    <t>4908 158940</t>
  </si>
  <si>
    <t>istree_exp1_scaling_threads/step10112.txt</t>
  </si>
  <si>
    <t>1196 72132</t>
  </si>
  <si>
    <t>istree_exp1_scaling_threads/step10113.txt</t>
  </si>
  <si>
    <t>294 38716</t>
  </si>
  <si>
    <t>istree_exp1_scaling_threads/step10114.txt</t>
  </si>
  <si>
    <t>218 25788</t>
  </si>
  <si>
    <t>istree_exp1_scaling_threads/step10115.txt</t>
  </si>
  <si>
    <t>istree_exp1_scaling_threads/step10116.txt</t>
  </si>
  <si>
    <t>4884 131292</t>
  </si>
  <si>
    <t>istree_exp1_scaling_threads/step10117.txt</t>
  </si>
  <si>
    <t>1204 60510</t>
  </si>
  <si>
    <t>istree_exp1_scaling_threads/step10118.txt</t>
  </si>
  <si>
    <t>266 33720</t>
  </si>
  <si>
    <t>istree_exp1_scaling_threads/step10119.txt</t>
  </si>
  <si>
    <t>194 22496</t>
  </si>
  <si>
    <t>istree_exp1_scaling_threads/step10120.txt</t>
  </si>
  <si>
    <t>146 17448</t>
  </si>
  <si>
    <t>istree_exp1_scaling_threads/step10121.txt</t>
  </si>
  <si>
    <t>0 0 0 106713 67518</t>
  </si>
  <si>
    <t>istree_exp1_scaling_threads/step10122.txt</t>
  </si>
  <si>
    <t>0 0 1 451991 167564</t>
  </si>
  <si>
    <t>istree_exp1_scaling_threads/step10123.txt</t>
  </si>
  <si>
    <t>0 0 16185 2061543 426295</t>
  </si>
  <si>
    <t>istree_exp1_scaling_threads/step10124.txt</t>
  </si>
  <si>
    <t>0 2192 305067 3760575 628882</t>
  </si>
  <si>
    <t>0 2192 305065 3760574 628882</t>
  </si>
  <si>
    <t>istree_exp1_scaling_threads/step10125.txt</t>
  </si>
  <si>
    <t>1 9999 344393 3947036 713051</t>
  </si>
  <si>
    <t>istree_exp1_scaling_threads/step10126.txt</t>
  </si>
  <si>
    <t>53208 276152</t>
  </si>
  <si>
    <t>istree_exp1_scaling_threads/step10127.txt</t>
  </si>
  <si>
    <t>13966 115214</t>
  </si>
  <si>
    <t>istree_exp1_scaling_threads/step10128.txt</t>
  </si>
  <si>
    <t>6620 59848</t>
  </si>
  <si>
    <t>istree_exp1_scaling_threads/step10129.txt</t>
  </si>
  <si>
    <t>4228 39404</t>
  </si>
  <si>
    <t>istree_exp1_scaling_threads/step10130.txt</t>
  </si>
  <si>
    <t>3032 30512</t>
  </si>
  <si>
    <t>istree_exp1_scaling_threads/step10131.txt</t>
  </si>
  <si>
    <t>50102 145762</t>
  </si>
  <si>
    <t>istree_exp1_scaling_threads/step10132.txt</t>
  </si>
  <si>
    <t>11886 56832</t>
  </si>
  <si>
    <t>istree_exp1_scaling_threads/step10133.txt</t>
  </si>
  <si>
    <t>2952 26582</t>
  </si>
  <si>
    <t>istree_exp1_scaling_threads/step10134.txt</t>
  </si>
  <si>
    <t>1150 17026</t>
  </si>
  <si>
    <t>istree_exp1_scaling_threads/step10135.txt</t>
  </si>
  <si>
    <t>766 13046</t>
  </si>
  <si>
    <t>istree_exp1_scaling_threads/step10136.txt</t>
  </si>
  <si>
    <t>50324 127546</t>
  </si>
  <si>
    <t>istree_exp1_scaling_threads/step10137.txt</t>
  </si>
  <si>
    <t>12748 48886</t>
  </si>
  <si>
    <t>istree_exp1_scaling_threads/step10138.txt</t>
  </si>
  <si>
    <t>2934 22938</t>
  </si>
  <si>
    <t>istree_exp1_scaling_threads/step10139.txt</t>
  </si>
  <si>
    <t>1392 14624</t>
  </si>
  <si>
    <t>istree_exp1_scaling_threads/step10140.txt</t>
  </si>
  <si>
    <t>736 11050</t>
  </si>
  <si>
    <t>istree_exp1_scaling_threads/step10141.txt</t>
  </si>
  <si>
    <t>0 0 0 140 3774</t>
  </si>
  <si>
    <t>istree_exp1_scaling_threads/step10142.txt</t>
  </si>
  <si>
    <t>0 0 0 1036 12627</t>
  </si>
  <si>
    <t>istree_exp1_scaling_threads/step10143.txt</t>
  </si>
  <si>
    <t>0 0 0 10958 59721</t>
  </si>
  <si>
    <t>istree_exp1_scaling_threads/step10144.txt</t>
  </si>
  <si>
    <t>0 0 0 36897 131219</t>
  </si>
  <si>
    <t>istree_exp1_scaling_threads/step10145.txt</t>
  </si>
  <si>
    <t>0 0 0 81719 220921</t>
  </si>
  <si>
    <t>istree_exp1_scaling_threads/step10146.txt</t>
  </si>
  <si>
    <t>522608 649722</t>
  </si>
  <si>
    <t>istree_exp1_scaling_threads/step10147.txt</t>
  </si>
  <si>
    <t>130150 189278</t>
  </si>
  <si>
    <t>istree_exp1_scaling_threads/step10148.txt</t>
  </si>
  <si>
    <t>60144 92938</t>
  </si>
  <si>
    <t>istree_exp1_scaling_threads/step10149.txt</t>
  </si>
  <si>
    <t>36916 58680</t>
  </si>
  <si>
    <t>istree_exp1_scaling_threads/step10150.txt</t>
  </si>
  <si>
    <t>26200 42960</t>
  </si>
  <si>
    <t>istree_exp1_scaling_threads/step10151.txt</t>
  </si>
  <si>
    <t>508068 566142</t>
  </si>
  <si>
    <t>istree_exp1_scaling_threads/step10152.txt</t>
  </si>
  <si>
    <t>124546 152530</t>
  </si>
  <si>
    <t>istree_exp1_scaling_threads/step10153.txt</t>
  </si>
  <si>
    <t>30970 46192</t>
  </si>
  <si>
    <t>istree_exp1_scaling_threads/step10154.txt</t>
  </si>
  <si>
    <t>13674 23912</t>
  </si>
  <si>
    <t>istree_exp1_scaling_threads/step10155.txt</t>
  </si>
  <si>
    <t>7918 15778</t>
  </si>
  <si>
    <t>istree_exp1_scaling_threads/step10156.txt</t>
  </si>
  <si>
    <t>511112 558658</t>
  </si>
  <si>
    <t>istree_exp1_scaling_threads/step10157.txt</t>
  </si>
  <si>
    <t>125308 148364</t>
  </si>
  <si>
    <t>istree_exp1_scaling_threads/step10158.txt</t>
  </si>
  <si>
    <t>31086 43870</t>
  </si>
  <si>
    <t>istree_exp1_scaling_threads/step10159.txt</t>
  </si>
  <si>
    <t>13654 22360</t>
  </si>
  <si>
    <t>istree_exp1_scaling_threads/step10160.txt</t>
  </si>
  <si>
    <t>7814 14468</t>
  </si>
  <si>
    <t>istree_exp1_scaling_threads/step10161.txt</t>
  </si>
  <si>
    <t>535 354526 5100290 5714893</t>
  </si>
  <si>
    <t>394 354008 5099799 5714849</t>
  </si>
  <si>
    <t>istree_exp1_scaling_threads/step10162.txt</t>
  </si>
  <si>
    <t>860 561602 5331803 7731761</t>
  </si>
  <si>
    <t>568 561141 5330052 7731617</t>
  </si>
  <si>
    <t>istree_exp1_scaling_threads/step10163.txt</t>
  </si>
  <si>
    <t>1443 1336428 2313327 9837454</t>
  </si>
  <si>
    <t>851 1330771 2310041 9837070</t>
  </si>
  <si>
    <t>istree_exp1_scaling_threads/step10164.txt</t>
  </si>
  <si>
    <t>1882 3072516 552464 8537928</t>
  </si>
  <si>
    <t>1052 3060031 550636 8537326</t>
  </si>
  <si>
    <t>istree_exp1_scaling_threads/step10165.txt</t>
  </si>
  <si>
    <t>2141 2813462 1367115 11235717</t>
  </si>
  <si>
    <t>1198 2799463 1362627 11234887</t>
  </si>
  <si>
    <t>istree_exp1_scaling_threads/step10166.txt</t>
  </si>
  <si>
    <t>1324 600858</t>
  </si>
  <si>
    <t>istree_exp1_scaling_threads/step10167.txt</t>
  </si>
  <si>
    <t>588 232372</t>
  </si>
  <si>
    <t>istree_exp1_scaling_threads/step10168.txt</t>
  </si>
  <si>
    <t>istree_exp1_scaling_threads/step10169.txt</t>
  </si>
  <si>
    <t>232 70256</t>
  </si>
  <si>
    <t>istree_exp1_scaling_threads/step10170.txt</t>
  </si>
  <si>
    <t>istree_exp1_scaling_threads/step10171.txt</t>
  </si>
  <si>
    <t>1228 303596</t>
  </si>
  <si>
    <t>istree_exp1_scaling_threads/step10172.txt</t>
  </si>
  <si>
    <t>686 128512</t>
  </si>
  <si>
    <t>istree_exp1_scaling_threads/step10173.txt</t>
  </si>
  <si>
    <t>istree_exp1_scaling_threads/step10174.txt</t>
  </si>
  <si>
    <t>218 41650</t>
  </si>
  <si>
    <t>istree_exp1_scaling_threads/step10175.txt</t>
  </si>
  <si>
    <t>istree_exp1_scaling_threads/step10176.txt</t>
  </si>
  <si>
    <t>1244 273752</t>
  </si>
  <si>
    <t>istree_exp1_scaling_threads/step10177.txt</t>
  </si>
  <si>
    <t>676 120242</t>
  </si>
  <si>
    <t>istree_exp1_scaling_threads/step10178.txt</t>
  </si>
  <si>
    <t>istree_exp1_scaling_threads/step10179.txt</t>
  </si>
  <si>
    <t>214 42572</t>
  </si>
  <si>
    <t>istree_exp1_scaling_threads/step10180.txt</t>
  </si>
  <si>
    <t>istree_exp1_scaling_threads/step10181.txt</t>
  </si>
  <si>
    <t>19 47487 1365775 12770256 42876</t>
  </si>
  <si>
    <t>17 47436 1365744 12770228 42876</t>
  </si>
  <si>
    <t>istree_exp1_scaling_threads/step10182.txt</t>
  </si>
  <si>
    <t>38 90279 2016522 21242623 68876</t>
  </si>
  <si>
    <t>29 90233 2016392 21242527 68876</t>
  </si>
  <si>
    <t>istree_exp1_scaling_threads/step10183.txt</t>
  </si>
  <si>
    <t>84 185853 2721526 40365535 118016</t>
  </si>
  <si>
    <t>58 185829 2721098 40365169 118014</t>
  </si>
  <si>
    <t>istree_exp1_scaling_threads/step10184.txt</t>
  </si>
  <si>
    <t>146 272042 2275052 57654738 143692</t>
  </si>
  <si>
    <t>86 272010 2274320 57653944 143692</t>
  </si>
  <si>
    <t>istree_exp1_scaling_threads/step10185.txt</t>
  </si>
  <si>
    <t>170 333160 2817580 70764073 177615</t>
  </si>
  <si>
    <t>105 333100 2816484 70762823 177614</t>
  </si>
  <si>
    <t>istree_exp1_scaling_threads/step10186.txt</t>
  </si>
  <si>
    <t>5310 319172</t>
  </si>
  <si>
    <t>istree_exp1_scaling_threads/step10187.txt</t>
  </si>
  <si>
    <t>1402 140092</t>
  </si>
  <si>
    <t>istree_exp1_scaling_threads/step10188.txt</t>
  </si>
  <si>
    <t>692 70536</t>
  </si>
  <si>
    <t>istree_exp1_scaling_threads/step10189.txt</t>
  </si>
  <si>
    <t>istree_exp1_scaling_threads/step10190.txt</t>
  </si>
  <si>
    <t>516 36716</t>
  </si>
  <si>
    <t>istree_exp1_scaling_threads/step10191.txt</t>
  </si>
  <si>
    <t>4874 154296</t>
  </si>
  <si>
    <t>istree_exp1_scaling_threads/step10192.txt</t>
  </si>
  <si>
    <t>1192 70046</t>
  </si>
  <si>
    <t>istree_exp1_scaling_threads/step10193.txt</t>
  </si>
  <si>
    <t>294 36172</t>
  </si>
  <si>
    <t>istree_exp1_scaling_threads/step10194.txt</t>
  </si>
  <si>
    <t>214 24064</t>
  </si>
  <si>
    <t>istree_exp1_scaling_threads/step10195.txt</t>
  </si>
  <si>
    <t>170 18850</t>
  </si>
  <si>
    <t>istree_exp1_scaling_threads/step10196.txt</t>
  </si>
  <si>
    <t>4922 127198</t>
  </si>
  <si>
    <t>istree_exp1_scaling_threads/step10197.txt</t>
  </si>
  <si>
    <t>1188 58590</t>
  </si>
  <si>
    <t>istree_exp1_scaling_threads/step10198.txt</t>
  </si>
  <si>
    <t>270 31682</t>
  </si>
  <si>
    <t>istree_exp1_scaling_threads/step10199.txt</t>
  </si>
  <si>
    <t>198 21206</t>
  </si>
  <si>
    <t>istree_exp1_scaling_threads/step10200.txt</t>
  </si>
  <si>
    <t>istree_exp1_scaling_threads/step10201.txt</t>
  </si>
  <si>
    <t>1 6377 498597 5539317 1016456</t>
  </si>
  <si>
    <t>1 6373 498596 5539316 1016456</t>
  </si>
  <si>
    <t>istree_exp1_scaling_threads/step10202.txt</t>
  </si>
  <si>
    <t>3 17238 942839 9727580 1708159</t>
  </si>
  <si>
    <t>2 17221 942829 9727573 1708158</t>
  </si>
  <si>
    <t>istree_exp1_scaling_threads/step10203.txt</t>
  </si>
  <si>
    <t>4 39636 1653737 18779565 3202896</t>
  </si>
  <si>
    <t>4 39627 1653709 18779545 3202893</t>
  </si>
  <si>
    <t>istree_exp1_scaling_threads/step10204.txt</t>
  </si>
  <si>
    <t>8 59987 2221796 26528029 4555852</t>
  </si>
  <si>
    <t>6 59986 2221716 26527970 4555848</t>
  </si>
  <si>
    <t>istree_exp1_scaling_threads/step10205.txt</t>
  </si>
  <si>
    <t>11 79985 2757268 32645570 5684745</t>
  </si>
  <si>
    <t>8 79983 2757143 32645487 5684740</t>
  </si>
  <si>
    <t>istree_exp1_scaling_threads/step10206.txt</t>
  </si>
  <si>
    <t>53130 267854</t>
  </si>
  <si>
    <t>istree_exp1_scaling_threads/step10207.txt</t>
  </si>
  <si>
    <t>13172 111952</t>
  </si>
  <si>
    <t>istree_exp1_scaling_threads/step10208.txt</t>
  </si>
  <si>
    <t>6720 56926</t>
  </si>
  <si>
    <t>istree_exp1_scaling_threads/step10209.txt</t>
  </si>
  <si>
    <t>3630 37026</t>
  </si>
  <si>
    <t>istree_exp1_scaling_threads/step10210.txt</t>
  </si>
  <si>
    <t>2976 28314</t>
  </si>
  <si>
    <t>istree_exp1_scaling_threads/step10211.txt</t>
  </si>
  <si>
    <t>50088 144246</t>
  </si>
  <si>
    <t>istree_exp1_scaling_threads/step10212.txt</t>
  </si>
  <si>
    <t>12718 56036</t>
  </si>
  <si>
    <t>istree_exp1_scaling_threads/step10213.txt</t>
  </si>
  <si>
    <t>2968 26128</t>
  </si>
  <si>
    <t>istree_exp1_scaling_threads/step10214.txt</t>
  </si>
  <si>
    <t>1146 16630</t>
  </si>
  <si>
    <t>istree_exp1_scaling_threads/step10215.txt</t>
  </si>
  <si>
    <t>772 12620</t>
  </si>
  <si>
    <t>istree_exp1_scaling_threads/step10216.txt</t>
  </si>
  <si>
    <t>52040 126996</t>
  </si>
  <si>
    <t>istree_exp1_scaling_threads/step10217.txt</t>
  </si>
  <si>
    <t>12748 48626</t>
  </si>
  <si>
    <t>istree_exp1_scaling_threads/step10218.txt</t>
  </si>
  <si>
    <t>2928 22574</t>
  </si>
  <si>
    <t>istree_exp1_scaling_threads/step10219.txt</t>
  </si>
  <si>
    <t>1392 14342</t>
  </si>
  <si>
    <t>istree_exp1_scaling_threads/step10220.txt</t>
  </si>
  <si>
    <t>734 10812</t>
  </si>
  <si>
    <t>istree_exp1_scaling_threads/step10221.txt</t>
  </si>
  <si>
    <t>0 0 0 145208 318678</t>
  </si>
  <si>
    <t>istree_exp1_scaling_threads/step10222.txt</t>
  </si>
  <si>
    <t>0 0 0 797441 944752</t>
  </si>
  <si>
    <t>istree_exp1_scaling_threads/step10223.txt</t>
  </si>
  <si>
    <t>0 0 0 6154682 3337144</t>
  </si>
  <si>
    <t>0 0 0 6154680 3337144</t>
  </si>
  <si>
    <t>istree_exp1_scaling_threads/step10224.txt</t>
  </si>
  <si>
    <t>0 0 8031 15008539 5688743</t>
  </si>
  <si>
    <t>0 0 8031 15008536 5688742</t>
  </si>
  <si>
    <t>istree_exp1_scaling_threads/step10225.txt</t>
  </si>
  <si>
    <t>0 0 312395 24396319 7618553</t>
  </si>
  <si>
    <t>0 0 312395 24396311 7618553</t>
  </si>
  <si>
    <t>istree_exp1_scaling_threads/step10226.txt</t>
  </si>
  <si>
    <t>522842 646116</t>
  </si>
  <si>
    <t>istree_exp1_scaling_threads/step10227.txt</t>
  </si>
  <si>
    <t>130290 187878</t>
  </si>
  <si>
    <t>istree_exp1_scaling_threads/step10228.txt</t>
  </si>
  <si>
    <t>60144 92002</t>
  </si>
  <si>
    <t>istree_exp1_scaling_threads/step10229.txt</t>
  </si>
  <si>
    <t>37904 59014</t>
  </si>
  <si>
    <t>istree_exp1_scaling_threads/step10230.txt</t>
  </si>
  <si>
    <t>26396 42640</t>
  </si>
  <si>
    <t>istree_exp1_scaling_threads/step10231.txt</t>
  </si>
  <si>
    <t>507722 565604</t>
  </si>
  <si>
    <t>istree_exp1_scaling_threads/step10232.txt</t>
  </si>
  <si>
    <t>124748 152254</t>
  </si>
  <si>
    <t>istree_exp1_scaling_threads/step10233.txt</t>
  </si>
  <si>
    <t>30650 45980</t>
  </si>
  <si>
    <t>istree_exp1_scaling_threads/step10234.txt</t>
  </si>
  <si>
    <t>13650 23794</t>
  </si>
  <si>
    <t>istree_exp1_scaling_threads/step10235.txt</t>
  </si>
  <si>
    <t>7926 15686</t>
  </si>
  <si>
    <t>istree_exp1_scaling_threads/step10236.txt</t>
  </si>
  <si>
    <t>509456 558246</t>
  </si>
  <si>
    <t>istree_exp1_scaling_threads/step10237.txt</t>
  </si>
  <si>
    <t>125326 148196</t>
  </si>
  <si>
    <t>istree_exp1_scaling_threads/step10238.txt</t>
  </si>
  <si>
    <t>31068 43792</t>
  </si>
  <si>
    <t>istree_exp1_scaling_threads/step10239.txt</t>
  </si>
  <si>
    <t>13680 22314</t>
  </si>
  <si>
    <t>istree_exp1_scaling_threads/step10240.txt</t>
  </si>
  <si>
    <t>7824 14428</t>
  </si>
  <si>
    <t>istree_exp1_scaling_threads/step10241.txt</t>
  </si>
  <si>
    <t>2226 942073 13541798 15162674</t>
  </si>
  <si>
    <t>1048 938602 13538324 15162354</t>
  </si>
  <si>
    <t>istree_exp1_scaling_threads/step10242.txt</t>
  </si>
  <si>
    <t>3876 1474540 13999346 20308760</t>
  </si>
  <si>
    <t>1493 1471476 13988455 20307844</t>
  </si>
  <si>
    <t>istree_exp1_scaling_threads/step10243.txt</t>
  </si>
  <si>
    <t>5022 2849060 4937962 20954961</t>
  </si>
  <si>
    <t>1814 2822697 4922564 20952866</t>
  </si>
  <si>
    <t>istree_exp1_scaling_threads/step10244.txt</t>
  </si>
  <si>
    <t>5819 5800237 1044745 16132876</t>
  </si>
  <si>
    <t>1987 5752211 1037418 16130425</t>
  </si>
  <si>
    <t>istree_exp1_scaling_threads/step10245.txt</t>
  </si>
  <si>
    <t>7136 5335794 2595953 21286038</t>
  </si>
  <si>
    <t>2270 5279067 2577699 21282185</t>
  </si>
  <si>
    <t>istree_exp1_scaling_threads/step10246.txt</t>
  </si>
  <si>
    <t>1298 530200</t>
  </si>
  <si>
    <t>istree_exp1_scaling_threads/step10247.txt</t>
  </si>
  <si>
    <t>740 198882</t>
  </si>
  <si>
    <t>istree_exp1_scaling_threads/step10248.txt</t>
  </si>
  <si>
    <t>istree_exp1_scaling_threads/step10249.txt</t>
  </si>
  <si>
    <t>istree_exp1_scaling_threads/step10250.txt</t>
  </si>
  <si>
    <t>istree_exp1_scaling_threads/step10251.txt</t>
  </si>
  <si>
    <t>1196 275952</t>
  </si>
  <si>
    <t>istree_exp1_scaling_threads/step10252.txt</t>
  </si>
  <si>
    <t>676 114426</t>
  </si>
  <si>
    <t>istree_exp1_scaling_threads/step10253.txt</t>
  </si>
  <si>
    <t>336 53794</t>
  </si>
  <si>
    <t>istree_exp1_scaling_threads/step10254.txt</t>
  </si>
  <si>
    <t>istree_exp1_scaling_threads/step10255.txt</t>
  </si>
  <si>
    <t>238 26734</t>
  </si>
  <si>
    <t>istree_exp1_scaling_threads/step10256.txt</t>
  </si>
  <si>
    <t>1236 257648</t>
  </si>
  <si>
    <t>istree_exp1_scaling_threads/step10257.txt</t>
  </si>
  <si>
    <t>702 113484</t>
  </si>
  <si>
    <t>istree_exp1_scaling_threads/step10258.txt</t>
  </si>
  <si>
    <t>296 56956</t>
  </si>
  <si>
    <t>istree_exp1_scaling_threads/step10259.txt</t>
  </si>
  <si>
    <t>190 36940</t>
  </si>
  <si>
    <t>istree_exp1_scaling_threads/step10260.txt</t>
  </si>
  <si>
    <t>istree_exp1_scaling_threads/step10261.txt</t>
  </si>
  <si>
    <t>73 134296 3849921 35383535 118520</t>
  </si>
  <si>
    <t>48 133998 3849740 35383352 118520</t>
  </si>
  <si>
    <t>istree_exp1_scaling_threads/step10262.txt</t>
  </si>
  <si>
    <t>184 242307 5312184 55899325 182202</t>
  </si>
  <si>
    <t>78 242034 5311409 55898612 182202</t>
  </si>
  <si>
    <t>istree_exp1_scaling_threads/step10263.txt</t>
  </si>
  <si>
    <t>398 432130 6318496 93799348 275180</t>
  </si>
  <si>
    <t>136 432005 6316188 93796894 275178</t>
  </si>
  <si>
    <t>istree_exp1_scaling_threads/step10264.txt</t>
  </si>
  <si>
    <t>601 608641 5100090 128959177 325134</t>
  </si>
  <si>
    <t>192 608463 5096780 128954447 325126</t>
  </si>
  <si>
    <t>istree_exp1_scaling_threads/step10265.txt</t>
  </si>
  <si>
    <t>851 730868 6161126 154676943 387593</t>
  </si>
  <si>
    <t>231 730624 6155865 154669514 387586</t>
  </si>
  <si>
    <t>istree_exp1_scaling_threads/step10266.txt</t>
  </si>
  <si>
    <t>5370 293162</t>
  </si>
  <si>
    <t>istree_exp1_scaling_threads/step10267.txt</t>
  </si>
  <si>
    <t>1404 127240</t>
  </si>
  <si>
    <t>istree_exp1_scaling_threads/step10268.txt</t>
  </si>
  <si>
    <t>768 60566</t>
  </si>
  <si>
    <t>istree_exp1_scaling_threads/step10269.txt</t>
  </si>
  <si>
    <t>694 38162</t>
  </si>
  <si>
    <t>istree_exp1_scaling_threads/step10270.txt</t>
  </si>
  <si>
    <t>istree_exp1_scaling_threads/step10271.txt</t>
  </si>
  <si>
    <t>4868 145016</t>
  </si>
  <si>
    <t>istree_exp1_scaling_threads/step10272.txt</t>
  </si>
  <si>
    <t>1204 65556</t>
  </si>
  <si>
    <t>istree_exp1_scaling_threads/step10273.txt</t>
  </si>
  <si>
    <t>294 33452</t>
  </si>
  <si>
    <t>istree_exp1_scaling_threads/step10274.txt</t>
  </si>
  <si>
    <t>218 21598</t>
  </si>
  <si>
    <t>istree_exp1_scaling_threads/step10275.txt</t>
  </si>
  <si>
    <t>148 16404</t>
  </si>
  <si>
    <t>istree_exp1_scaling_threads/step10276.txt</t>
  </si>
  <si>
    <t>4884 121668</t>
  </si>
  <si>
    <t>istree_exp1_scaling_threads/step10277.txt</t>
  </si>
  <si>
    <t>1192 56696</t>
  </si>
  <si>
    <t>istree_exp1_scaling_threads/step10278.txt</t>
  </si>
  <si>
    <t>266 29594</t>
  </si>
  <si>
    <t>istree_exp1_scaling_threads/step10279.txt</t>
  </si>
  <si>
    <t>186 18984</t>
  </si>
  <si>
    <t>istree_exp1_scaling_threads/step10280.txt</t>
  </si>
  <si>
    <t>150 14250</t>
  </si>
  <si>
    <t>istree_exp1_scaling_threads/step10281.txt</t>
  </si>
  <si>
    <t>4 25482 1989402 16865570 2770530</t>
  </si>
  <si>
    <t>4 25449 1989390 16865557 2770529</t>
  </si>
  <si>
    <t>istree_exp1_scaling_threads/step10282.txt</t>
  </si>
  <si>
    <t>8 51608 2823340 26416281 4456290</t>
  </si>
  <si>
    <t>6 51538 2823294 26416232 4456285</t>
  </si>
  <si>
    <t>istree_exp1_scaling_threads/step10283.txt</t>
  </si>
  <si>
    <t>27 109179 4604067 47609793 8004075</t>
  </si>
  <si>
    <t>11 109139 4603870 47609638 8004068</t>
  </si>
  <si>
    <t>istree_exp1_scaling_threads/step10284.txt</t>
  </si>
  <si>
    <t>75 159953 5602559 63079560 10881152</t>
  </si>
  <si>
    <t>16 159931 5602183 63079267 10881135</t>
  </si>
  <si>
    <t>istree_exp1_scaling_threads/step10285.txt</t>
  </si>
  <si>
    <t>54 199969 6880498 77722522 13316938</t>
  </si>
  <si>
    <t>20 199946 6879847 77722034 13316905</t>
  </si>
  <si>
    <t>istree_exp1_scaling_threads/step10286.txt</t>
  </si>
  <si>
    <t>53528 249020</t>
  </si>
  <si>
    <t>istree_exp1_scaling_threads/step10287.txt</t>
  </si>
  <si>
    <t>13258 102656</t>
  </si>
  <si>
    <t>istree_exp1_scaling_threads/step10288.txt</t>
  </si>
  <si>
    <t>6528 50070</t>
  </si>
  <si>
    <t>istree_exp1_scaling_threads/step10289.txt</t>
  </si>
  <si>
    <t>3980 31532</t>
  </si>
  <si>
    <t>istree_exp1_scaling_threads/step10290.txt</t>
  </si>
  <si>
    <t>3000 23594</t>
  </si>
  <si>
    <t>istree_exp1_scaling_threads/step10291.txt</t>
  </si>
  <si>
    <t>50236 140310</t>
  </si>
  <si>
    <t>istree_exp1_scaling_threads/step10292.txt</t>
  </si>
  <si>
    <t>12738 54156</t>
  </si>
  <si>
    <t>istree_exp1_scaling_threads/step10293.txt</t>
  </si>
  <si>
    <t>2960 24970</t>
  </si>
  <si>
    <t>istree_exp1_scaling_threads/step10294.txt</t>
  </si>
  <si>
    <t>1418 15730</t>
  </si>
  <si>
    <t>istree_exp1_scaling_threads/step10295.txt</t>
  </si>
  <si>
    <t>776 11756</t>
  </si>
  <si>
    <t>istree_exp1_scaling_threads/step10296.txt</t>
  </si>
  <si>
    <t>50320 124814</t>
  </si>
  <si>
    <t>istree_exp1_scaling_threads/step10297.txt</t>
  </si>
  <si>
    <t>12734 47622</t>
  </si>
  <si>
    <t>istree_exp1_scaling_threads/step10298.txt</t>
  </si>
  <si>
    <t>2936 21722</t>
  </si>
  <si>
    <t>istree_exp1_scaling_threads/step10299.txt</t>
  </si>
  <si>
    <t>1390 13414</t>
  </si>
  <si>
    <t>istree_exp1_scaling_threads/step10300.txt</t>
  </si>
  <si>
    <t>730 9914</t>
  </si>
  <si>
    <t>istree_exp1_scaling_threads/step10301.txt</t>
  </si>
  <si>
    <t>0 0 0 4954531 2922006</t>
  </si>
  <si>
    <t>0 0 0 4954530 2922006</t>
  </si>
  <si>
    <t>istree_exp1_scaling_threads/step10302.txt</t>
  </si>
  <si>
    <t>0 0 27576 17445331 6220235</t>
  </si>
  <si>
    <t>0 0 27576 17445328 6220235</t>
  </si>
  <si>
    <t>istree_exp1_scaling_threads/step10303.txt</t>
  </si>
  <si>
    <t>2 30948 2313838 33885787 9505259</t>
  </si>
  <si>
    <t>1 30943 2313821 33885778 9505258</t>
  </si>
  <si>
    <t>istree_exp1_scaling_threads/step10304.txt</t>
  </si>
  <si>
    <t>4 31574 2166785 47231434 14828691</t>
  </si>
  <si>
    <t>1 31570 2166768 47231412 14828691</t>
  </si>
  <si>
    <t>istree_exp1_scaling_threads/step10305.txt</t>
  </si>
  <si>
    <t>6 32045 3906519 65757318 18570563</t>
  </si>
  <si>
    <t>1 32043 3906467 65757271 18570563</t>
  </si>
  <si>
    <t>istree_exp1_scaling_threads/step10306.txt</t>
  </si>
  <si>
    <t>522150 635782</t>
  </si>
  <si>
    <t>istree_exp1_scaling_threads/step10307.txt</t>
  </si>
  <si>
    <t>130470 183958</t>
  </si>
  <si>
    <t>istree_exp1_scaling_threads/step10308.txt</t>
  </si>
  <si>
    <t>61356 90440</t>
  </si>
  <si>
    <t>istree_exp1_scaling_threads/step10309.txt</t>
  </si>
  <si>
    <t>37450 55648</t>
  </si>
  <si>
    <t>istree_exp1_scaling_threads/step10310.txt</t>
  </si>
  <si>
    <t>26646 40038</t>
  </si>
  <si>
    <t>istree_exp1_scaling_threads/step10311.txt</t>
  </si>
  <si>
    <t>507900 563316</t>
  </si>
  <si>
    <t>istree_exp1_scaling_threads/step10312.txt</t>
  </si>
  <si>
    <t>124756 151292</t>
  </si>
  <si>
    <t>istree_exp1_scaling_threads/step10313.txt</t>
  </si>
  <si>
    <t>31020 45526</t>
  </si>
  <si>
    <t>istree_exp1_scaling_threads/step10314.txt</t>
  </si>
  <si>
    <t>13644 23436</t>
  </si>
  <si>
    <t>istree_exp1_scaling_threads/step10315.txt</t>
  </si>
  <si>
    <t>7914 15364</t>
  </si>
  <si>
    <t>istree_exp1_scaling_threads/step10316.txt</t>
  </si>
  <si>
    <t>510928 557484</t>
  </si>
  <si>
    <t>istree_exp1_scaling_threads/step10317.txt</t>
  </si>
  <si>
    <t>125250 147760</t>
  </si>
  <si>
    <t>istree_exp1_scaling_threads/step10318.txt</t>
  </si>
  <si>
    <t>31080 43464</t>
  </si>
  <si>
    <t>istree_exp1_scaling_threads/step10319.txt</t>
  </si>
  <si>
    <t>13690 21962</t>
  </si>
  <si>
    <t>istree_exp1_scaling_threads/step10320.txt</t>
  </si>
  <si>
    <t>7822 14086</t>
  </si>
  <si>
    <t>Error bar (+) range</t>
  </si>
  <si>
    <t>Error bar (-) range</t>
  </si>
  <si>
    <t>Min of tree_stats_avgKeyDepth</t>
  </si>
  <si>
    <t>Max of tree_stats_avgKeyDepth</t>
  </si>
  <si>
    <t>VALUE</t>
  </si>
  <si>
    <t>MIN</t>
  </si>
  <si>
    <t>MAX</t>
  </si>
  <si>
    <t>B47:E50</t>
  </si>
  <si>
    <t>AA47:AD50</t>
  </si>
  <si>
    <t>Min of PAPI_L3_TCM</t>
  </si>
  <si>
    <t>Max of PAPI_L3_TCM</t>
  </si>
  <si>
    <t>B60:E64</t>
  </si>
  <si>
    <t>AD60:AG64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</si>
</sst>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1">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165" fontId="0" fillId="0" borderId="0" xfId="1" applyNumberFormat="1" applyFont="1"/>
  </cellXfs>
  <cellStyles count="2">
    <cellStyle name="Normal" xfId="0" builtinId="0"/>
    <cellStyle name="Percent" xfId="1" builtinId="5"/>
  </cellStyles>
  <dxfs count="47">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u=40%, k=2x10^9</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7441030032631175"/>
          <c:y val="0.11905985021469084"/>
          <c:w val="0.81376582913262896"/>
          <c:h val="0.64270887944817312"/>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1206.3333333334886</c:v>
                  </c:pt>
                  <c:pt idx="1">
                    <c:v>3807.3333333330229</c:v>
                  </c:pt>
                  <c:pt idx="2">
                    <c:v>6076.3333333320916</c:v>
                  </c:pt>
                  <c:pt idx="3">
                    <c:v>28716.666666667908</c:v>
                  </c:pt>
                  <c:pt idx="4">
                    <c:v>20696.333333335817</c:v>
                  </c:pt>
                </c:numCache>
              </c:numRef>
            </c:plus>
            <c:minus>
              <c:numRef>
                <c:f>throughput!$B$51:$B$55</c:f>
                <c:numCache>
                  <c:formatCode>General</c:formatCode>
                  <c:ptCount val="5"/>
                  <c:pt idx="0">
                    <c:v>736.66666666651145</c:v>
                  </c:pt>
                  <c:pt idx="1">
                    <c:v>3314.6666666669771</c:v>
                  </c:pt>
                  <c:pt idx="2">
                    <c:v>4900.6666666679084</c:v>
                  </c:pt>
                  <c:pt idx="3">
                    <c:v>20141.333333332092</c:v>
                  </c:pt>
                  <c:pt idx="4">
                    <c:v>29343.666666664183</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4183707.6666666665</c:v>
                </c:pt>
                <c:pt idx="1">
                  <c:v>8198776.666666667</c:v>
                </c:pt>
                <c:pt idx="2">
                  <c:v>18277189.666666668</c:v>
                </c:pt>
                <c:pt idx="3">
                  <c:v>26839966.333333332</c:v>
                </c:pt>
                <c:pt idx="4">
                  <c:v>34101051.666666664</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BCCO</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6567.3333333330229</c:v>
                  </c:pt>
                  <c:pt idx="1">
                    <c:v>12194.333333333954</c:v>
                  </c:pt>
                  <c:pt idx="2">
                    <c:v>21546.333333332092</c:v>
                  </c:pt>
                  <c:pt idx="3">
                    <c:v>22425</c:v>
                  </c:pt>
                  <c:pt idx="4">
                    <c:v>55739</c:v>
                  </c:pt>
                </c:numCache>
              </c:numRef>
            </c:plus>
            <c:minus>
              <c:numRef>
                <c:f>throughput!$C$51:$C$55</c:f>
                <c:numCache>
                  <c:formatCode>General</c:formatCode>
                  <c:ptCount val="5"/>
                  <c:pt idx="0">
                    <c:v>7146.6666666669771</c:v>
                  </c:pt>
                  <c:pt idx="1">
                    <c:v>15103.666666666046</c:v>
                  </c:pt>
                  <c:pt idx="2">
                    <c:v>29072.666666667908</c:v>
                  </c:pt>
                  <c:pt idx="3">
                    <c:v>43312</c:v>
                  </c:pt>
                  <c:pt idx="4">
                    <c:v>74339</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5031939.666666667</c:v>
                </c:pt>
                <c:pt idx="1">
                  <c:v>9731255.666666666</c:v>
                </c:pt>
                <c:pt idx="2">
                  <c:v>21726786.666666668</c:v>
                </c:pt>
                <c:pt idx="3">
                  <c:v>32558929</c:v>
                </c:pt>
                <c:pt idx="4">
                  <c:v>42649325</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ABTree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4083.3333333339542</c:v>
                  </c:pt>
                  <c:pt idx="1">
                    <c:v>43083.333333332092</c:v>
                  </c:pt>
                  <c:pt idx="2">
                    <c:v>82201.666666664183</c:v>
                  </c:pt>
                  <c:pt idx="3">
                    <c:v>140421.33333333582</c:v>
                  </c:pt>
                  <c:pt idx="4">
                    <c:v>224766.66666667163</c:v>
                  </c:pt>
                </c:numCache>
              </c:numRef>
            </c:plus>
            <c:minus>
              <c:numRef>
                <c:f>throughput!$D$51:$D$55</c:f>
                <c:numCache>
                  <c:formatCode>General</c:formatCode>
                  <c:ptCount val="5"/>
                  <c:pt idx="0">
                    <c:v>3345.6666666660458</c:v>
                  </c:pt>
                  <c:pt idx="1">
                    <c:v>55850.666666667908</c:v>
                  </c:pt>
                  <c:pt idx="2">
                    <c:v>84086.333333335817</c:v>
                  </c:pt>
                  <c:pt idx="3">
                    <c:v>141203.66666666418</c:v>
                  </c:pt>
                  <c:pt idx="4">
                    <c:v>285032.33333332837</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10151451.666666666</c:v>
                </c:pt>
                <c:pt idx="1">
                  <c:v>19710834.666666668</c:v>
                </c:pt>
                <c:pt idx="2">
                  <c:v>41946037.333333336</c:v>
                </c:pt>
                <c:pt idx="3">
                  <c:v>58459463.666666664</c:v>
                </c:pt>
                <c:pt idx="4">
                  <c:v>71550592.333333328</c:v>
                </c:pt>
              </c:numCache>
            </c:numRef>
          </c:val>
          <c:extLst>
            <c:ext xmlns:c16="http://schemas.microsoft.com/office/drawing/2014/chart" uri="{C3380CC4-5D6E-409C-BE32-E72D297353CC}">
              <c16:uniqueId val="{00000002-2CD0-447C-8E06-4DA7A6D936F5}"/>
            </c:ext>
          </c:extLst>
        </c:ser>
        <c:ser>
          <c:idx val="3"/>
          <c:order val="3"/>
          <c:tx>
            <c:strRef>
              <c:f>throughput!$E$20</c:f>
              <c:strCache>
                <c:ptCount val="1"/>
                <c:pt idx="0">
                  <c:v>ISTree</c:v>
                </c:pt>
              </c:strCache>
            </c:strRef>
          </c:tx>
          <c:spPr>
            <a:solidFill>
              <a:schemeClr val="accent4"/>
            </a:solidFill>
            <a:ln w="76200">
              <a:noFill/>
            </a:ln>
            <a:effectLst/>
          </c:spPr>
          <c:invertIfNegative val="0"/>
          <c:errBars>
            <c:errBarType val="both"/>
            <c:errValType val="cust"/>
            <c:noEndCap val="1"/>
            <c:plus>
              <c:numRef>
                <c:f>throughput!$E$78:$E$82</c:f>
                <c:numCache>
                  <c:formatCode>General</c:formatCode>
                  <c:ptCount val="5"/>
                  <c:pt idx="0">
                    <c:v>116853.66666666605</c:v>
                  </c:pt>
                  <c:pt idx="1">
                    <c:v>13136.666666667908</c:v>
                  </c:pt>
                  <c:pt idx="2">
                    <c:v>1819.6666666641831</c:v>
                  </c:pt>
                  <c:pt idx="3">
                    <c:v>253837.33333333582</c:v>
                  </c:pt>
                  <c:pt idx="4">
                    <c:v>120327.66666667163</c:v>
                  </c:pt>
                </c:numCache>
              </c:numRef>
            </c:plus>
            <c:minus>
              <c:numRef>
                <c:f>throughput!$E$51:$E$55</c:f>
                <c:numCache>
                  <c:formatCode>General</c:formatCode>
                  <c:ptCount val="5"/>
                  <c:pt idx="0">
                    <c:v>206058.33333333395</c:v>
                  </c:pt>
                  <c:pt idx="1">
                    <c:v>7611.3333333320916</c:v>
                  </c:pt>
                  <c:pt idx="2">
                    <c:v>1518.3333333358169</c:v>
                  </c:pt>
                  <c:pt idx="3">
                    <c:v>370217.66666666418</c:v>
                  </c:pt>
                  <c:pt idx="4">
                    <c:v>174237.33333332837</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15722722.333333334</c:v>
                </c:pt>
                <c:pt idx="1">
                  <c:v>27206548.333333332</c:v>
                </c:pt>
                <c:pt idx="2">
                  <c:v>41666616.333333336</c:v>
                </c:pt>
                <c:pt idx="3">
                  <c:v>66365053.666666664</c:v>
                </c:pt>
                <c:pt idx="4">
                  <c:v>80627490.333333328</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4183707.6666666665</c:v>
                </c:pt>
                <c:pt idx="1">
                  <c:v>8198776.666666667</c:v>
                </c:pt>
                <c:pt idx="2">
                  <c:v>18277189.666666668</c:v>
                </c:pt>
                <c:pt idx="3">
                  <c:v>26839966.333333332</c:v>
                </c:pt>
                <c:pt idx="4">
                  <c:v>34101051.666666664</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BCCO</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5031939.666666667</c:v>
                </c:pt>
                <c:pt idx="1">
                  <c:v>9731255.666666666</c:v>
                </c:pt>
                <c:pt idx="2">
                  <c:v>21726786.666666668</c:v>
                </c:pt>
                <c:pt idx="3">
                  <c:v>32558929</c:v>
                </c:pt>
                <c:pt idx="4">
                  <c:v>42649325</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ABTree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10151451.666666666</c:v>
                </c:pt>
                <c:pt idx="1">
                  <c:v>19710834.666666668</c:v>
                </c:pt>
                <c:pt idx="2">
                  <c:v>41946037.333333336</c:v>
                </c:pt>
                <c:pt idx="3">
                  <c:v>58459463.666666664</c:v>
                </c:pt>
                <c:pt idx="4">
                  <c:v>71550592.333333328</c:v>
                </c:pt>
              </c:numCache>
            </c:numRef>
          </c:val>
          <c:extLst>
            <c:ext xmlns:c16="http://schemas.microsoft.com/office/drawing/2014/chart" uri="{C3380CC4-5D6E-409C-BE32-E72D297353CC}">
              <c16:uniqueId val="{00000002-501B-430B-95FC-C01CB1FD10E4}"/>
            </c:ext>
          </c:extLst>
        </c:ser>
        <c:ser>
          <c:idx val="3"/>
          <c:order val="3"/>
          <c:tx>
            <c:strRef>
              <c:f>throughput!$E$20</c:f>
              <c:strCache>
                <c:ptCount val="1"/>
                <c:pt idx="0">
                  <c:v>ISTree</c:v>
                </c:pt>
              </c:strCache>
            </c:strRef>
          </c:tx>
          <c:spPr>
            <a:solidFill>
              <a:schemeClr val="accent4"/>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15722722.333333334</c:v>
                </c:pt>
                <c:pt idx="1">
                  <c:v>27206548.333333332</c:v>
                </c:pt>
                <c:pt idx="2">
                  <c:v>41666616.333333336</c:v>
                </c:pt>
                <c:pt idx="3">
                  <c:v>66365053.666666664</c:v>
                </c:pt>
                <c:pt idx="4">
                  <c:v>80627490.333333328</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'LLC misses'!$B$2</c:f>
          <c:strCache>
            <c:ptCount val="1"/>
            <c:pt idx="0">
              <c:v>u=40%, k=2x10^9</c:v>
            </c:pt>
          </c:strCache>
        </c:strRef>
      </c:tx>
      <c:layout>
        <c:manualLayout>
          <c:xMode val="edge"/>
          <c:yMode val="edge"/>
          <c:x val="0.41532221274469361"/>
          <c:y val="1.3756677946420447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8526676327764802"/>
          <c:y val="0.11046192649817806"/>
          <c:w val="0.80290936618129272"/>
          <c:h val="0.68397891328743443"/>
        </c:manualLayout>
      </c:layout>
      <c:barChart>
        <c:barDir val="col"/>
        <c:grouping val="clustered"/>
        <c:varyColors val="0"/>
        <c:ser>
          <c:idx val="2"/>
          <c:order val="0"/>
          <c:tx>
            <c:strRef>
              <c:f>'LLC misses'!$B$20</c:f>
              <c:strCache>
                <c:ptCount val="1"/>
                <c:pt idx="0">
                  <c:v>NM</c:v>
                </c:pt>
              </c:strCache>
            </c:strRef>
          </c:tx>
          <c:spPr>
            <a:solidFill>
              <a:schemeClr val="accent3"/>
            </a:solidFill>
            <a:ln>
              <a:noFill/>
            </a:ln>
            <a:effectLst/>
          </c:spPr>
          <c:invertIfNegative val="0"/>
          <c:errBars>
            <c:errBarType val="both"/>
            <c:errValType val="cust"/>
            <c:noEndCap val="1"/>
            <c:plus>
              <c:numRef>
                <c:f>'LLC misses'!$AD$60:$AD$64</c:f>
                <c:numCache>
                  <c:formatCode>General</c:formatCode>
                  <c:ptCount val="5"/>
                  <c:pt idx="0">
                    <c:v>3.1333333333343205E-3</c:v>
                  </c:pt>
                  <c:pt idx="1">
                    <c:v>3.580000000000183E-2</c:v>
                  </c:pt>
                  <c:pt idx="2">
                    <c:v>1.5866666666667584E-2</c:v>
                  </c:pt>
                  <c:pt idx="3">
                    <c:v>1.0533333333341943E-2</c:v>
                  </c:pt>
                  <c:pt idx="4">
                    <c:v>1.3166666666663218E-2</c:v>
                  </c:pt>
                </c:numCache>
              </c:numRef>
            </c:plus>
            <c:minus>
              <c:numRef>
                <c:f>'LLC misses'!$B$60:$B$64</c:f>
                <c:numCache>
                  <c:formatCode>General</c:formatCode>
                  <c:ptCount val="5"/>
                  <c:pt idx="0">
                    <c:v>3.4666666666645085E-3</c:v>
                  </c:pt>
                  <c:pt idx="1">
                    <c:v>2.2500000000000853E-2</c:v>
                  </c:pt>
                  <c:pt idx="2">
                    <c:v>2.2133333333336225E-2</c:v>
                  </c:pt>
                  <c:pt idx="3">
                    <c:v>1.4966666666659023E-2</c:v>
                  </c:pt>
                  <c:pt idx="4">
                    <c:v>1.3233333333339203E-2</c:v>
                  </c:pt>
                </c:numCache>
              </c:numRef>
            </c:minus>
            <c:spPr>
              <a:noFill/>
              <a:ln w="127000" cap="flat" cmpd="sng" algn="ctr">
                <a:solidFill>
                  <a:srgbClr val="000000"/>
                </a:solidFill>
                <a:prstDash val="solid"/>
                <a:round/>
                <a:headEnd type="none" w="med" len="med"/>
                <a:tailEnd type="none" w="med" len="med"/>
              </a:ln>
              <a:effectLst/>
            </c:spPr>
          </c:errBars>
          <c:cat>
            <c:numRef>
              <c:f>'LLC misses'!$A$21:$A$25</c:f>
              <c:numCache>
                <c:formatCode>General</c:formatCode>
                <c:ptCount val="5"/>
                <c:pt idx="0">
                  <c:v>24</c:v>
                </c:pt>
                <c:pt idx="1">
                  <c:v>48</c:v>
                </c:pt>
                <c:pt idx="2">
                  <c:v>96</c:v>
                </c:pt>
                <c:pt idx="3">
                  <c:v>144</c:v>
                </c:pt>
                <c:pt idx="4">
                  <c:v>190</c:v>
                </c:pt>
              </c:numCache>
            </c:numRef>
          </c:cat>
          <c:val>
            <c:numRef>
              <c:f>'LLC misses'!$B$21:$B$25</c:f>
              <c:numCache>
                <c:formatCode>0.0</c:formatCode>
                <c:ptCount val="5"/>
                <c:pt idx="0">
                  <c:v>29.576666666666664</c:v>
                </c:pt>
                <c:pt idx="1">
                  <c:v>29.465199999999999</c:v>
                </c:pt>
                <c:pt idx="2">
                  <c:v>32.334533333333333</c:v>
                </c:pt>
                <c:pt idx="3">
                  <c:v>33.000466666666661</c:v>
                </c:pt>
                <c:pt idx="4">
                  <c:v>33.398933333333339</c:v>
                </c:pt>
              </c:numCache>
            </c:numRef>
          </c:val>
          <c:extLst>
            <c:ext xmlns:c16="http://schemas.microsoft.com/office/drawing/2014/chart" uri="{C3380CC4-5D6E-409C-BE32-E72D297353CC}">
              <c16:uniqueId val="{00000000-2985-4656-BBDB-25DA35EF33BC}"/>
            </c:ext>
          </c:extLst>
        </c:ser>
        <c:ser>
          <c:idx val="0"/>
          <c:order val="1"/>
          <c:tx>
            <c:strRef>
              <c:f>'LLC misses'!$C$20</c:f>
              <c:strCache>
                <c:ptCount val="1"/>
                <c:pt idx="0">
                  <c:v>BCCO</c:v>
                </c:pt>
              </c:strCache>
            </c:strRef>
          </c:tx>
          <c:spPr>
            <a:solidFill>
              <a:schemeClr val="accent1"/>
            </a:solidFill>
            <a:ln w="76200">
              <a:noFill/>
            </a:ln>
            <a:effectLst/>
          </c:spPr>
          <c:invertIfNegative val="0"/>
          <c:errBars>
            <c:errBarType val="both"/>
            <c:errValType val="cust"/>
            <c:noEndCap val="1"/>
            <c:plus>
              <c:numRef>
                <c:f>'LLC misses'!$AE$60:$AE$64</c:f>
                <c:numCache>
                  <c:formatCode>General</c:formatCode>
                  <c:ptCount val="5"/>
                  <c:pt idx="0">
                    <c:v>2.7266666666665884E-2</c:v>
                  </c:pt>
                  <c:pt idx="1">
                    <c:v>2.4899999999998812E-2</c:v>
                  </c:pt>
                  <c:pt idx="2">
                    <c:v>2.5599999999997181E-2</c:v>
                  </c:pt>
                  <c:pt idx="3">
                    <c:v>2.8900000000000148E-2</c:v>
                  </c:pt>
                  <c:pt idx="4">
                    <c:v>2.4066666666669789E-2</c:v>
                  </c:pt>
                </c:numCache>
              </c:numRef>
            </c:plus>
            <c:minus>
              <c:numRef>
                <c:f>'LLC misses'!$C$60:$C$64</c:f>
                <c:numCache>
                  <c:formatCode>General</c:formatCode>
                  <c:ptCount val="5"/>
                  <c:pt idx="0">
                    <c:v>3.4133333333333127E-2</c:v>
                  </c:pt>
                  <c:pt idx="1">
                    <c:v>4.9300000000002342E-2</c:v>
                  </c:pt>
                  <c:pt idx="2">
                    <c:v>4.7699999999998965E-2</c:v>
                  </c:pt>
                  <c:pt idx="3">
                    <c:v>5.1299999999997681E-2</c:v>
                  </c:pt>
                  <c:pt idx="4">
                    <c:v>3.7933333333334929E-2</c:v>
                  </c:pt>
                </c:numCache>
              </c:numRef>
            </c:minus>
            <c:spPr>
              <a:noFill/>
              <a:ln w="127000" cap="flat" cmpd="sng" algn="ctr">
                <a:solidFill>
                  <a:srgbClr val="000000"/>
                </a:solidFill>
                <a:prstDash val="solid"/>
                <a:round/>
                <a:headEnd type="none" w="med" len="med"/>
                <a:tailEnd type="none" w="med" len="med"/>
              </a:ln>
              <a:effectLst/>
            </c:spPr>
          </c:errBars>
          <c:cat>
            <c:numRef>
              <c:f>'LLC misses'!$A$21:$A$25</c:f>
              <c:numCache>
                <c:formatCode>General</c:formatCode>
                <c:ptCount val="5"/>
                <c:pt idx="0">
                  <c:v>24</c:v>
                </c:pt>
                <c:pt idx="1">
                  <c:v>48</c:v>
                </c:pt>
                <c:pt idx="2">
                  <c:v>96</c:v>
                </c:pt>
                <c:pt idx="3">
                  <c:v>144</c:v>
                </c:pt>
                <c:pt idx="4">
                  <c:v>190</c:v>
                </c:pt>
              </c:numCache>
            </c:numRef>
          </c:cat>
          <c:val>
            <c:numRef>
              <c:f>'LLC misses'!$C$21:$C$25</c:f>
              <c:numCache>
                <c:formatCode>0.0</c:formatCode>
                <c:ptCount val="5"/>
                <c:pt idx="0">
                  <c:v>30.424633333333333</c:v>
                </c:pt>
                <c:pt idx="1">
                  <c:v>30.403000000000002</c:v>
                </c:pt>
                <c:pt idx="2">
                  <c:v>32.380400000000002</c:v>
                </c:pt>
                <c:pt idx="3">
                  <c:v>32.685699999999997</c:v>
                </c:pt>
                <c:pt idx="4">
                  <c:v>32.953533333333333</c:v>
                </c:pt>
              </c:numCache>
            </c:numRef>
          </c:val>
          <c:extLst>
            <c:ext xmlns:c16="http://schemas.microsoft.com/office/drawing/2014/chart" uri="{C3380CC4-5D6E-409C-BE32-E72D297353CC}">
              <c16:uniqueId val="{00000001-2985-4656-BBDB-25DA35EF33BC}"/>
            </c:ext>
          </c:extLst>
        </c:ser>
        <c:ser>
          <c:idx val="1"/>
          <c:order val="2"/>
          <c:tx>
            <c:strRef>
              <c:f>'LLC misses'!$D$20</c:f>
              <c:strCache>
                <c:ptCount val="1"/>
                <c:pt idx="0">
                  <c:v>ABTree</c:v>
                </c:pt>
              </c:strCache>
            </c:strRef>
          </c:tx>
          <c:spPr>
            <a:solidFill>
              <a:schemeClr val="accent2"/>
            </a:solidFill>
            <a:ln w="76200">
              <a:noFill/>
            </a:ln>
            <a:effectLst/>
          </c:spPr>
          <c:invertIfNegative val="0"/>
          <c:errBars>
            <c:errBarType val="both"/>
            <c:errValType val="cust"/>
            <c:noEndCap val="1"/>
            <c:plus>
              <c:numRef>
                <c:f>'LLC misses'!$AF$60:$AF$64</c:f>
                <c:numCache>
                  <c:formatCode>General</c:formatCode>
                  <c:ptCount val="5"/>
                  <c:pt idx="0">
                    <c:v>7.799999999999585E-3</c:v>
                  </c:pt>
                  <c:pt idx="1">
                    <c:v>1.2299999999999756E-2</c:v>
                  </c:pt>
                  <c:pt idx="2">
                    <c:v>1.3433333333335185E-2</c:v>
                  </c:pt>
                  <c:pt idx="3">
                    <c:v>1.6266666666666652E-2</c:v>
                  </c:pt>
                  <c:pt idx="4">
                    <c:v>2.6466666666664196E-2</c:v>
                  </c:pt>
                </c:numCache>
              </c:numRef>
            </c:plus>
            <c:minus>
              <c:numRef>
                <c:f>'LLC misses'!$D$60:$D$64</c:f>
                <c:numCache>
                  <c:formatCode>General</c:formatCode>
                  <c:ptCount val="5"/>
                  <c:pt idx="0">
                    <c:v>1.5100000000000335E-2</c:v>
                  </c:pt>
                  <c:pt idx="1">
                    <c:v>1.0200000000001097E-2</c:v>
                  </c:pt>
                  <c:pt idx="2">
                    <c:v>1.2866666666663917E-2</c:v>
                  </c:pt>
                  <c:pt idx="3">
                    <c:v>1.7733333333332268E-2</c:v>
                  </c:pt>
                  <c:pt idx="4">
                    <c:v>1.9533333333335179E-2</c:v>
                  </c:pt>
                </c:numCache>
              </c:numRef>
            </c:minus>
            <c:spPr>
              <a:noFill/>
              <a:ln w="127000" cap="flat" cmpd="sng" algn="ctr">
                <a:solidFill>
                  <a:srgbClr val="000000"/>
                </a:solidFill>
                <a:prstDash val="solid"/>
                <a:round/>
                <a:headEnd type="none" w="med" len="med"/>
                <a:tailEnd type="none" w="med" len="med"/>
              </a:ln>
              <a:effectLst/>
            </c:spPr>
          </c:errBars>
          <c:cat>
            <c:numRef>
              <c:f>'LLC misses'!$A$21:$A$25</c:f>
              <c:numCache>
                <c:formatCode>General</c:formatCode>
                <c:ptCount val="5"/>
                <c:pt idx="0">
                  <c:v>24</c:v>
                </c:pt>
                <c:pt idx="1">
                  <c:v>48</c:v>
                </c:pt>
                <c:pt idx="2">
                  <c:v>96</c:v>
                </c:pt>
                <c:pt idx="3">
                  <c:v>144</c:v>
                </c:pt>
                <c:pt idx="4">
                  <c:v>190</c:v>
                </c:pt>
              </c:numCache>
            </c:numRef>
          </c:cat>
          <c:val>
            <c:numRef>
              <c:f>'LLC misses'!$D$21:$D$25</c:f>
              <c:numCache>
                <c:formatCode>0.0</c:formatCode>
                <c:ptCount val="5"/>
                <c:pt idx="0">
                  <c:v>18.5063</c:v>
                </c:pt>
                <c:pt idx="1">
                  <c:v>18.1038</c:v>
                </c:pt>
                <c:pt idx="2">
                  <c:v>19.690066666666663</c:v>
                </c:pt>
                <c:pt idx="3">
                  <c:v>20.689933333333332</c:v>
                </c:pt>
                <c:pt idx="4">
                  <c:v>21.352933333333336</c:v>
                </c:pt>
              </c:numCache>
            </c:numRef>
          </c:val>
          <c:extLst>
            <c:ext xmlns:c16="http://schemas.microsoft.com/office/drawing/2014/chart" uri="{C3380CC4-5D6E-409C-BE32-E72D297353CC}">
              <c16:uniqueId val="{00000002-2985-4656-BBDB-25DA35EF33BC}"/>
            </c:ext>
          </c:extLst>
        </c:ser>
        <c:ser>
          <c:idx val="3"/>
          <c:order val="3"/>
          <c:tx>
            <c:strRef>
              <c:f>'LLC misses'!$E$20</c:f>
              <c:strCache>
                <c:ptCount val="1"/>
                <c:pt idx="0">
                  <c:v>ISTree</c:v>
                </c:pt>
              </c:strCache>
            </c:strRef>
          </c:tx>
          <c:spPr>
            <a:solidFill>
              <a:schemeClr val="accent4"/>
            </a:solidFill>
            <a:ln w="76200">
              <a:noFill/>
            </a:ln>
            <a:effectLst/>
          </c:spPr>
          <c:invertIfNegative val="0"/>
          <c:errBars>
            <c:errBarType val="both"/>
            <c:errValType val="cust"/>
            <c:noEndCap val="1"/>
            <c:plus>
              <c:numRef>
                <c:f>'LLC misses'!$AG$60:$AG$64</c:f>
                <c:numCache>
                  <c:formatCode>General</c:formatCode>
                  <c:ptCount val="5"/>
                  <c:pt idx="0">
                    <c:v>1.4966666666666129E-2</c:v>
                  </c:pt>
                  <c:pt idx="1">
                    <c:v>6.8999999999999062E-3</c:v>
                  </c:pt>
                  <c:pt idx="2">
                    <c:v>1.5533333333333843E-2</c:v>
                  </c:pt>
                  <c:pt idx="3">
                    <c:v>1.7333333333329648E-2</c:v>
                  </c:pt>
                  <c:pt idx="4">
                    <c:v>2.6400000000002422E-2</c:v>
                  </c:pt>
                </c:numCache>
              </c:numRef>
            </c:plus>
            <c:minus>
              <c:numRef>
                <c:f>'LLC misses'!$E$60:$E$64</c:f>
                <c:numCache>
                  <c:formatCode>General</c:formatCode>
                  <c:ptCount val="5"/>
                  <c:pt idx="0">
                    <c:v>1.133333333333475E-2</c:v>
                  </c:pt>
                  <c:pt idx="1">
                    <c:v>6.2999999999995282E-3</c:v>
                  </c:pt>
                  <c:pt idx="2">
                    <c:v>2.2766666666665714E-2</c:v>
                  </c:pt>
                  <c:pt idx="3">
                    <c:v>1.3866666666668692E-2</c:v>
                  </c:pt>
                  <c:pt idx="4">
                    <c:v>2.0999999999997243E-2</c:v>
                  </c:pt>
                </c:numCache>
              </c:numRef>
            </c:minus>
            <c:spPr>
              <a:noFill/>
              <a:ln w="127000" cap="flat" cmpd="sng" algn="ctr">
                <a:solidFill>
                  <a:srgbClr val="000000"/>
                </a:solidFill>
                <a:prstDash val="solid"/>
                <a:round/>
                <a:headEnd type="none" w="med" len="med"/>
                <a:tailEnd type="none" w="med" len="med"/>
              </a:ln>
              <a:effectLst/>
            </c:spPr>
          </c:errBars>
          <c:cat>
            <c:numRef>
              <c:f>'LLC misses'!$A$21:$A$25</c:f>
              <c:numCache>
                <c:formatCode>General</c:formatCode>
                <c:ptCount val="5"/>
                <c:pt idx="0">
                  <c:v>24</c:v>
                </c:pt>
                <c:pt idx="1">
                  <c:v>48</c:v>
                </c:pt>
                <c:pt idx="2">
                  <c:v>96</c:v>
                </c:pt>
                <c:pt idx="3">
                  <c:v>144</c:v>
                </c:pt>
                <c:pt idx="4">
                  <c:v>190</c:v>
                </c:pt>
              </c:numCache>
            </c:numRef>
          </c:cat>
          <c:val>
            <c:numRef>
              <c:f>'LLC misses'!$E$21:$E$25</c:f>
              <c:numCache>
                <c:formatCode>0.0</c:formatCode>
                <c:ptCount val="5"/>
                <c:pt idx="0">
                  <c:v>14.868833333333335</c:v>
                </c:pt>
                <c:pt idx="1">
                  <c:v>15.3665</c:v>
                </c:pt>
                <c:pt idx="2">
                  <c:v>20.431366666666666</c:v>
                </c:pt>
                <c:pt idx="3">
                  <c:v>19.29856666666667</c:v>
                </c:pt>
                <c:pt idx="4">
                  <c:v>19.670399999999997</c:v>
                </c:pt>
              </c:numCache>
            </c:numRef>
          </c:val>
          <c:extLst>
            <c:ext xmlns:c16="http://schemas.microsoft.com/office/drawing/2014/chart" uri="{C3380CC4-5D6E-409C-BE32-E72D297353CC}">
              <c16:uniqueId val="{00000003-2985-4656-BBDB-25DA35EF33BC}"/>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LLC </a:t>
                </a:r>
                <a:r>
                  <a:rPr lang="en-US" sz="4000" baseline="0">
                    <a:solidFill>
                      <a:schemeClr val="bg1"/>
                    </a:solidFill>
                  </a:rPr>
                  <a:t>misses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5612204489992974E-3"/>
          <c:y val="7.9432837034465714E-2"/>
          <c:w val="0"/>
          <c:h val="0"/>
        </c:manualLayout>
      </c:layout>
      <c:barChart>
        <c:barDir val="col"/>
        <c:grouping val="clustered"/>
        <c:varyColors val="0"/>
        <c:ser>
          <c:idx val="2"/>
          <c:order val="0"/>
          <c:tx>
            <c:strRef>
              <c:f>'LLC misses'!$B$20</c:f>
              <c:strCache>
                <c:ptCount val="1"/>
                <c:pt idx="0">
                  <c:v>NM</c:v>
                </c:pt>
              </c:strCache>
            </c:strRef>
          </c:tx>
          <c:spPr>
            <a:solidFill>
              <a:schemeClr val="accent3"/>
            </a:solidFill>
            <a:ln>
              <a:noFill/>
            </a:ln>
            <a:effectLst/>
          </c:spPr>
          <c:invertIfNegative val="0"/>
          <c:errBars>
            <c:errBarType val="both"/>
            <c:errValType val="cust"/>
            <c:noEndCap val="1"/>
            <c:plus>
              <c:numRef>
                <c:f>'LLC misses'!$AD$60:$AD$64</c:f>
                <c:numCache>
                  <c:formatCode>General</c:formatCode>
                  <c:ptCount val="5"/>
                  <c:pt idx="0">
                    <c:v>3.1333333333343205E-3</c:v>
                  </c:pt>
                  <c:pt idx="1">
                    <c:v>3.580000000000183E-2</c:v>
                  </c:pt>
                  <c:pt idx="2">
                    <c:v>1.5866666666667584E-2</c:v>
                  </c:pt>
                  <c:pt idx="3">
                    <c:v>1.0533333333341943E-2</c:v>
                  </c:pt>
                  <c:pt idx="4">
                    <c:v>1.3166666666663218E-2</c:v>
                  </c:pt>
                </c:numCache>
              </c:numRef>
            </c:plus>
            <c:minus>
              <c:numRef>
                <c:f>'LLC misses'!$B$60:$B$64</c:f>
                <c:numCache>
                  <c:formatCode>General</c:formatCode>
                  <c:ptCount val="5"/>
                  <c:pt idx="0">
                    <c:v>3.4666666666645085E-3</c:v>
                  </c:pt>
                  <c:pt idx="1">
                    <c:v>2.2500000000000853E-2</c:v>
                  </c:pt>
                  <c:pt idx="2">
                    <c:v>2.2133333333336225E-2</c:v>
                  </c:pt>
                  <c:pt idx="3">
                    <c:v>1.4966666666659023E-2</c:v>
                  </c:pt>
                  <c:pt idx="4">
                    <c:v>1.3233333333339203E-2</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24</c:v>
                </c:pt>
              </c:numCache>
            </c:numRef>
          </c:cat>
          <c:val>
            <c:numRef>
              <c:f>'LLC misses'!$B$21</c:f>
              <c:numCache>
                <c:formatCode>0.0</c:formatCode>
                <c:ptCount val="1"/>
                <c:pt idx="0">
                  <c:v>29.576666666666664</c:v>
                </c:pt>
              </c:numCache>
            </c:numRef>
          </c:val>
          <c:extLst>
            <c:ext xmlns:c16="http://schemas.microsoft.com/office/drawing/2014/chart" uri="{C3380CC4-5D6E-409C-BE32-E72D297353CC}">
              <c16:uniqueId val="{00000000-C784-4894-9D64-1735B9B462AA}"/>
            </c:ext>
          </c:extLst>
        </c:ser>
        <c:ser>
          <c:idx val="0"/>
          <c:order val="1"/>
          <c:tx>
            <c:strRef>
              <c:f>'LLC misses'!$C$20</c:f>
              <c:strCache>
                <c:ptCount val="1"/>
                <c:pt idx="0">
                  <c:v>BCCO</c:v>
                </c:pt>
              </c:strCache>
            </c:strRef>
          </c:tx>
          <c:spPr>
            <a:solidFill>
              <a:schemeClr val="accent1"/>
            </a:solidFill>
            <a:ln w="76200">
              <a:noFill/>
            </a:ln>
            <a:effectLst/>
          </c:spPr>
          <c:invertIfNegative val="0"/>
          <c:errBars>
            <c:errBarType val="both"/>
            <c:errValType val="cust"/>
            <c:noEndCap val="1"/>
            <c:plus>
              <c:numRef>
                <c:f>'LLC misses'!$AE$60:$AE$64</c:f>
                <c:numCache>
                  <c:formatCode>General</c:formatCode>
                  <c:ptCount val="5"/>
                  <c:pt idx="0">
                    <c:v>2.7266666666665884E-2</c:v>
                  </c:pt>
                  <c:pt idx="1">
                    <c:v>2.4899999999998812E-2</c:v>
                  </c:pt>
                  <c:pt idx="2">
                    <c:v>2.5599999999997181E-2</c:v>
                  </c:pt>
                  <c:pt idx="3">
                    <c:v>2.8900000000000148E-2</c:v>
                  </c:pt>
                  <c:pt idx="4">
                    <c:v>2.4066666666669789E-2</c:v>
                  </c:pt>
                </c:numCache>
              </c:numRef>
            </c:plus>
            <c:minus>
              <c:numRef>
                <c:f>'LLC misses'!$C$60:$C$64</c:f>
                <c:numCache>
                  <c:formatCode>General</c:formatCode>
                  <c:ptCount val="5"/>
                  <c:pt idx="0">
                    <c:v>3.4133333333333127E-2</c:v>
                  </c:pt>
                  <c:pt idx="1">
                    <c:v>4.9300000000002342E-2</c:v>
                  </c:pt>
                  <c:pt idx="2">
                    <c:v>4.7699999999998965E-2</c:v>
                  </c:pt>
                  <c:pt idx="3">
                    <c:v>5.1299999999997681E-2</c:v>
                  </c:pt>
                  <c:pt idx="4">
                    <c:v>3.7933333333334929E-2</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24</c:v>
                </c:pt>
              </c:numCache>
            </c:numRef>
          </c:cat>
          <c:val>
            <c:numRef>
              <c:f>'LLC misses'!$C$21</c:f>
              <c:numCache>
                <c:formatCode>0.0</c:formatCode>
                <c:ptCount val="1"/>
                <c:pt idx="0">
                  <c:v>30.424633333333333</c:v>
                </c:pt>
              </c:numCache>
            </c:numRef>
          </c:val>
          <c:extLst>
            <c:ext xmlns:c16="http://schemas.microsoft.com/office/drawing/2014/chart" uri="{C3380CC4-5D6E-409C-BE32-E72D297353CC}">
              <c16:uniqueId val="{00000001-C784-4894-9D64-1735B9B462AA}"/>
            </c:ext>
          </c:extLst>
        </c:ser>
        <c:ser>
          <c:idx val="1"/>
          <c:order val="2"/>
          <c:tx>
            <c:strRef>
              <c:f>'LLC misses'!$D$20</c:f>
              <c:strCache>
                <c:ptCount val="1"/>
                <c:pt idx="0">
                  <c:v>ABTree</c:v>
                </c:pt>
              </c:strCache>
            </c:strRef>
          </c:tx>
          <c:spPr>
            <a:solidFill>
              <a:schemeClr val="accent2"/>
            </a:solidFill>
            <a:ln w="76200">
              <a:noFill/>
            </a:ln>
            <a:effectLst/>
          </c:spPr>
          <c:invertIfNegative val="0"/>
          <c:errBars>
            <c:errBarType val="both"/>
            <c:errValType val="cust"/>
            <c:noEndCap val="1"/>
            <c:plus>
              <c:numRef>
                <c:f>'LLC misses'!$AF$60:$AF$64</c:f>
                <c:numCache>
                  <c:formatCode>General</c:formatCode>
                  <c:ptCount val="5"/>
                  <c:pt idx="0">
                    <c:v>7.799999999999585E-3</c:v>
                  </c:pt>
                  <c:pt idx="1">
                    <c:v>1.2299999999999756E-2</c:v>
                  </c:pt>
                  <c:pt idx="2">
                    <c:v>1.3433333333335185E-2</c:v>
                  </c:pt>
                  <c:pt idx="3">
                    <c:v>1.6266666666666652E-2</c:v>
                  </c:pt>
                  <c:pt idx="4">
                    <c:v>2.6466666666664196E-2</c:v>
                  </c:pt>
                </c:numCache>
              </c:numRef>
            </c:plus>
            <c:minus>
              <c:numRef>
                <c:f>'LLC misses'!$D$60:$D$64</c:f>
                <c:numCache>
                  <c:formatCode>General</c:formatCode>
                  <c:ptCount val="5"/>
                  <c:pt idx="0">
                    <c:v>1.5100000000000335E-2</c:v>
                  </c:pt>
                  <c:pt idx="1">
                    <c:v>1.0200000000001097E-2</c:v>
                  </c:pt>
                  <c:pt idx="2">
                    <c:v>1.2866666666663917E-2</c:v>
                  </c:pt>
                  <c:pt idx="3">
                    <c:v>1.7733333333332268E-2</c:v>
                  </c:pt>
                  <c:pt idx="4">
                    <c:v>1.9533333333335179E-2</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24</c:v>
                </c:pt>
              </c:numCache>
            </c:numRef>
          </c:cat>
          <c:val>
            <c:numRef>
              <c:f>'LLC misses'!$D$21</c:f>
              <c:numCache>
                <c:formatCode>0.0</c:formatCode>
                <c:ptCount val="1"/>
                <c:pt idx="0">
                  <c:v>18.5063</c:v>
                </c:pt>
              </c:numCache>
            </c:numRef>
          </c:val>
          <c:extLst>
            <c:ext xmlns:c16="http://schemas.microsoft.com/office/drawing/2014/chart" uri="{C3380CC4-5D6E-409C-BE32-E72D297353CC}">
              <c16:uniqueId val="{00000002-C784-4894-9D64-1735B9B462AA}"/>
            </c:ext>
          </c:extLst>
        </c:ser>
        <c:ser>
          <c:idx val="3"/>
          <c:order val="3"/>
          <c:tx>
            <c:strRef>
              <c:f>'LLC misses'!$E$20</c:f>
              <c:strCache>
                <c:ptCount val="1"/>
                <c:pt idx="0">
                  <c:v>ISTree</c:v>
                </c:pt>
              </c:strCache>
            </c:strRef>
          </c:tx>
          <c:spPr>
            <a:solidFill>
              <a:schemeClr val="accent4"/>
            </a:solidFill>
            <a:ln w="76200">
              <a:noFill/>
            </a:ln>
            <a:effectLst/>
          </c:spPr>
          <c:invertIfNegative val="0"/>
          <c:errBars>
            <c:errBarType val="both"/>
            <c:errValType val="cust"/>
            <c:noEndCap val="1"/>
            <c:plus>
              <c:numRef>
                <c:f>'LLC misses'!$AG$60:$AG$64</c:f>
                <c:numCache>
                  <c:formatCode>General</c:formatCode>
                  <c:ptCount val="5"/>
                  <c:pt idx="0">
                    <c:v>1.4966666666666129E-2</c:v>
                  </c:pt>
                  <c:pt idx="1">
                    <c:v>6.8999999999999062E-3</c:v>
                  </c:pt>
                  <c:pt idx="2">
                    <c:v>1.5533333333333843E-2</c:v>
                  </c:pt>
                  <c:pt idx="3">
                    <c:v>1.7333333333329648E-2</c:v>
                  </c:pt>
                  <c:pt idx="4">
                    <c:v>2.6400000000002422E-2</c:v>
                  </c:pt>
                </c:numCache>
              </c:numRef>
            </c:plus>
            <c:minus>
              <c:numRef>
                <c:f>'LLC misses'!$E$60:$E$64</c:f>
                <c:numCache>
                  <c:formatCode>General</c:formatCode>
                  <c:ptCount val="5"/>
                  <c:pt idx="0">
                    <c:v>1.133333333333475E-2</c:v>
                  </c:pt>
                  <c:pt idx="1">
                    <c:v>6.2999999999995282E-3</c:v>
                  </c:pt>
                  <c:pt idx="2">
                    <c:v>2.2766666666665714E-2</c:v>
                  </c:pt>
                  <c:pt idx="3">
                    <c:v>1.3866666666668692E-2</c:v>
                  </c:pt>
                  <c:pt idx="4">
                    <c:v>2.0999999999997243E-2</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24</c:v>
                </c:pt>
              </c:numCache>
            </c:numRef>
          </c:cat>
          <c:val>
            <c:numRef>
              <c:f>'LLC misses'!$E$21</c:f>
              <c:numCache>
                <c:formatCode>0.0</c:formatCode>
                <c:ptCount val="1"/>
                <c:pt idx="0">
                  <c:v>14.868833333333335</c:v>
                </c:pt>
              </c:numCache>
            </c:numRef>
          </c:val>
          <c:extLst>
            <c:ext xmlns:c16="http://schemas.microsoft.com/office/drawing/2014/chart" uri="{C3380CC4-5D6E-409C-BE32-E72D297353CC}">
              <c16:uniqueId val="{00000003-C784-4894-9D64-1735B9B462AA}"/>
            </c:ext>
          </c:extLst>
        </c:ser>
        <c:dLbls>
          <c:showLegendKey val="0"/>
          <c:showVal val="0"/>
          <c:showCatName val="0"/>
          <c:showSerName val="0"/>
          <c:showPercent val="0"/>
          <c:showBubbleSize val="0"/>
        </c:dLbls>
        <c:gapWidth val="500"/>
        <c:overlap val="100"/>
        <c:axId val="568041416"/>
        <c:axId val="568046120"/>
      </c:barChart>
      <c:catAx>
        <c:axId val="568041416"/>
        <c:scaling>
          <c:orientation val="minMax"/>
        </c:scaling>
        <c:delete val="1"/>
        <c:axPos val="b"/>
        <c:numFmt formatCode="General" sourceLinked="1"/>
        <c:majorTickMark val="none"/>
        <c:minorTickMark val="none"/>
        <c:tickLblPos val="nextTo"/>
        <c:crossAx val="568046120"/>
        <c:crossesAt val="0"/>
        <c:auto val="1"/>
        <c:lblAlgn val="ctr"/>
        <c:lblOffset val="0"/>
        <c:noMultiLvlLbl val="1"/>
      </c:catAx>
      <c:valAx>
        <c:axId val="568046120"/>
        <c:scaling>
          <c:orientation val="minMax"/>
          <c:min val="0"/>
        </c:scaling>
        <c:delete val="1"/>
        <c:axPos val="l"/>
        <c:majorGridlines>
          <c:spPr>
            <a:ln w="38100" cap="flat" cmpd="sng" algn="ctr">
              <a:noFill/>
              <a:round/>
            </a:ln>
            <a:effectLst/>
          </c:spPr>
        </c:majorGridlines>
        <c:numFmt formatCode="#,##0.0" sourceLinked="0"/>
        <c:majorTickMark val="none"/>
        <c:minorTickMark val="none"/>
        <c:tickLblPos val="nextTo"/>
        <c:crossAx val="568041416"/>
        <c:crosses val="autoZero"/>
        <c:crossBetween val="between"/>
      </c:valAx>
      <c:spPr>
        <a:noFill/>
        <a:ln w="38100">
          <a:noFill/>
        </a:ln>
        <a:effectLst/>
      </c:spPr>
    </c:plotArea>
    <c:legend>
      <c:legendPos val="t"/>
      <c:layout/>
      <c:overlay val="0"/>
      <c:spPr>
        <a:noFill/>
        <a:ln>
          <a:no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1326.6489583333305</c:v>
                </c:pt>
                <c:pt idx="1">
                  <c:v>1465.978958333335</c:v>
                </c:pt>
                <c:pt idx="2">
                  <c:v>1192.0347291666667</c:v>
                </c:pt>
                <c:pt idx="3">
                  <c:v>935.68341666666674</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6818.3979166666686</c:v>
                </c:pt>
                <c:pt idx="1">
                  <c:v>5413.2610416666666</c:v>
                </c:pt>
                <c:pt idx="2">
                  <c:v>2512.1356875000006</c:v>
                </c:pt>
                <c:pt idx="3">
                  <c:v>2433.5372083333332</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1326.6489583333305</c:v>
                </c:pt>
                <c:pt idx="1">
                  <c:v>1465.978958333335</c:v>
                </c:pt>
                <c:pt idx="2">
                  <c:v>1192.0347291666667</c:v>
                </c:pt>
                <c:pt idx="3">
                  <c:v>935.68341666666674</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6818.3979166666686</c:v>
                </c:pt>
                <c:pt idx="1">
                  <c:v>5413.2610416666666</c:v>
                </c:pt>
                <c:pt idx="2">
                  <c:v>2512.1356875000006</c:v>
                </c:pt>
                <c:pt idx="3">
                  <c:v>2433.5372083333332</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261671480570344"/>
          <c:y val="6.403313842900904E-2"/>
          <c:w val="0.83555941465323724"/>
          <c:h val="0.69773559123385476"/>
        </c:manualLayout>
      </c:layout>
      <c:barChart>
        <c:barDir val="col"/>
        <c:grouping val="clustered"/>
        <c:varyColors val="0"/>
        <c:ser>
          <c:idx val="2"/>
          <c:order val="0"/>
          <c:tx>
            <c:strRef>
              <c:f>'avg key depth'!$B$20</c:f>
              <c:strCache>
                <c:ptCount val="1"/>
                <c:pt idx="0">
                  <c:v>NM</c:v>
                </c:pt>
              </c:strCache>
            </c:strRef>
          </c:tx>
          <c:spPr>
            <a:solidFill>
              <a:schemeClr val="accent3"/>
            </a:solidFill>
            <a:ln>
              <a:noFill/>
            </a:ln>
            <a:effectLst/>
          </c:spPr>
          <c:invertIfNegative val="0"/>
          <c:errBars>
            <c:errBarType val="both"/>
            <c:errValType val="cust"/>
            <c:noEndCap val="1"/>
            <c:plus>
              <c:numRef>
                <c:f>'avg key depth'!$AA$47:$AA$50</c:f>
                <c:numCache>
                  <c:formatCode>General</c:formatCode>
                  <c:ptCount val="4"/>
                  <c:pt idx="0">
                    <c:v>1.6863516666666669</c:v>
                  </c:pt>
                  <c:pt idx="1">
                    <c:v>1.5495916666666645</c:v>
                  </c:pt>
                  <c:pt idx="2">
                    <c:v>1.5351266666666703</c:v>
                  </c:pt>
                  <c:pt idx="3">
                    <c:v>1.7462000000000018</c:v>
                  </c:pt>
                </c:numCache>
              </c:numRef>
            </c:plus>
            <c:minus>
              <c:numRef>
                <c:f>'avg key depth'!$B$47:$B$50</c:f>
                <c:numCache>
                  <c:formatCode>General</c:formatCode>
                  <c:ptCount val="4"/>
                  <c:pt idx="0">
                    <c:v>0.97524833333333305</c:v>
                  </c:pt>
                  <c:pt idx="1">
                    <c:v>1.5658083333333366</c:v>
                  </c:pt>
                  <c:pt idx="2">
                    <c:v>1.1472733333333238</c:v>
                  </c:pt>
                  <c:pt idx="3">
                    <c:v>0.97719999999999629</c:v>
                  </c:pt>
                </c:numCache>
              </c:numRef>
            </c:minus>
            <c:spPr>
              <a:noFill/>
              <a:ln w="127000" cap="flat" cmpd="sng" algn="ctr">
                <a:solidFill>
                  <a:srgbClr val="000000"/>
                </a:solidFill>
                <a:prstDash val="solid"/>
                <a:round/>
                <a:headEnd type="none" w="med" len="med"/>
                <a:tailEnd type="none" w="med" len="med"/>
              </a:ln>
              <a:effectLst/>
            </c:spPr>
          </c:errBars>
          <c:cat>
            <c:strRef>
              <c:f>'avg key depth'!$A$21:$A$24</c:f>
              <c:strCache>
                <c:ptCount val="4"/>
                <c:pt idx="0">
                  <c:v>2x10^6</c:v>
                </c:pt>
                <c:pt idx="1">
                  <c:v>2x10^7</c:v>
                </c:pt>
                <c:pt idx="2">
                  <c:v>2x10^8</c:v>
                </c:pt>
                <c:pt idx="3">
                  <c:v>2x10^9</c:v>
                </c:pt>
              </c:strCache>
            </c:strRef>
          </c:cat>
          <c:val>
            <c:numRef>
              <c:f>'avg key depth'!$B$21:$B$24</c:f>
              <c:numCache>
                <c:formatCode>General</c:formatCode>
                <c:ptCount val="4"/>
                <c:pt idx="0">
                  <c:v>26.109748333333332</c:v>
                </c:pt>
                <c:pt idx="1">
                  <c:v>31.298508333333338</c:v>
                </c:pt>
                <c:pt idx="2">
                  <c:v>35.952373333333327</c:v>
                </c:pt>
                <c:pt idx="3">
                  <c:v>40.684399999999997</c:v>
                </c:pt>
              </c:numCache>
            </c:numRef>
          </c:val>
          <c:extLst>
            <c:ext xmlns:c16="http://schemas.microsoft.com/office/drawing/2014/chart" uri="{C3380CC4-5D6E-409C-BE32-E72D297353CC}">
              <c16:uniqueId val="{00000000-5658-45BE-A5DF-AD99D57E6D72}"/>
            </c:ext>
          </c:extLst>
        </c:ser>
        <c:ser>
          <c:idx val="0"/>
          <c:order val="1"/>
          <c:tx>
            <c:strRef>
              <c:f>'avg key depth'!$C$20</c:f>
              <c:strCache>
                <c:ptCount val="1"/>
                <c:pt idx="0">
                  <c:v>BCCO</c:v>
                </c:pt>
              </c:strCache>
            </c:strRef>
          </c:tx>
          <c:spPr>
            <a:solidFill>
              <a:schemeClr val="accent1"/>
            </a:solidFill>
            <a:ln w="76200">
              <a:noFill/>
            </a:ln>
            <a:effectLst/>
          </c:spPr>
          <c:invertIfNegative val="0"/>
          <c:errBars>
            <c:errBarType val="both"/>
            <c:errValType val="cust"/>
            <c:noEndCap val="1"/>
            <c:plus>
              <c:numRef>
                <c:f>'avg key depth'!$AB$47:$AB$50</c:f>
                <c:numCache>
                  <c:formatCode>General</c:formatCode>
                  <c:ptCount val="4"/>
                  <c:pt idx="0">
                    <c:v>0.20020999999999844</c:v>
                  </c:pt>
                  <c:pt idx="1">
                    <c:v>0.26235166666666743</c:v>
                  </c:pt>
                  <c:pt idx="2">
                    <c:v>0.40781333333333691</c:v>
                  </c:pt>
                  <c:pt idx="3">
                    <c:v>0.1405483333333315</c:v>
                  </c:pt>
                </c:numCache>
              </c:numRef>
            </c:plus>
            <c:minus>
              <c:numRef>
                <c:f>'avg key depth'!$C$47:$C$50</c:f>
                <c:numCache>
                  <c:formatCode>General</c:formatCode>
                  <c:ptCount val="4"/>
                  <c:pt idx="0">
                    <c:v>0.43168999999999969</c:v>
                  </c:pt>
                  <c:pt idx="1">
                    <c:v>0.3861483333333311</c:v>
                  </c:pt>
                  <c:pt idx="2">
                    <c:v>0.21468666666666181</c:v>
                  </c:pt>
                  <c:pt idx="3">
                    <c:v>7.1651666666667779E-2</c:v>
                  </c:pt>
                </c:numCache>
              </c:numRef>
            </c:minus>
            <c:spPr>
              <a:noFill/>
              <a:ln w="127000" cap="flat" cmpd="sng" algn="ctr">
                <a:solidFill>
                  <a:srgbClr val="000000"/>
                </a:solidFill>
                <a:prstDash val="solid"/>
                <a:round/>
                <a:headEnd type="none" w="med" len="med"/>
                <a:tailEnd type="none" w="med" len="med"/>
              </a:ln>
              <a:effectLst/>
            </c:spPr>
          </c:errBars>
          <c:cat>
            <c:strRef>
              <c:f>'avg key depth'!$A$21:$A$24</c:f>
              <c:strCache>
                <c:ptCount val="4"/>
                <c:pt idx="0">
                  <c:v>2x10^6</c:v>
                </c:pt>
                <c:pt idx="1">
                  <c:v>2x10^7</c:v>
                </c:pt>
                <c:pt idx="2">
                  <c:v>2x10^8</c:v>
                </c:pt>
                <c:pt idx="3">
                  <c:v>2x10^9</c:v>
                </c:pt>
              </c:strCache>
            </c:strRef>
          </c:cat>
          <c:val>
            <c:numRef>
              <c:f>'avg key depth'!$C$21:$C$24</c:f>
              <c:numCache>
                <c:formatCode>General</c:formatCode>
                <c:ptCount val="4"/>
                <c:pt idx="0">
                  <c:v>19.71499</c:v>
                </c:pt>
                <c:pt idx="1">
                  <c:v>23.050548333333332</c:v>
                </c:pt>
                <c:pt idx="2">
                  <c:v>26.239986666666663</c:v>
                </c:pt>
                <c:pt idx="3">
                  <c:v>29.469151666666669</c:v>
                </c:pt>
              </c:numCache>
            </c:numRef>
          </c:val>
          <c:extLst>
            <c:ext xmlns:c16="http://schemas.microsoft.com/office/drawing/2014/chart" uri="{C3380CC4-5D6E-409C-BE32-E72D297353CC}">
              <c16:uniqueId val="{00000001-5658-45BE-A5DF-AD99D57E6D72}"/>
            </c:ext>
          </c:extLst>
        </c:ser>
        <c:ser>
          <c:idx val="1"/>
          <c:order val="2"/>
          <c:tx>
            <c:strRef>
              <c:f>'avg key depth'!$D$20</c:f>
              <c:strCache>
                <c:ptCount val="1"/>
                <c:pt idx="0">
                  <c:v>ABTree</c:v>
                </c:pt>
              </c:strCache>
            </c:strRef>
          </c:tx>
          <c:spPr>
            <a:solidFill>
              <a:schemeClr val="accent2"/>
            </a:solidFill>
            <a:ln w="76200">
              <a:noFill/>
            </a:ln>
            <a:effectLst/>
          </c:spPr>
          <c:invertIfNegative val="0"/>
          <c:errBars>
            <c:errBarType val="both"/>
            <c:errValType val="cust"/>
            <c:noEndCap val="1"/>
            <c:plus>
              <c:numRef>
                <c:f>'avg key depth'!$AC$47:$AC$50</c:f>
                <c:numCache>
                  <c:formatCode>General</c:formatCode>
                  <c:ptCount val="4"/>
                  <c:pt idx="0">
                    <c:v>0</c:v>
                  </c:pt>
                  <c:pt idx="1">
                    <c:v>0.91666666666666607</c:v>
                  </c:pt>
                  <c:pt idx="2">
                    <c:v>0.83333333333333393</c:v>
                  </c:pt>
                  <c:pt idx="3">
                    <c:v>5.0000000000000711E-2</c:v>
                  </c:pt>
                </c:numCache>
              </c:numRef>
            </c:plus>
            <c:minus>
              <c:numRef>
                <c:f>'avg key depth'!$D$47:$D$50</c:f>
                <c:numCache>
                  <c:formatCode>General</c:formatCode>
                  <c:ptCount val="4"/>
                  <c:pt idx="0">
                    <c:v>0</c:v>
                  </c:pt>
                  <c:pt idx="1">
                    <c:v>8.3333333333333925E-2</c:v>
                  </c:pt>
                  <c:pt idx="2">
                    <c:v>0.16666666666666607</c:v>
                  </c:pt>
                  <c:pt idx="3">
                    <c:v>0.94999999999999929</c:v>
                  </c:pt>
                </c:numCache>
              </c:numRef>
            </c:minus>
            <c:spPr>
              <a:noFill/>
              <a:ln w="127000" cap="flat" cmpd="sng" algn="ctr">
                <a:solidFill>
                  <a:srgbClr val="000000"/>
                </a:solidFill>
                <a:prstDash val="solid"/>
                <a:round/>
                <a:headEnd type="none" w="med" len="med"/>
                <a:tailEnd type="none" w="med" len="med"/>
              </a:ln>
              <a:effectLst/>
            </c:spPr>
          </c:errBars>
          <c:cat>
            <c:strRef>
              <c:f>'avg key depth'!$A$21:$A$24</c:f>
              <c:strCache>
                <c:ptCount val="4"/>
                <c:pt idx="0">
                  <c:v>2x10^6</c:v>
                </c:pt>
                <c:pt idx="1">
                  <c:v>2x10^7</c:v>
                </c:pt>
                <c:pt idx="2">
                  <c:v>2x10^8</c:v>
                </c:pt>
                <c:pt idx="3">
                  <c:v>2x10^9</c:v>
                </c:pt>
              </c:strCache>
            </c:strRef>
          </c:cat>
          <c:val>
            <c:numRef>
              <c:f>'avg key depth'!$D$21:$D$24</c:f>
              <c:numCache>
                <c:formatCode>General</c:formatCode>
                <c:ptCount val="4"/>
                <c:pt idx="0">
                  <c:v>7</c:v>
                </c:pt>
                <c:pt idx="1">
                  <c:v>8.0833333333333339</c:v>
                </c:pt>
                <c:pt idx="2">
                  <c:v>9.1666666666666661</c:v>
                </c:pt>
                <c:pt idx="3">
                  <c:v>10.95</c:v>
                </c:pt>
              </c:numCache>
            </c:numRef>
          </c:val>
          <c:extLst>
            <c:ext xmlns:c16="http://schemas.microsoft.com/office/drawing/2014/chart" uri="{C3380CC4-5D6E-409C-BE32-E72D297353CC}">
              <c16:uniqueId val="{00000002-5658-45BE-A5DF-AD99D57E6D72}"/>
            </c:ext>
          </c:extLst>
        </c:ser>
        <c:ser>
          <c:idx val="3"/>
          <c:order val="3"/>
          <c:tx>
            <c:strRef>
              <c:f>'avg key depth'!$E$20</c:f>
              <c:strCache>
                <c:ptCount val="1"/>
                <c:pt idx="0">
                  <c:v>ISTree</c:v>
                </c:pt>
              </c:strCache>
            </c:strRef>
          </c:tx>
          <c:spPr>
            <a:solidFill>
              <a:schemeClr val="accent4"/>
            </a:solidFill>
            <a:ln w="76200">
              <a:noFill/>
            </a:ln>
            <a:effectLst/>
          </c:spPr>
          <c:invertIfNegative val="0"/>
          <c:errBars>
            <c:errBarType val="both"/>
            <c:errValType val="cust"/>
            <c:noEndCap val="1"/>
            <c:plus>
              <c:numRef>
                <c:f>'avg key depth'!$AD$47:$AD$50</c:f>
                <c:numCache>
                  <c:formatCode>General</c:formatCode>
                  <c:ptCount val="4"/>
                  <c:pt idx="0">
                    <c:v>7.7125833333332672E-2</c:v>
                  </c:pt>
                  <c:pt idx="1">
                    <c:v>2.8007666666666431E-2</c:v>
                  </c:pt>
                  <c:pt idx="2">
                    <c:v>3.7934500000000426E-2</c:v>
                  </c:pt>
                  <c:pt idx="3">
                    <c:v>5.6817666666667321E-2</c:v>
                  </c:pt>
                </c:numCache>
              </c:numRef>
            </c:plus>
            <c:minus>
              <c:numRef>
                <c:f>'avg key depth'!$E$47:$E$50</c:f>
                <c:numCache>
                  <c:formatCode>General</c:formatCode>
                  <c:ptCount val="4"/>
                  <c:pt idx="0">
                    <c:v>3.4964166666667129E-2</c:v>
                  </c:pt>
                  <c:pt idx="1">
                    <c:v>2.8052333333334012E-2</c:v>
                  </c:pt>
                  <c:pt idx="2">
                    <c:v>4.3915499999999774E-2</c:v>
                  </c:pt>
                  <c:pt idx="3">
                    <c:v>3.5542333333332898E-2</c:v>
                  </c:pt>
                </c:numCache>
              </c:numRef>
            </c:minus>
            <c:spPr>
              <a:noFill/>
              <a:ln w="127000" cap="flat" cmpd="sng" algn="ctr">
                <a:solidFill>
                  <a:srgbClr val="000000"/>
                </a:solidFill>
                <a:prstDash val="solid"/>
                <a:round/>
                <a:headEnd type="none" w="med" len="med"/>
                <a:tailEnd type="none" w="med" len="med"/>
              </a:ln>
              <a:effectLst/>
            </c:spPr>
          </c:errBars>
          <c:cat>
            <c:strRef>
              <c:f>'avg key depth'!$A$21:$A$24</c:f>
              <c:strCache>
                <c:ptCount val="4"/>
                <c:pt idx="0">
                  <c:v>2x10^6</c:v>
                </c:pt>
                <c:pt idx="1">
                  <c:v>2x10^7</c:v>
                </c:pt>
                <c:pt idx="2">
                  <c:v>2x10^8</c:v>
                </c:pt>
                <c:pt idx="3">
                  <c:v>2x10^9</c:v>
                </c:pt>
              </c:strCache>
            </c:strRef>
          </c:cat>
          <c:val>
            <c:numRef>
              <c:f>'avg key depth'!$E$21:$E$24</c:f>
              <c:numCache>
                <c:formatCode>General</c:formatCode>
                <c:ptCount val="4"/>
                <c:pt idx="0">
                  <c:v>3.0349641666666671</c:v>
                </c:pt>
                <c:pt idx="1">
                  <c:v>4.028052333333334</c:v>
                </c:pt>
                <c:pt idx="2">
                  <c:v>4.0439154999999998</c:v>
                </c:pt>
                <c:pt idx="3">
                  <c:v>4.0355423333333329</c:v>
                </c:pt>
              </c:numCache>
            </c:numRef>
          </c:val>
          <c:extLst>
            <c:ext xmlns:c16="http://schemas.microsoft.com/office/drawing/2014/chart" uri="{C3380CC4-5D6E-409C-BE32-E72D297353CC}">
              <c16:uniqueId val="{00000003-5658-45BE-A5DF-AD99D57E6D72}"/>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size of key range</a:t>
                </a: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average key depth</a:t>
                </a:r>
                <a:endParaRPr lang="en-US" sz="4000">
                  <a:solidFill>
                    <a:schemeClr val="bg1"/>
                  </a:solidFill>
                </a:endParaRPr>
              </a:p>
            </c:rich>
          </c:tx>
          <c:layout>
            <c:manualLayout>
              <c:xMode val="edge"/>
              <c:yMode val="edge"/>
              <c:x val="6.4493839314868915E-3"/>
              <c:y val="0.1933274966745668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tr"/>
      <c:layout>
        <c:manualLayout>
          <c:xMode val="edge"/>
          <c:yMode val="edge"/>
          <c:x val="0.15611681747109329"/>
          <c:y val="7.3847634501315026E-2"/>
          <c:w val="0.3569546957016464"/>
          <c:h val="0.16395739546007965"/>
        </c:manualLayout>
      </c:layout>
      <c:overlay val="1"/>
      <c:spPr>
        <a:solidFill>
          <a:srgbClr val="FFFFFF"/>
        </a:solidFill>
        <a:ln w="12700">
          <a:solidFill>
            <a:srgbClr val="000000"/>
          </a:solid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cycle_breakdown!$C$2</c:f>
          <c:strCache>
            <c:ptCount val="1"/>
            <c:pt idx="0">
              <c:v>u=40%, k=2x10^9, 190 threads</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7060014434746632"/>
          <c:y val="0.14162080204682037"/>
          <c:w val="0.71393800850744693"/>
          <c:h val="0.62134310671282555"/>
        </c:manualLayout>
      </c:layout>
      <c:barChart>
        <c:barDir val="col"/>
        <c:grouping val="stacked"/>
        <c:varyColors val="0"/>
        <c:ser>
          <c:idx val="2"/>
          <c:order val="0"/>
          <c:tx>
            <c:strRef>
              <c:f>cycle_breakdown!$B$20</c:f>
              <c:strCache>
                <c:ptCount val="1"/>
                <c:pt idx="0">
                  <c:v>other</c:v>
                </c:pt>
              </c:strCache>
            </c:strRef>
          </c:tx>
          <c:spPr>
            <a:solidFill>
              <a:schemeClr val="accent3"/>
            </a:solidFill>
            <a:ln>
              <a:noFill/>
            </a:ln>
            <a:effectLst/>
          </c:spPr>
          <c:invertIfNegative val="0"/>
          <c:cat>
            <c:strRef>
              <c:f>cycle_breakdown!$A$21:$A$24</c:f>
              <c:strCache>
                <c:ptCount val="4"/>
                <c:pt idx="0">
                  <c:v>NM</c:v>
                </c:pt>
                <c:pt idx="1">
                  <c:v>BCCO</c:v>
                </c:pt>
                <c:pt idx="2">
                  <c:v>ABTree</c:v>
                </c:pt>
                <c:pt idx="3">
                  <c:v>ISTree</c:v>
                </c:pt>
              </c:strCache>
            </c:strRef>
          </c:cat>
          <c:val>
            <c:numRef>
              <c:f>cycle_breakdown!$B$21:$B$24</c:f>
              <c:numCache>
                <c:formatCode>0</c:formatCode>
                <c:ptCount val="4"/>
                <c:pt idx="0">
                  <c:v>2293.7666666666682</c:v>
                </c:pt>
                <c:pt idx="1">
                  <c:v>1733.6000000000004</c:v>
                </c:pt>
                <c:pt idx="2">
                  <c:v>1678.8200000000006</c:v>
                </c:pt>
                <c:pt idx="3">
                  <c:v>1165.1500000000005</c:v>
                </c:pt>
              </c:numCache>
            </c:numRef>
          </c:val>
          <c:extLst>
            <c:ext xmlns:c16="http://schemas.microsoft.com/office/drawing/2014/chart" uri="{C3380CC4-5D6E-409C-BE32-E72D297353CC}">
              <c16:uniqueId val="{00000000-864F-4AE7-BC3C-4518DB3BD271}"/>
            </c:ext>
          </c:extLst>
        </c:ser>
        <c:ser>
          <c:idx val="0"/>
          <c:order val="1"/>
          <c:tx>
            <c:strRef>
              <c:f>cycle_breakdown!$C$20</c:f>
              <c:strCache>
                <c:ptCount val="1"/>
                <c:pt idx="0">
                  <c:v>resource stall</c:v>
                </c:pt>
              </c:strCache>
            </c:strRef>
          </c:tx>
          <c:spPr>
            <a:solidFill>
              <a:schemeClr val="accent1"/>
            </a:solidFill>
            <a:ln w="76200">
              <a:noFill/>
            </a:ln>
            <a:effectLst/>
          </c:spPr>
          <c:invertIfNegative val="0"/>
          <c:dLbls>
            <c:dLbl>
              <c:idx val="0"/>
              <c:layout/>
              <c:tx>
                <c:rich>
                  <a:bodyPr/>
                  <a:lstStyle/>
                  <a:p>
                    <a:fld id="{A6524CBF-1221-460E-AB53-B033267B61B8}"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2-864F-4AE7-BC3C-4518DB3BD271}"/>
                </c:ext>
              </c:extLst>
            </c:dLbl>
            <c:dLbl>
              <c:idx val="1"/>
              <c:layout/>
              <c:tx>
                <c:rich>
                  <a:bodyPr/>
                  <a:lstStyle/>
                  <a:p>
                    <a:fld id="{A138B4D7-1ADD-4724-9363-4E52EAE15F0F}"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864F-4AE7-BC3C-4518DB3BD271}"/>
                </c:ext>
              </c:extLst>
            </c:dLbl>
            <c:dLbl>
              <c:idx val="2"/>
              <c:layout/>
              <c:tx>
                <c:rich>
                  <a:bodyPr/>
                  <a:lstStyle/>
                  <a:p>
                    <a:fld id="{18D64FA2-A3E8-4B43-89CA-023FCC9EC1AA}"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864F-4AE7-BC3C-4518DB3BD271}"/>
                </c:ext>
              </c:extLst>
            </c:dLbl>
            <c:dLbl>
              <c:idx val="3"/>
              <c:layout/>
              <c:tx>
                <c:rich>
                  <a:bodyPr/>
                  <a:lstStyle/>
                  <a:p>
                    <a:fld id="{7039933D-0D6B-46C0-9F1E-FB4FE3D32D18}"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864F-4AE7-BC3C-4518DB3BD271}"/>
                </c:ext>
              </c:extLst>
            </c:dLbl>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rgbClr val="FFFFFF"/>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cycle_breakdown!$A$21:$A$24</c:f>
              <c:strCache>
                <c:ptCount val="4"/>
                <c:pt idx="0">
                  <c:v>NM</c:v>
                </c:pt>
                <c:pt idx="1">
                  <c:v>BCCO</c:v>
                </c:pt>
                <c:pt idx="2">
                  <c:v>ABTree</c:v>
                </c:pt>
                <c:pt idx="3">
                  <c:v>ISTree</c:v>
                </c:pt>
              </c:strCache>
            </c:strRef>
          </c:cat>
          <c:val>
            <c:numRef>
              <c:f>cycle_breakdown!$C$21:$C$24</c:f>
              <c:numCache>
                <c:formatCode>General</c:formatCode>
                <c:ptCount val="4"/>
                <c:pt idx="0">
                  <c:v>13203.1</c:v>
                </c:pt>
                <c:pt idx="1">
                  <c:v>10661.733333333334</c:v>
                </c:pt>
                <c:pt idx="2">
                  <c:v>5577.0166666666664</c:v>
                </c:pt>
                <c:pt idx="3">
                  <c:v>4627.956666666666</c:v>
                </c:pt>
              </c:numCache>
            </c:numRef>
          </c:val>
          <c:extLst>
            <c:ext xmlns:c15="http://schemas.microsoft.com/office/drawing/2012/chart" uri="{02D57815-91ED-43cb-92C2-25804820EDAC}">
              <c15:datalabelsRange>
                <c15:f>cycle_breakdown!$F$45:$F$48</c15:f>
                <c15:dlblRangeCache>
                  <c:ptCount val="4"/>
                  <c:pt idx="0">
                    <c:v>33.4</c:v>
                  </c:pt>
                  <c:pt idx="1">
                    <c:v>33.0</c:v>
                  </c:pt>
                  <c:pt idx="2">
                    <c:v>21.4</c:v>
                  </c:pt>
                  <c:pt idx="3">
                    <c:v>19.7</c:v>
                  </c:pt>
                </c15:dlblRangeCache>
              </c15:datalabelsRange>
            </c:ext>
            <c:ext xmlns:c16="http://schemas.microsoft.com/office/drawing/2014/chart" uri="{C3380CC4-5D6E-409C-BE32-E72D297353CC}">
              <c16:uniqueId val="{00000001-864F-4AE7-BC3C-4518DB3BD271}"/>
            </c:ext>
          </c:extLst>
        </c:ser>
        <c:dLbls>
          <c:showLegendKey val="0"/>
          <c:showVal val="0"/>
          <c:showCatName val="0"/>
          <c:showSerName val="0"/>
          <c:showPercent val="0"/>
          <c:showBubbleSize val="0"/>
        </c:dLbls>
        <c:gapWidth val="6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r>
                  <a:rPr lang="en-US" sz="3200" b="1">
                    <a:solidFill>
                      <a:schemeClr val="bg1"/>
                    </a:solidFill>
                  </a:rPr>
                  <a:t>LLC misses/op</a:t>
                </a:r>
              </a:p>
              <a:p>
                <a:pPr>
                  <a:defRPr sz="3200">
                    <a:solidFill>
                      <a:schemeClr val="bg1"/>
                    </a:solidFill>
                  </a:defRPr>
                </a:pPr>
                <a:r>
                  <a:rPr lang="en-US" sz="3200">
                    <a:solidFill>
                      <a:schemeClr val="bg1"/>
                    </a:solidFill>
                  </a:rPr>
                  <a:t>also shown</a:t>
                </a:r>
              </a:p>
            </c:rich>
          </c:tx>
          <c:layout>
            <c:manualLayout>
              <c:xMode val="edge"/>
              <c:yMode val="edge"/>
              <c:x val="1.5461847145086692E-2"/>
              <c:y val="0.83036296507320284"/>
            </c:manualLayout>
          </c:layout>
          <c:overlay val="0"/>
          <c:spPr>
            <a:noFill/>
            <a:ln w="12700">
              <a:solidFill>
                <a:schemeClr val="bg1"/>
              </a:solidFill>
            </a:ln>
            <a:effectLst/>
          </c:spPr>
          <c:txPr>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r>
                  <a:rPr lang="en-US" sz="4000" b="1">
                    <a:solidFill>
                      <a:schemeClr val="bg1"/>
                    </a:solidFill>
                  </a:rPr>
                  <a:t>cycles/op breakdown</a:t>
                </a:r>
              </a:p>
            </c:rich>
          </c:tx>
          <c:layout>
            <c:manualLayout>
              <c:xMode val="edge"/>
              <c:yMode val="edge"/>
              <c:x val="4.9617366321706247E-4"/>
              <c:y val="0.10734825950943903"/>
            </c:manualLayout>
          </c:layout>
          <c:overlay val="0"/>
          <c:spPr>
            <a:noFill/>
            <a:ln>
              <a:noFill/>
            </a:ln>
            <a:effectLst/>
          </c:spPr>
          <c:txPr>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38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r"/>
      <c:layout>
        <c:manualLayout>
          <c:xMode val="edge"/>
          <c:yMode val="edge"/>
          <c:x val="0.33752625719371571"/>
          <c:y val="0.9020371527792822"/>
          <c:w val="0.59922073175820234"/>
          <c:h val="8.829566675476716E-2"/>
        </c:manualLayout>
      </c:layout>
      <c:overlay val="1"/>
      <c:spPr>
        <a:solidFill>
          <a:srgbClr val="FFFFFF"/>
        </a:solidFill>
        <a:ln w="12700">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Mai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217716</xdr:colOff>
      <xdr:row>43</xdr:row>
      <xdr:rowOff>27217</xdr:rowOff>
    </xdr:from>
    <xdr:to>
      <xdr:col>38</xdr:col>
      <xdr:colOff>278947</xdr:colOff>
      <xdr:row>46</xdr:row>
      <xdr:rowOff>27215</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306160</xdr:colOff>
      <xdr:row>1</xdr:row>
      <xdr:rowOff>144236</xdr:rowOff>
    </xdr:from>
    <xdr:to>
      <xdr:col>46</xdr:col>
      <xdr:colOff>364671</xdr:colOff>
      <xdr:row>41</xdr:row>
      <xdr:rowOff>181882</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421823</xdr:colOff>
      <xdr:row>43</xdr:row>
      <xdr:rowOff>115663</xdr:rowOff>
    </xdr:from>
    <xdr:to>
      <xdr:col>45</xdr:col>
      <xdr:colOff>326570</xdr:colOff>
      <xdr:row>47</xdr:row>
      <xdr:rowOff>20410</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598714</xdr:colOff>
      <xdr:row>1</xdr:row>
      <xdr:rowOff>89807</xdr:rowOff>
    </xdr:from>
    <xdr:to>
      <xdr:col>47</xdr:col>
      <xdr:colOff>4082</xdr:colOff>
      <xdr:row>41</xdr:row>
      <xdr:rowOff>127453</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2.59757928241" missingItemsLimit="0" createdVersion="6" refreshedVersion="6" minRefreshableVersion="3" recordCount="961">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645456872E+18"/>
    </cacheField>
    <cacheField name="threads_final_size" numFmtId="0">
      <sharedItems containsString="0" containsBlank="1" containsNumber="1" containsInteger="1" minValue="998174" maxValue="1000036559"/>
    </cacheField>
    <cacheField name="final_keysum" numFmtId="0">
      <sharedItems containsString="0" containsBlank="1" containsNumber="1" containsInteger="1" minValue="997633311913" maxValue="1.00004645456872E+18"/>
    </cacheField>
    <cacheField name="final_size" numFmtId="0">
      <sharedItems containsString="0" containsBlank="1" containsNumber="1" containsInteger="1" minValue="998174" maxValue="1000036559"/>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36558"/>
    </cacheField>
    <cacheField name="tree_stats_numLeaves" numFmtId="0">
      <sharedItems containsString="0" containsBlank="1" containsNumber="1" containsInteger="1" minValue="127466" maxValue="1169948947"/>
    </cacheField>
    <cacheField name="tree_stats_numNodes" numFmtId="0">
      <sharedItems containsString="0" containsBlank="1" containsNumber="1" containsInteger="1" minValue="146017" maxValue="2000073117"/>
    </cacheField>
    <cacheField name="tree_stats_numKeys" numFmtId="0">
      <sharedItems containsString="0" containsBlank="1" containsNumber="1" containsInteger="1" minValue="998174" maxValue="1000036559"/>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74300000000001" maxValue="7.8452299999999999"/>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String="0" containsBlank="1" containsNumber="1" containsInteger="1" minValue="19155312" maxValue="6400233974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 maxValue="23359234"/>
    </cacheField>
    <cacheField name="first_thread_announced_epoch_by_index" numFmtId="0">
      <sharedItems containsBlank="1" containsMixedTypes="1" containsNumber="1" containsInteger="1" minValue="12776" maxValue="96868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7792100000000002E-2" maxValue="33.412100000000002"/>
    </cacheField>
    <cacheField name="PAPI_TOT_CYC" numFmtId="0">
      <sharedItems containsString="0" containsBlank="1" containsNumber="1" minValue="761.58" maxValue="16336.3"/>
    </cacheField>
    <cacheField name="PAPI_RES_STL" numFmtId="0">
      <sharedItems containsString="0" containsBlank="1" containsNumber="1" minValue="230.27600000000001" maxValue="15015.1"/>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956"/>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1">
  <r>
    <s v="istree_exp1_scaling_threads/scaling_threads/step10001.txt"/>
    <x v="0"/>
    <n v="72"/>
    <s v="reclaimer_debra"/>
    <s v="allocator_new"/>
    <s v="pool_none"/>
    <n v="30000"/>
    <n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n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n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n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n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n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n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n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n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n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n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n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n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n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n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n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n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n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n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n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n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n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n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n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n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n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n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n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n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n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n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n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n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n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n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n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n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n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n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n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n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n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n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n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n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n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n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n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n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n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n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n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n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n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n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n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n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n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n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n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n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n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n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n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n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n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n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n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n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n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n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n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n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n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n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n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n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n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n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n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n v="0.5"/>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n v="0.5"/>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n v="0.5"/>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n v="0.5"/>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n v="0.5"/>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n v="0.5"/>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n v="0.5"/>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n v="0.5"/>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n v="0.5"/>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n v="0.5"/>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n v="0.5"/>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n v="0.5"/>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n v="0.5"/>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n v="0.5"/>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n v="0.5"/>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n v="0.5"/>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n v="0.5"/>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n v="0.5"/>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n v="0.5"/>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n v="0.5"/>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n v="0.5"/>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n v="0.5"/>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n v="0.5"/>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n v="0.5"/>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n v="0.5"/>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n v="0.5"/>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n v="0.5"/>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n v="0.5"/>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n v="0.5"/>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n v="0.5"/>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n v="0.5"/>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n v="0.5"/>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n v="0.5"/>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n v="0.5"/>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n v="0.5"/>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n v="0.5"/>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n v="0.5"/>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n v="0.5"/>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n v="0.5"/>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n v="0.5"/>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n v="0.5"/>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n v="0.5"/>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n v="0.5"/>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n v="0.5"/>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n v="0.5"/>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n v="0.5"/>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n v="0.5"/>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n v="0.5"/>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n v="0.5"/>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n v="0.5"/>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n v="0.5"/>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n v="0.5"/>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n v="0.5"/>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n v="0.5"/>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n v="0.5"/>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n v="0.5"/>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n v="0.5"/>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n v="0.5"/>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n v="0.5"/>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n v="0.5"/>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n v="0.5"/>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n v="0.5"/>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n v="0.5"/>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n v="0.5"/>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n v="0.5"/>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n v="0.5"/>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n v="0.5"/>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n v="0.5"/>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n v="0.5"/>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n v="0.5"/>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n v="0.5"/>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n v="0.5"/>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n v="0.5"/>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n v="0.5"/>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n v="0.5"/>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n v="0.5"/>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n v="0.5"/>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n v="0.5"/>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n v="0.5"/>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n v="0.5"/>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n v="5"/>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n v="5"/>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n v="5"/>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n v="5"/>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n v="5"/>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n v="5"/>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n v="5"/>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n v="5"/>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n v="5"/>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n v="5"/>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n v="5"/>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n v="5"/>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n v="5"/>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n v="5"/>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n v="5"/>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n v="5"/>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n v="5"/>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n v="5"/>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n v="5"/>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n v="5"/>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n v="5"/>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n v="5"/>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n v="5"/>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n v="5"/>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n v="5"/>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n v="5"/>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n v="5"/>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n v="5"/>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n v="5"/>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n v="5"/>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n v="5"/>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n v="5"/>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n v="5"/>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n v="5"/>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n v="5"/>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n v="5"/>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n v="5"/>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n v="5"/>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n v="5"/>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n v="5"/>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n v="5"/>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n v="5"/>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n v="5"/>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n v="5"/>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n v="5"/>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n v="5"/>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n v="5"/>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n v="5"/>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n v="5"/>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n v="5"/>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n v="5"/>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n v="5"/>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n v="5"/>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n v="5"/>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n v="5"/>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n v="5"/>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n v="5"/>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n v="5"/>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n v="5"/>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n v="5"/>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n v="5"/>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n v="5"/>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n v="5"/>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n v="5"/>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n v="5"/>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n v="5"/>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n v="5"/>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n v="5"/>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n v="5"/>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n v="5"/>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n v="5"/>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n v="5"/>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n v="5"/>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n v="5"/>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n v="5"/>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n v="5"/>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n v="5"/>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n v="5"/>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n v="5"/>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n v="5"/>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n v="20"/>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n v="20"/>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n v="20"/>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n v="20"/>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n v="20"/>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n v="20"/>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n v="20"/>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n v="20"/>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n v="20"/>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n v="20"/>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n v="20"/>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n v="20"/>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n v="20"/>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n v="20"/>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n v="20"/>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n v="20"/>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n v="20"/>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n v="20"/>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n v="20"/>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n v="20"/>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n v="20"/>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n v="20"/>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n v="20"/>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n v="20"/>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n v="20"/>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n v="20"/>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n v="20"/>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n v="20"/>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n v="20"/>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n v="20"/>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n v="20"/>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n v="20"/>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n v="20"/>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n v="20"/>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n v="20"/>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n v="20"/>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n v="20"/>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n v="20"/>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n v="20"/>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n v="20"/>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n v="20"/>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n v="20"/>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n v="20"/>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n v="20"/>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n v="20"/>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n v="20"/>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n v="20"/>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n v="20"/>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n v="20"/>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n v="20"/>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n v="20"/>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n v="20"/>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n v="20"/>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n v="20"/>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n v="20"/>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n v="20"/>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n v="20"/>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n v="20"/>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n v="20"/>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n v="20"/>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n v="20"/>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n v="20"/>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n v="20"/>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n v="20"/>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n v="20"/>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n v="20"/>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n v="20"/>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n v="20"/>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n v="20"/>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n v="20"/>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n v="20"/>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n v="20"/>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n v="20"/>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n v="20"/>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n v="20"/>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n v="20"/>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n v="20"/>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n v="20"/>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n v="20"/>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n v="20"/>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n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n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n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n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n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n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n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n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n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n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n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n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n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n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n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n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n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n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n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n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n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n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n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n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n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n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n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n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n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n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n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n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n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n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n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n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n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n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n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n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n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n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n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n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n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n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n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n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n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n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n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n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n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n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n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n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n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n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n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n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n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n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n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n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n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n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n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n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n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n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n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n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n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n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n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n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n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n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n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n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n v="0.5"/>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n v="0.5"/>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n v="0.5"/>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n v="0.5"/>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n v="0.5"/>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n v="0.5"/>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n v="0.5"/>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n v="0.5"/>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n v="0.5"/>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n v="0.5"/>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n v="0.5"/>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n v="0.5"/>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n v="0.5"/>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n v="0.5"/>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n v="0.5"/>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n v="0.5"/>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n v="0.5"/>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n v="0.5"/>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n v="0.5"/>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n v="0.5"/>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n v="0.5"/>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n v="0.5"/>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n v="0.5"/>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n v="0.5"/>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n v="0.5"/>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n v="0.5"/>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n v="0.5"/>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n v="0.5"/>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n v="0.5"/>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n v="0.5"/>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n v="0.5"/>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n v="0.5"/>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n v="0.5"/>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n v="0.5"/>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n v="0.5"/>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n v="0.5"/>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n v="0.5"/>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n v="0.5"/>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n v="0.5"/>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n v="0.5"/>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n v="0.5"/>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n v="0.5"/>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n v="0.5"/>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n v="0.5"/>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n v="0.5"/>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n v="0.5"/>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n v="0.5"/>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n v="0.5"/>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n v="0.5"/>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n v="0.5"/>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n v="0.5"/>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n v="0.5"/>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n v="0.5"/>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n v="0.5"/>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n v="0.5"/>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n v="0.5"/>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n v="0.5"/>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n v="0.5"/>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n v="0.5"/>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n v="0.5"/>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n v="0.5"/>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n v="0.5"/>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n v="0.5"/>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n v="0.5"/>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n v="0.5"/>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n v="0.5"/>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n v="0.5"/>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n v="0.5"/>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n v="0.5"/>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n v="0.5"/>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n v="0.5"/>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n v="0.5"/>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n v="0.5"/>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n v="0.5"/>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n v="0.5"/>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n v="0.5"/>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n v="0.5"/>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n v="0.5"/>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n v="0.5"/>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n v="0.5"/>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n v="5"/>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n v="5"/>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n v="5"/>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n v="5"/>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n v="5"/>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n v="5"/>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n v="5"/>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n v="5"/>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n v="5"/>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n v="5"/>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n v="5"/>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n v="5"/>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n v="5"/>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n v="5"/>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n v="5"/>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n v="5"/>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n v="5"/>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n v="5"/>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n v="5"/>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n v="5"/>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n v="5"/>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n v="5"/>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n v="5"/>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n v="5"/>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n v="5"/>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n v="5"/>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n v="5"/>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n v="5"/>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n v="5"/>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n v="5"/>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n v="5"/>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n v="5"/>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n v="5"/>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n v="5"/>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n v="5"/>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n v="5"/>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n v="5"/>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n v="5"/>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n v="5"/>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n v="5"/>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n v="5"/>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n v="5"/>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n v="5"/>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n v="5"/>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n v="5"/>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n v="5"/>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n v="5"/>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n v="5"/>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n v="5"/>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n v="5"/>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n v="5"/>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n v="5"/>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n v="5"/>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n v="5"/>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n v="5"/>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n v="5"/>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n v="5"/>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n v="5"/>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n v="5"/>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n v="5"/>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n v="5"/>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n v="5"/>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n v="5"/>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n v="5"/>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n v="5"/>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n v="5"/>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n v="5"/>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n v="5"/>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n v="5"/>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n v="5"/>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n v="5"/>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n v="5"/>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n v="5"/>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n v="5"/>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n v="5"/>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n v="5"/>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n v="5"/>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n v="5"/>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n v="5"/>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n v="5"/>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n v="20"/>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n v="20"/>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n v="20"/>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n v="20"/>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n v="20"/>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n v="20"/>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n v="20"/>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n v="20"/>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n v="20"/>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n v="20"/>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n v="20"/>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n v="20"/>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n v="20"/>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n v="20"/>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n v="20"/>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n v="20"/>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n v="20"/>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n v="20"/>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n v="20"/>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n v="20"/>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n v="20"/>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n v="20"/>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n v="20"/>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n v="20"/>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n v="20"/>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n v="20"/>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n v="20"/>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n v="20"/>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n v="20"/>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n v="20"/>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n v="20"/>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n v="20"/>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n v="20"/>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n v="20"/>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n v="20"/>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n v="20"/>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n v="20"/>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n v="20"/>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n v="20"/>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n v="20"/>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n v="20"/>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n v="20"/>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n v="20"/>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n v="20"/>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n v="20"/>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n v="20"/>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n v="20"/>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n v="20"/>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n v="20"/>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n v="20"/>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n v="20"/>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n v="20"/>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n v="20"/>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n v="20"/>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n v="20"/>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n v="20"/>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n v="20"/>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n v="20"/>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n v="20"/>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n v="20"/>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n v="20"/>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n v="20"/>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n v="20"/>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n v="20"/>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n v="20"/>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n v="20"/>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n v="20"/>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n v="20"/>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n v="20"/>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n v="20"/>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n v="20"/>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n v="20"/>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n v="20"/>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n v="20"/>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n v="20"/>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n v="20"/>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n v="20"/>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n v="20"/>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n v="20"/>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n v="20"/>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s v="istree_exp1_scaling_threads/step10001.txt"/>
    <x v="0"/>
    <n v="72"/>
    <s v="reclaimer_debra"/>
    <s v="allocator_new"/>
    <s v="pool_none"/>
    <n v="30000"/>
    <n v="0"/>
    <n v="0"/>
    <n v="0"/>
    <n v="1"/>
    <x v="0"/>
    <n v="24"/>
    <x v="0"/>
    <n v="24"/>
    <n v="0"/>
    <s v="insertIfAbsent"/>
    <n v="1000050507297"/>
    <n v="1000001"/>
    <n v="1000050507297"/>
    <n v="1000001"/>
    <s v="success"/>
    <n v="5"/>
    <n v="33035"/>
    <n v="1032033"/>
    <n v="1065068"/>
    <n v="1000001"/>
    <n v="32.240600000000001"/>
    <n v="0.96896199999999999"/>
    <n v="1.9389099999999999"/>
    <n v="3"/>
    <n v="19155312"/>
    <m/>
    <m/>
    <m/>
    <n v="968684"/>
    <m/>
    <m/>
    <n v="2635649482"/>
    <n v="0"/>
    <n v="0"/>
    <n v="2635649482"/>
    <n v="2635649482"/>
    <n v="87854982"/>
    <n v="0"/>
    <n v="0"/>
    <n v="87854982"/>
    <n v="87854982"/>
    <n v="7.7491000000000003"/>
    <n v="1.7792100000000002E-2"/>
    <n v="762.101"/>
    <n v="235.679"/>
    <n v="1124"/>
    <n v="26"/>
    <x v="0"/>
  </r>
  <r>
    <s v="istree_exp1_scaling_threads/step10002.txt"/>
    <x v="0"/>
    <n v="72"/>
    <s v="reclaimer_debra"/>
    <s v="allocator_new"/>
    <s v="pool_none"/>
    <n v="30000"/>
    <n v="0"/>
    <n v="0"/>
    <n v="0"/>
    <n v="1"/>
    <x v="0"/>
    <n v="48"/>
    <x v="1"/>
    <n v="48"/>
    <n v="0"/>
    <s v="insertIfAbsent"/>
    <n v="1000592177790"/>
    <n v="1000001"/>
    <n v="1000592177790"/>
    <n v="1000001"/>
    <s v="success"/>
    <n v="5"/>
    <n v="33035"/>
    <n v="1032033"/>
    <n v="1065068"/>
    <n v="1000001"/>
    <n v="32.240600000000001"/>
    <n v="0.96896199999999999"/>
    <n v="1.9389099999999999"/>
    <n v="3"/>
    <n v="19155312"/>
    <m/>
    <m/>
    <m/>
    <n v="366172"/>
    <m/>
    <m/>
    <n v="4052017100"/>
    <n v="0"/>
    <n v="0"/>
    <n v="4052017100"/>
    <n v="4052017100"/>
    <n v="135067236"/>
    <n v="0"/>
    <n v="0"/>
    <n v="135067236"/>
    <n v="135067236"/>
    <n v="7.7193899999999998"/>
    <n v="2.2803299999999999E-2"/>
    <n v="985.26499999999999"/>
    <n v="317.54399999999998"/>
    <n v="1136"/>
    <n v="72"/>
    <x v="0"/>
  </r>
  <r>
    <s v="istree_exp1_scaling_threads/step10003.txt"/>
    <x v="0"/>
    <n v="72"/>
    <s v="reclaimer_debra"/>
    <s v="allocator_new"/>
    <s v="pool_none"/>
    <n v="30000"/>
    <n v="0"/>
    <n v="0"/>
    <n v="0"/>
    <n v="1"/>
    <x v="0"/>
    <n v="96"/>
    <x v="2"/>
    <n v="96"/>
    <n v="0"/>
    <s v="insertIfAbsent"/>
    <n v="999967635196"/>
    <n v="1000001"/>
    <n v="999967635196"/>
    <n v="1000001"/>
    <s v="success"/>
    <n v="5"/>
    <n v="33035"/>
    <n v="1032033"/>
    <n v="1065068"/>
    <n v="1000001"/>
    <n v="32.240600000000001"/>
    <n v="0.96896199999999999"/>
    <n v="1.9389099999999999"/>
    <n v="3"/>
    <n v="19155312"/>
    <m/>
    <m/>
    <m/>
    <n v="174474"/>
    <m/>
    <m/>
    <n v="7666060401"/>
    <n v="0"/>
    <n v="0"/>
    <n v="7666060401"/>
    <n v="7666060401"/>
    <n v="255535346"/>
    <n v="0"/>
    <n v="0"/>
    <n v="255535346"/>
    <n v="255535346"/>
    <n v="7.93635"/>
    <n v="5.6135400000000002E-2"/>
    <n v="1040.6099999999999"/>
    <n v="326.52999999999997"/>
    <n v="1162"/>
    <n v="189"/>
    <x v="0"/>
  </r>
  <r>
    <s v="istree_exp1_scaling_threads/step10004.txt"/>
    <x v="0"/>
    <n v="72"/>
    <s v="reclaimer_debra"/>
    <s v="allocator_new"/>
    <s v="pool_none"/>
    <n v="30000"/>
    <n v="0"/>
    <n v="0"/>
    <n v="0"/>
    <n v="1"/>
    <x v="0"/>
    <n v="144"/>
    <x v="3"/>
    <n v="144"/>
    <n v="0"/>
    <s v="insertIfAbsent"/>
    <n v="999275274890"/>
    <n v="1000001"/>
    <n v="999275274890"/>
    <n v="1000001"/>
    <s v="success"/>
    <n v="5"/>
    <n v="33035"/>
    <n v="1032033"/>
    <n v="1065068"/>
    <n v="1000001"/>
    <n v="32.240600000000001"/>
    <n v="0.96896199999999999"/>
    <n v="1.9389099999999999"/>
    <n v="3"/>
    <n v="19155312"/>
    <m/>
    <m/>
    <m/>
    <n v="112756"/>
    <m/>
    <m/>
    <n v="11076047350"/>
    <n v="0"/>
    <n v="0"/>
    <n v="11076047350"/>
    <n v="11076047350"/>
    <n v="369201578"/>
    <n v="0"/>
    <n v="0"/>
    <n v="369201578"/>
    <n v="369201578"/>
    <n v="8.3040000000000003"/>
    <n v="7.9876299999999997E-2"/>
    <n v="1067.51"/>
    <n v="349.827"/>
    <n v="1189"/>
    <n v="170"/>
    <x v="0"/>
  </r>
  <r>
    <s v="istree_exp1_scaling_threads/step10005.txt"/>
    <x v="0"/>
    <n v="72"/>
    <s v="reclaimer_debra"/>
    <s v="allocator_new"/>
    <s v="pool_none"/>
    <n v="30000"/>
    <n v="0"/>
    <n v="0"/>
    <n v="0"/>
    <n v="1"/>
    <x v="0"/>
    <n v="190"/>
    <x v="4"/>
    <n v="190"/>
    <n v="0"/>
    <s v="insertIfAbsent"/>
    <n v="1000197587973"/>
    <n v="1000001"/>
    <n v="1000197587973"/>
    <n v="1000001"/>
    <s v="success"/>
    <n v="5"/>
    <n v="33035"/>
    <n v="1032033"/>
    <n v="1065068"/>
    <n v="1000001"/>
    <n v="32.240600000000001"/>
    <n v="0.96896199999999999"/>
    <n v="1.9389099999999999"/>
    <n v="3"/>
    <n v="19155312"/>
    <m/>
    <m/>
    <m/>
    <n v="102036"/>
    <m/>
    <m/>
    <n v="14617078113"/>
    <n v="0"/>
    <n v="0"/>
    <n v="14617078113"/>
    <n v="14617078113"/>
    <n v="487235937"/>
    <n v="0"/>
    <n v="0"/>
    <n v="487235937"/>
    <n v="487235937"/>
    <n v="8.4193899999999999"/>
    <n v="9.4838099999999995E-2"/>
    <n v="1068.9100000000001"/>
    <n v="339.63299999999998"/>
    <n v="1217"/>
    <n v="274"/>
    <x v="0"/>
  </r>
  <r>
    <s v="istree_exp1_scaling_threads/step10006.txt"/>
    <x v="1"/>
    <n v="208"/>
    <s v="reclaimer_debra"/>
    <s v="allocator_new"/>
    <s v="pool_none"/>
    <n v="30000"/>
    <n v="0"/>
    <n v="0"/>
    <n v="0"/>
    <n v="1"/>
    <x v="0"/>
    <n v="24"/>
    <x v="0"/>
    <n v="24"/>
    <n v="0"/>
    <s v="insertIfAbsent"/>
    <n v="1000194957604"/>
    <n v="1000000"/>
    <n v="1000194957604"/>
    <n v="1000000"/>
    <s v="success"/>
    <n v="8"/>
    <n v="18552"/>
    <n v="127466"/>
    <n v="146018"/>
    <n v="1000000"/>
    <n v="7.8707399999999996"/>
    <n v="7.8452299999999999"/>
    <n v="7.8484699999999998"/>
    <n v="7"/>
    <n v="30371744"/>
    <m/>
    <m/>
    <m/>
    <s v="1314 771506"/>
    <m/>
    <m/>
    <n v="2088130043"/>
    <n v="0"/>
    <n v="0"/>
    <n v="2088130043"/>
    <n v="2088130043"/>
    <n v="69604334"/>
    <n v="0"/>
    <n v="0"/>
    <n v="69604334"/>
    <n v="69604334"/>
    <n v="8.5568799999999996"/>
    <n v="0.269733"/>
    <n v="961.74599999999998"/>
    <n v="240.553"/>
    <n v="1102"/>
    <n v="157"/>
    <x v="0"/>
  </r>
  <r>
    <s v="istree_exp1_scaling_threads/step10007.txt"/>
    <x v="1"/>
    <n v="208"/>
    <s v="reclaimer_debra"/>
    <s v="allocator_new"/>
    <s v="pool_none"/>
    <n v="30000"/>
    <n v="0"/>
    <n v="0"/>
    <n v="0"/>
    <n v="1"/>
    <x v="0"/>
    <n v="48"/>
    <x v="1"/>
    <n v="48"/>
    <n v="0"/>
    <s v="insertIfAbsent"/>
    <n v="1000611483538"/>
    <n v="1000000"/>
    <n v="1000611483538"/>
    <n v="1000000"/>
    <s v="success"/>
    <n v="8"/>
    <n v="18526"/>
    <n v="127594"/>
    <n v="146120"/>
    <n v="1000000"/>
    <n v="7.8872900000000001"/>
    <n v="7.8373600000000003"/>
    <n v="7.8436899999999996"/>
    <n v="7"/>
    <n v="30392960"/>
    <m/>
    <m/>
    <m/>
    <s v="716 291906"/>
    <m/>
    <m/>
    <n v="3232072443"/>
    <n v="0"/>
    <n v="0"/>
    <n v="3232072443"/>
    <n v="3232072443"/>
    <n v="107735748"/>
    <n v="0"/>
    <n v="0"/>
    <n v="107735748"/>
    <n v="107735748"/>
    <n v="8.4727899999999998"/>
    <n v="0.26407999999999998"/>
    <n v="1203.0899999999999"/>
    <n v="377.07299999999998"/>
    <n v="1112"/>
    <n v="202"/>
    <x v="0"/>
  </r>
  <r>
    <s v="istree_exp1_scaling_threads/step10008.txt"/>
    <x v="1"/>
    <n v="208"/>
    <s v="reclaimer_debra"/>
    <s v="allocator_new"/>
    <s v="pool_none"/>
    <n v="30000"/>
    <n v="0"/>
    <n v="0"/>
    <n v="0"/>
    <n v="1"/>
    <x v="0"/>
    <n v="96"/>
    <x v="2"/>
    <n v="96"/>
    <n v="0"/>
    <s v="insertIfAbsent"/>
    <n v="1000327858419"/>
    <n v="1000000"/>
    <n v="1000327858419"/>
    <n v="1000000"/>
    <s v="success"/>
    <n v="8"/>
    <n v="18540"/>
    <n v="127502"/>
    <n v="146042"/>
    <n v="1000000"/>
    <n v="7.8771300000000002"/>
    <n v="7.8430099999999996"/>
    <n v="7.8473499999999996"/>
    <n v="7"/>
    <n v="30376736"/>
    <m/>
    <m/>
    <m/>
    <n v="142840"/>
    <m/>
    <m/>
    <n v="6312861680"/>
    <n v="0"/>
    <n v="0"/>
    <n v="6312861680"/>
    <n v="6312861680"/>
    <n v="210428722"/>
    <n v="0"/>
    <n v="0"/>
    <n v="210428722"/>
    <n v="210428722"/>
    <n v="8.6058699999999995"/>
    <n v="0.32944200000000001"/>
    <n v="1250.8499999999999"/>
    <n v="386.90600000000001"/>
    <n v="1131"/>
    <n v="321"/>
    <x v="0"/>
  </r>
  <r>
    <s v="istree_exp1_scaling_threads/step10009.txt"/>
    <x v="1"/>
    <n v="208"/>
    <s v="reclaimer_debra"/>
    <s v="allocator_new"/>
    <s v="pool_none"/>
    <n v="30000"/>
    <n v="0"/>
    <n v="0"/>
    <n v="0"/>
    <n v="1"/>
    <x v="0"/>
    <n v="144"/>
    <x v="3"/>
    <n v="144"/>
    <n v="0"/>
    <s v="insertIfAbsent"/>
    <n v="1000760220766"/>
    <n v="1000000"/>
    <n v="1000760220766"/>
    <n v="1000000"/>
    <s v="success"/>
    <n v="8"/>
    <n v="18545"/>
    <n v="127619"/>
    <n v="146164"/>
    <n v="1000000"/>
    <n v="7.8815900000000001"/>
    <n v="7.83582"/>
    <n v="7.8416300000000003"/>
    <n v="7"/>
    <n v="30402112"/>
    <m/>
    <m/>
    <m/>
    <s v="226 95144"/>
    <m/>
    <m/>
    <n v="9399377729"/>
    <n v="0"/>
    <n v="0"/>
    <n v="9399377729"/>
    <n v="9399377729"/>
    <n v="313312590"/>
    <n v="0"/>
    <n v="0"/>
    <n v="313312590"/>
    <n v="313312590"/>
    <n v="8.5788100000000007"/>
    <n v="0.35221200000000003"/>
    <n v="1233.72"/>
    <n v="363.67899999999997"/>
    <n v="1136"/>
    <n v="238"/>
    <x v="0"/>
  </r>
  <r>
    <s v="istree_exp1_scaling_threads/step10010.txt"/>
    <x v="1"/>
    <n v="208"/>
    <s v="reclaimer_debra"/>
    <s v="allocator_new"/>
    <s v="pool_none"/>
    <n v="30000"/>
    <n v="0"/>
    <n v="0"/>
    <n v="0"/>
    <n v="1"/>
    <x v="0"/>
    <n v="190"/>
    <x v="4"/>
    <n v="190"/>
    <n v="0"/>
    <s v="insertIfAbsent"/>
    <n v="999519042358"/>
    <n v="1000000"/>
    <n v="999519042358"/>
    <n v="1000000"/>
    <s v="success"/>
    <n v="8"/>
    <n v="18516"/>
    <n v="127561"/>
    <n v="146077"/>
    <n v="1000000"/>
    <n v="7.8892300000000004"/>
    <n v="7.8393899999999999"/>
    <n v="7.8456999999999999"/>
    <n v="7"/>
    <n v="30384016"/>
    <m/>
    <m/>
    <m/>
    <n v="86790"/>
    <m/>
    <m/>
    <n v="12330911262"/>
    <n v="0"/>
    <n v="0"/>
    <n v="12330911262"/>
    <n v="12330911262"/>
    <n v="411030375"/>
    <n v="0"/>
    <n v="0"/>
    <n v="411030375"/>
    <n v="411030375"/>
    <n v="8.6184399999999997"/>
    <n v="0.37945099999999998"/>
    <n v="1235.01"/>
    <n v="359.26100000000002"/>
    <n v="1150"/>
    <n v="335"/>
    <x v="0"/>
  </r>
  <r>
    <s v="istree_exp1_scaling_threads/step10011.txt"/>
    <x v="2"/>
    <m/>
    <s v="reclaimer_debra"/>
    <s v="allocator_new"/>
    <s v="pool_none"/>
    <n v="30000"/>
    <n v="0"/>
    <n v="0"/>
    <n v="0"/>
    <n v="1"/>
    <x v="0"/>
    <n v="24"/>
    <x v="0"/>
    <n v="24"/>
    <n v="0"/>
    <s v="insertIfAbsent"/>
    <n v="1000367361379"/>
    <n v="1000000"/>
    <n v="1000367361379"/>
    <n v="1000000"/>
    <s v="success"/>
    <n v="25"/>
    <n v="571412"/>
    <n v="428589"/>
    <n v="1000001"/>
    <n v="1000000"/>
    <n v="1.7500500000000001"/>
    <n v="2.33324"/>
    <n v="2"/>
    <n v="19.3141"/>
    <n v="56000056"/>
    <m/>
    <m/>
    <m/>
    <s v="1262 346636"/>
    <m/>
    <m/>
    <n v="931794778"/>
    <n v="0"/>
    <n v="0"/>
    <n v="931794778"/>
    <n v="931794778"/>
    <n v="31059825"/>
    <n v="0"/>
    <n v="0"/>
    <n v="31059825"/>
    <n v="31059825"/>
    <n v="14.785299999999999"/>
    <n v="1.8111699999999999"/>
    <n v="2155.4499999999998"/>
    <n v="1071.92"/>
    <n v="1132"/>
    <n v="193"/>
    <x v="0"/>
  </r>
  <r>
    <s v="istree_exp1_scaling_threads/step10012.txt"/>
    <x v="2"/>
    <m/>
    <s v="reclaimer_debra"/>
    <s v="allocator_new"/>
    <s v="pool_none"/>
    <n v="30000"/>
    <n v="0"/>
    <n v="0"/>
    <n v="0"/>
    <n v="1"/>
    <x v="0"/>
    <n v="48"/>
    <x v="1"/>
    <n v="48"/>
    <n v="0"/>
    <s v="insertIfAbsent"/>
    <n v="999810103323"/>
    <n v="1000000"/>
    <n v="999810103323"/>
    <n v="1000000"/>
    <s v="success"/>
    <n v="25"/>
    <n v="571408"/>
    <n v="428593"/>
    <n v="1000001"/>
    <n v="1000000"/>
    <n v="1.7500599999999999"/>
    <n v="2.3332199999999998"/>
    <n v="2"/>
    <n v="19.3752"/>
    <n v="56000056"/>
    <m/>
    <m/>
    <m/>
    <n v="145122"/>
    <m/>
    <m/>
    <n v="1594405288"/>
    <n v="0"/>
    <n v="0"/>
    <n v="1594405288"/>
    <n v="1594405288"/>
    <n v="53146842"/>
    <n v="0"/>
    <n v="0"/>
    <n v="53146842"/>
    <n v="53146842"/>
    <n v="15.7202"/>
    <n v="1.8490200000000001"/>
    <n v="2505.98"/>
    <n v="1280.42"/>
    <n v="1137"/>
    <n v="229"/>
    <x v="0"/>
  </r>
  <r>
    <s v="istree_exp1_scaling_threads/step10013.txt"/>
    <x v="2"/>
    <m/>
    <s v="reclaimer_debra"/>
    <s v="allocator_new"/>
    <s v="pool_none"/>
    <n v="30000"/>
    <n v="0"/>
    <n v="0"/>
    <n v="0"/>
    <n v="1"/>
    <x v="0"/>
    <n v="96"/>
    <x v="2"/>
    <n v="96"/>
    <n v="0"/>
    <s v="insertIfAbsent"/>
    <n v="999418970385"/>
    <n v="1000000"/>
    <n v="999418970385"/>
    <n v="1000000"/>
    <s v="success"/>
    <n v="25"/>
    <n v="571591"/>
    <n v="428410"/>
    <n v="1000001"/>
    <n v="1000000"/>
    <n v="1.7495000000000001"/>
    <n v="2.3342100000000001"/>
    <n v="2"/>
    <n v="19.3139"/>
    <n v="56000056"/>
    <m/>
    <m/>
    <m/>
    <n v="75308"/>
    <m/>
    <m/>
    <n v="3307232673"/>
    <n v="0"/>
    <n v="0"/>
    <n v="3307232673"/>
    <n v="3307232673"/>
    <n v="110241089"/>
    <n v="0"/>
    <n v="0"/>
    <n v="110241089"/>
    <n v="110241089"/>
    <n v="15.644"/>
    <n v="2.0896499999999998"/>
    <n v="2376.84"/>
    <n v="1085.68"/>
    <n v="1146"/>
    <n v="352"/>
    <x v="0"/>
  </r>
  <r>
    <s v="istree_exp1_scaling_threads/step10014.txt"/>
    <x v="2"/>
    <m/>
    <s v="reclaimer_debra"/>
    <s v="allocator_new"/>
    <s v="pool_none"/>
    <n v="30000"/>
    <n v="0"/>
    <n v="0"/>
    <n v="0"/>
    <n v="1"/>
    <x v="0"/>
    <n v="144"/>
    <x v="3"/>
    <n v="144"/>
    <n v="0"/>
    <s v="insertIfAbsent"/>
    <n v="1000282053192"/>
    <n v="1000000"/>
    <n v="1000282053192"/>
    <n v="1000000"/>
    <s v="success"/>
    <n v="25"/>
    <n v="571567"/>
    <n v="428434"/>
    <n v="1000001"/>
    <n v="1000000"/>
    <n v="1.7495799999999999"/>
    <n v="2.3340800000000002"/>
    <n v="2"/>
    <n v="19.2944"/>
    <n v="56000056"/>
    <m/>
    <m/>
    <m/>
    <n v="49722"/>
    <m/>
    <m/>
    <n v="4925389500"/>
    <n v="0"/>
    <n v="0"/>
    <n v="4925389500"/>
    <n v="4925389500"/>
    <n v="164179650"/>
    <n v="0"/>
    <n v="0"/>
    <n v="164179650"/>
    <n v="164179650"/>
    <n v="15.657"/>
    <n v="2.11069"/>
    <n v="2356.37"/>
    <n v="1048.92"/>
    <n v="1158"/>
    <n v="351"/>
    <x v="0"/>
  </r>
  <r>
    <s v="istree_exp1_scaling_threads/step10015.txt"/>
    <x v="2"/>
    <m/>
    <s v="reclaimer_debra"/>
    <s v="allocator_new"/>
    <s v="pool_none"/>
    <n v="30000"/>
    <n v="0"/>
    <n v="0"/>
    <n v="0"/>
    <n v="1"/>
    <x v="0"/>
    <n v="190"/>
    <x v="4"/>
    <n v="190"/>
    <n v="0"/>
    <s v="insertIfAbsent"/>
    <n v="999297048094"/>
    <n v="1000000"/>
    <n v="999297048094"/>
    <n v="1000000"/>
    <s v="success"/>
    <n v="25"/>
    <n v="571374"/>
    <n v="428627"/>
    <n v="1000001"/>
    <n v="1000000"/>
    <n v="1.75017"/>
    <n v="2.3330299999999999"/>
    <n v="2"/>
    <n v="19.317499999999999"/>
    <n v="56000056"/>
    <m/>
    <m/>
    <m/>
    <n v="42486"/>
    <m/>
    <m/>
    <n v="6571595956"/>
    <n v="0"/>
    <n v="0"/>
    <n v="6571595956"/>
    <n v="6571595956"/>
    <n v="219053198"/>
    <n v="0"/>
    <n v="0"/>
    <n v="219053198"/>
    <n v="219053198"/>
    <n v="15.6754"/>
    <n v="2.1014300000000001"/>
    <n v="2334.11"/>
    <n v="1024.49"/>
    <n v="1166"/>
    <n v="387"/>
    <x v="0"/>
  </r>
  <r>
    <s v="istree_exp1_scaling_threads/step10016.txt"/>
    <x v="3"/>
    <m/>
    <s v="reclaimer_debra"/>
    <s v="allocator_new"/>
    <s v="pool_none"/>
    <n v="30000"/>
    <n v="0"/>
    <n v="0"/>
    <n v="0"/>
    <n v="1"/>
    <x v="0"/>
    <n v="24"/>
    <x v="0"/>
    <n v="24"/>
    <n v="0"/>
    <s v="insertIfAbsent"/>
    <n v="999469274353"/>
    <n v="1000000"/>
    <n v="999469274353"/>
    <n v="1000000"/>
    <s v="success"/>
    <n v="48"/>
    <n v="999999"/>
    <n v="1000000"/>
    <n v="1999999"/>
    <n v="1000000"/>
    <n v="2"/>
    <n v="1"/>
    <n v="1.5"/>
    <n v="26.433399999999999"/>
    <n v="63999968"/>
    <m/>
    <m/>
    <m/>
    <s v="1254 305450"/>
    <m/>
    <m/>
    <n v="816004211"/>
    <n v="0"/>
    <n v="0"/>
    <n v="816004211"/>
    <n v="816004211"/>
    <n v="27200140"/>
    <n v="0"/>
    <n v="0"/>
    <n v="27200140"/>
    <n v="27200140"/>
    <n v="11.880800000000001"/>
    <n v="1.5712299999999999"/>
    <n v="2461.5100000000002"/>
    <n v="1473.58"/>
    <n v="1132"/>
    <n v="176"/>
    <x v="0"/>
  </r>
  <r>
    <s v="istree_exp1_scaling_threads/step10017.txt"/>
    <x v="3"/>
    <m/>
    <s v="reclaimer_debra"/>
    <s v="allocator_new"/>
    <s v="pool_none"/>
    <n v="30000"/>
    <n v="0"/>
    <n v="0"/>
    <n v="0"/>
    <n v="1"/>
    <x v="0"/>
    <n v="48"/>
    <x v="1"/>
    <n v="48"/>
    <n v="0"/>
    <s v="insertIfAbsent"/>
    <n v="999619786203"/>
    <n v="1000000"/>
    <n v="999619786203"/>
    <n v="1000000"/>
    <s v="success"/>
    <n v="50"/>
    <n v="999999"/>
    <n v="1000000"/>
    <n v="1999999"/>
    <n v="1000000"/>
    <n v="2"/>
    <n v="1"/>
    <n v="1.5"/>
    <n v="26.6478"/>
    <n v="63999968"/>
    <m/>
    <m/>
    <m/>
    <s v="668 135524"/>
    <m/>
    <m/>
    <n v="1481804563"/>
    <n v="0"/>
    <n v="0"/>
    <n v="1481804563"/>
    <n v="1481804563"/>
    <n v="49393485"/>
    <n v="0"/>
    <n v="0"/>
    <n v="49393485"/>
    <n v="49393485"/>
    <n v="11.6607"/>
    <n v="1.5583400000000001"/>
    <n v="2710.07"/>
    <n v="1796.24"/>
    <n v="1137"/>
    <n v="209"/>
    <x v="0"/>
  </r>
  <r>
    <s v="istree_exp1_scaling_threads/step10018.txt"/>
    <x v="3"/>
    <m/>
    <s v="reclaimer_debra"/>
    <s v="allocator_new"/>
    <s v="pool_none"/>
    <n v="30000"/>
    <n v="0"/>
    <n v="0"/>
    <n v="0"/>
    <n v="1"/>
    <x v="0"/>
    <n v="96"/>
    <x v="2"/>
    <n v="96"/>
    <n v="0"/>
    <s v="insertIfAbsent"/>
    <n v="999161415857"/>
    <n v="1000000"/>
    <n v="999161415857"/>
    <n v="1000000"/>
    <s v="success"/>
    <n v="48"/>
    <n v="999999"/>
    <n v="1000000"/>
    <n v="1999999"/>
    <n v="1000000"/>
    <n v="2"/>
    <n v="1"/>
    <n v="1.5"/>
    <n v="26.093399999999999"/>
    <n v="63999968"/>
    <m/>
    <m/>
    <m/>
    <s v="334 72464"/>
    <m/>
    <m/>
    <n v="3210117274"/>
    <n v="0"/>
    <n v="0"/>
    <n v="3210117274"/>
    <n v="3210117274"/>
    <n v="107003909"/>
    <n v="0"/>
    <n v="0"/>
    <n v="107003909"/>
    <n v="107003909"/>
    <n v="11.9018"/>
    <n v="1.77498"/>
    <n v="2497.91"/>
    <n v="1571.2"/>
    <n v="1146"/>
    <n v="332"/>
    <x v="0"/>
  </r>
  <r>
    <s v="istree_exp1_scaling_threads/step10019.txt"/>
    <x v="3"/>
    <m/>
    <s v="reclaimer_debra"/>
    <s v="allocator_new"/>
    <s v="pool_none"/>
    <n v="30000"/>
    <n v="0"/>
    <n v="0"/>
    <n v="0"/>
    <n v="1"/>
    <x v="0"/>
    <n v="144"/>
    <x v="3"/>
    <n v="144"/>
    <n v="0"/>
    <s v="insertIfAbsent"/>
    <n v="1000263932391"/>
    <n v="1000000"/>
    <n v="1000263932391"/>
    <n v="1000000"/>
    <s v="success"/>
    <n v="53"/>
    <n v="999999"/>
    <n v="1000000"/>
    <n v="1999999"/>
    <n v="1000000"/>
    <n v="2"/>
    <n v="1"/>
    <n v="1.5"/>
    <n v="26.192900000000002"/>
    <n v="63999968"/>
    <m/>
    <m/>
    <m/>
    <s v="220 48770"/>
    <m/>
    <m/>
    <n v="4884210514"/>
    <n v="0"/>
    <n v="0"/>
    <n v="4884210514"/>
    <n v="4884210514"/>
    <n v="162807017"/>
    <n v="0"/>
    <n v="0"/>
    <n v="162807017"/>
    <n v="162807017"/>
    <n v="11.8218"/>
    <n v="1.7962400000000001"/>
    <n v="2462.62"/>
    <n v="1525.06"/>
    <n v="1156"/>
    <n v="314"/>
    <x v="0"/>
  </r>
  <r>
    <s v="istree_exp1_scaling_threads/step10020.txt"/>
    <x v="3"/>
    <m/>
    <s v="reclaimer_debra"/>
    <s v="allocator_new"/>
    <s v="pool_none"/>
    <n v="30000"/>
    <n v="0"/>
    <n v="0"/>
    <n v="0"/>
    <n v="1"/>
    <x v="0"/>
    <n v="190"/>
    <x v="4"/>
    <n v="190"/>
    <n v="0"/>
    <s v="insertIfAbsent"/>
    <n v="999468332265"/>
    <n v="1000000"/>
    <n v="999468332265"/>
    <n v="1000000"/>
    <s v="success"/>
    <n v="48"/>
    <n v="999999"/>
    <n v="1000000"/>
    <n v="1999999"/>
    <n v="1000000"/>
    <n v="2"/>
    <n v="1"/>
    <n v="1.5"/>
    <n v="26.9282"/>
    <n v="63999968"/>
    <m/>
    <m/>
    <m/>
    <n v="40064"/>
    <m/>
    <m/>
    <n v="6497337730"/>
    <n v="0"/>
    <n v="0"/>
    <n v="6497337730"/>
    <n v="6497337730"/>
    <n v="216577924"/>
    <n v="0"/>
    <n v="0"/>
    <n v="216577924"/>
    <n v="216577924"/>
    <n v="11.8416"/>
    <n v="1.8033300000000001"/>
    <n v="2442.52"/>
    <n v="1497.1"/>
    <n v="1166"/>
    <n v="289"/>
    <x v="0"/>
  </r>
  <r>
    <s v="istree_exp1_scaling_threads/step10021.txt"/>
    <x v="0"/>
    <n v="72"/>
    <s v="reclaimer_debra"/>
    <s v="allocator_new"/>
    <s v="pool_none"/>
    <n v="30000"/>
    <n v="0"/>
    <n v="0"/>
    <n v="0"/>
    <n v="1"/>
    <x v="1"/>
    <n v="24"/>
    <x v="0"/>
    <n v="24"/>
    <n v="0"/>
    <s v="insertIfAbsent"/>
    <n v="100007853979287"/>
    <n v="10000001"/>
    <n v="100007853979287"/>
    <n v="10000001"/>
    <s v="success"/>
    <n v="6"/>
    <n v="1625784"/>
    <n v="11442329"/>
    <n v="13068113"/>
    <n v="10000001"/>
    <n v="8.0380400000000005"/>
    <n v="0.87394799999999995"/>
    <n v="1.76522"/>
    <n v="4"/>
    <n v="313139968"/>
    <m/>
    <m/>
    <m/>
    <n v="415708"/>
    <m/>
    <m/>
    <n v="1126610265"/>
    <n v="0"/>
    <n v="0"/>
    <n v="1126610265"/>
    <n v="1126610265"/>
    <n v="37553675"/>
    <n v="0"/>
    <n v="0"/>
    <n v="37553675"/>
    <n v="37553675"/>
    <n v="15.468999999999999"/>
    <n v="5.5328499999999998"/>
    <n v="1782.64"/>
    <n v="1122.3"/>
    <n v="1704"/>
    <n v="156"/>
    <x v="1"/>
  </r>
  <r>
    <s v="istree_exp1_scaling_threads/step10022.txt"/>
    <x v="0"/>
    <n v="72"/>
    <s v="reclaimer_debra"/>
    <s v="allocator_new"/>
    <s v="pool_none"/>
    <n v="30000"/>
    <n v="0"/>
    <n v="0"/>
    <n v="0"/>
    <n v="1"/>
    <x v="1"/>
    <n v="48"/>
    <x v="1"/>
    <n v="48"/>
    <n v="0"/>
    <s v="insertIfAbsent"/>
    <n v="100000251354650"/>
    <n v="10000001"/>
    <n v="100000251354650"/>
    <n v="10000001"/>
    <s v="success"/>
    <n v="6"/>
    <n v="1625784"/>
    <n v="11442329"/>
    <n v="13068113"/>
    <n v="10000001"/>
    <n v="8.0380400000000005"/>
    <n v="0.87394799999999995"/>
    <n v="1.76522"/>
    <n v="4"/>
    <n v="313139968"/>
    <m/>
    <m/>
    <m/>
    <n v="175146"/>
    <m/>
    <m/>
    <n v="1941214199"/>
    <n v="0"/>
    <n v="0"/>
    <n v="1941214199"/>
    <n v="1941214199"/>
    <n v="64707139"/>
    <n v="0"/>
    <n v="0"/>
    <n v="64707139"/>
    <n v="64707139"/>
    <n v="15.2912"/>
    <n v="5.7408700000000001"/>
    <n v="2067.8000000000002"/>
    <n v="1383.55"/>
    <n v="1723"/>
    <n v="159"/>
    <x v="1"/>
  </r>
  <r>
    <s v="istree_exp1_scaling_threads/step10023.txt"/>
    <x v="0"/>
    <n v="72"/>
    <s v="reclaimer_debra"/>
    <s v="allocator_new"/>
    <s v="pool_none"/>
    <n v="30000"/>
    <n v="0"/>
    <n v="0"/>
    <n v="0"/>
    <n v="1"/>
    <x v="1"/>
    <n v="96"/>
    <x v="2"/>
    <n v="96"/>
    <n v="0"/>
    <s v="insertIfAbsent"/>
    <n v="99972121347808"/>
    <n v="10000001"/>
    <n v="99972121347808"/>
    <n v="10000001"/>
    <s v="success"/>
    <n v="6"/>
    <n v="1625784"/>
    <n v="11442329"/>
    <n v="13068113"/>
    <n v="10000001"/>
    <n v="8.0380400000000005"/>
    <n v="0.87394799999999995"/>
    <n v="1.76522"/>
    <n v="4"/>
    <n v="313139968"/>
    <m/>
    <m/>
    <m/>
    <n v="97178"/>
    <m/>
    <m/>
    <n v="4347510529"/>
    <n v="0"/>
    <n v="0"/>
    <n v="4347510529"/>
    <n v="4347510529"/>
    <n v="144917017"/>
    <n v="0"/>
    <n v="0"/>
    <n v="144917017"/>
    <n v="144917017"/>
    <n v="15.352"/>
    <n v="6.16"/>
    <n v="1836.65"/>
    <n v="1091.8599999999999"/>
    <n v="1765"/>
    <n v="339"/>
    <x v="1"/>
  </r>
  <r>
    <s v="istree_exp1_scaling_threads/step10024.txt"/>
    <x v="0"/>
    <n v="72"/>
    <s v="reclaimer_debra"/>
    <s v="allocator_new"/>
    <s v="pool_none"/>
    <n v="30000"/>
    <n v="0"/>
    <n v="0"/>
    <n v="0"/>
    <n v="1"/>
    <x v="1"/>
    <n v="144"/>
    <x v="3"/>
    <n v="144"/>
    <n v="0"/>
    <s v="insertIfAbsent"/>
    <n v="99976018871165"/>
    <n v="10000001"/>
    <n v="99976018871165"/>
    <n v="10000001"/>
    <s v="success"/>
    <n v="6"/>
    <n v="1625784"/>
    <n v="11442329"/>
    <n v="13068113"/>
    <n v="10000001"/>
    <n v="8.0380400000000005"/>
    <n v="0.87394799999999995"/>
    <n v="1.76522"/>
    <n v="4"/>
    <n v="313139968"/>
    <m/>
    <m/>
    <m/>
    <n v="63570"/>
    <m/>
    <m/>
    <n v="6397914141"/>
    <n v="0"/>
    <n v="0"/>
    <n v="6397914141"/>
    <n v="6397914141"/>
    <n v="213263804"/>
    <n v="0"/>
    <n v="0"/>
    <n v="213263804"/>
    <n v="213263804"/>
    <n v="15.401199999999999"/>
    <n v="6.2128899999999998"/>
    <n v="1870.6"/>
    <n v="1118.57"/>
    <n v="1815"/>
    <n v="359"/>
    <x v="1"/>
  </r>
  <r>
    <s v="istree_exp1_scaling_threads/step10025.txt"/>
    <x v="0"/>
    <n v="72"/>
    <s v="reclaimer_debra"/>
    <s v="allocator_new"/>
    <s v="pool_none"/>
    <n v="30000"/>
    <n v="0"/>
    <n v="0"/>
    <n v="0"/>
    <n v="1"/>
    <x v="1"/>
    <n v="190"/>
    <x v="4"/>
    <n v="190"/>
    <n v="0"/>
    <s v="insertIfAbsent"/>
    <n v="99989795631244"/>
    <n v="10000001"/>
    <n v="99989795631244"/>
    <n v="10000001"/>
    <s v="success"/>
    <n v="6"/>
    <n v="1625784"/>
    <n v="11442329"/>
    <n v="13068113"/>
    <n v="10000001"/>
    <n v="8.0380400000000005"/>
    <n v="0.87394799999999995"/>
    <n v="1.76522"/>
    <n v="4"/>
    <n v="313139968"/>
    <m/>
    <m/>
    <m/>
    <n v="52832"/>
    <m/>
    <m/>
    <n v="8272768622"/>
    <n v="0"/>
    <n v="0"/>
    <n v="8272768622"/>
    <n v="8272768622"/>
    <n v="275758954"/>
    <n v="0"/>
    <n v="0"/>
    <n v="275758954"/>
    <n v="275758954"/>
    <n v="15.498799999999999"/>
    <n v="6.2478499999999997"/>
    <n v="1906.2"/>
    <n v="1120.82"/>
    <n v="1848"/>
    <n v="328"/>
    <x v="1"/>
  </r>
  <r>
    <s v="istree_exp1_scaling_threads/step10026.txt"/>
    <x v="1"/>
    <n v="208"/>
    <s v="reclaimer_debra"/>
    <s v="allocator_new"/>
    <s v="pool_none"/>
    <n v="30000"/>
    <n v="0"/>
    <n v="0"/>
    <n v="0"/>
    <n v="1"/>
    <x v="1"/>
    <n v="24"/>
    <x v="0"/>
    <n v="24"/>
    <n v="0"/>
    <s v="insertIfAbsent"/>
    <n v="99975700867859"/>
    <n v="10000000"/>
    <n v="99975700867859"/>
    <n v="10000000"/>
    <s v="success"/>
    <n v="9"/>
    <n v="185413"/>
    <n v="1275943"/>
    <n v="1461356"/>
    <n v="10000000"/>
    <n v="7.8816300000000004"/>
    <n v="7.8373400000000002"/>
    <n v="7.8429599999999997"/>
    <n v="8"/>
    <n v="303962048"/>
    <m/>
    <m/>
    <m/>
    <s v="5370 354752"/>
    <m/>
    <m/>
    <n v="943134280"/>
    <n v="0"/>
    <n v="0"/>
    <n v="943134280"/>
    <n v="943134280"/>
    <n v="31437809"/>
    <n v="0"/>
    <n v="0"/>
    <n v="31437809"/>
    <n v="31437809"/>
    <n v="16.343699999999998"/>
    <n v="4.7510700000000003"/>
    <n v="2129.37"/>
    <n v="1126.73"/>
    <n v="1402"/>
    <n v="836"/>
    <x v="1"/>
  </r>
  <r>
    <s v="istree_exp1_scaling_threads/step10027.txt"/>
    <x v="1"/>
    <n v="208"/>
    <s v="reclaimer_debra"/>
    <s v="allocator_new"/>
    <s v="pool_none"/>
    <n v="30000"/>
    <n v="0"/>
    <n v="0"/>
    <n v="0"/>
    <n v="1"/>
    <x v="1"/>
    <n v="48"/>
    <x v="1"/>
    <n v="48"/>
    <n v="0"/>
    <s v="insertIfAbsent"/>
    <n v="99996469862810"/>
    <n v="10000000"/>
    <n v="99996469862810"/>
    <n v="10000000"/>
    <s v="success"/>
    <n v="9"/>
    <n v="185098"/>
    <n v="1275854"/>
    <n v="1460952"/>
    <n v="10000000"/>
    <n v="7.8928599999999998"/>
    <n v="7.8378899999999998"/>
    <n v="7.8448500000000001"/>
    <n v="8"/>
    <n v="303878016"/>
    <m/>
    <m/>
    <m/>
    <s v="1402 156310"/>
    <m/>
    <m/>
    <n v="1709000879"/>
    <n v="0"/>
    <n v="0"/>
    <n v="1709000879"/>
    <n v="1709000879"/>
    <n v="56966695"/>
    <n v="0"/>
    <n v="0"/>
    <n v="56966695"/>
    <n v="56966695"/>
    <n v="16.301400000000001"/>
    <n v="4.75875"/>
    <n v="2349.35"/>
    <n v="1490.93"/>
    <n v="1451"/>
    <n v="753"/>
    <x v="1"/>
  </r>
  <r>
    <s v="istree_exp1_scaling_threads/step10028.txt"/>
    <x v="1"/>
    <n v="208"/>
    <s v="reclaimer_debra"/>
    <s v="allocator_new"/>
    <s v="pool_none"/>
    <n v="30000"/>
    <n v="0"/>
    <n v="0"/>
    <n v="0"/>
    <n v="1"/>
    <x v="1"/>
    <n v="96"/>
    <x v="2"/>
    <n v="96"/>
    <n v="0"/>
    <s v="insertIfAbsent"/>
    <n v="100000268282064"/>
    <n v="10000000"/>
    <n v="100000268282064"/>
    <n v="10000000"/>
    <s v="success"/>
    <n v="9"/>
    <n v="185336"/>
    <n v="1275616"/>
    <n v="1460952"/>
    <n v="10000000"/>
    <n v="7.8827199999999999"/>
    <n v="7.8393499999999996"/>
    <n v="7.8448500000000001"/>
    <n v="8"/>
    <n v="303878016"/>
    <m/>
    <m/>
    <m/>
    <s v="714 83584"/>
    <m/>
    <m/>
    <n v="3688977724"/>
    <n v="0"/>
    <n v="0"/>
    <n v="3688977724"/>
    <n v="3688977724"/>
    <n v="122965924"/>
    <n v="0"/>
    <n v="0"/>
    <n v="122965924"/>
    <n v="122965924"/>
    <n v="16.453800000000001"/>
    <n v="5.4763700000000002"/>
    <n v="2162.8000000000002"/>
    <n v="1260.3499999999999"/>
    <n v="1540"/>
    <n v="878"/>
    <x v="1"/>
  </r>
  <r>
    <s v="istree_exp1_scaling_threads/step10029.txt"/>
    <x v="1"/>
    <n v="208"/>
    <s v="reclaimer_debra"/>
    <s v="allocator_new"/>
    <s v="pool_none"/>
    <n v="30000"/>
    <n v="0"/>
    <n v="0"/>
    <n v="0"/>
    <n v="1"/>
    <x v="1"/>
    <n v="144"/>
    <x v="3"/>
    <n v="144"/>
    <n v="0"/>
    <s v="insertIfAbsent"/>
    <n v="100009073539914"/>
    <n v="10000000"/>
    <n v="100009073539914"/>
    <n v="10000000"/>
    <s v="success"/>
    <n v="9"/>
    <n v="185384"/>
    <n v="1276028"/>
    <n v="1461412"/>
    <n v="10000000"/>
    <n v="7.8831600000000002"/>
    <n v="7.8368200000000003"/>
    <n v="7.8426999999999998"/>
    <n v="8"/>
    <n v="303973696"/>
    <m/>
    <m/>
    <m/>
    <s v="722 55376"/>
    <m/>
    <m/>
    <n v="5500341243"/>
    <n v="0"/>
    <n v="0"/>
    <n v="5500341243"/>
    <n v="5500341243"/>
    <n v="183344708"/>
    <n v="0"/>
    <n v="0"/>
    <n v="183344708"/>
    <n v="183344708"/>
    <n v="16.454599999999999"/>
    <n v="5.5137099999999997"/>
    <n v="2173.2199999999998"/>
    <n v="1266.3900000000001"/>
    <n v="1553"/>
    <n v="873"/>
    <x v="1"/>
  </r>
  <r>
    <s v="istree_exp1_scaling_threads/step10030.txt"/>
    <x v="1"/>
    <n v="208"/>
    <s v="reclaimer_debra"/>
    <s v="allocator_new"/>
    <s v="pool_none"/>
    <n v="30000"/>
    <n v="0"/>
    <n v="0"/>
    <n v="0"/>
    <n v="1"/>
    <x v="1"/>
    <n v="190"/>
    <x v="4"/>
    <n v="190"/>
    <n v="0"/>
    <s v="insertIfAbsent"/>
    <n v="99994925404988"/>
    <n v="10000000"/>
    <n v="99994925404988"/>
    <n v="10000000"/>
    <s v="success"/>
    <n v="9"/>
    <n v="185455"/>
    <n v="1276141"/>
    <n v="1461596"/>
    <n v="10000000"/>
    <n v="7.8811400000000003"/>
    <n v="7.8361200000000002"/>
    <n v="7.8418400000000004"/>
    <n v="8"/>
    <n v="304011968"/>
    <m/>
    <m/>
    <m/>
    <s v="536 45050"/>
    <m/>
    <m/>
    <n v="7278405902"/>
    <n v="0"/>
    <n v="0"/>
    <n v="7278405902"/>
    <n v="7278405902"/>
    <n v="242613530"/>
    <n v="0"/>
    <n v="0"/>
    <n v="242613530"/>
    <n v="242613530"/>
    <n v="16.505099999999999"/>
    <n v="5.5664100000000003"/>
    <n v="2164.98"/>
    <n v="1257.3499999999999"/>
    <n v="1574"/>
    <n v="934"/>
    <x v="1"/>
  </r>
  <r>
    <s v="istree_exp1_scaling_threads/step10031.txt"/>
    <x v="2"/>
    <m/>
    <s v="reclaimer_debra"/>
    <s v="allocator_new"/>
    <s v="pool_none"/>
    <n v="30000"/>
    <n v="0"/>
    <n v="0"/>
    <n v="0"/>
    <n v="1"/>
    <x v="1"/>
    <n v="24"/>
    <x v="0"/>
    <n v="24"/>
    <n v="0"/>
    <s v="insertIfAbsent"/>
    <n v="100021172874971"/>
    <n v="10000000"/>
    <n v="100021172874971"/>
    <n v="10000000"/>
    <s v="success"/>
    <n v="29"/>
    <n v="5714874"/>
    <n v="4285127"/>
    <n v="10000001"/>
    <n v="10000000"/>
    <n v="1.7498199999999999"/>
    <n v="2.33365"/>
    <n v="2"/>
    <n v="22.686800000000002"/>
    <n v="560000056"/>
    <m/>
    <m/>
    <m/>
    <s v="4918 160470"/>
    <m/>
    <m/>
    <n v="418243964"/>
    <n v="0"/>
    <n v="0"/>
    <n v="418243964"/>
    <n v="418243964"/>
    <n v="13941465"/>
    <n v="0"/>
    <n v="0"/>
    <n v="13941465"/>
    <n v="13941465"/>
    <n v="27.4055"/>
    <n v="9.1753199999999993"/>
    <n v="4802.4799999999996"/>
    <n v="3567.49"/>
    <n v="1716"/>
    <n v="1451"/>
    <x v="1"/>
  </r>
  <r>
    <s v="istree_exp1_scaling_threads/step10032.txt"/>
    <x v="2"/>
    <m/>
    <s v="reclaimer_debra"/>
    <s v="allocator_new"/>
    <s v="pool_none"/>
    <n v="30000"/>
    <n v="0"/>
    <n v="0"/>
    <n v="0"/>
    <n v="1"/>
    <x v="1"/>
    <n v="48"/>
    <x v="1"/>
    <n v="48"/>
    <n v="0"/>
    <s v="insertIfAbsent"/>
    <n v="100008170612948"/>
    <n v="10000000"/>
    <n v="100008170612948"/>
    <n v="10000000"/>
    <s v="success"/>
    <n v="29"/>
    <n v="5713909"/>
    <n v="4286092"/>
    <n v="10000001"/>
    <n v="10000000"/>
    <n v="1.7501199999999999"/>
    <n v="2.3331300000000001"/>
    <n v="2"/>
    <n v="22.763400000000001"/>
    <n v="560000056"/>
    <m/>
    <m/>
    <m/>
    <s v="1206 72902"/>
    <m/>
    <m/>
    <n v="785948533"/>
    <n v="0"/>
    <n v="0"/>
    <n v="785948533"/>
    <n v="785948533"/>
    <n v="26198284"/>
    <n v="0"/>
    <n v="0"/>
    <n v="26198284"/>
    <n v="26198284"/>
    <n v="28.162199999999999"/>
    <n v="9.2825799999999994"/>
    <n v="5109.93"/>
    <n v="3853.44"/>
    <n v="1721"/>
    <n v="1075"/>
    <x v="1"/>
  </r>
  <r>
    <s v="istree_exp1_scaling_threads/step10033.txt"/>
    <x v="2"/>
    <m/>
    <s v="reclaimer_debra"/>
    <s v="allocator_new"/>
    <s v="pool_none"/>
    <n v="30000"/>
    <n v="0"/>
    <n v="0"/>
    <n v="0"/>
    <n v="1"/>
    <x v="1"/>
    <n v="96"/>
    <x v="2"/>
    <n v="96"/>
    <n v="0"/>
    <s v="insertIfAbsent"/>
    <n v="99972199186079"/>
    <n v="10000000"/>
    <n v="99972199186079"/>
    <n v="10000000"/>
    <s v="success"/>
    <n v="29"/>
    <n v="5714286"/>
    <n v="4285715"/>
    <n v="10000001"/>
    <n v="10000000"/>
    <n v="1.75"/>
    <n v="2.3333300000000001"/>
    <n v="2"/>
    <n v="22.731300000000001"/>
    <n v="560000056"/>
    <m/>
    <m/>
    <m/>
    <s v="292 40100"/>
    <m/>
    <m/>
    <n v="1766197096"/>
    <n v="0"/>
    <n v="0"/>
    <n v="1766197096"/>
    <n v="1766197096"/>
    <n v="58873236"/>
    <n v="0"/>
    <n v="0"/>
    <n v="58873236"/>
    <n v="58873236"/>
    <n v="28.402100000000001"/>
    <n v="10.610200000000001"/>
    <n v="4539.37"/>
    <n v="3184.48"/>
    <n v="1736"/>
    <n v="786"/>
    <x v="1"/>
  </r>
  <r>
    <s v="istree_exp1_scaling_threads/step10034.txt"/>
    <x v="2"/>
    <m/>
    <s v="reclaimer_debra"/>
    <s v="allocator_new"/>
    <s v="pool_none"/>
    <n v="30000"/>
    <n v="0"/>
    <n v="0"/>
    <n v="0"/>
    <n v="1"/>
    <x v="1"/>
    <n v="144"/>
    <x v="3"/>
    <n v="144"/>
    <n v="0"/>
    <s v="insertIfAbsent"/>
    <n v="99993993115695"/>
    <n v="10000000"/>
    <n v="99993993115695"/>
    <n v="10000000"/>
    <s v="success"/>
    <n v="29"/>
    <n v="5714241"/>
    <n v="4285760"/>
    <n v="10000001"/>
    <n v="10000000"/>
    <n v="1.7500100000000001"/>
    <n v="2.33331"/>
    <n v="2"/>
    <n v="22.688800000000001"/>
    <n v="560000056"/>
    <m/>
    <m/>
    <m/>
    <n v="26222"/>
    <m/>
    <m/>
    <n v="2610405614"/>
    <n v="0"/>
    <n v="0"/>
    <n v="2610405614"/>
    <n v="2610405614"/>
    <n v="87013520"/>
    <n v="0"/>
    <n v="0"/>
    <n v="87013520"/>
    <n v="87013520"/>
    <n v="28.411100000000001"/>
    <n v="10.6934"/>
    <n v="4589.99"/>
    <n v="3160.62"/>
    <n v="1746"/>
    <n v="449"/>
    <x v="1"/>
  </r>
  <r>
    <s v="istree_exp1_scaling_threads/step10035.txt"/>
    <x v="2"/>
    <m/>
    <s v="reclaimer_debra"/>
    <s v="allocator_new"/>
    <s v="pool_none"/>
    <n v="30000"/>
    <n v="0"/>
    <n v="0"/>
    <n v="0"/>
    <n v="1"/>
    <x v="1"/>
    <n v="190"/>
    <x v="4"/>
    <n v="190"/>
    <n v="0"/>
    <s v="insertIfAbsent"/>
    <n v="99961295869788"/>
    <n v="10000000"/>
    <n v="99961295869788"/>
    <n v="10000000"/>
    <s v="success"/>
    <n v="29"/>
    <n v="5714058"/>
    <n v="4285943"/>
    <n v="10000001"/>
    <n v="10000000"/>
    <n v="1.75007"/>
    <n v="2.3332099999999998"/>
    <n v="2"/>
    <n v="22.664400000000001"/>
    <n v="560000056"/>
    <m/>
    <m/>
    <m/>
    <s v="150 20840"/>
    <m/>
    <m/>
    <n v="3464518141"/>
    <n v="0"/>
    <n v="0"/>
    <n v="3464518141"/>
    <n v="3464518141"/>
    <n v="115483938"/>
    <n v="0"/>
    <n v="0"/>
    <n v="115483938"/>
    <n v="115483938"/>
    <n v="28.476800000000001"/>
    <n v="10.737399999999999"/>
    <n v="4562.55"/>
    <n v="3135.33"/>
    <n v="1755"/>
    <n v="470"/>
    <x v="1"/>
  </r>
  <r>
    <s v="istree_exp1_scaling_threads/step10036.txt"/>
    <x v="3"/>
    <m/>
    <s v="reclaimer_debra"/>
    <s v="allocator_new"/>
    <s v="pool_none"/>
    <n v="30000"/>
    <n v="0"/>
    <n v="0"/>
    <n v="0"/>
    <n v="1"/>
    <x v="1"/>
    <n v="24"/>
    <x v="0"/>
    <n v="24"/>
    <n v="0"/>
    <s v="insertIfAbsent"/>
    <n v="100004862436983"/>
    <n v="10000000"/>
    <n v="100004862436983"/>
    <n v="10000000"/>
    <s v="success"/>
    <n v="68"/>
    <n v="9999999"/>
    <n v="10000000"/>
    <n v="19999999"/>
    <n v="10000000"/>
    <n v="2"/>
    <n v="1"/>
    <n v="1.5"/>
    <n v="32.045000000000002"/>
    <n v="639999968"/>
    <m/>
    <m/>
    <m/>
    <s v="4892 132264"/>
    <m/>
    <m/>
    <n v="339904650"/>
    <n v="0"/>
    <n v="0"/>
    <n v="339904650"/>
    <n v="339904650"/>
    <n v="11330155"/>
    <n v="0"/>
    <n v="0"/>
    <n v="11330155"/>
    <n v="11330155"/>
    <n v="24.036100000000001"/>
    <n v="8.5982400000000005"/>
    <n v="5909.36"/>
    <n v="4447.57"/>
    <n v="1717"/>
    <n v="1502"/>
    <x v="1"/>
  </r>
  <r>
    <s v="istree_exp1_scaling_threads/step10037.txt"/>
    <x v="3"/>
    <m/>
    <s v="reclaimer_debra"/>
    <s v="allocator_new"/>
    <s v="pool_none"/>
    <n v="30000"/>
    <n v="0"/>
    <n v="0"/>
    <n v="0"/>
    <n v="1"/>
    <x v="1"/>
    <n v="48"/>
    <x v="1"/>
    <n v="48"/>
    <n v="0"/>
    <s v="insertIfAbsent"/>
    <n v="100001075557529"/>
    <n v="10000000"/>
    <n v="100001075557529"/>
    <n v="10000000"/>
    <s v="success"/>
    <n v="62"/>
    <n v="9999999"/>
    <n v="10000000"/>
    <n v="19999999"/>
    <n v="10000000"/>
    <n v="2"/>
    <n v="1"/>
    <n v="1.5"/>
    <n v="32.803699999999999"/>
    <n v="639999968"/>
    <m/>
    <m/>
    <m/>
    <s v="1190 61014"/>
    <m/>
    <m/>
    <n v="650865710"/>
    <n v="0"/>
    <n v="0"/>
    <n v="650865710"/>
    <n v="650865710"/>
    <n v="21695523"/>
    <n v="0"/>
    <n v="0"/>
    <n v="21695523"/>
    <n v="21695523"/>
    <n v="24.113600000000002"/>
    <n v="8.6327400000000001"/>
    <n v="6171.36"/>
    <n v="5158.0600000000004"/>
    <n v="1721"/>
    <n v="1083"/>
    <x v="1"/>
  </r>
  <r>
    <s v="istree_exp1_scaling_threads/step10038.txt"/>
    <x v="3"/>
    <m/>
    <s v="reclaimer_debra"/>
    <s v="allocator_new"/>
    <s v="pool_none"/>
    <n v="30000"/>
    <n v="0"/>
    <n v="0"/>
    <n v="0"/>
    <n v="1"/>
    <x v="1"/>
    <n v="96"/>
    <x v="2"/>
    <n v="96"/>
    <n v="0"/>
    <s v="insertIfAbsent"/>
    <n v="99999029535923"/>
    <n v="10000000"/>
    <n v="99999029535923"/>
    <n v="10000000"/>
    <s v="success"/>
    <n v="59"/>
    <n v="9999999"/>
    <n v="10000000"/>
    <n v="19999999"/>
    <n v="10000000"/>
    <n v="2"/>
    <n v="1"/>
    <n v="1.5"/>
    <n v="30.663699999999999"/>
    <n v="639999968"/>
    <m/>
    <m/>
    <m/>
    <s v="270 34592"/>
    <m/>
    <m/>
    <n v="1514829624"/>
    <n v="0"/>
    <n v="0"/>
    <n v="1514829624"/>
    <n v="1514829624"/>
    <n v="50494320"/>
    <n v="0"/>
    <n v="0"/>
    <n v="50494320"/>
    <n v="50494320"/>
    <n v="24.628"/>
    <n v="9.9339399999999998"/>
    <n v="5294.32"/>
    <n v="4295.53"/>
    <n v="1735"/>
    <n v="733"/>
    <x v="1"/>
  </r>
  <r>
    <s v="istree_exp1_scaling_threads/step10039.txt"/>
    <x v="3"/>
    <m/>
    <s v="reclaimer_debra"/>
    <s v="allocator_new"/>
    <s v="pool_none"/>
    <n v="30000"/>
    <n v="0"/>
    <n v="0"/>
    <n v="0"/>
    <n v="1"/>
    <x v="1"/>
    <n v="144"/>
    <x v="3"/>
    <n v="144"/>
    <n v="0"/>
    <s v="insertIfAbsent"/>
    <n v="100009456060410"/>
    <n v="10000000"/>
    <n v="100009456060410"/>
    <n v="10000000"/>
    <s v="success"/>
    <n v="65"/>
    <n v="9999999"/>
    <n v="10000000"/>
    <n v="19999999"/>
    <n v="10000000"/>
    <n v="2"/>
    <n v="1"/>
    <n v="1.5"/>
    <n v="32.0672"/>
    <n v="639999968"/>
    <m/>
    <m/>
    <m/>
    <s v="180 23162"/>
    <m/>
    <m/>
    <n v="2311385937"/>
    <n v="0"/>
    <n v="0"/>
    <n v="2311385937"/>
    <n v="2311385937"/>
    <n v="77046197"/>
    <n v="0"/>
    <n v="0"/>
    <n v="77046197"/>
    <n v="77046197"/>
    <n v="24.747699999999998"/>
    <n v="10.0647"/>
    <n v="5203.7700000000004"/>
    <n v="4213.8"/>
    <n v="1745"/>
    <n v="429"/>
    <x v="1"/>
  </r>
  <r>
    <s v="istree_exp1_scaling_threads/step10040.txt"/>
    <x v="3"/>
    <m/>
    <s v="reclaimer_debra"/>
    <s v="allocator_new"/>
    <s v="pool_none"/>
    <n v="30000"/>
    <n v="0"/>
    <n v="0"/>
    <n v="0"/>
    <n v="1"/>
    <x v="1"/>
    <n v="190"/>
    <x v="4"/>
    <n v="190"/>
    <n v="0"/>
    <s v="insertIfAbsent"/>
    <n v="100008124946362"/>
    <n v="10000000"/>
    <n v="100008124946362"/>
    <n v="10000000"/>
    <s v="success"/>
    <n v="61"/>
    <n v="9999999"/>
    <n v="10000000"/>
    <n v="19999999"/>
    <n v="10000000"/>
    <n v="2"/>
    <n v="1"/>
    <n v="1.5"/>
    <n v="30.884"/>
    <n v="639999968"/>
    <m/>
    <m/>
    <m/>
    <s v="150 18066"/>
    <m/>
    <m/>
    <n v="3083960996"/>
    <n v="0"/>
    <n v="0"/>
    <n v="3083960996"/>
    <n v="3083960996"/>
    <n v="102798699"/>
    <n v="0"/>
    <n v="0"/>
    <n v="102798699"/>
    <n v="102798699"/>
    <n v="24.754799999999999"/>
    <n v="10.091699999999999"/>
    <n v="5142.8999999999996"/>
    <n v="4149.97"/>
    <n v="1754"/>
    <n v="456"/>
    <x v="1"/>
  </r>
  <r>
    <s v="istree_exp1_scaling_threads/step10041.txt"/>
    <x v="0"/>
    <n v="72"/>
    <s v="reclaimer_debra"/>
    <s v="allocator_new"/>
    <s v="pool_none"/>
    <n v="30000"/>
    <n v="0"/>
    <n v="0"/>
    <n v="0"/>
    <n v="1"/>
    <x v="2"/>
    <n v="24"/>
    <x v="0"/>
    <n v="24"/>
    <n v="0"/>
    <s v="insertIfAbsent"/>
    <n v="9999822897252830"/>
    <n v="100000001"/>
    <n v="9999822897252830"/>
    <n v="100000001"/>
    <s v="success"/>
    <n v="6"/>
    <n v="11011103"/>
    <n v="110001001"/>
    <n v="121012104"/>
    <n v="100000001"/>
    <n v="10.99"/>
    <n v="0.90908299999999997"/>
    <n v="1.82636"/>
    <n v="4"/>
    <n v="2640904240"/>
    <m/>
    <m/>
    <m/>
    <n v="321186"/>
    <m/>
    <m/>
    <n v="875762778"/>
    <n v="0"/>
    <n v="0"/>
    <n v="875762778"/>
    <n v="875762778"/>
    <n v="29192092"/>
    <n v="0"/>
    <n v="0"/>
    <n v="29192092"/>
    <n v="29192092"/>
    <n v="18.586400000000001"/>
    <n v="8.07423"/>
    <n v="2293.1799999999998"/>
    <n v="1705.79"/>
    <n v="7055"/>
    <n v="1564"/>
    <x v="2"/>
  </r>
  <r>
    <s v="istree_exp1_scaling_threads/step10042.txt"/>
    <x v="0"/>
    <n v="72"/>
    <s v="reclaimer_debra"/>
    <s v="allocator_new"/>
    <s v="pool_none"/>
    <n v="30000"/>
    <n v="0"/>
    <n v="0"/>
    <n v="0"/>
    <n v="1"/>
    <x v="2"/>
    <n v="48"/>
    <x v="1"/>
    <n v="48"/>
    <n v="0"/>
    <s v="insertIfAbsent"/>
    <n v="9999434887891890"/>
    <n v="100000001"/>
    <n v="9999434887891890"/>
    <n v="100000001"/>
    <s v="success"/>
    <n v="6"/>
    <n v="11011103"/>
    <n v="110001001"/>
    <n v="121012104"/>
    <n v="100000001"/>
    <n v="10.99"/>
    <n v="0.90908299999999997"/>
    <n v="1.82636"/>
    <n v="4"/>
    <n v="2640904240"/>
    <m/>
    <m/>
    <m/>
    <n v="140114"/>
    <m/>
    <m/>
    <n v="1558401513"/>
    <n v="0"/>
    <n v="0"/>
    <n v="1558401513"/>
    <n v="1558401513"/>
    <n v="51946717"/>
    <n v="0"/>
    <n v="0"/>
    <n v="51946717"/>
    <n v="51946717"/>
    <n v="18.5885"/>
    <n v="8.0667200000000001"/>
    <n v="2574.5300000000002"/>
    <n v="1891.17"/>
    <n v="7096"/>
    <n v="1275"/>
    <x v="2"/>
  </r>
  <r>
    <s v="istree_exp1_scaling_threads/step10043.txt"/>
    <x v="0"/>
    <n v="72"/>
    <s v="reclaimer_debra"/>
    <s v="allocator_new"/>
    <s v="pool_none"/>
    <n v="30000"/>
    <n v="0"/>
    <n v="0"/>
    <n v="0"/>
    <n v="1"/>
    <x v="2"/>
    <n v="96"/>
    <x v="2"/>
    <n v="96"/>
    <n v="0"/>
    <s v="insertIfAbsent"/>
    <n v="1.00002262615938E+16"/>
    <n v="100000001"/>
    <n v="1.00002262615938E+16"/>
    <n v="100000001"/>
    <s v="success"/>
    <n v="6"/>
    <n v="11011103"/>
    <n v="110001001"/>
    <n v="121012104"/>
    <n v="100000001"/>
    <n v="10.99"/>
    <n v="0.90908299999999997"/>
    <n v="1.82636"/>
    <n v="4"/>
    <n v="2640904240"/>
    <m/>
    <m/>
    <m/>
    <n v="70394"/>
    <m/>
    <m/>
    <n v="3164600877"/>
    <n v="0"/>
    <n v="0"/>
    <n v="3164600877"/>
    <n v="3164600877"/>
    <n v="105486695"/>
    <n v="0"/>
    <n v="0"/>
    <n v="105486695"/>
    <n v="105486695"/>
    <n v="18.663900000000002"/>
    <n v="8.8668899999999997"/>
    <n v="2531.3200000000002"/>
    <n v="1792.57"/>
    <n v="7180"/>
    <n v="1170"/>
    <x v="2"/>
  </r>
  <r>
    <s v="istree_exp1_scaling_threads/step10044.txt"/>
    <x v="0"/>
    <n v="72"/>
    <s v="reclaimer_debra"/>
    <s v="allocator_new"/>
    <s v="pool_none"/>
    <n v="30000"/>
    <n v="0"/>
    <n v="0"/>
    <n v="0"/>
    <n v="1"/>
    <x v="2"/>
    <n v="144"/>
    <x v="3"/>
    <n v="144"/>
    <n v="0"/>
    <s v="insertIfAbsent"/>
    <n v="1.00000655485433E+16"/>
    <n v="100000001"/>
    <n v="1.00000655485433E+16"/>
    <n v="100000001"/>
    <s v="success"/>
    <n v="6"/>
    <n v="11011103"/>
    <n v="110001001"/>
    <n v="121012104"/>
    <n v="100000001"/>
    <n v="10.99"/>
    <n v="0.90908299999999997"/>
    <n v="1.82636"/>
    <n v="4"/>
    <n v="2640904240"/>
    <m/>
    <m/>
    <m/>
    <n v="46534"/>
    <m/>
    <m/>
    <n v="4730867167"/>
    <n v="0"/>
    <n v="0"/>
    <n v="4730867167"/>
    <n v="4730867167"/>
    <n v="157695572"/>
    <n v="0"/>
    <n v="0"/>
    <n v="157695572"/>
    <n v="157695572"/>
    <n v="18.736599999999999"/>
    <n v="9.1215499999999992"/>
    <n v="2536.14"/>
    <n v="1794.55"/>
    <n v="7289"/>
    <n v="1089"/>
    <x v="2"/>
  </r>
  <r>
    <s v="istree_exp1_scaling_threads/step10045.txt"/>
    <x v="0"/>
    <n v="72"/>
    <s v="reclaimer_debra"/>
    <s v="allocator_new"/>
    <s v="pool_none"/>
    <n v="30000"/>
    <n v="0"/>
    <n v="0"/>
    <n v="0"/>
    <n v="1"/>
    <x v="2"/>
    <n v="190"/>
    <x v="4"/>
    <n v="190"/>
    <n v="0"/>
    <s v="insertIfAbsent"/>
    <n v="1.000040055453E+16"/>
    <n v="100000001"/>
    <n v="1.000040055453E+16"/>
    <n v="100000001"/>
    <s v="success"/>
    <n v="6"/>
    <n v="11011103"/>
    <n v="110001001"/>
    <n v="121012104"/>
    <n v="100000001"/>
    <n v="10.99"/>
    <n v="0.90908299999999997"/>
    <n v="1.82636"/>
    <n v="4"/>
    <n v="2640904240"/>
    <m/>
    <m/>
    <m/>
    <n v="37970"/>
    <m/>
    <m/>
    <n v="6194840561"/>
    <n v="0"/>
    <n v="0"/>
    <n v="6194840561"/>
    <n v="6194840561"/>
    <n v="206494685"/>
    <n v="0"/>
    <n v="0"/>
    <n v="206494685"/>
    <n v="206494685"/>
    <n v="18.79"/>
    <n v="9.2654899999999998"/>
    <n v="2555.14"/>
    <n v="1799.85"/>
    <n v="7351"/>
    <n v="1114"/>
    <x v="2"/>
  </r>
  <r>
    <s v="istree_exp1_scaling_threads/step10046.txt"/>
    <x v="1"/>
    <n v="208"/>
    <s v="reclaimer_debra"/>
    <s v="allocator_new"/>
    <s v="pool_none"/>
    <n v="30000"/>
    <n v="0"/>
    <n v="0"/>
    <n v="0"/>
    <n v="1"/>
    <x v="2"/>
    <n v="24"/>
    <x v="0"/>
    <n v="24"/>
    <n v="0"/>
    <s v="insertIfAbsent"/>
    <n v="9999865110570150"/>
    <n v="100000000"/>
    <n v="9999865110570150"/>
    <n v="100000000"/>
    <s v="success"/>
    <n v="10"/>
    <n v="1854317"/>
    <n v="12759001"/>
    <n v="14613318"/>
    <n v="100000000"/>
    <n v="7.8807"/>
    <n v="7.8376000000000001"/>
    <n v="7.84307"/>
    <n v="9"/>
    <n v="3039570144"/>
    <m/>
    <m/>
    <m/>
    <s v="53286 277176"/>
    <m/>
    <m/>
    <n v="606476662"/>
    <n v="0"/>
    <n v="0"/>
    <n v="606476662"/>
    <n v="606476662"/>
    <n v="20215888"/>
    <n v="0"/>
    <n v="0"/>
    <n v="20215888"/>
    <n v="20215888"/>
    <n v="23.539300000000001"/>
    <n v="9.4273199999999999"/>
    <n v="3311.54"/>
    <n v="2227.73"/>
    <n v="4298"/>
    <n v="9604"/>
    <x v="2"/>
  </r>
  <r>
    <s v="istree_exp1_scaling_threads/step10047.txt"/>
    <x v="1"/>
    <n v="208"/>
    <s v="reclaimer_debra"/>
    <s v="allocator_new"/>
    <s v="pool_none"/>
    <n v="30000"/>
    <n v="0"/>
    <n v="0"/>
    <n v="0"/>
    <n v="1"/>
    <x v="2"/>
    <n v="48"/>
    <x v="1"/>
    <n v="48"/>
    <n v="0"/>
    <s v="insertIfAbsent"/>
    <n v="9998790920360010"/>
    <n v="100000000"/>
    <n v="9998790920360010"/>
    <n v="100000000"/>
    <s v="success"/>
    <n v="10"/>
    <n v="1853464"/>
    <n v="12757828"/>
    <n v="14611292"/>
    <n v="100000000"/>
    <n v="7.8832300000000002"/>
    <n v="7.8383200000000004"/>
    <n v="7.8440200000000004"/>
    <n v="9"/>
    <n v="3039148736"/>
    <m/>
    <m/>
    <m/>
    <s v="14052 116218"/>
    <m/>
    <m/>
    <n v="1135334745"/>
    <n v="0"/>
    <n v="0"/>
    <n v="1135334745"/>
    <n v="1135334745"/>
    <n v="37844491"/>
    <n v="0"/>
    <n v="0"/>
    <n v="37844491"/>
    <n v="37844491"/>
    <n v="23.310500000000001"/>
    <n v="9.3920200000000005"/>
    <n v="3536.5"/>
    <n v="2646.28"/>
    <n v="4383"/>
    <n v="6517"/>
    <x v="2"/>
  </r>
  <r>
    <s v="istree_exp1_scaling_threads/step10048.txt"/>
    <x v="1"/>
    <n v="208"/>
    <s v="reclaimer_debra"/>
    <s v="allocator_new"/>
    <s v="pool_none"/>
    <n v="30000"/>
    <n v="0"/>
    <n v="0"/>
    <n v="0"/>
    <n v="1"/>
    <x v="2"/>
    <n v="96"/>
    <x v="2"/>
    <n v="96"/>
    <n v="0"/>
    <s v="insertIfAbsent"/>
    <n v="9999833045437380"/>
    <n v="100000000"/>
    <n v="9999833045437380"/>
    <n v="100000000"/>
    <s v="success"/>
    <n v="10"/>
    <n v="1853791"/>
    <n v="12757205"/>
    <n v="14610996"/>
    <n v="100000000"/>
    <n v="7.8816800000000002"/>
    <n v="7.8387099999999998"/>
    <n v="7.8441599999999996"/>
    <n v="9"/>
    <n v="3039087168"/>
    <m/>
    <m/>
    <m/>
    <s v="6550 60808"/>
    <m/>
    <m/>
    <n v="2419023837"/>
    <n v="0"/>
    <n v="0"/>
    <n v="2419023837"/>
    <n v="2419023837"/>
    <n v="80634127"/>
    <n v="0"/>
    <n v="0"/>
    <n v="80634127"/>
    <n v="80634127"/>
    <n v="23.287299999999998"/>
    <n v="10.2555"/>
    <n v="3313.36"/>
    <n v="2355.63"/>
    <n v="4698"/>
    <n v="6534"/>
    <x v="2"/>
  </r>
  <r>
    <s v="istree_exp1_scaling_threads/step10049.txt"/>
    <x v="1"/>
    <n v="208"/>
    <s v="reclaimer_debra"/>
    <s v="allocator_new"/>
    <s v="pool_none"/>
    <n v="30000"/>
    <n v="0"/>
    <n v="0"/>
    <n v="0"/>
    <n v="1"/>
    <x v="2"/>
    <n v="144"/>
    <x v="3"/>
    <n v="144"/>
    <n v="0"/>
    <s v="insertIfAbsent"/>
    <n v="1.00006796925828E+16"/>
    <n v="100000000"/>
    <n v="1.00006796925828E+16"/>
    <n v="100000000"/>
    <s v="success"/>
    <n v="10"/>
    <n v="1853776"/>
    <n v="12757285"/>
    <n v="14611061"/>
    <n v="100000000"/>
    <n v="7.88178"/>
    <n v="7.83866"/>
    <n v="7.8441299999999998"/>
    <n v="9"/>
    <n v="3039100688"/>
    <m/>
    <m/>
    <m/>
    <s v="4238 40128"/>
    <m/>
    <m/>
    <n v="3633702738"/>
    <n v="0"/>
    <n v="0"/>
    <n v="3633702738"/>
    <n v="3633702738"/>
    <n v="121123424"/>
    <n v="0"/>
    <n v="0"/>
    <n v="121123424"/>
    <n v="121123424"/>
    <n v="23.357299999999999"/>
    <n v="10.4636"/>
    <n v="3301.52"/>
    <n v="2333.88"/>
    <n v="4727"/>
    <n v="5916"/>
    <x v="2"/>
  </r>
  <r>
    <s v="istree_exp1_scaling_threads/step10050.txt"/>
    <x v="1"/>
    <n v="208"/>
    <s v="reclaimer_debra"/>
    <s v="allocator_new"/>
    <s v="pool_none"/>
    <n v="30000"/>
    <n v="0"/>
    <n v="0"/>
    <n v="0"/>
    <n v="1"/>
    <x v="2"/>
    <n v="190"/>
    <x v="4"/>
    <n v="190"/>
    <n v="0"/>
    <s v="insertIfAbsent"/>
    <n v="1.00006265201397E+16"/>
    <n v="100000000"/>
    <n v="1.00006265201397E+16"/>
    <n v="100000000"/>
    <s v="success"/>
    <n v="10"/>
    <n v="1853459"/>
    <n v="12755760"/>
    <n v="14609219"/>
    <n v="100000000"/>
    <n v="7.8821399999999997"/>
    <n v="7.8395999999999999"/>
    <n v="7.8449900000000001"/>
    <n v="9"/>
    <n v="3038717552"/>
    <m/>
    <m/>
    <m/>
    <s v="3000 31268"/>
    <m/>
    <m/>
    <n v="4764466132"/>
    <n v="0"/>
    <n v="0"/>
    <n v="4764466132"/>
    <n v="4764466132"/>
    <n v="158815537"/>
    <n v="0"/>
    <n v="0"/>
    <n v="158815537"/>
    <n v="158815537"/>
    <n v="23.398399999999999"/>
    <n v="10.7844"/>
    <n v="3322.51"/>
    <n v="2350.0700000000002"/>
    <n v="5127"/>
    <n v="6054"/>
    <x v="2"/>
  </r>
  <r>
    <s v="istree_exp1_scaling_threads/step10051.txt"/>
    <x v="2"/>
    <m/>
    <s v="reclaimer_debra"/>
    <s v="allocator_new"/>
    <s v="pool_none"/>
    <n v="30000"/>
    <n v="0"/>
    <n v="0"/>
    <n v="0"/>
    <n v="1"/>
    <x v="2"/>
    <n v="24"/>
    <x v="0"/>
    <n v="24"/>
    <n v="0"/>
    <s v="insertIfAbsent"/>
    <n v="1.00003390670587E+16"/>
    <n v="100000000"/>
    <n v="1.00003390670587E+16"/>
    <n v="100000000"/>
    <s v="success"/>
    <n v="33"/>
    <n v="57145027"/>
    <n v="42854974"/>
    <n v="100000001"/>
    <n v="100000000"/>
    <n v="1.74993"/>
    <n v="2.33345"/>
    <n v="2"/>
    <n v="26.054500000000001"/>
    <n v="5600000056"/>
    <m/>
    <m/>
    <m/>
    <s v="50132 145880"/>
    <m/>
    <m/>
    <n v="257056250"/>
    <n v="0"/>
    <n v="0"/>
    <n v="257056250"/>
    <n v="257056250"/>
    <n v="8568541"/>
    <n v="0"/>
    <n v="0"/>
    <n v="8568541"/>
    <n v="8568541"/>
    <n v="39.5944"/>
    <n v="17.435099999999998"/>
    <n v="7814.29"/>
    <n v="6444.96"/>
    <n v="7527"/>
    <n v="17245"/>
    <x v="2"/>
  </r>
  <r>
    <s v="istree_exp1_scaling_threads/step10052.txt"/>
    <x v="2"/>
    <m/>
    <s v="reclaimer_debra"/>
    <s v="allocator_new"/>
    <s v="pool_none"/>
    <n v="30000"/>
    <n v="0"/>
    <n v="0"/>
    <n v="0"/>
    <n v="1"/>
    <x v="2"/>
    <n v="48"/>
    <x v="1"/>
    <n v="48"/>
    <n v="0"/>
    <s v="insertIfAbsent"/>
    <n v="9999768129159540"/>
    <n v="100000000"/>
    <n v="9999768129159540"/>
    <n v="100000000"/>
    <s v="success"/>
    <n v="33"/>
    <n v="57144930"/>
    <n v="42855071"/>
    <n v="100000001"/>
    <n v="100000000"/>
    <n v="1.7499400000000001"/>
    <n v="2.33345"/>
    <n v="2"/>
    <n v="26.08"/>
    <n v="5600000056"/>
    <m/>
    <m/>
    <m/>
    <s v="12748 57000"/>
    <m/>
    <m/>
    <n v="492369094"/>
    <n v="0"/>
    <n v="0"/>
    <n v="492369094"/>
    <n v="492369094"/>
    <n v="16412303"/>
    <n v="0"/>
    <n v="0"/>
    <n v="16412303"/>
    <n v="16412303"/>
    <n v="40.346899999999998"/>
    <n v="17.572600000000001"/>
    <n v="8156.92"/>
    <n v="6799.95"/>
    <n v="7534"/>
    <n v="9250"/>
    <x v="2"/>
  </r>
  <r>
    <s v="istree_exp1_scaling_threads/step10053.txt"/>
    <x v="2"/>
    <m/>
    <s v="reclaimer_debra"/>
    <s v="allocator_new"/>
    <s v="pool_none"/>
    <n v="30000"/>
    <n v="0"/>
    <n v="0"/>
    <n v="0"/>
    <n v="1"/>
    <x v="2"/>
    <n v="96"/>
    <x v="2"/>
    <n v="96"/>
    <n v="0"/>
    <s v="insertIfAbsent"/>
    <n v="9999904272100390"/>
    <n v="100000000"/>
    <n v="9999904272100390"/>
    <n v="100000000"/>
    <s v="success"/>
    <n v="33"/>
    <n v="57143692"/>
    <n v="42856309"/>
    <n v="100000001"/>
    <n v="100000000"/>
    <n v="1.74997"/>
    <n v="2.33338"/>
    <n v="2"/>
    <n v="26.025300000000001"/>
    <n v="5600000056"/>
    <m/>
    <m/>
    <m/>
    <s v="2968 26732"/>
    <m/>
    <m/>
    <n v="1051007804"/>
    <n v="0"/>
    <n v="0"/>
    <n v="1051007804"/>
    <n v="1051007804"/>
    <n v="35033593"/>
    <n v="0"/>
    <n v="0"/>
    <n v="35033593"/>
    <n v="35033593"/>
    <n v="40.747100000000003"/>
    <n v="19.455200000000001"/>
    <n v="7631.23"/>
    <n v="6184.49"/>
    <n v="7548"/>
    <n v="4704"/>
    <x v="2"/>
  </r>
  <r>
    <s v="istree_exp1_scaling_threads/step10054.txt"/>
    <x v="2"/>
    <m/>
    <s v="reclaimer_debra"/>
    <s v="allocator_new"/>
    <s v="pool_none"/>
    <n v="30000"/>
    <n v="0"/>
    <n v="0"/>
    <n v="0"/>
    <n v="1"/>
    <x v="2"/>
    <n v="144"/>
    <x v="3"/>
    <n v="144"/>
    <n v="0"/>
    <s v="insertIfAbsent"/>
    <n v="1.00003573497038E+16"/>
    <n v="100000000"/>
    <n v="1.00003573497038E+16"/>
    <n v="100000000"/>
    <s v="success"/>
    <n v="33"/>
    <n v="57143637"/>
    <n v="42856364"/>
    <n v="100000001"/>
    <n v="100000000"/>
    <n v="1.7499800000000001"/>
    <n v="2.33338"/>
    <n v="2"/>
    <n v="26.049299999999999"/>
    <n v="5600000056"/>
    <m/>
    <m/>
    <m/>
    <s v="1422 17018"/>
    <m/>
    <m/>
    <n v="1581739485"/>
    <n v="0"/>
    <n v="0"/>
    <n v="1581739485"/>
    <n v="1581739485"/>
    <n v="52724649"/>
    <n v="0"/>
    <n v="0"/>
    <n v="52724649"/>
    <n v="52724649"/>
    <n v="41.0319"/>
    <n v="19.8188"/>
    <n v="7603.98"/>
    <n v="6053.76"/>
    <n v="7563"/>
    <n v="3109"/>
    <x v="2"/>
  </r>
  <r>
    <s v="istree_exp1_scaling_threads/step10055.txt"/>
    <x v="2"/>
    <m/>
    <s v="reclaimer_debra"/>
    <s v="allocator_new"/>
    <s v="pool_none"/>
    <n v="30000"/>
    <n v="0"/>
    <n v="0"/>
    <n v="0"/>
    <n v="1"/>
    <x v="2"/>
    <n v="190"/>
    <x v="4"/>
    <n v="190"/>
    <n v="0"/>
    <s v="insertIfAbsent"/>
    <n v="9999758026202770"/>
    <n v="100000000"/>
    <n v="9999758026202770"/>
    <n v="100000000"/>
    <s v="success"/>
    <n v="33"/>
    <n v="57139944"/>
    <n v="42860057"/>
    <n v="100000001"/>
    <n v="100000000"/>
    <n v="1.7500899999999999"/>
    <n v="2.33317"/>
    <n v="2"/>
    <n v="26.124400000000001"/>
    <n v="5600000056"/>
    <m/>
    <m/>
    <m/>
    <s v="774 13162"/>
    <m/>
    <m/>
    <n v="2108574638"/>
    <n v="0"/>
    <n v="0"/>
    <n v="2108574638"/>
    <n v="2108574638"/>
    <n v="70285821"/>
    <n v="0"/>
    <n v="0"/>
    <n v="70285821"/>
    <n v="70285821"/>
    <n v="40.918500000000002"/>
    <n v="20.0322"/>
    <n v="7524.34"/>
    <n v="5976.79"/>
    <n v="7577"/>
    <n v="2765"/>
    <x v="2"/>
  </r>
  <r>
    <s v="istree_exp1_scaling_threads/step10056.txt"/>
    <x v="3"/>
    <m/>
    <s v="reclaimer_debra"/>
    <s v="allocator_new"/>
    <s v="pool_none"/>
    <n v="30000"/>
    <n v="0"/>
    <n v="0"/>
    <n v="0"/>
    <n v="1"/>
    <x v="2"/>
    <n v="24"/>
    <x v="0"/>
    <n v="24"/>
    <n v="0"/>
    <s v="insertIfAbsent"/>
    <n v="9999978862831320"/>
    <n v="100000000"/>
    <n v="9999978862831320"/>
    <n v="100000000"/>
    <s v="success"/>
    <n v="71"/>
    <n v="99999999"/>
    <n v="100000000"/>
    <n v="199999999"/>
    <n v="100000000"/>
    <n v="2"/>
    <n v="1"/>
    <n v="1.5"/>
    <n v="36.598599999999998"/>
    <n v="6399999968"/>
    <m/>
    <m/>
    <m/>
    <s v="50330 127822"/>
    <m/>
    <m/>
    <n v="205565718"/>
    <n v="0"/>
    <n v="0"/>
    <n v="205565718"/>
    <n v="205565718"/>
    <n v="6852190"/>
    <n v="0"/>
    <n v="0"/>
    <n v="6852190"/>
    <n v="6852190"/>
    <n v="37.497799999999998"/>
    <n v="16.8888"/>
    <n v="9771.5499999999993"/>
    <n v="8021.43"/>
    <n v="7527"/>
    <n v="19018"/>
    <x v="2"/>
  </r>
  <r>
    <s v="istree_exp1_scaling_threads/step10057.txt"/>
    <x v="3"/>
    <m/>
    <s v="reclaimer_debra"/>
    <s v="allocator_new"/>
    <s v="pool_none"/>
    <n v="30000"/>
    <n v="0"/>
    <n v="0"/>
    <n v="0"/>
    <n v="1"/>
    <x v="2"/>
    <n v="48"/>
    <x v="1"/>
    <n v="48"/>
    <n v="0"/>
    <s v="insertIfAbsent"/>
    <n v="1.00001855682474E+16"/>
    <n v="100000000"/>
    <n v="1.00001855682474E+16"/>
    <n v="100000000"/>
    <s v="success"/>
    <n v="68"/>
    <n v="99999999"/>
    <n v="100000000"/>
    <n v="199999999"/>
    <n v="100000000"/>
    <n v="2"/>
    <n v="1"/>
    <n v="1.5"/>
    <n v="34.936999999999998"/>
    <n v="6399999968"/>
    <m/>
    <m/>
    <m/>
    <s v="12750 49010"/>
    <m/>
    <m/>
    <n v="400626775"/>
    <n v="0"/>
    <n v="0"/>
    <n v="400626775"/>
    <n v="400626775"/>
    <n v="13354225"/>
    <n v="0"/>
    <n v="0"/>
    <n v="13354225"/>
    <n v="13354225"/>
    <n v="37.513800000000003"/>
    <n v="16.853899999999999"/>
    <n v="10026.200000000001"/>
    <n v="8944.8799999999992"/>
    <n v="7533"/>
    <n v="9936"/>
    <x v="2"/>
  </r>
  <r>
    <s v="istree_exp1_scaling_threads/step10058.txt"/>
    <x v="3"/>
    <m/>
    <s v="reclaimer_debra"/>
    <s v="allocator_new"/>
    <s v="pool_none"/>
    <n v="30000"/>
    <n v="0"/>
    <n v="0"/>
    <n v="0"/>
    <n v="1"/>
    <x v="2"/>
    <n v="96"/>
    <x v="2"/>
    <n v="96"/>
    <n v="0"/>
    <s v="insertIfAbsent"/>
    <n v="1.0000041738484E+16"/>
    <n v="100000000"/>
    <n v="1.0000041738484E+16"/>
    <n v="100000000"/>
    <s v="success"/>
    <n v="70"/>
    <n v="99999999"/>
    <n v="100000000"/>
    <n v="199999999"/>
    <n v="100000000"/>
    <n v="2"/>
    <n v="1"/>
    <n v="1.5"/>
    <n v="35.915900000000001"/>
    <n v="6399999968"/>
    <m/>
    <m/>
    <m/>
    <s v="2944 22984"/>
    <m/>
    <m/>
    <n v="877980709"/>
    <n v="0"/>
    <n v="0"/>
    <n v="877980709"/>
    <n v="877980709"/>
    <n v="29266023"/>
    <n v="0"/>
    <n v="0"/>
    <n v="29266023"/>
    <n v="29266023"/>
    <n v="37.970700000000001"/>
    <n v="18.769300000000001"/>
    <n v="9138.52"/>
    <n v="8001.59"/>
    <n v="7546"/>
    <n v="4783"/>
    <x v="2"/>
  </r>
  <r>
    <s v="istree_exp1_scaling_threads/step10059.txt"/>
    <x v="3"/>
    <m/>
    <s v="reclaimer_debra"/>
    <s v="allocator_new"/>
    <s v="pool_none"/>
    <n v="30000"/>
    <n v="0"/>
    <n v="0"/>
    <n v="0"/>
    <n v="1"/>
    <x v="2"/>
    <n v="144"/>
    <x v="3"/>
    <n v="144"/>
    <n v="0"/>
    <s v="insertIfAbsent"/>
    <n v="9999827689207900"/>
    <n v="100000000"/>
    <n v="9999827689207900"/>
    <n v="100000000"/>
    <s v="success"/>
    <n v="72"/>
    <n v="99999999"/>
    <n v="100000000"/>
    <n v="199999999"/>
    <n v="100000000"/>
    <n v="2"/>
    <n v="1"/>
    <n v="1.5"/>
    <n v="37.071100000000001"/>
    <n v="6399999968"/>
    <m/>
    <m/>
    <m/>
    <s v="1390 14644"/>
    <m/>
    <m/>
    <n v="1336396626"/>
    <n v="0"/>
    <n v="0"/>
    <n v="1336396626"/>
    <n v="1336396626"/>
    <n v="44546554"/>
    <n v="0"/>
    <n v="0"/>
    <n v="44546554"/>
    <n v="44546554"/>
    <n v="38.151000000000003"/>
    <n v="19.0823"/>
    <n v="9002.56"/>
    <n v="7855.17"/>
    <n v="7560"/>
    <n v="3135"/>
    <x v="2"/>
  </r>
  <r>
    <s v="istree_exp1_scaling_threads/step10060.txt"/>
    <x v="3"/>
    <m/>
    <s v="reclaimer_debra"/>
    <s v="allocator_new"/>
    <s v="pool_none"/>
    <n v="30000"/>
    <n v="0"/>
    <n v="0"/>
    <n v="0"/>
    <n v="1"/>
    <x v="2"/>
    <n v="190"/>
    <x v="4"/>
    <n v="190"/>
    <n v="0"/>
    <s v="insertIfAbsent"/>
    <n v="9999878558433580"/>
    <n v="100000000"/>
    <n v="9999878558433580"/>
    <n v="100000000"/>
    <s v="success"/>
    <n v="69"/>
    <n v="99999999"/>
    <n v="100000000"/>
    <n v="199999999"/>
    <n v="100000000"/>
    <n v="2"/>
    <n v="1"/>
    <n v="1.5"/>
    <n v="36.798200000000001"/>
    <n v="6399999968"/>
    <m/>
    <m/>
    <m/>
    <s v="736 11114"/>
    <m/>
    <m/>
    <n v="1787724781"/>
    <n v="0"/>
    <n v="0"/>
    <n v="1787724781"/>
    <n v="1787724781"/>
    <n v="59590826"/>
    <n v="0"/>
    <n v="0"/>
    <n v="59590826"/>
    <n v="59590826"/>
    <n v="38.164299999999997"/>
    <n v="19.291"/>
    <n v="8878.81"/>
    <n v="7726.49"/>
    <n v="7575"/>
    <n v="2866"/>
    <x v="2"/>
  </r>
  <r>
    <s v="istree_exp1_scaling_threads/step10061.txt"/>
    <x v="0"/>
    <n v="72"/>
    <s v="reclaimer_debra"/>
    <s v="allocator_new"/>
    <s v="pool_none"/>
    <n v="30000"/>
    <n v="0"/>
    <n v="0"/>
    <n v="0"/>
    <n v="1"/>
    <x v="3"/>
    <n v="24"/>
    <x v="0"/>
    <n v="24"/>
    <n v="0"/>
    <s v="insertIfAbsent"/>
    <n v="9.9999248535027994E+17"/>
    <n v="1000000001"/>
    <n v="9.9999248535027994E+17"/>
    <n v="1000000001"/>
    <s v="success"/>
    <n v="6"/>
    <n v="84465035"/>
    <n v="1078804517"/>
    <n v="1163269552"/>
    <n v="1000000001"/>
    <n v="13.7722"/>
    <n v="0.926952"/>
    <n v="1.85965"/>
    <n v="4"/>
    <n v="24018075056"/>
    <m/>
    <m/>
    <m/>
    <n v="204888"/>
    <m/>
    <m/>
    <n v="558654415"/>
    <n v="0"/>
    <n v="0"/>
    <n v="558654415"/>
    <n v="558654415"/>
    <n v="18621813"/>
    <n v="0"/>
    <n v="0"/>
    <n v="18621813"/>
    <n v="18621813"/>
    <n v="21.892900000000001"/>
    <n v="12.795500000000001"/>
    <n v="3592.49"/>
    <n v="2874.12"/>
    <n v="59142"/>
    <n v="15952"/>
    <x v="3"/>
  </r>
  <r>
    <s v="istree_exp1_scaling_threads/step10062.txt"/>
    <x v="0"/>
    <n v="72"/>
    <s v="reclaimer_debra"/>
    <s v="allocator_new"/>
    <s v="pool_none"/>
    <n v="30000"/>
    <n v="0"/>
    <n v="0"/>
    <n v="0"/>
    <n v="1"/>
    <x v="3"/>
    <n v="48"/>
    <x v="1"/>
    <n v="48"/>
    <n v="0"/>
    <s v="insertIfAbsent"/>
    <n v="9.99997675717328E+17"/>
    <n v="1000000001"/>
    <n v="9.99997675717328E+17"/>
    <n v="1000000001"/>
    <s v="success"/>
    <n v="6"/>
    <n v="84465035"/>
    <n v="1078804517"/>
    <n v="1163269552"/>
    <n v="1000000001"/>
    <n v="13.7722"/>
    <n v="0.926952"/>
    <n v="1.85965"/>
    <n v="4"/>
    <n v="24018075056"/>
    <m/>
    <m/>
    <m/>
    <n v="91432"/>
    <m/>
    <m/>
    <n v="1017014445"/>
    <n v="0"/>
    <n v="0"/>
    <n v="1017014445"/>
    <n v="1017014445"/>
    <n v="33900481"/>
    <n v="0"/>
    <n v="0"/>
    <n v="33900481"/>
    <n v="33900481"/>
    <n v="21.845400000000001"/>
    <n v="12.835599999999999"/>
    <n v="3945.01"/>
    <n v="3288.59"/>
    <n v="59266"/>
    <n v="11518"/>
    <x v="3"/>
  </r>
  <r>
    <s v="istree_exp1_scaling_threads/step10063.txt"/>
    <x v="0"/>
    <n v="72"/>
    <s v="reclaimer_debra"/>
    <s v="allocator_new"/>
    <s v="pool_none"/>
    <n v="30000"/>
    <n v="0"/>
    <n v="0"/>
    <n v="0"/>
    <n v="1"/>
    <x v="3"/>
    <n v="96"/>
    <x v="2"/>
    <n v="96"/>
    <n v="0"/>
    <s v="insertIfAbsent"/>
    <n v="1.00000725333641E+18"/>
    <n v="1000000001"/>
    <n v="1.00000725333641E+18"/>
    <n v="1000000001"/>
    <s v="success"/>
    <n v="6"/>
    <n v="84465035"/>
    <n v="1078804517"/>
    <n v="1163269552"/>
    <n v="1000000001"/>
    <n v="13.7722"/>
    <n v="0.926952"/>
    <n v="1.85965"/>
    <n v="4"/>
    <n v="24018075056"/>
    <m/>
    <m/>
    <m/>
    <n v="50362"/>
    <m/>
    <m/>
    <n v="2267044619"/>
    <n v="0"/>
    <n v="0"/>
    <n v="2267044619"/>
    <n v="2267044619"/>
    <n v="75568153"/>
    <n v="0"/>
    <n v="0"/>
    <n v="75568153"/>
    <n v="75568153"/>
    <n v="21.924099999999999"/>
    <n v="13.622999999999999"/>
    <n v="3538.01"/>
    <n v="2822.04"/>
    <n v="59513"/>
    <n v="10060"/>
    <x v="3"/>
  </r>
  <r>
    <s v="istree_exp1_scaling_threads/step10064.txt"/>
    <x v="0"/>
    <n v="72"/>
    <s v="reclaimer_debra"/>
    <s v="allocator_new"/>
    <s v="pool_none"/>
    <n v="30000"/>
    <n v="0"/>
    <n v="0"/>
    <n v="0"/>
    <n v="1"/>
    <x v="3"/>
    <n v="144"/>
    <x v="3"/>
    <n v="144"/>
    <n v="0"/>
    <s v="insertIfAbsent"/>
    <n v="1.00001083626851E+18"/>
    <n v="1000000001"/>
    <n v="1.00001083626851E+18"/>
    <n v="1000000001"/>
    <s v="success"/>
    <n v="6"/>
    <n v="84465035"/>
    <n v="1078804517"/>
    <n v="1163269552"/>
    <n v="1000000001"/>
    <n v="13.7722"/>
    <n v="0.926952"/>
    <n v="1.85965"/>
    <n v="4"/>
    <n v="24018075056"/>
    <m/>
    <m/>
    <m/>
    <n v="33608"/>
    <m/>
    <m/>
    <n v="3419315196"/>
    <n v="0"/>
    <n v="0"/>
    <n v="3419315196"/>
    <n v="3419315196"/>
    <n v="113977173"/>
    <n v="0"/>
    <n v="0"/>
    <n v="113977173"/>
    <n v="113977173"/>
    <n v="21.935500000000001"/>
    <n v="13.860799999999999"/>
    <n v="3517.31"/>
    <n v="2793.21"/>
    <n v="59803"/>
    <n v="9573"/>
    <x v="3"/>
  </r>
  <r>
    <s v="istree_exp1_scaling_threads/step10065.txt"/>
    <x v="0"/>
    <n v="72"/>
    <s v="reclaimer_debra"/>
    <s v="allocator_new"/>
    <s v="pool_none"/>
    <n v="30000"/>
    <n v="0"/>
    <n v="0"/>
    <n v="0"/>
    <n v="1"/>
    <x v="3"/>
    <n v="190"/>
    <x v="4"/>
    <n v="190"/>
    <n v="0"/>
    <s v="insertIfAbsent"/>
    <n v="1.00001669387272E+18"/>
    <n v="1000000001"/>
    <n v="1.00001669387272E+18"/>
    <n v="1000000001"/>
    <s v="success"/>
    <n v="6"/>
    <n v="84465035"/>
    <n v="1078804517"/>
    <n v="1163269552"/>
    <n v="1000000001"/>
    <n v="13.7722"/>
    <n v="0.926952"/>
    <n v="1.85965"/>
    <n v="4"/>
    <n v="24018075056"/>
    <m/>
    <m/>
    <m/>
    <n v="26160"/>
    <m/>
    <m/>
    <n v="4451974575"/>
    <n v="0"/>
    <n v="0"/>
    <n v="4451974575"/>
    <n v="4451974575"/>
    <n v="148399152"/>
    <n v="0"/>
    <n v="0"/>
    <n v="148399152"/>
    <n v="148399152"/>
    <n v="21.913"/>
    <n v="14.008599999999999"/>
    <n v="3564.52"/>
    <n v="2826.79"/>
    <n v="59981"/>
    <n v="9315"/>
    <x v="3"/>
  </r>
  <r>
    <s v="istree_exp1_scaling_threads/step10066.txt"/>
    <x v="1"/>
    <n v="208"/>
    <s v="reclaimer_debra"/>
    <s v="allocator_new"/>
    <s v="pool_none"/>
    <n v="30000"/>
    <n v="0"/>
    <n v="0"/>
    <n v="0"/>
    <n v="1"/>
    <x v="3"/>
    <n v="24"/>
    <x v="0"/>
    <n v="24"/>
    <n v="0"/>
    <s v="insertIfAbsent"/>
    <n v="9.9999644586162496E+17"/>
    <n v="1000000000"/>
    <n v="9.9999644586162496E+17"/>
    <n v="1000000000"/>
    <s v="success"/>
    <n v="12"/>
    <n v="18542445"/>
    <n v="127574526"/>
    <n v="146116971"/>
    <n v="1000000000"/>
    <n v="7.8801399999999999"/>
    <n v="7.8385600000000002"/>
    <n v="7.8438299999999996"/>
    <n v="11"/>
    <n v="30392329968"/>
    <m/>
    <m/>
    <m/>
    <s v="523726 650548"/>
    <m/>
    <m/>
    <n v="346077476"/>
    <n v="0"/>
    <n v="0"/>
    <n v="346077476"/>
    <n v="346077476"/>
    <n v="11535915"/>
    <n v="0"/>
    <n v="0"/>
    <n v="11535915"/>
    <n v="11535915"/>
    <n v="30.107299999999999"/>
    <n v="16.388300000000001"/>
    <n v="5803.62"/>
    <n v="4561.6899999999996"/>
    <n v="33249"/>
    <n v="154872"/>
    <x v="3"/>
  </r>
  <r>
    <s v="istree_exp1_scaling_threads/step10067.txt"/>
    <x v="1"/>
    <n v="208"/>
    <s v="reclaimer_debra"/>
    <s v="allocator_new"/>
    <s v="pool_none"/>
    <n v="30000"/>
    <n v="0"/>
    <n v="0"/>
    <n v="0"/>
    <n v="1"/>
    <x v="3"/>
    <n v="48"/>
    <x v="1"/>
    <n v="48"/>
    <n v="0"/>
    <s v="insertIfAbsent"/>
    <n v="9.9999593285236506E+17"/>
    <n v="1000000000"/>
    <n v="9.9999593285236506E+17"/>
    <n v="1000000000"/>
    <s v="success"/>
    <n v="12"/>
    <n v="18539165"/>
    <n v="127576648"/>
    <n v="146115813"/>
    <n v="1000000000"/>
    <n v="7.8814700000000002"/>
    <n v="7.8384299999999998"/>
    <n v="7.84389"/>
    <n v="11"/>
    <n v="30392089104"/>
    <m/>
    <m/>
    <m/>
    <s v="130408 189540"/>
    <m/>
    <m/>
    <n v="655540016"/>
    <n v="0"/>
    <n v="0"/>
    <n v="655540016"/>
    <n v="655540016"/>
    <n v="21851333"/>
    <n v="0"/>
    <n v="0"/>
    <n v="21851333"/>
    <n v="21851333"/>
    <n v="29.9"/>
    <n v="16.323399999999999"/>
    <n v="6126.64"/>
    <n v="5198.7700000000004"/>
    <n v="33361"/>
    <n v="94391"/>
    <x v="3"/>
  </r>
  <r>
    <s v="istree_exp1_scaling_threads/step10068.txt"/>
    <x v="1"/>
    <n v="208"/>
    <s v="reclaimer_debra"/>
    <s v="allocator_new"/>
    <s v="pool_none"/>
    <n v="30000"/>
    <n v="0"/>
    <n v="0"/>
    <n v="0"/>
    <n v="1"/>
    <x v="3"/>
    <n v="96"/>
    <x v="2"/>
    <n v="96"/>
    <n v="0"/>
    <s v="insertIfAbsent"/>
    <n v="9.9999726512121702E+17"/>
    <n v="1000000000"/>
    <n v="9.9999726512121702E+17"/>
    <n v="1000000000"/>
    <s v="success"/>
    <n v="12"/>
    <n v="18538871"/>
    <n v="127575476"/>
    <n v="146114347"/>
    <n v="1000000000"/>
    <n v="7.8815099999999996"/>
    <n v="7.8384999999999998"/>
    <n v="7.8439500000000004"/>
    <n v="11"/>
    <n v="30391784176"/>
    <m/>
    <m/>
    <m/>
    <s v="61440 94156"/>
    <m/>
    <m/>
    <n v="1458064332"/>
    <n v="0"/>
    <n v="0"/>
    <n v="1458064332"/>
    <n v="1458064332"/>
    <n v="48602144"/>
    <n v="0"/>
    <n v="0"/>
    <n v="48602144"/>
    <n v="48602144"/>
    <n v="30.288399999999999"/>
    <n v="17.409800000000001"/>
    <n v="5499.61"/>
    <n v="4480.78"/>
    <n v="33577"/>
    <n v="73022"/>
    <x v="3"/>
  </r>
  <r>
    <s v="istree_exp1_scaling_threads/step10069.txt"/>
    <x v="1"/>
    <n v="208"/>
    <s v="reclaimer_debra"/>
    <s v="allocator_new"/>
    <s v="pool_none"/>
    <n v="30000"/>
    <n v="0"/>
    <n v="0"/>
    <n v="0"/>
    <n v="1"/>
    <x v="3"/>
    <n v="144"/>
    <x v="3"/>
    <n v="144"/>
    <n v="0"/>
    <s v="insertIfAbsent"/>
    <n v="1.000019426708E+18"/>
    <n v="1000000000"/>
    <n v="1.000019426708E+18"/>
    <n v="1000000000"/>
    <s v="success"/>
    <n v="12"/>
    <n v="18538712"/>
    <n v="127573911"/>
    <n v="146112623"/>
    <n v="1000000000"/>
    <n v="7.8814900000000003"/>
    <n v="7.8385899999999999"/>
    <n v="7.8440399999999997"/>
    <n v="11"/>
    <n v="30391425584"/>
    <m/>
    <m/>
    <m/>
    <s v="37022 58614"/>
    <m/>
    <m/>
    <n v="2197454758"/>
    <n v="0"/>
    <n v="0"/>
    <n v="2197454758"/>
    <n v="2197454758"/>
    <n v="73248491"/>
    <n v="0"/>
    <n v="0"/>
    <n v="73248491"/>
    <n v="73248491"/>
    <n v="30.348199999999999"/>
    <n v="17.634699999999999"/>
    <n v="5471.58"/>
    <n v="4446.25"/>
    <n v="33858"/>
    <n v="64324"/>
    <x v="3"/>
  </r>
  <r>
    <s v="istree_exp1_scaling_threads/step10070.txt"/>
    <x v="1"/>
    <n v="208"/>
    <s v="reclaimer_debra"/>
    <s v="allocator_new"/>
    <s v="pool_none"/>
    <n v="30000"/>
    <n v="0"/>
    <n v="0"/>
    <n v="0"/>
    <n v="1"/>
    <x v="3"/>
    <n v="190"/>
    <x v="4"/>
    <n v="190"/>
    <n v="0"/>
    <s v="insertIfAbsent"/>
    <n v="9.9998924271264102E+17"/>
    <n v="1000000000"/>
    <n v="9.9998924271264102E+17"/>
    <n v="1000000000"/>
    <s v="success"/>
    <n v="12"/>
    <n v="18538531"/>
    <n v="127578031"/>
    <n v="146116562"/>
    <n v="1000000000"/>
    <n v="7.88178"/>
    <n v="7.8383399999999996"/>
    <n v="7.8438499999999998"/>
    <n v="11"/>
    <n v="30392244896"/>
    <m/>
    <m/>
    <m/>
    <s v="26832 43546"/>
    <m/>
    <m/>
    <n v="2897408185"/>
    <n v="0"/>
    <n v="0"/>
    <n v="2897408185"/>
    <n v="2897408185"/>
    <n v="96580272"/>
    <n v="0"/>
    <n v="0"/>
    <n v="96580272"/>
    <n v="96580272"/>
    <n v="30.417100000000001"/>
    <n v="17.769300000000001"/>
    <n v="5474.88"/>
    <n v="4430.09"/>
    <n v="34015"/>
    <n v="61074"/>
    <x v="3"/>
  </r>
  <r>
    <s v="istree_exp1_scaling_threads/step10071.txt"/>
    <x v="2"/>
    <m/>
    <s v="reclaimer_debra"/>
    <s v="allocator_new"/>
    <s v="pool_none"/>
    <n v="30000"/>
    <n v="0"/>
    <n v="0"/>
    <n v="0"/>
    <n v="1"/>
    <x v="3"/>
    <n v="24"/>
    <x v="0"/>
    <n v="24"/>
    <n v="0"/>
    <s v="insertIfAbsent"/>
    <n v="9.9998677535932198E+17"/>
    <n v="1000000000"/>
    <n v="9.9998677535932198E+17"/>
    <n v="1000000000"/>
    <s v="success"/>
    <n v="37"/>
    <n v="571433279"/>
    <n v="428566722"/>
    <n v="1000000001"/>
    <n v="1000000000"/>
    <n v="1.7499899999999999"/>
    <n v="2.3333599999999999"/>
    <n v="2"/>
    <n v="29.438500000000001"/>
    <n v="56000000056"/>
    <m/>
    <m/>
    <m/>
    <s v="508108 566484"/>
    <m/>
    <m/>
    <n v="159605258"/>
    <n v="0"/>
    <n v="0"/>
    <n v="159605258"/>
    <n v="159605258"/>
    <n v="5320175"/>
    <n v="0"/>
    <n v="0"/>
    <n v="5320175"/>
    <n v="5320175"/>
    <n v="54.050600000000003"/>
    <n v="28.694800000000001"/>
    <n v="12585"/>
    <n v="11078.2"/>
    <n v="65644"/>
    <n v="272496"/>
    <x v="3"/>
  </r>
  <r>
    <s v="istree_exp1_scaling_threads/step10072.txt"/>
    <x v="2"/>
    <m/>
    <s v="reclaimer_debra"/>
    <s v="allocator_new"/>
    <s v="pool_none"/>
    <n v="30000"/>
    <n v="0"/>
    <n v="0"/>
    <n v="0"/>
    <n v="1"/>
    <x v="3"/>
    <n v="48"/>
    <x v="1"/>
    <n v="48"/>
    <n v="0"/>
    <s v="insertIfAbsent"/>
    <n v="9.9998508748782605E+17"/>
    <n v="1000000000"/>
    <n v="9.9998508748782605E+17"/>
    <n v="1000000000"/>
    <s v="success"/>
    <n v="37"/>
    <n v="571430294"/>
    <n v="428569707"/>
    <n v="1000000001"/>
    <n v="1000000000"/>
    <n v="1.7499899999999999"/>
    <n v="2.3333400000000002"/>
    <n v="2"/>
    <n v="29.4603"/>
    <n v="56000000056"/>
    <m/>
    <m/>
    <m/>
    <s v="124646 152568"/>
    <m/>
    <m/>
    <n v="306839644"/>
    <n v="0"/>
    <n v="0"/>
    <n v="306839644"/>
    <n v="306839644"/>
    <n v="10227988"/>
    <n v="0"/>
    <n v="0"/>
    <n v="10227988"/>
    <n v="10227988"/>
    <n v="54.664099999999998"/>
    <n v="28.8993"/>
    <n v="13091.4"/>
    <n v="11567.4"/>
    <n v="65652"/>
    <n v="142914"/>
    <x v="3"/>
  </r>
  <r>
    <s v="istree_exp1_scaling_threads/step10073.txt"/>
    <x v="2"/>
    <m/>
    <s v="reclaimer_debra"/>
    <s v="allocator_new"/>
    <s v="pool_none"/>
    <n v="30000"/>
    <n v="0"/>
    <n v="0"/>
    <n v="0"/>
    <n v="1"/>
    <x v="3"/>
    <n v="96"/>
    <x v="2"/>
    <n v="96"/>
    <n v="0"/>
    <s v="insertIfAbsent"/>
    <n v="1.00003258145739E+18"/>
    <n v="1000000000"/>
    <n v="1.00003258145739E+18"/>
    <n v="1000000000"/>
    <s v="success"/>
    <n v="37"/>
    <n v="571424141"/>
    <n v="428575860"/>
    <n v="1000000001"/>
    <n v="1000000000"/>
    <n v="1.7500100000000001"/>
    <n v="2.33331"/>
    <n v="2"/>
    <n v="29.453199999999999"/>
    <n v="56000000056"/>
    <m/>
    <m/>
    <m/>
    <s v="30948 46198"/>
    <m/>
    <m/>
    <n v="681256379"/>
    <n v="0"/>
    <n v="0"/>
    <n v="681256379"/>
    <n v="681256379"/>
    <n v="22708545"/>
    <n v="0"/>
    <n v="0"/>
    <n v="22708545"/>
    <n v="22708545"/>
    <n v="55.301099999999998"/>
    <n v="31.048300000000001"/>
    <n v="11777.9"/>
    <n v="10211"/>
    <n v="65667"/>
    <n v="63768"/>
    <x v="3"/>
  </r>
  <r>
    <s v="istree_exp1_scaling_threads/step10074.txt"/>
    <x v="2"/>
    <m/>
    <s v="reclaimer_debra"/>
    <s v="allocator_new"/>
    <s v="pool_none"/>
    <n v="30000"/>
    <n v="0"/>
    <n v="0"/>
    <n v="0"/>
    <n v="1"/>
    <x v="3"/>
    <n v="144"/>
    <x v="3"/>
    <n v="144"/>
    <n v="0"/>
    <s v="insertIfAbsent"/>
    <n v="1.00000722981098E+18"/>
    <n v="1000000000"/>
    <n v="1.00000722981098E+18"/>
    <n v="1000000000"/>
    <s v="success"/>
    <n v="37"/>
    <n v="571436318"/>
    <n v="428563683"/>
    <n v="1000000001"/>
    <n v="1000000000"/>
    <n v="1.7499800000000001"/>
    <n v="2.33338"/>
    <n v="2"/>
    <n v="29.437799999999999"/>
    <n v="56000000056"/>
    <m/>
    <m/>
    <m/>
    <s v="13604 23838"/>
    <m/>
    <m/>
    <n v="1019411792"/>
    <n v="0"/>
    <n v="0"/>
    <n v="1019411792"/>
    <n v="1019411792"/>
    <n v="33980393"/>
    <n v="0"/>
    <n v="0"/>
    <n v="33980393"/>
    <n v="33980393"/>
    <n v="55.810699999999997"/>
    <n v="31.313300000000002"/>
    <n v="11803.2"/>
    <n v="10131.9"/>
    <n v="65678"/>
    <n v="42882"/>
    <x v="3"/>
  </r>
  <r>
    <s v="istree_exp1_scaling_threads/step10075.txt"/>
    <x v="2"/>
    <m/>
    <s v="reclaimer_debra"/>
    <s v="allocator_new"/>
    <s v="pool_none"/>
    <n v="30000"/>
    <n v="0"/>
    <n v="0"/>
    <n v="0"/>
    <n v="1"/>
    <x v="3"/>
    <n v="190"/>
    <x v="4"/>
    <n v="190"/>
    <n v="0"/>
    <s v="insertIfAbsent"/>
    <n v="9.9999665546969805E+17"/>
    <n v="1000000000"/>
    <n v="9.9999665546969805E+17"/>
    <n v="1000000000"/>
    <s v="success"/>
    <n v="37"/>
    <n v="571425134"/>
    <n v="428574867"/>
    <n v="1000000001"/>
    <n v="1000000000"/>
    <n v="1.7500100000000001"/>
    <n v="2.33331"/>
    <n v="2"/>
    <n v="29.454599999999999"/>
    <n v="56000000056"/>
    <m/>
    <m/>
    <m/>
    <s v="7928 15782"/>
    <m/>
    <m/>
    <n v="1357806953"/>
    <n v="0"/>
    <n v="0"/>
    <n v="1357806953"/>
    <n v="1357806953"/>
    <n v="45260231"/>
    <n v="0"/>
    <n v="0"/>
    <n v="45260231"/>
    <n v="45260231"/>
    <n v="55.863500000000002"/>
    <n v="31.48"/>
    <n v="11691.6"/>
    <n v="10115.700000000001"/>
    <n v="65693"/>
    <n v="32795"/>
    <x v="3"/>
  </r>
  <r>
    <s v="istree_exp1_scaling_threads/step10076.txt"/>
    <x v="3"/>
    <m/>
    <s v="reclaimer_debra"/>
    <s v="allocator_new"/>
    <s v="pool_none"/>
    <n v="30000"/>
    <n v="0"/>
    <n v="0"/>
    <n v="0"/>
    <n v="1"/>
    <x v="3"/>
    <n v="24"/>
    <x v="0"/>
    <n v="24"/>
    <n v="0"/>
    <s v="insertIfAbsent"/>
    <n v="9.9997779200398106E+17"/>
    <n v="1000000000"/>
    <n v="9.9997779200398106E+17"/>
    <n v="1000000000"/>
    <s v="success"/>
    <n v="82"/>
    <n v="999999999"/>
    <n v="1000000000"/>
    <n v="1999999999"/>
    <n v="1000000000"/>
    <n v="2"/>
    <n v="1"/>
    <n v="1.5"/>
    <n v="41.408799999999999"/>
    <n v="63999999968"/>
    <m/>
    <m/>
    <m/>
    <s v="510700 558706"/>
    <m/>
    <m/>
    <n v="129264678"/>
    <n v="0"/>
    <n v="0"/>
    <n v="129264678"/>
    <n v="129264678"/>
    <n v="4308822"/>
    <n v="0"/>
    <n v="0"/>
    <n v="4308822"/>
    <n v="4308822"/>
    <n v="53.218499999999999"/>
    <n v="28.623899999999999"/>
    <n v="15538.5"/>
    <n v="13478.4"/>
    <n v="65644"/>
    <n v="299956"/>
    <x v="3"/>
  </r>
  <r>
    <s v="istree_exp1_scaling_threads/step10077.txt"/>
    <x v="3"/>
    <m/>
    <s v="reclaimer_debra"/>
    <s v="allocator_new"/>
    <s v="pool_none"/>
    <n v="30000"/>
    <n v="0"/>
    <n v="0"/>
    <n v="0"/>
    <n v="1"/>
    <x v="3"/>
    <n v="48"/>
    <x v="1"/>
    <n v="48"/>
    <n v="0"/>
    <s v="insertIfAbsent"/>
    <n v="1.00002374634965E+18"/>
    <n v="1000000000"/>
    <n v="1.00002374634965E+18"/>
    <n v="1000000000"/>
    <s v="success"/>
    <n v="79"/>
    <n v="999999999"/>
    <n v="1000000000"/>
    <n v="1999999999"/>
    <n v="1000000000"/>
    <n v="2"/>
    <n v="1"/>
    <n v="1.5"/>
    <n v="40.4435"/>
    <n v="63999999968"/>
    <m/>
    <m/>
    <m/>
    <s v="125368 148420"/>
    <m/>
    <m/>
    <n v="253370689"/>
    <n v="0"/>
    <n v="0"/>
    <n v="253370689"/>
    <n v="253370689"/>
    <n v="8445689"/>
    <n v="0"/>
    <n v="0"/>
    <n v="8445689"/>
    <n v="8445689"/>
    <n v="53.2423"/>
    <n v="28.624700000000001"/>
    <n v="15853"/>
    <n v="14726.1"/>
    <n v="65651"/>
    <n v="153398"/>
    <x v="3"/>
  </r>
  <r>
    <s v="istree_exp1_scaling_threads/step10078.txt"/>
    <x v="3"/>
    <m/>
    <s v="reclaimer_debra"/>
    <s v="allocator_new"/>
    <s v="pool_none"/>
    <n v="30000"/>
    <n v="0"/>
    <n v="0"/>
    <n v="0"/>
    <n v="1"/>
    <x v="3"/>
    <n v="96"/>
    <x v="2"/>
    <n v="96"/>
    <n v="0"/>
    <s v="insertIfAbsent"/>
    <n v="1.00000511128376E+18"/>
    <n v="1000000000"/>
    <n v="1.00000511128376E+18"/>
    <n v="1000000000"/>
    <s v="success"/>
    <n v="81"/>
    <n v="999999999"/>
    <n v="1000000000"/>
    <n v="1999999999"/>
    <n v="1000000000"/>
    <n v="2"/>
    <n v="1"/>
    <n v="1.5"/>
    <n v="40.099499999999999"/>
    <n v="63999999968"/>
    <m/>
    <m/>
    <m/>
    <s v="31068 43890"/>
    <m/>
    <m/>
    <n v="569676191"/>
    <n v="0"/>
    <n v="0"/>
    <n v="569676191"/>
    <n v="569676191"/>
    <n v="18989206"/>
    <n v="0"/>
    <n v="0"/>
    <n v="18989206"/>
    <n v="18989206"/>
    <n v="53.853900000000003"/>
    <n v="31.184699999999999"/>
    <n v="14086.9"/>
    <n v="12857.7"/>
    <n v="65664"/>
    <n v="66357"/>
    <x v="3"/>
  </r>
  <r>
    <s v="istree_exp1_scaling_threads/step10079.txt"/>
    <x v="3"/>
    <m/>
    <s v="reclaimer_debra"/>
    <s v="allocator_new"/>
    <s v="pool_none"/>
    <n v="30000"/>
    <n v="0"/>
    <n v="0"/>
    <n v="0"/>
    <n v="1"/>
    <x v="3"/>
    <n v="144"/>
    <x v="3"/>
    <n v="144"/>
    <n v="0"/>
    <s v="insertIfAbsent"/>
    <n v="1.00000465609906E+18"/>
    <n v="1000000000"/>
    <n v="1.00000465609906E+18"/>
    <n v="1000000000"/>
    <s v="success"/>
    <n v="81"/>
    <n v="999999999"/>
    <n v="1000000000"/>
    <n v="1999999999"/>
    <n v="1000000000"/>
    <n v="2"/>
    <n v="1"/>
    <n v="1.5"/>
    <n v="40.625700000000002"/>
    <n v="63999999968"/>
    <m/>
    <m/>
    <m/>
    <s v="13658 22376"/>
    <m/>
    <m/>
    <n v="862787151"/>
    <n v="0"/>
    <n v="0"/>
    <n v="862787151"/>
    <n v="862787151"/>
    <n v="28759571"/>
    <n v="0"/>
    <n v="0"/>
    <n v="28759571"/>
    <n v="28759571"/>
    <n v="53.890799999999999"/>
    <n v="31.433499999999999"/>
    <n v="13947.9"/>
    <n v="12717.6"/>
    <n v="65677"/>
    <n v="44107"/>
    <x v="3"/>
  </r>
  <r>
    <s v="istree_exp1_scaling_threads/step10080.txt"/>
    <x v="3"/>
    <m/>
    <s v="reclaimer_debra"/>
    <s v="allocator_new"/>
    <s v="pool_none"/>
    <n v="30000"/>
    <n v="0"/>
    <n v="0"/>
    <n v="0"/>
    <n v="1"/>
    <x v="3"/>
    <n v="190"/>
    <x v="4"/>
    <n v="190"/>
    <n v="0"/>
    <s v="insertIfAbsent"/>
    <n v="1.0000051898459599E+18"/>
    <n v="1000000000"/>
    <n v="1.0000051898459599E+18"/>
    <n v="1000000000"/>
    <s v="success"/>
    <n v="80"/>
    <n v="999999999"/>
    <n v="1000000000"/>
    <n v="1999999999"/>
    <n v="1000000000"/>
    <n v="2"/>
    <n v="1"/>
    <n v="1.5"/>
    <n v="39.914099999999998"/>
    <n v="63999999968"/>
    <m/>
    <m/>
    <m/>
    <s v="7830 14468"/>
    <m/>
    <m/>
    <n v="1144017216"/>
    <n v="0"/>
    <n v="0"/>
    <n v="1144017216"/>
    <n v="1144017216"/>
    <n v="38133907"/>
    <n v="0"/>
    <n v="0"/>
    <n v="38133907"/>
    <n v="38133907"/>
    <n v="53.987400000000001"/>
    <n v="31.5867"/>
    <n v="13879.7"/>
    <n v="12642.5"/>
    <n v="65695"/>
    <n v="33702"/>
    <x v="3"/>
  </r>
  <r>
    <s v="istree_exp1_scaling_threads/step10081.txt"/>
    <x v="0"/>
    <n v="72"/>
    <s v="reclaimer_debra"/>
    <s v="allocator_new"/>
    <s v="pool_none"/>
    <n v="30000"/>
    <n v="0.5"/>
    <n v="0.5"/>
    <n v="0"/>
    <n v="1"/>
    <x v="0"/>
    <n v="24"/>
    <x v="0"/>
    <n v="24"/>
    <n v="0"/>
    <s v="insertIfAbsent"/>
    <n v="1000325621326"/>
    <n v="999386"/>
    <n v="1000325621326"/>
    <n v="999386"/>
    <s v="success"/>
    <n v="6"/>
    <n v="51898"/>
    <n v="1069443"/>
    <n v="1121341"/>
    <n v="999386"/>
    <n v="21.6066"/>
    <n v="0.93449199999999999"/>
    <n v="1.89124"/>
    <n v="3.0389900000000001"/>
    <n v="21275536"/>
    <s v="48 43144 618999 696087"/>
    <s v="48 43135 618990 696084"/>
    <n v="3896"/>
    <n v="892326"/>
    <m/>
    <m/>
    <n v="2382891121"/>
    <n v="0"/>
    <n v="24069882"/>
    <n v="2382891121"/>
    <n v="2406961003"/>
    <n v="79429704"/>
    <n v="0"/>
    <n v="802329"/>
    <n v="79429704"/>
    <n v="80232033"/>
    <n v="8.5425400000000007"/>
    <n v="9.5369200000000001E-2"/>
    <n v="833.7"/>
    <n v="271.71300000000002"/>
    <n v="1186"/>
    <n v="28"/>
    <x v="4"/>
  </r>
  <r>
    <s v="istree_exp1_scaling_threads/step10082.txt"/>
    <x v="0"/>
    <n v="72"/>
    <s v="reclaimer_debra"/>
    <s v="allocator_new"/>
    <s v="pool_none"/>
    <n v="30000"/>
    <n v="0.5"/>
    <n v="0.5"/>
    <n v="0"/>
    <n v="1"/>
    <x v="0"/>
    <n v="48"/>
    <x v="1"/>
    <n v="48"/>
    <n v="0"/>
    <s v="insertIfAbsent"/>
    <n v="1001599485921"/>
    <n v="1000780"/>
    <n v="1001599485921"/>
    <n v="1000780"/>
    <s v="success"/>
    <n v="6"/>
    <n v="67348"/>
    <n v="1104677"/>
    <n v="1172025"/>
    <n v="1000780"/>
    <n v="17.4025"/>
    <n v="0.90594799999999998"/>
    <n v="1.85389"/>
    <n v="3.0747100000000001"/>
    <n v="23131536"/>
    <s v="81 71449 682682 992689"/>
    <s v="72 71445 682648 992686"/>
    <n v="15766"/>
    <n v="331500"/>
    <m/>
    <m/>
    <n v="3600824951"/>
    <n v="0"/>
    <n v="36372893"/>
    <n v="3600824951"/>
    <n v="3637197844"/>
    <n v="120027498"/>
    <n v="0"/>
    <n v="1212429"/>
    <n v="120027498"/>
    <n v="121239928"/>
    <n v="8.4709500000000002"/>
    <n v="0.11371100000000001"/>
    <n v="1097.49"/>
    <n v="404.483"/>
    <n v="1214"/>
    <n v="34"/>
    <x v="4"/>
  </r>
  <r>
    <s v="istree_exp1_scaling_threads/step10083.txt"/>
    <x v="0"/>
    <n v="72"/>
    <s v="reclaimer_debra"/>
    <s v="allocator_new"/>
    <s v="pool_none"/>
    <n v="30000"/>
    <n v="0.5"/>
    <n v="0.5"/>
    <n v="0"/>
    <n v="1"/>
    <x v="0"/>
    <n v="96"/>
    <x v="2"/>
    <n v="96"/>
    <n v="0"/>
    <s v="insertIfAbsent"/>
    <n v="999902394419"/>
    <n v="1000155"/>
    <n v="999902394419"/>
    <n v="1000155"/>
    <s v="success"/>
    <n v="6"/>
    <n v="62231"/>
    <n v="1091842"/>
    <n v="1154073"/>
    <n v="1000155"/>
    <n v="18.545000000000002"/>
    <n v="0.91602499999999998"/>
    <n v="1.86663"/>
    <n v="3.0619000000000001"/>
    <n v="22485136"/>
    <s v="149 208704 360475 1535934"/>
    <s v="132 208538 360403 1535922"/>
    <n v="77426"/>
    <n v="152302"/>
    <m/>
    <m/>
    <n v="6575618484"/>
    <n v="0"/>
    <n v="66418238"/>
    <n v="6575618484"/>
    <n v="6642036722"/>
    <n v="219187282"/>
    <n v="0"/>
    <n v="2213941"/>
    <n v="219187282"/>
    <n v="221401224"/>
    <n v="8.5501900000000006"/>
    <n v="0.25610300000000003"/>
    <n v="1203.8599999999999"/>
    <n v="476.89699999999999"/>
    <n v="1276"/>
    <n v="138"/>
    <x v="4"/>
  </r>
  <r>
    <s v="istree_exp1_scaling_threads/step10084.txt"/>
    <x v="0"/>
    <n v="72"/>
    <s v="reclaimer_debra"/>
    <s v="allocator_new"/>
    <s v="pool_none"/>
    <n v="30000"/>
    <n v="0.5"/>
    <n v="0.5"/>
    <n v="0"/>
    <n v="1"/>
    <x v="0"/>
    <n v="144"/>
    <x v="3"/>
    <n v="144"/>
    <n v="0"/>
    <s v="insertIfAbsent"/>
    <n v="1000219414222"/>
    <n v="1000424"/>
    <n v="1000219414222"/>
    <n v="1000424"/>
    <s v="success"/>
    <n v="6"/>
    <n v="51166"/>
    <n v="1068810"/>
    <n v="1119976"/>
    <n v="1000424"/>
    <n v="21.889099999999999"/>
    <n v="0.93601699999999999"/>
    <n v="1.8932500000000001"/>
    <n v="3.0373000000000001"/>
    <n v="21205520"/>
    <s v="215 547583 98615 1528463"/>
    <s v="188 547184 98565 1528446"/>
    <n v="182483"/>
    <n v="96544"/>
    <m/>
    <m/>
    <n v="9307172936"/>
    <n v="0"/>
    <n v="93999505"/>
    <n v="9307172936"/>
    <n v="9401172441"/>
    <n v="310239097"/>
    <n v="0"/>
    <n v="3133316"/>
    <n v="310239097"/>
    <n v="313372414"/>
    <n v="8.6755399999999998"/>
    <n v="0.36468400000000001"/>
    <n v="1263.07"/>
    <n v="531.62900000000002"/>
    <n v="1348"/>
    <n v="245"/>
    <x v="4"/>
  </r>
  <r>
    <s v="istree_exp1_scaling_threads/step10085.txt"/>
    <x v="0"/>
    <n v="72"/>
    <s v="reclaimer_debra"/>
    <s v="allocator_new"/>
    <s v="pool_none"/>
    <n v="30000"/>
    <n v="0.5"/>
    <n v="0.5"/>
    <n v="0"/>
    <n v="1"/>
    <x v="0"/>
    <n v="190"/>
    <x v="4"/>
    <n v="190"/>
    <n v="0"/>
    <s v="insertIfAbsent"/>
    <n v="1000180919672"/>
    <n v="999847"/>
    <n v="1000180919672"/>
    <n v="999847"/>
    <s v="success"/>
    <n v="6"/>
    <n v="52180"/>
    <n v="1071078"/>
    <n v="1123258"/>
    <n v="999847"/>
    <n v="21.526599999999998"/>
    <n v="0.93349599999999999"/>
    <n v="1.8901300000000001"/>
    <n v="3.04"/>
    <n v="21330544"/>
    <s v="256 545231 265066 2179792"/>
    <s v="232 544770 264898 2179766"/>
    <n v="259832"/>
    <n v="79796"/>
    <m/>
    <m/>
    <n v="11495600490"/>
    <n v="0"/>
    <n v="116130737"/>
    <n v="11495600490"/>
    <n v="11611731227"/>
    <n v="383186683"/>
    <n v="0"/>
    <n v="3871024"/>
    <n v="383186683"/>
    <n v="387057707"/>
    <n v="8.7907100000000007"/>
    <n v="0.42146800000000001"/>
    <n v="1355.94"/>
    <n v="609.40700000000004"/>
    <n v="1418"/>
    <n v="315"/>
    <x v="4"/>
  </r>
  <r>
    <s v="istree_exp1_scaling_threads/step10086.txt"/>
    <x v="1"/>
    <n v="208"/>
    <s v="reclaimer_debra"/>
    <s v="allocator_new"/>
    <s v="pool_none"/>
    <n v="30000"/>
    <n v="0.5"/>
    <n v="0.5"/>
    <n v="0"/>
    <n v="1"/>
    <x v="0"/>
    <n v="24"/>
    <x v="0"/>
    <n v="24"/>
    <n v="0"/>
    <s v="insertIfAbsent"/>
    <n v="999481365559"/>
    <n v="999630"/>
    <n v="999481365559"/>
    <n v="999630"/>
    <s v="success"/>
    <n v="8"/>
    <n v="27909"/>
    <n v="188439"/>
    <n v="216348"/>
    <n v="999630"/>
    <n v="7.7519099999999996"/>
    <n v="5.3047899999999997"/>
    <n v="5.6204700000000001"/>
    <n v="7"/>
    <n v="45000384"/>
    <m/>
    <m/>
    <m/>
    <s v="1338 666194"/>
    <m/>
    <m/>
    <n v="1776416869"/>
    <n v="0"/>
    <n v="17939134"/>
    <n v="1776416869"/>
    <n v="1794356003"/>
    <n v="59213895"/>
    <n v="0"/>
    <n v="597971"/>
    <n v="59213895"/>
    <n v="59811866"/>
    <n v="9.5296099999999999"/>
    <n v="0.73217299999999996"/>
    <n v="1119.03"/>
    <n v="328.255"/>
    <n v="1117"/>
    <n v="156"/>
    <x v="4"/>
  </r>
  <r>
    <s v="istree_exp1_scaling_threads/step10087.txt"/>
    <x v="1"/>
    <n v="208"/>
    <s v="reclaimer_debra"/>
    <s v="allocator_new"/>
    <s v="pool_none"/>
    <n v="30000"/>
    <n v="0.5"/>
    <n v="0.5"/>
    <n v="0"/>
    <n v="1"/>
    <x v="0"/>
    <n v="48"/>
    <x v="1"/>
    <n v="48"/>
    <n v="0"/>
    <s v="insertIfAbsent"/>
    <n v="1000573981359"/>
    <n v="1000015"/>
    <n v="1000573981359"/>
    <n v="1000015"/>
    <s v="success"/>
    <n v="8"/>
    <n v="29085"/>
    <n v="193955"/>
    <n v="223040"/>
    <n v="1000015"/>
    <n v="7.6685600000000003"/>
    <n v="5.1559100000000004"/>
    <n v="5.4835700000000003"/>
    <n v="7"/>
    <n v="46392320"/>
    <m/>
    <m/>
    <m/>
    <s v="700 256058"/>
    <m/>
    <m/>
    <n v="2794097708"/>
    <n v="0"/>
    <n v="28219471"/>
    <n v="2794097708"/>
    <n v="2822317179"/>
    <n v="93136590"/>
    <n v="0"/>
    <n v="940649"/>
    <n v="93136590"/>
    <n v="94077239"/>
    <n v="9.5071100000000008"/>
    <n v="0.79060799999999998"/>
    <n v="1394.85"/>
    <n v="547.97699999999998"/>
    <n v="1128"/>
    <n v="188"/>
    <x v="4"/>
  </r>
  <r>
    <s v="istree_exp1_scaling_threads/step10088.txt"/>
    <x v="1"/>
    <n v="208"/>
    <s v="reclaimer_debra"/>
    <s v="allocator_new"/>
    <s v="pool_none"/>
    <n v="30000"/>
    <n v="0.5"/>
    <n v="0.5"/>
    <n v="0"/>
    <n v="1"/>
    <x v="0"/>
    <n v="96"/>
    <x v="2"/>
    <n v="96"/>
    <n v="0"/>
    <s v="insertIfAbsent"/>
    <n v="999655284980"/>
    <n v="999554"/>
    <n v="999655284980"/>
    <n v="999554"/>
    <s v="success"/>
    <n v="8"/>
    <n v="30812"/>
    <n v="196305"/>
    <n v="227117"/>
    <n v="999554"/>
    <n v="7.3710599999999999"/>
    <n v="5.0918400000000004"/>
    <n v="5.4010499999999997"/>
    <n v="7"/>
    <n v="47240336"/>
    <m/>
    <m/>
    <m/>
    <n v="125004"/>
    <m/>
    <m/>
    <n v="5468545619"/>
    <n v="0"/>
    <n v="55222878"/>
    <n v="5468545619"/>
    <n v="5523768497"/>
    <n v="182284853"/>
    <n v="0"/>
    <n v="1840762"/>
    <n v="182284853"/>
    <n v="184125616"/>
    <n v="9.7738399999999999"/>
    <n v="1.1081700000000001"/>
    <n v="1412.45"/>
    <n v="529.50900000000001"/>
    <n v="1146"/>
    <n v="368"/>
    <x v="4"/>
  </r>
  <r>
    <s v="istree_exp1_scaling_threads/step10089.txt"/>
    <x v="1"/>
    <n v="208"/>
    <s v="reclaimer_debra"/>
    <s v="allocator_new"/>
    <s v="pool_none"/>
    <n v="30000"/>
    <n v="0.5"/>
    <n v="0.5"/>
    <n v="0"/>
    <n v="1"/>
    <x v="0"/>
    <n v="144"/>
    <x v="3"/>
    <n v="144"/>
    <n v="0"/>
    <s v="insertIfAbsent"/>
    <n v="1000966988600"/>
    <n v="1000658"/>
    <n v="1000966988600"/>
    <n v="1000658"/>
    <s v="success"/>
    <n v="8"/>
    <n v="31645"/>
    <n v="196174"/>
    <n v="227819"/>
    <n v="1000658"/>
    <n v="7.1992099999999999"/>
    <n v="5.1008699999999996"/>
    <n v="5.3923399999999999"/>
    <n v="7"/>
    <n v="47386352"/>
    <m/>
    <m/>
    <m/>
    <n v="81918"/>
    <m/>
    <m/>
    <n v="8044351370"/>
    <n v="0"/>
    <n v="81245220"/>
    <n v="8044351370"/>
    <n v="8125596590"/>
    <n v="268145045"/>
    <n v="0"/>
    <n v="2708174"/>
    <n v="268145045"/>
    <n v="270853219"/>
    <n v="10.048"/>
    <n v="1.23068"/>
    <n v="1427.68"/>
    <n v="538.73099999999999"/>
    <n v="1160"/>
    <n v="258"/>
    <x v="4"/>
  </r>
  <r>
    <s v="istree_exp1_scaling_threads/step10090.txt"/>
    <x v="1"/>
    <n v="208"/>
    <s v="reclaimer_debra"/>
    <s v="allocator_new"/>
    <s v="pool_none"/>
    <n v="30000"/>
    <n v="0.5"/>
    <n v="0.5"/>
    <n v="0"/>
    <n v="1"/>
    <x v="0"/>
    <n v="190"/>
    <x v="4"/>
    <n v="190"/>
    <n v="0"/>
    <s v="insertIfAbsent"/>
    <n v="1000209696123"/>
    <n v="1000044"/>
    <n v="1000209696123"/>
    <n v="1000044"/>
    <s v="success"/>
    <n v="8"/>
    <n v="32101"/>
    <n v="195806"/>
    <n v="227907"/>
    <n v="1000044"/>
    <n v="7.0996899999999998"/>
    <n v="5.1073199999999996"/>
    <n v="5.38795"/>
    <n v="7"/>
    <n v="47404656"/>
    <m/>
    <m/>
    <m/>
    <n v="70994"/>
    <m/>
    <m/>
    <n v="10506400485"/>
    <n v="0"/>
    <n v="106121322"/>
    <n v="10506400485"/>
    <n v="10612521807"/>
    <n v="350213349"/>
    <n v="0"/>
    <n v="3537377"/>
    <n v="350213349"/>
    <n v="353750726"/>
    <n v="10.282500000000001"/>
    <n v="1.3006800000000001"/>
    <n v="1446.33"/>
    <n v="549.84"/>
    <n v="1175"/>
    <n v="315"/>
    <x v="4"/>
  </r>
  <r>
    <s v="istree_exp1_scaling_threads/step10091.txt"/>
    <x v="2"/>
    <m/>
    <s v="reclaimer_debra"/>
    <s v="allocator_new"/>
    <s v="pool_none"/>
    <n v="30000"/>
    <n v="0.5"/>
    <n v="0.5"/>
    <n v="0"/>
    <n v="1"/>
    <x v="0"/>
    <n v="24"/>
    <x v="0"/>
    <n v="24"/>
    <n v="0"/>
    <s v="insertIfAbsent"/>
    <n v="998847050523"/>
    <n v="999380"/>
    <n v="998847050523"/>
    <n v="999380"/>
    <s v="success"/>
    <n v="25"/>
    <n v="683790"/>
    <n v="519000"/>
    <n v="1202790"/>
    <n v="999380"/>
    <n v="1.7589999999999999"/>
    <n v="1.9255899999999999"/>
    <n v="1.8308800000000001"/>
    <n v="19.888300000000001"/>
    <n v="67356240"/>
    <m/>
    <m/>
    <m/>
    <s v="1216 323752"/>
    <m/>
    <m/>
    <n v="860026823"/>
    <n v="0"/>
    <n v="8686953"/>
    <n v="860026823"/>
    <n v="868713776"/>
    <n v="28667560"/>
    <n v="0"/>
    <n v="289565"/>
    <n v="28667560"/>
    <n v="28957125"/>
    <n v="15.379899999999999"/>
    <n v="2.2372299999999998"/>
    <n v="2311.92"/>
    <n v="1219.0899999999999"/>
    <n v="1146"/>
    <n v="189"/>
    <x v="4"/>
  </r>
  <r>
    <s v="istree_exp1_scaling_threads/step10092.txt"/>
    <x v="2"/>
    <m/>
    <s v="reclaimer_debra"/>
    <s v="allocator_new"/>
    <s v="pool_none"/>
    <n v="30000"/>
    <n v="0.5"/>
    <n v="0.5"/>
    <n v="0"/>
    <n v="1"/>
    <x v="0"/>
    <n v="48"/>
    <x v="1"/>
    <n v="48"/>
    <n v="0"/>
    <s v="insertIfAbsent"/>
    <n v="999762803195"/>
    <n v="1000136"/>
    <n v="999762803195"/>
    <n v="1000136"/>
    <s v="success"/>
    <n v="25"/>
    <n v="685699"/>
    <n v="520282"/>
    <n v="1205981"/>
    <n v="1000136"/>
    <n v="1.7587600000000001"/>
    <n v="1.9222999999999999"/>
    <n v="1.82931"/>
    <n v="19.870200000000001"/>
    <n v="67534936"/>
    <m/>
    <m/>
    <m/>
    <s v="670 136996"/>
    <m/>
    <m/>
    <n v="1486950305"/>
    <n v="0"/>
    <n v="15021314"/>
    <n v="1486950305"/>
    <n v="1501971619"/>
    <n v="49565010"/>
    <n v="0"/>
    <n v="500710"/>
    <n v="49565010"/>
    <n v="50065720"/>
    <n v="16.3369"/>
    <n v="2.35507"/>
    <n v="2669.36"/>
    <n v="1454.87"/>
    <n v="1151"/>
    <n v="228"/>
    <x v="4"/>
  </r>
  <r>
    <s v="istree_exp1_scaling_threads/step10093.txt"/>
    <x v="2"/>
    <m/>
    <s v="reclaimer_debra"/>
    <s v="allocator_new"/>
    <s v="pool_none"/>
    <n v="30000"/>
    <n v="0.5"/>
    <n v="0.5"/>
    <n v="0"/>
    <n v="1"/>
    <x v="0"/>
    <n v="96"/>
    <x v="2"/>
    <n v="96"/>
    <n v="0"/>
    <s v="insertIfAbsent"/>
    <n v="1000154236496"/>
    <n v="999609"/>
    <n v="1000154236496"/>
    <n v="999609"/>
    <s v="success"/>
    <n v="25"/>
    <n v="685388"/>
    <n v="520557"/>
    <n v="1205945"/>
    <n v="999609"/>
    <n v="1.7595099999999999"/>
    <n v="1.9202699999999999"/>
    <n v="1.8289"/>
    <n v="19.838799999999999"/>
    <n v="67532920"/>
    <m/>
    <m/>
    <m/>
    <s v="292 70962"/>
    <m/>
    <m/>
    <n v="3103393182"/>
    <n v="0"/>
    <n v="31351667"/>
    <n v="3103393182"/>
    <n v="3134744849"/>
    <n v="103446439"/>
    <n v="0"/>
    <n v="1045055"/>
    <n v="103446439"/>
    <n v="104491494"/>
    <n v="16.549700000000001"/>
    <n v="2.7312799999999999"/>
    <n v="2541.15"/>
    <n v="1276.6300000000001"/>
    <n v="1163"/>
    <n v="343"/>
    <x v="4"/>
  </r>
  <r>
    <s v="istree_exp1_scaling_threads/step10094.txt"/>
    <x v="2"/>
    <m/>
    <s v="reclaimer_debra"/>
    <s v="allocator_new"/>
    <s v="pool_none"/>
    <n v="30000"/>
    <n v="0.5"/>
    <n v="0.5"/>
    <n v="0"/>
    <n v="1"/>
    <x v="0"/>
    <n v="144"/>
    <x v="3"/>
    <n v="144"/>
    <n v="0"/>
    <s v="insertIfAbsent"/>
    <n v="1001345029989"/>
    <n v="1000374"/>
    <n v="1001345029989"/>
    <n v="1000374"/>
    <s v="success"/>
    <n v="25"/>
    <n v="686456"/>
    <n v="520568"/>
    <n v="1207024"/>
    <n v="1000374"/>
    <n v="1.75834"/>
    <n v="1.9217"/>
    <n v="1.8287899999999999"/>
    <n v="19.857800000000001"/>
    <n v="67593344"/>
    <m/>
    <m/>
    <m/>
    <n v="46560"/>
    <m/>
    <m/>
    <n v="4587745456"/>
    <n v="0"/>
    <n v="46348568"/>
    <n v="4587745456"/>
    <n v="4634094024"/>
    <n v="152924848"/>
    <n v="0"/>
    <n v="1544952"/>
    <n v="152924848"/>
    <n v="154469800"/>
    <n v="16.679400000000001"/>
    <n v="2.8040799999999999"/>
    <n v="2534.15"/>
    <n v="1259.96"/>
    <n v="1175"/>
    <n v="264"/>
    <x v="4"/>
  </r>
  <r>
    <s v="istree_exp1_scaling_threads/step10095.txt"/>
    <x v="2"/>
    <m/>
    <s v="reclaimer_debra"/>
    <s v="allocator_new"/>
    <s v="pool_none"/>
    <n v="30000"/>
    <n v="0.5"/>
    <n v="0.5"/>
    <n v="0"/>
    <n v="1"/>
    <x v="0"/>
    <n v="190"/>
    <x v="4"/>
    <n v="190"/>
    <n v="0"/>
    <s v="insertIfAbsent"/>
    <n v="998521309168"/>
    <n v="998929"/>
    <n v="998521309168"/>
    <n v="998929"/>
    <s v="success"/>
    <n v="25"/>
    <n v="685158"/>
    <n v="519985"/>
    <n v="1205143"/>
    <n v="998929"/>
    <n v="1.7589300000000001"/>
    <n v="1.9210700000000001"/>
    <n v="1.8288899999999999"/>
    <n v="19.8354"/>
    <n v="67488008"/>
    <m/>
    <m/>
    <m/>
    <n v="38716"/>
    <m/>
    <m/>
    <n v="6061524639"/>
    <n v="0"/>
    <n v="61219537"/>
    <n v="6061524639"/>
    <n v="6122744176"/>
    <n v="202050821"/>
    <n v="0"/>
    <n v="2040651"/>
    <n v="202050821"/>
    <n v="204091472"/>
    <n v="16.8035"/>
    <n v="2.85982"/>
    <n v="2531.1"/>
    <n v="1257.01"/>
    <n v="1188"/>
    <n v="299"/>
    <x v="4"/>
  </r>
  <r>
    <s v="istree_exp1_scaling_threads/step10096.txt"/>
    <x v="3"/>
    <m/>
    <s v="reclaimer_debra"/>
    <s v="allocator_new"/>
    <s v="pool_none"/>
    <n v="30000"/>
    <n v="0.5"/>
    <n v="0.5"/>
    <n v="0"/>
    <n v="1"/>
    <x v="0"/>
    <n v="24"/>
    <x v="0"/>
    <n v="24"/>
    <n v="0"/>
    <s v="insertIfAbsent"/>
    <n v="1000402907532"/>
    <n v="999640"/>
    <n v="1000402907532"/>
    <n v="999640"/>
    <s v="success"/>
    <n v="52"/>
    <n v="999639"/>
    <n v="999640"/>
    <n v="1999279"/>
    <n v="999640"/>
    <n v="2"/>
    <n v="1"/>
    <n v="1.5"/>
    <n v="26.471800000000002"/>
    <n v="63976928"/>
    <m/>
    <m/>
    <m/>
    <s v="1214 288782"/>
    <m/>
    <m/>
    <n v="763866790"/>
    <n v="0"/>
    <n v="7715674"/>
    <n v="763866790"/>
    <n v="771582464"/>
    <n v="25462226"/>
    <n v="0"/>
    <n v="257189"/>
    <n v="25462226"/>
    <n v="25719415"/>
    <n v="12.271699999999999"/>
    <n v="1.7756400000000001"/>
    <n v="2603.13"/>
    <n v="1637.3"/>
    <n v="1135"/>
    <n v="178"/>
    <x v="4"/>
  </r>
  <r>
    <s v="istree_exp1_scaling_threads/step10097.txt"/>
    <x v="3"/>
    <m/>
    <s v="reclaimer_debra"/>
    <s v="allocator_new"/>
    <s v="pool_none"/>
    <n v="30000"/>
    <n v="0.5"/>
    <n v="0.5"/>
    <n v="0"/>
    <n v="1"/>
    <x v="0"/>
    <n v="48"/>
    <x v="1"/>
    <n v="48"/>
    <n v="0"/>
    <s v="insertIfAbsent"/>
    <n v="1001433962084"/>
    <n v="1001210"/>
    <n v="1001433962084"/>
    <n v="1001210"/>
    <s v="success"/>
    <n v="47"/>
    <n v="1001209"/>
    <n v="1001210"/>
    <n v="2002419"/>
    <n v="1001210"/>
    <n v="2"/>
    <n v="1"/>
    <n v="1.5"/>
    <n v="25.944900000000001"/>
    <n v="64077408"/>
    <m/>
    <m/>
    <m/>
    <s v="726 127802"/>
    <m/>
    <m/>
    <n v="1383211875"/>
    <n v="0"/>
    <n v="13973113"/>
    <n v="1383211875"/>
    <n v="1397184988"/>
    <n v="46107062"/>
    <n v="0"/>
    <n v="465770"/>
    <n v="46107062"/>
    <n v="46572832"/>
    <n v="12.1083"/>
    <n v="1.8188800000000001"/>
    <n v="2874.14"/>
    <n v="1995.17"/>
    <n v="1140"/>
    <n v="213"/>
    <x v="4"/>
  </r>
  <r>
    <s v="istree_exp1_scaling_threads/step10098.txt"/>
    <x v="3"/>
    <m/>
    <s v="reclaimer_debra"/>
    <s v="allocator_new"/>
    <s v="pool_none"/>
    <n v="30000"/>
    <n v="0.5"/>
    <n v="0.5"/>
    <n v="0"/>
    <n v="1"/>
    <x v="0"/>
    <n v="96"/>
    <x v="2"/>
    <n v="96"/>
    <n v="0"/>
    <s v="insertIfAbsent"/>
    <n v="999380098024"/>
    <n v="999352"/>
    <n v="999380098024"/>
    <n v="999352"/>
    <s v="success"/>
    <n v="49"/>
    <n v="999351"/>
    <n v="999352"/>
    <n v="1998703"/>
    <n v="999352"/>
    <n v="2"/>
    <n v="1"/>
    <n v="1.5"/>
    <n v="26.493300000000001"/>
    <n v="63958496"/>
    <m/>
    <m/>
    <m/>
    <n v="67632"/>
    <m/>
    <m/>
    <n v="2973884833"/>
    <n v="0"/>
    <n v="30027123"/>
    <n v="2973884833"/>
    <n v="3003911956"/>
    <n v="99129494"/>
    <n v="0"/>
    <n v="1000904"/>
    <n v="99129494"/>
    <n v="100130398"/>
    <n v="12.357900000000001"/>
    <n v="2.1169099999999998"/>
    <n v="2670.02"/>
    <n v="1746.95"/>
    <n v="1153"/>
    <n v="255"/>
    <x v="4"/>
  </r>
  <r>
    <s v="istree_exp1_scaling_threads/step10099.txt"/>
    <x v="3"/>
    <m/>
    <s v="reclaimer_debra"/>
    <s v="allocator_new"/>
    <s v="pool_none"/>
    <n v="30000"/>
    <n v="0.5"/>
    <n v="0.5"/>
    <n v="0"/>
    <n v="1"/>
    <x v="0"/>
    <n v="144"/>
    <x v="3"/>
    <n v="144"/>
    <n v="0"/>
    <s v="insertIfAbsent"/>
    <n v="999482843226"/>
    <n v="999598"/>
    <n v="999482843226"/>
    <n v="999598"/>
    <s v="success"/>
    <n v="48"/>
    <n v="999597"/>
    <n v="999598"/>
    <n v="1999195"/>
    <n v="999598"/>
    <n v="2"/>
    <n v="1"/>
    <n v="1.5"/>
    <n v="25.602699999999999"/>
    <n v="63974240"/>
    <m/>
    <m/>
    <m/>
    <n v="45722"/>
    <m/>
    <m/>
    <n v="4538819441"/>
    <n v="0"/>
    <n v="45843149"/>
    <n v="4538819441"/>
    <n v="4584662590"/>
    <n v="151293981"/>
    <n v="0"/>
    <n v="1528104"/>
    <n v="151293981"/>
    <n v="152822086"/>
    <n v="12.277200000000001"/>
    <n v="2.1874600000000002"/>
    <n v="2623.61"/>
    <n v="1695.21"/>
    <n v="1166"/>
    <n v="271"/>
    <x v="4"/>
  </r>
  <r>
    <s v="istree_exp1_scaling_threads/step10100.txt"/>
    <x v="3"/>
    <m/>
    <s v="reclaimer_debra"/>
    <s v="allocator_new"/>
    <s v="pool_none"/>
    <n v="30000"/>
    <n v="0.5"/>
    <n v="0.5"/>
    <n v="0"/>
    <n v="1"/>
    <x v="0"/>
    <n v="190"/>
    <x v="4"/>
    <n v="190"/>
    <n v="0"/>
    <s v="insertIfAbsent"/>
    <n v="1001247299279"/>
    <n v="1000930"/>
    <n v="1001247299279"/>
    <n v="1000930"/>
    <s v="success"/>
    <n v="47"/>
    <n v="1000929"/>
    <n v="1000930"/>
    <n v="2001859"/>
    <n v="1000930"/>
    <n v="2"/>
    <n v="1"/>
    <n v="1.5"/>
    <n v="26.3142"/>
    <n v="64059488"/>
    <m/>
    <m/>
    <m/>
    <n v="37796"/>
    <m/>
    <m/>
    <n v="6033921260"/>
    <n v="0"/>
    <n v="60945915"/>
    <n v="6033921260"/>
    <n v="6094867175"/>
    <n v="201130708"/>
    <n v="0"/>
    <n v="2031530"/>
    <n v="201130708"/>
    <n v="203162239"/>
    <n v="12.414899999999999"/>
    <n v="2.2347199999999998"/>
    <n v="2603.04"/>
    <n v="1674.36"/>
    <n v="1179"/>
    <n v="415"/>
    <x v="4"/>
  </r>
  <r>
    <s v="istree_exp1_scaling_threads/step10101.txt"/>
    <x v="0"/>
    <n v="72"/>
    <s v="reclaimer_debra"/>
    <s v="allocator_new"/>
    <s v="pool_none"/>
    <n v="30000"/>
    <n v="0.5"/>
    <n v="0.5"/>
    <n v="0"/>
    <n v="1"/>
    <x v="1"/>
    <n v="24"/>
    <x v="0"/>
    <n v="24"/>
    <n v="0"/>
    <s v="insertIfAbsent"/>
    <n v="99968205256128"/>
    <n v="9997520"/>
    <n v="99968205256128"/>
    <n v="9997520"/>
    <s v="success"/>
    <n v="7"/>
    <n v="1732878"/>
    <n v="11657982"/>
    <n v="13390860"/>
    <n v="9997520"/>
    <n v="7.7275299999999998"/>
    <n v="0.85756900000000003"/>
    <n v="1.7465900000000001"/>
    <n v="4.0215300000000003"/>
    <n v="325158288"/>
    <s v="2 5548 160161 1486065 4986"/>
    <s v="2 5548 160160 1486063 4986"/>
    <n v="426"/>
    <n v="380138"/>
    <m/>
    <m/>
    <n v="1042511905"/>
    <n v="0"/>
    <n v="10527072"/>
    <n v="1042511905"/>
    <n v="1053038977"/>
    <n v="34750396"/>
    <n v="0"/>
    <n v="350902"/>
    <n v="34750396"/>
    <n v="35101299"/>
    <n v="16.172000000000001"/>
    <n v="5.8968100000000003"/>
    <n v="1904.51"/>
    <n v="1229.9100000000001"/>
    <n v="2439"/>
    <n v="158"/>
    <x v="5"/>
  </r>
  <r>
    <s v="istree_exp1_scaling_threads/step10102.txt"/>
    <x v="0"/>
    <n v="72"/>
    <s v="reclaimer_debra"/>
    <s v="allocator_new"/>
    <s v="pool_none"/>
    <n v="30000"/>
    <n v="0.5"/>
    <n v="0.5"/>
    <n v="0"/>
    <n v="1"/>
    <x v="1"/>
    <n v="48"/>
    <x v="1"/>
    <n v="48"/>
    <n v="0"/>
    <s v="insertIfAbsent"/>
    <n v="99989922425641"/>
    <n v="10000955"/>
    <n v="99989922425641"/>
    <n v="10000955"/>
    <s v="success"/>
    <n v="7"/>
    <n v="1904164"/>
    <n v="12035341"/>
    <n v="13939505"/>
    <n v="10000955"/>
    <n v="7.3205400000000003"/>
    <n v="0.83096599999999998"/>
    <n v="1.7174499999999999"/>
    <n v="4.0553100000000004"/>
    <n v="344942144"/>
    <s v="3 9308 221548 2626256 8183"/>
    <s v="3 9307 221547 2626254 8183"/>
    <n v="1427"/>
    <n v="161166"/>
    <m/>
    <m/>
    <n v="1816534278"/>
    <n v="0"/>
    <n v="18346695"/>
    <n v="1816534278"/>
    <n v="1834880973"/>
    <n v="60551142"/>
    <n v="0"/>
    <n v="611556"/>
    <n v="60551142"/>
    <n v="61162699"/>
    <n v="16.092500000000001"/>
    <n v="5.9880000000000004"/>
    <n v="2180.85"/>
    <n v="1506.38"/>
    <n v="2470"/>
    <n v="154"/>
    <x v="5"/>
  </r>
  <r>
    <s v="istree_exp1_scaling_threads/step10103.txt"/>
    <x v="0"/>
    <n v="72"/>
    <s v="reclaimer_debra"/>
    <s v="allocator_new"/>
    <s v="pool_none"/>
    <n v="30000"/>
    <n v="0.5"/>
    <n v="0.5"/>
    <n v="0"/>
    <n v="1"/>
    <x v="1"/>
    <n v="96"/>
    <x v="2"/>
    <n v="96"/>
    <n v="0"/>
    <s v="insertIfAbsent"/>
    <n v="99992670029941"/>
    <n v="10001184"/>
    <n v="99992670029941"/>
    <n v="10001184"/>
    <s v="success"/>
    <n v="7"/>
    <n v="1775684"/>
    <n v="11765461"/>
    <n v="13541145"/>
    <n v="10001184"/>
    <n v="7.6258800000000004"/>
    <n v="0.85004599999999997"/>
    <n v="1.73858"/>
    <n v="4.0294499999999998"/>
    <n v="330325312"/>
    <s v="7 23780 365397 5403732 15997"/>
    <s v="7 23780 365386 5403724 15997"/>
    <n v="9455"/>
    <n v="84022"/>
    <m/>
    <m/>
    <n v="3872086383"/>
    <n v="0"/>
    <n v="39108736"/>
    <n v="3872086383"/>
    <n v="3911195119"/>
    <n v="129069546"/>
    <n v="0"/>
    <n v="1303624"/>
    <n v="129069546"/>
    <n v="130373170"/>
    <n v="16.221299999999999"/>
    <n v="6.42835"/>
    <n v="2026.62"/>
    <n v="1285.3800000000001"/>
    <n v="2544"/>
    <n v="204"/>
    <x v="5"/>
  </r>
  <r>
    <s v="istree_exp1_scaling_threads/step10104.txt"/>
    <x v="0"/>
    <n v="72"/>
    <s v="reclaimer_debra"/>
    <s v="allocator_new"/>
    <s v="pool_none"/>
    <n v="30000"/>
    <n v="0.5"/>
    <n v="0.5"/>
    <n v="0"/>
    <n v="1"/>
    <x v="1"/>
    <n v="144"/>
    <x v="3"/>
    <n v="144"/>
    <n v="0"/>
    <s v="insertIfAbsent"/>
    <n v="99983867462624"/>
    <n v="10000484"/>
    <n v="99983867462624"/>
    <n v="10000484"/>
    <s v="success"/>
    <n v="7"/>
    <n v="1899960"/>
    <n v="12017322"/>
    <n v="13917282"/>
    <n v="10000484"/>
    <n v="7.3250400000000004"/>
    <n v="0.83217200000000002"/>
    <n v="1.7185699999999999"/>
    <n v="4.0548999999999999"/>
    <n v="344301184"/>
    <s v="11 34796 293637 7687557 19066"/>
    <s v="11 34796 293625 7687542 19066"/>
    <n v="18253"/>
    <n v="56446"/>
    <m/>
    <m/>
    <n v="5690549532"/>
    <n v="0"/>
    <n v="57485880"/>
    <n v="5690549532"/>
    <n v="5748035412"/>
    <n v="189684984"/>
    <n v="0"/>
    <n v="1916196"/>
    <n v="189684984"/>
    <n v="191601180"/>
    <n v="16.3401"/>
    <n v="6.5706899999999999"/>
    <n v="2067.06"/>
    <n v="1299.32"/>
    <n v="2681"/>
    <n v="283"/>
    <x v="5"/>
  </r>
  <r>
    <s v="istree_exp1_scaling_threads/step10105.txt"/>
    <x v="0"/>
    <n v="72"/>
    <s v="reclaimer_debra"/>
    <s v="allocator_new"/>
    <s v="pool_none"/>
    <n v="30000"/>
    <n v="0.5"/>
    <n v="0.5"/>
    <n v="0"/>
    <n v="1"/>
    <x v="1"/>
    <n v="190"/>
    <x v="4"/>
    <n v="190"/>
    <n v="0"/>
    <s v="insertIfAbsent"/>
    <n v="100034473144026"/>
    <n v="10002677"/>
    <n v="100034473144026"/>
    <n v="10002677"/>
    <s v="success"/>
    <n v="7"/>
    <n v="1707654"/>
    <n v="11610299"/>
    <n v="13317953"/>
    <n v="10002677"/>
    <n v="7.7989800000000002"/>
    <n v="0.86153500000000005"/>
    <n v="1.7510699999999999"/>
    <n v="4.0163700000000002"/>
    <n v="322377328"/>
    <s v="17 47448 400808 10051875 25202"/>
    <s v="15 47448 400787 10051850 25202"/>
    <n v="37664"/>
    <n v="46600"/>
    <m/>
    <m/>
    <n v="7464103901"/>
    <n v="0"/>
    <n v="75392942"/>
    <n v="7464103901"/>
    <n v="7539496843"/>
    <n v="248803463"/>
    <n v="0"/>
    <n v="2513098"/>
    <n v="248803463"/>
    <n v="251316561"/>
    <n v="16.306000000000001"/>
    <n v="6.6595899999999997"/>
    <n v="2077.4"/>
    <n v="1304.1099999999999"/>
    <n v="2768"/>
    <n v="361"/>
    <x v="5"/>
  </r>
  <r>
    <s v="istree_exp1_scaling_threads/step10106.txt"/>
    <x v="1"/>
    <n v="208"/>
    <s v="reclaimer_debra"/>
    <s v="allocator_new"/>
    <s v="pool_none"/>
    <n v="30000"/>
    <n v="0.5"/>
    <n v="0.5"/>
    <n v="0"/>
    <n v="1"/>
    <x v="1"/>
    <n v="24"/>
    <x v="0"/>
    <n v="24"/>
    <n v="0"/>
    <s v="insertIfAbsent"/>
    <n v="100004874669789"/>
    <n v="10001319"/>
    <n v="100004874669789"/>
    <n v="10001319"/>
    <s v="success"/>
    <n v="9"/>
    <n v="207720"/>
    <n v="1429280"/>
    <n v="1637000"/>
    <n v="10001319"/>
    <n v="7.8807999999999998"/>
    <n v="6.9974499999999997"/>
    <n v="7.10954"/>
    <n v="8"/>
    <n v="340496000"/>
    <m/>
    <m/>
    <m/>
    <s v="5348 345810"/>
    <m/>
    <m/>
    <n v="908939430"/>
    <n v="0"/>
    <n v="9181033"/>
    <n v="908939430"/>
    <n v="918120463"/>
    <n v="30297981"/>
    <n v="0"/>
    <n v="306034"/>
    <n v="30297981"/>
    <n v="30604015"/>
    <n v="16.666399999999999"/>
    <n v="5.0430099999999998"/>
    <n v="2187.1999999999998"/>
    <n v="1186.3"/>
    <n v="1439"/>
    <n v="834"/>
    <x v="5"/>
  </r>
  <r>
    <s v="istree_exp1_scaling_threads/step10107.txt"/>
    <x v="1"/>
    <n v="208"/>
    <s v="reclaimer_debra"/>
    <s v="allocator_new"/>
    <s v="pool_none"/>
    <n v="30000"/>
    <n v="0.5"/>
    <n v="0.5"/>
    <n v="0"/>
    <n v="1"/>
    <x v="1"/>
    <n v="48"/>
    <x v="1"/>
    <n v="48"/>
    <n v="0"/>
    <s v="insertIfAbsent"/>
    <n v="100005976584860"/>
    <n v="10000087"/>
    <n v="100005976584860"/>
    <n v="10000087"/>
    <s v="success"/>
    <n v="9"/>
    <n v="217560"/>
    <n v="1496795"/>
    <n v="1714355"/>
    <n v="10000087"/>
    <n v="7.8799200000000003"/>
    <n v="6.681"/>
    <n v="6.8331499999999998"/>
    <n v="8"/>
    <n v="356585840"/>
    <m/>
    <m/>
    <m/>
    <s v="1406 151280"/>
    <m/>
    <m/>
    <n v="1635000114"/>
    <n v="0"/>
    <n v="16518007"/>
    <n v="1635000114"/>
    <n v="1651518121"/>
    <n v="54500003"/>
    <n v="0"/>
    <n v="550600"/>
    <n v="54500003"/>
    <n v="55050604"/>
    <n v="16.720300000000002"/>
    <n v="5.0902799999999999"/>
    <n v="2430.96"/>
    <n v="1576.07"/>
    <n v="1505"/>
    <n v="764"/>
    <x v="5"/>
  </r>
  <r>
    <s v="istree_exp1_scaling_threads/step10108.txt"/>
    <x v="1"/>
    <n v="208"/>
    <s v="reclaimer_debra"/>
    <s v="allocator_new"/>
    <s v="pool_none"/>
    <n v="30000"/>
    <n v="0.5"/>
    <n v="0.5"/>
    <n v="0"/>
    <n v="1"/>
    <x v="1"/>
    <n v="96"/>
    <x v="2"/>
    <n v="96"/>
    <n v="0"/>
    <s v="insertIfAbsent"/>
    <n v="99994171478834"/>
    <n v="9999414"/>
    <n v="99994171478834"/>
    <n v="9999414"/>
    <s v="success"/>
    <n v="9"/>
    <n v="234645"/>
    <n v="1612767"/>
    <n v="1847412"/>
    <n v="9999414"/>
    <n v="7.8732199999999999"/>
    <n v="6.2001600000000003"/>
    <n v="6.4126599999999998"/>
    <n v="8"/>
    <n v="384261696"/>
    <m/>
    <m/>
    <m/>
    <s v="758 80464"/>
    <m/>
    <m/>
    <n v="3506708392"/>
    <n v="0"/>
    <n v="35427310"/>
    <n v="3506708392"/>
    <n v="3542135702"/>
    <n v="116890279"/>
    <n v="0"/>
    <n v="1180910"/>
    <n v="116890279"/>
    <n v="118071190"/>
    <n v="17.0336"/>
    <n v="5.62242"/>
    <n v="2256.31"/>
    <n v="1362.74"/>
    <n v="1623"/>
    <n v="935"/>
    <x v="5"/>
  </r>
  <r>
    <s v="istree_exp1_scaling_threads/step10109.txt"/>
    <x v="1"/>
    <n v="208"/>
    <s v="reclaimer_debra"/>
    <s v="allocator_new"/>
    <s v="pool_none"/>
    <n v="30000"/>
    <n v="0.5"/>
    <n v="0.5"/>
    <n v="0"/>
    <n v="1"/>
    <x v="1"/>
    <n v="144"/>
    <x v="3"/>
    <n v="144"/>
    <n v="0"/>
    <s v="insertIfAbsent"/>
    <n v="100011614663130"/>
    <n v="10000430"/>
    <n v="100011614663130"/>
    <n v="10000430"/>
    <s v="success"/>
    <n v="9"/>
    <n v="244665"/>
    <n v="1680506"/>
    <n v="1925171"/>
    <n v="10000430"/>
    <n v="7.8685999999999998"/>
    <n v="5.9508400000000004"/>
    <n v="6.1945699999999997"/>
    <n v="8"/>
    <n v="400435568"/>
    <m/>
    <m/>
    <m/>
    <s v="684 52342"/>
    <m/>
    <m/>
    <n v="5139489288"/>
    <n v="0"/>
    <n v="51913345"/>
    <n v="5139489288"/>
    <n v="5191402633"/>
    <n v="171316309"/>
    <n v="0"/>
    <n v="1730444"/>
    <n v="171316309"/>
    <n v="173046754"/>
    <n v="17.217300000000002"/>
    <n v="5.79582"/>
    <n v="2306.5"/>
    <n v="1395.51"/>
    <n v="1657"/>
    <n v="946"/>
    <x v="5"/>
  </r>
  <r>
    <s v="istree_exp1_scaling_threads/step10110.txt"/>
    <x v="1"/>
    <n v="208"/>
    <s v="reclaimer_debra"/>
    <s v="allocator_new"/>
    <s v="pool_none"/>
    <n v="30000"/>
    <n v="0.5"/>
    <n v="0.5"/>
    <n v="0"/>
    <n v="1"/>
    <x v="1"/>
    <n v="190"/>
    <x v="4"/>
    <n v="190"/>
    <n v="0"/>
    <s v="insertIfAbsent"/>
    <n v="99954778438903"/>
    <n v="9996874"/>
    <n v="99954778438903"/>
    <n v="9996874"/>
    <s v="success"/>
    <n v="9"/>
    <n v="251626"/>
    <n v="1727580"/>
    <n v="1979206"/>
    <n v="9996874"/>
    <n v="7.8656699999999997"/>
    <n v="5.7866299999999997"/>
    <n v="6.0509500000000003"/>
    <n v="8"/>
    <n v="411674848"/>
    <m/>
    <m/>
    <m/>
    <s v="672 42148"/>
    <m/>
    <m/>
    <n v="6721342536"/>
    <n v="0"/>
    <n v="67897453"/>
    <n v="6721342536"/>
    <n v="6789239989"/>
    <n v="224044751"/>
    <n v="0"/>
    <n v="2263248"/>
    <n v="224044751"/>
    <n v="226307999"/>
    <n v="17.400400000000001"/>
    <n v="5.9004700000000003"/>
    <n v="2321.62"/>
    <n v="1402.08"/>
    <n v="1705"/>
    <n v="996"/>
    <x v="5"/>
  </r>
  <r>
    <s v="istree_exp1_scaling_threads/step10111.txt"/>
    <x v="2"/>
    <m/>
    <s v="reclaimer_debra"/>
    <s v="allocator_new"/>
    <s v="pool_none"/>
    <n v="30000"/>
    <n v="0.5"/>
    <n v="0.5"/>
    <n v="0"/>
    <n v="1"/>
    <x v="1"/>
    <n v="24"/>
    <x v="0"/>
    <n v="24"/>
    <n v="0"/>
    <s v="insertIfAbsent"/>
    <n v="100015476400220"/>
    <n v="10001567"/>
    <n v="100015476400220"/>
    <n v="10001567"/>
    <s v="success"/>
    <n v="29"/>
    <n v="5931993"/>
    <n v="4465584"/>
    <n v="10397577"/>
    <n v="10001567"/>
    <n v="1.7527999999999999"/>
    <n v="2.2397"/>
    <n v="1.96191"/>
    <n v="22.786999999999999"/>
    <n v="582264312"/>
    <m/>
    <m/>
    <m/>
    <s v="4908 158940"/>
    <m/>
    <m/>
    <n v="409708386"/>
    <n v="0"/>
    <n v="4141384"/>
    <n v="409708386"/>
    <n v="413849770"/>
    <n v="13656946"/>
    <n v="0"/>
    <n v="138046"/>
    <n v="13656946"/>
    <n v="13794992"/>
    <n v="27.636700000000001"/>
    <n v="9.2527299999999997"/>
    <n v="4853.34"/>
    <n v="3592.8"/>
    <n v="1741"/>
    <n v="1456"/>
    <x v="5"/>
  </r>
  <r>
    <s v="istree_exp1_scaling_threads/step10112.txt"/>
    <x v="2"/>
    <m/>
    <s v="reclaimer_debra"/>
    <s v="allocator_new"/>
    <s v="pool_none"/>
    <n v="30000"/>
    <n v="0.5"/>
    <n v="0.5"/>
    <n v="0"/>
    <n v="1"/>
    <x v="1"/>
    <n v="48"/>
    <x v="1"/>
    <n v="48"/>
    <n v="0"/>
    <s v="insertIfAbsent"/>
    <n v="100020935517956"/>
    <n v="10001055"/>
    <n v="100020935517956"/>
    <n v="10001055"/>
    <s v="success"/>
    <n v="29"/>
    <n v="6087854"/>
    <n v="4589861"/>
    <n v="10677715"/>
    <n v="10001055"/>
    <n v="1.7539400000000001"/>
    <n v="2.1789499999999999"/>
    <n v="1.9366300000000001"/>
    <n v="22.876999999999999"/>
    <n v="597952040"/>
    <m/>
    <m/>
    <m/>
    <s v="1196 72132"/>
    <m/>
    <m/>
    <n v="769354222"/>
    <n v="0"/>
    <n v="7773281"/>
    <n v="769354222"/>
    <n v="777127503"/>
    <n v="25645140"/>
    <n v="0"/>
    <n v="259109"/>
    <n v="25645140"/>
    <n v="25904250"/>
    <n v="28.4496"/>
    <n v="9.3862299999999994"/>
    <n v="5167.76"/>
    <n v="3903.37"/>
    <n v="1766"/>
    <n v="1039"/>
    <x v="5"/>
  </r>
  <r>
    <s v="istree_exp1_scaling_threads/step10113.txt"/>
    <x v="2"/>
    <m/>
    <s v="reclaimer_debra"/>
    <s v="allocator_new"/>
    <s v="pool_none"/>
    <n v="30000"/>
    <n v="0.5"/>
    <n v="0.5"/>
    <n v="0"/>
    <n v="1"/>
    <x v="1"/>
    <n v="96"/>
    <x v="2"/>
    <n v="96"/>
    <n v="0"/>
    <s v="insertIfAbsent"/>
    <n v="99992152779976"/>
    <n v="9999229"/>
    <n v="99992152779976"/>
    <n v="9999229"/>
    <s v="success"/>
    <n v="29"/>
    <n v="6376964"/>
    <n v="4819375"/>
    <n v="11196339"/>
    <n v="9999229"/>
    <n v="1.7557499999999999"/>
    <n v="2.0748000000000002"/>
    <n v="1.8930800000000001"/>
    <n v="23.035699999999999"/>
    <n v="626994984"/>
    <m/>
    <m/>
    <m/>
    <s v="294 38716"/>
    <m/>
    <m/>
    <n v="1682714523"/>
    <n v="0"/>
    <n v="16997698"/>
    <n v="1682714523"/>
    <n v="1699712221"/>
    <n v="56090484"/>
    <n v="0"/>
    <n v="566589"/>
    <n v="56090484"/>
    <n v="56657074"/>
    <n v="29.038599999999999"/>
    <n v="10.6035"/>
    <n v="4718.18"/>
    <n v="3306.33"/>
    <n v="1813"/>
    <n v="786"/>
    <x v="5"/>
  </r>
  <r>
    <s v="istree_exp1_scaling_threads/step10114.txt"/>
    <x v="2"/>
    <m/>
    <s v="reclaimer_debra"/>
    <s v="allocator_new"/>
    <s v="pool_none"/>
    <n v="30000"/>
    <n v="0.5"/>
    <n v="0.5"/>
    <n v="0"/>
    <n v="1"/>
    <x v="1"/>
    <n v="144"/>
    <x v="3"/>
    <n v="144"/>
    <n v="0"/>
    <s v="insertIfAbsent"/>
    <n v="99961489774806"/>
    <n v="9997440"/>
    <n v="99961489774806"/>
    <n v="9997440"/>
    <s v="success"/>
    <n v="29"/>
    <n v="6545973"/>
    <n v="4953203"/>
    <n v="11499176"/>
    <n v="9997440"/>
    <n v="1.75668"/>
    <n v="2.0183800000000001"/>
    <n v="1.8694"/>
    <n v="23.085599999999999"/>
    <n v="643953856"/>
    <m/>
    <m/>
    <m/>
    <s v="218 25788"/>
    <m/>
    <m/>
    <n v="2550628901"/>
    <n v="0"/>
    <n v="25759577"/>
    <n v="2550628901"/>
    <n v="2576388478"/>
    <n v="85020963"/>
    <n v="0"/>
    <n v="858652"/>
    <n v="85020963"/>
    <n v="85879615"/>
    <n v="29.3047"/>
    <n v="10.7925"/>
    <n v="4661.37"/>
    <n v="3290.26"/>
    <n v="1843"/>
    <n v="473"/>
    <x v="5"/>
  </r>
  <r>
    <s v="istree_exp1_scaling_threads/step10115.txt"/>
    <x v="2"/>
    <m/>
    <s v="reclaimer_debra"/>
    <s v="allocator_new"/>
    <s v="pool_none"/>
    <n v="30000"/>
    <n v="0.5"/>
    <n v="0.5"/>
    <n v="0"/>
    <n v="1"/>
    <x v="1"/>
    <n v="190"/>
    <x v="4"/>
    <n v="190"/>
    <n v="0"/>
    <s v="insertIfAbsent"/>
    <n v="100007950294297"/>
    <n v="10000945"/>
    <n v="100007950294297"/>
    <n v="10000945"/>
    <s v="success"/>
    <n v="29"/>
    <n v="6652240"/>
    <n v="5038997"/>
    <n v="11691237"/>
    <n v="10000945"/>
    <n v="1.75749"/>
    <n v="1.98471"/>
    <n v="1.8554200000000001"/>
    <n v="23.150099999999998"/>
    <n v="654709272"/>
    <m/>
    <m/>
    <m/>
    <n v="20184"/>
    <m/>
    <m/>
    <n v="3357074875"/>
    <n v="0"/>
    <n v="33910472"/>
    <n v="3357074875"/>
    <n v="3390985347"/>
    <n v="111902495"/>
    <n v="0"/>
    <n v="1130349"/>
    <n v="111902495"/>
    <n v="113032844"/>
    <n v="29.3261"/>
    <n v="10.898"/>
    <n v="4665.2"/>
    <n v="3275.25"/>
    <n v="1863"/>
    <n v="466"/>
    <x v="5"/>
  </r>
  <r>
    <s v="istree_exp1_scaling_threads/step10116.txt"/>
    <x v="3"/>
    <m/>
    <s v="reclaimer_debra"/>
    <s v="allocator_new"/>
    <s v="pool_none"/>
    <n v="30000"/>
    <n v="0.5"/>
    <n v="0.5"/>
    <n v="0"/>
    <n v="1"/>
    <x v="1"/>
    <n v="24"/>
    <x v="0"/>
    <n v="24"/>
    <n v="0"/>
    <s v="insertIfAbsent"/>
    <n v="100016226158086"/>
    <n v="9999768"/>
    <n v="100016226158086"/>
    <n v="9999768"/>
    <s v="success"/>
    <n v="62"/>
    <n v="9999767"/>
    <n v="9999768"/>
    <n v="19999535"/>
    <n v="9999768"/>
    <n v="2"/>
    <n v="1"/>
    <n v="1.5"/>
    <n v="31.709700000000002"/>
    <n v="639985120"/>
    <m/>
    <m/>
    <m/>
    <s v="4884 131292"/>
    <m/>
    <m/>
    <n v="333729464"/>
    <n v="0"/>
    <n v="3370161"/>
    <n v="333729464"/>
    <n v="337099625"/>
    <n v="11124315"/>
    <n v="0"/>
    <n v="112338"/>
    <n v="11124315"/>
    <n v="11236654"/>
    <n v="24.289000000000001"/>
    <n v="8.6970399999999994"/>
    <n v="5958.48"/>
    <n v="4522.72"/>
    <n v="1718"/>
    <n v="1508"/>
    <x v="5"/>
  </r>
  <r>
    <s v="istree_exp1_scaling_threads/step10117.txt"/>
    <x v="3"/>
    <m/>
    <s v="reclaimer_debra"/>
    <s v="allocator_new"/>
    <s v="pool_none"/>
    <n v="30000"/>
    <n v="0.5"/>
    <n v="0.5"/>
    <n v="0"/>
    <n v="1"/>
    <x v="1"/>
    <n v="48"/>
    <x v="1"/>
    <n v="48"/>
    <n v="0"/>
    <s v="insertIfAbsent"/>
    <n v="99982541960479"/>
    <n v="10000334"/>
    <n v="99982541960479"/>
    <n v="10000334"/>
    <s v="success"/>
    <n v="60"/>
    <n v="10000333"/>
    <n v="10000334"/>
    <n v="20000667"/>
    <n v="10000334"/>
    <n v="2"/>
    <n v="1"/>
    <n v="1.5"/>
    <n v="31.250800000000002"/>
    <n v="640021344"/>
    <m/>
    <m/>
    <m/>
    <s v="1204 60510"/>
    <m/>
    <m/>
    <n v="638641681"/>
    <n v="0"/>
    <n v="6448976"/>
    <n v="638641681"/>
    <n v="645090657"/>
    <n v="21288056"/>
    <n v="0"/>
    <n v="214965"/>
    <n v="21288056"/>
    <n v="21503021"/>
    <n v="24.299199999999999"/>
    <n v="8.7371800000000004"/>
    <n v="6226.75"/>
    <n v="5217.41"/>
    <n v="1722"/>
    <n v="1074"/>
    <x v="5"/>
  </r>
  <r>
    <s v="istree_exp1_scaling_threads/step10118.txt"/>
    <x v="3"/>
    <m/>
    <s v="reclaimer_debra"/>
    <s v="allocator_new"/>
    <s v="pool_none"/>
    <n v="30000"/>
    <n v="0.5"/>
    <n v="0.5"/>
    <n v="0"/>
    <n v="1"/>
    <x v="1"/>
    <n v="96"/>
    <x v="2"/>
    <n v="96"/>
    <n v="0"/>
    <s v="insertIfAbsent"/>
    <n v="99976302832378"/>
    <n v="9998278"/>
    <n v="99976302832378"/>
    <n v="9998278"/>
    <s v="success"/>
    <n v="60"/>
    <n v="9998277"/>
    <n v="9998278"/>
    <n v="19996555"/>
    <n v="9998278"/>
    <n v="2"/>
    <n v="1"/>
    <n v="1.5"/>
    <n v="32.166600000000003"/>
    <n v="639889760"/>
    <m/>
    <m/>
    <m/>
    <s v="266 33720"/>
    <m/>
    <m/>
    <n v="1460110471"/>
    <n v="0"/>
    <n v="14751400"/>
    <n v="1460110471"/>
    <n v="1474861871"/>
    <n v="48670349"/>
    <n v="0"/>
    <n v="491713"/>
    <n v="48670349"/>
    <n v="49162062"/>
    <n v="25.053599999999999"/>
    <n v="10.057"/>
    <n v="5438.64"/>
    <n v="4432.18"/>
    <n v="1739"/>
    <n v="727"/>
    <x v="5"/>
  </r>
  <r>
    <s v="istree_exp1_scaling_threads/step10119.txt"/>
    <x v="3"/>
    <m/>
    <s v="reclaimer_debra"/>
    <s v="allocator_new"/>
    <s v="pool_none"/>
    <n v="30000"/>
    <n v="0.5"/>
    <n v="0.5"/>
    <n v="0"/>
    <n v="1"/>
    <x v="1"/>
    <n v="144"/>
    <x v="3"/>
    <n v="144"/>
    <n v="0"/>
    <s v="insertIfAbsent"/>
    <n v="100028249141514"/>
    <n v="10001954"/>
    <n v="100028249141514"/>
    <n v="10001954"/>
    <s v="success"/>
    <n v="62"/>
    <n v="10001953"/>
    <n v="10001954"/>
    <n v="20003907"/>
    <n v="10001954"/>
    <n v="2"/>
    <n v="1"/>
    <n v="1.5"/>
    <n v="31.953600000000002"/>
    <n v="640125024"/>
    <m/>
    <m/>
    <m/>
    <s v="194 22496"/>
    <m/>
    <m/>
    <n v="2222236920"/>
    <n v="0"/>
    <n v="22447199"/>
    <n v="2222236920"/>
    <n v="2244684119"/>
    <n v="74074564"/>
    <n v="0"/>
    <n v="748239"/>
    <n v="74074564"/>
    <n v="74822803"/>
    <n v="25.250800000000002"/>
    <n v="10.255000000000001"/>
    <n v="5357.11"/>
    <n v="4355.3"/>
    <n v="1750"/>
    <n v="432"/>
    <x v="5"/>
  </r>
  <r>
    <s v="istree_exp1_scaling_threads/step10120.txt"/>
    <x v="3"/>
    <m/>
    <s v="reclaimer_debra"/>
    <s v="allocator_new"/>
    <s v="pool_none"/>
    <n v="30000"/>
    <n v="0.5"/>
    <n v="0.5"/>
    <n v="0"/>
    <n v="1"/>
    <x v="1"/>
    <n v="190"/>
    <x v="4"/>
    <n v="190"/>
    <n v="0"/>
    <s v="insertIfAbsent"/>
    <n v="99987385677288"/>
    <n v="9998732"/>
    <n v="99987385677288"/>
    <n v="9998732"/>
    <s v="success"/>
    <n v="61"/>
    <n v="9998731"/>
    <n v="9998732"/>
    <n v="19997463"/>
    <n v="9998732"/>
    <n v="2"/>
    <n v="1"/>
    <n v="1.5"/>
    <n v="30.966899999999999"/>
    <n v="639918816"/>
    <m/>
    <m/>
    <m/>
    <s v="146 17448"/>
    <m/>
    <m/>
    <n v="2959561391"/>
    <n v="0"/>
    <n v="29898295"/>
    <n v="2959561391"/>
    <n v="2989459686"/>
    <n v="98652046"/>
    <n v="0"/>
    <n v="996609"/>
    <n v="98652046"/>
    <n v="99648656"/>
    <n v="25.303100000000001"/>
    <n v="10.348599999999999"/>
    <n v="5305.54"/>
    <n v="4305.6000000000004"/>
    <n v="1759"/>
    <n v="427"/>
    <x v="5"/>
  </r>
  <r>
    <s v="istree_exp1_scaling_threads/step10121.txt"/>
    <x v="0"/>
    <n v="72"/>
    <s v="reclaimer_debra"/>
    <s v="allocator_new"/>
    <s v="pool_none"/>
    <n v="30000"/>
    <n v="0.5"/>
    <n v="0.5"/>
    <n v="0"/>
    <n v="1"/>
    <x v="2"/>
    <n v="24"/>
    <x v="0"/>
    <n v="24"/>
    <n v="0"/>
    <s v="insertIfAbsent"/>
    <n v="1.00002995398671E+16"/>
    <n v="99999785"/>
    <n v="1.00002995398671E+16"/>
    <n v="99999785"/>
    <s v="success"/>
    <n v="7"/>
    <n v="12904765"/>
    <n v="113840426"/>
    <n v="126745191"/>
    <n v="99999785"/>
    <n v="9.8215800000000009"/>
    <n v="0.87842100000000001"/>
    <n v="1.78898"/>
    <n v="4.0387399999999998"/>
    <n v="2854770512"/>
    <s v="0 0 0 106713 67518"/>
    <s v="0 0 0 106713 67518"/>
    <m/>
    <n v="316704"/>
    <m/>
    <m/>
    <n v="852636691"/>
    <n v="0"/>
    <n v="8610106"/>
    <n v="852636691"/>
    <n v="861246797"/>
    <n v="28421223"/>
    <n v="0"/>
    <n v="287003"/>
    <n v="28421223"/>
    <n v="28708226"/>
    <n v="18.849900000000002"/>
    <n v="8.1974199999999993"/>
    <n v="2330.81"/>
    <n v="1738.53"/>
    <n v="7280"/>
    <n v="1549"/>
    <x v="6"/>
  </r>
  <r>
    <s v="istree_exp1_scaling_threads/step10122.txt"/>
    <x v="0"/>
    <n v="72"/>
    <s v="reclaimer_debra"/>
    <s v="allocator_new"/>
    <s v="pool_none"/>
    <n v="30000"/>
    <n v="0.5"/>
    <n v="0.5"/>
    <n v="0"/>
    <n v="1"/>
    <x v="2"/>
    <n v="48"/>
    <x v="1"/>
    <n v="48"/>
    <n v="0"/>
    <s v="insertIfAbsent"/>
    <n v="1.00005599281629E+16"/>
    <n v="100000217"/>
    <n v="1.00005599281629E+16"/>
    <n v="100000217"/>
    <s v="success"/>
    <n v="7"/>
    <n v="13898774"/>
    <n v="115923453"/>
    <n v="129822227"/>
    <n v="100000217"/>
    <n v="9.3405500000000004"/>
    <n v="0.86263999999999996"/>
    <n v="1.7702899999999999"/>
    <n v="4.0596699999999997"/>
    <n v="2968801216"/>
    <s v="0 0 1 451991 167564"/>
    <s v="0 0 1 451991 167564"/>
    <m/>
    <n v="137184"/>
    <m/>
    <m/>
    <n v="1505034723"/>
    <n v="0"/>
    <n v="15206472"/>
    <n v="1505034723"/>
    <n v="1520241195"/>
    <n v="50167824"/>
    <n v="0"/>
    <n v="506882"/>
    <n v="50167824"/>
    <n v="50674706"/>
    <n v="19.001300000000001"/>
    <n v="8.2640700000000002"/>
    <n v="2638.29"/>
    <n v="1958.32"/>
    <n v="7480"/>
    <n v="1256"/>
    <x v="6"/>
  </r>
  <r>
    <s v="istree_exp1_scaling_threads/step10123.txt"/>
    <x v="0"/>
    <n v="72"/>
    <s v="reclaimer_debra"/>
    <s v="allocator_new"/>
    <s v="pool_none"/>
    <n v="30000"/>
    <n v="0.5"/>
    <n v="0.5"/>
    <n v="0"/>
    <n v="1"/>
    <x v="2"/>
    <n v="96"/>
    <x v="2"/>
    <n v="96"/>
    <n v="0"/>
    <s v="insertIfAbsent"/>
    <n v="9999334873918810"/>
    <n v="99998594"/>
    <n v="9999334873918810"/>
    <n v="99998594"/>
    <s v="success"/>
    <n v="7"/>
    <n v="14929752"/>
    <n v="118221438"/>
    <n v="133151190"/>
    <n v="99998594"/>
    <n v="8.9185099999999995"/>
    <n v="0.845858"/>
    <n v="1.75102"/>
    <n v="4.0818500000000002"/>
    <n v="3090095360"/>
    <s v="0 0 16185 2061543 426295"/>
    <s v="0 0 16185 2061543 426295"/>
    <m/>
    <n v="67956"/>
    <m/>
    <m/>
    <n v="3006850468"/>
    <n v="0"/>
    <n v="30380017"/>
    <n v="3006850468"/>
    <n v="3037230485"/>
    <n v="100228348"/>
    <n v="0"/>
    <n v="1012667"/>
    <n v="100228348"/>
    <n v="101241016"/>
    <n v="19.185600000000001"/>
    <n v="9.1701499999999996"/>
    <n v="2638.4"/>
    <n v="1912.62"/>
    <n v="7906"/>
    <n v="1034"/>
    <x v="6"/>
  </r>
  <r>
    <s v="istree_exp1_scaling_threads/step10124.txt"/>
    <x v="0"/>
    <n v="72"/>
    <s v="reclaimer_debra"/>
    <s v="allocator_new"/>
    <s v="pool_none"/>
    <n v="30000"/>
    <n v="0.5"/>
    <n v="0.5"/>
    <n v="0"/>
    <n v="1"/>
    <x v="2"/>
    <n v="144"/>
    <x v="3"/>
    <n v="144"/>
    <n v="0"/>
    <s v="insertIfAbsent"/>
    <n v="1.00003602203306E+16"/>
    <n v="100000420"/>
    <n v="1.00003602203306E+16"/>
    <n v="100000420"/>
    <s v="success"/>
    <n v="7"/>
    <n v="13768538"/>
    <n v="115704069"/>
    <n v="129472607"/>
    <n v="100000420"/>
    <n v="9.4035100000000007"/>
    <n v="0.86427699999999996"/>
    <n v="1.77237"/>
    <n v="4.0548700000000002"/>
    <n v="2955702048"/>
    <s v="0 2192 305067 3760575 628882"/>
    <s v="0 2192 305065 3760574 628882"/>
    <n v="440"/>
    <n v="43406"/>
    <m/>
    <m/>
    <n v="4402937298"/>
    <n v="0"/>
    <n v="44478347"/>
    <n v="4402937298"/>
    <n v="4447415645"/>
    <n v="146764576"/>
    <n v="0"/>
    <n v="1482611"/>
    <n v="146764576"/>
    <n v="148247188"/>
    <n v="19.381399999999999"/>
    <n v="9.4746199999999998"/>
    <n v="2696.62"/>
    <n v="1951.64"/>
    <n v="8843"/>
    <n v="1020"/>
    <x v="6"/>
  </r>
  <r>
    <s v="istree_exp1_scaling_threads/step10125.txt"/>
    <x v="0"/>
    <n v="72"/>
    <s v="reclaimer_debra"/>
    <s v="allocator_new"/>
    <s v="pool_none"/>
    <n v="30000"/>
    <n v="0.5"/>
    <n v="0.5"/>
    <n v="0"/>
    <n v="1"/>
    <x v="2"/>
    <n v="190"/>
    <x v="4"/>
    <n v="190"/>
    <n v="0"/>
    <s v="insertIfAbsent"/>
    <n v="9999740839479560"/>
    <n v="99997239"/>
    <n v="9999740839479560"/>
    <n v="99997239"/>
    <s v="success"/>
    <n v="7"/>
    <n v="12592244"/>
    <n v="113197089"/>
    <n v="125789333"/>
    <n v="99997239"/>
    <n v="9.9894300000000005"/>
    <n v="0.88339100000000004"/>
    <n v="1.7949600000000001"/>
    <n v="4.0322399999999998"/>
    <n v="2819201904"/>
    <s v="1 9999 344393 3947036 713051"/>
    <s v="1 9999 344393 3947036 713051"/>
    <n v="4066"/>
    <n v="32444"/>
    <m/>
    <m/>
    <n v="5639880434"/>
    <n v="0"/>
    <n v="56970927"/>
    <n v="5639880434"/>
    <n v="5696851361"/>
    <n v="187996014"/>
    <n v="0"/>
    <n v="1899030"/>
    <n v="187996014"/>
    <n v="189895045"/>
    <n v="19.423200000000001"/>
    <n v="9.5677400000000006"/>
    <n v="2727.68"/>
    <n v="1976.25"/>
    <n v="13319"/>
    <n v="1137"/>
    <x v="6"/>
  </r>
  <r>
    <s v="istree_exp1_scaling_threads/step10126.txt"/>
    <x v="1"/>
    <n v="208"/>
    <s v="reclaimer_debra"/>
    <s v="allocator_new"/>
    <s v="pool_none"/>
    <n v="30000"/>
    <n v="0.5"/>
    <n v="0.5"/>
    <n v="0"/>
    <n v="1"/>
    <x v="2"/>
    <n v="24"/>
    <x v="0"/>
    <n v="24"/>
    <n v="0"/>
    <s v="insertIfAbsent"/>
    <n v="9999905157669870"/>
    <n v="99998577"/>
    <n v="9999905157669870"/>
    <n v="99998577"/>
    <s v="success"/>
    <n v="10"/>
    <n v="1879427"/>
    <n v="12934477"/>
    <n v="14813904"/>
    <n v="99998577"/>
    <n v="7.8821399999999997"/>
    <n v="7.7311699999999997"/>
    <n v="7.7503200000000003"/>
    <n v="9"/>
    <n v="3081292032"/>
    <m/>
    <m/>
    <m/>
    <s v="53208 276152"/>
    <m/>
    <m/>
    <n v="597145978"/>
    <n v="0"/>
    <n v="6032614"/>
    <n v="597145978"/>
    <n v="603178592"/>
    <n v="19904865"/>
    <n v="0"/>
    <n v="201087"/>
    <n v="19904865"/>
    <n v="20105953"/>
    <n v="23.740300000000001"/>
    <n v="9.5187600000000003"/>
    <n v="3329.36"/>
    <n v="2243.3000000000002"/>
    <n v="4342"/>
    <n v="9616"/>
    <x v="6"/>
  </r>
  <r>
    <s v="istree_exp1_scaling_threads/step10127.txt"/>
    <x v="1"/>
    <n v="208"/>
    <s v="reclaimer_debra"/>
    <s v="allocator_new"/>
    <s v="pool_none"/>
    <n v="30000"/>
    <n v="0.5"/>
    <n v="0.5"/>
    <n v="0"/>
    <n v="1"/>
    <x v="2"/>
    <n v="48"/>
    <x v="1"/>
    <n v="48"/>
    <n v="0"/>
    <s v="insertIfAbsent"/>
    <n v="9999063273390000"/>
    <n v="99999579"/>
    <n v="9999063273390000"/>
    <n v="99999579"/>
    <s v="success"/>
    <n v="10"/>
    <n v="1898401"/>
    <n v="13065971"/>
    <n v="14964372"/>
    <n v="99999579"/>
    <n v="7.8826200000000002"/>
    <n v="7.6534399999999998"/>
    <n v="7.6825099999999997"/>
    <n v="9"/>
    <n v="3112589376"/>
    <m/>
    <m/>
    <m/>
    <s v="13966 115214"/>
    <m/>
    <m/>
    <n v="1112232435"/>
    <n v="0"/>
    <n v="11231375"/>
    <n v="1112232435"/>
    <n v="1123463810"/>
    <n v="37074414"/>
    <n v="0"/>
    <n v="374379"/>
    <n v="37074414"/>
    <n v="37448793"/>
    <n v="23.4893"/>
    <n v="9.4953800000000008"/>
    <n v="3573.97"/>
    <n v="2681.48"/>
    <n v="4458"/>
    <n v="6522"/>
    <x v="6"/>
  </r>
  <r>
    <s v="istree_exp1_scaling_threads/step10128.txt"/>
    <x v="1"/>
    <n v="208"/>
    <s v="reclaimer_debra"/>
    <s v="allocator_new"/>
    <s v="pool_none"/>
    <n v="30000"/>
    <n v="0.5"/>
    <n v="0.5"/>
    <n v="0"/>
    <n v="1"/>
    <x v="2"/>
    <n v="96"/>
    <x v="2"/>
    <n v="96"/>
    <n v="0"/>
    <s v="insertIfAbsent"/>
    <n v="1.00004652733432E+16"/>
    <n v="99998235"/>
    <n v="1.00004652733432E+16"/>
    <n v="99998235"/>
    <s v="success"/>
    <n v="10"/>
    <n v="1937021"/>
    <n v="13334959"/>
    <n v="15271980"/>
    <n v="99998235"/>
    <n v="7.8842600000000003"/>
    <n v="7.4989499999999998"/>
    <n v="7.5478199999999998"/>
    <n v="9"/>
    <n v="3176571840"/>
    <m/>
    <m/>
    <m/>
    <s v="6620 59848"/>
    <m/>
    <m/>
    <n v="2348843910"/>
    <n v="0"/>
    <n v="23727504"/>
    <n v="2348843910"/>
    <n v="2372571414"/>
    <n v="78294797"/>
    <n v="0"/>
    <n v="790916"/>
    <n v="78294797"/>
    <n v="79085713"/>
    <n v="23.564599999999999"/>
    <n v="10.248200000000001"/>
    <n v="3379.5"/>
    <n v="2431.19"/>
    <n v="4816"/>
    <n v="6482"/>
    <x v="6"/>
  </r>
  <r>
    <s v="istree_exp1_scaling_threads/step10129.txt"/>
    <x v="1"/>
    <n v="208"/>
    <s v="reclaimer_debra"/>
    <s v="allocator_new"/>
    <s v="pool_none"/>
    <n v="30000"/>
    <n v="0.5"/>
    <n v="0.5"/>
    <n v="0"/>
    <n v="1"/>
    <x v="2"/>
    <n v="144"/>
    <x v="3"/>
    <n v="144"/>
    <n v="0"/>
    <s v="insertIfAbsent"/>
    <n v="1.00008020832574E+16"/>
    <n v="100004543"/>
    <n v="1.00008020832574E+16"/>
    <n v="100004543"/>
    <s v="success"/>
    <n v="10"/>
    <n v="1969084"/>
    <n v="13549057"/>
    <n v="15518141"/>
    <n v="100004543"/>
    <n v="7.88089"/>
    <n v="7.3809199999999997"/>
    <n v="7.4443599999999996"/>
    <n v="9"/>
    <n v="3227773328"/>
    <m/>
    <m/>
    <m/>
    <s v="4228 39404"/>
    <m/>
    <m/>
    <n v="3523486725"/>
    <n v="0"/>
    <n v="35593666"/>
    <n v="3523486725"/>
    <n v="3559080391"/>
    <n v="117449557"/>
    <n v="0"/>
    <n v="1186455"/>
    <n v="117449557"/>
    <n v="118636013"/>
    <n v="23.6675"/>
    <n v="10.514799999999999"/>
    <n v="3371.36"/>
    <n v="2412.67"/>
    <n v="4966"/>
    <n v="6058"/>
    <x v="6"/>
  </r>
  <r>
    <s v="istree_exp1_scaling_threads/step10130.txt"/>
    <x v="1"/>
    <n v="208"/>
    <s v="reclaimer_debra"/>
    <s v="allocator_new"/>
    <s v="pool_none"/>
    <n v="30000"/>
    <n v="0.5"/>
    <n v="0.5"/>
    <n v="0"/>
    <n v="1"/>
    <x v="2"/>
    <n v="190"/>
    <x v="4"/>
    <n v="190"/>
    <n v="0"/>
    <s v="insertIfAbsent"/>
    <n v="9999154709930150"/>
    <n v="99992539"/>
    <n v="9999154709930150"/>
    <n v="99992539"/>
    <s v="success"/>
    <n v="10"/>
    <n v="1993556"/>
    <n v="13718931"/>
    <n v="15712487"/>
    <n v="99992539"/>
    <n v="7.88164"/>
    <n v="7.2886499999999996"/>
    <n v="7.3638899999999996"/>
    <n v="9"/>
    <n v="3268197296"/>
    <m/>
    <m/>
    <m/>
    <s v="3032 30512"/>
    <m/>
    <m/>
    <n v="4605165110"/>
    <n v="0"/>
    <n v="46517372"/>
    <n v="4605165110"/>
    <n v="4651682482"/>
    <n v="153505503"/>
    <n v="0"/>
    <n v="1550579"/>
    <n v="153505503"/>
    <n v="155056082"/>
    <n v="23.715"/>
    <n v="10.755599999999999"/>
    <n v="3404.9"/>
    <n v="2434.8200000000002"/>
    <n v="5380"/>
    <n v="6127"/>
    <x v="6"/>
  </r>
  <r>
    <s v="istree_exp1_scaling_threads/step10131.txt"/>
    <x v="2"/>
    <m/>
    <s v="reclaimer_debra"/>
    <s v="allocator_new"/>
    <s v="pool_none"/>
    <n v="30000"/>
    <n v="0.5"/>
    <n v="0.5"/>
    <n v="0"/>
    <n v="1"/>
    <x v="2"/>
    <n v="24"/>
    <x v="0"/>
    <n v="24"/>
    <n v="0"/>
    <s v="insertIfAbsent"/>
    <n v="1.00000810898841E+16"/>
    <n v="100000869"/>
    <n v="1.00000810898841E+16"/>
    <n v="100000869"/>
    <s v="success"/>
    <n v="33"/>
    <n v="57292212"/>
    <n v="42980809"/>
    <n v="100273021"/>
    <n v="100000869"/>
    <n v="1.7502"/>
    <n v="2.3266399999999998"/>
    <n v="1.99729"/>
    <n v="26.083500000000001"/>
    <n v="5615289176"/>
    <m/>
    <m/>
    <m/>
    <s v="50102 145762"/>
    <m/>
    <m/>
    <n v="253873746"/>
    <n v="0"/>
    <n v="2564848"/>
    <n v="253873746"/>
    <n v="256438594"/>
    <n v="8462458"/>
    <n v="0"/>
    <n v="85494"/>
    <n v="8462458"/>
    <n v="8547953"/>
    <n v="39.799999999999997"/>
    <n v="17.490100000000002"/>
    <n v="7832.42"/>
    <n v="6453.87"/>
    <n v="7544"/>
    <n v="17239"/>
    <x v="6"/>
  </r>
  <r>
    <s v="istree_exp1_scaling_threads/step10132.txt"/>
    <x v="2"/>
    <m/>
    <s v="reclaimer_debra"/>
    <s v="allocator_new"/>
    <s v="pool_none"/>
    <n v="30000"/>
    <n v="0.5"/>
    <n v="0.5"/>
    <n v="0"/>
    <n v="1"/>
    <x v="2"/>
    <n v="48"/>
    <x v="1"/>
    <n v="48"/>
    <n v="0"/>
    <s v="insertIfAbsent"/>
    <n v="1.00002213197095E+16"/>
    <n v="99998208"/>
    <n v="1.00002213197095E+16"/>
    <n v="99998208"/>
    <s v="success"/>
    <n v="33"/>
    <n v="57425661"/>
    <n v="43091400"/>
    <n v="100517061"/>
    <n v="99998208"/>
    <n v="1.7503899999999999"/>
    <n v="2.3206099999999998"/>
    <n v="1.9948399999999999"/>
    <n v="26.079499999999999"/>
    <n v="5628955416"/>
    <m/>
    <m/>
    <m/>
    <s v="11886 56832"/>
    <m/>
    <m/>
    <n v="485749763"/>
    <n v="0"/>
    <n v="4908403"/>
    <n v="485749763"/>
    <n v="490658166"/>
    <n v="16191658"/>
    <n v="0"/>
    <n v="163613"/>
    <n v="16191658"/>
    <n v="16355272"/>
    <n v="40.558100000000003"/>
    <n v="17.677800000000001"/>
    <n v="8184.98"/>
    <n v="6826.11"/>
    <n v="7567"/>
    <n v="9186"/>
    <x v="6"/>
  </r>
  <r>
    <s v="istree_exp1_scaling_threads/step10133.txt"/>
    <x v="2"/>
    <m/>
    <s v="reclaimer_debra"/>
    <s v="allocator_new"/>
    <s v="pool_none"/>
    <n v="30000"/>
    <n v="0.5"/>
    <n v="0.5"/>
    <n v="0"/>
    <n v="1"/>
    <x v="2"/>
    <n v="96"/>
    <x v="2"/>
    <n v="96"/>
    <n v="0"/>
    <s v="insertIfAbsent"/>
    <n v="9999552343869530"/>
    <n v="99998071"/>
    <n v="9999552343869530"/>
    <n v="99998071"/>
    <s v="success"/>
    <n v="33"/>
    <n v="57731958"/>
    <n v="43351169"/>
    <n v="101083127"/>
    <n v="99998071"/>
    <n v="1.7508999999999999"/>
    <n v="2.3067000000000002"/>
    <n v="1.9892700000000001"/>
    <n v="26.122199999999999"/>
    <n v="5660655112"/>
    <m/>
    <m/>
    <m/>
    <s v="2952 26582"/>
    <m/>
    <m/>
    <n v="1032042505"/>
    <n v="0"/>
    <n v="10421053"/>
    <n v="1032042505"/>
    <n v="1042463558"/>
    <n v="34401416"/>
    <n v="0"/>
    <n v="347368"/>
    <n v="34401416"/>
    <n v="34748785"/>
    <n v="41.081899999999997"/>
    <n v="19.497800000000002"/>
    <n v="7694.4"/>
    <n v="6178.55"/>
    <n v="7617"/>
    <n v="4713"/>
    <x v="6"/>
  </r>
  <r>
    <s v="istree_exp1_scaling_threads/step10134.txt"/>
    <x v="2"/>
    <m/>
    <s v="reclaimer_debra"/>
    <s v="allocator_new"/>
    <s v="pool_none"/>
    <n v="30000"/>
    <n v="0.5"/>
    <n v="0.5"/>
    <n v="0"/>
    <n v="1"/>
    <x v="2"/>
    <n v="144"/>
    <x v="3"/>
    <n v="144"/>
    <n v="0"/>
    <s v="insertIfAbsent"/>
    <n v="9999704525567730"/>
    <n v="100002820"/>
    <n v="9999704525567730"/>
    <n v="100002820"/>
    <s v="success"/>
    <n v="33"/>
    <n v="58030575"/>
    <n v="43595833"/>
    <n v="101626408"/>
    <n v="100002820"/>
    <n v="1.75126"/>
    <n v="2.29386"/>
    <n v="1.9840199999999999"/>
    <n v="26.1157"/>
    <n v="5691078848"/>
    <m/>
    <m/>
    <m/>
    <s v="1150 17026"/>
    <m/>
    <m/>
    <n v="1567792774"/>
    <n v="0"/>
    <n v="15840527"/>
    <n v="1567792774"/>
    <n v="1583633301"/>
    <n v="52259759"/>
    <n v="0"/>
    <n v="528017"/>
    <n v="52259759"/>
    <n v="52787776"/>
    <n v="41.456699999999998"/>
    <n v="19.848600000000001"/>
    <n v="7594.9"/>
    <n v="6132.92"/>
    <n v="7665"/>
    <n v="3102"/>
    <x v="6"/>
  </r>
  <r>
    <s v="istree_exp1_scaling_threads/step10135.txt"/>
    <x v="2"/>
    <m/>
    <s v="reclaimer_debra"/>
    <s v="allocator_new"/>
    <s v="pool_none"/>
    <n v="30000"/>
    <n v="0.5"/>
    <n v="0.5"/>
    <n v="0"/>
    <n v="1"/>
    <x v="2"/>
    <n v="190"/>
    <x v="4"/>
    <n v="190"/>
    <n v="0"/>
    <s v="insertIfAbsent"/>
    <n v="9998725683355810"/>
    <n v="99996774"/>
    <n v="9998725683355810"/>
    <n v="99996774"/>
    <s v="success"/>
    <n v="33"/>
    <n v="58303932"/>
    <n v="43822651"/>
    <n v="102126583"/>
    <n v="99996774"/>
    <n v="1.75162"/>
    <n v="2.2818499999999999"/>
    <n v="1.97915"/>
    <n v="26.113900000000001"/>
    <n v="5719088648"/>
    <m/>
    <m/>
    <m/>
    <s v="766 13046"/>
    <m/>
    <m/>
    <n v="2083010806"/>
    <n v="0"/>
    <n v="21033286"/>
    <n v="2083010806"/>
    <n v="2104044092"/>
    <n v="69433693"/>
    <n v="0"/>
    <n v="701109"/>
    <n v="69433693"/>
    <n v="70134803"/>
    <n v="41.158700000000003"/>
    <n v="20.073599999999999"/>
    <n v="7542.51"/>
    <n v="6074.79"/>
    <n v="7714"/>
    <n v="2770"/>
    <x v="6"/>
  </r>
  <r>
    <s v="istree_exp1_scaling_threads/step10136.txt"/>
    <x v="3"/>
    <m/>
    <s v="reclaimer_debra"/>
    <s v="allocator_new"/>
    <s v="pool_none"/>
    <n v="30000"/>
    <n v="0.5"/>
    <n v="0.5"/>
    <n v="0"/>
    <n v="1"/>
    <x v="2"/>
    <n v="24"/>
    <x v="0"/>
    <n v="24"/>
    <n v="0"/>
    <s v="insertIfAbsent"/>
    <n v="1.00000539640115E+16"/>
    <n v="99998036"/>
    <n v="1.00000539640115E+16"/>
    <n v="99998036"/>
    <s v="success"/>
    <n v="76"/>
    <n v="99998035"/>
    <n v="99998036"/>
    <n v="199996071"/>
    <n v="99998036"/>
    <n v="2"/>
    <n v="1"/>
    <n v="1.5"/>
    <n v="36.936300000000003"/>
    <n v="6399874272"/>
    <m/>
    <m/>
    <m/>
    <s v="50324 127546"/>
    <m/>
    <m/>
    <n v="202875899"/>
    <n v="0"/>
    <n v="2045734"/>
    <n v="202875899"/>
    <n v="204921633"/>
    <n v="6762529"/>
    <n v="0"/>
    <n v="68191"/>
    <n v="6762529"/>
    <n v="6830721"/>
    <n v="37.723599999999998"/>
    <n v="16.948699999999999"/>
    <n v="9801.5499999999993"/>
    <n v="8024.94"/>
    <n v="7527"/>
    <n v="19018"/>
    <x v="6"/>
  </r>
  <r>
    <s v="istree_exp1_scaling_threads/step10137.txt"/>
    <x v="3"/>
    <m/>
    <s v="reclaimer_debra"/>
    <s v="allocator_new"/>
    <s v="pool_none"/>
    <n v="30000"/>
    <n v="0.5"/>
    <n v="0.5"/>
    <n v="0"/>
    <n v="1"/>
    <x v="2"/>
    <n v="48"/>
    <x v="1"/>
    <n v="48"/>
    <n v="0"/>
    <s v="insertIfAbsent"/>
    <n v="9999555533137780"/>
    <n v="100000426"/>
    <n v="9999555533137780"/>
    <n v="100000426"/>
    <s v="success"/>
    <n v="70"/>
    <n v="100000425"/>
    <n v="100000426"/>
    <n v="200000851"/>
    <n v="100000426"/>
    <n v="2"/>
    <n v="1"/>
    <n v="1.5"/>
    <n v="36.056199999999997"/>
    <n v="6400027232"/>
    <m/>
    <m/>
    <m/>
    <s v="12748 48886"/>
    <m/>
    <m/>
    <n v="394749673"/>
    <n v="0"/>
    <n v="3987247"/>
    <n v="394749673"/>
    <n v="398736920"/>
    <n v="13158322"/>
    <n v="0"/>
    <n v="132908"/>
    <n v="13158322"/>
    <n v="13291230"/>
    <n v="37.580500000000001"/>
    <n v="16.909800000000001"/>
    <n v="10073.700000000001"/>
    <n v="8986.94"/>
    <n v="7535"/>
    <n v="9980"/>
    <x v="6"/>
  </r>
  <r>
    <s v="istree_exp1_scaling_threads/step10138.txt"/>
    <x v="3"/>
    <m/>
    <s v="reclaimer_debra"/>
    <s v="allocator_new"/>
    <s v="pool_none"/>
    <n v="30000"/>
    <n v="0.5"/>
    <n v="0.5"/>
    <n v="0"/>
    <n v="1"/>
    <x v="2"/>
    <n v="96"/>
    <x v="2"/>
    <n v="96"/>
    <n v="0"/>
    <s v="insertIfAbsent"/>
    <n v="9999626906292970"/>
    <n v="99998221"/>
    <n v="9999626906292970"/>
    <n v="99998221"/>
    <s v="success"/>
    <n v="71"/>
    <n v="99998220"/>
    <n v="99998221"/>
    <n v="199996441"/>
    <n v="99998221"/>
    <n v="2"/>
    <n v="1"/>
    <n v="1.5"/>
    <n v="35.753399999999999"/>
    <n v="6399886112"/>
    <m/>
    <m/>
    <m/>
    <s v="2934 22938"/>
    <m/>
    <m/>
    <n v="867104260"/>
    <n v="0"/>
    <n v="8760875"/>
    <n v="867104260"/>
    <n v="875865135"/>
    <n v="28903475"/>
    <n v="0"/>
    <n v="292029"/>
    <n v="28903475"/>
    <n v="29195504"/>
    <n v="38.149799999999999"/>
    <n v="18.8248"/>
    <n v="9161.26"/>
    <n v="8026.54"/>
    <n v="7550"/>
    <n v="4767"/>
    <x v="6"/>
  </r>
  <r>
    <s v="istree_exp1_scaling_threads/step10139.txt"/>
    <x v="3"/>
    <m/>
    <s v="reclaimer_debra"/>
    <s v="allocator_new"/>
    <s v="pool_none"/>
    <n v="30000"/>
    <n v="0.5"/>
    <n v="0.5"/>
    <n v="0"/>
    <n v="1"/>
    <x v="2"/>
    <n v="144"/>
    <x v="3"/>
    <n v="144"/>
    <n v="0"/>
    <s v="insertIfAbsent"/>
    <n v="1.00003075476923E+16"/>
    <n v="100001818"/>
    <n v="1.00003075476923E+16"/>
    <n v="100001818"/>
    <s v="success"/>
    <n v="73"/>
    <n v="100001817"/>
    <n v="100001818"/>
    <n v="200003635"/>
    <n v="100001818"/>
    <n v="2"/>
    <n v="1"/>
    <n v="1.5"/>
    <n v="35.7209"/>
    <n v="6400116320"/>
    <m/>
    <m/>
    <m/>
    <s v="1392 14624"/>
    <m/>
    <m/>
    <n v="1320166962"/>
    <n v="0"/>
    <n v="13335681"/>
    <n v="1320166962"/>
    <n v="1333502643"/>
    <n v="44005565"/>
    <n v="0"/>
    <n v="444522"/>
    <n v="44005565"/>
    <n v="44450088"/>
    <n v="38.305700000000002"/>
    <n v="19.1355"/>
    <n v="9023.18"/>
    <n v="7877.53"/>
    <n v="7564"/>
    <n v="3150"/>
    <x v="6"/>
  </r>
  <r>
    <s v="istree_exp1_scaling_threads/step10140.txt"/>
    <x v="3"/>
    <m/>
    <s v="reclaimer_debra"/>
    <s v="allocator_new"/>
    <s v="pool_none"/>
    <n v="30000"/>
    <n v="0.5"/>
    <n v="0.5"/>
    <n v="0"/>
    <n v="1"/>
    <x v="2"/>
    <n v="190"/>
    <x v="4"/>
    <n v="190"/>
    <n v="0"/>
    <s v="insertIfAbsent"/>
    <n v="1.00008256628608E+16"/>
    <n v="99997091"/>
    <n v="1.00008256628608E+16"/>
    <n v="99997091"/>
    <s v="success"/>
    <n v="74"/>
    <n v="99997090"/>
    <n v="99997091"/>
    <n v="199994181"/>
    <n v="99997091"/>
    <n v="2"/>
    <n v="1"/>
    <n v="1.5"/>
    <n v="35.930500000000002"/>
    <n v="6399813792"/>
    <m/>
    <m/>
    <m/>
    <s v="736 11050"/>
    <m/>
    <m/>
    <n v="1761044497"/>
    <n v="0"/>
    <n v="17779637"/>
    <n v="1761044497"/>
    <n v="1778824134"/>
    <n v="58701483"/>
    <n v="0"/>
    <n v="592654"/>
    <n v="58701483"/>
    <n v="59294137"/>
    <n v="38.362900000000003"/>
    <n v="19.365300000000001"/>
    <n v="8923.4699999999993"/>
    <n v="7770.85"/>
    <n v="7579"/>
    <n v="2861"/>
    <x v="6"/>
  </r>
  <r>
    <s v="istree_exp1_scaling_threads/step10141.txt"/>
    <x v="0"/>
    <n v="72"/>
    <s v="reclaimer_debra"/>
    <s v="allocator_new"/>
    <s v="pool_none"/>
    <n v="30000"/>
    <n v="0.5"/>
    <n v="0.5"/>
    <n v="0"/>
    <n v="1"/>
    <x v="3"/>
    <n v="24"/>
    <x v="0"/>
    <n v="24"/>
    <n v="0"/>
    <s v="insertIfAbsent"/>
    <n v="1.00000751308979E+18"/>
    <n v="999998190"/>
    <n v="1.00000751308979E+18"/>
    <n v="999998190"/>
    <s v="success"/>
    <n v="7"/>
    <n v="85846459"/>
    <n v="1081569280"/>
    <n v="1167415739"/>
    <n v="999998190"/>
    <n v="13.5989"/>
    <n v="0.92458099999999999"/>
    <n v="1.85659"/>
    <n v="4.0027699999999999"/>
    <n v="24172885552"/>
    <s v="0 0 0 140 3774"/>
    <s v="0 0 0 140 3774"/>
    <m/>
    <n v="203998"/>
    <m/>
    <m/>
    <n v="550039899"/>
    <n v="0"/>
    <n v="5556264"/>
    <n v="550039899"/>
    <n v="555596163"/>
    <n v="18334663"/>
    <n v="0"/>
    <n v="185208"/>
    <n v="18334663"/>
    <n v="18519872"/>
    <n v="22.0136"/>
    <n v="12.8711"/>
    <n v="3611.39"/>
    <n v="2891.79"/>
    <n v="59294"/>
    <n v="15875"/>
    <x v="7"/>
  </r>
  <r>
    <s v="istree_exp1_scaling_threads/step10142.txt"/>
    <x v="0"/>
    <n v="72"/>
    <s v="reclaimer_debra"/>
    <s v="allocator_new"/>
    <s v="pool_none"/>
    <n v="30000"/>
    <n v="0.5"/>
    <n v="0.5"/>
    <n v="0"/>
    <n v="1"/>
    <x v="3"/>
    <n v="48"/>
    <x v="1"/>
    <n v="48"/>
    <n v="0"/>
    <s v="insertIfAbsent"/>
    <n v="9.9999481687752602E+17"/>
    <n v="999998978"/>
    <n v="9.9999481687752602E+17"/>
    <n v="999998978"/>
    <s v="success"/>
    <n v="7"/>
    <n v="86971418"/>
    <n v="1083823545"/>
    <n v="1170794963"/>
    <n v="999998978"/>
    <n v="13.4618"/>
    <n v="0.92265799999999998"/>
    <n v="1.85412"/>
    <n v="4.0050299999999996"/>
    <n v="24299095216"/>
    <s v="0 0 0 1036 12627"/>
    <s v="0 0 0 1036 12627"/>
    <m/>
    <n v="91020"/>
    <m/>
    <m/>
    <n v="1000884901"/>
    <n v="0"/>
    <n v="10108677"/>
    <n v="1000884901"/>
    <n v="1010993578"/>
    <n v="33362830"/>
    <n v="0"/>
    <n v="336955"/>
    <n v="33362830"/>
    <n v="33699785"/>
    <n v="21.9572"/>
    <n v="12.914899999999999"/>
    <n v="3968.72"/>
    <n v="3317.26"/>
    <n v="59542"/>
    <n v="12259"/>
    <x v="7"/>
  </r>
  <r>
    <s v="istree_exp1_scaling_threads/step10143.txt"/>
    <x v="0"/>
    <n v="72"/>
    <s v="reclaimer_debra"/>
    <s v="allocator_new"/>
    <s v="pool_none"/>
    <n v="30000"/>
    <n v="0.5"/>
    <n v="0.5"/>
    <n v="0"/>
    <n v="1"/>
    <x v="3"/>
    <n v="96"/>
    <x v="2"/>
    <n v="96"/>
    <n v="0"/>
    <s v="insertIfAbsent"/>
    <n v="9.9999229617703898E+17"/>
    <n v="1000002000"/>
    <n v="9.9999229617703898E+17"/>
    <n v="1000002000"/>
    <s v="success"/>
    <n v="7"/>
    <n v="89940504"/>
    <n v="1089786989"/>
    <n v="1179727493"/>
    <n v="1000002000"/>
    <n v="13.1168"/>
    <n v="0.91761199999999998"/>
    <n v="1.8476600000000001"/>
    <n v="4.0110400000000004"/>
    <n v="24632766640"/>
    <s v="0 0 0 10958 59721"/>
    <s v="0 0 0 10958 59721"/>
    <m/>
    <n v="49686"/>
    <m/>
    <m/>
    <n v="2209621678"/>
    <n v="0"/>
    <n v="22313699"/>
    <n v="2209621678"/>
    <n v="2231935377"/>
    <n v="73654055"/>
    <n v="0"/>
    <n v="743789"/>
    <n v="73654055"/>
    <n v="74397845"/>
    <n v="22.062200000000001"/>
    <n v="13.656499999999999"/>
    <n v="3592.97"/>
    <n v="2885.36"/>
    <n v="60120"/>
    <n v="9791"/>
    <x v="7"/>
  </r>
  <r>
    <s v="istree_exp1_scaling_threads/step10144.txt"/>
    <x v="0"/>
    <n v="72"/>
    <s v="reclaimer_debra"/>
    <s v="allocator_new"/>
    <s v="pool_none"/>
    <n v="30000"/>
    <n v="0.5"/>
    <n v="0.5"/>
    <n v="0"/>
    <n v="1"/>
    <x v="3"/>
    <n v="144"/>
    <x v="3"/>
    <n v="144"/>
    <n v="0"/>
    <s v="insertIfAbsent"/>
    <n v="1.00000679119184E+18"/>
    <n v="999994570"/>
    <n v="1.00000679119184E+18"/>
    <n v="999994570"/>
    <s v="success"/>
    <n v="7"/>
    <n v="92585955"/>
    <n v="1095118011"/>
    <n v="1187703966"/>
    <n v="999994570"/>
    <n v="12.828099999999999"/>
    <n v="0.91313900000000003"/>
    <n v="1.84196"/>
    <n v="4.0164299999999997"/>
    <n v="24930804384"/>
    <s v="0 0 0 36897 131219"/>
    <s v="0 0 0 36897 131219"/>
    <m/>
    <n v="33002"/>
    <m/>
    <m/>
    <n v="3318668013"/>
    <n v="0"/>
    <n v="33511791"/>
    <n v="3318668013"/>
    <n v="3352179804"/>
    <n v="110622267"/>
    <n v="0"/>
    <n v="1117059"/>
    <n v="110622267"/>
    <n v="111739326"/>
    <n v="22.052399999999999"/>
    <n v="13.889200000000001"/>
    <n v="3588.07"/>
    <n v="2868.87"/>
    <n v="60707"/>
    <n v="9222"/>
    <x v="7"/>
  </r>
  <r>
    <s v="istree_exp1_scaling_threads/step10145.txt"/>
    <x v="0"/>
    <n v="72"/>
    <s v="reclaimer_debra"/>
    <s v="allocator_new"/>
    <s v="pool_none"/>
    <n v="30000"/>
    <n v="0.5"/>
    <n v="0.5"/>
    <n v="0"/>
    <n v="1"/>
    <x v="3"/>
    <n v="190"/>
    <x v="4"/>
    <n v="190"/>
    <n v="0"/>
    <s v="insertIfAbsent"/>
    <n v="9.9998572695860698E+17"/>
    <n v="999996948"/>
    <n v="9.9998572695860698E+17"/>
    <n v="999996948"/>
    <s v="success"/>
    <n v="7"/>
    <n v="94955120"/>
    <n v="1099908957"/>
    <n v="1194864077"/>
    <n v="999996948"/>
    <n v="12.583500000000001"/>
    <n v="0.90916300000000005"/>
    <n v="1.83691"/>
    <n v="4.0213000000000001"/>
    <n v="25198335968"/>
    <s v="0 0 0 81719 220921"/>
    <s v="0 0 0 81719 220921"/>
    <m/>
    <n v="25662"/>
    <m/>
    <m/>
    <n v="4335935122"/>
    <n v="0"/>
    <n v="43794884"/>
    <n v="4335935122"/>
    <n v="4379730006"/>
    <n v="144531170"/>
    <n v="0"/>
    <n v="1459829"/>
    <n v="144531170"/>
    <n v="145991000"/>
    <n v="22.076000000000001"/>
    <n v="14.0314"/>
    <n v="3622.83"/>
    <n v="2899.22"/>
    <n v="61152"/>
    <n v="9362"/>
    <x v="7"/>
  </r>
  <r>
    <s v="istree_exp1_scaling_threads/step10146.txt"/>
    <x v="1"/>
    <n v="208"/>
    <s v="reclaimer_debra"/>
    <s v="allocator_new"/>
    <s v="pool_none"/>
    <n v="30000"/>
    <n v="0.5"/>
    <n v="0.5"/>
    <n v="0"/>
    <n v="1"/>
    <x v="3"/>
    <n v="24"/>
    <x v="0"/>
    <n v="24"/>
    <n v="0"/>
    <s v="insertIfAbsent"/>
    <n v="9.9997979819422502E+17"/>
    <n v="999999192"/>
    <n v="9.9997979819422502E+17"/>
    <n v="999999192"/>
    <s v="success"/>
    <n v="12"/>
    <n v="18555413"/>
    <n v="127686248"/>
    <n v="146241661"/>
    <n v="999999192"/>
    <n v="7.8813500000000003"/>
    <n v="7.83169"/>
    <n v="7.8379899999999996"/>
    <n v="11"/>
    <n v="30418265488"/>
    <m/>
    <m/>
    <m/>
    <s v="522608 649722"/>
    <m/>
    <m/>
    <n v="339869416"/>
    <n v="0"/>
    <n v="3435187"/>
    <n v="339869416"/>
    <n v="343304603"/>
    <n v="11328980"/>
    <n v="0"/>
    <n v="114506"/>
    <n v="11328980"/>
    <n v="11443486"/>
    <n v="30.447299999999998"/>
    <n v="16.4557"/>
    <n v="5849.83"/>
    <n v="4612.3900000000003"/>
    <n v="33276"/>
    <n v="154904"/>
    <x v="7"/>
  </r>
  <r>
    <s v="istree_exp1_scaling_threads/step10147.txt"/>
    <x v="1"/>
    <n v="208"/>
    <s v="reclaimer_debra"/>
    <s v="allocator_new"/>
    <s v="pool_none"/>
    <n v="30000"/>
    <n v="0.5"/>
    <n v="0.5"/>
    <n v="0"/>
    <n v="1"/>
    <x v="3"/>
    <n v="48"/>
    <x v="1"/>
    <n v="48"/>
    <n v="0"/>
    <s v="insertIfAbsent"/>
    <n v="9.9999027943436902E+17"/>
    <n v="999997607"/>
    <n v="9.9999027943436902E+17"/>
    <n v="999997607"/>
    <s v="success"/>
    <n v="12"/>
    <n v="18569635"/>
    <n v="127784390"/>
    <n v="146354025"/>
    <n v="999997607"/>
    <n v="7.8813599999999999"/>
    <n v="7.8256600000000001"/>
    <n v="7.8327299999999997"/>
    <n v="11"/>
    <n v="30441637200"/>
    <m/>
    <m/>
    <m/>
    <s v="130150 189278"/>
    <m/>
    <m/>
    <n v="645811570"/>
    <n v="0"/>
    <n v="6523776"/>
    <n v="645811570"/>
    <n v="652335346"/>
    <n v="21527052"/>
    <n v="0"/>
    <n v="217459"/>
    <n v="21527052"/>
    <n v="21744511"/>
    <n v="30.039100000000001"/>
    <n v="16.424700000000001"/>
    <n v="6156.36"/>
    <n v="5231.6000000000004"/>
    <n v="33417"/>
    <n v="94202"/>
    <x v="7"/>
  </r>
  <r>
    <s v="istree_exp1_scaling_threads/step10148.txt"/>
    <x v="1"/>
    <n v="208"/>
    <s v="reclaimer_debra"/>
    <s v="allocator_new"/>
    <s v="pool_none"/>
    <n v="30000"/>
    <n v="0.5"/>
    <n v="0.5"/>
    <n v="0"/>
    <n v="1"/>
    <x v="3"/>
    <n v="96"/>
    <x v="2"/>
    <n v="96"/>
    <n v="0"/>
    <s v="insertIfAbsent"/>
    <n v="1.00000513615802E+18"/>
    <n v="999994443"/>
    <n v="1.00000513615802E+18"/>
    <n v="999994443"/>
    <s v="success"/>
    <n v="12"/>
    <n v="18605838"/>
    <n v="128035345"/>
    <n v="146641183"/>
    <n v="999994443"/>
    <n v="7.8814599999999997"/>
    <n v="7.8102999999999998"/>
    <n v="7.8193299999999999"/>
    <n v="11"/>
    <n v="30501366064"/>
    <m/>
    <m/>
    <m/>
    <s v="60144 92938"/>
    <m/>
    <m/>
    <n v="1446636232"/>
    <n v="0"/>
    <n v="14612258"/>
    <n v="1446636232"/>
    <n v="1461248490"/>
    <n v="48221207"/>
    <n v="0"/>
    <n v="487075"/>
    <n v="48221207"/>
    <n v="48708283"/>
    <n v="30.417000000000002"/>
    <n v="17.499199999999998"/>
    <n v="5488.1"/>
    <n v="4495.6899999999996"/>
    <n v="33700"/>
    <n v="71571"/>
    <x v="7"/>
  </r>
  <r>
    <s v="istree_exp1_scaling_threads/step10149.txt"/>
    <x v="1"/>
    <n v="208"/>
    <s v="reclaimer_debra"/>
    <s v="allocator_new"/>
    <s v="pool_none"/>
    <n v="30000"/>
    <n v="0.5"/>
    <n v="0.5"/>
    <n v="0"/>
    <n v="1"/>
    <x v="3"/>
    <n v="144"/>
    <x v="3"/>
    <n v="144"/>
    <n v="0"/>
    <s v="insertIfAbsent"/>
    <n v="9.9999102381093402E+17"/>
    <n v="1000001857"/>
    <n v="9.9999102381093402E+17"/>
    <n v="1000001857"/>
    <s v="success"/>
    <n v="11"/>
    <n v="18634679"/>
    <n v="128252879"/>
    <n v="146887558"/>
    <n v="1000001857"/>
    <n v="7.8824800000000002"/>
    <n v="7.79711"/>
    <n v="7.8079400000000003"/>
    <n v="10"/>
    <n v="30552612064"/>
    <m/>
    <m/>
    <m/>
    <s v="36916 58680"/>
    <m/>
    <m/>
    <n v="2178497491"/>
    <n v="0"/>
    <n v="21999680"/>
    <n v="2178497491"/>
    <n v="2200497171"/>
    <n v="72616583"/>
    <n v="0"/>
    <n v="733322"/>
    <n v="72616583"/>
    <n v="73349905"/>
    <n v="30.616399999999999"/>
    <n v="17.7301"/>
    <n v="5465.06"/>
    <n v="4471.2"/>
    <n v="34015"/>
    <n v="64302"/>
    <x v="7"/>
  </r>
  <r>
    <s v="istree_exp1_scaling_threads/step10150.txt"/>
    <x v="1"/>
    <n v="208"/>
    <s v="reclaimer_debra"/>
    <s v="allocator_new"/>
    <s v="pool_none"/>
    <n v="30000"/>
    <n v="0.5"/>
    <n v="0.5"/>
    <n v="0"/>
    <n v="1"/>
    <x v="3"/>
    <n v="190"/>
    <x v="4"/>
    <n v="190"/>
    <n v="0"/>
    <s v="insertIfAbsent"/>
    <n v="9.9995983701762099E+17"/>
    <n v="999993978"/>
    <n v="9.9995983701762099E+17"/>
    <n v="999993978"/>
    <s v="success"/>
    <n v="12"/>
    <n v="18667374"/>
    <n v="128457966"/>
    <n v="147125340"/>
    <n v="999993978"/>
    <n v="7.8814200000000003"/>
    <n v="7.7846000000000002"/>
    <n v="7.7968799999999998"/>
    <n v="11"/>
    <n v="30602070720"/>
    <m/>
    <m/>
    <m/>
    <s v="26200 42960"/>
    <m/>
    <m/>
    <n v="2860933067"/>
    <n v="0"/>
    <n v="28895395"/>
    <n v="2860933067"/>
    <n v="2889828462"/>
    <n v="95364435"/>
    <n v="0"/>
    <n v="963179"/>
    <n v="95364435"/>
    <n v="96327615"/>
    <n v="30.700500000000002"/>
    <n v="17.841899999999999"/>
    <n v="5489.81"/>
    <n v="4467.84"/>
    <n v="34281"/>
    <n v="60612"/>
    <x v="7"/>
  </r>
  <r>
    <s v="istree_exp1_scaling_threads/step10151.txt"/>
    <x v="2"/>
    <m/>
    <s v="reclaimer_debra"/>
    <s v="allocator_new"/>
    <s v="pool_none"/>
    <n v="30000"/>
    <n v="0.5"/>
    <n v="0.5"/>
    <n v="0"/>
    <n v="1"/>
    <x v="3"/>
    <n v="24"/>
    <x v="0"/>
    <n v="24"/>
    <n v="0"/>
    <s v="insertIfAbsent"/>
    <n v="9.9998881707906496E+17"/>
    <n v="1000000659"/>
    <n v="9.9998881707906496E+17"/>
    <n v="1000000659"/>
    <s v="success"/>
    <n v="37"/>
    <n v="571526119"/>
    <n v="428644189"/>
    <n v="1000170308"/>
    <n v="1000000659"/>
    <n v="1.75"/>
    <n v="2.3329399999999998"/>
    <n v="1.99983"/>
    <n v="29.427499999999998"/>
    <n v="56009537248"/>
    <m/>
    <m/>
    <m/>
    <s v="508068 566142"/>
    <m/>
    <m/>
    <n v="157119492"/>
    <n v="0"/>
    <n v="1586633"/>
    <n v="157119492"/>
    <n v="158706125"/>
    <n v="5237316"/>
    <n v="0"/>
    <n v="52887"/>
    <n v="5237316"/>
    <n v="5290204"/>
    <n v="54.228499999999997"/>
    <n v="28.7791"/>
    <n v="12655.8"/>
    <n v="11123.7"/>
    <n v="65655"/>
    <n v="273378"/>
    <x v="7"/>
  </r>
  <r>
    <s v="istree_exp1_scaling_threads/step10152.txt"/>
    <x v="2"/>
    <m/>
    <s v="reclaimer_debra"/>
    <s v="allocator_new"/>
    <s v="pool_none"/>
    <n v="30000"/>
    <n v="0.5"/>
    <n v="0.5"/>
    <n v="0"/>
    <n v="1"/>
    <x v="3"/>
    <n v="48"/>
    <x v="1"/>
    <n v="48"/>
    <n v="0"/>
    <s v="insertIfAbsent"/>
    <n v="9.9997354250161702E+17"/>
    <n v="1000001566"/>
    <n v="9.9997354250161702E+17"/>
    <n v="1000001566"/>
    <s v="success"/>
    <n v="37"/>
    <n v="571614007"/>
    <n v="428715399"/>
    <n v="1000329406"/>
    <n v="1000001566"/>
    <n v="1.7500100000000001"/>
    <n v="2.3325499999999999"/>
    <n v="1.9996700000000001"/>
    <n v="29.427"/>
    <n v="56018446736"/>
    <m/>
    <m/>
    <m/>
    <s v="124546 152530"/>
    <m/>
    <m/>
    <n v="303454324"/>
    <n v="0"/>
    <n v="3065789"/>
    <n v="303454324"/>
    <n v="306520113"/>
    <n v="10115144"/>
    <n v="0"/>
    <n v="102192"/>
    <n v="10115144"/>
    <n v="10217337"/>
    <n v="54.92"/>
    <n v="29.013000000000002"/>
    <n v="13103.2"/>
    <n v="11648.1"/>
    <n v="65673"/>
    <n v="143058"/>
    <x v="7"/>
  </r>
  <r>
    <s v="istree_exp1_scaling_threads/step10153.txt"/>
    <x v="2"/>
    <m/>
    <s v="reclaimer_debra"/>
    <s v="allocator_new"/>
    <s v="pool_none"/>
    <n v="30000"/>
    <n v="0.5"/>
    <n v="0.5"/>
    <n v="0"/>
    <n v="1"/>
    <x v="3"/>
    <n v="96"/>
    <x v="2"/>
    <n v="96"/>
    <n v="0"/>
    <s v="insertIfAbsent"/>
    <n v="9.99984719446768E+17"/>
    <n v="1000001771"/>
    <n v="9.99984719446768E+17"/>
    <n v="1000001771"/>
    <s v="success"/>
    <n v="37"/>
    <n v="571828293"/>
    <n v="428902268"/>
    <n v="1000730561"/>
    <n v="1000001771"/>
    <n v="1.7500500000000001"/>
    <n v="2.3315399999999999"/>
    <n v="1.9992700000000001"/>
    <n v="29.517299999999999"/>
    <n v="56040911416"/>
    <m/>
    <m/>
    <m/>
    <s v="30970 46192"/>
    <m/>
    <m/>
    <n v="675589974"/>
    <n v="0"/>
    <n v="6825414"/>
    <n v="675589974"/>
    <n v="682415388"/>
    <n v="22519665"/>
    <n v="0"/>
    <n v="227513"/>
    <n v="22519665"/>
    <n v="22747179"/>
    <n v="55.171700000000001"/>
    <n v="31.1403"/>
    <n v="11758.3"/>
    <n v="10202.6"/>
    <n v="65712"/>
    <n v="63527"/>
    <x v="7"/>
  </r>
  <r>
    <s v="istree_exp1_scaling_threads/step10154.txt"/>
    <x v="2"/>
    <m/>
    <s v="reclaimer_debra"/>
    <s v="allocator_new"/>
    <s v="pool_none"/>
    <n v="30000"/>
    <n v="0.5"/>
    <n v="0.5"/>
    <n v="0"/>
    <n v="1"/>
    <x v="3"/>
    <n v="144"/>
    <x v="3"/>
    <n v="144"/>
    <n v="0"/>
    <s v="insertIfAbsent"/>
    <n v="9.9999258970814797E+17"/>
    <n v="1000003015"/>
    <n v="9.9999258970814797E+17"/>
    <n v="1000003015"/>
    <s v="success"/>
    <n v="37"/>
    <n v="572032017"/>
    <n v="429068100"/>
    <n v="1001100117"/>
    <n v="1000003015"/>
    <n v="1.7500800000000001"/>
    <n v="2.3306399999999998"/>
    <n v="1.9988999999999999"/>
    <n v="29.397500000000001"/>
    <n v="56061606552"/>
    <m/>
    <m/>
    <m/>
    <s v="13674 23912"/>
    <m/>
    <m/>
    <n v="1015755471"/>
    <n v="0"/>
    <n v="10260140"/>
    <n v="1015755471"/>
    <n v="1026015611"/>
    <n v="33858515"/>
    <n v="0"/>
    <n v="342004"/>
    <n v="33858515"/>
    <n v="34200520"/>
    <n v="55.4221"/>
    <n v="31.376799999999999"/>
    <n v="11729.7"/>
    <n v="10161.200000000001"/>
    <n v="65752"/>
    <n v="42706"/>
    <x v="7"/>
  </r>
  <r>
    <s v="istree_exp1_scaling_threads/step10155.txt"/>
    <x v="2"/>
    <m/>
    <s v="reclaimer_debra"/>
    <s v="allocator_new"/>
    <s v="pool_none"/>
    <n v="30000"/>
    <n v="0.5"/>
    <n v="0.5"/>
    <n v="0"/>
    <n v="1"/>
    <x v="3"/>
    <n v="190"/>
    <x v="4"/>
    <n v="190"/>
    <n v="0"/>
    <s v="insertIfAbsent"/>
    <n v="9.9997703670017894E+17"/>
    <n v="1000001524"/>
    <n v="9.9997703670017894E+17"/>
    <n v="1000001524"/>
    <s v="success"/>
    <n v="37"/>
    <n v="572218220"/>
    <n v="429231716"/>
    <n v="1001449936"/>
    <n v="1000001524"/>
    <n v="1.7501199999999999"/>
    <n v="2.3297500000000002"/>
    <n v="1.99855"/>
    <n v="29.4238"/>
    <n v="56081196416"/>
    <m/>
    <m/>
    <m/>
    <s v="7918 15778"/>
    <m/>
    <m/>
    <n v="1342391016"/>
    <n v="0"/>
    <n v="13566521"/>
    <n v="1342391016"/>
    <n v="1355957537"/>
    <n v="44746367"/>
    <n v="0"/>
    <n v="452217"/>
    <n v="44746367"/>
    <n v="45198584"/>
    <n v="55.310299999999998"/>
    <n v="31.540199999999999"/>
    <n v="11707.9"/>
    <n v="10125.799999999999"/>
    <n v="65786"/>
    <n v="32822"/>
    <x v="7"/>
  </r>
  <r>
    <s v="istree_exp1_scaling_threads/step10156.txt"/>
    <x v="3"/>
    <m/>
    <s v="reclaimer_debra"/>
    <s v="allocator_new"/>
    <s v="pool_none"/>
    <n v="30000"/>
    <n v="0.5"/>
    <n v="0.5"/>
    <n v="0"/>
    <n v="1"/>
    <x v="3"/>
    <n v="24"/>
    <x v="0"/>
    <n v="24"/>
    <n v="0"/>
    <s v="insertIfAbsent"/>
    <n v="1.00000071096215E+18"/>
    <n v="1000000122"/>
    <n v="1.00000071096215E+18"/>
    <n v="1000000122"/>
    <s v="success"/>
    <n v="81"/>
    <n v="1000000121"/>
    <n v="1000000122"/>
    <n v="2000000243"/>
    <n v="1000000122"/>
    <n v="2"/>
    <n v="1"/>
    <n v="1.5"/>
    <n v="40.564900000000002"/>
    <n v="64000007776"/>
    <m/>
    <m/>
    <m/>
    <s v="511112 558658"/>
    <m/>
    <m/>
    <n v="127880756"/>
    <n v="0"/>
    <n v="1290607"/>
    <n v="127880756"/>
    <n v="129171363"/>
    <n v="4262691"/>
    <n v="0"/>
    <n v="43020"/>
    <n v="4262691"/>
    <n v="4305712"/>
    <n v="53.457099999999997"/>
    <n v="28.672699999999999"/>
    <n v="15550.2"/>
    <n v="13500.7"/>
    <n v="65644"/>
    <n v="299677"/>
    <x v="7"/>
  </r>
  <r>
    <s v="istree_exp1_scaling_threads/step10157.txt"/>
    <x v="3"/>
    <m/>
    <s v="reclaimer_debra"/>
    <s v="allocator_new"/>
    <s v="pool_none"/>
    <n v="30000"/>
    <n v="0.5"/>
    <n v="0.5"/>
    <n v="0"/>
    <n v="1"/>
    <x v="3"/>
    <n v="48"/>
    <x v="1"/>
    <n v="48"/>
    <n v="0"/>
    <s v="insertIfAbsent"/>
    <n v="1.00000998645169E+18"/>
    <n v="1000001588"/>
    <n v="1.00000998645169E+18"/>
    <n v="1000001588"/>
    <s v="success"/>
    <n v="77"/>
    <n v="1000001587"/>
    <n v="1000001588"/>
    <n v="2000003175"/>
    <n v="1000001588"/>
    <n v="2"/>
    <n v="1"/>
    <n v="1.5"/>
    <n v="40.218400000000003"/>
    <n v="64000101600"/>
    <m/>
    <m/>
    <m/>
    <s v="125308 148364"/>
    <m/>
    <m/>
    <n v="249920698"/>
    <n v="0"/>
    <n v="2525653"/>
    <n v="249920698"/>
    <n v="252446351"/>
    <n v="8330689"/>
    <n v="0"/>
    <n v="84188"/>
    <n v="8330689"/>
    <n v="8414878"/>
    <n v="53.411000000000001"/>
    <n v="28.716899999999999"/>
    <n v="15912.2"/>
    <n v="14778.9"/>
    <n v="65652"/>
    <n v="153708"/>
    <x v="7"/>
  </r>
  <r>
    <s v="istree_exp1_scaling_threads/step10158.txt"/>
    <x v="3"/>
    <m/>
    <s v="reclaimer_debra"/>
    <s v="allocator_new"/>
    <s v="pool_none"/>
    <n v="30000"/>
    <n v="0.5"/>
    <n v="0.5"/>
    <n v="0"/>
    <n v="1"/>
    <x v="3"/>
    <n v="96"/>
    <x v="2"/>
    <n v="96"/>
    <n v="0"/>
    <s v="insertIfAbsent"/>
    <n v="9.9999640755071104E+17"/>
    <n v="999999139"/>
    <n v="9.9999640755071104E+17"/>
    <n v="999999139"/>
    <s v="success"/>
    <n v="78"/>
    <n v="999999138"/>
    <n v="999999139"/>
    <n v="1999998277"/>
    <n v="999999139"/>
    <n v="2"/>
    <n v="1"/>
    <n v="1.5"/>
    <n v="39.952100000000002"/>
    <n v="63999944864"/>
    <m/>
    <m/>
    <m/>
    <s v="31086 43870"/>
    <m/>
    <m/>
    <n v="563105408"/>
    <n v="0"/>
    <n v="5693482"/>
    <n v="563105408"/>
    <n v="568798890"/>
    <n v="18770180"/>
    <n v="0"/>
    <n v="189782"/>
    <n v="18770180"/>
    <n v="18959963"/>
    <n v="54.183900000000001"/>
    <n v="31.294699999999999"/>
    <n v="14109.2"/>
    <n v="12893.5"/>
    <n v="65667"/>
    <n v="66410"/>
    <x v="7"/>
  </r>
  <r>
    <s v="istree_exp1_scaling_threads/step10159.txt"/>
    <x v="3"/>
    <m/>
    <s v="reclaimer_debra"/>
    <s v="allocator_new"/>
    <s v="pool_none"/>
    <n v="30000"/>
    <n v="0.5"/>
    <n v="0.5"/>
    <n v="0"/>
    <n v="1"/>
    <x v="3"/>
    <n v="144"/>
    <x v="3"/>
    <n v="144"/>
    <n v="0"/>
    <s v="insertIfAbsent"/>
    <n v="1.00000690907119E+18"/>
    <n v="1000003169"/>
    <n v="1.00000690907119E+18"/>
    <n v="1000003169"/>
    <s v="success"/>
    <n v="85"/>
    <n v="1000003168"/>
    <n v="1000003169"/>
    <n v="2000006337"/>
    <n v="1000003169"/>
    <n v="2"/>
    <n v="1"/>
    <n v="1.5"/>
    <n v="41.1038"/>
    <n v="64000202784"/>
    <m/>
    <m/>
    <m/>
    <s v="13654 22360"/>
    <m/>
    <m/>
    <n v="853486787"/>
    <n v="0"/>
    <n v="8615306"/>
    <n v="853486787"/>
    <n v="862102093"/>
    <n v="28449559"/>
    <n v="0"/>
    <n v="287176"/>
    <n v="28449559"/>
    <n v="28736736"/>
    <n v="54.055999999999997"/>
    <n v="31.494700000000002"/>
    <n v="13960.5"/>
    <n v="12726.6"/>
    <n v="65678"/>
    <n v="44115"/>
    <x v="7"/>
  </r>
  <r>
    <s v="istree_exp1_scaling_threads/step10160.txt"/>
    <x v="3"/>
    <m/>
    <s v="reclaimer_debra"/>
    <s v="allocator_new"/>
    <s v="pool_none"/>
    <n v="30000"/>
    <n v="0.5"/>
    <n v="0.5"/>
    <n v="0"/>
    <n v="1"/>
    <x v="3"/>
    <n v="190"/>
    <x v="4"/>
    <n v="190"/>
    <n v="0"/>
    <s v="insertIfAbsent"/>
    <n v="9.9998366435702899E+17"/>
    <n v="999997379"/>
    <n v="9.9998366435702899E+17"/>
    <n v="999997379"/>
    <s v="success"/>
    <n v="80"/>
    <n v="999997378"/>
    <n v="999997379"/>
    <n v="1999994757"/>
    <n v="999997379"/>
    <n v="2"/>
    <n v="1"/>
    <n v="1.5"/>
    <n v="40.928199999999997"/>
    <n v="63999832224"/>
    <m/>
    <m/>
    <m/>
    <s v="7814 14468"/>
    <m/>
    <m/>
    <n v="1132247402"/>
    <n v="0"/>
    <n v="11436485"/>
    <n v="1132247402"/>
    <n v="1143683887"/>
    <n v="37741580"/>
    <n v="0"/>
    <n v="381216"/>
    <n v="37741580"/>
    <n v="38122796"/>
    <n v="54.165599999999998"/>
    <n v="31.6371"/>
    <n v="13883.8"/>
    <n v="12647.9"/>
    <n v="65694"/>
    <n v="33821"/>
    <x v="7"/>
  </r>
  <r>
    <s v="istree_exp1_scaling_threads/step10161.txt"/>
    <x v="0"/>
    <n v="72"/>
    <s v="reclaimer_debra"/>
    <s v="allocator_new"/>
    <s v="pool_none"/>
    <n v="30000"/>
    <n v="5"/>
    <n v="5"/>
    <n v="0"/>
    <n v="1"/>
    <x v="0"/>
    <n v="24"/>
    <x v="0"/>
    <n v="24"/>
    <n v="0"/>
    <s v="insertIfAbsent"/>
    <n v="999644183869"/>
    <n v="1000003"/>
    <n v="999644183869"/>
    <n v="1000003"/>
    <s v="success"/>
    <n v="6"/>
    <n v="71213"/>
    <n v="1112603"/>
    <n v="1183816"/>
    <n v="1000003"/>
    <n v="16.6236"/>
    <n v="0.89879600000000004"/>
    <n v="1.84473"/>
    <n v="3.0838399999999999"/>
    <n v="23581856"/>
    <s v="535 354526 5100290 5714893"/>
    <s v="394 354008 5099799 5714849"/>
    <n v="83368"/>
    <n v="751820"/>
    <m/>
    <m/>
    <n v="1777055542"/>
    <n v="0"/>
    <n v="197445646"/>
    <n v="1777055542"/>
    <n v="1974501188"/>
    <n v="59235184"/>
    <n v="0"/>
    <n v="6581521"/>
    <n v="59235184"/>
    <n v="65816706"/>
    <n v="10.147600000000001"/>
    <n v="0.369979"/>
    <n v="1016.01"/>
    <n v="359.48399999999998"/>
    <n v="1197"/>
    <n v="27"/>
    <x v="8"/>
  </r>
  <r>
    <s v="istree_exp1_scaling_threads/step10162.txt"/>
    <x v="0"/>
    <n v="72"/>
    <s v="reclaimer_debra"/>
    <s v="allocator_new"/>
    <s v="pool_none"/>
    <n v="30000"/>
    <n v="5"/>
    <n v="5"/>
    <n v="0"/>
    <n v="1"/>
    <x v="0"/>
    <n v="48"/>
    <x v="1"/>
    <n v="48"/>
    <n v="0"/>
    <s v="insertIfAbsent"/>
    <n v="999295550237"/>
    <n v="998332"/>
    <n v="999295550237"/>
    <n v="998332"/>
    <s v="success"/>
    <n v="6"/>
    <n v="55097"/>
    <n v="1075103"/>
    <n v="1130200"/>
    <n v="998332"/>
    <n v="20.512899999999998"/>
    <n v="0.92859199999999997"/>
    <n v="1.8833200000000001"/>
    <n v="3.0463200000000001"/>
    <n v="21631344"/>
    <s v="860 561602 5331803 7731761"/>
    <s v="568 561141 5330052 7731617"/>
    <n v="329473"/>
    <n v="269344"/>
    <m/>
    <m/>
    <n v="2559474863"/>
    <n v="0"/>
    <n v="284403410"/>
    <n v="2559474863"/>
    <n v="2843878273"/>
    <n v="85315828"/>
    <n v="0"/>
    <n v="9480113"/>
    <n v="85315828"/>
    <n v="94795942"/>
    <n v="10.4465"/>
    <n v="0.47488900000000001"/>
    <n v="1401.88"/>
    <n v="620.49699999999996"/>
    <n v="1237"/>
    <n v="30"/>
    <x v="8"/>
  </r>
  <r>
    <s v="istree_exp1_scaling_threads/step10163.txt"/>
    <x v="0"/>
    <n v="72"/>
    <s v="reclaimer_debra"/>
    <s v="allocator_new"/>
    <s v="pool_none"/>
    <n v="30000"/>
    <n v="5"/>
    <n v="5"/>
    <n v="0"/>
    <n v="1"/>
    <x v="0"/>
    <n v="96"/>
    <x v="2"/>
    <n v="96"/>
    <n v="0"/>
    <s v="insertIfAbsent"/>
    <n v="1001310338899"/>
    <n v="1000851"/>
    <n v="1001310338899"/>
    <n v="1000851"/>
    <s v="success"/>
    <n v="6"/>
    <n v="59503"/>
    <n v="1087412"/>
    <n v="1146915"/>
    <n v="1000851"/>
    <n v="19.274899999999999"/>
    <n v="0.92039700000000002"/>
    <n v="1.8726499999999999"/>
    <n v="3.0564"/>
    <n v="22197632"/>
    <s v="1443 1336428 2313327 9837454"/>
    <s v="851 1330771 2310041 9837070"/>
    <n v="1555179"/>
    <n v="104916"/>
    <m/>
    <m/>
    <n v="3829693853"/>
    <n v="0"/>
    <n v="425527129"/>
    <n v="3829693853"/>
    <n v="4255220982"/>
    <n v="127656461"/>
    <n v="0"/>
    <n v="14184237"/>
    <n v="127656461"/>
    <n v="141840699"/>
    <n v="11.332100000000001"/>
    <n v="1.6434"/>
    <n v="1883.39"/>
    <n v="1078.5899999999999"/>
    <n v="1333"/>
    <n v="144"/>
    <x v="8"/>
  </r>
  <r>
    <s v="istree_exp1_scaling_threads/step10164.txt"/>
    <x v="0"/>
    <n v="72"/>
    <s v="reclaimer_debra"/>
    <s v="allocator_new"/>
    <s v="pool_none"/>
    <n v="30000"/>
    <n v="5"/>
    <n v="5"/>
    <n v="0"/>
    <n v="1"/>
    <x v="0"/>
    <n v="144"/>
    <x v="3"/>
    <n v="144"/>
    <n v="0"/>
    <s v="insertIfAbsent"/>
    <n v="1000273709687"/>
    <n v="1000169"/>
    <n v="1000273709687"/>
    <n v="1000169"/>
    <s v="success"/>
    <n v="6"/>
    <n v="51387"/>
    <n v="1069348"/>
    <n v="1120735"/>
    <n v="1000169"/>
    <n v="21.809699999999999"/>
    <n v="0.935307"/>
    <n v="1.89242"/>
    <n v="3.0381499999999999"/>
    <n v="21236464"/>
    <s v="1882 3072516 552464 8537928"/>
    <s v="1052 3060031 550636 8537326"/>
    <n v="4095720"/>
    <n v="59198"/>
    <m/>
    <m/>
    <n v="4734613437"/>
    <n v="0"/>
    <n v="526094353"/>
    <n v="4734613437"/>
    <n v="5260707790"/>
    <n v="157820447"/>
    <n v="0"/>
    <n v="17536478"/>
    <n v="157820447"/>
    <n v="175356926"/>
    <n v="12.5456"/>
    <n v="2.7423099999999998"/>
    <n v="2284.73"/>
    <n v="1461.04"/>
    <n v="1468"/>
    <n v="204"/>
    <x v="8"/>
  </r>
  <r>
    <s v="istree_exp1_scaling_threads/step10165.txt"/>
    <x v="0"/>
    <n v="72"/>
    <s v="reclaimer_debra"/>
    <s v="allocator_new"/>
    <s v="pool_none"/>
    <n v="30000"/>
    <n v="5"/>
    <n v="5"/>
    <n v="0"/>
    <n v="1"/>
    <x v="0"/>
    <n v="190"/>
    <x v="4"/>
    <n v="190"/>
    <n v="0"/>
    <s v="insertIfAbsent"/>
    <n v="998940900968"/>
    <n v="999726"/>
    <n v="998940900968"/>
    <n v="999726"/>
    <s v="success"/>
    <n v="6"/>
    <n v="49314"/>
    <n v="1064759"/>
    <n v="1114073"/>
    <n v="999726"/>
    <n v="22.5914"/>
    <n v="0.93892200000000003"/>
    <n v="1.8973599999999999"/>
    <n v="3.0335100000000002"/>
    <n v="20990800"/>
    <s v="2141 2813462 1367115 11235717"/>
    <s v="1198 2799463 1362627 11234887"/>
    <n v="5101139"/>
    <n v="39266"/>
    <m/>
    <m/>
    <n v="5385858840"/>
    <n v="0"/>
    <n v="598426835"/>
    <n v="5385858840"/>
    <n v="5984285675"/>
    <n v="179528628"/>
    <n v="0"/>
    <n v="19947561"/>
    <n v="179528628"/>
    <n v="199476189"/>
    <n v="12.9063"/>
    <n v="3.15598"/>
    <n v="2649.43"/>
    <n v="1821.1"/>
    <n v="1582"/>
    <n v="245"/>
    <x v="8"/>
  </r>
  <r>
    <s v="istree_exp1_scaling_threads/step10166.txt"/>
    <x v="1"/>
    <n v="208"/>
    <s v="reclaimer_debra"/>
    <s v="allocator_new"/>
    <s v="pool_none"/>
    <n v="30000"/>
    <n v="5"/>
    <n v="5"/>
    <n v="0"/>
    <n v="1"/>
    <x v="0"/>
    <n v="24"/>
    <x v="0"/>
    <n v="24"/>
    <n v="0"/>
    <s v="insertIfAbsent"/>
    <n v="1000253070678"/>
    <n v="999715"/>
    <n v="1000253070678"/>
    <n v="999715"/>
    <s v="success"/>
    <n v="8"/>
    <n v="32851"/>
    <n v="195713"/>
    <n v="228564"/>
    <n v="999715"/>
    <n v="6.9576000000000002"/>
    <n v="5.1080699999999997"/>
    <n v="5.3738999999999999"/>
    <n v="7"/>
    <n v="47541312"/>
    <m/>
    <m/>
    <m/>
    <s v="1324 600858"/>
    <m/>
    <m/>
    <n v="1453702312"/>
    <n v="0"/>
    <n v="161513554"/>
    <n v="1453702312"/>
    <n v="1615215866"/>
    <n v="48456743"/>
    <n v="0"/>
    <n v="5383785"/>
    <n v="48456743"/>
    <n v="53840528"/>
    <n v="10.4039"/>
    <n v="0.99133099999999996"/>
    <n v="1243.03"/>
    <n v="410.61099999999999"/>
    <n v="1125"/>
    <n v="156"/>
    <x v="8"/>
  </r>
  <r>
    <s v="istree_exp1_scaling_threads/step10167.txt"/>
    <x v="1"/>
    <n v="208"/>
    <s v="reclaimer_debra"/>
    <s v="allocator_new"/>
    <s v="pool_none"/>
    <n v="30000"/>
    <n v="5"/>
    <n v="5"/>
    <n v="0"/>
    <n v="1"/>
    <x v="0"/>
    <n v="48"/>
    <x v="1"/>
    <n v="48"/>
    <n v="0"/>
    <s v="insertIfAbsent"/>
    <n v="1000012411357"/>
    <n v="1000515"/>
    <n v="1000012411357"/>
    <n v="1000515"/>
    <s v="success"/>
    <n v="8"/>
    <n v="33663"/>
    <n v="195246"/>
    <n v="228909"/>
    <n v="1000515"/>
    <n v="6.80002"/>
    <n v="5.1243800000000004"/>
    <n v="5.3708"/>
    <n v="7"/>
    <n v="47613072"/>
    <m/>
    <m/>
    <m/>
    <s v="588 232372"/>
    <m/>
    <m/>
    <n v="2296722805"/>
    <n v="0"/>
    <n v="255185303"/>
    <n v="2296722805"/>
    <n v="2551908108"/>
    <n v="76557426"/>
    <n v="0"/>
    <n v="8506176"/>
    <n v="76557426"/>
    <n v="85063603"/>
    <n v="10.5741"/>
    <n v="1.091"/>
    <n v="1540.73"/>
    <n v="654.55799999999999"/>
    <n v="1143"/>
    <n v="192"/>
    <x v="8"/>
  </r>
  <r>
    <s v="istree_exp1_scaling_threads/step10168.txt"/>
    <x v="1"/>
    <n v="208"/>
    <s v="reclaimer_debra"/>
    <s v="allocator_new"/>
    <s v="pool_none"/>
    <n v="30000"/>
    <n v="5"/>
    <n v="5"/>
    <n v="0"/>
    <n v="1"/>
    <x v="0"/>
    <n v="96"/>
    <x v="2"/>
    <n v="96"/>
    <n v="0"/>
    <s v="insertIfAbsent"/>
    <n v="999979290757"/>
    <n v="999915"/>
    <n v="999979290757"/>
    <n v="999915"/>
    <s v="success"/>
    <n v="8"/>
    <n v="34484"/>
    <n v="194855"/>
    <n v="229339"/>
    <n v="999915"/>
    <n v="6.6505900000000002"/>
    <n v="5.1315900000000001"/>
    <n v="5.3599899999999998"/>
    <n v="7"/>
    <n v="47702512"/>
    <m/>
    <m/>
    <m/>
    <n v="109878"/>
    <m/>
    <m/>
    <n v="4330104600"/>
    <n v="0"/>
    <n v="481140556"/>
    <n v="4330104600"/>
    <n v="4811245156"/>
    <n v="144336820"/>
    <n v="0"/>
    <n v="16038018"/>
    <n v="144336820"/>
    <n v="160374838"/>
    <n v="10.9557"/>
    <n v="1.8323"/>
    <n v="1634.63"/>
    <n v="715.70699999999999"/>
    <n v="1173"/>
    <n v="272"/>
    <x v="8"/>
  </r>
  <r>
    <s v="istree_exp1_scaling_threads/step10169.txt"/>
    <x v="1"/>
    <n v="208"/>
    <s v="reclaimer_debra"/>
    <s v="allocator_new"/>
    <s v="pool_none"/>
    <n v="30000"/>
    <n v="5"/>
    <n v="5"/>
    <n v="0"/>
    <n v="1"/>
    <x v="0"/>
    <n v="144"/>
    <x v="3"/>
    <n v="144"/>
    <n v="0"/>
    <s v="insertIfAbsent"/>
    <n v="999254743075"/>
    <n v="999741"/>
    <n v="999254743075"/>
    <n v="999741"/>
    <s v="success"/>
    <n v="8"/>
    <n v="34993"/>
    <n v="194560"/>
    <n v="229553"/>
    <n v="999741"/>
    <n v="6.5599699999999999"/>
    <n v="5.1384699999999999"/>
    <n v="5.3551599999999997"/>
    <n v="7"/>
    <n v="47747024"/>
    <m/>
    <m/>
    <m/>
    <s v="232 70256"/>
    <m/>
    <m/>
    <n v="6219762715"/>
    <n v="0"/>
    <n v="691106458"/>
    <n v="6219762715"/>
    <n v="6910869173"/>
    <n v="207325423"/>
    <n v="0"/>
    <n v="23036881"/>
    <n v="207325423"/>
    <n v="230362305"/>
    <n v="11.586600000000001"/>
    <n v="2.1656399999999998"/>
    <n v="1690.76"/>
    <n v="767.52800000000002"/>
    <n v="1258"/>
    <n v="334"/>
    <x v="8"/>
  </r>
  <r>
    <s v="istree_exp1_scaling_threads/step10170.txt"/>
    <x v="1"/>
    <n v="208"/>
    <s v="reclaimer_debra"/>
    <s v="allocator_new"/>
    <s v="pool_none"/>
    <n v="30000"/>
    <n v="5"/>
    <n v="5"/>
    <n v="0"/>
    <n v="1"/>
    <x v="0"/>
    <n v="190"/>
    <x v="4"/>
    <n v="190"/>
    <n v="0"/>
    <s v="insertIfAbsent"/>
    <n v="1000275370561"/>
    <n v="999679"/>
    <n v="1000275370561"/>
    <n v="999679"/>
    <s v="success"/>
    <n v="8"/>
    <n v="35265"/>
    <n v="195053"/>
    <n v="230318"/>
    <n v="999679"/>
    <n v="6.5310600000000001"/>
    <n v="5.1251699999999998"/>
    <n v="5.3404299999999996"/>
    <n v="7"/>
    <n v="47906144"/>
    <m/>
    <m/>
    <m/>
    <n v="57456"/>
    <m/>
    <m/>
    <n v="8021024566"/>
    <n v="0"/>
    <n v="891214365"/>
    <n v="8021024566"/>
    <n v="8912238931"/>
    <n v="267367485"/>
    <n v="0"/>
    <n v="29707145"/>
    <n v="267367485"/>
    <n v="297074631"/>
    <n v="11.97"/>
    <n v="2.3940600000000001"/>
    <n v="1734.27"/>
    <n v="804.524"/>
    <n v="1291"/>
    <n v="266"/>
    <x v="8"/>
  </r>
  <r>
    <s v="istree_exp1_scaling_threads/step10171.txt"/>
    <x v="2"/>
    <m/>
    <s v="reclaimer_debra"/>
    <s v="allocator_new"/>
    <s v="pool_none"/>
    <n v="30000"/>
    <n v="5"/>
    <n v="5"/>
    <n v="0"/>
    <n v="1"/>
    <x v="0"/>
    <n v="24"/>
    <x v="0"/>
    <n v="24"/>
    <n v="0"/>
    <s v="insertIfAbsent"/>
    <n v="998537236246"/>
    <n v="999098"/>
    <n v="998537236246"/>
    <n v="999098"/>
    <s v="success"/>
    <n v="25"/>
    <n v="685105"/>
    <n v="519848"/>
    <n v="1204953"/>
    <n v="999098"/>
    <n v="1.7587900000000001"/>
    <n v="1.9218999999999999"/>
    <n v="1.8291599999999999"/>
    <n v="19.842099999999999"/>
    <n v="67477368"/>
    <m/>
    <m/>
    <m/>
    <s v="1228 303596"/>
    <m/>
    <m/>
    <n v="731234010"/>
    <n v="0"/>
    <n v="81269216"/>
    <n v="731234010"/>
    <n v="812503226"/>
    <n v="24374467"/>
    <n v="0"/>
    <n v="2708973"/>
    <n v="24374467"/>
    <n v="27083440"/>
    <n v="16.277999999999999"/>
    <n v="2.6125799999999999"/>
    <n v="2471.7600000000002"/>
    <n v="1341.13"/>
    <n v="1154"/>
    <n v="189"/>
    <x v="8"/>
  </r>
  <r>
    <s v="istree_exp1_scaling_threads/step10172.txt"/>
    <x v="2"/>
    <m/>
    <s v="reclaimer_debra"/>
    <s v="allocator_new"/>
    <s v="pool_none"/>
    <n v="30000"/>
    <n v="5"/>
    <n v="5"/>
    <n v="0"/>
    <n v="1"/>
    <x v="0"/>
    <n v="48"/>
    <x v="1"/>
    <n v="48"/>
    <n v="0"/>
    <s v="insertIfAbsent"/>
    <n v="999706881133"/>
    <n v="1000627"/>
    <n v="999706881133"/>
    <n v="1000627"/>
    <s v="success"/>
    <n v="25"/>
    <n v="686543"/>
    <n v="520515"/>
    <n v="1207058"/>
    <n v="1000627"/>
    <n v="1.75817"/>
    <n v="1.92238"/>
    <n v="1.8289800000000001"/>
    <n v="19.811"/>
    <n v="67595248"/>
    <m/>
    <m/>
    <m/>
    <s v="686 128512"/>
    <m/>
    <m/>
    <n v="1264832532"/>
    <n v="0"/>
    <n v="140535686"/>
    <n v="1264832532"/>
    <n v="1405368218"/>
    <n v="42161084"/>
    <n v="0"/>
    <n v="4684522"/>
    <n v="42161084"/>
    <n v="46845607"/>
    <n v="17.1616"/>
    <n v="2.7356500000000001"/>
    <n v="2849.21"/>
    <n v="1589.91"/>
    <n v="1166"/>
    <n v="216"/>
    <x v="8"/>
  </r>
  <r>
    <s v="istree_exp1_scaling_threads/step10173.txt"/>
    <x v="2"/>
    <m/>
    <s v="reclaimer_debra"/>
    <s v="allocator_new"/>
    <s v="pool_none"/>
    <n v="30000"/>
    <n v="5"/>
    <n v="5"/>
    <n v="0"/>
    <n v="1"/>
    <x v="0"/>
    <n v="96"/>
    <x v="2"/>
    <n v="96"/>
    <n v="0"/>
    <s v="insertIfAbsent"/>
    <n v="999957447636"/>
    <n v="1000249"/>
    <n v="999957447636"/>
    <n v="1000249"/>
    <s v="success"/>
    <n v="25"/>
    <n v="685801"/>
    <n v="520137"/>
    <n v="1205938"/>
    <n v="1000249"/>
    <n v="1.75844"/>
    <n v="1.9230499999999999"/>
    <n v="1.82944"/>
    <n v="19.894400000000001"/>
    <n v="67532528"/>
    <m/>
    <m/>
    <m/>
    <n v="63546"/>
    <m/>
    <m/>
    <n v="2517905887"/>
    <n v="0"/>
    <n v="279757608"/>
    <n v="2517905887"/>
    <n v="2797663495"/>
    <n v="83930196"/>
    <n v="0"/>
    <n v="9325253"/>
    <n v="83930196"/>
    <n v="93255449"/>
    <n v="17.8322"/>
    <n v="3.2086600000000001"/>
    <n v="2854.68"/>
    <n v="1551.76"/>
    <n v="1190"/>
    <n v="358"/>
    <x v="8"/>
  </r>
  <r>
    <s v="istree_exp1_scaling_threads/step10174.txt"/>
    <x v="2"/>
    <m/>
    <s v="reclaimer_debra"/>
    <s v="allocator_new"/>
    <s v="pool_none"/>
    <n v="30000"/>
    <n v="5"/>
    <n v="5"/>
    <n v="0"/>
    <n v="1"/>
    <x v="0"/>
    <n v="144"/>
    <x v="3"/>
    <n v="144"/>
    <n v="0"/>
    <s v="insertIfAbsent"/>
    <n v="999137260051"/>
    <n v="998667"/>
    <n v="999137260051"/>
    <n v="998667"/>
    <s v="success"/>
    <n v="25"/>
    <n v="684910"/>
    <n v="519963"/>
    <n v="1204873"/>
    <n v="998667"/>
    <n v="1.7591699999999999"/>
    <n v="1.92065"/>
    <n v="1.8288599999999999"/>
    <n v="19.791699999999999"/>
    <n v="67472888"/>
    <m/>
    <m/>
    <m/>
    <s v="218 41650"/>
    <m/>
    <m/>
    <n v="3724233625"/>
    <n v="0"/>
    <n v="413758675"/>
    <n v="3724233625"/>
    <n v="4137992300"/>
    <n v="124141120"/>
    <n v="0"/>
    <n v="13791955"/>
    <n v="124141120"/>
    <n v="137933076"/>
    <n v="18.2712"/>
    <n v="3.38849"/>
    <n v="2865.98"/>
    <n v="1555.07"/>
    <n v="1213"/>
    <n v="341"/>
    <x v="8"/>
  </r>
  <r>
    <s v="istree_exp1_scaling_threads/step10175.txt"/>
    <x v="2"/>
    <m/>
    <s v="reclaimer_debra"/>
    <s v="allocator_new"/>
    <s v="pool_none"/>
    <n v="30000"/>
    <n v="5"/>
    <n v="5"/>
    <n v="0"/>
    <n v="1"/>
    <x v="0"/>
    <n v="190"/>
    <x v="4"/>
    <n v="190"/>
    <n v="0"/>
    <s v="insertIfAbsent"/>
    <n v="1000019073417"/>
    <n v="1001064"/>
    <n v="1000019073417"/>
    <n v="1001064"/>
    <s v="success"/>
    <n v="25"/>
    <n v="686727"/>
    <n v="520916"/>
    <n v="1207643"/>
    <n v="1001064"/>
    <n v="1.7585500000000001"/>
    <n v="1.92174"/>
    <n v="1.82894"/>
    <n v="19.8704"/>
    <n v="67628008"/>
    <m/>
    <m/>
    <m/>
    <n v="33642"/>
    <m/>
    <m/>
    <n v="4900807108"/>
    <n v="0"/>
    <n v="544533836"/>
    <n v="4900807108"/>
    <n v="5445340944"/>
    <n v="163360236"/>
    <n v="0"/>
    <n v="18151127"/>
    <n v="163360236"/>
    <n v="181511364"/>
    <n v="18.8216"/>
    <n v="3.4994100000000001"/>
    <n v="2869.83"/>
    <n v="1561.13"/>
    <n v="1233"/>
    <n v="281"/>
    <x v="8"/>
  </r>
  <r>
    <s v="istree_exp1_scaling_threads/step10176.txt"/>
    <x v="3"/>
    <m/>
    <s v="reclaimer_debra"/>
    <s v="allocator_new"/>
    <s v="pool_none"/>
    <n v="30000"/>
    <n v="5"/>
    <n v="5"/>
    <n v="0"/>
    <n v="1"/>
    <x v="0"/>
    <n v="24"/>
    <x v="0"/>
    <n v="24"/>
    <n v="0"/>
    <s v="insertIfAbsent"/>
    <n v="999441574287"/>
    <n v="998760"/>
    <n v="999441574287"/>
    <n v="998760"/>
    <s v="success"/>
    <n v="51"/>
    <n v="998759"/>
    <n v="998760"/>
    <n v="1997519"/>
    <n v="998760"/>
    <n v="2"/>
    <n v="1"/>
    <n v="1.5"/>
    <n v="27.276700000000002"/>
    <n v="63920608"/>
    <m/>
    <m/>
    <m/>
    <s v="1244 273752"/>
    <m/>
    <m/>
    <n v="659035284"/>
    <n v="0"/>
    <n v="73236197"/>
    <n v="659035284"/>
    <n v="732271481"/>
    <n v="21967842"/>
    <n v="0"/>
    <n v="2441206"/>
    <n v="21967842"/>
    <n v="24409049"/>
    <n v="12.441000000000001"/>
    <n v="2.0516100000000002"/>
    <n v="2742.83"/>
    <n v="1789.7"/>
    <n v="1147"/>
    <n v="173"/>
    <x v="8"/>
  </r>
  <r>
    <s v="istree_exp1_scaling_threads/step10177.txt"/>
    <x v="3"/>
    <m/>
    <s v="reclaimer_debra"/>
    <s v="allocator_new"/>
    <s v="pool_none"/>
    <n v="30000"/>
    <n v="5"/>
    <n v="5"/>
    <n v="0"/>
    <n v="1"/>
    <x v="0"/>
    <n v="48"/>
    <x v="1"/>
    <n v="48"/>
    <n v="0"/>
    <s v="insertIfAbsent"/>
    <n v="999233916180"/>
    <n v="999808"/>
    <n v="999233916180"/>
    <n v="999808"/>
    <s v="success"/>
    <n v="48"/>
    <n v="999807"/>
    <n v="999808"/>
    <n v="1999615"/>
    <n v="999808"/>
    <n v="2"/>
    <n v="1"/>
    <n v="1.5"/>
    <n v="26.707899999999999"/>
    <n v="63987680"/>
    <m/>
    <m/>
    <m/>
    <s v="676 120242"/>
    <m/>
    <m/>
    <n v="1183825068"/>
    <n v="0"/>
    <n v="131534402"/>
    <n v="1183825068"/>
    <n v="1315359470"/>
    <n v="39460835"/>
    <n v="0"/>
    <n v="4384480"/>
    <n v="39460835"/>
    <n v="43845315"/>
    <n v="12.4771"/>
    <n v="2.1393300000000002"/>
    <n v="3052.99"/>
    <n v="2133.73"/>
    <n v="1162"/>
    <n v="196"/>
    <x v="8"/>
  </r>
  <r>
    <s v="istree_exp1_scaling_threads/step10178.txt"/>
    <x v="3"/>
    <m/>
    <s v="reclaimer_debra"/>
    <s v="allocator_new"/>
    <s v="pool_none"/>
    <n v="30000"/>
    <n v="5"/>
    <n v="5"/>
    <n v="0"/>
    <n v="1"/>
    <x v="0"/>
    <n v="96"/>
    <x v="2"/>
    <n v="96"/>
    <n v="0"/>
    <s v="insertIfAbsent"/>
    <n v="1000682090952"/>
    <n v="1000500"/>
    <n v="1000682090952"/>
    <n v="1000500"/>
    <s v="success"/>
    <n v="46"/>
    <n v="1000499"/>
    <n v="1000500"/>
    <n v="2000999"/>
    <n v="1000500"/>
    <n v="2"/>
    <n v="1"/>
    <n v="1.5"/>
    <n v="25.434899999999999"/>
    <n v="64031968"/>
    <m/>
    <m/>
    <m/>
    <n v="63400"/>
    <m/>
    <m/>
    <n v="2523739619"/>
    <n v="0"/>
    <n v="280414702"/>
    <n v="2523739619"/>
    <n v="2804154321"/>
    <n v="84124653"/>
    <n v="0"/>
    <n v="9347156"/>
    <n v="84124653"/>
    <n v="93471810"/>
    <n v="12.9102"/>
    <n v="2.55667"/>
    <n v="2859.99"/>
    <n v="1915.71"/>
    <n v="1191"/>
    <n v="311"/>
    <x v="8"/>
  </r>
  <r>
    <s v="istree_exp1_scaling_threads/step10179.txt"/>
    <x v="3"/>
    <m/>
    <s v="reclaimer_debra"/>
    <s v="allocator_new"/>
    <s v="pool_none"/>
    <n v="30000"/>
    <n v="5"/>
    <n v="5"/>
    <n v="0"/>
    <n v="1"/>
    <x v="0"/>
    <n v="144"/>
    <x v="3"/>
    <n v="144"/>
    <n v="0"/>
    <s v="insertIfAbsent"/>
    <n v="999551919213"/>
    <n v="999383"/>
    <n v="999551919213"/>
    <n v="999383"/>
    <s v="success"/>
    <n v="49"/>
    <n v="999382"/>
    <n v="999383"/>
    <n v="1998765"/>
    <n v="999383"/>
    <n v="2"/>
    <n v="1"/>
    <n v="1.5"/>
    <n v="25.992899999999999"/>
    <n v="63960480"/>
    <m/>
    <m/>
    <m/>
    <s v="214 42572"/>
    <m/>
    <m/>
    <n v="3837164299"/>
    <n v="0"/>
    <n v="426357434"/>
    <n v="3837164299"/>
    <n v="4263521733"/>
    <n v="127905476"/>
    <n v="0"/>
    <n v="14211914"/>
    <n v="127905476"/>
    <n v="142117391"/>
    <n v="13.2652"/>
    <n v="2.6442299999999999"/>
    <n v="2821.33"/>
    <n v="1872.78"/>
    <n v="1216"/>
    <n v="292"/>
    <x v="8"/>
  </r>
  <r>
    <s v="istree_exp1_scaling_threads/step10180.txt"/>
    <x v="3"/>
    <m/>
    <s v="reclaimer_debra"/>
    <s v="allocator_new"/>
    <s v="pool_none"/>
    <n v="30000"/>
    <n v="5"/>
    <n v="5"/>
    <n v="0"/>
    <n v="1"/>
    <x v="0"/>
    <n v="190"/>
    <x v="4"/>
    <n v="190"/>
    <n v="0"/>
    <s v="insertIfAbsent"/>
    <n v="999598687450"/>
    <n v="999571"/>
    <n v="999598687450"/>
    <n v="999571"/>
    <s v="success"/>
    <n v="49"/>
    <n v="999570"/>
    <n v="999571"/>
    <n v="1999141"/>
    <n v="999571"/>
    <n v="2"/>
    <n v="1"/>
    <n v="1.5"/>
    <n v="25.485600000000002"/>
    <n v="63972512"/>
    <m/>
    <m/>
    <m/>
    <n v="34074"/>
    <m/>
    <m/>
    <n v="5042258309"/>
    <n v="0"/>
    <n v="560261883"/>
    <n v="5042258309"/>
    <n v="5602520192"/>
    <n v="168075276"/>
    <n v="0"/>
    <n v="18675396"/>
    <n v="168075276"/>
    <n v="186750673"/>
    <n v="13.808999999999999"/>
    <n v="2.6947399999999999"/>
    <n v="2831.9"/>
    <n v="1870.33"/>
    <n v="1231"/>
    <n v="275"/>
    <x v="8"/>
  </r>
  <r>
    <s v="istree_exp1_scaling_threads/step10181.txt"/>
    <x v="0"/>
    <n v="72"/>
    <s v="reclaimer_debra"/>
    <s v="allocator_new"/>
    <s v="pool_none"/>
    <n v="30000"/>
    <n v="5"/>
    <n v="5"/>
    <n v="0"/>
    <n v="1"/>
    <x v="1"/>
    <n v="24"/>
    <x v="0"/>
    <n v="24"/>
    <n v="0"/>
    <s v="insertIfAbsent"/>
    <n v="100022969924528"/>
    <n v="10001796"/>
    <n v="100022969924528"/>
    <n v="10001796"/>
    <s v="success"/>
    <n v="7"/>
    <n v="1901308"/>
    <n v="12021813"/>
    <n v="13923121"/>
    <n v="10001796"/>
    <n v="7.3229199999999999"/>
    <n v="0.83197100000000002"/>
    <n v="1.7183600000000001"/>
    <n v="4.05518"/>
    <n v="344480320"/>
    <s v="19 47487 1365775 12770256 42876"/>
    <s v="17 47436 1365744 12770228 42876"/>
    <n v="11842"/>
    <n v="311736"/>
    <m/>
    <m/>
    <n v="787655731"/>
    <n v="0"/>
    <n v="87525622"/>
    <n v="787655731"/>
    <n v="875181353"/>
    <n v="26255191"/>
    <n v="0"/>
    <n v="2917520"/>
    <n v="26255191"/>
    <n v="29172711"/>
    <n v="18.451499999999999"/>
    <n v="7.3209600000000004"/>
    <n v="2272.38"/>
    <n v="1488.82"/>
    <n v="2437"/>
    <n v="154"/>
    <x v="9"/>
  </r>
  <r>
    <s v="istree_exp1_scaling_threads/step10182.txt"/>
    <x v="0"/>
    <n v="72"/>
    <s v="reclaimer_debra"/>
    <s v="allocator_new"/>
    <s v="pool_none"/>
    <n v="30000"/>
    <n v="5"/>
    <n v="5"/>
    <n v="0"/>
    <n v="1"/>
    <x v="1"/>
    <n v="48"/>
    <x v="1"/>
    <n v="48"/>
    <n v="0"/>
    <s v="insertIfAbsent"/>
    <n v="99986906348381"/>
    <n v="10000657"/>
    <n v="99986906348381"/>
    <n v="10000657"/>
    <s v="success"/>
    <n v="7"/>
    <n v="1868372"/>
    <n v="11967281"/>
    <n v="13835653"/>
    <n v="10000657"/>
    <n v="7.4051900000000002"/>
    <n v="0.83566700000000005"/>
    <n v="1.72282"/>
    <n v="4.0468000000000002"/>
    <n v="340993424"/>
    <s v="38 90279 2016522 21242623 68876"/>
    <s v="29 90233 2016392 21242527 68876"/>
    <n v="51927"/>
    <n v="131632"/>
    <m/>
    <m/>
    <n v="1341724198"/>
    <n v="0"/>
    <n v="149100178"/>
    <n v="1341724198"/>
    <n v="1490824376"/>
    <n v="44724139"/>
    <n v="0"/>
    <n v="4970005"/>
    <n v="44724139"/>
    <n v="49694145"/>
    <n v="18.731999999999999"/>
    <n v="7.5214100000000004"/>
    <n v="2663.95"/>
    <n v="1831.46"/>
    <n v="2491"/>
    <n v="199"/>
    <x v="9"/>
  </r>
  <r>
    <s v="istree_exp1_scaling_threads/step10183.txt"/>
    <x v="0"/>
    <n v="72"/>
    <s v="reclaimer_debra"/>
    <s v="allocator_new"/>
    <s v="pool_none"/>
    <n v="30000"/>
    <n v="5"/>
    <n v="5"/>
    <n v="0"/>
    <n v="1"/>
    <x v="1"/>
    <n v="96"/>
    <x v="2"/>
    <n v="96"/>
    <n v="0"/>
    <s v="insertIfAbsent"/>
    <n v="99981148717835"/>
    <n v="10000382"/>
    <n v="99981148717835"/>
    <n v="10000382"/>
    <s v="success"/>
    <n v="7"/>
    <n v="1733873"/>
    <n v="11673208"/>
    <n v="13407081"/>
    <n v="10000382"/>
    <n v="7.73245"/>
    <n v="0.85669499999999998"/>
    <n v="1.7459"/>
    <n v="4.0217700000000001"/>
    <n v="325492624"/>
    <s v="84 185853 2721526 40365535 118016"/>
    <s v="58 185829 2721098 40365169 118014"/>
    <n v="221679"/>
    <n v="67558"/>
    <m/>
    <m/>
    <n v="2648691280"/>
    <n v="0"/>
    <n v="294308967"/>
    <n v="2648691280"/>
    <n v="2943000247"/>
    <n v="88289709"/>
    <n v="0"/>
    <n v="9810298"/>
    <n v="88289709"/>
    <n v="98100008"/>
    <n v="18.990500000000001"/>
    <n v="7.9777399999999998"/>
    <n v="2690.06"/>
    <n v="1805.74"/>
    <n v="2603"/>
    <n v="220"/>
    <x v="9"/>
  </r>
  <r>
    <s v="istree_exp1_scaling_threads/step10184.txt"/>
    <x v="0"/>
    <n v="72"/>
    <s v="reclaimer_debra"/>
    <s v="allocator_new"/>
    <s v="pool_none"/>
    <n v="30000"/>
    <n v="5"/>
    <n v="5"/>
    <n v="0"/>
    <n v="1"/>
    <x v="1"/>
    <n v="144"/>
    <x v="3"/>
    <n v="144"/>
    <n v="0"/>
    <s v="insertIfAbsent"/>
    <n v="99966057919958"/>
    <n v="9996045"/>
    <n v="99966057919958"/>
    <n v="9996045"/>
    <s v="success"/>
    <n v="7"/>
    <n v="1832046"/>
    <n v="11863665"/>
    <n v="13695711"/>
    <n v="9996045"/>
    <n v="7.4756400000000003"/>
    <n v="0.84257599999999999"/>
    <n v="1.72987"/>
    <n v="4.0414099999999999"/>
    <n v="336387616"/>
    <s v="146 272042 2275052 57654738 143692"/>
    <s v="86 272010 2274320 57653944 143692"/>
    <n v="476145"/>
    <n v="45468"/>
    <m/>
    <m/>
    <n v="3881685100"/>
    <n v="0"/>
    <n v="431277903"/>
    <n v="3881685100"/>
    <n v="4312963003"/>
    <n v="129389503"/>
    <n v="0"/>
    <n v="14375930"/>
    <n v="129389503"/>
    <n v="143765433"/>
    <n v="19.070799999999998"/>
    <n v="8.2904499999999999"/>
    <n v="2744.39"/>
    <n v="1847.23"/>
    <n v="2772"/>
    <n v="410"/>
    <x v="9"/>
  </r>
  <r>
    <s v="istree_exp1_scaling_threads/step10185.txt"/>
    <x v="0"/>
    <n v="72"/>
    <s v="reclaimer_debra"/>
    <s v="allocator_new"/>
    <s v="pool_none"/>
    <n v="30000"/>
    <n v="5"/>
    <n v="5"/>
    <n v="0"/>
    <n v="1"/>
    <x v="1"/>
    <n v="190"/>
    <x v="4"/>
    <n v="190"/>
    <n v="0"/>
    <s v="insertIfAbsent"/>
    <n v="100027315583336"/>
    <n v="10000451"/>
    <n v="100027315583336"/>
    <n v="10000451"/>
    <s v="success"/>
    <n v="7"/>
    <n v="1829524"/>
    <n v="11876294"/>
    <n v="13705818"/>
    <n v="10000451"/>
    <n v="7.4914699999999996"/>
    <n v="0.84205099999999999"/>
    <n v="1.7296499999999999"/>
    <n v="4.04054"/>
    <n v="336413216"/>
    <s v="170 333160 2817580 70764073 177615"/>
    <s v="105 333100 2816484 70762823 177614"/>
    <n v="770916"/>
    <n v="34422"/>
    <m/>
    <m/>
    <n v="4754390998"/>
    <n v="0"/>
    <n v="528290314"/>
    <n v="4754390998"/>
    <n v="5282681312"/>
    <n v="158479699"/>
    <n v="0"/>
    <n v="17609677"/>
    <n v="158479699"/>
    <n v="176089377"/>
    <n v="19.328099999999999"/>
    <n v="8.5624199999999995"/>
    <n v="2946.48"/>
    <n v="2023.55"/>
    <n v="2867"/>
    <n v="446"/>
    <x v="9"/>
  </r>
  <r>
    <s v="istree_exp1_scaling_threads/step10186.txt"/>
    <x v="1"/>
    <n v="208"/>
    <s v="reclaimer_debra"/>
    <s v="allocator_new"/>
    <s v="pool_none"/>
    <n v="30000"/>
    <n v="5"/>
    <n v="5"/>
    <n v="0"/>
    <n v="1"/>
    <x v="1"/>
    <n v="24"/>
    <x v="0"/>
    <n v="24"/>
    <n v="0"/>
    <s v="insertIfAbsent"/>
    <n v="100026743602721"/>
    <n v="10003893"/>
    <n v="100026743602721"/>
    <n v="10003893"/>
    <s v="success"/>
    <n v="9"/>
    <n v="257402"/>
    <n v="1765775"/>
    <n v="2023177"/>
    <n v="10003893"/>
    <n v="7.8599899999999998"/>
    <n v="5.6654400000000003"/>
    <n v="5.9446500000000002"/>
    <n v="8"/>
    <n v="420820816"/>
    <m/>
    <m/>
    <m/>
    <s v="5310 319172"/>
    <m/>
    <m/>
    <n v="760549793"/>
    <n v="0"/>
    <n v="84525600"/>
    <n v="760549793"/>
    <n v="845075393"/>
    <n v="25351659"/>
    <n v="0"/>
    <n v="2817520"/>
    <n v="25351659"/>
    <n v="28169179"/>
    <n v="17.914999999999999"/>
    <n v="5.6996700000000002"/>
    <n v="2375.9699999999998"/>
    <n v="1382.68"/>
    <n v="1525"/>
    <n v="833"/>
    <x v="9"/>
  </r>
  <r>
    <s v="istree_exp1_scaling_threads/step10187.txt"/>
    <x v="1"/>
    <n v="208"/>
    <s v="reclaimer_debra"/>
    <s v="allocator_new"/>
    <s v="pool_none"/>
    <n v="30000"/>
    <n v="5"/>
    <n v="5"/>
    <n v="0"/>
    <n v="1"/>
    <x v="1"/>
    <n v="48"/>
    <x v="1"/>
    <n v="48"/>
    <n v="0"/>
    <s v="insertIfAbsent"/>
    <n v="99988195657147"/>
    <n v="9999271"/>
    <n v="99988195657147"/>
    <n v="9999271"/>
    <s v="success"/>
    <n v="9"/>
    <n v="274666"/>
    <n v="1865458"/>
    <n v="2140124"/>
    <n v="9999271"/>
    <n v="7.7917300000000003"/>
    <n v="5.36022"/>
    <n v="5.6722900000000003"/>
    <n v="8"/>
    <n v="445145792"/>
    <m/>
    <m/>
    <m/>
    <s v="1402 140092"/>
    <m/>
    <m/>
    <n v="1372173615"/>
    <n v="0"/>
    <n v="152452859"/>
    <n v="1372173615"/>
    <n v="1524626474"/>
    <n v="45739120"/>
    <n v="0"/>
    <n v="5081761"/>
    <n v="45739120"/>
    <n v="50820882"/>
    <n v="18.064699999999998"/>
    <n v="5.8451599999999999"/>
    <n v="2632.9"/>
    <n v="1755.43"/>
    <n v="1601"/>
    <n v="758"/>
    <x v="9"/>
  </r>
  <r>
    <s v="istree_exp1_scaling_threads/step10188.txt"/>
    <x v="1"/>
    <n v="208"/>
    <s v="reclaimer_debra"/>
    <s v="allocator_new"/>
    <s v="pool_none"/>
    <n v="30000"/>
    <n v="5"/>
    <n v="5"/>
    <n v="0"/>
    <n v="1"/>
    <x v="1"/>
    <n v="96"/>
    <x v="2"/>
    <n v="96"/>
    <n v="0"/>
    <s v="insertIfAbsent"/>
    <n v="99990376150677"/>
    <n v="10000572"/>
    <n v="99990376150677"/>
    <n v="10000572"/>
    <s v="success"/>
    <n v="10"/>
    <n v="293154"/>
    <n v="1945979"/>
    <n v="2239133"/>
    <n v="10000572"/>
    <n v="7.6380800000000004"/>
    <n v="5.1391"/>
    <n v="5.4662699999999997"/>
    <n v="9"/>
    <n v="465739664"/>
    <m/>
    <m/>
    <m/>
    <s v="692 70536"/>
    <m/>
    <m/>
    <n v="2784017979"/>
    <n v="0"/>
    <n v="309347335"/>
    <n v="2784017979"/>
    <n v="3093365314"/>
    <n v="92800599"/>
    <n v="0"/>
    <n v="10311577"/>
    <n v="92800599"/>
    <n v="103112177"/>
    <n v="18.371300000000002"/>
    <n v="6.1321599999999998"/>
    <n v="2586.2800000000002"/>
    <n v="1649.03"/>
    <n v="1719"/>
    <n v="891"/>
    <x v="9"/>
  </r>
  <r>
    <s v="istree_exp1_scaling_threads/step10189.txt"/>
    <x v="1"/>
    <n v="208"/>
    <s v="reclaimer_debra"/>
    <s v="allocator_new"/>
    <s v="pool_none"/>
    <n v="30000"/>
    <n v="5"/>
    <n v="5"/>
    <n v="0"/>
    <n v="1"/>
    <x v="1"/>
    <n v="144"/>
    <x v="3"/>
    <n v="144"/>
    <n v="0"/>
    <s v="insertIfAbsent"/>
    <n v="99998534074934"/>
    <n v="9999564"/>
    <n v="99998534074934"/>
    <n v="9999564"/>
    <s v="success"/>
    <n v="9"/>
    <n v="303646"/>
    <n v="1963674"/>
    <n v="2267320"/>
    <n v="9999564"/>
    <n v="7.4669800000000004"/>
    <n v="5.0922700000000001"/>
    <n v="5.4103000000000003"/>
    <n v="8"/>
    <n v="471602560"/>
    <m/>
    <m/>
    <m/>
    <n v="46384"/>
    <m/>
    <m/>
    <n v="4127837580"/>
    <n v="0"/>
    <n v="458611477"/>
    <n v="4127837580"/>
    <n v="4586449057"/>
    <n v="137594586"/>
    <n v="0"/>
    <n v="15287049"/>
    <n v="137594586"/>
    <n v="152881635"/>
    <n v="18.604600000000001"/>
    <n v="6.40212"/>
    <n v="2610.79"/>
    <n v="1661.3"/>
    <n v="1746"/>
    <n v="837"/>
    <x v="9"/>
  </r>
  <r>
    <s v="istree_exp1_scaling_threads/step10190.txt"/>
    <x v="1"/>
    <n v="208"/>
    <s v="reclaimer_debra"/>
    <s v="allocator_new"/>
    <s v="pool_none"/>
    <n v="30000"/>
    <n v="5"/>
    <n v="5"/>
    <n v="0"/>
    <n v="1"/>
    <x v="1"/>
    <n v="190"/>
    <x v="4"/>
    <n v="190"/>
    <n v="0"/>
    <s v="insertIfAbsent"/>
    <n v="99995457054792"/>
    <n v="9999377"/>
    <n v="99995457054792"/>
    <n v="9999377"/>
    <s v="success"/>
    <n v="9"/>
    <n v="309797"/>
    <n v="1966219"/>
    <n v="2276016"/>
    <n v="9999377"/>
    <n v="7.3468"/>
    <n v="5.0855899999999998"/>
    <n v="5.39337"/>
    <n v="8"/>
    <n v="473411328"/>
    <m/>
    <m/>
    <m/>
    <s v="516 36716"/>
    <m/>
    <m/>
    <n v="5371192857"/>
    <n v="0"/>
    <n v="596746024"/>
    <n v="5371192857"/>
    <n v="5967938881"/>
    <n v="179039761"/>
    <n v="0"/>
    <n v="19891534"/>
    <n v="179039761"/>
    <n v="198931296"/>
    <n v="18.8416"/>
    <n v="6.5784000000000002"/>
    <n v="2648.32"/>
    <n v="1683.49"/>
    <n v="1858"/>
    <n v="907"/>
    <x v="9"/>
  </r>
  <r>
    <s v="istree_exp1_scaling_threads/step10191.txt"/>
    <x v="2"/>
    <m/>
    <s v="reclaimer_debra"/>
    <s v="allocator_new"/>
    <s v="pool_none"/>
    <n v="30000"/>
    <n v="5"/>
    <n v="5"/>
    <n v="0"/>
    <n v="1"/>
    <x v="1"/>
    <n v="24"/>
    <x v="0"/>
    <n v="24"/>
    <n v="0"/>
    <s v="insertIfAbsent"/>
    <n v="100030610846892"/>
    <n v="10002737"/>
    <n v="100030610846892"/>
    <n v="10002737"/>
    <s v="success"/>
    <n v="29"/>
    <n v="6709586"/>
    <n v="5081804"/>
    <n v="11791390"/>
    <n v="10002737"/>
    <n v="1.75739"/>
    <n v="1.96834"/>
    <n v="1.8483099999999999"/>
    <n v="23.180700000000002"/>
    <n v="660317840"/>
    <m/>
    <m/>
    <m/>
    <s v="4874 154296"/>
    <m/>
    <m/>
    <n v="360434454"/>
    <n v="0"/>
    <n v="40044729"/>
    <n v="360434454"/>
    <n v="400479183"/>
    <n v="12014481"/>
    <n v="0"/>
    <n v="1334824"/>
    <n v="12014481"/>
    <n v="13349306"/>
    <n v="28.381"/>
    <n v="9.6693499999999997"/>
    <n v="5014.3900000000003"/>
    <n v="3710.19"/>
    <n v="1831"/>
    <n v="1460"/>
    <x v="9"/>
  </r>
  <r>
    <s v="istree_exp1_scaling_threads/step10192.txt"/>
    <x v="2"/>
    <m/>
    <s v="reclaimer_debra"/>
    <s v="allocator_new"/>
    <s v="pool_none"/>
    <n v="30000"/>
    <n v="5"/>
    <n v="5"/>
    <n v="0"/>
    <n v="1"/>
    <x v="1"/>
    <n v="48"/>
    <x v="1"/>
    <n v="48"/>
    <n v="0"/>
    <s v="insertIfAbsent"/>
    <n v="99985798907373"/>
    <n v="9999485"/>
    <n v="99985798907373"/>
    <n v="9999485"/>
    <s v="success"/>
    <n v="29"/>
    <n v="6821608"/>
    <n v="5176941"/>
    <n v="11998549"/>
    <n v="9999485"/>
    <n v="1.7588999999999999"/>
    <n v="1.93154"/>
    <n v="1.8333900000000001"/>
    <n v="23.249400000000001"/>
    <n v="671918744"/>
    <m/>
    <m/>
    <m/>
    <s v="1192 70046"/>
    <m/>
    <m/>
    <n v="676738848"/>
    <n v="0"/>
    <n v="75194789"/>
    <n v="676738848"/>
    <n v="751933637"/>
    <n v="22557961"/>
    <n v="0"/>
    <n v="2506492"/>
    <n v="22557961"/>
    <n v="25064454"/>
    <n v="29.222899999999999"/>
    <n v="9.7875800000000002"/>
    <n v="5340.59"/>
    <n v="4020.91"/>
    <n v="1852"/>
    <n v="1068"/>
    <x v="9"/>
  </r>
  <r>
    <s v="istree_exp1_scaling_threads/step10193.txt"/>
    <x v="2"/>
    <m/>
    <s v="reclaimer_debra"/>
    <s v="allocator_new"/>
    <s v="pool_none"/>
    <n v="30000"/>
    <n v="5"/>
    <n v="5"/>
    <n v="0"/>
    <n v="1"/>
    <x v="1"/>
    <n v="96"/>
    <x v="2"/>
    <n v="96"/>
    <n v="0"/>
    <s v="insertIfAbsent"/>
    <n v="100009666519829"/>
    <n v="10000534"/>
    <n v="100009666519829"/>
    <n v="10000534"/>
    <s v="success"/>
    <n v="29"/>
    <n v="6857895"/>
    <n v="5203669"/>
    <n v="12061564"/>
    <n v="10000534"/>
    <n v="1.7587900000000001"/>
    <n v="1.9218200000000001"/>
    <n v="1.8291200000000001"/>
    <n v="23.229399999999998"/>
    <n v="675447584"/>
    <m/>
    <m/>
    <m/>
    <s v="294 36172"/>
    <m/>
    <m/>
    <n v="1426646464"/>
    <n v="0"/>
    <n v="158521904"/>
    <n v="1426646464"/>
    <n v="1585168368"/>
    <n v="47554882"/>
    <n v="0"/>
    <n v="5284063"/>
    <n v="47554882"/>
    <n v="52838945"/>
    <n v="29.849299999999999"/>
    <n v="10.6349"/>
    <n v="5060.88"/>
    <n v="3631.29"/>
    <n v="1882"/>
    <n v="788"/>
    <x v="9"/>
  </r>
  <r>
    <s v="istree_exp1_scaling_threads/step10194.txt"/>
    <x v="2"/>
    <m/>
    <s v="reclaimer_debra"/>
    <s v="allocator_new"/>
    <s v="pool_none"/>
    <n v="30000"/>
    <n v="5"/>
    <n v="5"/>
    <n v="0"/>
    <n v="1"/>
    <x v="1"/>
    <n v="144"/>
    <x v="3"/>
    <n v="144"/>
    <n v="0"/>
    <s v="insertIfAbsent"/>
    <n v="99992755560130"/>
    <n v="10000824"/>
    <n v="99992755560130"/>
    <n v="10000824"/>
    <s v="success"/>
    <n v="29"/>
    <n v="6859040"/>
    <n v="5203480"/>
    <n v="12062520"/>
    <n v="10000824"/>
    <n v="1.7586299999999999"/>
    <n v="1.92195"/>
    <n v="1.82908"/>
    <n v="23.260100000000001"/>
    <n v="675501120"/>
    <m/>
    <m/>
    <m/>
    <s v="214 24064"/>
    <m/>
    <m/>
    <n v="2163773658"/>
    <n v="0"/>
    <n v="240428901"/>
    <n v="2163773658"/>
    <n v="2404202559"/>
    <n v="72125788"/>
    <n v="0"/>
    <n v="8014296"/>
    <n v="72125788"/>
    <n v="80140085"/>
    <n v="29.891200000000001"/>
    <n v="10.903499999999999"/>
    <n v="4999.1099999999997"/>
    <n v="3604.51"/>
    <n v="1907"/>
    <n v="484"/>
    <x v="9"/>
  </r>
  <r>
    <s v="istree_exp1_scaling_threads/step10195.txt"/>
    <x v="2"/>
    <m/>
    <s v="reclaimer_debra"/>
    <s v="allocator_new"/>
    <s v="pool_none"/>
    <n v="30000"/>
    <n v="5"/>
    <n v="5"/>
    <n v="0"/>
    <n v="1"/>
    <x v="1"/>
    <n v="190"/>
    <x v="4"/>
    <n v="190"/>
    <n v="0"/>
    <s v="insertIfAbsent"/>
    <n v="100042110080189"/>
    <n v="10002046"/>
    <n v="100042110080189"/>
    <n v="10002046"/>
    <s v="success"/>
    <n v="29"/>
    <n v="6860046"/>
    <n v="5202179"/>
    <n v="12062225"/>
    <n v="10002046"/>
    <n v="1.7583299999999999"/>
    <n v="1.92266"/>
    <n v="1.8291999999999999"/>
    <n v="23.2453"/>
    <n v="675484600"/>
    <m/>
    <m/>
    <m/>
    <s v="170 18850"/>
    <m/>
    <m/>
    <n v="2858218172"/>
    <n v="0"/>
    <n v="317555755"/>
    <n v="2858218172"/>
    <n v="3175773927"/>
    <n v="95273939"/>
    <n v="0"/>
    <n v="10585191"/>
    <n v="95273939"/>
    <n v="105859130"/>
    <n v="29.930299999999999"/>
    <n v="11.071099999999999"/>
    <n v="4985.68"/>
    <n v="3581.28"/>
    <n v="1932"/>
    <n v="465"/>
    <x v="9"/>
  </r>
  <r>
    <s v="istree_exp1_scaling_threads/step10196.txt"/>
    <x v="3"/>
    <m/>
    <s v="reclaimer_debra"/>
    <s v="allocator_new"/>
    <s v="pool_none"/>
    <n v="30000"/>
    <n v="5"/>
    <n v="5"/>
    <n v="0"/>
    <n v="1"/>
    <x v="1"/>
    <n v="24"/>
    <x v="0"/>
    <n v="24"/>
    <n v="0"/>
    <s v="insertIfAbsent"/>
    <n v="100010864827584"/>
    <n v="10001456"/>
    <n v="100010864827584"/>
    <n v="10001456"/>
    <s v="success"/>
    <n v="61"/>
    <n v="10001455"/>
    <n v="10001456"/>
    <n v="20002911"/>
    <n v="10001456"/>
    <n v="2"/>
    <n v="1"/>
    <n v="1.5"/>
    <n v="31.651499999999999"/>
    <n v="640093152"/>
    <m/>
    <m/>
    <m/>
    <s v="4922 127198"/>
    <m/>
    <m/>
    <n v="293087364"/>
    <n v="0"/>
    <n v="32567646"/>
    <n v="293087364"/>
    <n v="325655010"/>
    <n v="9769578"/>
    <n v="0"/>
    <n v="1085588"/>
    <n v="9769578"/>
    <n v="10855167"/>
    <n v="25.026"/>
    <n v="9.1519399999999997"/>
    <n v="6167.73"/>
    <n v="4755.26"/>
    <n v="1723"/>
    <n v="1507"/>
    <x v="9"/>
  </r>
  <r>
    <s v="istree_exp1_scaling_threads/step10197.txt"/>
    <x v="3"/>
    <m/>
    <s v="reclaimer_debra"/>
    <s v="allocator_new"/>
    <s v="pool_none"/>
    <n v="30000"/>
    <n v="5"/>
    <n v="5"/>
    <n v="0"/>
    <n v="1"/>
    <x v="1"/>
    <n v="48"/>
    <x v="1"/>
    <n v="48"/>
    <n v="0"/>
    <s v="insertIfAbsent"/>
    <n v="99930594843419"/>
    <n v="9998523"/>
    <n v="99930594843419"/>
    <n v="9998523"/>
    <s v="success"/>
    <n v="59"/>
    <n v="9998522"/>
    <n v="9998523"/>
    <n v="19997045"/>
    <n v="9998523"/>
    <n v="2"/>
    <n v="1"/>
    <n v="1.5"/>
    <n v="31.4833"/>
    <n v="639905440"/>
    <m/>
    <m/>
    <m/>
    <s v="1188 58590"/>
    <m/>
    <m/>
    <n v="561584284"/>
    <n v="0"/>
    <n v="62383542"/>
    <n v="561584284"/>
    <n v="623967826"/>
    <n v="18719476"/>
    <n v="0"/>
    <n v="2079451"/>
    <n v="18719476"/>
    <n v="20798927"/>
    <n v="25.0641"/>
    <n v="9.1329499999999992"/>
    <n v="6437.21"/>
    <n v="5409.47"/>
    <n v="1736"/>
    <n v="1074"/>
    <x v="9"/>
  </r>
  <r>
    <s v="istree_exp1_scaling_threads/step10198.txt"/>
    <x v="3"/>
    <m/>
    <s v="reclaimer_debra"/>
    <s v="allocator_new"/>
    <s v="pool_none"/>
    <n v="30000"/>
    <n v="5"/>
    <n v="5"/>
    <n v="0"/>
    <n v="1"/>
    <x v="1"/>
    <n v="96"/>
    <x v="2"/>
    <n v="96"/>
    <n v="0"/>
    <s v="insertIfAbsent"/>
    <n v="99990395676364"/>
    <n v="10001449"/>
    <n v="99990395676364"/>
    <n v="10001449"/>
    <s v="success"/>
    <n v="67"/>
    <n v="10001448"/>
    <n v="10001449"/>
    <n v="20002897"/>
    <n v="10001449"/>
    <n v="2"/>
    <n v="1"/>
    <n v="1.5"/>
    <n v="32.451900000000002"/>
    <n v="640092704"/>
    <m/>
    <m/>
    <m/>
    <s v="270 31682"/>
    <m/>
    <m/>
    <n v="1246251611"/>
    <n v="0"/>
    <n v="138502732"/>
    <n v="1246251611"/>
    <n v="1384754343"/>
    <n v="41541720"/>
    <n v="0"/>
    <n v="4616757"/>
    <n v="41541720"/>
    <n v="46158478"/>
    <n v="25.813600000000001"/>
    <n v="10.110099999999999"/>
    <n v="5795.01"/>
    <n v="4753.3999999999996"/>
    <n v="1775"/>
    <n v="731"/>
    <x v="9"/>
  </r>
  <r>
    <s v="istree_exp1_scaling_threads/step10199.txt"/>
    <x v="3"/>
    <m/>
    <s v="reclaimer_debra"/>
    <s v="allocator_new"/>
    <s v="pool_none"/>
    <n v="30000"/>
    <n v="5"/>
    <n v="5"/>
    <n v="0"/>
    <n v="1"/>
    <x v="1"/>
    <n v="144"/>
    <x v="3"/>
    <n v="144"/>
    <n v="0"/>
    <s v="insertIfAbsent"/>
    <n v="99995782668855"/>
    <n v="9999480"/>
    <n v="99995782668855"/>
    <n v="9999480"/>
    <s v="success"/>
    <n v="56"/>
    <n v="9999479"/>
    <n v="9999480"/>
    <n v="19998959"/>
    <n v="9999480"/>
    <n v="2"/>
    <n v="1"/>
    <n v="1.5"/>
    <n v="30.5747"/>
    <n v="639966688"/>
    <m/>
    <m/>
    <m/>
    <s v="198 21206"/>
    <m/>
    <m/>
    <n v="1902859986"/>
    <n v="0"/>
    <n v="211420153"/>
    <n v="1902859986"/>
    <n v="2114280139"/>
    <n v="63428666"/>
    <n v="0"/>
    <n v="7047338"/>
    <n v="63428666"/>
    <n v="70476004"/>
    <n v="25.865600000000001"/>
    <n v="10.3002"/>
    <n v="5690.15"/>
    <n v="4647.93"/>
    <n v="1815"/>
    <n v="460"/>
    <x v="9"/>
  </r>
  <r>
    <s v="istree_exp1_scaling_threads/step10200.txt"/>
    <x v="3"/>
    <m/>
    <s v="reclaimer_debra"/>
    <s v="allocator_new"/>
    <s v="pool_none"/>
    <n v="30000"/>
    <n v="5"/>
    <n v="5"/>
    <n v="0"/>
    <n v="1"/>
    <x v="1"/>
    <n v="190"/>
    <x v="4"/>
    <n v="190"/>
    <n v="0"/>
    <s v="insertIfAbsent"/>
    <n v="99974602872829"/>
    <n v="9999108"/>
    <n v="99974602872829"/>
    <n v="9999108"/>
    <s v="success"/>
    <n v="57"/>
    <n v="9999107"/>
    <n v="9999108"/>
    <n v="19998215"/>
    <n v="9999108"/>
    <n v="2"/>
    <n v="1"/>
    <n v="1.5"/>
    <n v="30.4193"/>
    <n v="639942880"/>
    <m/>
    <m/>
    <m/>
    <n v="16442"/>
    <m/>
    <m/>
    <n v="2531719626"/>
    <n v="0"/>
    <n v="281286232"/>
    <n v="2531719626"/>
    <n v="2813005858"/>
    <n v="84390654"/>
    <n v="0"/>
    <n v="9376207"/>
    <n v="84390654"/>
    <n v="93766861"/>
    <n v="26.093499999999999"/>
    <n v="10.4209"/>
    <n v="5641.76"/>
    <n v="4594.09"/>
    <n v="1869"/>
    <n v="450"/>
    <x v="9"/>
  </r>
  <r>
    <s v="istree_exp1_scaling_threads/step10201.txt"/>
    <x v="0"/>
    <n v="72"/>
    <s v="reclaimer_debra"/>
    <s v="allocator_new"/>
    <s v="pool_none"/>
    <n v="30000"/>
    <n v="5"/>
    <n v="5"/>
    <n v="0"/>
    <n v="1"/>
    <x v="2"/>
    <n v="24"/>
    <x v="0"/>
    <n v="24"/>
    <n v="0"/>
    <s v="insertIfAbsent"/>
    <n v="9999732292135480"/>
    <n v="99999309"/>
    <n v="9999732292135480"/>
    <n v="99999309"/>
    <s v="success"/>
    <n v="7"/>
    <n v="14703358"/>
    <n v="117689938"/>
    <n v="132393296"/>
    <n v="99999309"/>
    <n v="9.0042899999999992"/>
    <n v="0.84968399999999999"/>
    <n v="1.75532"/>
    <n v="4.077"/>
    <n v="3062835760"/>
    <s v="1 6377 498597 5539317 1016456"/>
    <s v="1 6373 498596 5539316 1016456"/>
    <n v="1087"/>
    <n v="271404"/>
    <m/>
    <m/>
    <n v="669693542"/>
    <n v="0"/>
    <n v="74403213"/>
    <n v="669693542"/>
    <n v="744096755"/>
    <n v="22323118"/>
    <n v="0"/>
    <n v="2480107"/>
    <n v="22323118"/>
    <n v="24803225"/>
    <n v="20.683900000000001"/>
    <n v="9.2916699999999999"/>
    <n v="2672.12"/>
    <n v="1983.51"/>
    <n v="9448"/>
    <n v="1550"/>
    <x v="10"/>
  </r>
  <r>
    <s v="istree_exp1_scaling_threads/step10202.txt"/>
    <x v="0"/>
    <n v="72"/>
    <s v="reclaimer_debra"/>
    <s v="allocator_new"/>
    <s v="pool_none"/>
    <n v="30000"/>
    <n v="5"/>
    <n v="5"/>
    <n v="0"/>
    <n v="1"/>
    <x v="2"/>
    <n v="48"/>
    <x v="1"/>
    <n v="48"/>
    <n v="0"/>
    <s v="insertIfAbsent"/>
    <n v="9998413273896510"/>
    <n v="99993963"/>
    <n v="9998413273896510"/>
    <n v="99993963"/>
    <s v="success"/>
    <n v="7"/>
    <n v="14739676"/>
    <n v="117768075"/>
    <n v="132507751"/>
    <n v="99993963"/>
    <n v="8.9898699999999998"/>
    <n v="0.84907500000000002"/>
    <n v="1.7546299999999999"/>
    <n v="4.0777999999999999"/>
    <n v="3067115824"/>
    <s v="3 17238 942839 9727580 1708159"/>
    <s v="2 17221 942829 9727573 1708158"/>
    <n v="6432"/>
    <n v="109846"/>
    <m/>
    <m/>
    <n v="1125913412"/>
    <n v="0"/>
    <n v="125115244"/>
    <n v="1125913412"/>
    <n v="1251028656"/>
    <n v="37530447"/>
    <n v="0"/>
    <n v="4170508"/>
    <n v="37530447"/>
    <n v="41700955"/>
    <n v="21.3733"/>
    <n v="9.7168899999999994"/>
    <n v="3161.22"/>
    <n v="2365.31"/>
    <n v="13507"/>
    <n v="1243"/>
    <x v="10"/>
  </r>
  <r>
    <s v="istree_exp1_scaling_threads/step10203.txt"/>
    <x v="0"/>
    <n v="72"/>
    <s v="reclaimer_debra"/>
    <s v="allocator_new"/>
    <s v="pool_none"/>
    <n v="30000"/>
    <n v="5"/>
    <n v="5"/>
    <n v="0"/>
    <n v="1"/>
    <x v="2"/>
    <n v="96"/>
    <x v="2"/>
    <n v="96"/>
    <n v="0"/>
    <s v="insertIfAbsent"/>
    <n v="9999153777027350"/>
    <n v="99992560"/>
    <n v="9999153777027350"/>
    <n v="99992560"/>
    <s v="success"/>
    <n v="7"/>
    <n v="14901512"/>
    <n v="118178316"/>
    <n v="133079828"/>
    <n v="99992560"/>
    <n v="8.9306300000000007"/>
    <n v="0.84611599999999998"/>
    <n v="1.7513700000000001"/>
    <n v="4.0807599999999997"/>
    <n v="3087320752"/>
    <s v="4 39636 1653737 18779565 3202896"/>
    <s v="4 39627 1653709 18779545 3202893"/>
    <n v="33475"/>
    <n v="45900"/>
    <m/>
    <m/>
    <n v="2123797526"/>
    <n v="0"/>
    <n v="235955829"/>
    <n v="2123797526"/>
    <n v="2359753355"/>
    <n v="70793250"/>
    <n v="0"/>
    <n v="7865194"/>
    <n v="70793250"/>
    <n v="78658445"/>
    <n v="21.854199999999999"/>
    <n v="10.6357"/>
    <n v="3255.9"/>
    <n v="2411.44"/>
    <n v="13205"/>
    <n v="1188"/>
    <x v="10"/>
  </r>
  <r>
    <s v="istree_exp1_scaling_threads/step10204.txt"/>
    <x v="0"/>
    <n v="72"/>
    <s v="reclaimer_debra"/>
    <s v="allocator_new"/>
    <s v="pool_none"/>
    <n v="30000"/>
    <n v="5"/>
    <n v="5"/>
    <n v="0"/>
    <n v="1"/>
    <x v="2"/>
    <n v="144"/>
    <x v="3"/>
    <n v="144"/>
    <n v="0"/>
    <s v="insertIfAbsent"/>
    <n v="9999099897241210"/>
    <n v="99990365"/>
    <n v="9999099897241210"/>
    <n v="99990365"/>
    <s v="success"/>
    <n v="7"/>
    <n v="14798778"/>
    <n v="117951163"/>
    <n v="132749941"/>
    <n v="99990365"/>
    <n v="8.9703300000000006"/>
    <n v="0.84772700000000001"/>
    <n v="1.75322"/>
    <n v="4.0780099999999999"/>
    <n v="3075366416"/>
    <s v="8 59987 2221796 26528029 4555852"/>
    <s v="6 59986 2221716 26527970 4555848"/>
    <n v="76261"/>
    <n v="26960"/>
    <m/>
    <m/>
    <n v="3047402606"/>
    <n v="0"/>
    <n v="338564493"/>
    <n v="3047402606"/>
    <n v="3385967099"/>
    <n v="101580086"/>
    <n v="0"/>
    <n v="11285483"/>
    <n v="101580086"/>
    <n v="112865569"/>
    <n v="22.062899999999999"/>
    <n v="11.013400000000001"/>
    <n v="3343.39"/>
    <n v="2472.44"/>
    <n v="14070"/>
    <n v="1011"/>
    <x v="10"/>
  </r>
  <r>
    <s v="istree_exp1_scaling_threads/step10205.txt"/>
    <x v="0"/>
    <n v="72"/>
    <s v="reclaimer_debra"/>
    <s v="allocator_new"/>
    <s v="pool_none"/>
    <n v="30000"/>
    <n v="5"/>
    <n v="5"/>
    <n v="0"/>
    <n v="1"/>
    <x v="2"/>
    <n v="190"/>
    <x v="4"/>
    <n v="190"/>
    <n v="0"/>
    <s v="insertIfAbsent"/>
    <n v="9999595319245490"/>
    <n v="99995165"/>
    <n v="9999595319245490"/>
    <n v="99995165"/>
    <s v="success"/>
    <n v="7"/>
    <n v="14801579"/>
    <n v="117915565"/>
    <n v="132717144"/>
    <n v="99995165"/>
    <n v="8.9664199999999994"/>
    <n v="0.84802299999999997"/>
    <n v="1.75345"/>
    <n v="4.0791399999999998"/>
    <n v="3074540096"/>
    <s v="11 79985 2757268 32645570 5684745"/>
    <s v="8 79983 2757143 32645487 5684740"/>
    <n v="131705"/>
    <n v="18876"/>
    <m/>
    <m/>
    <n v="3837818492"/>
    <n v="0"/>
    <n v="426389039"/>
    <n v="3837818492"/>
    <n v="4264207531"/>
    <n v="127927283"/>
    <n v="0"/>
    <n v="14212967"/>
    <n v="127927283"/>
    <n v="142140251"/>
    <n v="22.206700000000001"/>
    <n v="11.2858"/>
    <n v="3443.01"/>
    <n v="2567.33"/>
    <n v="14260"/>
    <n v="1186"/>
    <x v="10"/>
  </r>
  <r>
    <s v="istree_exp1_scaling_threads/step10206.txt"/>
    <x v="1"/>
    <n v="208"/>
    <s v="reclaimer_debra"/>
    <s v="allocator_new"/>
    <s v="pool_none"/>
    <n v="30000"/>
    <n v="5"/>
    <n v="5"/>
    <n v="0"/>
    <n v="1"/>
    <x v="2"/>
    <n v="24"/>
    <x v="0"/>
    <n v="24"/>
    <n v="0"/>
    <s v="insertIfAbsent"/>
    <n v="1.00003536904308E+16"/>
    <n v="99998906"/>
    <n v="1.00003536904308E+16"/>
    <n v="99998906"/>
    <s v="success"/>
    <n v="10"/>
    <n v="2017122"/>
    <n v="13880330"/>
    <n v="15897452"/>
    <n v="99998906"/>
    <n v="7.8812499999999996"/>
    <n v="7.2043600000000003"/>
    <n v="7.2902500000000003"/>
    <n v="9"/>
    <n v="3306670016"/>
    <m/>
    <m/>
    <m/>
    <s v="53130 267854"/>
    <m/>
    <m/>
    <n v="521009726"/>
    <n v="0"/>
    <n v="57878877"/>
    <n v="521009726"/>
    <n v="578888603"/>
    <n v="17366990"/>
    <n v="0"/>
    <n v="1929295"/>
    <n v="17366990"/>
    <n v="19296286"/>
    <n v="24.400700000000001"/>
    <n v="10.0108"/>
    <n v="3467.51"/>
    <n v="2367.4299999999998"/>
    <n v="4581"/>
    <n v="9650"/>
    <x v="10"/>
  </r>
  <r>
    <s v="istree_exp1_scaling_threads/step10207.txt"/>
    <x v="1"/>
    <n v="208"/>
    <s v="reclaimer_debra"/>
    <s v="allocator_new"/>
    <s v="pool_none"/>
    <n v="30000"/>
    <n v="5"/>
    <n v="5"/>
    <n v="0"/>
    <n v="1"/>
    <x v="2"/>
    <n v="48"/>
    <x v="1"/>
    <n v="48"/>
    <n v="0"/>
    <s v="insertIfAbsent"/>
    <n v="1.00001273278885E+16"/>
    <n v="100007973"/>
    <n v="1.00001273278885E+16"/>
    <n v="100007973"/>
    <s v="success"/>
    <n v="10"/>
    <n v="2102714"/>
    <n v="14463502"/>
    <n v="16566216"/>
    <n v="100007973"/>
    <n v="7.8784900000000002"/>
    <n v="6.9145099999999999"/>
    <n v="7.0368599999999999"/>
    <n v="9"/>
    <n v="3445772928"/>
    <m/>
    <m/>
    <m/>
    <s v="13172 111952"/>
    <m/>
    <m/>
    <n v="976160777"/>
    <n v="0"/>
    <n v="108456583"/>
    <n v="976160777"/>
    <n v="1084617360"/>
    <n v="32538692"/>
    <n v="0"/>
    <n v="3615219"/>
    <n v="32538692"/>
    <n v="36153912"/>
    <n v="24.234999999999999"/>
    <n v="9.9641900000000003"/>
    <n v="3700.58"/>
    <n v="2782.91"/>
    <n v="4814"/>
    <n v="6545"/>
    <x v="10"/>
  </r>
  <r>
    <s v="istree_exp1_scaling_threads/step10208.txt"/>
    <x v="1"/>
    <n v="208"/>
    <s v="reclaimer_debra"/>
    <s v="allocator_new"/>
    <s v="pool_none"/>
    <n v="30000"/>
    <n v="5"/>
    <n v="5"/>
    <n v="0"/>
    <n v="1"/>
    <x v="2"/>
    <n v="96"/>
    <x v="2"/>
    <n v="96"/>
    <n v="0"/>
    <s v="insertIfAbsent"/>
    <n v="9998367316474880"/>
    <n v="99984214"/>
    <n v="9998367316474880"/>
    <n v="99984214"/>
    <s v="success"/>
    <n v="10"/>
    <n v="2239383"/>
    <n v="15401619"/>
    <n v="17641002"/>
    <n v="99984214"/>
    <n v="7.8776200000000003"/>
    <n v="6.4917999999999996"/>
    <n v="6.6677200000000001"/>
    <n v="9"/>
    <n v="3669328416"/>
    <m/>
    <m/>
    <m/>
    <s v="6720 56926"/>
    <m/>
    <m/>
    <n v="2021590443"/>
    <n v="0"/>
    <n v="224644307"/>
    <n v="2021590443"/>
    <n v="2246234750"/>
    <n v="67386348"/>
    <n v="0"/>
    <n v="7488143"/>
    <n v="67386348"/>
    <n v="74874491"/>
    <n v="24.433700000000002"/>
    <n v="10.4085"/>
    <n v="3569.51"/>
    <n v="2607.44"/>
    <n v="5238"/>
    <n v="6287"/>
    <x v="10"/>
  </r>
  <r>
    <s v="istree_exp1_scaling_threads/step10209.txt"/>
    <x v="1"/>
    <n v="208"/>
    <s v="reclaimer_debra"/>
    <s v="allocator_new"/>
    <s v="pool_none"/>
    <n v="30000"/>
    <n v="5"/>
    <n v="5"/>
    <n v="0"/>
    <n v="1"/>
    <x v="2"/>
    <n v="144"/>
    <x v="3"/>
    <n v="144"/>
    <n v="0"/>
    <s v="insertIfAbsent"/>
    <n v="1.00007583042852E+16"/>
    <n v="100006493"/>
    <n v="1.00007583042852E+16"/>
    <n v="100006493"/>
    <s v="success"/>
    <n v="10"/>
    <n v="2329476"/>
    <n v="16018821"/>
    <n v="18348297"/>
    <n v="100006493"/>
    <n v="7.8765799999999997"/>
    <n v="6.2430599999999998"/>
    <n v="6.45045"/>
    <n v="9"/>
    <n v="3816445776"/>
    <m/>
    <m/>
    <m/>
    <s v="3630 37026"/>
    <m/>
    <m/>
    <n v="2991647645"/>
    <n v="0"/>
    <n v="332402472"/>
    <n v="2991647645"/>
    <n v="3324050117"/>
    <n v="99721588"/>
    <n v="0"/>
    <n v="11080082"/>
    <n v="99721588"/>
    <n v="110801670"/>
    <n v="24.621700000000001"/>
    <n v="10.706899999999999"/>
    <n v="3609.85"/>
    <n v="2631.76"/>
    <n v="5470"/>
    <n v="5733"/>
    <x v="10"/>
  </r>
  <r>
    <s v="istree_exp1_scaling_threads/step10210.txt"/>
    <x v="1"/>
    <n v="208"/>
    <s v="reclaimer_debra"/>
    <s v="allocator_new"/>
    <s v="pool_none"/>
    <n v="30000"/>
    <n v="5"/>
    <n v="5"/>
    <n v="0"/>
    <n v="1"/>
    <x v="2"/>
    <n v="190"/>
    <x v="4"/>
    <n v="190"/>
    <n v="0"/>
    <s v="insertIfAbsent"/>
    <n v="9999211888735500"/>
    <n v="100003101"/>
    <n v="9999211888735500"/>
    <n v="100003101"/>
    <s v="success"/>
    <n v="10"/>
    <n v="2395325"/>
    <n v="16463251"/>
    <n v="18858576"/>
    <n v="100003101"/>
    <n v="7.8730799999999999"/>
    <n v="6.0743200000000002"/>
    <n v="6.3027899999999999"/>
    <n v="9"/>
    <n v="3922583808"/>
    <m/>
    <m/>
    <m/>
    <s v="2976 28314"/>
    <m/>
    <m/>
    <n v="3870715645"/>
    <n v="0"/>
    <n v="430087311"/>
    <n v="3870715645"/>
    <n v="4300802956"/>
    <n v="129023854"/>
    <n v="0"/>
    <n v="14336243"/>
    <n v="129023854"/>
    <n v="143360098"/>
    <n v="24.794899999999998"/>
    <n v="11.072800000000001"/>
    <n v="3685.94"/>
    <n v="2699.68"/>
    <n v="6294"/>
    <n v="6072"/>
    <x v="10"/>
  </r>
  <r>
    <s v="istree_exp1_scaling_threads/step10211.txt"/>
    <x v="2"/>
    <m/>
    <s v="reclaimer_debra"/>
    <s v="allocator_new"/>
    <s v="pool_none"/>
    <n v="30000"/>
    <n v="5"/>
    <n v="5"/>
    <n v="0"/>
    <n v="1"/>
    <x v="2"/>
    <n v="24"/>
    <x v="0"/>
    <n v="24"/>
    <n v="0"/>
    <s v="insertIfAbsent"/>
    <n v="1.00003724520667E+16"/>
    <n v="100000150"/>
    <n v="1.00003724520667E+16"/>
    <n v="100000150"/>
    <s v="success"/>
    <n v="33"/>
    <n v="58521800"/>
    <n v="43999079"/>
    <n v="102520879"/>
    <n v="100000150"/>
    <n v="1.7518400000000001"/>
    <n v="2.27278"/>
    <n v="1.9754100000000001"/>
    <n v="26.1494"/>
    <n v="5741169224"/>
    <m/>
    <m/>
    <m/>
    <s v="50088 144246"/>
    <m/>
    <m/>
    <n v="226973358"/>
    <n v="0"/>
    <n v="25218697"/>
    <n v="226973358"/>
    <n v="252192055"/>
    <n v="7565778"/>
    <n v="0"/>
    <n v="840623"/>
    <n v="7565778"/>
    <n v="8406401"/>
    <n v="40.316000000000003"/>
    <n v="17.817599999999999"/>
    <n v="7962.45"/>
    <n v="6526.29"/>
    <n v="7689"/>
    <n v="17233"/>
    <x v="10"/>
  </r>
  <r>
    <s v="istree_exp1_scaling_threads/step10212.txt"/>
    <x v="2"/>
    <m/>
    <s v="reclaimer_debra"/>
    <s v="allocator_new"/>
    <s v="pool_none"/>
    <n v="30000"/>
    <n v="5"/>
    <n v="5"/>
    <n v="0"/>
    <n v="1"/>
    <x v="2"/>
    <n v="48"/>
    <x v="1"/>
    <n v="48"/>
    <n v="0"/>
    <s v="insertIfAbsent"/>
    <n v="9999416895310380"/>
    <n v="99995542"/>
    <n v="9999416895310380"/>
    <n v="99995542"/>
    <s v="success"/>
    <n v="33"/>
    <n v="59615868"/>
    <n v="44897333"/>
    <n v="104513201"/>
    <n v="99995542"/>
    <n v="1.7531099999999999"/>
    <n v="2.2271999999999998"/>
    <n v="1.9567699999999999"/>
    <n v="26.175599999999999"/>
    <n v="5852739256"/>
    <m/>
    <m/>
    <m/>
    <s v="12718 56036"/>
    <m/>
    <m/>
    <n v="432908838"/>
    <n v="0"/>
    <n v="48096738"/>
    <n v="432908838"/>
    <n v="481005576"/>
    <n v="14430294"/>
    <n v="0"/>
    <n v="1603224"/>
    <n v="14430294"/>
    <n v="16033519"/>
    <n v="40.959099999999999"/>
    <n v="17.905200000000001"/>
    <n v="8347.5499999999993"/>
    <n v="6886.93"/>
    <n v="7826"/>
    <n v="9212"/>
    <x v="10"/>
  </r>
  <r>
    <s v="istree_exp1_scaling_threads/step10213.txt"/>
    <x v="2"/>
    <m/>
    <s v="reclaimer_debra"/>
    <s v="allocator_new"/>
    <s v="pool_none"/>
    <n v="30000"/>
    <n v="5"/>
    <n v="5"/>
    <n v="0"/>
    <n v="1"/>
    <x v="2"/>
    <n v="96"/>
    <x v="2"/>
    <n v="96"/>
    <n v="0"/>
    <s v="insertIfAbsent"/>
    <n v="1.00005332548474E+16"/>
    <n v="100007076"/>
    <n v="1.00005332548474E+16"/>
    <n v="100007076"/>
    <s v="success"/>
    <n v="33"/>
    <n v="61772667"/>
    <n v="46629576"/>
    <n v="108402243"/>
    <n v="100007076"/>
    <n v="1.7548600000000001"/>
    <n v="2.1447099999999999"/>
    <n v="1.92256"/>
    <n v="26.3065"/>
    <n v="6070525608"/>
    <m/>
    <m/>
    <m/>
    <s v="2968 26128"/>
    <m/>
    <m/>
    <n v="919798161"/>
    <n v="0"/>
    <n v="102205041"/>
    <n v="919798161"/>
    <n v="1022003202"/>
    <n v="30659938"/>
    <n v="0"/>
    <n v="3406834"/>
    <n v="30659938"/>
    <n v="34066773"/>
    <n v="41.578899999999997"/>
    <n v="19.620999999999999"/>
    <n v="7848.8"/>
    <n v="6372.69"/>
    <n v="8091"/>
    <n v="4730"/>
    <x v="10"/>
  </r>
  <r>
    <s v="istree_exp1_scaling_threads/step10214.txt"/>
    <x v="2"/>
    <m/>
    <s v="reclaimer_debra"/>
    <s v="allocator_new"/>
    <s v="pool_none"/>
    <n v="30000"/>
    <n v="5"/>
    <n v="5"/>
    <n v="0"/>
    <n v="1"/>
    <x v="2"/>
    <n v="144"/>
    <x v="3"/>
    <n v="144"/>
    <n v="0"/>
    <s v="insertIfAbsent"/>
    <n v="9998346007755030"/>
    <n v="99984554"/>
    <n v="9998346007755030"/>
    <n v="99984554"/>
    <s v="success"/>
    <n v="33"/>
    <n v="63356147"/>
    <n v="47884898"/>
    <n v="111241045"/>
    <n v="99984554"/>
    <n v="1.7558100000000001"/>
    <n v="2.0880200000000002"/>
    <n v="1.8988100000000001"/>
    <n v="26.382899999999999"/>
    <n v="6229498520"/>
    <m/>
    <m/>
    <m/>
    <s v="1146 16630"/>
    <m/>
    <m/>
    <n v="1387895710"/>
    <n v="0"/>
    <n v="154206479"/>
    <n v="1387895710"/>
    <n v="1542102189"/>
    <n v="46263190"/>
    <n v="0"/>
    <n v="5140215"/>
    <n v="46263190"/>
    <n v="51403406"/>
    <n v="41.741900000000001"/>
    <n v="19.972300000000001"/>
    <n v="7800.51"/>
    <n v="6316.53"/>
    <n v="8288"/>
    <n v="3102"/>
    <x v="10"/>
  </r>
  <r>
    <s v="istree_exp1_scaling_threads/step10215.txt"/>
    <x v="2"/>
    <m/>
    <s v="reclaimer_debra"/>
    <s v="allocator_new"/>
    <s v="pool_none"/>
    <n v="30000"/>
    <n v="5"/>
    <n v="5"/>
    <n v="0"/>
    <n v="1"/>
    <x v="2"/>
    <n v="190"/>
    <x v="4"/>
    <n v="190"/>
    <n v="0"/>
    <s v="insertIfAbsent"/>
    <n v="9999416417588030"/>
    <n v="100000866"/>
    <n v="9999416417588030"/>
    <n v="100000866"/>
    <s v="success"/>
    <n v="33"/>
    <n v="64457765"/>
    <n v="48753719"/>
    <n v="113211484"/>
    <n v="100000866"/>
    <n v="1.75637"/>
    <n v="2.0511400000000002"/>
    <n v="1.88331"/>
    <n v="26.432099999999998"/>
    <n v="6339843104"/>
    <m/>
    <m/>
    <m/>
    <s v="772 12620"/>
    <m/>
    <m/>
    <n v="1818581700"/>
    <n v="0"/>
    <n v="202077697"/>
    <n v="1818581700"/>
    <n v="2020659397"/>
    <n v="60619390"/>
    <n v="0"/>
    <n v="6735923"/>
    <n v="60619390"/>
    <n v="67355313"/>
    <n v="42.603400000000001"/>
    <n v="20.189599999999999"/>
    <n v="7853.04"/>
    <n v="6286.37"/>
    <n v="8431"/>
    <n v="2769"/>
    <x v="10"/>
  </r>
  <r>
    <s v="istree_exp1_scaling_threads/step10216.txt"/>
    <x v="3"/>
    <m/>
    <s v="reclaimer_debra"/>
    <s v="allocator_new"/>
    <s v="pool_none"/>
    <n v="30000"/>
    <n v="5"/>
    <n v="5"/>
    <n v="0"/>
    <n v="1"/>
    <x v="2"/>
    <n v="24"/>
    <x v="0"/>
    <n v="24"/>
    <n v="0"/>
    <s v="insertIfAbsent"/>
    <n v="1.00001968064919E+16"/>
    <n v="100002577"/>
    <n v="1.00001968064919E+16"/>
    <n v="100002577"/>
    <s v="success"/>
    <n v="70"/>
    <n v="100002576"/>
    <n v="100002577"/>
    <n v="200005153"/>
    <n v="100002577"/>
    <n v="2"/>
    <n v="1"/>
    <n v="1.5"/>
    <n v="36.167499999999997"/>
    <n v="6400164896"/>
    <m/>
    <m/>
    <m/>
    <s v="52040 126996"/>
    <m/>
    <m/>
    <n v="182699814"/>
    <n v="0"/>
    <n v="20290922"/>
    <n v="182699814"/>
    <n v="202990736"/>
    <n v="6089993"/>
    <n v="0"/>
    <n v="676364"/>
    <n v="6089993"/>
    <n v="6766357"/>
    <n v="38.039099999999998"/>
    <n v="17.1633"/>
    <n v="9894.77"/>
    <n v="8239.31"/>
    <n v="7531"/>
    <n v="19020"/>
    <x v="10"/>
  </r>
  <r>
    <s v="istree_exp1_scaling_threads/step10217.txt"/>
    <x v="3"/>
    <m/>
    <s v="reclaimer_debra"/>
    <s v="allocator_new"/>
    <s v="pool_none"/>
    <n v="30000"/>
    <n v="5"/>
    <n v="5"/>
    <n v="0"/>
    <n v="1"/>
    <x v="2"/>
    <n v="48"/>
    <x v="1"/>
    <n v="48"/>
    <n v="0"/>
    <s v="insertIfAbsent"/>
    <n v="1.00000998559798E+16"/>
    <n v="99999574"/>
    <n v="1.00000998559798E+16"/>
    <n v="99999574"/>
    <s v="success"/>
    <n v="67"/>
    <n v="99999573"/>
    <n v="99999574"/>
    <n v="199999147"/>
    <n v="99999574"/>
    <n v="2"/>
    <n v="1"/>
    <n v="1.5"/>
    <n v="35.409500000000001"/>
    <n v="6399972704"/>
    <m/>
    <m/>
    <m/>
    <s v="12748 48626"/>
    <m/>
    <m/>
    <n v="356088945"/>
    <n v="0"/>
    <n v="39553182"/>
    <n v="356088945"/>
    <n v="395642127"/>
    <n v="11869631"/>
    <n v="0"/>
    <n v="1318439"/>
    <n v="11869631"/>
    <n v="13188070"/>
    <n v="37.805999999999997"/>
    <n v="17.083100000000002"/>
    <n v="10152"/>
    <n v="9029.99"/>
    <n v="7544"/>
    <n v="9965"/>
    <x v="10"/>
  </r>
  <r>
    <s v="istree_exp1_scaling_threads/step10218.txt"/>
    <x v="3"/>
    <m/>
    <s v="reclaimer_debra"/>
    <s v="allocator_new"/>
    <s v="pool_none"/>
    <n v="30000"/>
    <n v="5"/>
    <n v="5"/>
    <n v="0"/>
    <n v="1"/>
    <x v="2"/>
    <n v="96"/>
    <x v="2"/>
    <n v="96"/>
    <n v="0"/>
    <s v="insertIfAbsent"/>
    <n v="1.00007057544285E+16"/>
    <n v="100005607"/>
    <n v="1.00007057544285E+16"/>
    <n v="100005607"/>
    <s v="success"/>
    <n v="73"/>
    <n v="100005606"/>
    <n v="100005607"/>
    <n v="200011213"/>
    <n v="100005607"/>
    <n v="2"/>
    <n v="1"/>
    <n v="1.5"/>
    <n v="36.8489"/>
    <n v="6400358816"/>
    <m/>
    <m/>
    <m/>
    <s v="2928 22574"/>
    <m/>
    <m/>
    <n v="773397588"/>
    <n v="0"/>
    <n v="85939313"/>
    <n v="773397588"/>
    <n v="859336901"/>
    <n v="25779919"/>
    <n v="0"/>
    <n v="2864643"/>
    <n v="25779919"/>
    <n v="28644563"/>
    <n v="38.545000000000002"/>
    <n v="19.008400000000002"/>
    <n v="9337.11"/>
    <n v="8153.22"/>
    <n v="7573"/>
    <n v="4777"/>
    <x v="10"/>
  </r>
  <r>
    <s v="istree_exp1_scaling_threads/step10219.txt"/>
    <x v="3"/>
    <m/>
    <s v="reclaimer_debra"/>
    <s v="allocator_new"/>
    <s v="pool_none"/>
    <n v="30000"/>
    <n v="5"/>
    <n v="5"/>
    <n v="0"/>
    <n v="1"/>
    <x v="2"/>
    <n v="144"/>
    <x v="3"/>
    <n v="144"/>
    <n v="0"/>
    <s v="insertIfAbsent"/>
    <n v="1.00019838047059E+16"/>
    <n v="100009846"/>
    <n v="1.00019838047059E+16"/>
    <n v="100009846"/>
    <s v="success"/>
    <n v="75"/>
    <n v="100009845"/>
    <n v="100009846"/>
    <n v="200019691"/>
    <n v="100009846"/>
    <n v="2"/>
    <n v="1"/>
    <n v="1.5"/>
    <n v="37.218400000000003"/>
    <n v="6400630112"/>
    <m/>
    <m/>
    <m/>
    <s v="1392 14342"/>
    <m/>
    <m/>
    <n v="1174039366"/>
    <n v="0"/>
    <n v="130461346"/>
    <n v="1174039366"/>
    <n v="1304500712"/>
    <n v="39134645"/>
    <n v="0"/>
    <n v="4348711"/>
    <n v="39134645"/>
    <n v="43483357"/>
    <n v="38.920200000000001"/>
    <n v="19.389299999999999"/>
    <n v="9224.67"/>
    <n v="8045.91"/>
    <n v="7609"/>
    <n v="3157"/>
    <x v="10"/>
  </r>
  <r>
    <s v="istree_exp1_scaling_threads/step10220.txt"/>
    <x v="3"/>
    <m/>
    <s v="reclaimer_debra"/>
    <s v="allocator_new"/>
    <s v="pool_none"/>
    <n v="30000"/>
    <n v="5"/>
    <n v="5"/>
    <n v="0"/>
    <n v="1"/>
    <x v="2"/>
    <n v="190"/>
    <x v="4"/>
    <n v="190"/>
    <n v="0"/>
    <s v="insertIfAbsent"/>
    <n v="1.00004481639388E+16"/>
    <n v="100007158"/>
    <n v="1.00004481639388E+16"/>
    <n v="100007158"/>
    <s v="success"/>
    <n v="73"/>
    <n v="100007157"/>
    <n v="100007158"/>
    <n v="200014315"/>
    <n v="100007158"/>
    <n v="2"/>
    <n v="1"/>
    <n v="1.5"/>
    <n v="36.597499999999997"/>
    <n v="6400458080"/>
    <m/>
    <m/>
    <m/>
    <s v="734 10812"/>
    <m/>
    <m/>
    <n v="1562054180"/>
    <n v="0"/>
    <n v="173549738"/>
    <n v="1562054180"/>
    <n v="1735603918"/>
    <n v="52068472"/>
    <n v="0"/>
    <n v="5784991"/>
    <n v="52068472"/>
    <n v="57853463"/>
    <n v="38.922199999999997"/>
    <n v="19.6389"/>
    <n v="9146.34"/>
    <n v="7958.99"/>
    <n v="7656"/>
    <n v="2896"/>
    <x v="10"/>
  </r>
  <r>
    <s v="istree_exp1_scaling_threads/step10221.txt"/>
    <x v="0"/>
    <n v="72"/>
    <s v="reclaimer_debra"/>
    <s v="allocator_new"/>
    <s v="pool_none"/>
    <n v="30000"/>
    <n v="5"/>
    <n v="5"/>
    <n v="0"/>
    <n v="1"/>
    <x v="3"/>
    <n v="24"/>
    <x v="0"/>
    <n v="24"/>
    <n v="0"/>
    <s v="insertIfAbsent"/>
    <n v="9.9997553769202995E+17"/>
    <n v="999990229"/>
    <n v="9.9997553769202995E+17"/>
    <n v="999990229"/>
    <s v="success"/>
    <n v="7"/>
    <n v="97080830"/>
    <n v="1104217412"/>
    <n v="1201298242"/>
    <n v="999990229"/>
    <n v="12.3742"/>
    <n v="0.90561000000000003"/>
    <n v="1.8324199999999999"/>
    <n v="4.02569"/>
    <n v="25438848192"/>
    <s v="0 0 0 145208 318678"/>
    <s v="0 0 0 145208 318678"/>
    <m/>
    <n v="196800"/>
    <m/>
    <m/>
    <n v="479744200"/>
    <n v="0"/>
    <n v="53308671"/>
    <n v="479744200"/>
    <n v="533052871"/>
    <n v="15991473"/>
    <n v="0"/>
    <n v="1776955"/>
    <n v="15991473"/>
    <n v="17768429"/>
    <n v="22.7911"/>
    <n v="13.4095"/>
    <n v="3757.73"/>
    <n v="3011.66"/>
    <n v="60553"/>
    <n v="16280"/>
    <x v="11"/>
  </r>
  <r>
    <s v="istree_exp1_scaling_threads/step10222.txt"/>
    <x v="0"/>
    <n v="72"/>
    <s v="reclaimer_debra"/>
    <s v="allocator_new"/>
    <s v="pool_none"/>
    <n v="30000"/>
    <n v="5"/>
    <n v="5"/>
    <n v="0"/>
    <n v="1"/>
    <x v="3"/>
    <n v="48"/>
    <x v="1"/>
    <n v="48"/>
    <n v="0"/>
    <s v="insertIfAbsent"/>
    <n v="9.9998527835671795E+17"/>
    <n v="999982313"/>
    <n v="9.9998527835671795E+17"/>
    <n v="999982313"/>
    <s v="success"/>
    <n v="7"/>
    <n v="105818230"/>
    <n v="1122097191"/>
    <n v="1227915421"/>
    <n v="999982313"/>
    <n v="11.603999999999999"/>
    <n v="0.89117299999999999"/>
    <n v="1.81437"/>
    <n v="4.0439699999999998"/>
    <n v="26432698000"/>
    <s v="0 0 0 797441 944752"/>
    <s v="0 0 0 797441 944752"/>
    <m/>
    <n v="87200"/>
    <m/>
    <m/>
    <n v="865690390"/>
    <n v="0"/>
    <n v="96186038"/>
    <n v="865690390"/>
    <n v="961876428"/>
    <n v="28856346"/>
    <n v="0"/>
    <n v="3206201"/>
    <n v="28856346"/>
    <n v="32062547"/>
    <n v="22.8384"/>
    <n v="13.5182"/>
    <n v="4162.97"/>
    <n v="3470.46"/>
    <n v="61723"/>
    <n v="11509"/>
    <x v="11"/>
  </r>
  <r>
    <s v="istree_exp1_scaling_threads/step10223.txt"/>
    <x v="0"/>
    <n v="72"/>
    <s v="reclaimer_debra"/>
    <s v="allocator_new"/>
    <s v="pool_none"/>
    <n v="30000"/>
    <n v="5"/>
    <n v="5"/>
    <n v="0"/>
    <n v="1"/>
    <x v="3"/>
    <n v="96"/>
    <x v="2"/>
    <n v="96"/>
    <n v="0"/>
    <s v="insertIfAbsent"/>
    <n v="1.00001903929845E+18"/>
    <n v="1000018758"/>
    <n v="1.00001903929845E+18"/>
    <n v="1000018758"/>
    <s v="success"/>
    <n v="7"/>
    <n v="121184941"/>
    <n v="1154593245"/>
    <n v="1275778186"/>
    <n v="1000018758"/>
    <n v="10.5275"/>
    <n v="0.86612199999999995"/>
    <n v="1.7838499999999999"/>
    <n v="4.0771499999999996"/>
    <n v="28209159888"/>
    <s v="0 0 0 6154682 3337144"/>
    <s v="0 0 0 6154680 3337144"/>
    <m/>
    <n v="46490"/>
    <m/>
    <m/>
    <n v="1863199668"/>
    <n v="0"/>
    <n v="207005798"/>
    <n v="1863199668"/>
    <n v="2070205466"/>
    <n v="62106655"/>
    <n v="0"/>
    <n v="6900193"/>
    <n v="62106655"/>
    <n v="69006848"/>
    <n v="23.1496"/>
    <n v="14.316599999999999"/>
    <n v="3866.9"/>
    <n v="3123.87"/>
    <n v="64252"/>
    <n v="9694"/>
    <x v="11"/>
  </r>
  <r>
    <s v="istree_exp1_scaling_threads/step10224.txt"/>
    <x v="0"/>
    <n v="72"/>
    <s v="reclaimer_debra"/>
    <s v="allocator_new"/>
    <s v="pool_none"/>
    <n v="30000"/>
    <n v="5"/>
    <n v="5"/>
    <n v="0"/>
    <n v="1"/>
    <x v="3"/>
    <n v="144"/>
    <x v="3"/>
    <n v="144"/>
    <n v="0"/>
    <s v="insertIfAbsent"/>
    <n v="1.00000769448091E+18"/>
    <n v="999993343"/>
    <n v="1.00000769448091E+18"/>
    <n v="999993343"/>
    <s v="success"/>
    <n v="7"/>
    <n v="127269625"/>
    <n v="1168383951"/>
    <n v="1295653576"/>
    <n v="999993343"/>
    <n v="10.180400000000001"/>
    <n v="0.855877"/>
    <n v="1.7718100000000001"/>
    <n v="4.0909000000000004"/>
    <n v="28934898880"/>
    <s v="0 0 8031 15008539 5688743"/>
    <s v="0 0 8031 15008536 5688742"/>
    <m/>
    <n v="30240"/>
    <m/>
    <m/>
    <n v="2736872564"/>
    <n v="0"/>
    <n v="304091793"/>
    <n v="2736872564"/>
    <n v="3040964357"/>
    <n v="91229085"/>
    <n v="0"/>
    <n v="10136393"/>
    <n v="91229085"/>
    <n v="101365478"/>
    <n v="23.3094"/>
    <n v="14.681800000000001"/>
    <n v="3948.12"/>
    <n v="3196.61"/>
    <n v="66100"/>
    <n v="8970"/>
    <x v="11"/>
  </r>
  <r>
    <s v="istree_exp1_scaling_threads/step10225.txt"/>
    <x v="0"/>
    <n v="72"/>
    <s v="reclaimer_debra"/>
    <s v="allocator_new"/>
    <s v="pool_none"/>
    <n v="30000"/>
    <n v="5"/>
    <n v="5"/>
    <n v="0"/>
    <n v="1"/>
    <x v="3"/>
    <n v="190"/>
    <x v="4"/>
    <n v="190"/>
    <n v="0"/>
    <s v="insertIfAbsent"/>
    <n v="9.9999832325172595E+17"/>
    <n v="1000003808"/>
    <n v="9.9999832325172595E+17"/>
    <n v="1000003808"/>
    <s v="success"/>
    <n v="7"/>
    <n v="127089653"/>
    <n v="1168939517"/>
    <n v="1296029170"/>
    <n v="1000003808"/>
    <n v="10.197800000000001"/>
    <n v="0.85548000000000002"/>
    <n v="1.77159"/>
    <n v="4.0910299999999999"/>
    <n v="28935424176"/>
    <s v="0 0 312395 24396319 7618553"/>
    <s v="0 0 312395 24396311 7618553"/>
    <n v="17"/>
    <n v="22858"/>
    <m/>
    <m/>
    <n v="3486920795"/>
    <n v="0"/>
    <n v="387476181"/>
    <n v="3486920795"/>
    <n v="3874396976"/>
    <n v="116230693"/>
    <n v="0"/>
    <n v="12915872"/>
    <n v="116230693"/>
    <n v="129146565"/>
    <n v="23.577400000000001"/>
    <n v="14.9384"/>
    <n v="4088.62"/>
    <n v="3319.01"/>
    <n v="67103"/>
    <n v="8938"/>
    <x v="11"/>
  </r>
  <r>
    <s v="istree_exp1_scaling_threads/step10226.txt"/>
    <x v="1"/>
    <n v="208"/>
    <s v="reclaimer_debra"/>
    <s v="allocator_new"/>
    <s v="pool_none"/>
    <n v="30000"/>
    <n v="5"/>
    <n v="5"/>
    <n v="0"/>
    <n v="1"/>
    <x v="3"/>
    <n v="24"/>
    <x v="0"/>
    <n v="24"/>
    <n v="0"/>
    <s v="insertIfAbsent"/>
    <n v="9.9999636234092006E+17"/>
    <n v="1000003065"/>
    <n v="9.9999636234092006E+17"/>
    <n v="1000003065"/>
    <s v="success"/>
    <n v="12"/>
    <n v="18685941"/>
    <n v="128579067"/>
    <n v="147265008"/>
    <n v="1000003065"/>
    <n v="7.8810599999999997"/>
    <n v="7.7773399999999997"/>
    <n v="7.7904999999999998"/>
    <n v="11"/>
    <n v="30631121664"/>
    <m/>
    <m/>
    <m/>
    <s v="522842 646116"/>
    <m/>
    <m/>
    <n v="299530006"/>
    <n v="0"/>
    <n v="33286366"/>
    <n v="299530006"/>
    <n v="332816372"/>
    <n v="9984333"/>
    <n v="0"/>
    <n v="1109545"/>
    <n v="9984333"/>
    <n v="11093879"/>
    <n v="31.183800000000002"/>
    <n v="16.953800000000001"/>
    <n v="6031.96"/>
    <n v="4806.32"/>
    <n v="33502"/>
    <n v="154891"/>
    <x v="11"/>
  </r>
  <r>
    <s v="istree_exp1_scaling_threads/step10227.txt"/>
    <x v="1"/>
    <n v="208"/>
    <s v="reclaimer_debra"/>
    <s v="allocator_new"/>
    <s v="pool_none"/>
    <n v="30000"/>
    <n v="5"/>
    <n v="5"/>
    <n v="0"/>
    <n v="1"/>
    <x v="3"/>
    <n v="48"/>
    <x v="1"/>
    <n v="48"/>
    <n v="0"/>
    <s v="insertIfAbsent"/>
    <n v="1.0000026932190799E+18"/>
    <n v="999998485"/>
    <n v="1.0000026932190799E+18"/>
    <n v="999998485"/>
    <s v="success"/>
    <n v="12"/>
    <n v="18809104"/>
    <n v="129433278"/>
    <n v="148242382"/>
    <n v="999998485"/>
    <n v="7.8814200000000003"/>
    <n v="7.7259799999999998"/>
    <n v="7.7457000000000003"/>
    <n v="11"/>
    <n v="30834415456"/>
    <m/>
    <m/>
    <m/>
    <s v="130290 187878"/>
    <m/>
    <m/>
    <n v="571883402"/>
    <n v="0"/>
    <n v="63544571"/>
    <n v="571883402"/>
    <n v="635427973"/>
    <n v="19062780"/>
    <n v="0"/>
    <n v="2118152"/>
    <n v="19062780"/>
    <n v="21180932"/>
    <n v="30.767099999999999"/>
    <n v="16.7928"/>
    <n v="6317.17"/>
    <n v="5354.78"/>
    <n v="33821"/>
    <n v="94318"/>
    <x v="11"/>
  </r>
  <r>
    <s v="istree_exp1_scaling_threads/step10228.txt"/>
    <x v="1"/>
    <n v="208"/>
    <s v="reclaimer_debra"/>
    <s v="allocator_new"/>
    <s v="pool_none"/>
    <n v="30000"/>
    <n v="5"/>
    <n v="5"/>
    <n v="0"/>
    <n v="1"/>
    <x v="3"/>
    <n v="96"/>
    <x v="2"/>
    <n v="96"/>
    <n v="0"/>
    <s v="insertIfAbsent"/>
    <n v="9.9997882619250202E+17"/>
    <n v="1000001490"/>
    <n v="9.9997882619250202E+17"/>
    <n v="1000001490"/>
    <s v="success"/>
    <n v="12"/>
    <n v="19089982"/>
    <n v="131363387"/>
    <n v="150453369"/>
    <n v="1000001490"/>
    <n v="7.8812699999999998"/>
    <n v="7.6124799999999997"/>
    <n v="7.6465899999999998"/>
    <n v="11"/>
    <n v="31294300752"/>
    <m/>
    <m/>
    <m/>
    <s v="60144 92002"/>
    <m/>
    <m/>
    <n v="1277849792"/>
    <n v="0"/>
    <n v="141984545"/>
    <n v="1277849792"/>
    <n v="1419834337"/>
    <n v="42594993"/>
    <n v="0"/>
    <n v="4732818"/>
    <n v="42594993"/>
    <n v="47327811"/>
    <n v="31.165400000000002"/>
    <n v="17.876899999999999"/>
    <n v="5646.87"/>
    <n v="4627.1099999999997"/>
    <n v="34536"/>
    <n v="71398"/>
    <x v="11"/>
  </r>
  <r>
    <s v="istree_exp1_scaling_threads/step10229.txt"/>
    <x v="1"/>
    <n v="208"/>
    <s v="reclaimer_debra"/>
    <s v="allocator_new"/>
    <s v="pool_none"/>
    <n v="30000"/>
    <n v="5"/>
    <n v="5"/>
    <n v="0"/>
    <n v="1"/>
    <x v="3"/>
    <n v="144"/>
    <x v="3"/>
    <n v="144"/>
    <n v="0"/>
    <s v="insertIfAbsent"/>
    <n v="1.00001189562744E+18"/>
    <n v="1000005472"/>
    <n v="1.00001189562744E+18"/>
    <n v="1000005472"/>
    <s v="success"/>
    <n v="12"/>
    <n v="19312858"/>
    <n v="132892422"/>
    <n v="152205280"/>
    <n v="1000005472"/>
    <n v="7.88103"/>
    <n v="7.5249199999999998"/>
    <n v="7.5701099999999997"/>
    <n v="11"/>
    <n v="31658698240"/>
    <m/>
    <m/>
    <m/>
    <s v="37904 59014"/>
    <m/>
    <m/>
    <n v="1922996924"/>
    <n v="0"/>
    <n v="213671247"/>
    <n v="1922996924"/>
    <n v="2136668171"/>
    <n v="64099897"/>
    <n v="0"/>
    <n v="7122374"/>
    <n v="64099897"/>
    <n v="71222272"/>
    <n v="31.374700000000001"/>
    <n v="18.139099999999999"/>
    <n v="5625.83"/>
    <n v="4600.53"/>
    <n v="35207"/>
    <n v="65679"/>
    <x v="11"/>
  </r>
  <r>
    <s v="istree_exp1_scaling_threads/step10230.txt"/>
    <x v="1"/>
    <n v="208"/>
    <s v="reclaimer_debra"/>
    <s v="allocator_new"/>
    <s v="pool_none"/>
    <n v="30000"/>
    <n v="5"/>
    <n v="5"/>
    <n v="0"/>
    <n v="1"/>
    <x v="3"/>
    <n v="190"/>
    <x v="4"/>
    <n v="190"/>
    <n v="0"/>
    <s v="insertIfAbsent"/>
    <n v="9.9997587329971098E+17"/>
    <n v="999983595"/>
    <n v="9.9997587329971098E+17"/>
    <n v="999983595"/>
    <s v="success"/>
    <n v="12"/>
    <n v="19493973"/>
    <n v="134143199"/>
    <n v="153637172"/>
    <n v="999983595"/>
    <n v="7.8812699999999998"/>
    <n v="7.4546000000000001"/>
    <n v="7.5087299999999999"/>
    <n v="11"/>
    <n v="31956531776"/>
    <m/>
    <m/>
    <m/>
    <s v="26396 42640"/>
    <m/>
    <m/>
    <n v="2513865910"/>
    <n v="0"/>
    <n v="279316686"/>
    <n v="2513865910"/>
    <n v="2793182596"/>
    <n v="83795530"/>
    <n v="0"/>
    <n v="9310556"/>
    <n v="83795530"/>
    <n v="93106086"/>
    <n v="31.459099999999999"/>
    <n v="18.269200000000001"/>
    <n v="5676.41"/>
    <n v="4624.0600000000004"/>
    <n v="35974"/>
    <n v="61034"/>
    <x v="11"/>
  </r>
  <r>
    <s v="istree_exp1_scaling_threads/step10231.txt"/>
    <x v="2"/>
    <m/>
    <s v="reclaimer_debra"/>
    <s v="allocator_new"/>
    <s v="pool_none"/>
    <n v="30000"/>
    <n v="5"/>
    <n v="5"/>
    <n v="0"/>
    <n v="1"/>
    <x v="3"/>
    <n v="24"/>
    <x v="0"/>
    <n v="24"/>
    <n v="0"/>
    <s v="insertIfAbsent"/>
    <n v="1.00000054125515E+18"/>
    <n v="1000005665"/>
    <n v="1.00000054125515E+18"/>
    <n v="1000005665"/>
    <s v="success"/>
    <n v="37"/>
    <n v="572345507"/>
    <n v="429333634"/>
    <n v="1001679141"/>
    <n v="1000005665"/>
    <n v="1.75013"/>
    <n v="2.3292000000000002"/>
    <n v="1.9983299999999999"/>
    <n v="29.485099999999999"/>
    <n v="56094031896"/>
    <m/>
    <m/>
    <m/>
    <s v="507722 565604"/>
    <m/>
    <m/>
    <n v="141148491"/>
    <n v="0"/>
    <n v="15685657"/>
    <n v="141148491"/>
    <n v="156834148"/>
    <n v="4704949"/>
    <n v="0"/>
    <n v="522855"/>
    <n v="4704949"/>
    <n v="5227804"/>
    <n v="54.691200000000002"/>
    <n v="29.143699999999999"/>
    <n v="12804.8"/>
    <n v="11219.1"/>
    <n v="65753"/>
    <n v="273235"/>
    <x v="11"/>
  </r>
  <r>
    <s v="istree_exp1_scaling_threads/step10232.txt"/>
    <x v="2"/>
    <m/>
    <s v="reclaimer_debra"/>
    <s v="allocator_new"/>
    <s v="pool_none"/>
    <n v="30000"/>
    <n v="5"/>
    <n v="5"/>
    <n v="0"/>
    <n v="1"/>
    <x v="3"/>
    <n v="48"/>
    <x v="1"/>
    <n v="48"/>
    <n v="0"/>
    <s v="insertIfAbsent"/>
    <n v="9.9998467913271398E+17"/>
    <n v="999997500"/>
    <n v="9.9998467913271398E+17"/>
    <n v="999997500"/>
    <s v="success"/>
    <n v="37"/>
    <n v="573172172"/>
    <n v="430043409"/>
    <n v="1003215581"/>
    <n v="999997500"/>
    <n v="1.7502899999999999"/>
    <n v="2.3253400000000002"/>
    <n v="1.9967900000000001"/>
    <n v="29.454599999999999"/>
    <n v="56180072536"/>
    <m/>
    <m/>
    <m/>
    <s v="124748 152254"/>
    <m/>
    <m/>
    <n v="272645734"/>
    <n v="0"/>
    <n v="30287535"/>
    <n v="272645734"/>
    <n v="302933269"/>
    <n v="9088191"/>
    <n v="0"/>
    <n v="1009584"/>
    <n v="9088191"/>
    <n v="10097775"/>
    <n v="55.356200000000001"/>
    <n v="29.299199999999999"/>
    <n v="13257.4"/>
    <n v="11753.7"/>
    <n v="65859"/>
    <n v="143141"/>
    <x v="11"/>
  </r>
  <r>
    <s v="istree_exp1_scaling_threads/step10233.txt"/>
    <x v="2"/>
    <m/>
    <s v="reclaimer_debra"/>
    <s v="allocator_new"/>
    <s v="pool_none"/>
    <n v="30000"/>
    <n v="5"/>
    <n v="5"/>
    <n v="0"/>
    <n v="1"/>
    <x v="3"/>
    <n v="96"/>
    <x v="2"/>
    <n v="96"/>
    <n v="0"/>
    <s v="insertIfAbsent"/>
    <n v="9.9999425106019994E+17"/>
    <n v="999989475"/>
    <n v="9.9999425106019994E+17"/>
    <n v="999989475"/>
    <s v="success"/>
    <n v="37"/>
    <n v="575276941"/>
    <n v="431782253"/>
    <n v="1007059194"/>
    <n v="999989475"/>
    <n v="1.7505599999999999"/>
    <n v="2.31596"/>
    <n v="1.99298"/>
    <n v="29.490200000000002"/>
    <n v="56395314864"/>
    <m/>
    <m/>
    <m/>
    <s v="30650 45980"/>
    <m/>
    <m/>
    <n v="604664254"/>
    <n v="0"/>
    <n v="67186127"/>
    <n v="604664254"/>
    <n v="671850381"/>
    <n v="20155475"/>
    <n v="0"/>
    <n v="2239537"/>
    <n v="20155475"/>
    <n v="22395012"/>
    <n v="56.171399999999998"/>
    <n v="31.4072"/>
    <n v="11942.9"/>
    <n v="10360.700000000001"/>
    <n v="66123"/>
    <n v="63864"/>
    <x v="11"/>
  </r>
  <r>
    <s v="istree_exp1_scaling_threads/step10234.txt"/>
    <x v="2"/>
    <m/>
    <s v="reclaimer_debra"/>
    <s v="allocator_new"/>
    <s v="pool_none"/>
    <n v="30000"/>
    <n v="5"/>
    <n v="5"/>
    <n v="0"/>
    <n v="1"/>
    <x v="3"/>
    <n v="144"/>
    <x v="3"/>
    <n v="144"/>
    <n v="0"/>
    <s v="insertIfAbsent"/>
    <n v="1.0000235056076401E+18"/>
    <n v="1000001321"/>
    <n v="1.0000235056076401E+18"/>
    <n v="1000001321"/>
    <s v="success"/>
    <n v="37"/>
    <n v="577195878"/>
    <n v="433385420"/>
    <n v="1010581298"/>
    <n v="1000001321"/>
    <n v="1.75085"/>
    <n v="2.30742"/>
    <n v="1.98953"/>
    <n v="29.454000000000001"/>
    <n v="56592552688"/>
    <m/>
    <m/>
    <m/>
    <s v="13650 23794"/>
    <m/>
    <m/>
    <n v="913360465"/>
    <n v="0"/>
    <n v="101514203"/>
    <n v="913360465"/>
    <n v="1014874668"/>
    <n v="30445348"/>
    <n v="0"/>
    <n v="3383806"/>
    <n v="30445348"/>
    <n v="33829155"/>
    <n v="56.07"/>
    <n v="31.684000000000001"/>
    <n v="11856.4"/>
    <n v="10260.299999999999"/>
    <n v="66364"/>
    <n v="42694"/>
    <x v="11"/>
  </r>
  <r>
    <s v="istree_exp1_scaling_threads/step10235.txt"/>
    <x v="2"/>
    <m/>
    <s v="reclaimer_debra"/>
    <s v="allocator_new"/>
    <s v="pool_none"/>
    <n v="30000"/>
    <n v="5"/>
    <n v="5"/>
    <n v="0"/>
    <n v="1"/>
    <x v="3"/>
    <n v="190"/>
    <x v="4"/>
    <n v="190"/>
    <n v="0"/>
    <s v="insertIfAbsent"/>
    <n v="9.9997667980119501E+17"/>
    <n v="999993107"/>
    <n v="9.9997667980119501E+17"/>
    <n v="999993107"/>
    <s v="success"/>
    <n v="37"/>
    <n v="578976820"/>
    <n v="434863729"/>
    <n v="1013840549"/>
    <n v="999993107"/>
    <n v="1.75109"/>
    <n v="2.29956"/>
    <n v="1.98634"/>
    <n v="29.470199999999998"/>
    <n v="56775070744"/>
    <m/>
    <m/>
    <m/>
    <s v="7926 15686"/>
    <m/>
    <m/>
    <n v="1207049055"/>
    <n v="0"/>
    <n v="134102642"/>
    <n v="1207049055"/>
    <n v="1341151697"/>
    <n v="40234968"/>
    <n v="0"/>
    <n v="4470088"/>
    <n v="40234968"/>
    <n v="44705056"/>
    <n v="56.247300000000003"/>
    <n v="31.809899999999999"/>
    <n v="11838.4"/>
    <n v="10246.5"/>
    <n v="66591"/>
    <n v="32736"/>
    <x v="11"/>
  </r>
  <r>
    <s v="istree_exp1_scaling_threads/step10236.txt"/>
    <x v="3"/>
    <m/>
    <s v="reclaimer_debra"/>
    <s v="allocator_new"/>
    <s v="pool_none"/>
    <n v="30000"/>
    <n v="5"/>
    <n v="5"/>
    <n v="0"/>
    <n v="1"/>
    <x v="3"/>
    <n v="24"/>
    <x v="0"/>
    <n v="24"/>
    <n v="0"/>
    <s v="insertIfAbsent"/>
    <n v="9.9997410913045402E+17"/>
    <n v="999994399"/>
    <n v="9.9997410913045402E+17"/>
    <n v="999994399"/>
    <s v="success"/>
    <n v="80"/>
    <n v="999994398"/>
    <n v="999994399"/>
    <n v="1999988797"/>
    <n v="999994399"/>
    <n v="2"/>
    <n v="1"/>
    <n v="1.5"/>
    <n v="40.316899999999997"/>
    <n v="63999641504"/>
    <m/>
    <m/>
    <m/>
    <s v="509456 558246"/>
    <m/>
    <m/>
    <n v="115286930"/>
    <n v="0"/>
    <n v="12809046"/>
    <n v="115286930"/>
    <n v="128095976"/>
    <n v="3842897"/>
    <n v="0"/>
    <n v="426968"/>
    <n v="3842897"/>
    <n v="4269865"/>
    <n v="53.750799999999998"/>
    <n v="28.9086"/>
    <n v="15679.9"/>
    <n v="13707.9"/>
    <n v="65647"/>
    <n v="299618"/>
    <x v="11"/>
  </r>
  <r>
    <s v="istree_exp1_scaling_threads/step10237.txt"/>
    <x v="3"/>
    <m/>
    <s v="reclaimer_debra"/>
    <s v="allocator_new"/>
    <s v="pool_none"/>
    <n v="30000"/>
    <n v="5"/>
    <n v="5"/>
    <n v="0"/>
    <n v="1"/>
    <x v="3"/>
    <n v="48"/>
    <x v="1"/>
    <n v="48"/>
    <n v="0"/>
    <s v="insertIfAbsent"/>
    <n v="1.00000996811099E+18"/>
    <n v="999999920"/>
    <n v="1.00000996811099E+18"/>
    <n v="999999920"/>
    <s v="success"/>
    <n v="83"/>
    <n v="999999919"/>
    <n v="999999920"/>
    <n v="1999999839"/>
    <n v="999999920"/>
    <n v="2"/>
    <n v="1"/>
    <n v="1.5"/>
    <n v="40.833300000000001"/>
    <n v="63999994848"/>
    <m/>
    <m/>
    <m/>
    <s v="125326 148196"/>
    <m/>
    <m/>
    <n v="225555047"/>
    <n v="0"/>
    <n v="25067376"/>
    <n v="225555047"/>
    <n v="250622423"/>
    <n v="7518501"/>
    <n v="0"/>
    <n v="835579"/>
    <n v="7518501"/>
    <n v="8354080"/>
    <n v="53.693899999999999"/>
    <n v="28.895499999999998"/>
    <n v="16027.2"/>
    <n v="14842.6"/>
    <n v="65658"/>
    <n v="153739"/>
    <x v="11"/>
  </r>
  <r>
    <s v="istree_exp1_scaling_threads/step10238.txt"/>
    <x v="3"/>
    <m/>
    <s v="reclaimer_debra"/>
    <s v="allocator_new"/>
    <s v="pool_none"/>
    <n v="30000"/>
    <n v="5"/>
    <n v="5"/>
    <n v="0"/>
    <n v="1"/>
    <x v="3"/>
    <n v="96"/>
    <x v="2"/>
    <n v="96"/>
    <n v="0"/>
    <s v="insertIfAbsent"/>
    <n v="9.99976101509008E+17"/>
    <n v="1000001883"/>
    <n v="9.99976101509008E+17"/>
    <n v="1000001883"/>
    <s v="success"/>
    <n v="81"/>
    <n v="1000001882"/>
    <n v="1000001883"/>
    <n v="2000003765"/>
    <n v="1000001883"/>
    <n v="2"/>
    <n v="1"/>
    <n v="1.5"/>
    <n v="40.700600000000001"/>
    <n v="64000120480"/>
    <m/>
    <m/>
    <m/>
    <s v="31068 43792"/>
    <m/>
    <m/>
    <n v="508697013"/>
    <n v="0"/>
    <n v="56518499"/>
    <n v="508697013"/>
    <n v="565215512"/>
    <n v="16956567"/>
    <n v="0"/>
    <n v="1883949"/>
    <n v="16956567"/>
    <n v="18840517"/>
    <n v="54.370899999999999"/>
    <n v="31.444800000000001"/>
    <n v="14199.7"/>
    <n v="12927.9"/>
    <n v="65682"/>
    <n v="66332"/>
    <x v="11"/>
  </r>
  <r>
    <s v="istree_exp1_scaling_threads/step10239.txt"/>
    <x v="3"/>
    <m/>
    <s v="reclaimer_debra"/>
    <s v="allocator_new"/>
    <s v="pool_none"/>
    <n v="30000"/>
    <n v="5"/>
    <n v="5"/>
    <n v="0"/>
    <n v="1"/>
    <x v="3"/>
    <n v="144"/>
    <x v="3"/>
    <n v="144"/>
    <n v="0"/>
    <s v="insertIfAbsent"/>
    <n v="1.00001990170446E+18"/>
    <n v="999996079"/>
    <n v="1.00001990170446E+18"/>
    <n v="999996079"/>
    <s v="success"/>
    <n v="86"/>
    <n v="999996078"/>
    <n v="999996079"/>
    <n v="1999992157"/>
    <n v="999996079"/>
    <n v="2"/>
    <n v="1"/>
    <n v="1.5"/>
    <n v="40.741500000000002"/>
    <n v="63999749024"/>
    <m/>
    <m/>
    <m/>
    <s v="13680 22314"/>
    <m/>
    <m/>
    <n v="769653188"/>
    <n v="0"/>
    <n v="85514865"/>
    <n v="769653188"/>
    <n v="855168053"/>
    <n v="25655106"/>
    <n v="0"/>
    <n v="2850495"/>
    <n v="25655106"/>
    <n v="28505601"/>
    <n v="54.3504"/>
    <n v="31.668800000000001"/>
    <n v="14074.5"/>
    <n v="12804.7"/>
    <n v="65707"/>
    <n v="44184"/>
    <x v="11"/>
  </r>
  <r>
    <s v="istree_exp1_scaling_threads/step10240.txt"/>
    <x v="3"/>
    <m/>
    <s v="reclaimer_debra"/>
    <s v="allocator_new"/>
    <s v="pool_none"/>
    <n v="30000"/>
    <n v="5"/>
    <n v="5"/>
    <n v="0"/>
    <n v="1"/>
    <x v="3"/>
    <n v="190"/>
    <x v="4"/>
    <n v="190"/>
    <n v="0"/>
    <s v="insertIfAbsent"/>
    <n v="9.9999581807828698E+17"/>
    <n v="1000004998"/>
    <n v="9.9999581807828698E+17"/>
    <n v="1000004998"/>
    <s v="success"/>
    <n v="80"/>
    <n v="1000004997"/>
    <n v="1000004998"/>
    <n v="2000009995"/>
    <n v="1000004998"/>
    <n v="2"/>
    <n v="1"/>
    <n v="1.5"/>
    <n v="39.867100000000001"/>
    <n v="64000319840"/>
    <m/>
    <m/>
    <m/>
    <s v="7824 14428"/>
    <m/>
    <m/>
    <n v="1021072891"/>
    <n v="0"/>
    <n v="113442105"/>
    <n v="1021072891"/>
    <n v="1134514996"/>
    <n v="34035763"/>
    <n v="0"/>
    <n v="3781403"/>
    <n v="34035763"/>
    <n v="37817166"/>
    <n v="54.5428"/>
    <n v="31.815100000000001"/>
    <n v="13995.8"/>
    <n v="12711.8"/>
    <n v="65743"/>
    <n v="33682"/>
    <x v="11"/>
  </r>
  <r>
    <s v="istree_exp1_scaling_threads/step10241.txt"/>
    <x v="0"/>
    <n v="72"/>
    <s v="reclaimer_debra"/>
    <s v="allocator_new"/>
    <s v="pool_none"/>
    <n v="30000"/>
    <n v="20"/>
    <n v="20"/>
    <n v="0"/>
    <n v="1"/>
    <x v="0"/>
    <n v="24"/>
    <x v="0"/>
    <n v="24"/>
    <n v="0"/>
    <s v="insertIfAbsent"/>
    <n v="1000481864221"/>
    <n v="1000303"/>
    <n v="1000481864221"/>
    <n v="1000303"/>
    <s v="success"/>
    <n v="6"/>
    <n v="54079"/>
    <n v="1075071"/>
    <n v="1129150"/>
    <n v="1000303"/>
    <n v="20.8796"/>
    <n v="0.93045299999999997"/>
    <n v="1.8858900000000001"/>
    <n v="3.0435099999999999"/>
    <n v="21542960"/>
    <s v="2226 942073 13541798 15162674"/>
    <s v="1048 938602 13538324 15162354"/>
    <n v="427442"/>
    <n v="531796"/>
    <m/>
    <m/>
    <n v="786037644"/>
    <n v="0"/>
    <n v="524065015"/>
    <n v="786037644"/>
    <n v="1310102659"/>
    <n v="26201254"/>
    <n v="0"/>
    <n v="17468833"/>
    <n v="26201254"/>
    <n v="43670088"/>
    <n v="15.7439"/>
    <n v="1.0476399999999999"/>
    <n v="1530.69"/>
    <n v="616.20299999999997"/>
    <n v="1215"/>
    <n v="27"/>
    <x v="12"/>
  </r>
  <r>
    <s v="istree_exp1_scaling_threads/step10242.txt"/>
    <x v="0"/>
    <n v="72"/>
    <s v="reclaimer_debra"/>
    <s v="allocator_new"/>
    <s v="pool_none"/>
    <n v="30000"/>
    <n v="20"/>
    <n v="20"/>
    <n v="0"/>
    <n v="1"/>
    <x v="0"/>
    <n v="48"/>
    <x v="1"/>
    <n v="48"/>
    <n v="0"/>
    <s v="insertIfAbsent"/>
    <n v="1000300981238"/>
    <n v="1000108"/>
    <n v="1000300981238"/>
    <n v="1000108"/>
    <s v="success"/>
    <n v="6"/>
    <n v="37877"/>
    <n v="1041742"/>
    <n v="1079619"/>
    <n v="1000108"/>
    <n v="28.503299999999999"/>
    <n v="0.96003400000000005"/>
    <n v="1.92635"/>
    <n v="3.00983"/>
    <n v="19698864"/>
    <s v="3876 1474540 13999346 20308760"/>
    <s v="1493 1471476 13988455 20307844"/>
    <n v="1712695"/>
    <n v="192340"/>
    <m/>
    <m/>
    <n v="1119541709"/>
    <n v="0"/>
    <n v="746334335"/>
    <n v="1119541709"/>
    <n v="1865876044"/>
    <n v="37318056"/>
    <n v="0"/>
    <n v="24877811"/>
    <n v="37318056"/>
    <n v="62195868"/>
    <n v="16.226900000000001"/>
    <n v="1.52952"/>
    <n v="2108.14"/>
    <n v="1009.41"/>
    <n v="1265"/>
    <n v="86"/>
    <x v="12"/>
  </r>
  <r>
    <s v="istree_exp1_scaling_threads/step10243.txt"/>
    <x v="0"/>
    <n v="72"/>
    <s v="reclaimer_debra"/>
    <s v="allocator_new"/>
    <s v="pool_none"/>
    <n v="30000"/>
    <n v="20"/>
    <n v="20"/>
    <n v="0"/>
    <n v="1"/>
    <x v="0"/>
    <n v="96"/>
    <x v="2"/>
    <n v="96"/>
    <n v="0"/>
    <s v="insertIfAbsent"/>
    <n v="999986751650"/>
    <n v="999968"/>
    <n v="999986751650"/>
    <n v="999968"/>
    <s v="success"/>
    <n v="6"/>
    <n v="36658"/>
    <n v="1039288"/>
    <n v="1075946"/>
    <n v="999968"/>
    <n v="29.350899999999999"/>
    <n v="0.96216599999999997"/>
    <n v="1.9293800000000001"/>
    <n v="3.0073599999999998"/>
    <n v="19561792"/>
    <s v="5022 2849060 4937962 20954961"/>
    <s v="1814 2822697 4922564 20952866"/>
    <n v="6992740"/>
    <n v="63422"/>
    <m/>
    <m/>
    <n v="1359910429"/>
    <n v="0"/>
    <n v="906573759"/>
    <n v="1359910429"/>
    <n v="2266484188"/>
    <n v="45330347"/>
    <n v="0"/>
    <n v="30219125"/>
    <n v="45330347"/>
    <n v="75549472"/>
    <n v="19.501300000000001"/>
    <n v="6.13157"/>
    <n v="3536.13"/>
    <n v="2392.75"/>
    <n v="1385"/>
    <n v="150"/>
    <x v="12"/>
  </r>
  <r>
    <s v="istree_exp1_scaling_threads/step10244.txt"/>
    <x v="0"/>
    <n v="72"/>
    <s v="reclaimer_debra"/>
    <s v="allocator_new"/>
    <s v="pool_none"/>
    <n v="30000"/>
    <n v="20"/>
    <n v="20"/>
    <n v="0"/>
    <n v="1"/>
    <x v="0"/>
    <n v="144"/>
    <x v="3"/>
    <n v="144"/>
    <n v="0"/>
    <s v="insertIfAbsent"/>
    <n v="999977721568"/>
    <n v="999534"/>
    <n v="999977721568"/>
    <n v="999534"/>
    <s v="success"/>
    <n v="6"/>
    <n v="36789"/>
    <n v="1038986"/>
    <n v="1075775"/>
    <n v="999534"/>
    <n v="29.241800000000001"/>
    <n v="0.96202799999999999"/>
    <n v="1.92913"/>
    <n v="3.0076200000000002"/>
    <n v="19567328"/>
    <s v="5819 5800237 1044745 16132876"/>
    <s v="1987 5752211 1037418 16130425"/>
    <n v="17213329"/>
    <n v="31310"/>
    <m/>
    <m/>
    <n v="1489170356"/>
    <n v="0"/>
    <n v="992752164"/>
    <n v="1489170356"/>
    <n v="2481922520"/>
    <n v="49639011"/>
    <n v="0"/>
    <n v="33091738"/>
    <n v="49639011"/>
    <n v="82730750"/>
    <n v="24.450900000000001"/>
    <n v="10.616099999999999"/>
    <n v="4843.07"/>
    <n v="3561.79"/>
    <n v="1574"/>
    <n v="339"/>
    <x v="12"/>
  </r>
  <r>
    <s v="istree_exp1_scaling_threads/step10245.txt"/>
    <x v="0"/>
    <n v="72"/>
    <s v="reclaimer_debra"/>
    <s v="allocator_new"/>
    <s v="pool_none"/>
    <n v="30000"/>
    <n v="20"/>
    <n v="20"/>
    <n v="0"/>
    <n v="1"/>
    <x v="0"/>
    <n v="190"/>
    <x v="4"/>
    <n v="190"/>
    <n v="0"/>
    <s v="insertIfAbsent"/>
    <n v="999394192551"/>
    <n v="999551"/>
    <n v="999394192551"/>
    <n v="999551"/>
    <s v="success"/>
    <n v="6"/>
    <n v="57670"/>
    <n v="1081679"/>
    <n v="1139349"/>
    <n v="999551"/>
    <n v="19.756399999999999"/>
    <n v="0.92407399999999995"/>
    <n v="1.8773"/>
    <n v="3.05186"/>
    <n v="21946800"/>
    <s v="7136 5335794 2595953 21286038"/>
    <s v="2270 5279067 2577699 21282185"/>
    <n v="23359234"/>
    <n v="20344"/>
    <m/>
    <m/>
    <n v="1700853897"/>
    <n v="0"/>
    <n v="1133932791"/>
    <n v="1700853897"/>
    <n v="2834786688"/>
    <n v="56695129"/>
    <n v="0"/>
    <n v="37797759"/>
    <n v="56695129"/>
    <n v="94492889"/>
    <n v="25.0426"/>
    <n v="11.9015"/>
    <n v="5595.32"/>
    <n v="4314.82"/>
    <n v="1753"/>
    <n v="268"/>
    <x v="12"/>
  </r>
  <r>
    <s v="istree_exp1_scaling_threads/step10246.txt"/>
    <x v="1"/>
    <n v="208"/>
    <s v="reclaimer_debra"/>
    <s v="allocator_new"/>
    <s v="pool_none"/>
    <n v="30000"/>
    <n v="20"/>
    <n v="20"/>
    <n v="0"/>
    <n v="1"/>
    <x v="0"/>
    <n v="24"/>
    <x v="0"/>
    <n v="24"/>
    <n v="0"/>
    <s v="insertIfAbsent"/>
    <n v="999012694136"/>
    <n v="999102"/>
    <n v="999012694136"/>
    <n v="999102"/>
    <s v="success"/>
    <n v="8"/>
    <n v="34611"/>
    <n v="195241"/>
    <n v="229852"/>
    <n v="999102"/>
    <n v="6.6410099999999996"/>
    <n v="5.1172800000000001"/>
    <n v="5.3467200000000004"/>
    <n v="7"/>
    <n v="47809216"/>
    <m/>
    <m/>
    <m/>
    <s v="1298 530200"/>
    <m/>
    <m/>
    <n v="852598039"/>
    <n v="0"/>
    <n v="568398755"/>
    <n v="852598039"/>
    <n v="1420996794"/>
    <n v="28419934"/>
    <n v="0"/>
    <n v="18946625"/>
    <n v="28419934"/>
    <n v="47366559"/>
    <n v="11.8209"/>
    <n v="1.11493"/>
    <n v="1412.89"/>
    <n v="511.99700000000001"/>
    <n v="1139"/>
    <n v="158"/>
    <x v="12"/>
  </r>
  <r>
    <s v="istree_exp1_scaling_threads/step10247.txt"/>
    <x v="1"/>
    <n v="208"/>
    <s v="reclaimer_debra"/>
    <s v="allocator_new"/>
    <s v="pool_none"/>
    <n v="30000"/>
    <n v="20"/>
    <n v="20"/>
    <n v="0"/>
    <n v="1"/>
    <x v="0"/>
    <n v="48"/>
    <x v="1"/>
    <n v="48"/>
    <n v="0"/>
    <s v="insertIfAbsent"/>
    <n v="998535252397"/>
    <n v="999084"/>
    <n v="998535252397"/>
    <n v="999084"/>
    <s v="success"/>
    <n v="8"/>
    <n v="35317"/>
    <n v="194780"/>
    <n v="230097"/>
    <n v="999084"/>
    <n v="6.5151899999999996"/>
    <n v="5.1292900000000001"/>
    <n v="5.3420100000000001"/>
    <n v="7"/>
    <n v="47860176"/>
    <m/>
    <m/>
    <m/>
    <s v="740 198882"/>
    <m/>
    <m/>
    <n v="1303041333"/>
    <n v="0"/>
    <n v="868681846"/>
    <n v="1303041333"/>
    <n v="2171723179"/>
    <n v="43434711"/>
    <n v="0"/>
    <n v="28956061"/>
    <n v="43434711"/>
    <n v="72390772"/>
    <n v="12.447699999999999"/>
    <n v="1.39845"/>
    <n v="1794.23"/>
    <n v="798.28499999999997"/>
    <n v="1163"/>
    <n v="204"/>
    <x v="12"/>
  </r>
  <r>
    <s v="istree_exp1_scaling_threads/step10248.txt"/>
    <x v="1"/>
    <n v="208"/>
    <s v="reclaimer_debra"/>
    <s v="allocator_new"/>
    <s v="pool_none"/>
    <n v="30000"/>
    <n v="20"/>
    <n v="20"/>
    <n v="0"/>
    <n v="1"/>
    <x v="0"/>
    <n v="96"/>
    <x v="2"/>
    <n v="96"/>
    <n v="0"/>
    <s v="insertIfAbsent"/>
    <n v="998779799987"/>
    <n v="998174"/>
    <n v="998779799987"/>
    <n v="998174"/>
    <s v="success"/>
    <n v="8"/>
    <n v="35897"/>
    <n v="194775"/>
    <n v="230672"/>
    <n v="998174"/>
    <n v="6.4259399999999998"/>
    <n v="5.1247499999999997"/>
    <n v="5.3272399999999998"/>
    <n v="7"/>
    <n v="47979776"/>
    <m/>
    <m/>
    <m/>
    <n v="84296"/>
    <m/>
    <m/>
    <n v="2052417814"/>
    <n v="0"/>
    <n v="1368282527"/>
    <n v="2052417814"/>
    <n v="3420700341"/>
    <n v="68413927"/>
    <n v="0"/>
    <n v="45609417"/>
    <n v="68413927"/>
    <n v="114023344"/>
    <n v="13.772399999999999"/>
    <n v="3.73237"/>
    <n v="2337.5500000000002"/>
    <n v="1218.68"/>
    <n v="1220"/>
    <n v="319"/>
    <x v="12"/>
  </r>
  <r>
    <s v="istree_exp1_scaling_threads/step10249.txt"/>
    <x v="1"/>
    <n v="208"/>
    <s v="reclaimer_debra"/>
    <s v="allocator_new"/>
    <s v="pool_none"/>
    <n v="30000"/>
    <n v="20"/>
    <n v="20"/>
    <n v="0"/>
    <n v="1"/>
    <x v="0"/>
    <n v="144"/>
    <x v="3"/>
    <n v="144"/>
    <n v="0"/>
    <s v="insertIfAbsent"/>
    <n v="1000608533151"/>
    <n v="1000428"/>
    <n v="1000608533151"/>
    <n v="1000428"/>
    <s v="success"/>
    <n v="8"/>
    <n v="36093"/>
    <n v="194896"/>
    <n v="230989"/>
    <n v="1000428"/>
    <n v="6.3998299999999997"/>
    <n v="5.13314"/>
    <n v="5.3310599999999999"/>
    <n v="7"/>
    <n v="48045712"/>
    <m/>
    <m/>
    <m/>
    <n v="52396"/>
    <m/>
    <m/>
    <n v="2567388874"/>
    <n v="0"/>
    <n v="1711595551"/>
    <n v="2567388874"/>
    <n v="4278984425"/>
    <n v="85579629"/>
    <n v="0"/>
    <n v="57053185"/>
    <n v="85579629"/>
    <n v="142632814"/>
    <n v="15.01"/>
    <n v="5.0211499999999996"/>
    <n v="2796.33"/>
    <n v="1458.54"/>
    <n v="1231"/>
    <n v="327"/>
    <x v="12"/>
  </r>
  <r>
    <s v="istree_exp1_scaling_threads/step10250.txt"/>
    <x v="1"/>
    <n v="208"/>
    <s v="reclaimer_debra"/>
    <s v="allocator_new"/>
    <s v="pool_none"/>
    <n v="30000"/>
    <n v="20"/>
    <n v="20"/>
    <n v="0"/>
    <n v="1"/>
    <x v="0"/>
    <n v="190"/>
    <x v="4"/>
    <n v="190"/>
    <n v="0"/>
    <s v="insertIfAbsent"/>
    <n v="999395577631"/>
    <n v="999309"/>
    <n v="999395577631"/>
    <n v="999309"/>
    <s v="success"/>
    <n v="8"/>
    <n v="35986"/>
    <n v="194637"/>
    <n v="230623"/>
    <n v="999309"/>
    <n v="6.40869"/>
    <n v="5.13422"/>
    <n v="5.3330799999999998"/>
    <n v="7"/>
    <n v="47969584"/>
    <m/>
    <m/>
    <m/>
    <n v="40714"/>
    <m/>
    <m/>
    <n v="2216039229"/>
    <n v="0"/>
    <n v="1477331155"/>
    <n v="2216039229"/>
    <n v="3693370384"/>
    <n v="73867974"/>
    <n v="0"/>
    <n v="49244371"/>
    <n v="73867974"/>
    <n v="123112346"/>
    <n v="16.003799999999998"/>
    <n v="5.8855899999999997"/>
    <n v="3891.21"/>
    <n v="1693.11"/>
    <n v="1283"/>
    <n v="315"/>
    <x v="12"/>
  </r>
  <r>
    <s v="istree_exp1_scaling_threads/step10251.txt"/>
    <x v="2"/>
    <m/>
    <s v="reclaimer_debra"/>
    <s v="allocator_new"/>
    <s v="pool_none"/>
    <n v="30000"/>
    <n v="20"/>
    <n v="20"/>
    <n v="0"/>
    <n v="1"/>
    <x v="0"/>
    <n v="24"/>
    <x v="0"/>
    <n v="24"/>
    <n v="0"/>
    <s v="insertIfAbsent"/>
    <n v="1000141699557"/>
    <n v="1000044"/>
    <n v="1000141699557"/>
    <n v="1000044"/>
    <s v="success"/>
    <n v="25"/>
    <n v="686466"/>
    <n v="521980"/>
    <n v="1208446"/>
    <n v="1000044"/>
    <n v="1.7603899999999999"/>
    <n v="1.91587"/>
    <n v="1.82755"/>
    <n v="19.823699999999999"/>
    <n v="67672976"/>
    <m/>
    <m/>
    <m/>
    <s v="1196 275952"/>
    <m/>
    <m/>
    <n v="438919951"/>
    <n v="0"/>
    <n v="292572104"/>
    <n v="438919951"/>
    <n v="731492055"/>
    <n v="14630665"/>
    <n v="0"/>
    <n v="9752403"/>
    <n v="14630665"/>
    <n v="24383068"/>
    <n v="17.939699999999998"/>
    <n v="3.1160000000000001"/>
    <n v="2745.36"/>
    <n v="1470.23"/>
    <n v="1177"/>
    <n v="193"/>
    <x v="12"/>
  </r>
  <r>
    <s v="istree_exp1_scaling_threads/step10252.txt"/>
    <x v="2"/>
    <m/>
    <s v="reclaimer_debra"/>
    <s v="allocator_new"/>
    <s v="pool_none"/>
    <n v="30000"/>
    <n v="20"/>
    <n v="20"/>
    <n v="0"/>
    <n v="1"/>
    <x v="0"/>
    <n v="48"/>
    <x v="1"/>
    <n v="48"/>
    <n v="0"/>
    <s v="insertIfAbsent"/>
    <n v="999628698678"/>
    <n v="999584"/>
    <n v="999628698678"/>
    <n v="999584"/>
    <s v="success"/>
    <n v="25"/>
    <n v="685815"/>
    <n v="520520"/>
    <n v="1206335"/>
    <n v="999584"/>
    <n v="1.75898"/>
    <n v="1.9203600000000001"/>
    <n v="1.8286100000000001"/>
    <n v="19.817299999999999"/>
    <n v="67554760"/>
    <m/>
    <m/>
    <m/>
    <s v="676 114426"/>
    <m/>
    <m/>
    <n v="748418193"/>
    <n v="0"/>
    <n v="498953722"/>
    <n v="748418193"/>
    <n v="1247371915"/>
    <n v="24947273"/>
    <n v="0"/>
    <n v="16631790"/>
    <n v="24947273"/>
    <n v="41579063"/>
    <n v="19.04"/>
    <n v="3.2770100000000002"/>
    <n v="3206.51"/>
    <n v="1796.41"/>
    <n v="1198"/>
    <n v="237"/>
    <x v="12"/>
  </r>
  <r>
    <s v="istree_exp1_scaling_threads/step10253.txt"/>
    <x v="2"/>
    <m/>
    <s v="reclaimer_debra"/>
    <s v="allocator_new"/>
    <s v="pool_none"/>
    <n v="30000"/>
    <n v="20"/>
    <n v="20"/>
    <n v="0"/>
    <n v="1"/>
    <x v="0"/>
    <n v="96"/>
    <x v="2"/>
    <n v="96"/>
    <n v="0"/>
    <s v="insertIfAbsent"/>
    <n v="999918339047"/>
    <n v="999530"/>
    <n v="999918339047"/>
    <n v="999530"/>
    <s v="success"/>
    <n v="25"/>
    <n v="685524"/>
    <n v="520202"/>
    <n v="1205726"/>
    <n v="999530"/>
    <n v="1.75884"/>
    <n v="1.92143"/>
    <n v="1.8289899999999999"/>
    <n v="19.884599999999999"/>
    <n v="67520656"/>
    <m/>
    <m/>
    <m/>
    <s v="336 53794"/>
    <m/>
    <m/>
    <n v="1405868215"/>
    <n v="0"/>
    <n v="937259144"/>
    <n v="1405868215"/>
    <n v="2343127359"/>
    <n v="46862273"/>
    <n v="0"/>
    <n v="31241971"/>
    <n v="46862273"/>
    <n v="78104245"/>
    <n v="20.018699999999999"/>
    <n v="4.0049099999999997"/>
    <n v="3410.74"/>
    <n v="1950.77"/>
    <n v="1228"/>
    <n v="341"/>
    <x v="12"/>
  </r>
  <r>
    <s v="istree_exp1_scaling_threads/step10254.txt"/>
    <x v="2"/>
    <m/>
    <s v="reclaimer_debra"/>
    <s v="allocator_new"/>
    <s v="pool_none"/>
    <n v="30000"/>
    <n v="20"/>
    <n v="20"/>
    <n v="0"/>
    <n v="1"/>
    <x v="0"/>
    <n v="144"/>
    <x v="3"/>
    <n v="144"/>
    <n v="0"/>
    <s v="insertIfAbsent"/>
    <n v="1000815138118"/>
    <n v="1000961"/>
    <n v="1000815138118"/>
    <n v="1000961"/>
    <s v="success"/>
    <n v="25"/>
    <n v="685931"/>
    <n v="520872"/>
    <n v="1206803"/>
    <n v="1000961"/>
    <n v="1.7593700000000001"/>
    <n v="1.9217"/>
    <n v="1.8294299999999999"/>
    <n v="19.829000000000001"/>
    <n v="67580968"/>
    <m/>
    <m/>
    <m/>
    <n v="34534"/>
    <m/>
    <m/>
    <n v="2014591662"/>
    <n v="0"/>
    <n v="1342996939"/>
    <n v="2014591662"/>
    <n v="3357588601"/>
    <n v="67153055"/>
    <n v="0"/>
    <n v="44766564"/>
    <n v="67153055"/>
    <n v="111919620"/>
    <n v="20.777899999999999"/>
    <n v="4.4533899999999997"/>
    <n v="3539.01"/>
    <n v="2025.87"/>
    <n v="1244"/>
    <n v="345"/>
    <x v="12"/>
  </r>
  <r>
    <s v="istree_exp1_scaling_threads/step10255.txt"/>
    <x v="2"/>
    <m/>
    <s v="reclaimer_debra"/>
    <s v="allocator_new"/>
    <s v="pool_none"/>
    <n v="30000"/>
    <n v="20"/>
    <n v="20"/>
    <n v="0"/>
    <n v="1"/>
    <x v="0"/>
    <n v="190"/>
    <x v="4"/>
    <n v="190"/>
    <n v="0"/>
    <s v="insertIfAbsent"/>
    <n v="998849967697"/>
    <n v="998779"/>
    <n v="998849967697"/>
    <n v="998779"/>
    <s v="success"/>
    <n v="25"/>
    <n v="684940"/>
    <n v="519793"/>
    <n v="1204733"/>
    <n v="998779"/>
    <n v="1.7588900000000001"/>
    <n v="1.9214899999999999"/>
    <n v="1.8290500000000001"/>
    <n v="19.844999999999999"/>
    <n v="67465048"/>
    <m/>
    <m/>
    <m/>
    <s v="238 26734"/>
    <m/>
    <m/>
    <n v="2552860952"/>
    <n v="0"/>
    <n v="1701813048"/>
    <n v="2552860952"/>
    <n v="4254674000"/>
    <n v="85095365"/>
    <n v="0"/>
    <n v="56727101"/>
    <n v="85095365"/>
    <n v="141822466"/>
    <n v="21.742799999999999"/>
    <n v="4.8949299999999996"/>
    <n v="3690.24"/>
    <n v="2129.39"/>
    <n v="1257"/>
    <n v="390"/>
    <x v="12"/>
  </r>
  <r>
    <s v="istree_exp1_scaling_threads/step10256.txt"/>
    <x v="3"/>
    <m/>
    <s v="reclaimer_debra"/>
    <s v="allocator_new"/>
    <s v="pool_none"/>
    <n v="30000"/>
    <n v="20"/>
    <n v="20"/>
    <n v="0"/>
    <n v="1"/>
    <x v="0"/>
    <n v="24"/>
    <x v="0"/>
    <n v="24"/>
    <n v="0"/>
    <s v="insertIfAbsent"/>
    <n v="999074882769"/>
    <n v="999174"/>
    <n v="999074882769"/>
    <n v="999174"/>
    <s v="success"/>
    <n v="46"/>
    <n v="999173"/>
    <n v="999174"/>
    <n v="1998347"/>
    <n v="999174"/>
    <n v="2"/>
    <n v="1"/>
    <n v="1.5"/>
    <n v="25.955400000000001"/>
    <n v="63947104"/>
    <m/>
    <m/>
    <m/>
    <s v="1236 257648"/>
    <m/>
    <m/>
    <n v="413390113"/>
    <n v="0"/>
    <n v="275610125"/>
    <n v="413390113"/>
    <n v="689000238"/>
    <n v="13779670"/>
    <n v="0"/>
    <n v="9187004"/>
    <n v="13779670"/>
    <n v="22966674"/>
    <n v="13.124599999999999"/>
    <n v="2.3704399999999999"/>
    <n v="2914.93"/>
    <n v="1872.64"/>
    <n v="1176"/>
    <n v="179"/>
    <x v="12"/>
  </r>
  <r>
    <s v="istree_exp1_scaling_threads/step10257.txt"/>
    <x v="3"/>
    <m/>
    <s v="reclaimer_debra"/>
    <s v="allocator_new"/>
    <s v="pool_none"/>
    <n v="30000"/>
    <n v="20"/>
    <n v="20"/>
    <n v="0"/>
    <n v="1"/>
    <x v="0"/>
    <n v="48"/>
    <x v="1"/>
    <n v="48"/>
    <n v="0"/>
    <s v="insertIfAbsent"/>
    <n v="999041114141"/>
    <n v="999743"/>
    <n v="999041114141"/>
    <n v="999743"/>
    <s v="success"/>
    <n v="46"/>
    <n v="999742"/>
    <n v="999743"/>
    <n v="1999485"/>
    <n v="999743"/>
    <n v="2"/>
    <n v="1"/>
    <n v="1.5"/>
    <n v="26.0883"/>
    <n v="63983520"/>
    <m/>
    <m/>
    <m/>
    <s v="702 113484"/>
    <m/>
    <m/>
    <n v="743407271"/>
    <n v="0"/>
    <n v="495626551"/>
    <n v="743407271"/>
    <n v="1239033822"/>
    <n v="24780242"/>
    <n v="0"/>
    <n v="16520885"/>
    <n v="24780242"/>
    <n v="41301127"/>
    <n v="13.473699999999999"/>
    <n v="2.4117199999999999"/>
    <n v="3240.68"/>
    <n v="2173.84"/>
    <n v="1200"/>
    <n v="199"/>
    <x v="12"/>
  </r>
  <r>
    <s v="istree_exp1_scaling_threads/step10258.txt"/>
    <x v="3"/>
    <m/>
    <s v="reclaimer_debra"/>
    <s v="allocator_new"/>
    <s v="pool_none"/>
    <n v="30000"/>
    <n v="20"/>
    <n v="20"/>
    <n v="0"/>
    <n v="1"/>
    <x v="0"/>
    <n v="96"/>
    <x v="2"/>
    <n v="96"/>
    <n v="0"/>
    <s v="insertIfAbsent"/>
    <n v="1001667159079"/>
    <n v="1001473"/>
    <n v="1001667159079"/>
    <n v="1001473"/>
    <s v="success"/>
    <n v="48"/>
    <n v="1001472"/>
    <n v="1001473"/>
    <n v="2002945"/>
    <n v="1001473"/>
    <n v="2"/>
    <n v="1"/>
    <n v="1.5"/>
    <n v="25.625800000000002"/>
    <n v="64094240"/>
    <m/>
    <m/>
    <m/>
    <s v="296 56956"/>
    <m/>
    <m/>
    <n v="1449722960"/>
    <n v="0"/>
    <n v="966532019"/>
    <n v="1449722960"/>
    <n v="2416254979"/>
    <n v="48324098"/>
    <n v="0"/>
    <n v="32217733"/>
    <n v="48324098"/>
    <n v="80541832"/>
    <n v="14.843"/>
    <n v="3.22052"/>
    <n v="3319.1"/>
    <n v="2151.56"/>
    <n v="1209"/>
    <n v="220"/>
    <x v="12"/>
  </r>
  <r>
    <s v="istree_exp1_scaling_threads/step10259.txt"/>
    <x v="3"/>
    <m/>
    <s v="reclaimer_debra"/>
    <s v="allocator_new"/>
    <s v="pool_none"/>
    <n v="30000"/>
    <n v="20"/>
    <n v="20"/>
    <n v="0"/>
    <n v="1"/>
    <x v="0"/>
    <n v="144"/>
    <x v="3"/>
    <n v="144"/>
    <n v="0"/>
    <s v="insertIfAbsent"/>
    <n v="1001088137536"/>
    <n v="1000866"/>
    <n v="1001088137536"/>
    <n v="1000866"/>
    <s v="success"/>
    <n v="49"/>
    <n v="1000865"/>
    <n v="1000866"/>
    <n v="2001731"/>
    <n v="1000866"/>
    <n v="2"/>
    <n v="1"/>
    <n v="1.5"/>
    <n v="26.253900000000002"/>
    <n v="64055392"/>
    <m/>
    <m/>
    <m/>
    <s v="190 36940"/>
    <m/>
    <m/>
    <n v="1923470827"/>
    <n v="0"/>
    <n v="1282368582"/>
    <n v="1923470827"/>
    <n v="3205839409"/>
    <n v="64115694"/>
    <n v="0"/>
    <n v="42745619"/>
    <n v="64115694"/>
    <n v="106861313"/>
    <n v="15.956"/>
    <n v="3.9468399999999999"/>
    <n v="3746.64"/>
    <n v="2300.16"/>
    <n v="1227"/>
    <n v="333"/>
    <x v="12"/>
  </r>
  <r>
    <s v="istree_exp1_scaling_threads/step10260.txt"/>
    <x v="3"/>
    <m/>
    <s v="reclaimer_debra"/>
    <s v="allocator_new"/>
    <s v="pool_none"/>
    <n v="30000"/>
    <n v="20"/>
    <n v="20"/>
    <n v="0"/>
    <n v="1"/>
    <x v="0"/>
    <n v="190"/>
    <x v="4"/>
    <n v="190"/>
    <n v="0"/>
    <s v="insertIfAbsent"/>
    <n v="998750754938"/>
    <n v="999427"/>
    <n v="998750754938"/>
    <n v="999427"/>
    <s v="success"/>
    <n v="49"/>
    <n v="999426"/>
    <n v="999427"/>
    <n v="1998853"/>
    <n v="999427"/>
    <n v="2"/>
    <n v="1"/>
    <n v="1.5"/>
    <n v="25.2028"/>
    <n v="63963296"/>
    <m/>
    <m/>
    <m/>
    <n v="27416"/>
    <m/>
    <m/>
    <n v="2206523563"/>
    <n v="0"/>
    <n v="1470906890"/>
    <n v="2206523563"/>
    <n v="3677430453"/>
    <n v="73550785"/>
    <n v="0"/>
    <n v="49030229"/>
    <n v="73550785"/>
    <n v="122581015"/>
    <n v="16.744700000000002"/>
    <n v="4.3588100000000001"/>
    <n v="4285.55"/>
    <n v="2456.17"/>
    <n v="1223"/>
    <n v="307"/>
    <x v="12"/>
  </r>
  <r>
    <s v="istree_exp1_scaling_threads/step10261.txt"/>
    <x v="0"/>
    <n v="72"/>
    <s v="reclaimer_debra"/>
    <s v="allocator_new"/>
    <s v="pool_none"/>
    <n v="30000"/>
    <n v="20"/>
    <n v="20"/>
    <n v="0"/>
    <n v="1"/>
    <x v="1"/>
    <n v="24"/>
    <x v="0"/>
    <n v="24"/>
    <n v="0"/>
    <s v="insertIfAbsent"/>
    <n v="100015870994975"/>
    <n v="10001524"/>
    <n v="100015870994975"/>
    <n v="10001524"/>
    <s v="success"/>
    <n v="7"/>
    <n v="1889651"/>
    <n v="11993620"/>
    <n v="13883271"/>
    <n v="10001524"/>
    <n v="7.3470000000000004"/>
    <n v="0.83390399999999998"/>
    <n v="1.7203999999999999"/>
    <n v="4.0528700000000004"/>
    <n v="343090224"/>
    <s v="73 134296 3849921 35383535 118520"/>
    <s v="48 133998 3849740 35383352 118520"/>
    <n v="62927"/>
    <n v="229668"/>
    <m/>
    <m/>
    <n v="363262886"/>
    <n v="0"/>
    <n v="242184087"/>
    <n v="363262886"/>
    <n v="605446973"/>
    <n v="12108762"/>
    <n v="0"/>
    <n v="8072802"/>
    <n v="12108762"/>
    <n v="20181565"/>
    <n v="26.0321"/>
    <n v="11.172800000000001"/>
    <n v="3287.78"/>
    <n v="2141.94"/>
    <n v="2449"/>
    <n v="155"/>
    <x v="13"/>
  </r>
  <r>
    <s v="istree_exp1_scaling_threads/step10262.txt"/>
    <x v="0"/>
    <n v="72"/>
    <s v="reclaimer_debra"/>
    <s v="allocator_new"/>
    <s v="pool_none"/>
    <n v="30000"/>
    <n v="20"/>
    <n v="20"/>
    <n v="0"/>
    <n v="1"/>
    <x v="1"/>
    <n v="48"/>
    <x v="1"/>
    <n v="48"/>
    <n v="0"/>
    <s v="insertIfAbsent"/>
    <n v="99983034991223"/>
    <n v="9997112"/>
    <n v="99983034991223"/>
    <n v="9997112"/>
    <s v="success"/>
    <n v="7"/>
    <n v="1906292"/>
    <n v="12033943"/>
    <n v="13940235"/>
    <n v="9997112"/>
    <n v="7.3127500000000003"/>
    <n v="0.83074300000000001"/>
    <n v="1.7171400000000001"/>
    <n v="4.0560600000000004"/>
    <n v="345083808"/>
    <s v="184 242307 5312184 55899325 182202"/>
    <s v="78 242034 5311409 55898612 182202"/>
    <n v="249280"/>
    <n v="96522"/>
    <m/>
    <m/>
    <n v="589632163"/>
    <n v="0"/>
    <n v="393060459"/>
    <n v="589632163"/>
    <n v="982692622"/>
    <n v="19654405"/>
    <n v="0"/>
    <n v="13102015"/>
    <n v="19654405"/>
    <n v="32756420"/>
    <n v="26.821300000000001"/>
    <n v="11.8255"/>
    <n v="4046.46"/>
    <n v="2730.78"/>
    <n v="2509"/>
    <n v="191"/>
    <x v="13"/>
  </r>
  <r>
    <s v="istree_exp1_scaling_threads/step10263.txt"/>
    <x v="0"/>
    <n v="72"/>
    <s v="reclaimer_debra"/>
    <s v="allocator_new"/>
    <s v="pool_none"/>
    <n v="30000"/>
    <n v="20"/>
    <n v="20"/>
    <n v="0"/>
    <n v="1"/>
    <x v="1"/>
    <n v="96"/>
    <x v="2"/>
    <n v="96"/>
    <n v="0"/>
    <s v="insertIfAbsent"/>
    <n v="99974073395184"/>
    <n v="9998320"/>
    <n v="99974073395184"/>
    <n v="9998320"/>
    <s v="success"/>
    <n v="7"/>
    <n v="1752451"/>
    <n v="11712364"/>
    <n v="13464815"/>
    <n v="9998320"/>
    <n v="7.6834199999999999"/>
    <n v="0.85365500000000005"/>
    <n v="1.74255"/>
    <n v="4.0252699999999999"/>
    <n v="327610928"/>
    <s v="398 432130 6318496 93799348 275180"/>
    <s v="136 432005 6316188 93796894 275178"/>
    <n v="903718"/>
    <n v="45768"/>
    <m/>
    <m/>
    <n v="1026143545"/>
    <n v="0"/>
    <n v="684131707"/>
    <n v="1026143545"/>
    <n v="1710275252"/>
    <n v="34204784"/>
    <n v="0"/>
    <n v="22804390"/>
    <n v="34204784"/>
    <n v="57009175"/>
    <n v="27.652699999999999"/>
    <n v="13.680300000000001"/>
    <n v="4604.63"/>
    <n v="3185.75"/>
    <n v="2643"/>
    <n v="328"/>
    <x v="13"/>
  </r>
  <r>
    <s v="istree_exp1_scaling_threads/step10264.txt"/>
    <x v="0"/>
    <n v="72"/>
    <s v="reclaimer_debra"/>
    <s v="allocator_new"/>
    <s v="pool_none"/>
    <n v="30000"/>
    <n v="20"/>
    <n v="20"/>
    <n v="0"/>
    <n v="1"/>
    <x v="1"/>
    <n v="144"/>
    <x v="3"/>
    <n v="144"/>
    <n v="0"/>
    <s v="insertIfAbsent"/>
    <n v="99985333503895"/>
    <n v="9997317"/>
    <n v="99985333503895"/>
    <n v="9997317"/>
    <s v="success"/>
    <n v="7"/>
    <n v="1812709"/>
    <n v="11838288"/>
    <n v="13650997"/>
    <n v="9997317"/>
    <n v="7.5307199999999996"/>
    <n v="0.84448999999999996"/>
    <n v="1.7323500000000001"/>
    <n v="4.03728"/>
    <n v="334457360"/>
    <s v="601 608641 5100090 128959177 325134"/>
    <s v="192 608463 5096780 128954447 325126"/>
    <n v="1857735"/>
    <n v="29764"/>
    <m/>
    <m/>
    <n v="1445158415"/>
    <n v="0"/>
    <n v="963429383"/>
    <n v="1445158415"/>
    <n v="2408587798"/>
    <n v="48171947"/>
    <n v="0"/>
    <n v="32114312"/>
    <n v="48171947"/>
    <n v="80286259"/>
    <n v="28.002400000000002"/>
    <n v="14.5054"/>
    <n v="4866.7700000000004"/>
    <n v="3375.88"/>
    <n v="2818"/>
    <n v="356"/>
    <x v="13"/>
  </r>
  <r>
    <s v="istree_exp1_scaling_threads/step10265.txt"/>
    <x v="0"/>
    <n v="72"/>
    <s v="reclaimer_debra"/>
    <s v="allocator_new"/>
    <s v="pool_none"/>
    <n v="30000"/>
    <n v="20"/>
    <n v="20"/>
    <n v="0"/>
    <n v="1"/>
    <x v="1"/>
    <n v="190"/>
    <x v="4"/>
    <n v="190"/>
    <n v="0"/>
    <s v="insertIfAbsent"/>
    <n v="100019351050199"/>
    <n v="10000917"/>
    <n v="100019351050199"/>
    <n v="10000917"/>
    <s v="success"/>
    <n v="7"/>
    <n v="1805382"/>
    <n v="11811458"/>
    <n v="13616840"/>
    <n v="10000917"/>
    <n v="7.5423600000000004"/>
    <n v="0.84671300000000005"/>
    <n v="1.73445"/>
    <n v="4.0359400000000001"/>
    <n v="333417024"/>
    <s v="851 730868 6161126 154676943 387593"/>
    <s v="231 730624 6155865 154669514 387586"/>
    <n v="2905557"/>
    <n v="22188"/>
    <m/>
    <m/>
    <n v="1733779204"/>
    <n v="0"/>
    <n v="1155857594"/>
    <n v="1733779204"/>
    <n v="2889636798"/>
    <n v="57792640"/>
    <n v="0"/>
    <n v="38528586"/>
    <n v="57792640"/>
    <n v="96321226"/>
    <n v="28.645"/>
    <n v="15.3131"/>
    <n v="5311.19"/>
    <n v="3660.29"/>
    <n v="2941"/>
    <n v="411"/>
    <x v="13"/>
  </r>
  <r>
    <s v="istree_exp1_scaling_threads/step10266.txt"/>
    <x v="1"/>
    <n v="208"/>
    <s v="reclaimer_debra"/>
    <s v="allocator_new"/>
    <s v="pool_none"/>
    <n v="30000"/>
    <n v="20"/>
    <n v="20"/>
    <n v="0"/>
    <n v="1"/>
    <x v="1"/>
    <n v="24"/>
    <x v="0"/>
    <n v="24"/>
    <n v="0"/>
    <s v="insertIfAbsent"/>
    <n v="99988562935929"/>
    <n v="10000447"/>
    <n v="99988562935929"/>
    <n v="10000447"/>
    <s v="success"/>
    <n v="9"/>
    <n v="293290"/>
    <n v="1945570"/>
    <n v="2238860"/>
    <n v="10000447"/>
    <n v="7.6336000000000004"/>
    <n v="5.14011"/>
    <n v="5.4667599999999998"/>
    <n v="8"/>
    <n v="465682880"/>
    <m/>
    <m/>
    <m/>
    <s v="5370 293162"/>
    <m/>
    <m/>
    <n v="463995594"/>
    <n v="0"/>
    <n v="309303379"/>
    <n v="463995594"/>
    <n v="773298973"/>
    <n v="15466519"/>
    <n v="0"/>
    <n v="10310112"/>
    <n v="15466519"/>
    <n v="25776632"/>
    <n v="19.536899999999999"/>
    <n v="6.4005900000000002"/>
    <n v="2595.98"/>
    <n v="1589.2"/>
    <n v="1576"/>
    <n v="897"/>
    <x v="13"/>
  </r>
  <r>
    <s v="istree_exp1_scaling_threads/step10267.txt"/>
    <x v="1"/>
    <n v="208"/>
    <s v="reclaimer_debra"/>
    <s v="allocator_new"/>
    <s v="pool_none"/>
    <n v="30000"/>
    <n v="20"/>
    <n v="20"/>
    <n v="0"/>
    <n v="1"/>
    <x v="1"/>
    <n v="48"/>
    <x v="1"/>
    <n v="48"/>
    <n v="0"/>
    <s v="insertIfAbsent"/>
    <n v="99992597516517"/>
    <n v="9999454"/>
    <n v="99992597516517"/>
    <n v="9999454"/>
    <s v="success"/>
    <n v="9"/>
    <n v="308307"/>
    <n v="1965603"/>
    <n v="2273910"/>
    <n v="9999454"/>
    <n v="7.37547"/>
    <n v="5.0872200000000003"/>
    <n v="5.3974700000000002"/>
    <n v="8"/>
    <n v="472973280"/>
    <m/>
    <m/>
    <m/>
    <s v="1404 127240"/>
    <m/>
    <m/>
    <n v="826334920"/>
    <n v="0"/>
    <n v="550914271"/>
    <n v="826334920"/>
    <n v="1377249191"/>
    <n v="27544497"/>
    <n v="0"/>
    <n v="18363809"/>
    <n v="27544497"/>
    <n v="45908306"/>
    <n v="20.036100000000001"/>
    <n v="6.7581699999999998"/>
    <n v="2913.97"/>
    <n v="1942.91"/>
    <n v="1693"/>
    <n v="744"/>
    <x v="13"/>
  </r>
  <r>
    <s v="istree_exp1_scaling_threads/step10268.txt"/>
    <x v="1"/>
    <n v="208"/>
    <s v="reclaimer_debra"/>
    <s v="allocator_new"/>
    <s v="pool_none"/>
    <n v="30000"/>
    <n v="20"/>
    <n v="20"/>
    <n v="0"/>
    <n v="1"/>
    <x v="1"/>
    <n v="96"/>
    <x v="2"/>
    <n v="96"/>
    <n v="0"/>
    <s v="insertIfAbsent"/>
    <n v="100048632824124"/>
    <n v="10004013"/>
    <n v="100048632824124"/>
    <n v="10004013"/>
    <s v="success"/>
    <n v="9"/>
    <n v="320451"/>
    <n v="1960853"/>
    <n v="2281304"/>
    <n v="10004013"/>
    <n v="7.11904"/>
    <n v="5.1018699999999999"/>
    <n v="5.3852200000000003"/>
    <n v="8"/>
    <n v="474511232"/>
    <m/>
    <m/>
    <m/>
    <s v="768 60566"/>
    <m/>
    <m/>
    <n v="1495271823"/>
    <n v="0"/>
    <n v="996906605"/>
    <n v="1495271823"/>
    <n v="2492178428"/>
    <n v="49842394"/>
    <n v="0"/>
    <n v="33230220"/>
    <n v="49842394"/>
    <n v="83072614"/>
    <n v="21.457799999999999"/>
    <n v="7.6881399999999998"/>
    <n v="3210.24"/>
    <n v="2067.5500000000002"/>
    <n v="2156"/>
    <n v="907"/>
    <x v="13"/>
  </r>
  <r>
    <s v="istree_exp1_scaling_threads/step10269.txt"/>
    <x v="1"/>
    <n v="208"/>
    <s v="reclaimer_debra"/>
    <s v="allocator_new"/>
    <s v="pool_none"/>
    <n v="30000"/>
    <n v="20"/>
    <n v="20"/>
    <n v="0"/>
    <n v="1"/>
    <x v="1"/>
    <n v="144"/>
    <x v="3"/>
    <n v="144"/>
    <n v="0"/>
    <s v="insertIfAbsent"/>
    <n v="100011620910381"/>
    <n v="10000387"/>
    <n v="100011620910381"/>
    <n v="10000387"/>
    <s v="success"/>
    <n v="10"/>
    <n v="324918"/>
    <n v="1957512"/>
    <n v="2282430"/>
    <n v="10000387"/>
    <n v="7.0246300000000002"/>
    <n v="5.1087199999999999"/>
    <n v="5.3814599999999997"/>
    <n v="9"/>
    <n v="474745440"/>
    <m/>
    <m/>
    <m/>
    <s v="694 38162"/>
    <m/>
    <m/>
    <n v="1942239010"/>
    <n v="0"/>
    <n v="1294827684"/>
    <n v="1942239010"/>
    <n v="3237066694"/>
    <n v="64741300"/>
    <n v="0"/>
    <n v="43160922"/>
    <n v="64741300"/>
    <n v="107902223"/>
    <n v="22.535799999999998"/>
    <n v="8.67563"/>
    <n v="3706.79"/>
    <n v="2273.9"/>
    <n v="2109"/>
    <n v="867"/>
    <x v="13"/>
  </r>
  <r>
    <s v="istree_exp1_scaling_threads/step10270.txt"/>
    <x v="1"/>
    <n v="208"/>
    <s v="reclaimer_debra"/>
    <s v="allocator_new"/>
    <s v="pool_none"/>
    <n v="30000"/>
    <n v="20"/>
    <n v="20"/>
    <n v="0"/>
    <n v="1"/>
    <x v="1"/>
    <n v="190"/>
    <x v="4"/>
    <n v="190"/>
    <n v="0"/>
    <s v="insertIfAbsent"/>
    <n v="100007103983835"/>
    <n v="10000440"/>
    <n v="100007103983835"/>
    <n v="10000440"/>
    <s v="success"/>
    <n v="9"/>
    <n v="327250"/>
    <n v="1955201"/>
    <n v="2282451"/>
    <n v="10000440"/>
    <n v="6.97464"/>
    <n v="5.1147900000000002"/>
    <n v="5.3814500000000001"/>
    <n v="8"/>
    <n v="474749808"/>
    <m/>
    <m/>
    <m/>
    <n v="29354"/>
    <m/>
    <m/>
    <n v="2219799862"/>
    <n v="0"/>
    <n v="1479853827"/>
    <n v="2219799862"/>
    <n v="3699653689"/>
    <n v="73993328"/>
    <n v="0"/>
    <n v="49328460"/>
    <n v="73993328"/>
    <n v="123321789"/>
    <n v="22.866399999999999"/>
    <n v="9.11496"/>
    <n v="4252.34"/>
    <n v="2408.35"/>
    <n v="2297"/>
    <n v="979"/>
    <x v="13"/>
  </r>
  <r>
    <s v="istree_exp1_scaling_threads/step10271.txt"/>
    <x v="2"/>
    <m/>
    <s v="reclaimer_debra"/>
    <s v="allocator_new"/>
    <s v="pool_none"/>
    <n v="30000"/>
    <n v="20"/>
    <n v="20"/>
    <n v="0"/>
    <n v="1"/>
    <x v="1"/>
    <n v="24"/>
    <x v="0"/>
    <n v="24"/>
    <n v="0"/>
    <s v="insertIfAbsent"/>
    <n v="99999558413644"/>
    <n v="10000150"/>
    <n v="99999558413644"/>
    <n v="10000150"/>
    <s v="success"/>
    <n v="29"/>
    <n v="6855998"/>
    <n v="5203203"/>
    <n v="12059201"/>
    <n v="10000150"/>
    <n v="1.7589300000000001"/>
    <n v="1.9219200000000001"/>
    <n v="1.82925"/>
    <n v="23.2319"/>
    <n v="675315256"/>
    <m/>
    <m/>
    <m/>
    <s v="4868 145016"/>
    <m/>
    <m/>
    <n v="224579861"/>
    <n v="0"/>
    <n v="149728197"/>
    <n v="224579861"/>
    <n v="374308058"/>
    <n v="7485995"/>
    <n v="0"/>
    <n v="4990939"/>
    <n v="7485995"/>
    <n v="12476935"/>
    <n v="30.066299999999998"/>
    <n v="10.5709"/>
    <n v="5364.9"/>
    <n v="3903.13"/>
    <n v="1860"/>
    <n v="1456"/>
    <x v="13"/>
  </r>
  <r>
    <s v="istree_exp1_scaling_threads/step10272.txt"/>
    <x v="2"/>
    <m/>
    <s v="reclaimer_debra"/>
    <s v="allocator_new"/>
    <s v="pool_none"/>
    <n v="30000"/>
    <n v="20"/>
    <n v="20"/>
    <n v="0"/>
    <n v="1"/>
    <x v="1"/>
    <n v="48"/>
    <x v="1"/>
    <n v="48"/>
    <n v="0"/>
    <s v="insertIfAbsent"/>
    <n v="99975408045777"/>
    <n v="9998159"/>
    <n v="99975408045777"/>
    <n v="9998159"/>
    <s v="success"/>
    <n v="29"/>
    <n v="6857757"/>
    <n v="5202486"/>
    <n v="12060243"/>
    <n v="9998159"/>
    <n v="1.7586299999999999"/>
    <n v="1.9218"/>
    <n v="1.8290200000000001"/>
    <n v="23.232199999999999"/>
    <n v="675373608"/>
    <m/>
    <m/>
    <m/>
    <s v="1204 65556"/>
    <m/>
    <m/>
    <n v="420810489"/>
    <n v="0"/>
    <n v="280556299"/>
    <n v="420810489"/>
    <n v="701366788"/>
    <n v="14027016"/>
    <n v="0"/>
    <n v="9351876"/>
    <n v="14027016"/>
    <n v="23378892"/>
    <n v="30.773599999999998"/>
    <n v="10.5543"/>
    <n v="5725.69"/>
    <n v="4227.5"/>
    <n v="1891"/>
    <n v="1039"/>
    <x v="13"/>
  </r>
  <r>
    <s v="istree_exp1_scaling_threads/step10273.txt"/>
    <x v="2"/>
    <m/>
    <s v="reclaimer_debra"/>
    <s v="allocator_new"/>
    <s v="pool_none"/>
    <n v="30000"/>
    <n v="20"/>
    <n v="20"/>
    <n v="0"/>
    <n v="1"/>
    <x v="1"/>
    <n v="96"/>
    <x v="2"/>
    <n v="96"/>
    <n v="0"/>
    <s v="insertIfAbsent"/>
    <n v="99971965189776"/>
    <n v="9997542"/>
    <n v="99971965189776"/>
    <n v="9997542"/>
    <s v="success"/>
    <n v="29"/>
    <n v="6855648"/>
    <n v="5201603"/>
    <n v="12057251"/>
    <n v="9997542"/>
    <n v="1.7587299999999999"/>
    <n v="1.92201"/>
    <n v="1.82917"/>
    <n v="23.231100000000001"/>
    <n v="675206056"/>
    <m/>
    <m/>
    <m/>
    <s v="294 33452"/>
    <m/>
    <m/>
    <n v="876278095"/>
    <n v="0"/>
    <n v="584196476"/>
    <n v="876278095"/>
    <n v="1460474571"/>
    <n v="29209269"/>
    <n v="0"/>
    <n v="19473215"/>
    <n v="29209269"/>
    <n v="48682485"/>
    <n v="31.448899999999998"/>
    <n v="11.194900000000001"/>
    <n v="5493.2"/>
    <n v="3963.13"/>
    <n v="2053"/>
    <n v="805"/>
    <x v="13"/>
  </r>
  <r>
    <s v="istree_exp1_scaling_threads/step10274.txt"/>
    <x v="2"/>
    <m/>
    <s v="reclaimer_debra"/>
    <s v="allocator_new"/>
    <s v="pool_none"/>
    <n v="30000"/>
    <n v="20"/>
    <n v="20"/>
    <n v="0"/>
    <n v="1"/>
    <x v="1"/>
    <n v="144"/>
    <x v="3"/>
    <n v="144"/>
    <n v="0"/>
    <s v="insertIfAbsent"/>
    <n v="100017032505739"/>
    <n v="10002070"/>
    <n v="100017032505739"/>
    <n v="10002070"/>
    <s v="success"/>
    <n v="29"/>
    <n v="6860834"/>
    <n v="5205910"/>
    <n v="12066744"/>
    <n v="10002070"/>
    <n v="1.7587900000000001"/>
    <n v="1.9212899999999999"/>
    <n v="1.8289"/>
    <n v="23.223400000000002"/>
    <n v="675737664"/>
    <m/>
    <m/>
    <m/>
    <s v="218 21598"/>
    <m/>
    <m/>
    <n v="1281157198"/>
    <n v="0"/>
    <n v="854146026"/>
    <n v="1281157198"/>
    <n v="2135303224"/>
    <n v="42705239"/>
    <n v="0"/>
    <n v="28471534"/>
    <n v="42705239"/>
    <n v="71176774"/>
    <n v="32.294499999999999"/>
    <n v="11.8047"/>
    <n v="5630.12"/>
    <n v="4064.27"/>
    <n v="2419"/>
    <n v="454"/>
    <x v="13"/>
  </r>
  <r>
    <s v="istree_exp1_scaling_threads/step10275.txt"/>
    <x v="2"/>
    <m/>
    <s v="reclaimer_debra"/>
    <s v="allocator_new"/>
    <s v="pool_none"/>
    <n v="30000"/>
    <n v="20"/>
    <n v="20"/>
    <n v="0"/>
    <n v="1"/>
    <x v="1"/>
    <n v="190"/>
    <x v="4"/>
    <n v="190"/>
    <n v="0"/>
    <s v="insertIfAbsent"/>
    <n v="99931612434297"/>
    <n v="9994475"/>
    <n v="99931612434297"/>
    <n v="9994475"/>
    <s v="success"/>
    <n v="29"/>
    <n v="6856488"/>
    <n v="5201365"/>
    <n v="12057853"/>
    <n v="9994475"/>
    <n v="1.7585999999999999"/>
    <n v="1.9215100000000001"/>
    <n v="1.8288800000000001"/>
    <n v="23.214400000000001"/>
    <n v="675239768"/>
    <m/>
    <m/>
    <m/>
    <s v="148 16404"/>
    <m/>
    <m/>
    <n v="1650703693"/>
    <n v="0"/>
    <n v="1100464673"/>
    <n v="1650703693"/>
    <n v="2751168366"/>
    <n v="55023456"/>
    <n v="0"/>
    <n v="36682155"/>
    <n v="55023456"/>
    <n v="91705612"/>
    <n v="32.864800000000002"/>
    <n v="12.287000000000001"/>
    <n v="5759.78"/>
    <n v="4147.3"/>
    <n v="2508"/>
    <n v="462"/>
    <x v="13"/>
  </r>
  <r>
    <s v="istree_exp1_scaling_threads/step10276.txt"/>
    <x v="3"/>
    <m/>
    <s v="reclaimer_debra"/>
    <s v="allocator_new"/>
    <s v="pool_none"/>
    <n v="30000"/>
    <n v="20"/>
    <n v="20"/>
    <n v="0"/>
    <n v="1"/>
    <x v="1"/>
    <n v="24"/>
    <x v="0"/>
    <n v="24"/>
    <n v="0"/>
    <s v="insertIfAbsent"/>
    <n v="99994383881386"/>
    <n v="9998381"/>
    <n v="99994383881386"/>
    <n v="9998381"/>
    <s v="success"/>
    <n v="57"/>
    <n v="9998380"/>
    <n v="9998381"/>
    <n v="19996761"/>
    <n v="9998381"/>
    <n v="2"/>
    <n v="1"/>
    <n v="1.5"/>
    <n v="31.164300000000001"/>
    <n v="639896352"/>
    <m/>
    <m/>
    <m/>
    <s v="4884 121668"/>
    <m/>
    <m/>
    <n v="186693183"/>
    <n v="0"/>
    <n v="124444497"/>
    <n v="186693183"/>
    <n v="311137680"/>
    <n v="6223106"/>
    <n v="0"/>
    <n v="4148149"/>
    <n v="6223106"/>
    <n v="10371256"/>
    <n v="26.186199999999999"/>
    <n v="9.8133599999999994"/>
    <n v="6454.89"/>
    <n v="5055.7"/>
    <n v="1749"/>
    <n v="1502"/>
    <x v="13"/>
  </r>
  <r>
    <s v="istree_exp1_scaling_threads/step10277.txt"/>
    <x v="3"/>
    <m/>
    <s v="reclaimer_debra"/>
    <s v="allocator_new"/>
    <s v="pool_none"/>
    <n v="30000"/>
    <n v="20"/>
    <n v="20"/>
    <n v="0"/>
    <n v="1"/>
    <x v="1"/>
    <n v="48"/>
    <x v="1"/>
    <n v="48"/>
    <n v="0"/>
    <s v="insertIfAbsent"/>
    <n v="99979192550632"/>
    <n v="9998173"/>
    <n v="99979192550632"/>
    <n v="9998173"/>
    <s v="success"/>
    <n v="55"/>
    <n v="9998172"/>
    <n v="9998173"/>
    <n v="19996345"/>
    <n v="9998173"/>
    <n v="2"/>
    <n v="1"/>
    <n v="1.5"/>
    <n v="30.006399999999999"/>
    <n v="639883040"/>
    <m/>
    <m/>
    <m/>
    <s v="1192 56696"/>
    <m/>
    <m/>
    <n v="362186261"/>
    <n v="0"/>
    <n v="241433883"/>
    <n v="362186261"/>
    <n v="603620144"/>
    <n v="12072875"/>
    <n v="0"/>
    <n v="8047796"/>
    <n v="12072875"/>
    <n v="20120671"/>
    <n v="26.071400000000001"/>
    <n v="9.6142500000000002"/>
    <n v="6653.25"/>
    <n v="5516.56"/>
    <n v="1817"/>
    <n v="1059"/>
    <x v="13"/>
  </r>
  <r>
    <s v="istree_exp1_scaling_threads/step10278.txt"/>
    <x v="3"/>
    <m/>
    <s v="reclaimer_debra"/>
    <s v="allocator_new"/>
    <s v="pool_none"/>
    <n v="30000"/>
    <n v="20"/>
    <n v="20"/>
    <n v="0"/>
    <n v="1"/>
    <x v="1"/>
    <n v="96"/>
    <x v="2"/>
    <n v="96"/>
    <n v="0"/>
    <s v="insertIfAbsent"/>
    <n v="99996608087794"/>
    <n v="9999062"/>
    <n v="99996608087794"/>
    <n v="9999062"/>
    <s v="success"/>
    <n v="62"/>
    <n v="9999061"/>
    <n v="9999062"/>
    <n v="19998123"/>
    <n v="9999062"/>
    <n v="2"/>
    <n v="1"/>
    <n v="1.5"/>
    <n v="31.247800000000002"/>
    <n v="639939936"/>
    <m/>
    <m/>
    <m/>
    <s v="266 29594"/>
    <m/>
    <m/>
    <n v="761654622"/>
    <n v="0"/>
    <n v="507762832"/>
    <n v="761654622"/>
    <n v="1269417454"/>
    <n v="25388487"/>
    <n v="0"/>
    <n v="16925427"/>
    <n v="25388487"/>
    <n v="42313915"/>
    <n v="27.616900000000001"/>
    <n v="10.6609"/>
    <n v="6321.83"/>
    <n v="5084.42"/>
    <n v="2277"/>
    <n v="725"/>
    <x v="13"/>
  </r>
  <r>
    <s v="istree_exp1_scaling_threads/step10279.txt"/>
    <x v="3"/>
    <m/>
    <s v="reclaimer_debra"/>
    <s v="allocator_new"/>
    <s v="pool_none"/>
    <n v="30000"/>
    <n v="20"/>
    <n v="20"/>
    <n v="0"/>
    <n v="1"/>
    <x v="1"/>
    <n v="144"/>
    <x v="3"/>
    <n v="144"/>
    <n v="0"/>
    <s v="insertIfAbsent"/>
    <n v="100010809440946"/>
    <n v="10000554"/>
    <n v="100010809440946"/>
    <n v="10000554"/>
    <s v="success"/>
    <n v="59"/>
    <n v="10000553"/>
    <n v="10000554"/>
    <n v="20001107"/>
    <n v="10000554"/>
    <n v="2"/>
    <n v="1"/>
    <n v="1.5"/>
    <n v="30.652999999999999"/>
    <n v="640035424"/>
    <m/>
    <m/>
    <m/>
    <s v="186 18984"/>
    <m/>
    <m/>
    <n v="1070157625"/>
    <n v="0"/>
    <n v="713458389"/>
    <n v="1070157625"/>
    <n v="1783616014"/>
    <n v="35671920"/>
    <n v="0"/>
    <n v="23781946"/>
    <n v="35671920"/>
    <n v="59453867"/>
    <n v="28.695799999999998"/>
    <n v="11.5944"/>
    <n v="6746.88"/>
    <n v="5179.9399999999996"/>
    <n v="2346"/>
    <n v="430"/>
    <x v="13"/>
  </r>
  <r>
    <s v="istree_exp1_scaling_threads/step10280.txt"/>
    <x v="3"/>
    <m/>
    <s v="reclaimer_debra"/>
    <s v="allocator_new"/>
    <s v="pool_none"/>
    <n v="30000"/>
    <n v="20"/>
    <n v="20"/>
    <n v="0"/>
    <n v="1"/>
    <x v="1"/>
    <n v="190"/>
    <x v="4"/>
    <n v="190"/>
    <n v="0"/>
    <s v="insertIfAbsent"/>
    <n v="100022074656779"/>
    <n v="10000919"/>
    <n v="100022074656779"/>
    <n v="10000919"/>
    <s v="success"/>
    <n v="58"/>
    <n v="10000918"/>
    <n v="10000919"/>
    <n v="20001837"/>
    <n v="10000919"/>
    <n v="2"/>
    <n v="1"/>
    <n v="1.5"/>
    <n v="31.0153"/>
    <n v="640058784"/>
    <m/>
    <m/>
    <m/>
    <s v="150 14250"/>
    <m/>
    <m/>
    <n v="1290154954"/>
    <n v="0"/>
    <n v="860060821"/>
    <n v="1290154954"/>
    <n v="2150215775"/>
    <n v="43005165"/>
    <n v="0"/>
    <n v="28668694"/>
    <n v="43005165"/>
    <n v="71673859"/>
    <n v="29.247699999999998"/>
    <n v="12.1259"/>
    <n v="7356.14"/>
    <n v="5292.03"/>
    <n v="2318"/>
    <n v="446"/>
    <x v="13"/>
  </r>
  <r>
    <s v="istree_exp1_scaling_threads/step10281.txt"/>
    <x v="0"/>
    <n v="72"/>
    <s v="reclaimer_debra"/>
    <s v="allocator_new"/>
    <s v="pool_none"/>
    <n v="30000"/>
    <n v="20"/>
    <n v="20"/>
    <n v="0"/>
    <n v="1"/>
    <x v="2"/>
    <n v="24"/>
    <x v="0"/>
    <n v="24"/>
    <n v="0"/>
    <s v="insertIfAbsent"/>
    <n v="1.00009689962951E+16"/>
    <n v="100009188"/>
    <n v="1.00009689962951E+16"/>
    <n v="100009188"/>
    <s v="success"/>
    <n v="7"/>
    <n v="11011111"/>
    <n v="110010199"/>
    <n v="121021310"/>
    <n v="100009188"/>
    <n v="10.9908"/>
    <n v="0.90908999999999995"/>
    <n v="1.8263799999999999"/>
    <n v="4"/>
    <n v="2641052048"/>
    <s v="4 25482 1989402 16865570 2770530"/>
    <s v="4 25449 1989390 16865557 2770529"/>
    <n v="7413"/>
    <n v="183162"/>
    <m/>
    <m/>
    <n v="299985216"/>
    <n v="0"/>
    <n v="199973742"/>
    <n v="299985216"/>
    <n v="499958958"/>
    <n v="9999507"/>
    <n v="0"/>
    <n v="6665791"/>
    <n v="9999507"/>
    <n v="16665298"/>
    <n v="27.973099999999999"/>
    <n v="13.6564"/>
    <n v="3895.15"/>
    <n v="2862.83"/>
    <n v="12595"/>
    <n v="1560"/>
    <x v="14"/>
  </r>
  <r>
    <s v="istree_exp1_scaling_threads/step10282.txt"/>
    <x v="0"/>
    <n v="72"/>
    <s v="reclaimer_debra"/>
    <s v="allocator_new"/>
    <s v="pool_none"/>
    <n v="30000"/>
    <n v="20"/>
    <n v="20"/>
    <n v="0"/>
    <n v="1"/>
    <x v="2"/>
    <n v="48"/>
    <x v="1"/>
    <n v="48"/>
    <n v="0"/>
    <s v="insertIfAbsent"/>
    <n v="9999865986472590"/>
    <n v="100000425"/>
    <n v="9999865986472590"/>
    <n v="100000425"/>
    <s v="success"/>
    <n v="7"/>
    <n v="14760801"/>
    <n v="117822321"/>
    <n v="132583122"/>
    <n v="100000425"/>
    <n v="8.9821100000000005"/>
    <n v="0.84873900000000002"/>
    <n v="1.7542500000000001"/>
    <n v="4.07822"/>
    <n v="3069703808"/>
    <s v="8 51608 2823340 26416281 4456290"/>
    <s v="6 51538 2823294 26416232 4456285"/>
    <n v="31708"/>
    <n v="69634"/>
    <m/>
    <m/>
    <n v="488308518"/>
    <n v="0"/>
    <n v="325522164"/>
    <n v="488308518"/>
    <n v="813830682"/>
    <n v="16276950"/>
    <n v="0"/>
    <n v="10850738"/>
    <n v="16276950"/>
    <n v="27127689"/>
    <n v="29.319400000000002"/>
    <n v="14.1393"/>
    <n v="4719.46"/>
    <n v="3484.95"/>
    <n v="13156"/>
    <n v="1271"/>
    <x v="14"/>
  </r>
  <r>
    <s v="istree_exp1_scaling_threads/step10283.txt"/>
    <x v="0"/>
    <n v="72"/>
    <s v="reclaimer_debra"/>
    <s v="allocator_new"/>
    <s v="pool_none"/>
    <n v="30000"/>
    <n v="20"/>
    <n v="20"/>
    <n v="0"/>
    <n v="1"/>
    <x v="2"/>
    <n v="96"/>
    <x v="2"/>
    <n v="96"/>
    <n v="0"/>
    <s v="insertIfAbsent"/>
    <n v="9998507123393530"/>
    <n v="99979150"/>
    <n v="9998507123393530"/>
    <n v="99979150"/>
    <s v="success"/>
    <n v="7"/>
    <n v="14501211"/>
    <n v="117249425"/>
    <n v="131750636"/>
    <n v="99979150"/>
    <n v="9.0854900000000001"/>
    <n v="0.85270500000000005"/>
    <n v="1.75885"/>
    <n v="4.0703300000000002"/>
    <n v="3039917536"/>
    <s v="27 109179 4604067 47609793 8004075"/>
    <s v="11 109139 4603870 47609638 8004068"/>
    <n v="153582"/>
    <n v="30186"/>
    <m/>
    <m/>
    <n v="889495668"/>
    <n v="0"/>
    <n v="592994061"/>
    <n v="889495668"/>
    <n v="1482489729"/>
    <n v="29649855"/>
    <n v="0"/>
    <n v="19766468"/>
    <n v="29649855"/>
    <n v="49416324"/>
    <n v="30.4893"/>
    <n v="15.916399999999999"/>
    <n v="5063.25"/>
    <n v="3720.88"/>
    <n v="13756"/>
    <n v="1188"/>
    <x v="14"/>
  </r>
  <r>
    <s v="istree_exp1_scaling_threads/step10284.txt"/>
    <x v="0"/>
    <n v="72"/>
    <s v="reclaimer_debra"/>
    <s v="allocator_new"/>
    <s v="pool_none"/>
    <n v="30000"/>
    <n v="20"/>
    <n v="20"/>
    <n v="0"/>
    <n v="1"/>
    <x v="2"/>
    <n v="144"/>
    <x v="3"/>
    <n v="144"/>
    <n v="0"/>
    <s v="insertIfAbsent"/>
    <n v="9998928011636210"/>
    <n v="99991421"/>
    <n v="9998928011636210"/>
    <n v="99991421"/>
    <s v="success"/>
    <n v="7"/>
    <n v="14214355"/>
    <n v="116596834"/>
    <n v="130811189"/>
    <n v="99991421"/>
    <n v="9.20275"/>
    <n v="0.85758299999999998"/>
    <n v="1.7644"/>
    <n v="4.0664400000000001"/>
    <n v="3005309168"/>
    <s v="75 159953 5602559 63079560 10881152"/>
    <s v="16 159931 5602183 63079267 10881135"/>
    <n v="319485"/>
    <n v="17830"/>
    <m/>
    <m/>
    <n v="1227186557"/>
    <n v="0"/>
    <n v="818060431"/>
    <n v="1227186557"/>
    <n v="2045246988"/>
    <n v="40906218"/>
    <n v="0"/>
    <n v="27268681"/>
    <n v="40906218"/>
    <n v="68174899"/>
    <n v="31.102"/>
    <n v="16.9742"/>
    <n v="5365.81"/>
    <n v="3965.22"/>
    <n v="14180"/>
    <n v="1038"/>
    <x v="14"/>
  </r>
  <r>
    <s v="istree_exp1_scaling_threads/step10285.txt"/>
    <x v="0"/>
    <n v="72"/>
    <s v="reclaimer_debra"/>
    <s v="allocator_new"/>
    <s v="pool_none"/>
    <n v="30000"/>
    <n v="20"/>
    <n v="20"/>
    <n v="0"/>
    <n v="1"/>
    <x v="2"/>
    <n v="190"/>
    <x v="4"/>
    <n v="190"/>
    <n v="0"/>
    <s v="insertIfAbsent"/>
    <n v="1.00004543209665E+16"/>
    <n v="99997496"/>
    <n v="1.00004543209665E+16"/>
    <n v="99997496"/>
    <s v="success"/>
    <n v="7"/>
    <n v="11010048"/>
    <n v="109997592"/>
    <n v="121007640"/>
    <n v="99997496"/>
    <n v="10.9907"/>
    <n v="0.90908800000000001"/>
    <n v="1.82637"/>
    <n v="4"/>
    <n v="2640765296"/>
    <s v="54 199969 6880498 77722522 13316938"/>
    <s v="20 199946 6879847 77722034 13316905"/>
    <n v="513768"/>
    <n v="12776"/>
    <m/>
    <m/>
    <n v="1499916057"/>
    <n v="0"/>
    <n v="999941100"/>
    <n v="1499916057"/>
    <n v="2499857157"/>
    <n v="49997201"/>
    <n v="0"/>
    <n v="33331370"/>
    <n v="49997201"/>
    <n v="83328571"/>
    <n v="31.533200000000001"/>
    <n v="17.6447"/>
    <n v="5698.34"/>
    <n v="4229.57"/>
    <n v="14436"/>
    <n v="1132"/>
    <x v="14"/>
  </r>
  <r>
    <s v="istree_exp1_scaling_threads/step10286.txt"/>
    <x v="1"/>
    <n v="208"/>
    <s v="reclaimer_debra"/>
    <s v="allocator_new"/>
    <s v="pool_none"/>
    <n v="30000"/>
    <n v="20"/>
    <n v="20"/>
    <n v="0"/>
    <n v="1"/>
    <x v="2"/>
    <n v="24"/>
    <x v="0"/>
    <n v="24"/>
    <n v="0"/>
    <s v="insertIfAbsent"/>
    <n v="1.00019333422853E+16"/>
    <n v="100012423"/>
    <n v="1.00019333422853E+16"/>
    <n v="100012423"/>
    <s v="success"/>
    <n v="10"/>
    <n v="2225578"/>
    <n v="15303100"/>
    <n v="17528678"/>
    <n v="100012423"/>
    <n v="7.87601"/>
    <n v="6.5354400000000004"/>
    <n v="6.7056500000000003"/>
    <n v="9"/>
    <n v="3645965024"/>
    <m/>
    <m/>
    <m/>
    <s v="53528 249020"/>
    <m/>
    <m/>
    <n v="315961475"/>
    <n v="0"/>
    <n v="210665031"/>
    <n v="315961475"/>
    <n v="526626506"/>
    <n v="10532049"/>
    <n v="0"/>
    <n v="7022167"/>
    <n v="10532049"/>
    <n v="17554216"/>
    <n v="26.066400000000002"/>
    <n v="11.163500000000001"/>
    <n v="3809.26"/>
    <n v="2703.68"/>
    <n v="4939"/>
    <n v="9625"/>
    <x v="14"/>
  </r>
  <r>
    <s v="istree_exp1_scaling_threads/step10287.txt"/>
    <x v="1"/>
    <n v="208"/>
    <s v="reclaimer_debra"/>
    <s v="allocator_new"/>
    <s v="pool_none"/>
    <n v="30000"/>
    <n v="20"/>
    <n v="20"/>
    <n v="0"/>
    <n v="1"/>
    <x v="2"/>
    <n v="48"/>
    <x v="1"/>
    <n v="48"/>
    <n v="0"/>
    <s v="insertIfAbsent"/>
    <n v="1.0000700994534E+16"/>
    <n v="100011811"/>
    <n v="1.0000700994534E+16"/>
    <n v="100011811"/>
    <s v="success"/>
    <n v="11"/>
    <n v="2370063"/>
    <n v="16297757"/>
    <n v="18667820"/>
    <n v="100011811"/>
    <n v="7.8765099999999997"/>
    <n v="6.1365400000000001"/>
    <n v="6.3574400000000004"/>
    <n v="10"/>
    <n v="3882906560"/>
    <m/>
    <m/>
    <m/>
    <s v="13258 102656"/>
    <m/>
    <m/>
    <n v="586866135"/>
    <n v="0"/>
    <n v="391267921"/>
    <n v="586866135"/>
    <n v="978134056"/>
    <n v="19562204"/>
    <n v="0"/>
    <n v="13042264"/>
    <n v="19562204"/>
    <n v="32604468"/>
    <n v="26.297499999999999"/>
    <n v="11.095700000000001"/>
    <n v="4101.01"/>
    <n v="3071.94"/>
    <n v="5447"/>
    <n v="6545"/>
    <x v="14"/>
  </r>
  <r>
    <s v="istree_exp1_scaling_threads/step10288.txt"/>
    <x v="1"/>
    <n v="208"/>
    <s v="reclaimer_debra"/>
    <s v="allocator_new"/>
    <s v="pool_none"/>
    <n v="30000"/>
    <n v="20"/>
    <n v="20"/>
    <n v="0"/>
    <n v="1"/>
    <x v="2"/>
    <n v="96"/>
    <x v="2"/>
    <n v="96"/>
    <n v="0"/>
    <s v="insertIfAbsent"/>
    <n v="9999563989342760"/>
    <n v="100002385"/>
    <n v="9999563989342760"/>
    <n v="100002385"/>
    <s v="success"/>
    <n v="11"/>
    <n v="2541825"/>
    <n v="17432466"/>
    <n v="19974291"/>
    <n v="100002385"/>
    <n v="7.85825"/>
    <n v="5.7365599999999999"/>
    <n v="6.0065499999999998"/>
    <n v="10"/>
    <n v="4154652528"/>
    <m/>
    <m/>
    <m/>
    <s v="6528 50070"/>
    <m/>
    <m/>
    <n v="1106338153"/>
    <n v="0"/>
    <n v="737524111"/>
    <n v="1106338153"/>
    <n v="1843862264"/>
    <n v="36877938"/>
    <n v="0"/>
    <n v="24584137"/>
    <n v="36877938"/>
    <n v="61462075"/>
    <n v="27.699100000000001"/>
    <n v="12.474500000000001"/>
    <n v="4341.1899999999996"/>
    <n v="3184.02"/>
    <n v="8986"/>
    <n v="6498"/>
    <x v="14"/>
  </r>
  <r>
    <s v="istree_exp1_scaling_threads/step10289.txt"/>
    <x v="1"/>
    <n v="208"/>
    <s v="reclaimer_debra"/>
    <s v="allocator_new"/>
    <s v="pool_none"/>
    <n v="30000"/>
    <n v="20"/>
    <n v="20"/>
    <n v="0"/>
    <n v="1"/>
    <x v="2"/>
    <n v="144"/>
    <x v="3"/>
    <n v="144"/>
    <n v="0"/>
    <s v="insertIfAbsent"/>
    <n v="1.00003897155846E+16"/>
    <n v="100001766"/>
    <n v="1.00003897155846E+16"/>
    <n v="100001766"/>
    <s v="success"/>
    <n v="11"/>
    <n v="2622496"/>
    <n v="17950081"/>
    <n v="20572577"/>
    <n v="100001766"/>
    <n v="7.8446600000000002"/>
    <n v="5.5711000000000004"/>
    <n v="5.8609299999999998"/>
    <n v="10"/>
    <n v="4279096016"/>
    <m/>
    <m/>
    <m/>
    <s v="3980 31532"/>
    <m/>
    <m/>
    <n v="1489162900"/>
    <n v="0"/>
    <n v="992813048"/>
    <n v="1489162900"/>
    <n v="2481975948"/>
    <n v="49638763"/>
    <n v="0"/>
    <n v="33093768"/>
    <n v="49638763"/>
    <n v="82732531"/>
    <n v="28.856200000000001"/>
    <n v="13.3414"/>
    <n v="4830.6000000000004"/>
    <n v="3366.41"/>
    <n v="9273"/>
    <n v="5998"/>
    <x v="14"/>
  </r>
  <r>
    <s v="istree_exp1_scaling_threads/step10290.txt"/>
    <x v="1"/>
    <n v="208"/>
    <s v="reclaimer_debra"/>
    <s v="allocator_new"/>
    <s v="pool_none"/>
    <n v="30000"/>
    <n v="20"/>
    <n v="20"/>
    <n v="0"/>
    <n v="1"/>
    <x v="2"/>
    <n v="190"/>
    <x v="4"/>
    <n v="190"/>
    <n v="0"/>
    <s v="insertIfAbsent"/>
    <n v="1.00001813238736E+16"/>
    <n v="100007912"/>
    <n v="1.00001813238736E+16"/>
    <n v="100007912"/>
    <s v="success"/>
    <n v="11"/>
    <n v="2665124"/>
    <n v="18212450"/>
    <n v="20877574"/>
    <n v="100007912"/>
    <n v="7.8336199999999998"/>
    <n v="5.4911799999999999"/>
    <n v="5.7902100000000001"/>
    <n v="10"/>
    <n v="4342535392"/>
    <m/>
    <m/>
    <m/>
    <s v="3000 23594"/>
    <m/>
    <m/>
    <n v="1740348467"/>
    <n v="0"/>
    <n v="1160211950"/>
    <n v="1740348467"/>
    <n v="2900560417"/>
    <n v="58011615"/>
    <n v="0"/>
    <n v="38673731"/>
    <n v="58011615"/>
    <n v="96685347"/>
    <n v="29.447500000000002"/>
    <n v="13.903600000000001"/>
    <n v="5435.81"/>
    <n v="3559.19"/>
    <n v="9752"/>
    <n v="6065"/>
    <x v="14"/>
  </r>
  <r>
    <s v="istree_exp1_scaling_threads/step10291.txt"/>
    <x v="2"/>
    <m/>
    <s v="reclaimer_debra"/>
    <s v="allocator_new"/>
    <s v="pool_none"/>
    <n v="30000"/>
    <n v="20"/>
    <n v="20"/>
    <n v="0"/>
    <n v="1"/>
    <x v="2"/>
    <n v="24"/>
    <x v="0"/>
    <n v="24"/>
    <n v="0"/>
    <s v="insertIfAbsent"/>
    <n v="1.0000002790952E+16"/>
    <n v="99998216"/>
    <n v="1.0000002790952E+16"/>
    <n v="99998216"/>
    <s v="success"/>
    <n v="33"/>
    <n v="61419458"/>
    <n v="46343931"/>
    <n v="107763389"/>
    <n v="99998216"/>
    <n v="1.7545500000000001"/>
    <n v="2.15774"/>
    <n v="1.92794"/>
    <n v="26.266200000000001"/>
    <n v="6034749784"/>
    <m/>
    <m/>
    <m/>
    <s v="50236 140310"/>
    <m/>
    <m/>
    <n v="144439285"/>
    <n v="0"/>
    <n v="96298575"/>
    <n v="144439285"/>
    <n v="240737860"/>
    <n v="4814642"/>
    <n v="0"/>
    <n v="3209952"/>
    <n v="4814642"/>
    <n v="8024595"/>
    <n v="41.906300000000002"/>
    <n v="18.7805"/>
    <n v="8336.93"/>
    <n v="6724.16"/>
    <n v="8029"/>
    <n v="17252"/>
    <x v="14"/>
  </r>
  <r>
    <s v="istree_exp1_scaling_threads/step10292.txt"/>
    <x v="2"/>
    <m/>
    <s v="reclaimer_debra"/>
    <s v="allocator_new"/>
    <s v="pool_none"/>
    <n v="30000"/>
    <n v="20"/>
    <n v="20"/>
    <n v="0"/>
    <n v="1"/>
    <x v="2"/>
    <n v="48"/>
    <x v="1"/>
    <n v="48"/>
    <n v="0"/>
    <s v="insertIfAbsent"/>
    <n v="9999613495605260"/>
    <n v="99999939"/>
    <n v="9999613495605260"/>
    <n v="99999939"/>
    <s v="success"/>
    <n v="33"/>
    <n v="64024435"/>
    <n v="48411974"/>
    <n v="112436409"/>
    <n v="99999939"/>
    <n v="1.7561500000000001"/>
    <n v="2.0655999999999999"/>
    <n v="1.8893899999999999"/>
    <n v="26.421800000000001"/>
    <n v="6296438904"/>
    <m/>
    <m/>
    <m/>
    <s v="12738 54156"/>
    <m/>
    <m/>
    <n v="275451848"/>
    <n v="0"/>
    <n v="183625797"/>
    <n v="275451848"/>
    <n v="459077645"/>
    <n v="9181728"/>
    <n v="0"/>
    <n v="6120859"/>
    <n v="9181728"/>
    <n v="15302588"/>
    <n v="42.447000000000003"/>
    <n v="18.7682"/>
    <n v="8741.89"/>
    <n v="7153.06"/>
    <n v="8338"/>
    <n v="9256"/>
    <x v="14"/>
  </r>
  <r>
    <s v="istree_exp1_scaling_threads/step10293.txt"/>
    <x v="2"/>
    <m/>
    <s v="reclaimer_debra"/>
    <s v="allocator_new"/>
    <s v="pool_none"/>
    <n v="30000"/>
    <n v="20"/>
    <n v="20"/>
    <n v="0"/>
    <n v="1"/>
    <x v="2"/>
    <n v="96"/>
    <x v="2"/>
    <n v="96"/>
    <n v="0"/>
    <s v="insertIfAbsent"/>
    <n v="9999884011185080"/>
    <n v="99996273"/>
    <n v="9999884011185080"/>
    <n v="99996273"/>
    <s v="success"/>
    <n v="33"/>
    <n v="66881216"/>
    <n v="50668875"/>
    <n v="117550091"/>
    <n v="99996273"/>
    <n v="1.7576000000000001"/>
    <n v="1.9735199999999999"/>
    <n v="1.85067"/>
    <n v="26.5778"/>
    <n v="6582805096"/>
    <m/>
    <m/>
    <m/>
    <s v="2960 24970"/>
    <m/>
    <m/>
    <n v="581543983"/>
    <n v="0"/>
    <n v="387731296"/>
    <n v="581543983"/>
    <n v="969275279"/>
    <n v="19384799"/>
    <n v="0"/>
    <n v="12924376"/>
    <n v="19384799"/>
    <n v="32309175"/>
    <n v="42.823599999999999"/>
    <n v="20.22"/>
    <n v="8272.0300000000007"/>
    <n v="6664.03"/>
    <n v="8713"/>
    <n v="4706"/>
    <x v="14"/>
  </r>
  <r>
    <s v="istree_exp1_scaling_threads/step10294.txt"/>
    <x v="2"/>
    <m/>
    <s v="reclaimer_debra"/>
    <s v="allocator_new"/>
    <s v="pool_none"/>
    <n v="30000"/>
    <n v="20"/>
    <n v="20"/>
    <n v="0"/>
    <n v="1"/>
    <x v="2"/>
    <n v="144"/>
    <x v="3"/>
    <n v="144"/>
    <n v="0"/>
    <s v="insertIfAbsent"/>
    <n v="1.00008338779576E+16"/>
    <n v="100008820"/>
    <n v="1.00008338779576E+16"/>
    <n v="100008820"/>
    <s v="success"/>
    <n v="33"/>
    <n v="67980322"/>
    <n v="51531921"/>
    <n v="119512243"/>
    <n v="100008820"/>
    <n v="1.75804"/>
    <n v="1.94072"/>
    <n v="1.8368100000000001"/>
    <n v="26.5793"/>
    <n v="6692685608"/>
    <m/>
    <m/>
    <m/>
    <s v="1418 15730"/>
    <m/>
    <m/>
    <n v="867526673"/>
    <n v="0"/>
    <n v="578333766"/>
    <n v="867526673"/>
    <n v="1445860439"/>
    <n v="28917555"/>
    <n v="0"/>
    <n v="19277792"/>
    <n v="28917555"/>
    <n v="48195347"/>
    <n v="43.3887"/>
    <n v="20.8231"/>
    <n v="8316.83"/>
    <n v="6691.07"/>
    <n v="9465"/>
    <n v="3108"/>
    <x v="14"/>
  </r>
  <r>
    <s v="istree_exp1_scaling_threads/step10295.txt"/>
    <x v="2"/>
    <m/>
    <s v="reclaimer_debra"/>
    <s v="allocator_new"/>
    <s v="pool_none"/>
    <n v="30000"/>
    <n v="20"/>
    <n v="20"/>
    <n v="0"/>
    <n v="1"/>
    <x v="2"/>
    <n v="190"/>
    <x v="4"/>
    <n v="190"/>
    <n v="0"/>
    <s v="insertIfAbsent"/>
    <n v="1.00002123615585E+16"/>
    <n v="100002075"/>
    <n v="1.00002123615585E+16"/>
    <n v="100002075"/>
    <s v="success"/>
    <n v="33"/>
    <n v="68314616"/>
    <n v="51802910"/>
    <n v="120117526"/>
    <n v="100002075"/>
    <n v="1.7583"/>
    <n v="1.9304300000000001"/>
    <n v="1.8325400000000001"/>
    <n v="26.6478"/>
    <n v="6726581456"/>
    <m/>
    <m/>
    <m/>
    <s v="776 11756"/>
    <m/>
    <m/>
    <n v="1124193890"/>
    <n v="0"/>
    <n v="749480287"/>
    <n v="1124193890"/>
    <n v="1873674177"/>
    <n v="37473129"/>
    <n v="0"/>
    <n v="24982676"/>
    <n v="37473129"/>
    <n v="62455805"/>
    <n v="43.783299999999997"/>
    <n v="21.380199999999999"/>
    <n v="8463.66"/>
    <n v="6809.24"/>
    <n v="10611"/>
    <n v="2776"/>
    <x v="14"/>
  </r>
  <r>
    <s v="istree_exp1_scaling_threads/step10296.txt"/>
    <x v="3"/>
    <m/>
    <s v="reclaimer_debra"/>
    <s v="allocator_new"/>
    <s v="pool_none"/>
    <n v="30000"/>
    <n v="20"/>
    <n v="20"/>
    <n v="0"/>
    <n v="1"/>
    <x v="2"/>
    <n v="24"/>
    <x v="0"/>
    <n v="24"/>
    <n v="0"/>
    <s v="insertIfAbsent"/>
    <n v="9999810706801280"/>
    <n v="100000490"/>
    <n v="9999810706801280"/>
    <n v="100000490"/>
    <s v="success"/>
    <n v="69"/>
    <n v="100000489"/>
    <n v="100000490"/>
    <n v="200000979"/>
    <n v="100000490"/>
    <n v="2"/>
    <n v="1"/>
    <n v="1.5"/>
    <n v="36.001300000000001"/>
    <n v="6400031328"/>
    <m/>
    <m/>
    <m/>
    <s v="50320 124814"/>
    <m/>
    <m/>
    <n v="118223644"/>
    <n v="0"/>
    <n v="78832426"/>
    <n v="118223644"/>
    <n v="197056070"/>
    <n v="3940788"/>
    <n v="0"/>
    <n v="2627747"/>
    <n v="3940788"/>
    <n v="6568535"/>
    <n v="38.826500000000003"/>
    <n v="17.8583"/>
    <n v="10192.6"/>
    <n v="8594.52"/>
    <n v="7548"/>
    <n v="18970"/>
    <x v="14"/>
  </r>
  <r>
    <s v="istree_exp1_scaling_threads/step10297.txt"/>
    <x v="3"/>
    <m/>
    <s v="reclaimer_debra"/>
    <s v="allocator_new"/>
    <s v="pool_none"/>
    <n v="30000"/>
    <n v="20"/>
    <n v="20"/>
    <n v="0"/>
    <n v="1"/>
    <x v="2"/>
    <n v="48"/>
    <x v="1"/>
    <n v="48"/>
    <n v="0"/>
    <s v="insertIfAbsent"/>
    <n v="1.00006990513996E+16"/>
    <n v="100015388"/>
    <n v="1.00006990513996E+16"/>
    <n v="100015388"/>
    <s v="success"/>
    <n v="71"/>
    <n v="100015387"/>
    <n v="100015388"/>
    <n v="200030775"/>
    <n v="100015388"/>
    <n v="2"/>
    <n v="1"/>
    <n v="1.5"/>
    <n v="35.295000000000002"/>
    <n v="6400984800"/>
    <m/>
    <m/>
    <m/>
    <s v="12734 47622"/>
    <m/>
    <m/>
    <n v="230773108"/>
    <n v="0"/>
    <n v="153840084"/>
    <n v="230773108"/>
    <n v="384613192"/>
    <n v="7692436"/>
    <n v="0"/>
    <n v="5128002"/>
    <n v="7692436"/>
    <n v="12820439"/>
    <n v="38.961300000000001"/>
    <n v="17.6617"/>
    <n v="10442.700000000001"/>
    <n v="9202.58"/>
    <n v="7602"/>
    <n v="9934"/>
    <x v="14"/>
  </r>
  <r>
    <s v="istree_exp1_scaling_threads/step10298.txt"/>
    <x v="3"/>
    <m/>
    <s v="reclaimer_debra"/>
    <s v="allocator_new"/>
    <s v="pool_none"/>
    <n v="30000"/>
    <n v="20"/>
    <n v="20"/>
    <n v="0"/>
    <n v="1"/>
    <x v="2"/>
    <n v="96"/>
    <x v="2"/>
    <n v="96"/>
    <n v="0"/>
    <s v="insertIfAbsent"/>
    <n v="1.00010782921387E+16"/>
    <n v="100003476"/>
    <n v="1.00010782921387E+16"/>
    <n v="100003476"/>
    <s v="success"/>
    <n v="67"/>
    <n v="100003475"/>
    <n v="100003476"/>
    <n v="200006951"/>
    <n v="100003476"/>
    <n v="2"/>
    <n v="1"/>
    <n v="1.5"/>
    <n v="34.917299999999997"/>
    <n v="6400222432"/>
    <m/>
    <m/>
    <m/>
    <s v="2936 21722"/>
    <m/>
    <m/>
    <n v="489803235"/>
    <n v="0"/>
    <n v="326538255"/>
    <n v="489803235"/>
    <n v="816341490"/>
    <n v="16326774"/>
    <n v="0"/>
    <n v="10884608"/>
    <n v="16326774"/>
    <n v="27211383"/>
    <n v="40.325400000000002"/>
    <n v="19.977699999999999"/>
    <n v="9825.7900000000009"/>
    <n v="8504.5300000000007"/>
    <n v="8510"/>
    <n v="4793"/>
    <x v="14"/>
  </r>
  <r>
    <s v="istree_exp1_scaling_threads/step10299.txt"/>
    <x v="3"/>
    <m/>
    <s v="reclaimer_debra"/>
    <s v="allocator_new"/>
    <s v="pool_none"/>
    <n v="30000"/>
    <n v="20"/>
    <n v="20"/>
    <n v="0"/>
    <n v="1"/>
    <x v="2"/>
    <n v="144"/>
    <x v="3"/>
    <n v="144"/>
    <n v="0"/>
    <s v="insertIfAbsent"/>
    <n v="1.00002123832665E+16"/>
    <n v="100003059"/>
    <n v="1.00002123832665E+16"/>
    <n v="100003059"/>
    <s v="success"/>
    <n v="67"/>
    <n v="100003058"/>
    <n v="100003059"/>
    <n v="200006117"/>
    <n v="100003059"/>
    <n v="2"/>
    <n v="1"/>
    <n v="1.5"/>
    <n v="35.4572"/>
    <n v="6400195744"/>
    <m/>
    <m/>
    <m/>
    <s v="1390 13414"/>
    <m/>
    <m/>
    <n v="711709825"/>
    <n v="0"/>
    <n v="474474338"/>
    <n v="711709825"/>
    <n v="1186184163"/>
    <n v="23723660"/>
    <n v="0"/>
    <n v="15815811"/>
    <n v="23723660"/>
    <n v="39539472"/>
    <n v="41.392899999999997"/>
    <n v="20.982600000000001"/>
    <n v="10137.4"/>
    <n v="8605.6"/>
    <n v="10052"/>
    <n v="3138"/>
    <x v="14"/>
  </r>
  <r>
    <s v="istree_exp1_scaling_threads/step10300.txt"/>
    <x v="3"/>
    <m/>
    <s v="reclaimer_debra"/>
    <s v="allocator_new"/>
    <s v="pool_none"/>
    <n v="30000"/>
    <n v="20"/>
    <n v="20"/>
    <n v="0"/>
    <n v="1"/>
    <x v="2"/>
    <n v="190"/>
    <x v="4"/>
    <n v="190"/>
    <n v="0"/>
    <s v="insertIfAbsent"/>
    <n v="1.00004939199085E+16"/>
    <n v="100005030"/>
    <n v="1.00004939199085E+16"/>
    <n v="100005030"/>
    <s v="success"/>
    <n v="69"/>
    <n v="100005029"/>
    <n v="100005030"/>
    <n v="200010059"/>
    <n v="100005030"/>
    <n v="2"/>
    <n v="1"/>
    <n v="1.5"/>
    <n v="35.7104"/>
    <n v="6400321888"/>
    <m/>
    <m/>
    <m/>
    <s v="730 9914"/>
    <m/>
    <m/>
    <n v="901649451"/>
    <n v="0"/>
    <n v="601147277"/>
    <n v="901649451"/>
    <n v="1502796728"/>
    <n v="30054981"/>
    <n v="0"/>
    <n v="20038242"/>
    <n v="30054981"/>
    <n v="50093224"/>
    <n v="41.969000000000001"/>
    <n v="21.651900000000001"/>
    <n v="10551"/>
    <n v="8707.61"/>
    <n v="10962"/>
    <n v="2841"/>
    <x v="14"/>
  </r>
  <r>
    <s v="istree_exp1_scaling_threads/step10301.txt"/>
    <x v="0"/>
    <n v="72"/>
    <s v="reclaimer_debra"/>
    <s v="allocator_new"/>
    <s v="pool_none"/>
    <n v="30000"/>
    <n v="20"/>
    <n v="20"/>
    <n v="0"/>
    <n v="1"/>
    <x v="3"/>
    <n v="24"/>
    <x v="0"/>
    <n v="24"/>
    <n v="0"/>
    <s v="insertIfAbsent"/>
    <n v="1.00000545285928E+18"/>
    <n v="1000007339"/>
    <n v="1.00000545285928E+18"/>
    <n v="1000007339"/>
    <s v="success"/>
    <n v="7"/>
    <n v="119441040"/>
    <n v="1150783622"/>
    <n v="1270224662"/>
    <n v="1000007339"/>
    <n v="10.6347"/>
    <n v="0.86897899999999995"/>
    <n v="1.7872699999999999"/>
    <n v="4.0733199999999998"/>
    <n v="28004976352"/>
    <s v="0 0 0 4954531 2922006"/>
    <s v="0 0 0 4954530 2922006"/>
    <m/>
    <n v="177432"/>
    <m/>
    <m/>
    <n v="284616951"/>
    <n v="0"/>
    <n v="189740888"/>
    <n v="284616951"/>
    <n v="474357839"/>
    <n v="9487231"/>
    <n v="0"/>
    <n v="6324696"/>
    <n v="9487231"/>
    <n v="15811927"/>
    <n v="25.425899999999999"/>
    <n v="14.883800000000001"/>
    <n v="4194.66"/>
    <n v="3355.11"/>
    <n v="62813"/>
    <n v="16140"/>
    <x v="15"/>
  </r>
  <r>
    <s v="istree_exp1_scaling_threads/step10302.txt"/>
    <x v="0"/>
    <n v="72"/>
    <s v="reclaimer_debra"/>
    <s v="allocator_new"/>
    <s v="pool_none"/>
    <n v="30000"/>
    <n v="20"/>
    <n v="20"/>
    <n v="0"/>
    <n v="1"/>
    <x v="3"/>
    <n v="48"/>
    <x v="1"/>
    <n v="48"/>
    <n v="0"/>
    <s v="insertIfAbsent"/>
    <n v="9.9999565166568205E+17"/>
    <n v="1000007980"/>
    <n v="9.9999565166568205E+17"/>
    <n v="1000007980"/>
    <s v="success"/>
    <n v="7"/>
    <n v="127863915"/>
    <n v="1169904316"/>
    <n v="1297768231"/>
    <n v="1000007980"/>
    <n v="10.1496"/>
    <n v="0.85477800000000004"/>
    <n v="1.7705599999999999"/>
    <n v="4.09232"/>
    <n v="29009754016"/>
    <s v="0 0 27576 17445331 6220235"/>
    <s v="0 0 27576 17445328 6220235"/>
    <n v="3"/>
    <n v="75156"/>
    <m/>
    <m/>
    <n v="489591367"/>
    <n v="0"/>
    <n v="326376743"/>
    <n v="489591367"/>
    <n v="815968110"/>
    <n v="16319712"/>
    <n v="0"/>
    <n v="10879224"/>
    <n v="16319712"/>
    <n v="27198937"/>
    <n v="26.0687"/>
    <n v="15.3734"/>
    <n v="4885.2299999999996"/>
    <n v="4016.33"/>
    <n v="64997"/>
    <n v="12293"/>
    <x v="15"/>
  </r>
  <r>
    <s v="istree_exp1_scaling_threads/step10303.txt"/>
    <x v="0"/>
    <n v="72"/>
    <s v="reclaimer_debra"/>
    <s v="allocator_new"/>
    <s v="pool_none"/>
    <n v="30000"/>
    <n v="20"/>
    <n v="20"/>
    <n v="0"/>
    <n v="1"/>
    <x v="3"/>
    <n v="96"/>
    <x v="2"/>
    <n v="96"/>
    <n v="0"/>
    <s v="insertIfAbsent"/>
    <n v="9.9996687268493798E+17"/>
    <n v="999985127"/>
    <n v="9.9996687268493798E+17"/>
    <n v="999985127"/>
    <s v="success"/>
    <n v="7"/>
    <n v="84465054"/>
    <n v="1078789683"/>
    <n v="1163254737"/>
    <n v="999985127"/>
    <n v="13.772"/>
    <n v="0.92695099999999997"/>
    <n v="1.85964"/>
    <n v="4"/>
    <n v="24017839232"/>
    <s v="2 30948 2313838 33885787 9505259"/>
    <s v="1 30943 2313821 33885778 9505258"/>
    <n v="25461"/>
    <n v="28108"/>
    <m/>
    <m/>
    <n v="749973306"/>
    <n v="0"/>
    <n v="499979634"/>
    <n v="749973306"/>
    <n v="1249952940"/>
    <n v="24999110"/>
    <n v="0"/>
    <n v="16665987"/>
    <n v="24999110"/>
    <n v="41665098"/>
    <n v="32.6661"/>
    <n v="20.446899999999999"/>
    <n v="5652.34"/>
    <n v="4488.8999999999996"/>
    <n v="87910"/>
    <n v="10144"/>
    <x v="15"/>
  </r>
  <r>
    <s v="istree_exp1_scaling_threads/step10304.txt"/>
    <x v="0"/>
    <n v="72"/>
    <s v="reclaimer_debra"/>
    <s v="allocator_new"/>
    <s v="pool_none"/>
    <n v="30000"/>
    <n v="20"/>
    <n v="20"/>
    <n v="0"/>
    <n v="1"/>
    <x v="3"/>
    <n v="144"/>
    <x v="3"/>
    <n v="144"/>
    <n v="0"/>
    <s v="insertIfAbsent"/>
    <n v="9.9998530424324698E+17"/>
    <n v="999998997"/>
    <n v="9.9998530424324698E+17"/>
    <n v="999998997"/>
    <s v="success"/>
    <n v="7"/>
    <n v="126796290"/>
    <n v="1167269916"/>
    <n v="1294066206"/>
    <n v="999998997"/>
    <n v="10.2059"/>
    <n v="0.85669899999999999"/>
    <n v="1.7727599999999999"/>
    <n v="4.0897899999999998"/>
    <n v="28877405328"/>
    <s v="4 31574 2166785 47231434 14828691"/>
    <s v="1 31570 2166768 47231412 14828691"/>
    <n v="38727"/>
    <n v="18670"/>
    <m/>
    <m/>
    <n v="1187936094"/>
    <n v="0"/>
    <n v="791908987"/>
    <n v="1187936094"/>
    <n v="1979845081"/>
    <n v="39597869"/>
    <n v="0"/>
    <n v="26396966"/>
    <n v="39597869"/>
    <n v="65994836"/>
    <n v="30.4496"/>
    <n v="19.315899999999999"/>
    <n v="5438.11"/>
    <n v="4334.3500000000004"/>
    <n v="120362"/>
    <n v="9579"/>
    <x v="15"/>
  </r>
  <r>
    <s v="istree_exp1_scaling_threads/step10305.txt"/>
    <x v="0"/>
    <n v="72"/>
    <s v="reclaimer_debra"/>
    <s v="allocator_new"/>
    <s v="pool_none"/>
    <n v="30000"/>
    <n v="20"/>
    <n v="20"/>
    <n v="0"/>
    <n v="1"/>
    <x v="3"/>
    <n v="190"/>
    <x v="4"/>
    <n v="190"/>
    <n v="0"/>
    <s v="insertIfAbsent"/>
    <n v="1.00004645456872E+18"/>
    <n v="1000030736"/>
    <n v="1.00004645456872E+18"/>
    <n v="1000030736"/>
    <s v="success"/>
    <n v="7"/>
    <n v="118172921"/>
    <n v="1150601646"/>
    <n v="1268774567"/>
    <n v="1000030736"/>
    <n v="10.736599999999999"/>
    <n v="0.86913700000000005"/>
    <n v="1.7881899999999999"/>
    <n v="4.0721600000000002"/>
    <n v="27915029152"/>
    <s v="6 32045 3906519 65757318 18570563"/>
    <s v="1 32043 3906467 65757271 18570563"/>
    <n v="53035"/>
    <n v="13800"/>
    <m/>
    <m/>
    <n v="1448143884"/>
    <n v="0"/>
    <n v="965453708"/>
    <n v="1448143884"/>
    <n v="2413597592"/>
    <n v="48271462"/>
    <n v="0"/>
    <n v="32181790"/>
    <n v="48271462"/>
    <n v="80453253"/>
    <n v="30.5594"/>
    <n v="19.6494"/>
    <n v="5803.83"/>
    <n v="4642.45"/>
    <n v="120702"/>
    <n v="9054"/>
    <x v="15"/>
  </r>
  <r>
    <s v="istree_exp1_scaling_threads/step10306.txt"/>
    <x v="1"/>
    <n v="208"/>
    <s v="reclaimer_debra"/>
    <s v="allocator_new"/>
    <s v="pool_none"/>
    <n v="30000"/>
    <n v="20"/>
    <n v="20"/>
    <n v="0"/>
    <n v="1"/>
    <x v="3"/>
    <n v="24"/>
    <x v="0"/>
    <n v="24"/>
    <n v="0"/>
    <s v="insertIfAbsent"/>
    <n v="9.9999840885918502E+17"/>
    <n v="1000002576"/>
    <n v="9.9999840885918502E+17"/>
    <n v="1000002576"/>
    <s v="success"/>
    <n v="12"/>
    <n v="19022307"/>
    <n v="130897645"/>
    <n v="149919952"/>
    <n v="1000002576"/>
    <n v="7.8812699999999998"/>
    <n v="7.6395799999999996"/>
    <n v="7.6702399999999997"/>
    <n v="11"/>
    <n v="31183350016"/>
    <m/>
    <m/>
    <m/>
    <s v="522150 635782"/>
    <m/>
    <m/>
    <n v="182714456"/>
    <n v="0"/>
    <n v="121806991"/>
    <n v="182714456"/>
    <n v="304521447"/>
    <n v="6090481"/>
    <n v="0"/>
    <n v="4060233"/>
    <n v="6090481"/>
    <n v="10150714"/>
    <n v="32.936100000000003"/>
    <n v="18.514099999999999"/>
    <n v="6587.09"/>
    <n v="5340.89"/>
    <n v="34087"/>
    <n v="154768"/>
    <x v="15"/>
  </r>
  <r>
    <s v="istree_exp1_scaling_threads/step10307.txt"/>
    <x v="1"/>
    <n v="208"/>
    <s v="reclaimer_debra"/>
    <s v="allocator_new"/>
    <s v="pool_none"/>
    <n v="30000"/>
    <n v="20"/>
    <n v="20"/>
    <n v="0"/>
    <n v="1"/>
    <x v="3"/>
    <n v="48"/>
    <x v="1"/>
    <n v="48"/>
    <n v="0"/>
    <s v="insertIfAbsent"/>
    <n v="1.0000077870797199E+18"/>
    <n v="999991815"/>
    <n v="1.0000077870797199E+18"/>
    <n v="999991815"/>
    <s v="success"/>
    <n v="12"/>
    <n v="19376041"/>
    <n v="133317937"/>
    <n v="152693978"/>
    <n v="999991815"/>
    <n v="7.88056"/>
    <n v="7.5007999999999999"/>
    <n v="7.5489899999999999"/>
    <n v="11"/>
    <n v="31760347424"/>
    <m/>
    <m/>
    <m/>
    <s v="130470 183958"/>
    <m/>
    <m/>
    <n v="353786405"/>
    <n v="0"/>
    <n v="235863133"/>
    <n v="353786405"/>
    <n v="589649538"/>
    <n v="11792880"/>
    <n v="0"/>
    <n v="7862104"/>
    <n v="11792880"/>
    <n v="19654984"/>
    <n v="32.927199999999999"/>
    <n v="18.093599999999999"/>
    <n v="6800.73"/>
    <n v="5726.6"/>
    <n v="35022"/>
    <n v="94303"/>
    <x v="15"/>
  </r>
  <r>
    <s v="istree_exp1_scaling_threads/step10308.txt"/>
    <x v="1"/>
    <n v="208"/>
    <s v="reclaimer_debra"/>
    <s v="allocator_new"/>
    <s v="pool_none"/>
    <n v="30000"/>
    <n v="20"/>
    <n v="20"/>
    <n v="0"/>
    <n v="1"/>
    <x v="3"/>
    <n v="96"/>
    <x v="2"/>
    <n v="96"/>
    <n v="0"/>
    <s v="insertIfAbsent"/>
    <n v="1.00001464160753E+18"/>
    <n v="1000007995"/>
    <n v="1.00001464160753E+18"/>
    <n v="1000007995"/>
    <s v="success"/>
    <n v="12"/>
    <n v="20016337"/>
    <n v="137734394"/>
    <n v="157750731"/>
    <n v="1000007995"/>
    <n v="7.8811"/>
    <n v="7.2604100000000003"/>
    <n v="7.3391700000000002"/>
    <n v="11"/>
    <n v="32812152048"/>
    <m/>
    <m/>
    <m/>
    <s v="61356 90440"/>
    <m/>
    <m/>
    <n v="753515425"/>
    <n v="0"/>
    <n v="502343121"/>
    <n v="753515425"/>
    <n v="1255858546"/>
    <n v="25117180"/>
    <n v="0"/>
    <n v="16744770"/>
    <n v="25117180"/>
    <n v="41861951"/>
    <n v="34.904000000000003"/>
    <n v="19.677199999999999"/>
    <n v="6350.28"/>
    <n v="5148.54"/>
    <n v="47445"/>
    <n v="72722"/>
    <x v="15"/>
  </r>
  <r>
    <s v="istree_exp1_scaling_threads/step10309.txt"/>
    <x v="1"/>
    <n v="208"/>
    <s v="reclaimer_debra"/>
    <s v="allocator_new"/>
    <s v="pool_none"/>
    <n v="30000"/>
    <n v="20"/>
    <n v="20"/>
    <n v="0"/>
    <n v="1"/>
    <x v="3"/>
    <n v="144"/>
    <x v="3"/>
    <n v="144"/>
    <n v="0"/>
    <s v="insertIfAbsent"/>
    <n v="9.9997334757049805E+17"/>
    <n v="999978901"/>
    <n v="9.9997334757049805E+17"/>
    <n v="999978901"/>
    <s v="success"/>
    <n v="12"/>
    <n v="20404246"/>
    <n v="140375413"/>
    <n v="160779659"/>
    <n v="999978901"/>
    <n v="7.8797199999999998"/>
    <n v="7.1235999999999997"/>
    <n v="7.2195600000000004"/>
    <n v="11"/>
    <n v="33442169072"/>
    <m/>
    <m/>
    <m/>
    <s v="37450 55648"/>
    <m/>
    <m/>
    <n v="1049722104"/>
    <n v="0"/>
    <n v="699825697"/>
    <n v="1049722104"/>
    <n v="1749547801"/>
    <n v="34990736"/>
    <n v="0"/>
    <n v="23327523"/>
    <n v="34990736"/>
    <n v="58318260"/>
    <n v="36.540399999999998"/>
    <n v="20.6722"/>
    <n v="6801.32"/>
    <n v="5395.81"/>
    <n v="58377"/>
    <n v="65467"/>
    <x v="15"/>
  </r>
  <r>
    <s v="istree_exp1_scaling_threads/step10310.txt"/>
    <x v="1"/>
    <n v="208"/>
    <s v="reclaimer_debra"/>
    <s v="allocator_new"/>
    <s v="pool_none"/>
    <n v="30000"/>
    <n v="20"/>
    <n v="20"/>
    <n v="0"/>
    <n v="1"/>
    <x v="3"/>
    <n v="190"/>
    <x v="4"/>
    <n v="190"/>
    <n v="0"/>
    <s v="insertIfAbsent"/>
    <n v="9.9998137755324902E+17"/>
    <n v="999994061"/>
    <n v="9.9998137755324902E+17"/>
    <n v="999994061"/>
    <s v="success"/>
    <n v="12"/>
    <n v="20671195"/>
    <n v="142218320"/>
    <n v="162889515"/>
    <n v="999994061"/>
    <n v="7.88002"/>
    <n v="7.0313999999999997"/>
    <n v="7.1390900000000004"/>
    <n v="11"/>
    <n v="33881019120"/>
    <m/>
    <m/>
    <m/>
    <s v="26646 40038"/>
    <m/>
    <m/>
    <n v="1282772259"/>
    <n v="0"/>
    <n v="855194568"/>
    <n v="1282772259"/>
    <n v="2137966827"/>
    <n v="42759075"/>
    <n v="0"/>
    <n v="28506485"/>
    <n v="42759075"/>
    <n v="71265560"/>
    <n v="37.365600000000001"/>
    <n v="21.333400000000001"/>
    <n v="7285.9"/>
    <n v="5589.37"/>
    <n v="62876"/>
    <n v="61104"/>
    <x v="15"/>
  </r>
  <r>
    <s v="istree_exp1_scaling_threads/step10311.txt"/>
    <x v="2"/>
    <m/>
    <s v="reclaimer_debra"/>
    <s v="allocator_new"/>
    <s v="pool_none"/>
    <n v="30000"/>
    <n v="20"/>
    <n v="20"/>
    <n v="0"/>
    <n v="1"/>
    <x v="3"/>
    <n v="24"/>
    <x v="0"/>
    <n v="24"/>
    <n v="0"/>
    <s v="insertIfAbsent"/>
    <n v="1.00000996901495E+18"/>
    <n v="1000002259"/>
    <n v="1.00000996901495E+18"/>
    <n v="1000002259"/>
    <s v="success"/>
    <n v="37"/>
    <n v="574894695"/>
    <n v="431453935"/>
    <n v="1006348630"/>
    <n v="1000002259"/>
    <n v="1.7504900000000001"/>
    <n v="2.3177500000000002"/>
    <n v="1.99369"/>
    <n v="29.529499999999999"/>
    <n v="56355523280"/>
    <m/>
    <m/>
    <m/>
    <s v="507900 563316"/>
    <m/>
    <m/>
    <n v="90436291"/>
    <n v="0"/>
    <n v="60307515"/>
    <n v="90436291"/>
    <n v="150743806"/>
    <n v="3014543"/>
    <n v="0"/>
    <n v="2010250"/>
    <n v="3014543"/>
    <n v="5024793"/>
    <n v="56.559199999999997"/>
    <n v="30.390499999999999"/>
    <n v="13316.5"/>
    <n v="11525.7"/>
    <n v="66056"/>
    <n v="273048"/>
    <x v="15"/>
  </r>
  <r>
    <s v="istree_exp1_scaling_threads/step10312.txt"/>
    <x v="2"/>
    <m/>
    <s v="reclaimer_debra"/>
    <s v="allocator_new"/>
    <s v="pool_none"/>
    <n v="30000"/>
    <n v="20"/>
    <n v="20"/>
    <n v="0"/>
    <n v="1"/>
    <x v="3"/>
    <n v="48"/>
    <x v="1"/>
    <n v="48"/>
    <n v="0"/>
    <s v="insertIfAbsent"/>
    <n v="1.00000454779306E+18"/>
    <n v="1000007152"/>
    <n v="1.00000454779306E+18"/>
    <n v="1000007152"/>
    <s v="success"/>
    <n v="37"/>
    <n v="578048166"/>
    <n v="434092587"/>
    <n v="1012140753"/>
    <n v="1000007152"/>
    <n v="1.7509600000000001"/>
    <n v="2.3036699999999999"/>
    <n v="1.9880100000000001"/>
    <n v="29.4709"/>
    <n v="56679882168"/>
    <m/>
    <m/>
    <m/>
    <s v="124756 151292"/>
    <m/>
    <m/>
    <n v="175373076"/>
    <n v="0"/>
    <n v="116930430"/>
    <n v="175373076"/>
    <n v="292303506"/>
    <n v="5845769"/>
    <n v="0"/>
    <n v="3897681"/>
    <n v="5845769"/>
    <n v="9743450"/>
    <n v="57.0017"/>
    <n v="30.3537"/>
    <n v="13732"/>
    <n v="12087.3"/>
    <n v="66436"/>
    <n v="142612"/>
    <x v="15"/>
  </r>
  <r>
    <s v="istree_exp1_scaling_threads/step10313.txt"/>
    <x v="2"/>
    <m/>
    <s v="reclaimer_debra"/>
    <s v="allocator_new"/>
    <s v="pool_none"/>
    <n v="30000"/>
    <n v="20"/>
    <n v="20"/>
    <n v="0"/>
    <n v="1"/>
    <x v="3"/>
    <n v="96"/>
    <x v="2"/>
    <n v="96"/>
    <n v="0"/>
    <s v="insertIfAbsent"/>
    <n v="1.00000001677487E+18"/>
    <n v="1000015175"/>
    <n v="1.00000001677487E+18"/>
    <n v="1000015175"/>
    <s v="success"/>
    <n v="37"/>
    <n v="585651435"/>
    <n v="440353413"/>
    <n v="1026004848"/>
    <n v="1000015175"/>
    <n v="1.7519"/>
    <n v="2.27094"/>
    <n v="1.9746699999999999"/>
    <n v="29.5975"/>
    <n v="57456271488"/>
    <m/>
    <m/>
    <m/>
    <s v="31020 45526"/>
    <m/>
    <m/>
    <n v="390587931"/>
    <n v="0"/>
    <n v="260343497"/>
    <n v="390587931"/>
    <n v="650931428"/>
    <n v="13019597"/>
    <n v="0"/>
    <n v="8678116"/>
    <n v="13019597"/>
    <n v="21697714"/>
    <n v="57.316200000000002"/>
    <n v="32.332700000000003"/>
    <n v="12318.3"/>
    <n v="10610.8"/>
    <n v="67348"/>
    <n v="63593"/>
    <x v="15"/>
  </r>
  <r>
    <s v="istree_exp1_scaling_threads/step10314.txt"/>
    <x v="2"/>
    <m/>
    <s v="reclaimer_debra"/>
    <s v="allocator_new"/>
    <s v="pool_none"/>
    <n v="30000"/>
    <n v="20"/>
    <n v="20"/>
    <n v="0"/>
    <n v="1"/>
    <x v="3"/>
    <n v="144"/>
    <x v="3"/>
    <n v="144"/>
    <n v="0"/>
    <s v="insertIfAbsent"/>
    <n v="9.9998399199903501E+17"/>
    <n v="999993207"/>
    <n v="9.9998399199903501E+17"/>
    <n v="999993207"/>
    <s v="success"/>
    <n v="37"/>
    <n v="592087232"/>
    <n v="445627963"/>
    <n v="1037715195"/>
    <n v="999993207"/>
    <n v="1.75264"/>
    <n v="2.2440099999999998"/>
    <n v="1.9636499999999999"/>
    <n v="29.55"/>
    <n v="58112050920"/>
    <m/>
    <m/>
    <m/>
    <s v="13644 23436"/>
    <m/>
    <m/>
    <n v="586457271"/>
    <n v="0"/>
    <n v="390983357"/>
    <n v="586457271"/>
    <n v="977440628"/>
    <n v="19548575"/>
    <n v="0"/>
    <n v="13032778"/>
    <n v="19548575"/>
    <n v="32581354"/>
    <n v="57.741900000000001"/>
    <n v="32.634399999999999"/>
    <n v="12299.7"/>
    <n v="10576.6"/>
    <n v="68269"/>
    <n v="42633"/>
    <x v="15"/>
  </r>
  <r>
    <s v="istree_exp1_scaling_threads/step10315.txt"/>
    <x v="2"/>
    <m/>
    <s v="reclaimer_debra"/>
    <s v="allocator_new"/>
    <s v="pool_none"/>
    <n v="30000"/>
    <n v="20"/>
    <n v="20"/>
    <n v="0"/>
    <n v="1"/>
    <x v="3"/>
    <n v="190"/>
    <x v="4"/>
    <n v="190"/>
    <n v="0"/>
    <s v="insertIfAbsent"/>
    <n v="1.00002605187151E+18"/>
    <n v="1000006744"/>
    <n v="1.00002605187151E+18"/>
    <n v="1000006744"/>
    <s v="success"/>
    <n v="37"/>
    <n v="597631261"/>
    <n v="450148143"/>
    <n v="1047779404"/>
    <n v="1000006744"/>
    <n v="1.75322"/>
    <n v="2.2215099999999999"/>
    <n v="1.95441"/>
    <n v="29.547599999999999"/>
    <n v="58675646624"/>
    <m/>
    <m/>
    <m/>
    <s v="7914 15364"/>
    <m/>
    <m/>
    <n v="766331804"/>
    <n v="0"/>
    <n v="510917784"/>
    <n v="766331804"/>
    <n v="1277249588"/>
    <n v="25544393"/>
    <n v="0"/>
    <n v="17030592"/>
    <n v="25544393"/>
    <n v="42574986"/>
    <n v="58.182000000000002"/>
    <n v="32.915599999999998"/>
    <n v="12415.7"/>
    <n v="10637.2"/>
    <n v="69535"/>
    <n v="32973"/>
    <x v="15"/>
  </r>
  <r>
    <s v="istree_exp1_scaling_threads/step10316.txt"/>
    <x v="3"/>
    <m/>
    <s v="reclaimer_debra"/>
    <s v="allocator_new"/>
    <s v="pool_none"/>
    <n v="30000"/>
    <n v="20"/>
    <n v="20"/>
    <n v="0"/>
    <n v="1"/>
    <x v="3"/>
    <n v="24"/>
    <x v="0"/>
    <n v="24"/>
    <n v="0"/>
    <s v="insertIfAbsent"/>
    <n v="1.00001498157463E+18"/>
    <n v="1000000515"/>
    <n v="1.00001498157463E+18"/>
    <n v="1000000515"/>
    <s v="success"/>
    <n v="83"/>
    <n v="1000000514"/>
    <n v="1000000515"/>
    <n v="2000001029"/>
    <n v="1000000515"/>
    <n v="2"/>
    <n v="1"/>
    <n v="1.5"/>
    <n v="41.243400000000001"/>
    <n v="64000032928"/>
    <m/>
    <m/>
    <m/>
    <s v="510928 557484"/>
    <m/>
    <m/>
    <n v="75330480"/>
    <n v="0"/>
    <n v="50216963"/>
    <n v="75330480"/>
    <n v="125547443"/>
    <n v="2511016"/>
    <n v="0"/>
    <n v="1673898"/>
    <n v="2511016"/>
    <n v="4184914"/>
    <n v="54.526699999999998"/>
    <n v="29.5732"/>
    <n v="15998.4"/>
    <n v="14149.7"/>
    <n v="65659"/>
    <n v="299375"/>
    <x v="15"/>
  </r>
  <r>
    <s v="istree_exp1_scaling_threads/step10317.txt"/>
    <x v="3"/>
    <m/>
    <s v="reclaimer_debra"/>
    <s v="allocator_new"/>
    <s v="pool_none"/>
    <n v="30000"/>
    <n v="20"/>
    <n v="20"/>
    <n v="0"/>
    <n v="1"/>
    <x v="3"/>
    <n v="48"/>
    <x v="1"/>
    <n v="48"/>
    <n v="0"/>
    <s v="insertIfAbsent"/>
    <n v="1.00000389058823E+18"/>
    <n v="1000001735"/>
    <n v="1.00000389058823E+18"/>
    <n v="1000001735"/>
    <s v="success"/>
    <n v="82"/>
    <n v="1000001734"/>
    <n v="1000001735"/>
    <n v="2000003469"/>
    <n v="1000001735"/>
    <n v="2"/>
    <n v="1"/>
    <n v="1.5"/>
    <n v="40.243400000000001"/>
    <n v="64000111008"/>
    <m/>
    <m/>
    <m/>
    <s v="125250 147760"/>
    <m/>
    <m/>
    <n v="147512047"/>
    <n v="0"/>
    <n v="98351813"/>
    <n v="147512047"/>
    <n v="245863860"/>
    <n v="4917068"/>
    <n v="0"/>
    <n v="3278393"/>
    <n v="4917068"/>
    <n v="8195462"/>
    <n v="54.472999999999999"/>
    <n v="29.501000000000001"/>
    <n v="16336.3"/>
    <n v="15015.1"/>
    <n v="65695"/>
    <n v="153480"/>
    <x v="15"/>
  </r>
  <r>
    <s v="istree_exp1_scaling_threads/step10318.txt"/>
    <x v="3"/>
    <m/>
    <s v="reclaimer_debra"/>
    <s v="allocator_new"/>
    <s v="pool_none"/>
    <n v="30000"/>
    <n v="20"/>
    <n v="20"/>
    <n v="0"/>
    <n v="1"/>
    <x v="3"/>
    <n v="96"/>
    <x v="2"/>
    <n v="96"/>
    <n v="0"/>
    <s v="insertIfAbsent"/>
    <n v="9.9999819310800602E+17"/>
    <n v="1000005472"/>
    <n v="9.9999819310800602E+17"/>
    <n v="1000005472"/>
    <s v="success"/>
    <n v="76"/>
    <n v="1000005471"/>
    <n v="1000005472"/>
    <n v="2000010943"/>
    <n v="1000005472"/>
    <n v="2"/>
    <n v="1"/>
    <n v="1.5"/>
    <n v="40.213799999999999"/>
    <n v="64000350176"/>
    <m/>
    <m/>
    <m/>
    <s v="31080 43464"/>
    <m/>
    <m/>
    <n v="328914869"/>
    <n v="0"/>
    <n v="219253814"/>
    <n v="328914869"/>
    <n v="548168683"/>
    <n v="10963828"/>
    <n v="0"/>
    <n v="7308460"/>
    <n v="10963828"/>
    <n v="18272289"/>
    <n v="56.094499999999996"/>
    <n v="32.340800000000002"/>
    <n v="14635.8"/>
    <n v="13206"/>
    <n v="66393"/>
    <n v="66412"/>
    <x v="15"/>
  </r>
  <r>
    <s v="istree_exp1_scaling_threads/step10319.txt"/>
    <x v="3"/>
    <m/>
    <s v="reclaimer_debra"/>
    <s v="allocator_new"/>
    <s v="pool_none"/>
    <n v="30000"/>
    <n v="20"/>
    <n v="20"/>
    <n v="0"/>
    <n v="1"/>
    <x v="3"/>
    <n v="144"/>
    <x v="3"/>
    <n v="144"/>
    <n v="0"/>
    <s v="insertIfAbsent"/>
    <n v="1.00002900994442E+18"/>
    <n v="1000001578"/>
    <n v="1.00002900994442E+18"/>
    <n v="1000001578"/>
    <s v="success"/>
    <n v="77"/>
    <n v="1000001577"/>
    <n v="1000001578"/>
    <n v="2000003155"/>
    <n v="1000001578"/>
    <n v="2"/>
    <n v="1"/>
    <n v="1.5"/>
    <n v="40.308700000000002"/>
    <n v="64000100960"/>
    <m/>
    <m/>
    <m/>
    <s v="13690 21962"/>
    <m/>
    <m/>
    <n v="483653230"/>
    <n v="0"/>
    <n v="322407260"/>
    <n v="483653230"/>
    <n v="806060490"/>
    <n v="16121774"/>
    <n v="0"/>
    <n v="10746908"/>
    <n v="16121774"/>
    <n v="26868683"/>
    <n v="56.893099999999997"/>
    <n v="32.985500000000002"/>
    <n v="14922"/>
    <n v="13165.7"/>
    <n v="67972"/>
    <n v="44071"/>
    <x v="15"/>
  </r>
  <r>
    <s v="istree_exp1_scaling_threads/step10320.txt"/>
    <x v="3"/>
    <m/>
    <s v="reclaimer_debra"/>
    <s v="allocator_new"/>
    <s v="pool_none"/>
    <n v="30000"/>
    <n v="20"/>
    <n v="20"/>
    <n v="0"/>
    <n v="1"/>
    <x v="3"/>
    <n v="190"/>
    <x v="4"/>
    <n v="190"/>
    <n v="0"/>
    <s v="insertIfAbsent"/>
    <n v="1.00004209314665E+18"/>
    <n v="1000036559"/>
    <n v="1.00004209314665E+18"/>
    <n v="1000036559"/>
    <s v="success"/>
    <n v="78"/>
    <n v="1000036558"/>
    <n v="1000036559"/>
    <n v="2000073117"/>
    <n v="1000036559"/>
    <n v="2"/>
    <n v="1"/>
    <n v="1.5"/>
    <n v="40.506799999999998"/>
    <n v="64002339744"/>
    <m/>
    <m/>
    <m/>
    <s v="7822 14086"/>
    <m/>
    <m/>
    <n v="613297284"/>
    <n v="0"/>
    <n v="408853959"/>
    <n v="613297284"/>
    <n v="1022151243"/>
    <n v="20443242"/>
    <n v="0"/>
    <n v="13628465"/>
    <n v="20443242"/>
    <n v="34071708"/>
    <n v="57.215899999999998"/>
    <n v="33.399000000000001"/>
    <n v="15507.5"/>
    <n v="13218.6"/>
    <n v="69313"/>
    <n v="33723"/>
    <x v="15"/>
  </r>
  <r>
    <m/>
    <x v="4"/>
    <m/>
    <m/>
    <m/>
    <m/>
    <m/>
    <m/>
    <m/>
    <m/>
    <m/>
    <x v="4"/>
    <m/>
    <x v="5"/>
    <m/>
    <m/>
    <m/>
    <m/>
    <m/>
    <m/>
    <m/>
    <m/>
    <m/>
    <m/>
    <m/>
    <m/>
    <m/>
    <m/>
    <m/>
    <m/>
    <m/>
    <m/>
    <m/>
    <m/>
    <m/>
    <m/>
    <m/>
    <m/>
    <m/>
    <m/>
    <m/>
    <m/>
    <m/>
    <m/>
    <m/>
    <m/>
    <m/>
    <m/>
    <m/>
    <m/>
    <m/>
    <m/>
    <m/>
    <m/>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46">
      <pivotArea outline="0" collapsedLevelsAreSubtotals="1" fieldPosition="0"/>
    </format>
    <format dxfId="4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44">
      <pivotArea outline="0" collapsedLevelsAreSubtotals="1" fieldPosition="0"/>
    </format>
    <format dxfId="4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Max"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E71"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ax of total_throughput" fld="47" subtotal="max" baseField="13" baseItem="2" numFmtId="1"/>
  </dataFields>
  <formats count="2">
    <format dxfId="38">
      <pivotArea outline="0" collapsedLevelsAreSubtotals="1" fieldPosition="0"/>
    </format>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M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E44"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in of total_throughput" fld="47" subtotal="min" baseField="13" baseItem="1" numFmtId="1"/>
  </dataFields>
  <formats count="2">
    <format dxfId="40">
      <pivotArea outline="0" collapsedLevelsAreSubtotals="1" fieldPosition="0"/>
    </format>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Ma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Average of total_throughput" fld="47" subtotal="average" baseField="13" baseItem="0" numFmtId="1"/>
  </dataFields>
  <formats count="2">
    <format dxfId="42">
      <pivotArea outline="0" collapsedLevelsAreSubtotals="1" fieldPosition="0"/>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C46:AG52"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ax of PAPI_L3_TCM" fld="49" subtotal="max" baseField="13" baseItem="1" numFmtId="164"/>
  </dataFields>
  <formats count="3">
    <format dxfId="30">
      <pivotArea outline="0" collapsedLevelsAreSubtotals="1" fieldPosition="0"/>
    </format>
    <format dxfId="29">
      <pivotArea outline="0" collapsedLevelsAreSubtotals="1" fieldPosition="0"/>
    </format>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5"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6:E52"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in of PAPI_L3_TCM" fld="49" subtotal="min" baseField="13" baseItem="3" numFmtId="164"/>
  </dataFields>
  <formats count="3">
    <format dxfId="33">
      <pivotArea outline="0" collapsedLevelsAreSubtotals="1" fieldPosition="0"/>
    </format>
    <format dxfId="32">
      <pivotArea outline="0" collapsedLevelsAreSubtotals="1" fieldPosition="0"/>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Ma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Average of PAPI_L3_TCM" fld="49" subtotal="average" baseField="13" baseItem="4" numFmtId="164"/>
  </dataFields>
  <formats count="3">
    <format dxfId="36">
      <pivotArea outline="0" collapsedLevelsAreSubtotals="1" fieldPosition="0"/>
    </format>
    <format dxfId="35">
      <pivotArea outline="0" collapsedLevelsAreSubtotals="1" fieldPosition="0"/>
    </format>
    <format dxfId="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Ma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27">
      <pivotArea outline="0" collapsedLevelsAreSubtotals="1" fieldPosition="0"/>
    </format>
    <format dxfId="2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Ma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25">
      <pivotArea outline="0" collapsedLevelsAreSubtotals="1" fieldPosition="0"/>
    </format>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Ma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21">
      <pivotArea outline="0" collapsedLevelsAreSubtotals="1" fieldPosition="0"/>
    </format>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Other"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23">
      <pivotArea outline="0" collapsedLevelsAreSubtotals="1" fieldPosition="0"/>
    </format>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Ma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5:E10"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4">
    <i>
      <x/>
    </i>
    <i>
      <x v="1"/>
    </i>
    <i>
      <x v="2"/>
    </i>
    <i>
      <x v="3"/>
    </i>
  </rowItems>
  <colFields count="1">
    <field x="1"/>
  </colFields>
  <colItems count="4">
    <i>
      <x v="1"/>
    </i>
    <i>
      <x v="2"/>
    </i>
    <i>
      <x v="3"/>
    </i>
    <i>
      <x v="4"/>
    </i>
  </colItems>
  <dataFields count="1">
    <dataField name="Average of tree_stats_avgKeyDepth" fld="30" subtotal="average" baseField="13" baseItem="4" numFmtId="164"/>
  </dataFields>
  <formats count="3">
    <format dxfId="13">
      <pivotArea outline="0" collapsedLevelsAreSubtotals="1" fieldPosition="0"/>
    </format>
    <format dxfId="12">
      <pivotArea outline="0" collapsedLevelsAreSubtotals="1" fieldPosition="0"/>
    </format>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Max"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Z35:AD40"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4">
    <i>
      <x/>
    </i>
    <i>
      <x v="1"/>
    </i>
    <i>
      <x v="2"/>
    </i>
    <i>
      <x v="3"/>
    </i>
  </rowItems>
  <colFields count="1">
    <field x="1"/>
  </colFields>
  <colItems count="4">
    <i>
      <x v="1"/>
    </i>
    <i>
      <x v="2"/>
    </i>
    <i>
      <x v="3"/>
    </i>
    <i>
      <x v="4"/>
    </i>
  </colItems>
  <dataFields count="1">
    <dataField name="Max of tree_stats_avgKeyDepth" fld="30" subtotal="max" baseField="11" baseItem="1" numFmtId="164"/>
  </dataFields>
  <formats count="3">
    <format dxfId="16">
      <pivotArea outline="0" collapsedLevelsAreSubtotals="1" fieldPosition="0"/>
    </format>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M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5:E40"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4">
    <i>
      <x/>
    </i>
    <i>
      <x v="1"/>
    </i>
    <i>
      <x v="2"/>
    </i>
    <i>
      <x v="3"/>
    </i>
  </rowItems>
  <colFields count="1">
    <field x="1"/>
  </colFields>
  <colItems count="4">
    <i>
      <x v="1"/>
    </i>
    <i>
      <x v="2"/>
    </i>
    <i>
      <x v="3"/>
    </i>
    <i>
      <x v="4"/>
    </i>
  </colItems>
  <dataFields count="1">
    <dataField name="Min of tree_stats_avgKeyDepth" fld="30" subtotal="min" baseField="11" baseItem="0" numFmtId="164"/>
  </dataFields>
  <formats count="3">
    <format dxfId="19">
      <pivotArea outline="0" collapsedLevelsAreSubtotals="1" fieldPosition="0"/>
    </format>
    <format dxfId="18">
      <pivotArea outline="0" collapsedLevelsAreSubtotals="1" fieldPosition="0"/>
    </format>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Other"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RES_STL" fld="51" subtotal="average" baseField="13" baseItem="2"/>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Main"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TOT_CYC" fld="50" subtotal="average" baseField="13" baseItem="3"/>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Other2" cacheId="24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E44:F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L3_TCM" fld="49" subtotal="average" baseField="1" baseItem="1" numFmtId="164"/>
  </dataFields>
  <formats count="7">
    <format dxfId="10">
      <pivotArea outline="0" collapsedLevelsAreSubtotals="1" fieldPosition="0"/>
    </format>
    <format dxfId="9">
      <pivotArea outline="0" collapsedLevelsAreSubtotals="1" fieldPosition="0"/>
    </format>
    <format dxfId="8">
      <pivotArea outline="0" collapsedLevelsAreSubtotals="1" fieldPosition="0"/>
    </format>
    <format dxfId="7">
      <pivotArea outline="0" collapsedLevelsAreSubtotals="1" fieldPosition="0"/>
    </format>
    <format dxfId="6">
      <pivotArea outline="0" collapsedLevelsAreSubtotals="1" fieldPosition="0"/>
    </format>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1" growShrinkType="overwriteClear" connectionId="4"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bin"/><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drawing" Target="../drawings/drawing9.xml"/><Relationship Id="rId4"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961"/>
  <sheetViews>
    <sheetView workbookViewId="0">
      <pane ySplit="1" topLeftCell="A927" activePane="bottomLeft" state="frozen"/>
      <selection pane="bottomLeft" activeCell="A906" sqref="A906"/>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56">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71</v>
      </c>
      <c r="S1" t="s">
        <v>72</v>
      </c>
      <c r="T1" t="s">
        <v>46</v>
      </c>
      <c r="U1" t="s">
        <v>73</v>
      </c>
      <c r="V1" t="s">
        <v>74</v>
      </c>
      <c r="W1" t="s">
        <v>37</v>
      </c>
      <c r="X1" t="s">
        <v>38</v>
      </c>
      <c r="Y1" t="s">
        <v>39</v>
      </c>
      <c r="Z1" t="s">
        <v>40</v>
      </c>
      <c r="AA1" t="s">
        <v>41</v>
      </c>
      <c r="AB1" t="s">
        <v>42</v>
      </c>
      <c r="AC1" t="s">
        <v>43</v>
      </c>
      <c r="AD1" t="s">
        <v>44</v>
      </c>
      <c r="AE1" t="s">
        <v>45</v>
      </c>
      <c r="AF1" t="s">
        <v>78</v>
      </c>
      <c r="AG1" t="s">
        <v>79</v>
      </c>
      <c r="AH1" t="s">
        <v>80</v>
      </c>
      <c r="AI1" t="s">
        <v>81</v>
      </c>
      <c r="AJ1" t="s">
        <v>82</v>
      </c>
      <c r="AK1" t="s">
        <v>83</v>
      </c>
      <c r="AL1" t="s">
        <v>84</v>
      </c>
      <c r="AM1" t="s">
        <v>47</v>
      </c>
      <c r="AN1" t="s">
        <v>48</v>
      </c>
      <c r="AO1" t="s">
        <v>49</v>
      </c>
      <c r="AP1" t="s">
        <v>50</v>
      </c>
      <c r="AQ1" t="s">
        <v>51</v>
      </c>
      <c r="AR1" t="s">
        <v>52</v>
      </c>
      <c r="AS1" t="s">
        <v>53</v>
      </c>
      <c r="AT1" t="s">
        <v>54</v>
      </c>
      <c r="AU1" t="s">
        <v>55</v>
      </c>
      <c r="AV1" t="s">
        <v>56</v>
      </c>
      <c r="AW1" t="s">
        <v>57</v>
      </c>
      <c r="AX1" t="s">
        <v>58</v>
      </c>
      <c r="AY1" t="s">
        <v>59</v>
      </c>
      <c r="AZ1" t="s">
        <v>85</v>
      </c>
      <c r="BA1" t="s">
        <v>76</v>
      </c>
      <c r="BB1" t="s">
        <v>77</v>
      </c>
      <c r="BC1" t="s">
        <v>69</v>
      </c>
      <c r="BD1" t="s">
        <v>746</v>
      </c>
    </row>
    <row r="2" spans="1:56">
      <c r="A2" t="s">
        <v>86</v>
      </c>
      <c r="B2" t="s">
        <v>64</v>
      </c>
      <c r="C2">
        <v>72</v>
      </c>
      <c r="D2" t="s">
        <v>65</v>
      </c>
      <c r="E2" t="s">
        <v>60</v>
      </c>
      <c r="F2" t="s">
        <v>61</v>
      </c>
      <c r="G2">
        <v>30000</v>
      </c>
      <c r="H2">
        <v>0</v>
      </c>
      <c r="I2">
        <v>0</v>
      </c>
      <c r="J2">
        <v>0</v>
      </c>
      <c r="K2">
        <v>1</v>
      </c>
      <c r="L2">
        <v>2000000</v>
      </c>
      <c r="M2">
        <v>24</v>
      </c>
      <c r="N2">
        <v>24</v>
      </c>
      <c r="O2">
        <v>24</v>
      </c>
      <c r="P2">
        <v>0</v>
      </c>
      <c r="Q2" t="s">
        <v>62</v>
      </c>
      <c r="R2">
        <v>999590493603</v>
      </c>
      <c r="S2">
        <v>1000001</v>
      </c>
      <c r="T2">
        <v>999590493603</v>
      </c>
      <c r="U2">
        <v>1000001</v>
      </c>
      <c r="V2" t="s">
        <v>75</v>
      </c>
      <c r="W2">
        <v>5</v>
      </c>
      <c r="X2">
        <v>33035</v>
      </c>
      <c r="Y2">
        <v>1032033</v>
      </c>
      <c r="Z2">
        <v>1065068</v>
      </c>
      <c r="AA2">
        <v>1000001</v>
      </c>
      <c r="AB2">
        <v>32.240600000000001</v>
      </c>
      <c r="AC2">
        <v>0.96896199999999999</v>
      </c>
      <c r="AD2">
        <v>1.9389099999999999</v>
      </c>
      <c r="AE2">
        <v>3</v>
      </c>
      <c r="AM2">
        <v>2635430270</v>
      </c>
      <c r="AN2">
        <v>0</v>
      </c>
      <c r="AO2">
        <v>0</v>
      </c>
      <c r="AP2">
        <v>2635430270</v>
      </c>
      <c r="AQ2">
        <v>2635430270</v>
      </c>
      <c r="AR2">
        <v>87847675</v>
      </c>
      <c r="AS2">
        <v>0</v>
      </c>
      <c r="AT2">
        <v>0</v>
      </c>
      <c r="AU2">
        <v>87847675</v>
      </c>
      <c r="AV2">
        <v>87847675</v>
      </c>
      <c r="AW2">
        <v>7.7799199999999997</v>
      </c>
      <c r="AX2">
        <v>1.8067199999999999E-2</v>
      </c>
      <c r="AY2">
        <v>761.58</v>
      </c>
      <c r="AZ2">
        <v>234.57599999999999</v>
      </c>
      <c r="BA2">
        <v>1123</v>
      </c>
      <c r="BB2">
        <v>27</v>
      </c>
      <c r="BC2" t="str">
        <f>"u="&amp;(H2+I2)&amp;"%, k=2x10^"&amp;LOG10(L2/2)</f>
        <v>u=0%, k=2x10^6</v>
      </c>
      <c r="BD2">
        <f>IF(AH2="",0,LEFT(AH2,IF(ISNUMBER(FIND(" ",AH2)),FIND(" ",AH2)-1,LEN(AH2))))</f>
        <v>0</v>
      </c>
    </row>
    <row r="3" spans="1:56">
      <c r="A3" t="s">
        <v>87</v>
      </c>
      <c r="B3" t="s">
        <v>64</v>
      </c>
      <c r="C3">
        <v>72</v>
      </c>
      <c r="D3" t="s">
        <v>65</v>
      </c>
      <c r="E3" t="s">
        <v>60</v>
      </c>
      <c r="F3" t="s">
        <v>61</v>
      </c>
      <c r="G3">
        <v>30000</v>
      </c>
      <c r="H3">
        <v>0</v>
      </c>
      <c r="I3">
        <v>0</v>
      </c>
      <c r="J3">
        <v>0</v>
      </c>
      <c r="K3">
        <v>1</v>
      </c>
      <c r="L3">
        <v>2000000</v>
      </c>
      <c r="M3">
        <v>48</v>
      </c>
      <c r="N3">
        <v>48</v>
      </c>
      <c r="O3">
        <v>48</v>
      </c>
      <c r="P3">
        <v>0</v>
      </c>
      <c r="Q3" t="s">
        <v>62</v>
      </c>
      <c r="R3">
        <v>999945148083</v>
      </c>
      <c r="S3">
        <v>1000001</v>
      </c>
      <c r="T3">
        <v>999945148083</v>
      </c>
      <c r="U3">
        <v>1000001</v>
      </c>
      <c r="V3" t="s">
        <v>75</v>
      </c>
      <c r="W3">
        <v>5</v>
      </c>
      <c r="X3">
        <v>33035</v>
      </c>
      <c r="Y3">
        <v>1032033</v>
      </c>
      <c r="Z3">
        <v>1065068</v>
      </c>
      <c r="AA3">
        <v>1000001</v>
      </c>
      <c r="AB3">
        <v>32.240600000000001</v>
      </c>
      <c r="AC3">
        <v>0.96896199999999999</v>
      </c>
      <c r="AD3">
        <v>1.9389099999999999</v>
      </c>
      <c r="AE3">
        <v>3</v>
      </c>
      <c r="AM3">
        <v>3989167097</v>
      </c>
      <c r="AN3">
        <v>0</v>
      </c>
      <c r="AO3">
        <v>0</v>
      </c>
      <c r="AP3">
        <v>3989167097</v>
      </c>
      <c r="AQ3">
        <v>3989167097</v>
      </c>
      <c r="AR3">
        <v>132972236</v>
      </c>
      <c r="AS3">
        <v>0</v>
      </c>
      <c r="AT3">
        <v>0</v>
      </c>
      <c r="AU3">
        <v>132972236</v>
      </c>
      <c r="AV3">
        <v>132972236</v>
      </c>
      <c r="AW3">
        <v>7.6997200000000001</v>
      </c>
      <c r="AX3">
        <v>2.28206E-2</v>
      </c>
      <c r="AY3">
        <v>1000.16</v>
      </c>
      <c r="AZ3">
        <v>322.57499999999999</v>
      </c>
      <c r="BA3">
        <v>1136</v>
      </c>
      <c r="BB3">
        <v>78</v>
      </c>
      <c r="BC3" t="str">
        <f t="shared" ref="BC3:BC66" si="0">"u="&amp;(H3+I3)&amp;"%, k=2x10^"&amp;LOG10(L3/2)</f>
        <v>u=0%, k=2x10^6</v>
      </c>
      <c r="BD3">
        <f t="shared" ref="BD3:BD66" si="1">IF(AH3="",0,LEFT(AH3,IF(ISNUMBER(FIND(" ",AH3)),FIND(" ",AH3)-1,LEN(AH3))))</f>
        <v>0</v>
      </c>
    </row>
    <row r="4" spans="1:56">
      <c r="A4" t="s">
        <v>88</v>
      </c>
      <c r="B4" t="s">
        <v>64</v>
      </c>
      <c r="C4">
        <v>72</v>
      </c>
      <c r="D4" t="s">
        <v>65</v>
      </c>
      <c r="E4" t="s">
        <v>60</v>
      </c>
      <c r="F4" t="s">
        <v>61</v>
      </c>
      <c r="G4">
        <v>30000</v>
      </c>
      <c r="H4">
        <v>0</v>
      </c>
      <c r="I4">
        <v>0</v>
      </c>
      <c r="J4">
        <v>0</v>
      </c>
      <c r="K4">
        <v>1</v>
      </c>
      <c r="L4">
        <v>2000000</v>
      </c>
      <c r="M4">
        <v>96</v>
      </c>
      <c r="N4">
        <v>96</v>
      </c>
      <c r="O4">
        <v>96</v>
      </c>
      <c r="P4">
        <v>0</v>
      </c>
      <c r="Q4" t="s">
        <v>62</v>
      </c>
      <c r="R4">
        <v>1000312718412</v>
      </c>
      <c r="S4">
        <v>1000001</v>
      </c>
      <c r="T4">
        <v>1000312718412</v>
      </c>
      <c r="U4">
        <v>1000001</v>
      </c>
      <c r="V4" t="s">
        <v>75</v>
      </c>
      <c r="W4">
        <v>5</v>
      </c>
      <c r="X4">
        <v>33035</v>
      </c>
      <c r="Y4">
        <v>1032033</v>
      </c>
      <c r="Z4">
        <v>1065068</v>
      </c>
      <c r="AA4">
        <v>1000001</v>
      </c>
      <c r="AB4">
        <v>32.240600000000001</v>
      </c>
      <c r="AC4">
        <v>0.96896199999999999</v>
      </c>
      <c r="AD4">
        <v>1.9389099999999999</v>
      </c>
      <c r="AE4">
        <v>3</v>
      </c>
      <c r="AM4">
        <v>7660511845</v>
      </c>
      <c r="AN4">
        <v>0</v>
      </c>
      <c r="AO4">
        <v>0</v>
      </c>
      <c r="AP4">
        <v>7660511845</v>
      </c>
      <c r="AQ4">
        <v>7660511845</v>
      </c>
      <c r="AR4">
        <v>255350394</v>
      </c>
      <c r="AS4">
        <v>0</v>
      </c>
      <c r="AT4">
        <v>0</v>
      </c>
      <c r="AU4">
        <v>255350394</v>
      </c>
      <c r="AV4">
        <v>255350394</v>
      </c>
      <c r="AW4">
        <v>7.8961100000000002</v>
      </c>
      <c r="AX4">
        <v>5.9717300000000001E-2</v>
      </c>
      <c r="AY4">
        <v>1041.01</v>
      </c>
      <c r="AZ4">
        <v>328.27199999999999</v>
      </c>
      <c r="BA4">
        <v>1161</v>
      </c>
      <c r="BB4">
        <v>169</v>
      </c>
      <c r="BC4" t="str">
        <f t="shared" si="0"/>
        <v>u=0%, k=2x10^6</v>
      </c>
      <c r="BD4">
        <f t="shared" si="1"/>
        <v>0</v>
      </c>
    </row>
    <row r="5" spans="1:56">
      <c r="A5" t="s">
        <v>89</v>
      </c>
      <c r="B5" t="s">
        <v>64</v>
      </c>
      <c r="C5">
        <v>72</v>
      </c>
      <c r="D5" t="s">
        <v>65</v>
      </c>
      <c r="E5" t="s">
        <v>60</v>
      </c>
      <c r="F5" t="s">
        <v>61</v>
      </c>
      <c r="G5">
        <v>30000</v>
      </c>
      <c r="H5">
        <v>0</v>
      </c>
      <c r="I5">
        <v>0</v>
      </c>
      <c r="J5">
        <v>0</v>
      </c>
      <c r="K5">
        <v>1</v>
      </c>
      <c r="L5">
        <v>2000000</v>
      </c>
      <c r="M5">
        <v>144</v>
      </c>
      <c r="N5">
        <v>144</v>
      </c>
      <c r="O5">
        <v>144</v>
      </c>
      <c r="P5">
        <v>0</v>
      </c>
      <c r="Q5" t="s">
        <v>62</v>
      </c>
      <c r="R5">
        <v>999691101664</v>
      </c>
      <c r="S5">
        <v>1000001</v>
      </c>
      <c r="T5">
        <v>999691101664</v>
      </c>
      <c r="U5">
        <v>1000001</v>
      </c>
      <c r="V5" t="s">
        <v>75</v>
      </c>
      <c r="W5">
        <v>5</v>
      </c>
      <c r="X5">
        <v>33035</v>
      </c>
      <c r="Y5">
        <v>1032033</v>
      </c>
      <c r="Z5">
        <v>1065068</v>
      </c>
      <c r="AA5">
        <v>1000001</v>
      </c>
      <c r="AB5">
        <v>32.240600000000001</v>
      </c>
      <c r="AC5">
        <v>0.96896199999999999</v>
      </c>
      <c r="AD5">
        <v>1.9389099999999999</v>
      </c>
      <c r="AE5">
        <v>3</v>
      </c>
      <c r="AM5">
        <v>11016918440</v>
      </c>
      <c r="AN5">
        <v>0</v>
      </c>
      <c r="AO5">
        <v>0</v>
      </c>
      <c r="AP5">
        <v>11016918440</v>
      </c>
      <c r="AQ5">
        <v>11016918440</v>
      </c>
      <c r="AR5">
        <v>367230614</v>
      </c>
      <c r="AS5">
        <v>0</v>
      </c>
      <c r="AT5">
        <v>0</v>
      </c>
      <c r="AU5">
        <v>367230614</v>
      </c>
      <c r="AV5">
        <v>367230614</v>
      </c>
      <c r="AW5">
        <v>8.4401100000000007</v>
      </c>
      <c r="AX5">
        <v>7.8356400000000007E-2</v>
      </c>
      <c r="AY5">
        <v>1074.94</v>
      </c>
      <c r="AZ5">
        <v>345.77300000000002</v>
      </c>
      <c r="BA5">
        <v>1189</v>
      </c>
      <c r="BB5">
        <v>293</v>
      </c>
      <c r="BC5" t="str">
        <f t="shared" si="0"/>
        <v>u=0%, k=2x10^6</v>
      </c>
      <c r="BD5">
        <f t="shared" si="1"/>
        <v>0</v>
      </c>
    </row>
    <row r="6" spans="1:56">
      <c r="A6" t="s">
        <v>90</v>
      </c>
      <c r="B6" t="s">
        <v>64</v>
      </c>
      <c r="C6">
        <v>72</v>
      </c>
      <c r="D6" t="s">
        <v>65</v>
      </c>
      <c r="E6" t="s">
        <v>60</v>
      </c>
      <c r="F6" t="s">
        <v>61</v>
      </c>
      <c r="G6">
        <v>30000</v>
      </c>
      <c r="H6">
        <v>0</v>
      </c>
      <c r="I6">
        <v>0</v>
      </c>
      <c r="J6">
        <v>0</v>
      </c>
      <c r="K6">
        <v>1</v>
      </c>
      <c r="L6">
        <v>2000000</v>
      </c>
      <c r="M6">
        <v>190</v>
      </c>
      <c r="N6">
        <v>190</v>
      </c>
      <c r="O6">
        <v>190</v>
      </c>
      <c r="P6">
        <v>0</v>
      </c>
      <c r="Q6" t="s">
        <v>62</v>
      </c>
      <c r="R6">
        <v>999524482680</v>
      </c>
      <c r="S6">
        <v>1000001</v>
      </c>
      <c r="T6">
        <v>999524482680</v>
      </c>
      <c r="U6">
        <v>1000001</v>
      </c>
      <c r="V6" t="s">
        <v>75</v>
      </c>
      <c r="W6">
        <v>5</v>
      </c>
      <c r="X6">
        <v>33035</v>
      </c>
      <c r="Y6">
        <v>1032033</v>
      </c>
      <c r="Z6">
        <v>1065068</v>
      </c>
      <c r="AA6">
        <v>1000001</v>
      </c>
      <c r="AB6">
        <v>32.240600000000001</v>
      </c>
      <c r="AC6">
        <v>0.96896199999999999</v>
      </c>
      <c r="AD6">
        <v>1.9389099999999999</v>
      </c>
      <c r="AE6">
        <v>3</v>
      </c>
      <c r="AM6">
        <v>14660229160</v>
      </c>
      <c r="AN6">
        <v>0</v>
      </c>
      <c r="AO6">
        <v>0</v>
      </c>
      <c r="AP6">
        <v>14660229160</v>
      </c>
      <c r="AQ6">
        <v>14660229160</v>
      </c>
      <c r="AR6">
        <v>488674305</v>
      </c>
      <c r="AS6">
        <v>0</v>
      </c>
      <c r="AT6">
        <v>0</v>
      </c>
      <c r="AU6">
        <v>488674305</v>
      </c>
      <c r="AV6">
        <v>488674305</v>
      </c>
      <c r="AW6">
        <v>8.6988699999999994</v>
      </c>
      <c r="AX6">
        <v>8.9317800000000003E-2</v>
      </c>
      <c r="AY6">
        <v>1065.28</v>
      </c>
      <c r="AZ6">
        <v>338.935</v>
      </c>
      <c r="BA6">
        <v>1213</v>
      </c>
      <c r="BB6">
        <v>243</v>
      </c>
      <c r="BC6" t="str">
        <f t="shared" si="0"/>
        <v>u=0%, k=2x10^6</v>
      </c>
      <c r="BD6">
        <f t="shared" si="1"/>
        <v>0</v>
      </c>
    </row>
    <row r="7" spans="1:56">
      <c r="A7" t="s">
        <v>91</v>
      </c>
      <c r="B7" t="s">
        <v>66</v>
      </c>
      <c r="C7">
        <v>208</v>
      </c>
      <c r="D7" t="s">
        <v>65</v>
      </c>
      <c r="E7" t="s">
        <v>60</v>
      </c>
      <c r="F7" t="s">
        <v>61</v>
      </c>
      <c r="G7">
        <v>30000</v>
      </c>
      <c r="H7">
        <v>0</v>
      </c>
      <c r="I7">
        <v>0</v>
      </c>
      <c r="J7">
        <v>0</v>
      </c>
      <c r="K7">
        <v>1</v>
      </c>
      <c r="L7">
        <v>2000000</v>
      </c>
      <c r="M7">
        <v>24</v>
      </c>
      <c r="N7">
        <v>24</v>
      </c>
      <c r="O7">
        <v>24</v>
      </c>
      <c r="P7">
        <v>0</v>
      </c>
      <c r="Q7" t="s">
        <v>62</v>
      </c>
      <c r="R7">
        <v>1000366767092</v>
      </c>
      <c r="S7">
        <v>1000000</v>
      </c>
      <c r="T7">
        <v>1000366767092</v>
      </c>
      <c r="U7">
        <v>1000000</v>
      </c>
      <c r="V7" t="s">
        <v>75</v>
      </c>
      <c r="W7">
        <v>8</v>
      </c>
      <c r="X7">
        <v>18503</v>
      </c>
      <c r="Y7">
        <v>127563</v>
      </c>
      <c r="Z7">
        <v>146066</v>
      </c>
      <c r="AA7">
        <v>1000000</v>
      </c>
      <c r="AB7">
        <v>7.8941800000000004</v>
      </c>
      <c r="AC7">
        <v>7.8392600000000003</v>
      </c>
      <c r="AD7">
        <v>7.8462199999999998</v>
      </c>
      <c r="AE7">
        <v>7</v>
      </c>
      <c r="AM7">
        <v>2073973900</v>
      </c>
      <c r="AN7">
        <v>0</v>
      </c>
      <c r="AO7">
        <v>0</v>
      </c>
      <c r="AP7">
        <v>2073973900</v>
      </c>
      <c r="AQ7">
        <v>2073973900</v>
      </c>
      <c r="AR7">
        <v>69132463</v>
      </c>
      <c r="AS7">
        <v>0</v>
      </c>
      <c r="AT7">
        <v>0</v>
      </c>
      <c r="AU7">
        <v>69132463</v>
      </c>
      <c r="AV7">
        <v>69132463</v>
      </c>
      <c r="AW7">
        <v>8.5601599999999998</v>
      </c>
      <c r="AX7">
        <v>0.26726899999999998</v>
      </c>
      <c r="AY7">
        <v>968.23800000000006</v>
      </c>
      <c r="AZ7">
        <v>230.95099999999999</v>
      </c>
      <c r="BA7">
        <v>1102</v>
      </c>
      <c r="BB7">
        <v>159</v>
      </c>
      <c r="BC7" t="str">
        <f t="shared" si="0"/>
        <v>u=0%, k=2x10^6</v>
      </c>
      <c r="BD7">
        <f t="shared" si="1"/>
        <v>0</v>
      </c>
    </row>
    <row r="8" spans="1:56">
      <c r="A8" t="s">
        <v>92</v>
      </c>
      <c r="B8" t="s">
        <v>66</v>
      </c>
      <c r="C8">
        <v>208</v>
      </c>
      <c r="D8" t="s">
        <v>65</v>
      </c>
      <c r="E8" t="s">
        <v>60</v>
      </c>
      <c r="F8" t="s">
        <v>61</v>
      </c>
      <c r="G8">
        <v>30000</v>
      </c>
      <c r="H8">
        <v>0</v>
      </c>
      <c r="I8">
        <v>0</v>
      </c>
      <c r="J8">
        <v>0</v>
      </c>
      <c r="K8">
        <v>1</v>
      </c>
      <c r="L8">
        <v>2000000</v>
      </c>
      <c r="M8">
        <v>48</v>
      </c>
      <c r="N8">
        <v>48</v>
      </c>
      <c r="O8">
        <v>48</v>
      </c>
      <c r="P8">
        <v>0</v>
      </c>
      <c r="Q8" t="s">
        <v>62</v>
      </c>
      <c r="R8">
        <v>999836972871</v>
      </c>
      <c r="S8">
        <v>1000000</v>
      </c>
      <c r="T8">
        <v>999836972871</v>
      </c>
      <c r="U8">
        <v>1000000</v>
      </c>
      <c r="V8" t="s">
        <v>75</v>
      </c>
      <c r="W8">
        <v>8</v>
      </c>
      <c r="X8">
        <v>18572</v>
      </c>
      <c r="Y8">
        <v>127474</v>
      </c>
      <c r="Z8">
        <v>146046</v>
      </c>
      <c r="AA8">
        <v>1000000</v>
      </c>
      <c r="AB8">
        <v>7.8637699999999997</v>
      </c>
      <c r="AC8">
        <v>7.8447399999999998</v>
      </c>
      <c r="AD8">
        <v>7.8471599999999997</v>
      </c>
      <c r="AE8">
        <v>7</v>
      </c>
      <c r="AM8">
        <v>3184890437</v>
      </c>
      <c r="AN8">
        <v>0</v>
      </c>
      <c r="AO8">
        <v>0</v>
      </c>
      <c r="AP8">
        <v>3184890437</v>
      </c>
      <c r="AQ8">
        <v>3184890437</v>
      </c>
      <c r="AR8">
        <v>106163014</v>
      </c>
      <c r="AS8">
        <v>0</v>
      </c>
      <c r="AT8">
        <v>0</v>
      </c>
      <c r="AU8">
        <v>106163014</v>
      </c>
      <c r="AV8">
        <v>106163014</v>
      </c>
      <c r="AW8">
        <v>8.5400700000000001</v>
      </c>
      <c r="AX8">
        <v>0.28241300000000003</v>
      </c>
      <c r="AY8">
        <v>1217.4100000000001</v>
      </c>
      <c r="AZ8">
        <v>384.61</v>
      </c>
      <c r="BA8">
        <v>1113</v>
      </c>
      <c r="BB8">
        <v>204</v>
      </c>
      <c r="BC8" t="str">
        <f t="shared" si="0"/>
        <v>u=0%, k=2x10^6</v>
      </c>
      <c r="BD8">
        <f t="shared" si="1"/>
        <v>0</v>
      </c>
    </row>
    <row r="9" spans="1:56">
      <c r="A9" t="s">
        <v>93</v>
      </c>
      <c r="B9" t="s">
        <v>66</v>
      </c>
      <c r="C9">
        <v>208</v>
      </c>
      <c r="D9" t="s">
        <v>65</v>
      </c>
      <c r="E9" t="s">
        <v>60</v>
      </c>
      <c r="F9" t="s">
        <v>61</v>
      </c>
      <c r="G9">
        <v>30000</v>
      </c>
      <c r="H9">
        <v>0</v>
      </c>
      <c r="I9">
        <v>0</v>
      </c>
      <c r="J9">
        <v>0</v>
      </c>
      <c r="K9">
        <v>1</v>
      </c>
      <c r="L9">
        <v>2000000</v>
      </c>
      <c r="M9">
        <v>96</v>
      </c>
      <c r="N9">
        <v>96</v>
      </c>
      <c r="O9">
        <v>96</v>
      </c>
      <c r="P9">
        <v>0</v>
      </c>
      <c r="Q9" t="s">
        <v>62</v>
      </c>
      <c r="R9">
        <v>999604796183</v>
      </c>
      <c r="S9">
        <v>1000000</v>
      </c>
      <c r="T9">
        <v>999604796183</v>
      </c>
      <c r="U9">
        <v>1000000</v>
      </c>
      <c r="V9" t="s">
        <v>75</v>
      </c>
      <c r="W9">
        <v>8</v>
      </c>
      <c r="X9">
        <v>18528</v>
      </c>
      <c r="Y9">
        <v>127622</v>
      </c>
      <c r="Z9">
        <v>146150</v>
      </c>
      <c r="AA9">
        <v>1000000</v>
      </c>
      <c r="AB9">
        <v>7.8880600000000003</v>
      </c>
      <c r="AC9">
        <v>7.8356399999999997</v>
      </c>
      <c r="AD9">
        <v>7.8422900000000002</v>
      </c>
      <c r="AE9">
        <v>7</v>
      </c>
      <c r="AM9">
        <v>6245688382</v>
      </c>
      <c r="AN9">
        <v>0</v>
      </c>
      <c r="AO9">
        <v>0</v>
      </c>
      <c r="AP9">
        <v>6245688382</v>
      </c>
      <c r="AQ9">
        <v>6245688382</v>
      </c>
      <c r="AR9">
        <v>208189612</v>
      </c>
      <c r="AS9">
        <v>0</v>
      </c>
      <c r="AT9">
        <v>0</v>
      </c>
      <c r="AU9">
        <v>208189612</v>
      </c>
      <c r="AV9">
        <v>208189612</v>
      </c>
      <c r="AW9">
        <v>8.6209699999999998</v>
      </c>
      <c r="AX9">
        <v>0.342138</v>
      </c>
      <c r="AY9">
        <v>1251.4100000000001</v>
      </c>
      <c r="AZ9">
        <v>382.84399999999999</v>
      </c>
      <c r="BA9">
        <v>1129</v>
      </c>
      <c r="BB9">
        <v>252</v>
      </c>
      <c r="BC9" t="str">
        <f t="shared" si="0"/>
        <v>u=0%, k=2x10^6</v>
      </c>
      <c r="BD9">
        <f t="shared" si="1"/>
        <v>0</v>
      </c>
    </row>
    <row r="10" spans="1:56">
      <c r="A10" t="s">
        <v>94</v>
      </c>
      <c r="B10" t="s">
        <v>66</v>
      </c>
      <c r="C10">
        <v>208</v>
      </c>
      <c r="D10" t="s">
        <v>65</v>
      </c>
      <c r="E10" t="s">
        <v>60</v>
      </c>
      <c r="F10" t="s">
        <v>61</v>
      </c>
      <c r="G10">
        <v>30000</v>
      </c>
      <c r="H10">
        <v>0</v>
      </c>
      <c r="I10">
        <v>0</v>
      </c>
      <c r="J10">
        <v>0</v>
      </c>
      <c r="K10">
        <v>1</v>
      </c>
      <c r="L10">
        <v>2000000</v>
      </c>
      <c r="M10">
        <v>144</v>
      </c>
      <c r="N10">
        <v>144</v>
      </c>
      <c r="O10">
        <v>144</v>
      </c>
      <c r="P10">
        <v>0</v>
      </c>
      <c r="Q10" t="s">
        <v>62</v>
      </c>
      <c r="R10">
        <v>999854171349</v>
      </c>
      <c r="S10">
        <v>1000000</v>
      </c>
      <c r="T10">
        <v>999854171349</v>
      </c>
      <c r="U10">
        <v>1000000</v>
      </c>
      <c r="V10" t="s">
        <v>75</v>
      </c>
      <c r="W10">
        <v>8</v>
      </c>
      <c r="X10">
        <v>18571</v>
      </c>
      <c r="Y10">
        <v>127566</v>
      </c>
      <c r="Z10">
        <v>146137</v>
      </c>
      <c r="AA10">
        <v>1000000</v>
      </c>
      <c r="AB10">
        <v>7.8691000000000004</v>
      </c>
      <c r="AC10">
        <v>7.83908</v>
      </c>
      <c r="AD10">
        <v>7.8428899999999997</v>
      </c>
      <c r="AE10">
        <v>7</v>
      </c>
      <c r="AM10">
        <v>9303015898</v>
      </c>
      <c r="AN10">
        <v>0</v>
      </c>
      <c r="AO10">
        <v>0</v>
      </c>
      <c r="AP10">
        <v>9303015898</v>
      </c>
      <c r="AQ10">
        <v>9303015898</v>
      </c>
      <c r="AR10">
        <v>310100529</v>
      </c>
      <c r="AS10">
        <v>0</v>
      </c>
      <c r="AT10">
        <v>0</v>
      </c>
      <c r="AU10">
        <v>310100529</v>
      </c>
      <c r="AV10">
        <v>310100529</v>
      </c>
      <c r="AW10">
        <v>8.6660500000000003</v>
      </c>
      <c r="AX10">
        <v>0.36184899999999998</v>
      </c>
      <c r="AY10">
        <v>1236.3900000000001</v>
      </c>
      <c r="AZ10">
        <v>365.93900000000002</v>
      </c>
      <c r="BA10">
        <v>1139</v>
      </c>
      <c r="BB10">
        <v>364</v>
      </c>
      <c r="BC10" t="str">
        <f t="shared" si="0"/>
        <v>u=0%, k=2x10^6</v>
      </c>
      <c r="BD10">
        <f t="shared" si="1"/>
        <v>0</v>
      </c>
    </row>
    <row r="11" spans="1:56">
      <c r="A11" t="s">
        <v>95</v>
      </c>
      <c r="B11" t="s">
        <v>66</v>
      </c>
      <c r="C11">
        <v>208</v>
      </c>
      <c r="D11" t="s">
        <v>65</v>
      </c>
      <c r="E11" t="s">
        <v>60</v>
      </c>
      <c r="F11" t="s">
        <v>61</v>
      </c>
      <c r="G11">
        <v>30000</v>
      </c>
      <c r="H11">
        <v>0</v>
      </c>
      <c r="I11">
        <v>0</v>
      </c>
      <c r="J11">
        <v>0</v>
      </c>
      <c r="K11">
        <v>1</v>
      </c>
      <c r="L11">
        <v>2000000</v>
      </c>
      <c r="M11">
        <v>190</v>
      </c>
      <c r="N11">
        <v>190</v>
      </c>
      <c r="O11">
        <v>190</v>
      </c>
      <c r="P11">
        <v>0</v>
      </c>
      <c r="Q11" t="s">
        <v>62</v>
      </c>
      <c r="R11">
        <v>999803282466</v>
      </c>
      <c r="S11">
        <v>1000000</v>
      </c>
      <c r="T11">
        <v>999803282466</v>
      </c>
      <c r="U11">
        <v>1000000</v>
      </c>
      <c r="V11" t="s">
        <v>75</v>
      </c>
      <c r="W11">
        <v>8</v>
      </c>
      <c r="X11">
        <v>18613</v>
      </c>
      <c r="Y11">
        <v>127525</v>
      </c>
      <c r="Z11">
        <v>146138</v>
      </c>
      <c r="AA11">
        <v>1000000</v>
      </c>
      <c r="AB11">
        <v>7.8513900000000003</v>
      </c>
      <c r="AC11">
        <v>7.8415999999999997</v>
      </c>
      <c r="AD11">
        <v>7.8428500000000003</v>
      </c>
      <c r="AE11">
        <v>7</v>
      </c>
      <c r="AM11">
        <v>12363119606</v>
      </c>
      <c r="AN11">
        <v>0</v>
      </c>
      <c r="AO11">
        <v>0</v>
      </c>
      <c r="AP11">
        <v>12363119606</v>
      </c>
      <c r="AQ11">
        <v>12363119606</v>
      </c>
      <c r="AR11">
        <v>412103986</v>
      </c>
      <c r="AS11">
        <v>0</v>
      </c>
      <c r="AT11">
        <v>0</v>
      </c>
      <c r="AU11">
        <v>412103986</v>
      </c>
      <c r="AV11">
        <v>412103986</v>
      </c>
      <c r="AW11">
        <v>8.6933299999999996</v>
      </c>
      <c r="AX11">
        <v>0.38213599999999998</v>
      </c>
      <c r="AY11">
        <v>1230.4100000000001</v>
      </c>
      <c r="AZ11">
        <v>359.43799999999999</v>
      </c>
      <c r="BA11">
        <v>1154</v>
      </c>
      <c r="BB11">
        <v>328</v>
      </c>
      <c r="BC11" t="str">
        <f t="shared" si="0"/>
        <v>u=0%, k=2x10^6</v>
      </c>
      <c r="BD11">
        <f t="shared" si="1"/>
        <v>0</v>
      </c>
    </row>
    <row r="12" spans="1:56">
      <c r="A12" t="s">
        <v>96</v>
      </c>
      <c r="B12" t="s">
        <v>67</v>
      </c>
      <c r="D12" t="s">
        <v>65</v>
      </c>
      <c r="E12" t="s">
        <v>60</v>
      </c>
      <c r="F12" t="s">
        <v>61</v>
      </c>
      <c r="G12">
        <v>30000</v>
      </c>
      <c r="H12">
        <v>0</v>
      </c>
      <c r="I12">
        <v>0</v>
      </c>
      <c r="J12">
        <v>0</v>
      </c>
      <c r="K12">
        <v>1</v>
      </c>
      <c r="L12">
        <v>2000000</v>
      </c>
      <c r="M12">
        <v>24</v>
      </c>
      <c r="N12">
        <v>24</v>
      </c>
      <c r="O12">
        <v>24</v>
      </c>
      <c r="P12">
        <v>0</v>
      </c>
      <c r="Q12" t="s">
        <v>62</v>
      </c>
      <c r="R12">
        <v>999768175301</v>
      </c>
      <c r="S12">
        <v>1000000</v>
      </c>
      <c r="T12">
        <v>999768175301</v>
      </c>
      <c r="U12">
        <v>1000000</v>
      </c>
      <c r="V12" t="s">
        <v>75</v>
      </c>
      <c r="W12">
        <v>25</v>
      </c>
      <c r="X12">
        <v>571161</v>
      </c>
      <c r="Y12">
        <v>428840</v>
      </c>
      <c r="Z12">
        <v>1000001</v>
      </c>
      <c r="AA12">
        <v>1000000</v>
      </c>
      <c r="AB12">
        <v>1.75082</v>
      </c>
      <c r="AC12">
        <v>2.3318699999999999</v>
      </c>
      <c r="AD12">
        <v>2</v>
      </c>
      <c r="AE12">
        <v>19.314299999999999</v>
      </c>
      <c r="AM12">
        <v>931886292</v>
      </c>
      <c r="AN12">
        <v>0</v>
      </c>
      <c r="AO12">
        <v>0</v>
      </c>
      <c r="AP12">
        <v>931886292</v>
      </c>
      <c r="AQ12">
        <v>931886292</v>
      </c>
      <c r="AR12">
        <v>31062876</v>
      </c>
      <c r="AS12">
        <v>0</v>
      </c>
      <c r="AT12">
        <v>0</v>
      </c>
      <c r="AU12">
        <v>31062876</v>
      </c>
      <c r="AV12">
        <v>31062876</v>
      </c>
      <c r="AW12">
        <v>14.7249</v>
      </c>
      <c r="AX12">
        <v>1.8373999999999999</v>
      </c>
      <c r="AY12">
        <v>2155.31</v>
      </c>
      <c r="AZ12">
        <v>1104.6500000000001</v>
      </c>
      <c r="BA12">
        <v>1135</v>
      </c>
      <c r="BB12">
        <v>198</v>
      </c>
      <c r="BC12" t="str">
        <f t="shared" si="0"/>
        <v>u=0%, k=2x10^6</v>
      </c>
      <c r="BD12">
        <f t="shared" si="1"/>
        <v>0</v>
      </c>
    </row>
    <row r="13" spans="1:56">
      <c r="A13" t="s">
        <v>97</v>
      </c>
      <c r="B13" t="s">
        <v>67</v>
      </c>
      <c r="D13" t="s">
        <v>65</v>
      </c>
      <c r="E13" t="s">
        <v>60</v>
      </c>
      <c r="F13" t="s">
        <v>61</v>
      </c>
      <c r="G13">
        <v>30000</v>
      </c>
      <c r="H13">
        <v>0</v>
      </c>
      <c r="I13">
        <v>0</v>
      </c>
      <c r="J13">
        <v>0</v>
      </c>
      <c r="K13">
        <v>1</v>
      </c>
      <c r="L13">
        <v>2000000</v>
      </c>
      <c r="M13">
        <v>48</v>
      </c>
      <c r="N13">
        <v>48</v>
      </c>
      <c r="O13">
        <v>48</v>
      </c>
      <c r="P13">
        <v>0</v>
      </c>
      <c r="Q13" t="s">
        <v>62</v>
      </c>
      <c r="R13">
        <v>1000402610837</v>
      </c>
      <c r="S13">
        <v>1000000</v>
      </c>
      <c r="T13">
        <v>1000402610837</v>
      </c>
      <c r="U13">
        <v>1000000</v>
      </c>
      <c r="V13" t="s">
        <v>75</v>
      </c>
      <c r="W13">
        <v>25</v>
      </c>
      <c r="X13">
        <v>571295</v>
      </c>
      <c r="Y13">
        <v>428706</v>
      </c>
      <c r="Z13">
        <v>1000001</v>
      </c>
      <c r="AA13">
        <v>1000000</v>
      </c>
      <c r="AB13">
        <v>1.75041</v>
      </c>
      <c r="AC13">
        <v>2.3325999999999998</v>
      </c>
      <c r="AD13">
        <v>2</v>
      </c>
      <c r="AE13">
        <v>19.3032</v>
      </c>
      <c r="AM13">
        <v>1616925168</v>
      </c>
      <c r="AN13">
        <v>0</v>
      </c>
      <c r="AO13">
        <v>0</v>
      </c>
      <c r="AP13">
        <v>1616925168</v>
      </c>
      <c r="AQ13">
        <v>1616925168</v>
      </c>
      <c r="AR13">
        <v>53897505</v>
      </c>
      <c r="AS13">
        <v>0</v>
      </c>
      <c r="AT13">
        <v>0</v>
      </c>
      <c r="AU13">
        <v>53897505</v>
      </c>
      <c r="AV13">
        <v>53897505</v>
      </c>
      <c r="AW13">
        <v>15.76</v>
      </c>
      <c r="AX13">
        <v>1.8694299999999999</v>
      </c>
      <c r="AY13">
        <v>2480.81</v>
      </c>
      <c r="AZ13">
        <v>1289.28</v>
      </c>
      <c r="BA13">
        <v>1137</v>
      </c>
      <c r="BB13">
        <v>222</v>
      </c>
      <c r="BC13" t="str">
        <f t="shared" si="0"/>
        <v>u=0%, k=2x10^6</v>
      </c>
      <c r="BD13">
        <f t="shared" si="1"/>
        <v>0</v>
      </c>
    </row>
    <row r="14" spans="1:56">
      <c r="A14" t="s">
        <v>98</v>
      </c>
      <c r="B14" t="s">
        <v>67</v>
      </c>
      <c r="D14" t="s">
        <v>65</v>
      </c>
      <c r="E14" t="s">
        <v>60</v>
      </c>
      <c r="F14" t="s">
        <v>61</v>
      </c>
      <c r="G14">
        <v>30000</v>
      </c>
      <c r="H14">
        <v>0</v>
      </c>
      <c r="I14">
        <v>0</v>
      </c>
      <c r="J14">
        <v>0</v>
      </c>
      <c r="K14">
        <v>1</v>
      </c>
      <c r="L14">
        <v>2000000</v>
      </c>
      <c r="M14">
        <v>96</v>
      </c>
      <c r="N14">
        <v>96</v>
      </c>
      <c r="O14">
        <v>96</v>
      </c>
      <c r="P14">
        <v>0</v>
      </c>
      <c r="Q14" t="s">
        <v>62</v>
      </c>
      <c r="R14">
        <v>999807374206</v>
      </c>
      <c r="S14">
        <v>1000000</v>
      </c>
      <c r="T14">
        <v>999807374206</v>
      </c>
      <c r="U14">
        <v>1000000</v>
      </c>
      <c r="V14" t="s">
        <v>75</v>
      </c>
      <c r="W14">
        <v>25</v>
      </c>
      <c r="X14">
        <v>571365</v>
      </c>
      <c r="Y14">
        <v>428636</v>
      </c>
      <c r="Z14">
        <v>1000001</v>
      </c>
      <c r="AA14">
        <v>1000000</v>
      </c>
      <c r="AB14">
        <v>1.7502</v>
      </c>
      <c r="AC14">
        <v>2.3329800000000001</v>
      </c>
      <c r="AD14">
        <v>2</v>
      </c>
      <c r="AE14">
        <v>19.332899999999999</v>
      </c>
      <c r="AM14">
        <v>3402966249</v>
      </c>
      <c r="AN14">
        <v>0</v>
      </c>
      <c r="AO14">
        <v>0</v>
      </c>
      <c r="AP14">
        <v>3402966249</v>
      </c>
      <c r="AQ14">
        <v>3402966249</v>
      </c>
      <c r="AR14">
        <v>113432208</v>
      </c>
      <c r="AS14">
        <v>0</v>
      </c>
      <c r="AT14">
        <v>0</v>
      </c>
      <c r="AU14">
        <v>113432208</v>
      </c>
      <c r="AV14">
        <v>113432208</v>
      </c>
      <c r="AW14">
        <v>15.805099999999999</v>
      </c>
      <c r="AX14">
        <v>2.0966800000000001</v>
      </c>
      <c r="AY14">
        <v>2330.67</v>
      </c>
      <c r="AZ14">
        <v>1110.57</v>
      </c>
      <c r="BA14">
        <v>1146</v>
      </c>
      <c r="BB14">
        <v>251</v>
      </c>
      <c r="BC14" t="str">
        <f t="shared" si="0"/>
        <v>u=0%, k=2x10^6</v>
      </c>
      <c r="BD14">
        <f t="shared" si="1"/>
        <v>0</v>
      </c>
    </row>
    <row r="15" spans="1:56">
      <c r="A15" t="s">
        <v>99</v>
      </c>
      <c r="B15" t="s">
        <v>67</v>
      </c>
      <c r="D15" t="s">
        <v>65</v>
      </c>
      <c r="E15" t="s">
        <v>60</v>
      </c>
      <c r="F15" t="s">
        <v>61</v>
      </c>
      <c r="G15">
        <v>30000</v>
      </c>
      <c r="H15">
        <v>0</v>
      </c>
      <c r="I15">
        <v>0</v>
      </c>
      <c r="J15">
        <v>0</v>
      </c>
      <c r="K15">
        <v>1</v>
      </c>
      <c r="L15">
        <v>2000000</v>
      </c>
      <c r="M15">
        <v>144</v>
      </c>
      <c r="N15">
        <v>144</v>
      </c>
      <c r="O15">
        <v>144</v>
      </c>
      <c r="P15">
        <v>0</v>
      </c>
      <c r="Q15" t="s">
        <v>62</v>
      </c>
      <c r="R15">
        <v>999872715005</v>
      </c>
      <c r="S15">
        <v>1000000</v>
      </c>
      <c r="T15">
        <v>999872715005</v>
      </c>
      <c r="U15">
        <v>1000000</v>
      </c>
      <c r="V15" t="s">
        <v>75</v>
      </c>
      <c r="W15">
        <v>25</v>
      </c>
      <c r="X15">
        <v>571320</v>
      </c>
      <c r="Y15">
        <v>428681</v>
      </c>
      <c r="Z15">
        <v>1000001</v>
      </c>
      <c r="AA15">
        <v>1000000</v>
      </c>
      <c r="AB15">
        <v>1.7503299999999999</v>
      </c>
      <c r="AC15">
        <v>2.3327399999999998</v>
      </c>
      <c r="AD15">
        <v>2</v>
      </c>
      <c r="AE15">
        <v>19.297499999999999</v>
      </c>
      <c r="AM15">
        <v>5058888053</v>
      </c>
      <c r="AN15">
        <v>0</v>
      </c>
      <c r="AO15">
        <v>0</v>
      </c>
      <c r="AP15">
        <v>5058888053</v>
      </c>
      <c r="AQ15">
        <v>5058888053</v>
      </c>
      <c r="AR15">
        <v>168629601</v>
      </c>
      <c r="AS15">
        <v>0</v>
      </c>
      <c r="AT15">
        <v>0</v>
      </c>
      <c r="AU15">
        <v>168629601</v>
      </c>
      <c r="AV15">
        <v>168629601</v>
      </c>
      <c r="AW15">
        <v>15.7431</v>
      </c>
      <c r="AX15">
        <v>2.1198800000000002</v>
      </c>
      <c r="AY15">
        <v>2315.6999999999998</v>
      </c>
      <c r="AZ15">
        <v>1086.4100000000001</v>
      </c>
      <c r="BA15">
        <v>1156</v>
      </c>
      <c r="BB15">
        <v>413</v>
      </c>
      <c r="BC15" t="str">
        <f t="shared" si="0"/>
        <v>u=0%, k=2x10^6</v>
      </c>
      <c r="BD15">
        <f t="shared" si="1"/>
        <v>0</v>
      </c>
    </row>
    <row r="16" spans="1:56">
      <c r="A16" t="s">
        <v>100</v>
      </c>
      <c r="B16" t="s">
        <v>67</v>
      </c>
      <c r="D16" t="s">
        <v>65</v>
      </c>
      <c r="E16" t="s">
        <v>60</v>
      </c>
      <c r="F16" t="s">
        <v>61</v>
      </c>
      <c r="G16">
        <v>30000</v>
      </c>
      <c r="H16">
        <v>0</v>
      </c>
      <c r="I16">
        <v>0</v>
      </c>
      <c r="J16">
        <v>0</v>
      </c>
      <c r="K16">
        <v>1</v>
      </c>
      <c r="L16">
        <v>2000000</v>
      </c>
      <c r="M16">
        <v>190</v>
      </c>
      <c r="N16">
        <v>190</v>
      </c>
      <c r="O16">
        <v>190</v>
      </c>
      <c r="P16">
        <v>0</v>
      </c>
      <c r="Q16" t="s">
        <v>62</v>
      </c>
      <c r="R16">
        <v>999939632372</v>
      </c>
      <c r="S16">
        <v>1000000</v>
      </c>
      <c r="T16">
        <v>999939632372</v>
      </c>
      <c r="U16">
        <v>1000000</v>
      </c>
      <c r="V16" t="s">
        <v>75</v>
      </c>
      <c r="W16">
        <v>25</v>
      </c>
      <c r="X16">
        <v>571219</v>
      </c>
      <c r="Y16">
        <v>428782</v>
      </c>
      <c r="Z16">
        <v>1000001</v>
      </c>
      <c r="AA16">
        <v>1000000</v>
      </c>
      <c r="AB16">
        <v>1.75064</v>
      </c>
      <c r="AC16">
        <v>2.3321900000000002</v>
      </c>
      <c r="AD16">
        <v>2</v>
      </c>
      <c r="AE16">
        <v>19.324200000000001</v>
      </c>
      <c r="AM16">
        <v>6692506650</v>
      </c>
      <c r="AN16">
        <v>0</v>
      </c>
      <c r="AO16">
        <v>0</v>
      </c>
      <c r="AP16">
        <v>6692506650</v>
      </c>
      <c r="AQ16">
        <v>6692506650</v>
      </c>
      <c r="AR16">
        <v>223083555</v>
      </c>
      <c r="AS16">
        <v>0</v>
      </c>
      <c r="AT16">
        <v>0</v>
      </c>
      <c r="AU16">
        <v>223083555</v>
      </c>
      <c r="AV16">
        <v>223083555</v>
      </c>
      <c r="AW16">
        <v>15.7615</v>
      </c>
      <c r="AX16">
        <v>2.1399300000000001</v>
      </c>
      <c r="AY16">
        <v>2309.65</v>
      </c>
      <c r="AZ16">
        <v>1070.0999999999999</v>
      </c>
      <c r="BA16">
        <v>1166</v>
      </c>
      <c r="BB16">
        <v>291</v>
      </c>
      <c r="BC16" t="str">
        <f t="shared" si="0"/>
        <v>u=0%, k=2x10^6</v>
      </c>
      <c r="BD16">
        <f t="shared" si="1"/>
        <v>0</v>
      </c>
    </row>
    <row r="17" spans="1:56">
      <c r="A17" t="s">
        <v>101</v>
      </c>
      <c r="B17" t="s">
        <v>68</v>
      </c>
      <c r="D17" t="s">
        <v>65</v>
      </c>
      <c r="E17" t="s">
        <v>60</v>
      </c>
      <c r="F17" t="s">
        <v>61</v>
      </c>
      <c r="G17">
        <v>30000</v>
      </c>
      <c r="H17">
        <v>0</v>
      </c>
      <c r="I17">
        <v>0</v>
      </c>
      <c r="J17">
        <v>0</v>
      </c>
      <c r="K17">
        <v>1</v>
      </c>
      <c r="L17">
        <v>2000000</v>
      </c>
      <c r="M17">
        <v>24</v>
      </c>
      <c r="N17">
        <v>24</v>
      </c>
      <c r="O17">
        <v>24</v>
      </c>
      <c r="P17">
        <v>0</v>
      </c>
      <c r="Q17" t="s">
        <v>62</v>
      </c>
      <c r="R17">
        <v>999762491317</v>
      </c>
      <c r="S17">
        <v>1000000</v>
      </c>
      <c r="T17">
        <v>999762491317</v>
      </c>
      <c r="U17">
        <v>1000000</v>
      </c>
      <c r="V17" t="s">
        <v>75</v>
      </c>
      <c r="W17">
        <v>50</v>
      </c>
      <c r="X17">
        <v>999999</v>
      </c>
      <c r="Y17">
        <v>1000000</v>
      </c>
      <c r="Z17">
        <v>1999999</v>
      </c>
      <c r="AA17">
        <v>1000000</v>
      </c>
      <c r="AB17">
        <v>2</v>
      </c>
      <c r="AC17">
        <v>1</v>
      </c>
      <c r="AD17">
        <v>1.5</v>
      </c>
      <c r="AE17">
        <v>25.962</v>
      </c>
      <c r="AM17">
        <v>819477135</v>
      </c>
      <c r="AN17">
        <v>0</v>
      </c>
      <c r="AO17">
        <v>0</v>
      </c>
      <c r="AP17">
        <v>819477135</v>
      </c>
      <c r="AQ17">
        <v>819477135</v>
      </c>
      <c r="AR17">
        <v>27315904</v>
      </c>
      <c r="AS17">
        <v>0</v>
      </c>
      <c r="AT17">
        <v>0</v>
      </c>
      <c r="AU17">
        <v>27315904</v>
      </c>
      <c r="AV17">
        <v>27315904</v>
      </c>
      <c r="AW17">
        <v>11.744300000000001</v>
      </c>
      <c r="AX17">
        <v>1.5706800000000001</v>
      </c>
      <c r="AY17">
        <v>2451.09</v>
      </c>
      <c r="AZ17">
        <v>1448.93</v>
      </c>
      <c r="BA17">
        <v>1133</v>
      </c>
      <c r="BB17">
        <v>172</v>
      </c>
      <c r="BC17" t="str">
        <f t="shared" si="0"/>
        <v>u=0%, k=2x10^6</v>
      </c>
      <c r="BD17">
        <f t="shared" si="1"/>
        <v>0</v>
      </c>
    </row>
    <row r="18" spans="1:56">
      <c r="A18" t="s">
        <v>102</v>
      </c>
      <c r="B18" t="s">
        <v>68</v>
      </c>
      <c r="D18" t="s">
        <v>65</v>
      </c>
      <c r="E18" t="s">
        <v>60</v>
      </c>
      <c r="F18" t="s">
        <v>61</v>
      </c>
      <c r="G18">
        <v>30000</v>
      </c>
      <c r="H18">
        <v>0</v>
      </c>
      <c r="I18">
        <v>0</v>
      </c>
      <c r="J18">
        <v>0</v>
      </c>
      <c r="K18">
        <v>1</v>
      </c>
      <c r="L18">
        <v>2000000</v>
      </c>
      <c r="M18">
        <v>48</v>
      </c>
      <c r="N18">
        <v>48</v>
      </c>
      <c r="O18">
        <v>48</v>
      </c>
      <c r="P18">
        <v>0</v>
      </c>
      <c r="Q18" t="s">
        <v>62</v>
      </c>
      <c r="R18">
        <v>1000033354821</v>
      </c>
      <c r="S18">
        <v>1000000</v>
      </c>
      <c r="T18">
        <v>1000033354821</v>
      </c>
      <c r="U18">
        <v>1000000</v>
      </c>
      <c r="V18" t="s">
        <v>75</v>
      </c>
      <c r="W18">
        <v>55</v>
      </c>
      <c r="X18">
        <v>999999</v>
      </c>
      <c r="Y18">
        <v>1000000</v>
      </c>
      <c r="Z18">
        <v>1999999</v>
      </c>
      <c r="AA18">
        <v>1000000</v>
      </c>
      <c r="AB18">
        <v>2</v>
      </c>
      <c r="AC18">
        <v>1</v>
      </c>
      <c r="AD18">
        <v>1.5</v>
      </c>
      <c r="AE18">
        <v>26.793800000000001</v>
      </c>
      <c r="AM18">
        <v>1475816278</v>
      </c>
      <c r="AN18">
        <v>0</v>
      </c>
      <c r="AO18">
        <v>0</v>
      </c>
      <c r="AP18">
        <v>1475816278</v>
      </c>
      <c r="AQ18">
        <v>1475816278</v>
      </c>
      <c r="AR18">
        <v>49193875</v>
      </c>
      <c r="AS18">
        <v>0</v>
      </c>
      <c r="AT18">
        <v>0</v>
      </c>
      <c r="AU18">
        <v>49193875</v>
      </c>
      <c r="AV18">
        <v>49193875</v>
      </c>
      <c r="AW18">
        <v>11.761200000000001</v>
      </c>
      <c r="AX18">
        <v>1.5588599999999999</v>
      </c>
      <c r="AY18">
        <v>2721.03</v>
      </c>
      <c r="AZ18">
        <v>1805.24</v>
      </c>
      <c r="BA18">
        <v>1139</v>
      </c>
      <c r="BB18">
        <v>210</v>
      </c>
      <c r="BC18" t="str">
        <f t="shared" si="0"/>
        <v>u=0%, k=2x10^6</v>
      </c>
      <c r="BD18">
        <f t="shared" si="1"/>
        <v>0</v>
      </c>
    </row>
    <row r="19" spans="1:56">
      <c r="A19" t="s">
        <v>103</v>
      </c>
      <c r="B19" t="s">
        <v>68</v>
      </c>
      <c r="D19" t="s">
        <v>65</v>
      </c>
      <c r="E19" t="s">
        <v>60</v>
      </c>
      <c r="F19" t="s">
        <v>61</v>
      </c>
      <c r="G19">
        <v>30000</v>
      </c>
      <c r="H19">
        <v>0</v>
      </c>
      <c r="I19">
        <v>0</v>
      </c>
      <c r="J19">
        <v>0</v>
      </c>
      <c r="K19">
        <v>1</v>
      </c>
      <c r="L19">
        <v>2000000</v>
      </c>
      <c r="M19">
        <v>96</v>
      </c>
      <c r="N19">
        <v>96</v>
      </c>
      <c r="O19">
        <v>96</v>
      </c>
      <c r="P19">
        <v>0</v>
      </c>
      <c r="Q19" t="s">
        <v>62</v>
      </c>
      <c r="R19">
        <v>999942655518</v>
      </c>
      <c r="S19">
        <v>1000000</v>
      </c>
      <c r="T19">
        <v>999942655518</v>
      </c>
      <c r="U19">
        <v>1000000</v>
      </c>
      <c r="V19" t="s">
        <v>75</v>
      </c>
      <c r="W19">
        <v>53</v>
      </c>
      <c r="X19">
        <v>999999</v>
      </c>
      <c r="Y19">
        <v>1000000</v>
      </c>
      <c r="Z19">
        <v>1999999</v>
      </c>
      <c r="AA19">
        <v>1000000</v>
      </c>
      <c r="AB19">
        <v>2</v>
      </c>
      <c r="AC19">
        <v>1</v>
      </c>
      <c r="AD19">
        <v>1.5</v>
      </c>
      <c r="AE19">
        <v>26.686399999999999</v>
      </c>
      <c r="AM19">
        <v>3214778195</v>
      </c>
      <c r="AN19">
        <v>0</v>
      </c>
      <c r="AO19">
        <v>0</v>
      </c>
      <c r="AP19">
        <v>3214778195</v>
      </c>
      <c r="AQ19">
        <v>3214778195</v>
      </c>
      <c r="AR19">
        <v>107159273</v>
      </c>
      <c r="AS19">
        <v>0</v>
      </c>
      <c r="AT19">
        <v>0</v>
      </c>
      <c r="AU19">
        <v>107159273</v>
      </c>
      <c r="AV19">
        <v>107159273</v>
      </c>
      <c r="AW19">
        <v>11.8028</v>
      </c>
      <c r="AX19">
        <v>1.77908</v>
      </c>
      <c r="AY19">
        <v>2494.0100000000002</v>
      </c>
      <c r="AZ19">
        <v>1559.42</v>
      </c>
      <c r="BA19">
        <v>1146</v>
      </c>
      <c r="BB19">
        <v>234</v>
      </c>
      <c r="BC19" t="str">
        <f t="shared" si="0"/>
        <v>u=0%, k=2x10^6</v>
      </c>
      <c r="BD19">
        <f t="shared" si="1"/>
        <v>0</v>
      </c>
    </row>
    <row r="20" spans="1:56">
      <c r="A20" t="s">
        <v>104</v>
      </c>
      <c r="B20" t="s">
        <v>68</v>
      </c>
      <c r="D20" t="s">
        <v>65</v>
      </c>
      <c r="E20" t="s">
        <v>60</v>
      </c>
      <c r="F20" t="s">
        <v>61</v>
      </c>
      <c r="G20">
        <v>30000</v>
      </c>
      <c r="H20">
        <v>0</v>
      </c>
      <c r="I20">
        <v>0</v>
      </c>
      <c r="J20">
        <v>0</v>
      </c>
      <c r="K20">
        <v>1</v>
      </c>
      <c r="L20">
        <v>2000000</v>
      </c>
      <c r="M20">
        <v>144</v>
      </c>
      <c r="N20">
        <v>144</v>
      </c>
      <c r="O20">
        <v>144</v>
      </c>
      <c r="P20">
        <v>0</v>
      </c>
      <c r="Q20" t="s">
        <v>62</v>
      </c>
      <c r="R20">
        <v>999588003989</v>
      </c>
      <c r="S20">
        <v>1000000</v>
      </c>
      <c r="T20">
        <v>999588003989</v>
      </c>
      <c r="U20">
        <v>1000000</v>
      </c>
      <c r="V20" t="s">
        <v>75</v>
      </c>
      <c r="W20">
        <v>53</v>
      </c>
      <c r="X20">
        <v>999999</v>
      </c>
      <c r="Y20">
        <v>1000000</v>
      </c>
      <c r="Z20">
        <v>1999999</v>
      </c>
      <c r="AA20">
        <v>1000000</v>
      </c>
      <c r="AB20">
        <v>2</v>
      </c>
      <c r="AC20">
        <v>1</v>
      </c>
      <c r="AD20">
        <v>1.5</v>
      </c>
      <c r="AE20">
        <v>26.9803</v>
      </c>
      <c r="AM20">
        <v>4903012858</v>
      </c>
      <c r="AN20">
        <v>0</v>
      </c>
      <c r="AO20">
        <v>0</v>
      </c>
      <c r="AP20">
        <v>4903012858</v>
      </c>
      <c r="AQ20">
        <v>4903012858</v>
      </c>
      <c r="AR20">
        <v>163433761</v>
      </c>
      <c r="AS20">
        <v>0</v>
      </c>
      <c r="AT20">
        <v>0</v>
      </c>
      <c r="AU20">
        <v>163433761</v>
      </c>
      <c r="AV20">
        <v>163433761</v>
      </c>
      <c r="AW20">
        <v>11.844200000000001</v>
      </c>
      <c r="AX20">
        <v>1.79199</v>
      </c>
      <c r="AY20">
        <v>2453.4</v>
      </c>
      <c r="AZ20">
        <v>1520.7</v>
      </c>
      <c r="BA20">
        <v>1157</v>
      </c>
      <c r="BB20">
        <v>278</v>
      </c>
      <c r="BC20" t="str">
        <f t="shared" si="0"/>
        <v>u=0%, k=2x10^6</v>
      </c>
      <c r="BD20">
        <f t="shared" si="1"/>
        <v>0</v>
      </c>
    </row>
    <row r="21" spans="1:56">
      <c r="A21" t="s">
        <v>105</v>
      </c>
      <c r="B21" t="s">
        <v>68</v>
      </c>
      <c r="D21" t="s">
        <v>65</v>
      </c>
      <c r="E21" t="s">
        <v>60</v>
      </c>
      <c r="F21" t="s">
        <v>61</v>
      </c>
      <c r="G21">
        <v>30000</v>
      </c>
      <c r="H21">
        <v>0</v>
      </c>
      <c r="I21">
        <v>0</v>
      </c>
      <c r="J21">
        <v>0</v>
      </c>
      <c r="K21">
        <v>1</v>
      </c>
      <c r="L21">
        <v>2000000</v>
      </c>
      <c r="M21">
        <v>190</v>
      </c>
      <c r="N21">
        <v>190</v>
      </c>
      <c r="O21">
        <v>190</v>
      </c>
      <c r="P21">
        <v>0</v>
      </c>
      <c r="Q21" t="s">
        <v>62</v>
      </c>
      <c r="R21">
        <v>1000346861901</v>
      </c>
      <c r="S21">
        <v>1000000</v>
      </c>
      <c r="T21">
        <v>1000346861901</v>
      </c>
      <c r="U21">
        <v>1000000</v>
      </c>
      <c r="V21" t="s">
        <v>75</v>
      </c>
      <c r="W21">
        <v>51</v>
      </c>
      <c r="X21">
        <v>999999</v>
      </c>
      <c r="Y21">
        <v>1000000</v>
      </c>
      <c r="Z21">
        <v>1999999</v>
      </c>
      <c r="AA21">
        <v>1000000</v>
      </c>
      <c r="AB21">
        <v>2</v>
      </c>
      <c r="AC21">
        <v>1</v>
      </c>
      <c r="AD21">
        <v>1.5</v>
      </c>
      <c r="AE21">
        <v>27.145900000000001</v>
      </c>
      <c r="AM21">
        <v>6517758464</v>
      </c>
      <c r="AN21">
        <v>0</v>
      </c>
      <c r="AO21">
        <v>0</v>
      </c>
      <c r="AP21">
        <v>6517758464</v>
      </c>
      <c r="AQ21">
        <v>6517758464</v>
      </c>
      <c r="AR21">
        <v>217258615</v>
      </c>
      <c r="AS21">
        <v>0</v>
      </c>
      <c r="AT21">
        <v>0</v>
      </c>
      <c r="AU21">
        <v>217258615</v>
      </c>
      <c r="AV21">
        <v>217258615</v>
      </c>
      <c r="AW21">
        <v>11.7979</v>
      </c>
      <c r="AX21">
        <v>1.8024899999999999</v>
      </c>
      <c r="AY21">
        <v>2435.17</v>
      </c>
      <c r="AZ21">
        <v>1485.82</v>
      </c>
      <c r="BA21">
        <v>1166</v>
      </c>
      <c r="BB21">
        <v>297</v>
      </c>
      <c r="BC21" t="str">
        <f t="shared" si="0"/>
        <v>u=0%, k=2x10^6</v>
      </c>
      <c r="BD21">
        <f t="shared" si="1"/>
        <v>0</v>
      </c>
    </row>
    <row r="22" spans="1:56">
      <c r="A22" t="s">
        <v>106</v>
      </c>
      <c r="B22" t="s">
        <v>64</v>
      </c>
      <c r="C22">
        <v>72</v>
      </c>
      <c r="D22" t="s">
        <v>65</v>
      </c>
      <c r="E22" t="s">
        <v>60</v>
      </c>
      <c r="F22" t="s">
        <v>61</v>
      </c>
      <c r="G22">
        <v>30000</v>
      </c>
      <c r="H22">
        <v>0</v>
      </c>
      <c r="I22">
        <v>0</v>
      </c>
      <c r="J22">
        <v>0</v>
      </c>
      <c r="K22">
        <v>1</v>
      </c>
      <c r="L22">
        <v>20000000</v>
      </c>
      <c r="M22">
        <v>24</v>
      </c>
      <c r="N22">
        <v>24</v>
      </c>
      <c r="O22">
        <v>24</v>
      </c>
      <c r="P22">
        <v>0</v>
      </c>
      <c r="Q22" t="s">
        <v>62</v>
      </c>
      <c r="R22">
        <v>100008162667402</v>
      </c>
      <c r="S22">
        <v>10000001</v>
      </c>
      <c r="T22">
        <v>100008162667402</v>
      </c>
      <c r="U22">
        <v>10000001</v>
      </c>
      <c r="V22" t="s">
        <v>75</v>
      </c>
      <c r="W22">
        <v>6</v>
      </c>
      <c r="X22">
        <v>1625784</v>
      </c>
      <c r="Y22">
        <v>11442329</v>
      </c>
      <c r="Z22">
        <v>13068113</v>
      </c>
      <c r="AA22">
        <v>10000001</v>
      </c>
      <c r="AB22">
        <v>8.0380400000000005</v>
      </c>
      <c r="AC22">
        <v>0.87394799999999995</v>
      </c>
      <c r="AD22">
        <v>1.76522</v>
      </c>
      <c r="AE22">
        <v>4</v>
      </c>
      <c r="AM22">
        <v>1120636188</v>
      </c>
      <c r="AN22">
        <v>0</v>
      </c>
      <c r="AO22">
        <v>0</v>
      </c>
      <c r="AP22">
        <v>1120636188</v>
      </c>
      <c r="AQ22">
        <v>1120636188</v>
      </c>
      <c r="AR22">
        <v>37354539</v>
      </c>
      <c r="AS22">
        <v>0</v>
      </c>
      <c r="AT22">
        <v>0</v>
      </c>
      <c r="AU22">
        <v>37354539</v>
      </c>
      <c r="AV22">
        <v>37354539</v>
      </c>
      <c r="AW22">
        <v>15.474500000000001</v>
      </c>
      <c r="AX22">
        <v>5.5865299999999998</v>
      </c>
      <c r="AY22">
        <v>1792.15</v>
      </c>
      <c r="AZ22">
        <v>1133.02</v>
      </c>
      <c r="BA22">
        <v>1704</v>
      </c>
      <c r="BB22">
        <v>154</v>
      </c>
      <c r="BC22" t="str">
        <f t="shared" si="0"/>
        <v>u=0%, k=2x10^7</v>
      </c>
      <c r="BD22">
        <f t="shared" si="1"/>
        <v>0</v>
      </c>
    </row>
    <row r="23" spans="1:56">
      <c r="A23" t="s">
        <v>107</v>
      </c>
      <c r="B23" t="s">
        <v>64</v>
      </c>
      <c r="C23">
        <v>72</v>
      </c>
      <c r="D23" t="s">
        <v>65</v>
      </c>
      <c r="E23" t="s">
        <v>60</v>
      </c>
      <c r="F23" t="s">
        <v>61</v>
      </c>
      <c r="G23">
        <v>30000</v>
      </c>
      <c r="H23">
        <v>0</v>
      </c>
      <c r="I23">
        <v>0</v>
      </c>
      <c r="J23">
        <v>0</v>
      </c>
      <c r="K23">
        <v>1</v>
      </c>
      <c r="L23">
        <v>20000000</v>
      </c>
      <c r="M23">
        <v>48</v>
      </c>
      <c r="N23">
        <v>48</v>
      </c>
      <c r="O23">
        <v>48</v>
      </c>
      <c r="P23">
        <v>0</v>
      </c>
      <c r="Q23" t="s">
        <v>62</v>
      </c>
      <c r="R23">
        <v>99995493637960</v>
      </c>
      <c r="S23">
        <v>10000001</v>
      </c>
      <c r="T23">
        <v>99995493637960</v>
      </c>
      <c r="U23">
        <v>10000001</v>
      </c>
      <c r="V23" t="s">
        <v>75</v>
      </c>
      <c r="W23">
        <v>6</v>
      </c>
      <c r="X23">
        <v>1625784</v>
      </c>
      <c r="Y23">
        <v>11442329</v>
      </c>
      <c r="Z23">
        <v>13068113</v>
      </c>
      <c r="AA23">
        <v>10000001</v>
      </c>
      <c r="AB23">
        <v>8.0380400000000005</v>
      </c>
      <c r="AC23">
        <v>0.87394799999999995</v>
      </c>
      <c r="AD23">
        <v>1.76522</v>
      </c>
      <c r="AE23">
        <v>4</v>
      </c>
      <c r="AM23">
        <v>1944672982</v>
      </c>
      <c r="AN23">
        <v>0</v>
      </c>
      <c r="AO23">
        <v>0</v>
      </c>
      <c r="AP23">
        <v>1944672982</v>
      </c>
      <c r="AQ23">
        <v>1944672982</v>
      </c>
      <c r="AR23">
        <v>64822432</v>
      </c>
      <c r="AS23">
        <v>0</v>
      </c>
      <c r="AT23">
        <v>0</v>
      </c>
      <c r="AU23">
        <v>64822432</v>
      </c>
      <c r="AV23">
        <v>64822432</v>
      </c>
      <c r="AW23">
        <v>15.2553</v>
      </c>
      <c r="AX23">
        <v>5.6746699999999999</v>
      </c>
      <c r="AY23">
        <v>2064.17</v>
      </c>
      <c r="AZ23">
        <v>1386.34</v>
      </c>
      <c r="BA23">
        <v>1723</v>
      </c>
      <c r="BB23">
        <v>174</v>
      </c>
      <c r="BC23" t="str">
        <f t="shared" si="0"/>
        <v>u=0%, k=2x10^7</v>
      </c>
      <c r="BD23">
        <f t="shared" si="1"/>
        <v>0</v>
      </c>
    </row>
    <row r="24" spans="1:56">
      <c r="A24" t="s">
        <v>108</v>
      </c>
      <c r="B24" t="s">
        <v>64</v>
      </c>
      <c r="C24">
        <v>72</v>
      </c>
      <c r="D24" t="s">
        <v>65</v>
      </c>
      <c r="E24" t="s">
        <v>60</v>
      </c>
      <c r="F24" t="s">
        <v>61</v>
      </c>
      <c r="G24">
        <v>30000</v>
      </c>
      <c r="H24">
        <v>0</v>
      </c>
      <c r="I24">
        <v>0</v>
      </c>
      <c r="J24">
        <v>0</v>
      </c>
      <c r="K24">
        <v>1</v>
      </c>
      <c r="L24">
        <v>20000000</v>
      </c>
      <c r="M24">
        <v>96</v>
      </c>
      <c r="N24">
        <v>96</v>
      </c>
      <c r="O24">
        <v>96</v>
      </c>
      <c r="P24">
        <v>0</v>
      </c>
      <c r="Q24" t="s">
        <v>62</v>
      </c>
      <c r="R24">
        <v>100009975450277</v>
      </c>
      <c r="S24">
        <v>10000001</v>
      </c>
      <c r="T24">
        <v>100009975450277</v>
      </c>
      <c r="U24">
        <v>10000001</v>
      </c>
      <c r="V24" t="s">
        <v>75</v>
      </c>
      <c r="W24">
        <v>6</v>
      </c>
      <c r="X24">
        <v>1625784</v>
      </c>
      <c r="Y24">
        <v>11442329</v>
      </c>
      <c r="Z24">
        <v>13068113</v>
      </c>
      <c r="AA24">
        <v>10000001</v>
      </c>
      <c r="AB24">
        <v>8.0380400000000005</v>
      </c>
      <c r="AC24">
        <v>0.87394799999999995</v>
      </c>
      <c r="AD24">
        <v>1.76522</v>
      </c>
      <c r="AE24">
        <v>4</v>
      </c>
      <c r="AM24">
        <v>4364820502</v>
      </c>
      <c r="AN24">
        <v>0</v>
      </c>
      <c r="AO24">
        <v>0</v>
      </c>
      <c r="AP24">
        <v>4364820502</v>
      </c>
      <c r="AQ24">
        <v>4364820502</v>
      </c>
      <c r="AR24">
        <v>145494016</v>
      </c>
      <c r="AS24">
        <v>0</v>
      </c>
      <c r="AT24">
        <v>0</v>
      </c>
      <c r="AU24">
        <v>145494016</v>
      </c>
      <c r="AV24">
        <v>145494016</v>
      </c>
      <c r="AW24">
        <v>15.3058</v>
      </c>
      <c r="AX24">
        <v>6.1516299999999999</v>
      </c>
      <c r="AY24">
        <v>1831.03</v>
      </c>
      <c r="AZ24">
        <v>1089.01</v>
      </c>
      <c r="BA24">
        <v>1764</v>
      </c>
      <c r="BB24">
        <v>258</v>
      </c>
      <c r="BC24" t="str">
        <f t="shared" si="0"/>
        <v>u=0%, k=2x10^7</v>
      </c>
      <c r="BD24">
        <f t="shared" si="1"/>
        <v>0</v>
      </c>
    </row>
    <row r="25" spans="1:56">
      <c r="A25" t="s">
        <v>109</v>
      </c>
      <c r="B25" t="s">
        <v>64</v>
      </c>
      <c r="C25">
        <v>72</v>
      </c>
      <c r="D25" t="s">
        <v>65</v>
      </c>
      <c r="E25" t="s">
        <v>60</v>
      </c>
      <c r="F25" t="s">
        <v>61</v>
      </c>
      <c r="G25">
        <v>30000</v>
      </c>
      <c r="H25">
        <v>0</v>
      </c>
      <c r="I25">
        <v>0</v>
      </c>
      <c r="J25">
        <v>0</v>
      </c>
      <c r="K25">
        <v>1</v>
      </c>
      <c r="L25">
        <v>20000000</v>
      </c>
      <c r="M25">
        <v>144</v>
      </c>
      <c r="N25">
        <v>144</v>
      </c>
      <c r="O25">
        <v>144</v>
      </c>
      <c r="P25">
        <v>0</v>
      </c>
      <c r="Q25" t="s">
        <v>62</v>
      </c>
      <c r="R25">
        <v>100005763707654</v>
      </c>
      <c r="S25">
        <v>10000001</v>
      </c>
      <c r="T25">
        <v>100005763707654</v>
      </c>
      <c r="U25">
        <v>10000001</v>
      </c>
      <c r="V25" t="s">
        <v>75</v>
      </c>
      <c r="W25">
        <v>6</v>
      </c>
      <c r="X25">
        <v>1625784</v>
      </c>
      <c r="Y25">
        <v>11442329</v>
      </c>
      <c r="Z25">
        <v>13068113</v>
      </c>
      <c r="AA25">
        <v>10000001</v>
      </c>
      <c r="AB25">
        <v>8.0380400000000005</v>
      </c>
      <c r="AC25">
        <v>0.87394799999999995</v>
      </c>
      <c r="AD25">
        <v>1.76522</v>
      </c>
      <c r="AE25">
        <v>4</v>
      </c>
      <c r="AM25">
        <v>6350662848</v>
      </c>
      <c r="AN25">
        <v>0</v>
      </c>
      <c r="AO25">
        <v>0</v>
      </c>
      <c r="AP25">
        <v>6350662848</v>
      </c>
      <c r="AQ25">
        <v>6350662848</v>
      </c>
      <c r="AR25">
        <v>211688761</v>
      </c>
      <c r="AS25">
        <v>0</v>
      </c>
      <c r="AT25">
        <v>0</v>
      </c>
      <c r="AU25">
        <v>211688761</v>
      </c>
      <c r="AV25">
        <v>211688761</v>
      </c>
      <c r="AW25">
        <v>15.4954</v>
      </c>
      <c r="AX25">
        <v>6.2074400000000001</v>
      </c>
      <c r="AY25">
        <v>1883.16</v>
      </c>
      <c r="AZ25">
        <v>1130.03</v>
      </c>
      <c r="BA25">
        <v>1812</v>
      </c>
      <c r="BB25">
        <v>309</v>
      </c>
      <c r="BC25" t="str">
        <f t="shared" si="0"/>
        <v>u=0%, k=2x10^7</v>
      </c>
      <c r="BD25">
        <f t="shared" si="1"/>
        <v>0</v>
      </c>
    </row>
    <row r="26" spans="1:56">
      <c r="A26" t="s">
        <v>110</v>
      </c>
      <c r="B26" t="s">
        <v>64</v>
      </c>
      <c r="C26">
        <v>72</v>
      </c>
      <c r="D26" t="s">
        <v>65</v>
      </c>
      <c r="E26" t="s">
        <v>60</v>
      </c>
      <c r="F26" t="s">
        <v>61</v>
      </c>
      <c r="G26">
        <v>30000</v>
      </c>
      <c r="H26">
        <v>0</v>
      </c>
      <c r="I26">
        <v>0</v>
      </c>
      <c r="J26">
        <v>0</v>
      </c>
      <c r="K26">
        <v>1</v>
      </c>
      <c r="L26">
        <v>20000000</v>
      </c>
      <c r="M26">
        <v>190</v>
      </c>
      <c r="N26">
        <v>190</v>
      </c>
      <c r="O26">
        <v>190</v>
      </c>
      <c r="P26">
        <v>0</v>
      </c>
      <c r="Q26" t="s">
        <v>62</v>
      </c>
      <c r="R26">
        <v>99975884683725</v>
      </c>
      <c r="S26">
        <v>10000001</v>
      </c>
      <c r="T26">
        <v>99975884683725</v>
      </c>
      <c r="U26">
        <v>10000001</v>
      </c>
      <c r="V26" t="s">
        <v>75</v>
      </c>
      <c r="W26">
        <v>6</v>
      </c>
      <c r="X26">
        <v>1625784</v>
      </c>
      <c r="Y26">
        <v>11442329</v>
      </c>
      <c r="Z26">
        <v>13068113</v>
      </c>
      <c r="AA26">
        <v>10000001</v>
      </c>
      <c r="AB26">
        <v>8.0380400000000005</v>
      </c>
      <c r="AC26">
        <v>0.87394799999999995</v>
      </c>
      <c r="AD26">
        <v>1.76522</v>
      </c>
      <c r="AE26">
        <v>4</v>
      </c>
      <c r="AM26">
        <v>8363481598</v>
      </c>
      <c r="AN26">
        <v>0</v>
      </c>
      <c r="AO26">
        <v>0</v>
      </c>
      <c r="AP26">
        <v>8363481598</v>
      </c>
      <c r="AQ26">
        <v>8363481598</v>
      </c>
      <c r="AR26">
        <v>278782719</v>
      </c>
      <c r="AS26">
        <v>0</v>
      </c>
      <c r="AT26">
        <v>0</v>
      </c>
      <c r="AU26">
        <v>278782719</v>
      </c>
      <c r="AV26">
        <v>278782719</v>
      </c>
      <c r="AW26">
        <v>15.4687</v>
      </c>
      <c r="AX26">
        <v>6.2426500000000003</v>
      </c>
      <c r="AY26">
        <v>1886.87</v>
      </c>
      <c r="AZ26">
        <v>1119.31</v>
      </c>
      <c r="BA26">
        <v>1846</v>
      </c>
      <c r="BB26">
        <v>368</v>
      </c>
      <c r="BC26" t="str">
        <f t="shared" si="0"/>
        <v>u=0%, k=2x10^7</v>
      </c>
      <c r="BD26">
        <f t="shared" si="1"/>
        <v>0</v>
      </c>
    </row>
    <row r="27" spans="1:56">
      <c r="A27" t="s">
        <v>111</v>
      </c>
      <c r="B27" t="s">
        <v>66</v>
      </c>
      <c r="C27">
        <v>208</v>
      </c>
      <c r="D27" t="s">
        <v>65</v>
      </c>
      <c r="E27" t="s">
        <v>60</v>
      </c>
      <c r="F27" t="s">
        <v>61</v>
      </c>
      <c r="G27">
        <v>30000</v>
      </c>
      <c r="H27">
        <v>0</v>
      </c>
      <c r="I27">
        <v>0</v>
      </c>
      <c r="J27">
        <v>0</v>
      </c>
      <c r="K27">
        <v>1</v>
      </c>
      <c r="L27">
        <v>20000000</v>
      </c>
      <c r="M27">
        <v>24</v>
      </c>
      <c r="N27">
        <v>24</v>
      </c>
      <c r="O27">
        <v>24</v>
      </c>
      <c r="P27">
        <v>0</v>
      </c>
      <c r="Q27" t="s">
        <v>62</v>
      </c>
      <c r="R27">
        <v>100013915782409</v>
      </c>
      <c r="S27">
        <v>10000000</v>
      </c>
      <c r="T27">
        <v>100013915782409</v>
      </c>
      <c r="U27">
        <v>10000000</v>
      </c>
      <c r="V27" t="s">
        <v>75</v>
      </c>
      <c r="W27">
        <v>9</v>
      </c>
      <c r="X27">
        <v>185259</v>
      </c>
      <c r="Y27">
        <v>1275185</v>
      </c>
      <c r="Z27">
        <v>1460444</v>
      </c>
      <c r="AA27">
        <v>10000000</v>
      </c>
      <c r="AB27">
        <v>7.8832599999999999</v>
      </c>
      <c r="AC27">
        <v>7.8419999999999996</v>
      </c>
      <c r="AD27">
        <v>7.8472299999999997</v>
      </c>
      <c r="AE27">
        <v>8</v>
      </c>
      <c r="AM27">
        <v>940701765</v>
      </c>
      <c r="AN27">
        <v>0</v>
      </c>
      <c r="AO27">
        <v>0</v>
      </c>
      <c r="AP27">
        <v>940701765</v>
      </c>
      <c r="AQ27">
        <v>940701765</v>
      </c>
      <c r="AR27">
        <v>31356725</v>
      </c>
      <c r="AS27">
        <v>0</v>
      </c>
      <c r="AT27">
        <v>0</v>
      </c>
      <c r="AU27">
        <v>31356725</v>
      </c>
      <c r="AV27">
        <v>31356725</v>
      </c>
      <c r="AW27">
        <v>16.3553</v>
      </c>
      <c r="AX27">
        <v>4.7538999999999998</v>
      </c>
      <c r="AY27">
        <v>2135.0300000000002</v>
      </c>
      <c r="AZ27">
        <v>1115.51</v>
      </c>
      <c r="BA27">
        <v>1401</v>
      </c>
      <c r="BB27">
        <v>834</v>
      </c>
      <c r="BC27" t="str">
        <f t="shared" si="0"/>
        <v>u=0%, k=2x10^7</v>
      </c>
      <c r="BD27">
        <f t="shared" si="1"/>
        <v>0</v>
      </c>
    </row>
    <row r="28" spans="1:56">
      <c r="A28" t="s">
        <v>112</v>
      </c>
      <c r="B28" t="s">
        <v>66</v>
      </c>
      <c r="C28">
        <v>208</v>
      </c>
      <c r="D28" t="s">
        <v>65</v>
      </c>
      <c r="E28" t="s">
        <v>60</v>
      </c>
      <c r="F28" t="s">
        <v>61</v>
      </c>
      <c r="G28">
        <v>30000</v>
      </c>
      <c r="H28">
        <v>0</v>
      </c>
      <c r="I28">
        <v>0</v>
      </c>
      <c r="J28">
        <v>0</v>
      </c>
      <c r="K28">
        <v>1</v>
      </c>
      <c r="L28">
        <v>20000000</v>
      </c>
      <c r="M28">
        <v>48</v>
      </c>
      <c r="N28">
        <v>48</v>
      </c>
      <c r="O28">
        <v>48</v>
      </c>
      <c r="P28">
        <v>0</v>
      </c>
      <c r="Q28" t="s">
        <v>62</v>
      </c>
      <c r="R28">
        <v>100001309644887</v>
      </c>
      <c r="S28">
        <v>10000000</v>
      </c>
      <c r="T28">
        <v>100001309644887</v>
      </c>
      <c r="U28">
        <v>10000000</v>
      </c>
      <c r="V28" t="s">
        <v>75</v>
      </c>
      <c r="W28">
        <v>9</v>
      </c>
      <c r="X28">
        <v>185314</v>
      </c>
      <c r="Y28">
        <v>1276195</v>
      </c>
      <c r="Z28">
        <v>1461509</v>
      </c>
      <c r="AA28">
        <v>10000000</v>
      </c>
      <c r="AB28">
        <v>7.88666</v>
      </c>
      <c r="AC28">
        <v>7.8357900000000003</v>
      </c>
      <c r="AD28">
        <v>7.8422400000000003</v>
      </c>
      <c r="AE28">
        <v>8</v>
      </c>
      <c r="AM28">
        <v>1712751978</v>
      </c>
      <c r="AN28">
        <v>0</v>
      </c>
      <c r="AO28">
        <v>0</v>
      </c>
      <c r="AP28">
        <v>1712751978</v>
      </c>
      <c r="AQ28">
        <v>1712751978</v>
      </c>
      <c r="AR28">
        <v>57091732</v>
      </c>
      <c r="AS28">
        <v>0</v>
      </c>
      <c r="AT28">
        <v>0</v>
      </c>
      <c r="AU28">
        <v>57091732</v>
      </c>
      <c r="AV28">
        <v>57091732</v>
      </c>
      <c r="AW28">
        <v>16.4955</v>
      </c>
      <c r="AX28">
        <v>4.8109599999999997</v>
      </c>
      <c r="AY28">
        <v>2344.2199999999998</v>
      </c>
      <c r="AZ28">
        <v>1480.89</v>
      </c>
      <c r="BA28">
        <v>1452</v>
      </c>
      <c r="BB28">
        <v>740</v>
      </c>
      <c r="BC28" t="str">
        <f t="shared" si="0"/>
        <v>u=0%, k=2x10^7</v>
      </c>
      <c r="BD28">
        <f t="shared" si="1"/>
        <v>0</v>
      </c>
    </row>
    <row r="29" spans="1:56">
      <c r="A29" t="s">
        <v>113</v>
      </c>
      <c r="B29" t="s">
        <v>66</v>
      </c>
      <c r="C29">
        <v>208</v>
      </c>
      <c r="D29" t="s">
        <v>65</v>
      </c>
      <c r="E29" t="s">
        <v>60</v>
      </c>
      <c r="F29" t="s">
        <v>61</v>
      </c>
      <c r="G29">
        <v>30000</v>
      </c>
      <c r="H29">
        <v>0</v>
      </c>
      <c r="I29">
        <v>0</v>
      </c>
      <c r="J29">
        <v>0</v>
      </c>
      <c r="K29">
        <v>1</v>
      </c>
      <c r="L29">
        <v>20000000</v>
      </c>
      <c r="M29">
        <v>96</v>
      </c>
      <c r="N29">
        <v>96</v>
      </c>
      <c r="O29">
        <v>96</v>
      </c>
      <c r="P29">
        <v>0</v>
      </c>
      <c r="Q29" t="s">
        <v>62</v>
      </c>
      <c r="R29">
        <v>99973194482104</v>
      </c>
      <c r="S29">
        <v>10000000</v>
      </c>
      <c r="T29">
        <v>99973194482104</v>
      </c>
      <c r="U29">
        <v>10000000</v>
      </c>
      <c r="V29" t="s">
        <v>75</v>
      </c>
      <c r="W29">
        <v>9</v>
      </c>
      <c r="X29">
        <v>185380</v>
      </c>
      <c r="Y29">
        <v>1275863</v>
      </c>
      <c r="Z29">
        <v>1461243</v>
      </c>
      <c r="AA29">
        <v>10000000</v>
      </c>
      <c r="AB29">
        <v>7.8824199999999998</v>
      </c>
      <c r="AC29">
        <v>7.8378300000000003</v>
      </c>
      <c r="AD29">
        <v>7.8434900000000001</v>
      </c>
      <c r="AE29">
        <v>8</v>
      </c>
      <c r="AM29">
        <v>3723900999</v>
      </c>
      <c r="AN29">
        <v>0</v>
      </c>
      <c r="AO29">
        <v>0</v>
      </c>
      <c r="AP29">
        <v>3723900999</v>
      </c>
      <c r="AQ29">
        <v>3723900999</v>
      </c>
      <c r="AR29">
        <v>124130033</v>
      </c>
      <c r="AS29">
        <v>0</v>
      </c>
      <c r="AT29">
        <v>0</v>
      </c>
      <c r="AU29">
        <v>124130033</v>
      </c>
      <c r="AV29">
        <v>124130033</v>
      </c>
      <c r="AW29">
        <v>16.527200000000001</v>
      </c>
      <c r="AX29">
        <v>5.5037200000000004</v>
      </c>
      <c r="AY29">
        <v>2143.96</v>
      </c>
      <c r="AZ29">
        <v>1257.82</v>
      </c>
      <c r="BA29">
        <v>1547</v>
      </c>
      <c r="BB29">
        <v>889</v>
      </c>
      <c r="BC29" t="str">
        <f t="shared" si="0"/>
        <v>u=0%, k=2x10^7</v>
      </c>
      <c r="BD29">
        <f t="shared" si="1"/>
        <v>0</v>
      </c>
    </row>
    <row r="30" spans="1:56">
      <c r="A30" t="s">
        <v>114</v>
      </c>
      <c r="B30" t="s">
        <v>66</v>
      </c>
      <c r="C30">
        <v>208</v>
      </c>
      <c r="D30" t="s">
        <v>65</v>
      </c>
      <c r="E30" t="s">
        <v>60</v>
      </c>
      <c r="F30" t="s">
        <v>61</v>
      </c>
      <c r="G30">
        <v>30000</v>
      </c>
      <c r="H30">
        <v>0</v>
      </c>
      <c r="I30">
        <v>0</v>
      </c>
      <c r="J30">
        <v>0</v>
      </c>
      <c r="K30">
        <v>1</v>
      </c>
      <c r="L30">
        <v>20000000</v>
      </c>
      <c r="M30">
        <v>144</v>
      </c>
      <c r="N30">
        <v>144</v>
      </c>
      <c r="O30">
        <v>144</v>
      </c>
      <c r="P30">
        <v>0</v>
      </c>
      <c r="Q30" t="s">
        <v>62</v>
      </c>
      <c r="R30">
        <v>100001469482648</v>
      </c>
      <c r="S30">
        <v>10000000</v>
      </c>
      <c r="T30">
        <v>100001469482648</v>
      </c>
      <c r="U30">
        <v>10000000</v>
      </c>
      <c r="V30" t="s">
        <v>75</v>
      </c>
      <c r="W30">
        <v>9</v>
      </c>
      <c r="X30">
        <v>185478</v>
      </c>
      <c r="Y30">
        <v>1276367</v>
      </c>
      <c r="Z30">
        <v>1461845</v>
      </c>
      <c r="AA30">
        <v>10000000</v>
      </c>
      <c r="AB30">
        <v>7.8815</v>
      </c>
      <c r="AC30">
        <v>7.83474</v>
      </c>
      <c r="AD30">
        <v>7.8406700000000003</v>
      </c>
      <c r="AE30">
        <v>8</v>
      </c>
      <c r="AM30">
        <v>5527216917</v>
      </c>
      <c r="AN30">
        <v>0</v>
      </c>
      <c r="AO30">
        <v>0</v>
      </c>
      <c r="AP30">
        <v>5527216917</v>
      </c>
      <c r="AQ30">
        <v>5527216917</v>
      </c>
      <c r="AR30">
        <v>184240563</v>
      </c>
      <c r="AS30">
        <v>0</v>
      </c>
      <c r="AT30">
        <v>0</v>
      </c>
      <c r="AU30">
        <v>184240563</v>
      </c>
      <c r="AV30">
        <v>184240563</v>
      </c>
      <c r="AW30">
        <v>16.529499999999999</v>
      </c>
      <c r="AX30">
        <v>5.5514200000000002</v>
      </c>
      <c r="AY30">
        <v>2163.9699999999998</v>
      </c>
      <c r="AZ30">
        <v>1262.28</v>
      </c>
      <c r="BA30">
        <v>1545</v>
      </c>
      <c r="BB30">
        <v>926</v>
      </c>
      <c r="BC30" t="str">
        <f t="shared" si="0"/>
        <v>u=0%, k=2x10^7</v>
      </c>
      <c r="BD30">
        <f t="shared" si="1"/>
        <v>0</v>
      </c>
    </row>
    <row r="31" spans="1:56">
      <c r="A31" t="s">
        <v>115</v>
      </c>
      <c r="B31" t="s">
        <v>66</v>
      </c>
      <c r="C31">
        <v>208</v>
      </c>
      <c r="D31" t="s">
        <v>65</v>
      </c>
      <c r="E31" t="s">
        <v>60</v>
      </c>
      <c r="F31" t="s">
        <v>61</v>
      </c>
      <c r="G31">
        <v>30000</v>
      </c>
      <c r="H31">
        <v>0</v>
      </c>
      <c r="I31">
        <v>0</v>
      </c>
      <c r="J31">
        <v>0</v>
      </c>
      <c r="K31">
        <v>1</v>
      </c>
      <c r="L31">
        <v>20000000</v>
      </c>
      <c r="M31">
        <v>190</v>
      </c>
      <c r="N31">
        <v>190</v>
      </c>
      <c r="O31">
        <v>190</v>
      </c>
      <c r="P31">
        <v>0</v>
      </c>
      <c r="Q31" t="s">
        <v>62</v>
      </c>
      <c r="R31">
        <v>100025780212982</v>
      </c>
      <c r="S31">
        <v>10000000</v>
      </c>
      <c r="T31">
        <v>100025780212982</v>
      </c>
      <c r="U31">
        <v>10000000</v>
      </c>
      <c r="V31" t="s">
        <v>75</v>
      </c>
      <c r="W31">
        <v>9</v>
      </c>
      <c r="X31">
        <v>185372</v>
      </c>
      <c r="Y31">
        <v>1276007</v>
      </c>
      <c r="Z31">
        <v>1461379</v>
      </c>
      <c r="AA31">
        <v>10000000</v>
      </c>
      <c r="AB31">
        <v>7.8834900000000001</v>
      </c>
      <c r="AC31">
        <v>7.8369499999999999</v>
      </c>
      <c r="AD31">
        <v>7.8428500000000003</v>
      </c>
      <c r="AE31">
        <v>8</v>
      </c>
      <c r="AM31">
        <v>7289742694</v>
      </c>
      <c r="AN31">
        <v>0</v>
      </c>
      <c r="AO31">
        <v>0</v>
      </c>
      <c r="AP31">
        <v>7289742694</v>
      </c>
      <c r="AQ31">
        <v>7289742694</v>
      </c>
      <c r="AR31">
        <v>242991423</v>
      </c>
      <c r="AS31">
        <v>0</v>
      </c>
      <c r="AT31">
        <v>0</v>
      </c>
      <c r="AU31">
        <v>242991423</v>
      </c>
      <c r="AV31">
        <v>242991423</v>
      </c>
      <c r="AW31">
        <v>16.617599999999999</v>
      </c>
      <c r="AX31">
        <v>5.6077399999999997</v>
      </c>
      <c r="AY31">
        <v>2158.4899999999998</v>
      </c>
      <c r="AZ31">
        <v>1250.43</v>
      </c>
      <c r="BA31">
        <v>1600</v>
      </c>
      <c r="BB31">
        <v>912</v>
      </c>
      <c r="BC31" t="str">
        <f t="shared" si="0"/>
        <v>u=0%, k=2x10^7</v>
      </c>
      <c r="BD31">
        <f t="shared" si="1"/>
        <v>0</v>
      </c>
    </row>
    <row r="32" spans="1:56">
      <c r="A32" t="s">
        <v>116</v>
      </c>
      <c r="B32" t="s">
        <v>67</v>
      </c>
      <c r="D32" t="s">
        <v>65</v>
      </c>
      <c r="E32" t="s">
        <v>60</v>
      </c>
      <c r="F32" t="s">
        <v>61</v>
      </c>
      <c r="G32">
        <v>30000</v>
      </c>
      <c r="H32">
        <v>0</v>
      </c>
      <c r="I32">
        <v>0</v>
      </c>
      <c r="J32">
        <v>0</v>
      </c>
      <c r="K32">
        <v>1</v>
      </c>
      <c r="L32">
        <v>20000000</v>
      </c>
      <c r="M32">
        <v>24</v>
      </c>
      <c r="N32">
        <v>24</v>
      </c>
      <c r="O32">
        <v>24</v>
      </c>
      <c r="P32">
        <v>0</v>
      </c>
      <c r="Q32" t="s">
        <v>62</v>
      </c>
      <c r="R32">
        <v>100002573657696</v>
      </c>
      <c r="S32">
        <v>10000000</v>
      </c>
      <c r="T32">
        <v>100002573657696</v>
      </c>
      <c r="U32">
        <v>10000000</v>
      </c>
      <c r="V32" t="s">
        <v>75</v>
      </c>
      <c r="W32">
        <v>29</v>
      </c>
      <c r="X32">
        <v>5714347</v>
      </c>
      <c r="Y32">
        <v>4285654</v>
      </c>
      <c r="Z32">
        <v>10000001</v>
      </c>
      <c r="AA32">
        <v>10000000</v>
      </c>
      <c r="AB32">
        <v>1.7499800000000001</v>
      </c>
      <c r="AC32">
        <v>2.3333699999999999</v>
      </c>
      <c r="AD32">
        <v>2</v>
      </c>
      <c r="AE32">
        <v>22.6873</v>
      </c>
      <c r="AM32">
        <v>420436276</v>
      </c>
      <c r="AN32">
        <v>0</v>
      </c>
      <c r="AO32">
        <v>0</v>
      </c>
      <c r="AP32">
        <v>420436276</v>
      </c>
      <c r="AQ32">
        <v>420436276</v>
      </c>
      <c r="AR32">
        <v>14014542</v>
      </c>
      <c r="AS32">
        <v>0</v>
      </c>
      <c r="AT32">
        <v>0</v>
      </c>
      <c r="AU32">
        <v>14014542</v>
      </c>
      <c r="AV32">
        <v>14014542</v>
      </c>
      <c r="AW32">
        <v>27.306100000000001</v>
      </c>
      <c r="AX32">
        <v>9.2461199999999995</v>
      </c>
      <c r="AY32">
        <v>4777.71</v>
      </c>
      <c r="AZ32">
        <v>3601.91</v>
      </c>
      <c r="BA32">
        <v>1716</v>
      </c>
      <c r="BB32">
        <v>1448</v>
      </c>
      <c r="BC32" t="str">
        <f t="shared" si="0"/>
        <v>u=0%, k=2x10^7</v>
      </c>
      <c r="BD32">
        <f t="shared" si="1"/>
        <v>0</v>
      </c>
    </row>
    <row r="33" spans="1:56">
      <c r="A33" t="s">
        <v>117</v>
      </c>
      <c r="B33" t="s">
        <v>67</v>
      </c>
      <c r="D33" t="s">
        <v>65</v>
      </c>
      <c r="E33" t="s">
        <v>60</v>
      </c>
      <c r="F33" t="s">
        <v>61</v>
      </c>
      <c r="G33">
        <v>30000</v>
      </c>
      <c r="H33">
        <v>0</v>
      </c>
      <c r="I33">
        <v>0</v>
      </c>
      <c r="J33">
        <v>0</v>
      </c>
      <c r="K33">
        <v>1</v>
      </c>
      <c r="L33">
        <v>20000000</v>
      </c>
      <c r="M33">
        <v>48</v>
      </c>
      <c r="N33">
        <v>48</v>
      </c>
      <c r="O33">
        <v>48</v>
      </c>
      <c r="P33">
        <v>0</v>
      </c>
      <c r="Q33" t="s">
        <v>62</v>
      </c>
      <c r="R33">
        <v>100009305495535</v>
      </c>
      <c r="S33">
        <v>10000000</v>
      </c>
      <c r="T33">
        <v>100009305495535</v>
      </c>
      <c r="U33">
        <v>10000000</v>
      </c>
      <c r="V33" t="s">
        <v>75</v>
      </c>
      <c r="W33">
        <v>29</v>
      </c>
      <c r="X33">
        <v>5714440</v>
      </c>
      <c r="Y33">
        <v>4285561</v>
      </c>
      <c r="Z33">
        <v>10000001</v>
      </c>
      <c r="AA33">
        <v>10000000</v>
      </c>
      <c r="AB33">
        <v>1.7499499999999999</v>
      </c>
      <c r="AC33">
        <v>2.3334199999999998</v>
      </c>
      <c r="AD33">
        <v>2</v>
      </c>
      <c r="AE33">
        <v>22.761199999999999</v>
      </c>
      <c r="AM33">
        <v>789641381</v>
      </c>
      <c r="AN33">
        <v>0</v>
      </c>
      <c r="AO33">
        <v>0</v>
      </c>
      <c r="AP33">
        <v>789641381</v>
      </c>
      <c r="AQ33">
        <v>789641381</v>
      </c>
      <c r="AR33">
        <v>26321379</v>
      </c>
      <c r="AS33">
        <v>0</v>
      </c>
      <c r="AT33">
        <v>0</v>
      </c>
      <c r="AU33">
        <v>26321379</v>
      </c>
      <c r="AV33">
        <v>26321379</v>
      </c>
      <c r="AW33">
        <v>28.113600000000002</v>
      </c>
      <c r="AX33">
        <v>9.32437</v>
      </c>
      <c r="AY33">
        <v>5085.58</v>
      </c>
      <c r="AZ33">
        <v>3865.54</v>
      </c>
      <c r="BA33">
        <v>1720</v>
      </c>
      <c r="BB33">
        <v>1045</v>
      </c>
      <c r="BC33" t="str">
        <f t="shared" si="0"/>
        <v>u=0%, k=2x10^7</v>
      </c>
      <c r="BD33">
        <f t="shared" si="1"/>
        <v>0</v>
      </c>
    </row>
    <row r="34" spans="1:56">
      <c r="A34" t="s">
        <v>118</v>
      </c>
      <c r="B34" t="s">
        <v>67</v>
      </c>
      <c r="D34" t="s">
        <v>65</v>
      </c>
      <c r="E34" t="s">
        <v>60</v>
      </c>
      <c r="F34" t="s">
        <v>61</v>
      </c>
      <c r="G34">
        <v>30000</v>
      </c>
      <c r="H34">
        <v>0</v>
      </c>
      <c r="I34">
        <v>0</v>
      </c>
      <c r="J34">
        <v>0</v>
      </c>
      <c r="K34">
        <v>1</v>
      </c>
      <c r="L34">
        <v>20000000</v>
      </c>
      <c r="M34">
        <v>96</v>
      </c>
      <c r="N34">
        <v>96</v>
      </c>
      <c r="O34">
        <v>96</v>
      </c>
      <c r="P34">
        <v>0</v>
      </c>
      <c r="Q34" t="s">
        <v>62</v>
      </c>
      <c r="R34">
        <v>100001877426791</v>
      </c>
      <c r="S34">
        <v>10000000</v>
      </c>
      <c r="T34">
        <v>100001877426791</v>
      </c>
      <c r="U34">
        <v>10000000</v>
      </c>
      <c r="V34" t="s">
        <v>75</v>
      </c>
      <c r="W34">
        <v>29</v>
      </c>
      <c r="X34">
        <v>5714769</v>
      </c>
      <c r="Y34">
        <v>4285232</v>
      </c>
      <c r="Z34">
        <v>10000001</v>
      </c>
      <c r="AA34">
        <v>10000000</v>
      </c>
      <c r="AB34">
        <v>1.7498499999999999</v>
      </c>
      <c r="AC34">
        <v>2.3336000000000001</v>
      </c>
      <c r="AD34">
        <v>2</v>
      </c>
      <c r="AE34">
        <v>22.712499999999999</v>
      </c>
      <c r="AM34">
        <v>1772077452</v>
      </c>
      <c r="AN34">
        <v>0</v>
      </c>
      <c r="AO34">
        <v>0</v>
      </c>
      <c r="AP34">
        <v>1772077452</v>
      </c>
      <c r="AQ34">
        <v>1772077452</v>
      </c>
      <c r="AR34">
        <v>59069248</v>
      </c>
      <c r="AS34">
        <v>0</v>
      </c>
      <c r="AT34">
        <v>0</v>
      </c>
      <c r="AU34">
        <v>59069248</v>
      </c>
      <c r="AV34">
        <v>59069248</v>
      </c>
      <c r="AW34">
        <v>28.3431</v>
      </c>
      <c r="AX34">
        <v>10.6554</v>
      </c>
      <c r="AY34">
        <v>4524.2299999999996</v>
      </c>
      <c r="AZ34">
        <v>3209.38</v>
      </c>
      <c r="BA34">
        <v>1735</v>
      </c>
      <c r="BB34">
        <v>774</v>
      </c>
      <c r="BC34" t="str">
        <f t="shared" si="0"/>
        <v>u=0%, k=2x10^7</v>
      </c>
      <c r="BD34">
        <f t="shared" si="1"/>
        <v>0</v>
      </c>
    </row>
    <row r="35" spans="1:56">
      <c r="A35" t="s">
        <v>119</v>
      </c>
      <c r="B35" t="s">
        <v>67</v>
      </c>
      <c r="D35" t="s">
        <v>65</v>
      </c>
      <c r="E35" t="s">
        <v>60</v>
      </c>
      <c r="F35" t="s">
        <v>61</v>
      </c>
      <c r="G35">
        <v>30000</v>
      </c>
      <c r="H35">
        <v>0</v>
      </c>
      <c r="I35">
        <v>0</v>
      </c>
      <c r="J35">
        <v>0</v>
      </c>
      <c r="K35">
        <v>1</v>
      </c>
      <c r="L35">
        <v>20000000</v>
      </c>
      <c r="M35">
        <v>144</v>
      </c>
      <c r="N35">
        <v>144</v>
      </c>
      <c r="O35">
        <v>144</v>
      </c>
      <c r="P35">
        <v>0</v>
      </c>
      <c r="Q35" t="s">
        <v>62</v>
      </c>
      <c r="R35">
        <v>99985376605431</v>
      </c>
      <c r="S35">
        <v>10000000</v>
      </c>
      <c r="T35">
        <v>99985376605431</v>
      </c>
      <c r="U35">
        <v>10000000</v>
      </c>
      <c r="V35" t="s">
        <v>75</v>
      </c>
      <c r="W35">
        <v>29</v>
      </c>
      <c r="X35">
        <v>5714554</v>
      </c>
      <c r="Y35">
        <v>4285447</v>
      </c>
      <c r="Z35">
        <v>10000001</v>
      </c>
      <c r="AA35">
        <v>10000000</v>
      </c>
      <c r="AB35">
        <v>1.7499199999999999</v>
      </c>
      <c r="AC35">
        <v>2.3334800000000002</v>
      </c>
      <c r="AD35">
        <v>2</v>
      </c>
      <c r="AE35">
        <v>22.697399999999998</v>
      </c>
      <c r="AM35">
        <v>2678784833</v>
      </c>
      <c r="AN35">
        <v>0</v>
      </c>
      <c r="AO35">
        <v>0</v>
      </c>
      <c r="AP35">
        <v>2678784833</v>
      </c>
      <c r="AQ35">
        <v>2678784833</v>
      </c>
      <c r="AR35">
        <v>89292827</v>
      </c>
      <c r="AS35">
        <v>0</v>
      </c>
      <c r="AT35">
        <v>0</v>
      </c>
      <c r="AU35">
        <v>89292827</v>
      </c>
      <c r="AV35">
        <v>89292827</v>
      </c>
      <c r="AW35">
        <v>28.432700000000001</v>
      </c>
      <c r="AX35">
        <v>10.743399999999999</v>
      </c>
      <c r="AY35">
        <v>4484.63</v>
      </c>
      <c r="AZ35">
        <v>3168.9</v>
      </c>
      <c r="BA35">
        <v>1745</v>
      </c>
      <c r="BB35">
        <v>502</v>
      </c>
      <c r="BC35" t="str">
        <f t="shared" si="0"/>
        <v>u=0%, k=2x10^7</v>
      </c>
      <c r="BD35">
        <f t="shared" si="1"/>
        <v>0</v>
      </c>
    </row>
    <row r="36" spans="1:56">
      <c r="A36" t="s">
        <v>120</v>
      </c>
      <c r="B36" t="s">
        <v>67</v>
      </c>
      <c r="D36" t="s">
        <v>65</v>
      </c>
      <c r="E36" t="s">
        <v>60</v>
      </c>
      <c r="F36" t="s">
        <v>61</v>
      </c>
      <c r="G36">
        <v>30000</v>
      </c>
      <c r="H36">
        <v>0</v>
      </c>
      <c r="I36">
        <v>0</v>
      </c>
      <c r="J36">
        <v>0</v>
      </c>
      <c r="K36">
        <v>1</v>
      </c>
      <c r="L36">
        <v>20000000</v>
      </c>
      <c r="M36">
        <v>190</v>
      </c>
      <c r="N36">
        <v>190</v>
      </c>
      <c r="O36">
        <v>190</v>
      </c>
      <c r="P36">
        <v>0</v>
      </c>
      <c r="Q36" t="s">
        <v>62</v>
      </c>
      <c r="R36">
        <v>99973600184228</v>
      </c>
      <c r="S36">
        <v>10000000</v>
      </c>
      <c r="T36">
        <v>99973600184228</v>
      </c>
      <c r="U36">
        <v>10000000</v>
      </c>
      <c r="V36" t="s">
        <v>75</v>
      </c>
      <c r="W36">
        <v>29</v>
      </c>
      <c r="X36">
        <v>5714283</v>
      </c>
      <c r="Y36">
        <v>4285718</v>
      </c>
      <c r="Z36">
        <v>10000001</v>
      </c>
      <c r="AA36">
        <v>10000000</v>
      </c>
      <c r="AB36">
        <v>1.75</v>
      </c>
      <c r="AC36">
        <v>2.3333300000000001</v>
      </c>
      <c r="AD36">
        <v>2</v>
      </c>
      <c r="AE36">
        <v>22.707899999999999</v>
      </c>
      <c r="AM36">
        <v>3535861675</v>
      </c>
      <c r="AN36">
        <v>0</v>
      </c>
      <c r="AO36">
        <v>0</v>
      </c>
      <c r="AP36">
        <v>3535861675</v>
      </c>
      <c r="AQ36">
        <v>3535861675</v>
      </c>
      <c r="AR36">
        <v>117862055</v>
      </c>
      <c r="AS36">
        <v>0</v>
      </c>
      <c r="AT36">
        <v>0</v>
      </c>
      <c r="AU36">
        <v>117862055</v>
      </c>
      <c r="AV36">
        <v>117862055</v>
      </c>
      <c r="AW36">
        <v>28.424600000000002</v>
      </c>
      <c r="AX36">
        <v>10.7821</v>
      </c>
      <c r="AY36">
        <v>4475.96</v>
      </c>
      <c r="AZ36">
        <v>3147.37</v>
      </c>
      <c r="BA36">
        <v>1754</v>
      </c>
      <c r="BB36">
        <v>469</v>
      </c>
      <c r="BC36" t="str">
        <f t="shared" si="0"/>
        <v>u=0%, k=2x10^7</v>
      </c>
      <c r="BD36">
        <f t="shared" si="1"/>
        <v>0</v>
      </c>
    </row>
    <row r="37" spans="1:56">
      <c r="A37" t="s">
        <v>121</v>
      </c>
      <c r="B37" t="s">
        <v>68</v>
      </c>
      <c r="D37" t="s">
        <v>65</v>
      </c>
      <c r="E37" t="s">
        <v>60</v>
      </c>
      <c r="F37" t="s">
        <v>61</v>
      </c>
      <c r="G37">
        <v>30000</v>
      </c>
      <c r="H37">
        <v>0</v>
      </c>
      <c r="I37">
        <v>0</v>
      </c>
      <c r="J37">
        <v>0</v>
      </c>
      <c r="K37">
        <v>1</v>
      </c>
      <c r="L37">
        <v>20000000</v>
      </c>
      <c r="M37">
        <v>24</v>
      </c>
      <c r="N37">
        <v>24</v>
      </c>
      <c r="O37">
        <v>24</v>
      </c>
      <c r="P37">
        <v>0</v>
      </c>
      <c r="Q37" t="s">
        <v>62</v>
      </c>
      <c r="R37">
        <v>99989434925098</v>
      </c>
      <c r="S37">
        <v>10000000</v>
      </c>
      <c r="T37">
        <v>99989434925098</v>
      </c>
      <c r="U37">
        <v>10000000</v>
      </c>
      <c r="V37" t="s">
        <v>75</v>
      </c>
      <c r="W37">
        <v>60</v>
      </c>
      <c r="X37">
        <v>9999999</v>
      </c>
      <c r="Y37">
        <v>10000000</v>
      </c>
      <c r="Z37">
        <v>19999999</v>
      </c>
      <c r="AA37">
        <v>10000000</v>
      </c>
      <c r="AB37">
        <v>2</v>
      </c>
      <c r="AC37">
        <v>1</v>
      </c>
      <c r="AD37">
        <v>1.5</v>
      </c>
      <c r="AE37">
        <v>31.502500000000001</v>
      </c>
      <c r="AM37">
        <v>339729382</v>
      </c>
      <c r="AN37">
        <v>0</v>
      </c>
      <c r="AO37">
        <v>0</v>
      </c>
      <c r="AP37">
        <v>339729382</v>
      </c>
      <c r="AQ37">
        <v>339729382</v>
      </c>
      <c r="AR37">
        <v>11324312</v>
      </c>
      <c r="AS37">
        <v>0</v>
      </c>
      <c r="AT37">
        <v>0</v>
      </c>
      <c r="AU37">
        <v>11324312</v>
      </c>
      <c r="AV37">
        <v>11324312</v>
      </c>
      <c r="AW37">
        <v>24.158799999999999</v>
      </c>
      <c r="AX37">
        <v>8.5997699999999995</v>
      </c>
      <c r="AY37">
        <v>5912.91</v>
      </c>
      <c r="AZ37">
        <v>4448.04</v>
      </c>
      <c r="BA37">
        <v>1716</v>
      </c>
      <c r="BB37">
        <v>1506</v>
      </c>
      <c r="BC37" t="str">
        <f t="shared" si="0"/>
        <v>u=0%, k=2x10^7</v>
      </c>
      <c r="BD37">
        <f t="shared" si="1"/>
        <v>0</v>
      </c>
    </row>
    <row r="38" spans="1:56">
      <c r="A38" t="s">
        <v>122</v>
      </c>
      <c r="B38" t="s">
        <v>68</v>
      </c>
      <c r="D38" t="s">
        <v>65</v>
      </c>
      <c r="E38" t="s">
        <v>60</v>
      </c>
      <c r="F38" t="s">
        <v>61</v>
      </c>
      <c r="G38">
        <v>30000</v>
      </c>
      <c r="H38">
        <v>0</v>
      </c>
      <c r="I38">
        <v>0</v>
      </c>
      <c r="J38">
        <v>0</v>
      </c>
      <c r="K38">
        <v>1</v>
      </c>
      <c r="L38">
        <v>20000000</v>
      </c>
      <c r="M38">
        <v>48</v>
      </c>
      <c r="N38">
        <v>48</v>
      </c>
      <c r="O38">
        <v>48</v>
      </c>
      <c r="P38">
        <v>0</v>
      </c>
      <c r="Q38" t="s">
        <v>62</v>
      </c>
      <c r="R38">
        <v>100011942485395</v>
      </c>
      <c r="S38">
        <v>10000000</v>
      </c>
      <c r="T38">
        <v>100011942485395</v>
      </c>
      <c r="U38">
        <v>10000000</v>
      </c>
      <c r="V38" t="s">
        <v>75</v>
      </c>
      <c r="W38">
        <v>62</v>
      </c>
      <c r="X38">
        <v>9999999</v>
      </c>
      <c r="Y38">
        <v>10000000</v>
      </c>
      <c r="Z38">
        <v>19999999</v>
      </c>
      <c r="AA38">
        <v>10000000</v>
      </c>
      <c r="AB38">
        <v>2</v>
      </c>
      <c r="AC38">
        <v>1</v>
      </c>
      <c r="AD38">
        <v>1.5</v>
      </c>
      <c r="AE38">
        <v>31.8293</v>
      </c>
      <c r="AM38">
        <v>651808749</v>
      </c>
      <c r="AN38">
        <v>0</v>
      </c>
      <c r="AO38">
        <v>0</v>
      </c>
      <c r="AP38">
        <v>651808749</v>
      </c>
      <c r="AQ38">
        <v>651808749</v>
      </c>
      <c r="AR38">
        <v>21726958</v>
      </c>
      <c r="AS38">
        <v>0</v>
      </c>
      <c r="AT38">
        <v>0</v>
      </c>
      <c r="AU38">
        <v>21726958</v>
      </c>
      <c r="AV38">
        <v>21726958</v>
      </c>
      <c r="AW38">
        <v>24.075099999999999</v>
      </c>
      <c r="AX38">
        <v>8.6249099999999999</v>
      </c>
      <c r="AY38">
        <v>6162.75</v>
      </c>
      <c r="AZ38">
        <v>5147.6899999999996</v>
      </c>
      <c r="BA38">
        <v>1720</v>
      </c>
      <c r="BB38">
        <v>1062</v>
      </c>
      <c r="BC38" t="str">
        <f t="shared" si="0"/>
        <v>u=0%, k=2x10^7</v>
      </c>
      <c r="BD38">
        <f t="shared" si="1"/>
        <v>0</v>
      </c>
    </row>
    <row r="39" spans="1:56">
      <c r="A39" t="s">
        <v>123</v>
      </c>
      <c r="B39" t="s">
        <v>68</v>
      </c>
      <c r="D39" t="s">
        <v>65</v>
      </c>
      <c r="E39" t="s">
        <v>60</v>
      </c>
      <c r="F39" t="s">
        <v>61</v>
      </c>
      <c r="G39">
        <v>30000</v>
      </c>
      <c r="H39">
        <v>0</v>
      </c>
      <c r="I39">
        <v>0</v>
      </c>
      <c r="J39">
        <v>0</v>
      </c>
      <c r="K39">
        <v>1</v>
      </c>
      <c r="L39">
        <v>20000000</v>
      </c>
      <c r="M39">
        <v>96</v>
      </c>
      <c r="N39">
        <v>96</v>
      </c>
      <c r="O39">
        <v>96</v>
      </c>
      <c r="P39">
        <v>0</v>
      </c>
      <c r="Q39" t="s">
        <v>62</v>
      </c>
      <c r="R39">
        <v>100010860395994</v>
      </c>
      <c r="S39">
        <v>10000000</v>
      </c>
      <c r="T39">
        <v>100010860395994</v>
      </c>
      <c r="U39">
        <v>10000000</v>
      </c>
      <c r="V39" t="s">
        <v>75</v>
      </c>
      <c r="W39">
        <v>63</v>
      </c>
      <c r="X39">
        <v>9999999</v>
      </c>
      <c r="Y39">
        <v>10000000</v>
      </c>
      <c r="Z39">
        <v>19999999</v>
      </c>
      <c r="AA39">
        <v>10000000</v>
      </c>
      <c r="AB39">
        <v>2</v>
      </c>
      <c r="AC39">
        <v>1</v>
      </c>
      <c r="AD39">
        <v>1.5</v>
      </c>
      <c r="AE39">
        <v>31.124500000000001</v>
      </c>
      <c r="AM39">
        <v>1511268053</v>
      </c>
      <c r="AN39">
        <v>0</v>
      </c>
      <c r="AO39">
        <v>0</v>
      </c>
      <c r="AP39">
        <v>1511268053</v>
      </c>
      <c r="AQ39">
        <v>1511268053</v>
      </c>
      <c r="AR39">
        <v>50375601</v>
      </c>
      <c r="AS39">
        <v>0</v>
      </c>
      <c r="AT39">
        <v>0</v>
      </c>
      <c r="AU39">
        <v>50375601</v>
      </c>
      <c r="AV39">
        <v>50375601</v>
      </c>
      <c r="AW39">
        <v>24.642499999999998</v>
      </c>
      <c r="AX39">
        <v>9.9456000000000007</v>
      </c>
      <c r="AY39">
        <v>5307.14</v>
      </c>
      <c r="AZ39">
        <v>4301.5</v>
      </c>
      <c r="BA39">
        <v>1733</v>
      </c>
      <c r="BB39">
        <v>763</v>
      </c>
      <c r="BC39" t="str">
        <f t="shared" si="0"/>
        <v>u=0%, k=2x10^7</v>
      </c>
      <c r="BD39">
        <f t="shared" si="1"/>
        <v>0</v>
      </c>
    </row>
    <row r="40" spans="1:56">
      <c r="A40" t="s">
        <v>124</v>
      </c>
      <c r="B40" t="s">
        <v>68</v>
      </c>
      <c r="D40" t="s">
        <v>65</v>
      </c>
      <c r="E40" t="s">
        <v>60</v>
      </c>
      <c r="F40" t="s">
        <v>61</v>
      </c>
      <c r="G40">
        <v>30000</v>
      </c>
      <c r="H40">
        <v>0</v>
      </c>
      <c r="I40">
        <v>0</v>
      </c>
      <c r="J40">
        <v>0</v>
      </c>
      <c r="K40">
        <v>1</v>
      </c>
      <c r="L40">
        <v>20000000</v>
      </c>
      <c r="M40">
        <v>144</v>
      </c>
      <c r="N40">
        <v>144</v>
      </c>
      <c r="O40">
        <v>144</v>
      </c>
      <c r="P40">
        <v>0</v>
      </c>
      <c r="Q40" t="s">
        <v>62</v>
      </c>
      <c r="R40">
        <v>100000128063923</v>
      </c>
      <c r="S40">
        <v>10000000</v>
      </c>
      <c r="T40">
        <v>100000128063923</v>
      </c>
      <c r="U40">
        <v>10000000</v>
      </c>
      <c r="V40" t="s">
        <v>75</v>
      </c>
      <c r="W40">
        <v>62</v>
      </c>
      <c r="X40">
        <v>9999999</v>
      </c>
      <c r="Y40">
        <v>10000000</v>
      </c>
      <c r="Z40">
        <v>19999999</v>
      </c>
      <c r="AA40">
        <v>10000000</v>
      </c>
      <c r="AB40">
        <v>2</v>
      </c>
      <c r="AC40">
        <v>1</v>
      </c>
      <c r="AD40">
        <v>1.5</v>
      </c>
      <c r="AE40">
        <v>31.211400000000001</v>
      </c>
      <c r="AM40">
        <v>2307400706</v>
      </c>
      <c r="AN40">
        <v>0</v>
      </c>
      <c r="AO40">
        <v>0</v>
      </c>
      <c r="AP40">
        <v>2307400706</v>
      </c>
      <c r="AQ40">
        <v>2307400706</v>
      </c>
      <c r="AR40">
        <v>76913356</v>
      </c>
      <c r="AS40">
        <v>0</v>
      </c>
      <c r="AT40">
        <v>0</v>
      </c>
      <c r="AU40">
        <v>76913356</v>
      </c>
      <c r="AV40">
        <v>76913356</v>
      </c>
      <c r="AW40">
        <v>24.776900000000001</v>
      </c>
      <c r="AX40">
        <v>10.054600000000001</v>
      </c>
      <c r="AY40">
        <v>5212.47</v>
      </c>
      <c r="AZ40">
        <v>4215.6400000000003</v>
      </c>
      <c r="BA40">
        <v>1742</v>
      </c>
      <c r="BB40">
        <v>440</v>
      </c>
      <c r="BC40" t="str">
        <f t="shared" si="0"/>
        <v>u=0%, k=2x10^7</v>
      </c>
      <c r="BD40">
        <f t="shared" si="1"/>
        <v>0</v>
      </c>
    </row>
    <row r="41" spans="1:56">
      <c r="A41" t="s">
        <v>125</v>
      </c>
      <c r="B41" t="s">
        <v>68</v>
      </c>
      <c r="D41" t="s">
        <v>65</v>
      </c>
      <c r="E41" t="s">
        <v>60</v>
      </c>
      <c r="F41" t="s">
        <v>61</v>
      </c>
      <c r="G41">
        <v>30000</v>
      </c>
      <c r="H41">
        <v>0</v>
      </c>
      <c r="I41">
        <v>0</v>
      </c>
      <c r="J41">
        <v>0</v>
      </c>
      <c r="K41">
        <v>1</v>
      </c>
      <c r="L41">
        <v>20000000</v>
      </c>
      <c r="M41">
        <v>190</v>
      </c>
      <c r="N41">
        <v>190</v>
      </c>
      <c r="O41">
        <v>190</v>
      </c>
      <c r="P41">
        <v>0</v>
      </c>
      <c r="Q41" t="s">
        <v>62</v>
      </c>
      <c r="R41">
        <v>99985256249465</v>
      </c>
      <c r="S41">
        <v>10000000</v>
      </c>
      <c r="T41">
        <v>99985256249465</v>
      </c>
      <c r="U41">
        <v>10000000</v>
      </c>
      <c r="V41" t="s">
        <v>75</v>
      </c>
      <c r="W41">
        <v>63</v>
      </c>
      <c r="X41">
        <v>9999999</v>
      </c>
      <c r="Y41">
        <v>10000000</v>
      </c>
      <c r="Z41">
        <v>19999999</v>
      </c>
      <c r="AA41">
        <v>10000000</v>
      </c>
      <c r="AB41">
        <v>2</v>
      </c>
      <c r="AC41">
        <v>1</v>
      </c>
      <c r="AD41">
        <v>1.5</v>
      </c>
      <c r="AE41">
        <v>31.823899999999998</v>
      </c>
      <c r="AM41">
        <v>3079172993</v>
      </c>
      <c r="AN41">
        <v>0</v>
      </c>
      <c r="AO41">
        <v>0</v>
      </c>
      <c r="AP41">
        <v>3079172993</v>
      </c>
      <c r="AQ41">
        <v>3079172993</v>
      </c>
      <c r="AR41">
        <v>102639099</v>
      </c>
      <c r="AS41">
        <v>0</v>
      </c>
      <c r="AT41">
        <v>0</v>
      </c>
      <c r="AU41">
        <v>102639099</v>
      </c>
      <c r="AV41">
        <v>102639099</v>
      </c>
      <c r="AW41">
        <v>24.823799999999999</v>
      </c>
      <c r="AX41">
        <v>10.081</v>
      </c>
      <c r="AY41">
        <v>5153.3500000000004</v>
      </c>
      <c r="AZ41">
        <v>4158.26</v>
      </c>
      <c r="BA41">
        <v>1754</v>
      </c>
      <c r="BB41">
        <v>432</v>
      </c>
      <c r="BC41" t="str">
        <f t="shared" si="0"/>
        <v>u=0%, k=2x10^7</v>
      </c>
      <c r="BD41">
        <f t="shared" si="1"/>
        <v>0</v>
      </c>
    </row>
    <row r="42" spans="1:56">
      <c r="A42" t="s">
        <v>126</v>
      </c>
      <c r="B42" t="s">
        <v>64</v>
      </c>
      <c r="C42">
        <v>72</v>
      </c>
      <c r="D42" t="s">
        <v>65</v>
      </c>
      <c r="E42" t="s">
        <v>60</v>
      </c>
      <c r="F42" t="s">
        <v>61</v>
      </c>
      <c r="G42">
        <v>30000</v>
      </c>
      <c r="H42">
        <v>0</v>
      </c>
      <c r="I42">
        <v>0</v>
      </c>
      <c r="J42">
        <v>0</v>
      </c>
      <c r="K42">
        <v>1</v>
      </c>
      <c r="L42">
        <v>200000000</v>
      </c>
      <c r="M42">
        <v>24</v>
      </c>
      <c r="N42">
        <v>24</v>
      </c>
      <c r="O42">
        <v>24</v>
      </c>
      <c r="P42">
        <v>0</v>
      </c>
      <c r="Q42" t="s">
        <v>62</v>
      </c>
      <c r="R42">
        <v>1.00001632580249E+16</v>
      </c>
      <c r="S42">
        <v>100000001</v>
      </c>
      <c r="T42">
        <v>1.00001632580249E+16</v>
      </c>
      <c r="U42">
        <v>100000001</v>
      </c>
      <c r="V42" t="s">
        <v>75</v>
      </c>
      <c r="W42">
        <v>6</v>
      </c>
      <c r="X42">
        <v>11011103</v>
      </c>
      <c r="Y42">
        <v>110001001</v>
      </c>
      <c r="Z42">
        <v>121012104</v>
      </c>
      <c r="AA42">
        <v>100000001</v>
      </c>
      <c r="AB42">
        <v>10.99</v>
      </c>
      <c r="AC42">
        <v>0.90908299999999997</v>
      </c>
      <c r="AD42">
        <v>1.82636</v>
      </c>
      <c r="AE42">
        <v>4</v>
      </c>
      <c r="AM42">
        <v>883161357</v>
      </c>
      <c r="AN42">
        <v>0</v>
      </c>
      <c r="AO42">
        <v>0</v>
      </c>
      <c r="AP42">
        <v>883161357</v>
      </c>
      <c r="AQ42">
        <v>883161357</v>
      </c>
      <c r="AR42">
        <v>29438711</v>
      </c>
      <c r="AS42">
        <v>0</v>
      </c>
      <c r="AT42">
        <v>0</v>
      </c>
      <c r="AU42">
        <v>29438711</v>
      </c>
      <c r="AV42">
        <v>29438711</v>
      </c>
      <c r="AW42">
        <v>18.5564</v>
      </c>
      <c r="AX42">
        <v>8.0684199999999997</v>
      </c>
      <c r="AY42">
        <v>2273.86</v>
      </c>
      <c r="AZ42">
        <v>1697.97</v>
      </c>
      <c r="BA42">
        <v>7054</v>
      </c>
      <c r="BB42">
        <v>1556</v>
      </c>
      <c r="BC42" t="str">
        <f t="shared" si="0"/>
        <v>u=0%, k=2x10^8</v>
      </c>
      <c r="BD42">
        <f t="shared" si="1"/>
        <v>0</v>
      </c>
    </row>
    <row r="43" spans="1:56">
      <c r="A43" t="s">
        <v>127</v>
      </c>
      <c r="B43" t="s">
        <v>64</v>
      </c>
      <c r="C43">
        <v>72</v>
      </c>
      <c r="D43" t="s">
        <v>65</v>
      </c>
      <c r="E43" t="s">
        <v>60</v>
      </c>
      <c r="F43" t="s">
        <v>61</v>
      </c>
      <c r="G43">
        <v>30000</v>
      </c>
      <c r="H43">
        <v>0</v>
      </c>
      <c r="I43">
        <v>0</v>
      </c>
      <c r="J43">
        <v>0</v>
      </c>
      <c r="K43">
        <v>1</v>
      </c>
      <c r="L43">
        <v>200000000</v>
      </c>
      <c r="M43">
        <v>48</v>
      </c>
      <c r="N43">
        <v>48</v>
      </c>
      <c r="O43">
        <v>48</v>
      </c>
      <c r="P43">
        <v>0</v>
      </c>
      <c r="Q43" t="s">
        <v>62</v>
      </c>
      <c r="R43">
        <v>9999693499862620</v>
      </c>
      <c r="S43">
        <v>100000001</v>
      </c>
      <c r="T43">
        <v>9999693499862620</v>
      </c>
      <c r="U43">
        <v>100000001</v>
      </c>
      <c r="V43" t="s">
        <v>75</v>
      </c>
      <c r="W43">
        <v>6</v>
      </c>
      <c r="X43">
        <v>11011103</v>
      </c>
      <c r="Y43">
        <v>110001001</v>
      </c>
      <c r="Z43">
        <v>121012104</v>
      </c>
      <c r="AA43">
        <v>100000001</v>
      </c>
      <c r="AB43">
        <v>10.99</v>
      </c>
      <c r="AC43">
        <v>0.90908299999999997</v>
      </c>
      <c r="AD43">
        <v>1.82636</v>
      </c>
      <c r="AE43">
        <v>4</v>
      </c>
      <c r="AM43">
        <v>1563668622</v>
      </c>
      <c r="AN43">
        <v>0</v>
      </c>
      <c r="AO43">
        <v>0</v>
      </c>
      <c r="AP43">
        <v>1563668622</v>
      </c>
      <c r="AQ43">
        <v>1563668622</v>
      </c>
      <c r="AR43">
        <v>52122287</v>
      </c>
      <c r="AS43">
        <v>0</v>
      </c>
      <c r="AT43">
        <v>0</v>
      </c>
      <c r="AU43">
        <v>52122287</v>
      </c>
      <c r="AV43">
        <v>52122287</v>
      </c>
      <c r="AW43">
        <v>18.5471</v>
      </c>
      <c r="AX43">
        <v>8.0713699999999999</v>
      </c>
      <c r="AY43">
        <v>2565.5300000000002</v>
      </c>
      <c r="AZ43">
        <v>1895.53</v>
      </c>
      <c r="BA43">
        <v>7095</v>
      </c>
      <c r="BB43">
        <v>1265</v>
      </c>
      <c r="BC43" t="str">
        <f t="shared" si="0"/>
        <v>u=0%, k=2x10^8</v>
      </c>
      <c r="BD43">
        <f t="shared" si="1"/>
        <v>0</v>
      </c>
    </row>
    <row r="44" spans="1:56">
      <c r="A44" t="s">
        <v>128</v>
      </c>
      <c r="B44" t="s">
        <v>64</v>
      </c>
      <c r="C44">
        <v>72</v>
      </c>
      <c r="D44" t="s">
        <v>65</v>
      </c>
      <c r="E44" t="s">
        <v>60</v>
      </c>
      <c r="F44" t="s">
        <v>61</v>
      </c>
      <c r="G44">
        <v>30000</v>
      </c>
      <c r="H44">
        <v>0</v>
      </c>
      <c r="I44">
        <v>0</v>
      </c>
      <c r="J44">
        <v>0</v>
      </c>
      <c r="K44">
        <v>1</v>
      </c>
      <c r="L44">
        <v>200000000</v>
      </c>
      <c r="M44">
        <v>96</v>
      </c>
      <c r="N44">
        <v>96</v>
      </c>
      <c r="O44">
        <v>96</v>
      </c>
      <c r="P44">
        <v>0</v>
      </c>
      <c r="Q44" t="s">
        <v>62</v>
      </c>
      <c r="R44">
        <v>1.00002027233932E+16</v>
      </c>
      <c r="S44">
        <v>100000001</v>
      </c>
      <c r="T44">
        <v>1.00002027233932E+16</v>
      </c>
      <c r="U44">
        <v>100000001</v>
      </c>
      <c r="V44" t="s">
        <v>75</v>
      </c>
      <c r="W44">
        <v>6</v>
      </c>
      <c r="X44">
        <v>11011103</v>
      </c>
      <c r="Y44">
        <v>110001001</v>
      </c>
      <c r="Z44">
        <v>121012104</v>
      </c>
      <c r="AA44">
        <v>100000001</v>
      </c>
      <c r="AB44">
        <v>10.99</v>
      </c>
      <c r="AC44">
        <v>0.90908299999999997</v>
      </c>
      <c r="AD44">
        <v>1.82636</v>
      </c>
      <c r="AE44">
        <v>4</v>
      </c>
      <c r="AM44">
        <v>3159514032</v>
      </c>
      <c r="AN44">
        <v>0</v>
      </c>
      <c r="AO44">
        <v>0</v>
      </c>
      <c r="AP44">
        <v>3159514032</v>
      </c>
      <c r="AQ44">
        <v>3159514032</v>
      </c>
      <c r="AR44">
        <v>105317134</v>
      </c>
      <c r="AS44">
        <v>0</v>
      </c>
      <c r="AT44">
        <v>0</v>
      </c>
      <c r="AU44">
        <v>105317134</v>
      </c>
      <c r="AV44">
        <v>105317134</v>
      </c>
      <c r="AW44">
        <v>18.633400000000002</v>
      </c>
      <c r="AX44">
        <v>8.8655100000000004</v>
      </c>
      <c r="AY44">
        <v>2536.09</v>
      </c>
      <c r="AZ44">
        <v>1791.16</v>
      </c>
      <c r="BA44">
        <v>7182</v>
      </c>
      <c r="BB44">
        <v>1064</v>
      </c>
      <c r="BC44" t="str">
        <f t="shared" si="0"/>
        <v>u=0%, k=2x10^8</v>
      </c>
      <c r="BD44">
        <f t="shared" si="1"/>
        <v>0</v>
      </c>
    </row>
    <row r="45" spans="1:56">
      <c r="A45" t="s">
        <v>129</v>
      </c>
      <c r="B45" t="s">
        <v>64</v>
      </c>
      <c r="C45">
        <v>72</v>
      </c>
      <c r="D45" t="s">
        <v>65</v>
      </c>
      <c r="E45" t="s">
        <v>60</v>
      </c>
      <c r="F45" t="s">
        <v>61</v>
      </c>
      <c r="G45">
        <v>30000</v>
      </c>
      <c r="H45">
        <v>0</v>
      </c>
      <c r="I45">
        <v>0</v>
      </c>
      <c r="J45">
        <v>0</v>
      </c>
      <c r="K45">
        <v>1</v>
      </c>
      <c r="L45">
        <v>200000000</v>
      </c>
      <c r="M45">
        <v>144</v>
      </c>
      <c r="N45">
        <v>144</v>
      </c>
      <c r="O45">
        <v>144</v>
      </c>
      <c r="P45">
        <v>0</v>
      </c>
      <c r="Q45" t="s">
        <v>62</v>
      </c>
      <c r="R45">
        <v>9999841341618580</v>
      </c>
      <c r="S45">
        <v>100000001</v>
      </c>
      <c r="T45">
        <v>9999841341618580</v>
      </c>
      <c r="U45">
        <v>100000001</v>
      </c>
      <c r="V45" t="s">
        <v>75</v>
      </c>
      <c r="W45">
        <v>6</v>
      </c>
      <c r="X45">
        <v>11011103</v>
      </c>
      <c r="Y45">
        <v>110001001</v>
      </c>
      <c r="Z45">
        <v>121012104</v>
      </c>
      <c r="AA45">
        <v>100000001</v>
      </c>
      <c r="AB45">
        <v>10.99</v>
      </c>
      <c r="AC45">
        <v>0.90908299999999997</v>
      </c>
      <c r="AD45">
        <v>1.82636</v>
      </c>
      <c r="AE45">
        <v>4</v>
      </c>
      <c r="AM45">
        <v>4717414250</v>
      </c>
      <c r="AN45">
        <v>0</v>
      </c>
      <c r="AO45">
        <v>0</v>
      </c>
      <c r="AP45">
        <v>4717414250</v>
      </c>
      <c r="AQ45">
        <v>4717414250</v>
      </c>
      <c r="AR45">
        <v>157247141</v>
      </c>
      <c r="AS45">
        <v>0</v>
      </c>
      <c r="AT45">
        <v>0</v>
      </c>
      <c r="AU45">
        <v>157247141</v>
      </c>
      <c r="AV45">
        <v>157247141</v>
      </c>
      <c r="AW45">
        <v>18.641500000000001</v>
      </c>
      <c r="AX45">
        <v>9.1092099999999991</v>
      </c>
      <c r="AY45">
        <v>2544.5700000000002</v>
      </c>
      <c r="AZ45">
        <v>1796.13</v>
      </c>
      <c r="BA45">
        <v>7288</v>
      </c>
      <c r="BB45">
        <v>1048</v>
      </c>
      <c r="BC45" t="str">
        <f t="shared" si="0"/>
        <v>u=0%, k=2x10^8</v>
      </c>
      <c r="BD45">
        <f t="shared" si="1"/>
        <v>0</v>
      </c>
    </row>
    <row r="46" spans="1:56">
      <c r="A46" t="s">
        <v>130</v>
      </c>
      <c r="B46" t="s">
        <v>64</v>
      </c>
      <c r="C46">
        <v>72</v>
      </c>
      <c r="D46" t="s">
        <v>65</v>
      </c>
      <c r="E46" t="s">
        <v>60</v>
      </c>
      <c r="F46" t="s">
        <v>61</v>
      </c>
      <c r="G46">
        <v>30000</v>
      </c>
      <c r="H46">
        <v>0</v>
      </c>
      <c r="I46">
        <v>0</v>
      </c>
      <c r="J46">
        <v>0</v>
      </c>
      <c r="K46">
        <v>1</v>
      </c>
      <c r="L46">
        <v>200000000</v>
      </c>
      <c r="M46">
        <v>190</v>
      </c>
      <c r="N46">
        <v>190</v>
      </c>
      <c r="O46">
        <v>190</v>
      </c>
      <c r="P46">
        <v>0</v>
      </c>
      <c r="Q46" t="s">
        <v>62</v>
      </c>
      <c r="R46">
        <v>9999477933444660</v>
      </c>
      <c r="S46">
        <v>100000001</v>
      </c>
      <c r="T46">
        <v>9999477933444660</v>
      </c>
      <c r="U46">
        <v>100000001</v>
      </c>
      <c r="V46" t="s">
        <v>75</v>
      </c>
      <c r="W46">
        <v>6</v>
      </c>
      <c r="X46">
        <v>11011103</v>
      </c>
      <c r="Y46">
        <v>110001001</v>
      </c>
      <c r="Z46">
        <v>121012104</v>
      </c>
      <c r="AA46">
        <v>100000001</v>
      </c>
      <c r="AB46">
        <v>10.99</v>
      </c>
      <c r="AC46">
        <v>0.90908299999999997</v>
      </c>
      <c r="AD46">
        <v>1.82636</v>
      </c>
      <c r="AE46">
        <v>4</v>
      </c>
      <c r="AM46">
        <v>6157750968</v>
      </c>
      <c r="AN46">
        <v>0</v>
      </c>
      <c r="AO46">
        <v>0</v>
      </c>
      <c r="AP46">
        <v>6157750968</v>
      </c>
      <c r="AQ46">
        <v>6157750968</v>
      </c>
      <c r="AR46">
        <v>205258365</v>
      </c>
      <c r="AS46">
        <v>0</v>
      </c>
      <c r="AT46">
        <v>0</v>
      </c>
      <c r="AU46">
        <v>205258365</v>
      </c>
      <c r="AV46">
        <v>205258365</v>
      </c>
      <c r="AW46">
        <v>18.7774</v>
      </c>
      <c r="AX46">
        <v>9.2483500000000003</v>
      </c>
      <c r="AY46">
        <v>2569.5700000000002</v>
      </c>
      <c r="AZ46">
        <v>1808.25</v>
      </c>
      <c r="BA46">
        <v>7355</v>
      </c>
      <c r="BB46">
        <v>1244</v>
      </c>
      <c r="BC46" t="str">
        <f t="shared" si="0"/>
        <v>u=0%, k=2x10^8</v>
      </c>
      <c r="BD46">
        <f t="shared" si="1"/>
        <v>0</v>
      </c>
    </row>
    <row r="47" spans="1:56">
      <c r="A47" t="s">
        <v>131</v>
      </c>
      <c r="B47" t="s">
        <v>66</v>
      </c>
      <c r="C47">
        <v>208</v>
      </c>
      <c r="D47" t="s">
        <v>65</v>
      </c>
      <c r="E47" t="s">
        <v>60</v>
      </c>
      <c r="F47" t="s">
        <v>61</v>
      </c>
      <c r="G47">
        <v>30000</v>
      </c>
      <c r="H47">
        <v>0</v>
      </c>
      <c r="I47">
        <v>0</v>
      </c>
      <c r="J47">
        <v>0</v>
      </c>
      <c r="K47">
        <v>1</v>
      </c>
      <c r="L47">
        <v>200000000</v>
      </c>
      <c r="M47">
        <v>24</v>
      </c>
      <c r="N47">
        <v>24</v>
      </c>
      <c r="O47">
        <v>24</v>
      </c>
      <c r="P47">
        <v>0</v>
      </c>
      <c r="Q47" t="s">
        <v>62</v>
      </c>
      <c r="R47">
        <v>1.00006757411416E+16</v>
      </c>
      <c r="S47">
        <v>100000000</v>
      </c>
      <c r="T47">
        <v>1.00006757411416E+16</v>
      </c>
      <c r="U47">
        <v>100000000</v>
      </c>
      <c r="V47" t="s">
        <v>75</v>
      </c>
      <c r="W47">
        <v>10</v>
      </c>
      <c r="X47">
        <v>1854125</v>
      </c>
      <c r="Y47">
        <v>12758420</v>
      </c>
      <c r="Z47">
        <v>14612545</v>
      </c>
      <c r="AA47">
        <v>100000000</v>
      </c>
      <c r="AB47">
        <v>7.8811</v>
      </c>
      <c r="AC47">
        <v>7.8379599999999998</v>
      </c>
      <c r="AD47">
        <v>7.8434299999999997</v>
      </c>
      <c r="AE47">
        <v>9</v>
      </c>
      <c r="AM47">
        <v>607673786</v>
      </c>
      <c r="AN47">
        <v>0</v>
      </c>
      <c r="AO47">
        <v>0</v>
      </c>
      <c r="AP47">
        <v>607673786</v>
      </c>
      <c r="AQ47">
        <v>607673786</v>
      </c>
      <c r="AR47">
        <v>20255792</v>
      </c>
      <c r="AS47">
        <v>0</v>
      </c>
      <c r="AT47">
        <v>0</v>
      </c>
      <c r="AU47">
        <v>20255792</v>
      </c>
      <c r="AV47">
        <v>20255792</v>
      </c>
      <c r="AW47">
        <v>23.5623</v>
      </c>
      <c r="AX47">
        <v>9.4385999999999992</v>
      </c>
      <c r="AY47">
        <v>3305.22</v>
      </c>
      <c r="AZ47">
        <v>2204.4299999999998</v>
      </c>
      <c r="BA47">
        <v>4298</v>
      </c>
      <c r="BB47">
        <v>9587</v>
      </c>
      <c r="BC47" t="str">
        <f t="shared" si="0"/>
        <v>u=0%, k=2x10^8</v>
      </c>
      <c r="BD47">
        <f t="shared" si="1"/>
        <v>0</v>
      </c>
    </row>
    <row r="48" spans="1:56">
      <c r="A48" t="s">
        <v>132</v>
      </c>
      <c r="B48" t="s">
        <v>66</v>
      </c>
      <c r="C48">
        <v>208</v>
      </c>
      <c r="D48" t="s">
        <v>65</v>
      </c>
      <c r="E48" t="s">
        <v>60</v>
      </c>
      <c r="F48" t="s">
        <v>61</v>
      </c>
      <c r="G48">
        <v>30000</v>
      </c>
      <c r="H48">
        <v>0</v>
      </c>
      <c r="I48">
        <v>0</v>
      </c>
      <c r="J48">
        <v>0</v>
      </c>
      <c r="K48">
        <v>1</v>
      </c>
      <c r="L48">
        <v>200000000</v>
      </c>
      <c r="M48">
        <v>48</v>
      </c>
      <c r="N48">
        <v>48</v>
      </c>
      <c r="O48">
        <v>48</v>
      </c>
      <c r="P48">
        <v>0</v>
      </c>
      <c r="Q48" t="s">
        <v>62</v>
      </c>
      <c r="R48">
        <v>1.0000130305949E+16</v>
      </c>
      <c r="S48">
        <v>100000000</v>
      </c>
      <c r="T48">
        <v>1.0000130305949E+16</v>
      </c>
      <c r="U48">
        <v>100000000</v>
      </c>
      <c r="V48" t="s">
        <v>75</v>
      </c>
      <c r="W48">
        <v>10</v>
      </c>
      <c r="X48">
        <v>1853961</v>
      </c>
      <c r="Y48">
        <v>12758799</v>
      </c>
      <c r="Z48">
        <v>14612760</v>
      </c>
      <c r="AA48">
        <v>100000000</v>
      </c>
      <c r="AB48">
        <v>7.8819100000000004</v>
      </c>
      <c r="AC48">
        <v>7.8377299999999996</v>
      </c>
      <c r="AD48">
        <v>7.8433299999999999</v>
      </c>
      <c r="AE48">
        <v>9</v>
      </c>
      <c r="AM48">
        <v>1142235051</v>
      </c>
      <c r="AN48">
        <v>0</v>
      </c>
      <c r="AO48">
        <v>0</v>
      </c>
      <c r="AP48">
        <v>1142235051</v>
      </c>
      <c r="AQ48">
        <v>1142235051</v>
      </c>
      <c r="AR48">
        <v>38074501</v>
      </c>
      <c r="AS48">
        <v>0</v>
      </c>
      <c r="AT48">
        <v>0</v>
      </c>
      <c r="AU48">
        <v>38074501</v>
      </c>
      <c r="AV48">
        <v>38074501</v>
      </c>
      <c r="AW48">
        <v>23.508500000000002</v>
      </c>
      <c r="AX48">
        <v>9.4662299999999995</v>
      </c>
      <c r="AY48">
        <v>3515.69</v>
      </c>
      <c r="AZ48">
        <v>2629.53</v>
      </c>
      <c r="BA48">
        <v>4383</v>
      </c>
      <c r="BB48">
        <v>6549</v>
      </c>
      <c r="BC48" t="str">
        <f t="shared" si="0"/>
        <v>u=0%, k=2x10^8</v>
      </c>
      <c r="BD48">
        <f t="shared" si="1"/>
        <v>0</v>
      </c>
    </row>
    <row r="49" spans="1:56">
      <c r="A49" t="s">
        <v>133</v>
      </c>
      <c r="B49" t="s">
        <v>66</v>
      </c>
      <c r="C49">
        <v>208</v>
      </c>
      <c r="D49" t="s">
        <v>65</v>
      </c>
      <c r="E49" t="s">
        <v>60</v>
      </c>
      <c r="F49" t="s">
        <v>61</v>
      </c>
      <c r="G49">
        <v>30000</v>
      </c>
      <c r="H49">
        <v>0</v>
      </c>
      <c r="I49">
        <v>0</v>
      </c>
      <c r="J49">
        <v>0</v>
      </c>
      <c r="K49">
        <v>1</v>
      </c>
      <c r="L49">
        <v>200000000</v>
      </c>
      <c r="M49">
        <v>96</v>
      </c>
      <c r="N49">
        <v>96</v>
      </c>
      <c r="O49">
        <v>96</v>
      </c>
      <c r="P49">
        <v>0</v>
      </c>
      <c r="Q49" t="s">
        <v>62</v>
      </c>
      <c r="R49">
        <v>9999612572284840</v>
      </c>
      <c r="S49">
        <v>100000000</v>
      </c>
      <c r="T49">
        <v>9999612572284840</v>
      </c>
      <c r="U49">
        <v>100000000</v>
      </c>
      <c r="V49" t="s">
        <v>75</v>
      </c>
      <c r="W49">
        <v>10</v>
      </c>
      <c r="X49">
        <v>1854380</v>
      </c>
      <c r="Y49">
        <v>12757834</v>
      </c>
      <c r="Z49">
        <v>14612214</v>
      </c>
      <c r="AA49">
        <v>100000000</v>
      </c>
      <c r="AB49">
        <v>7.8798399999999997</v>
      </c>
      <c r="AC49">
        <v>7.8383200000000004</v>
      </c>
      <c r="AD49">
        <v>7.8435899999999998</v>
      </c>
      <c r="AE49">
        <v>9</v>
      </c>
      <c r="AM49">
        <v>2437647573</v>
      </c>
      <c r="AN49">
        <v>0</v>
      </c>
      <c r="AO49">
        <v>0</v>
      </c>
      <c r="AP49">
        <v>2437647573</v>
      </c>
      <c r="AQ49">
        <v>2437647573</v>
      </c>
      <c r="AR49">
        <v>81254919</v>
      </c>
      <c r="AS49">
        <v>0</v>
      </c>
      <c r="AT49">
        <v>0</v>
      </c>
      <c r="AU49">
        <v>81254919</v>
      </c>
      <c r="AV49">
        <v>81254919</v>
      </c>
      <c r="AW49">
        <v>23.457899999999999</v>
      </c>
      <c r="AX49">
        <v>10.325799999999999</v>
      </c>
      <c r="AY49">
        <v>3288.06</v>
      </c>
      <c r="AZ49">
        <v>2333.58</v>
      </c>
      <c r="BA49">
        <v>4671</v>
      </c>
      <c r="BB49">
        <v>6460</v>
      </c>
      <c r="BC49" t="str">
        <f t="shared" si="0"/>
        <v>u=0%, k=2x10^8</v>
      </c>
      <c r="BD49">
        <f t="shared" si="1"/>
        <v>0</v>
      </c>
    </row>
    <row r="50" spans="1:56">
      <c r="A50" t="s">
        <v>134</v>
      </c>
      <c r="B50" t="s">
        <v>66</v>
      </c>
      <c r="C50">
        <v>208</v>
      </c>
      <c r="D50" t="s">
        <v>65</v>
      </c>
      <c r="E50" t="s">
        <v>60</v>
      </c>
      <c r="F50" t="s">
        <v>61</v>
      </c>
      <c r="G50">
        <v>30000</v>
      </c>
      <c r="H50">
        <v>0</v>
      </c>
      <c r="I50">
        <v>0</v>
      </c>
      <c r="J50">
        <v>0</v>
      </c>
      <c r="K50">
        <v>1</v>
      </c>
      <c r="L50">
        <v>200000000</v>
      </c>
      <c r="M50">
        <v>144</v>
      </c>
      <c r="N50">
        <v>144</v>
      </c>
      <c r="O50">
        <v>144</v>
      </c>
      <c r="P50">
        <v>0</v>
      </c>
      <c r="Q50" t="s">
        <v>62</v>
      </c>
      <c r="R50">
        <v>9999984831959610</v>
      </c>
      <c r="S50">
        <v>100000000</v>
      </c>
      <c r="T50">
        <v>9999984831959610</v>
      </c>
      <c r="U50">
        <v>100000000</v>
      </c>
      <c r="V50" t="s">
        <v>75</v>
      </c>
      <c r="W50">
        <v>10</v>
      </c>
      <c r="X50">
        <v>1854646</v>
      </c>
      <c r="Y50">
        <v>12758165</v>
      </c>
      <c r="Z50">
        <v>14612811</v>
      </c>
      <c r="AA50">
        <v>100000000</v>
      </c>
      <c r="AB50">
        <v>7.8790300000000002</v>
      </c>
      <c r="AC50">
        <v>7.83812</v>
      </c>
      <c r="AD50">
        <v>7.8433099999999998</v>
      </c>
      <c r="AE50">
        <v>9</v>
      </c>
      <c r="AM50">
        <v>3652907432</v>
      </c>
      <c r="AN50">
        <v>0</v>
      </c>
      <c r="AO50">
        <v>0</v>
      </c>
      <c r="AP50">
        <v>3652907432</v>
      </c>
      <c r="AQ50">
        <v>3652907432</v>
      </c>
      <c r="AR50">
        <v>121763581</v>
      </c>
      <c r="AS50">
        <v>0</v>
      </c>
      <c r="AT50">
        <v>0</v>
      </c>
      <c r="AU50">
        <v>121763581</v>
      </c>
      <c r="AV50">
        <v>121763581</v>
      </c>
      <c r="AW50">
        <v>23.546700000000001</v>
      </c>
      <c r="AX50">
        <v>10.5625</v>
      </c>
      <c r="AY50">
        <v>3286.83</v>
      </c>
      <c r="AZ50">
        <v>2323.09</v>
      </c>
      <c r="BA50">
        <v>4789</v>
      </c>
      <c r="BB50">
        <v>6099</v>
      </c>
      <c r="BC50" t="str">
        <f t="shared" si="0"/>
        <v>u=0%, k=2x10^8</v>
      </c>
      <c r="BD50">
        <f t="shared" si="1"/>
        <v>0</v>
      </c>
    </row>
    <row r="51" spans="1:56">
      <c r="A51" t="s">
        <v>135</v>
      </c>
      <c r="B51" t="s">
        <v>66</v>
      </c>
      <c r="C51">
        <v>208</v>
      </c>
      <c r="D51" t="s">
        <v>65</v>
      </c>
      <c r="E51" t="s">
        <v>60</v>
      </c>
      <c r="F51" t="s">
        <v>61</v>
      </c>
      <c r="G51">
        <v>30000</v>
      </c>
      <c r="H51">
        <v>0</v>
      </c>
      <c r="I51">
        <v>0</v>
      </c>
      <c r="J51">
        <v>0</v>
      </c>
      <c r="K51">
        <v>1</v>
      </c>
      <c r="L51">
        <v>200000000</v>
      </c>
      <c r="M51">
        <v>190</v>
      </c>
      <c r="N51">
        <v>190</v>
      </c>
      <c r="O51">
        <v>190</v>
      </c>
      <c r="P51">
        <v>0</v>
      </c>
      <c r="Q51" t="s">
        <v>62</v>
      </c>
      <c r="R51">
        <v>9999077045270860</v>
      </c>
      <c r="S51">
        <v>100000000</v>
      </c>
      <c r="T51">
        <v>9999077045270860</v>
      </c>
      <c r="U51">
        <v>100000000</v>
      </c>
      <c r="V51" t="s">
        <v>75</v>
      </c>
      <c r="W51">
        <v>10</v>
      </c>
      <c r="X51">
        <v>1853497</v>
      </c>
      <c r="Y51">
        <v>12758584</v>
      </c>
      <c r="Z51">
        <v>14612081</v>
      </c>
      <c r="AA51">
        <v>100000000</v>
      </c>
      <c r="AB51">
        <v>7.8835199999999999</v>
      </c>
      <c r="AC51">
        <v>7.83786</v>
      </c>
      <c r="AD51">
        <v>7.8436500000000002</v>
      </c>
      <c r="AE51">
        <v>9</v>
      </c>
      <c r="AM51">
        <v>4796463700</v>
      </c>
      <c r="AN51">
        <v>0</v>
      </c>
      <c r="AO51">
        <v>0</v>
      </c>
      <c r="AP51">
        <v>4796463700</v>
      </c>
      <c r="AQ51">
        <v>4796463700</v>
      </c>
      <c r="AR51">
        <v>159882123</v>
      </c>
      <c r="AS51">
        <v>0</v>
      </c>
      <c r="AT51">
        <v>0</v>
      </c>
      <c r="AU51">
        <v>159882123</v>
      </c>
      <c r="AV51">
        <v>159882123</v>
      </c>
      <c r="AW51">
        <v>23.5352</v>
      </c>
      <c r="AX51">
        <v>10.840299999999999</v>
      </c>
      <c r="AY51">
        <v>3299.78</v>
      </c>
      <c r="AZ51">
        <v>2333.9699999999998</v>
      </c>
      <c r="BA51">
        <v>5139</v>
      </c>
      <c r="BB51">
        <v>6012</v>
      </c>
      <c r="BC51" t="str">
        <f t="shared" si="0"/>
        <v>u=0%, k=2x10^8</v>
      </c>
      <c r="BD51">
        <f t="shared" si="1"/>
        <v>0</v>
      </c>
    </row>
    <row r="52" spans="1:56">
      <c r="A52" t="s">
        <v>136</v>
      </c>
      <c r="B52" t="s">
        <v>67</v>
      </c>
      <c r="D52" t="s">
        <v>65</v>
      </c>
      <c r="E52" t="s">
        <v>60</v>
      </c>
      <c r="F52" t="s">
        <v>61</v>
      </c>
      <c r="G52">
        <v>30000</v>
      </c>
      <c r="H52">
        <v>0</v>
      </c>
      <c r="I52">
        <v>0</v>
      </c>
      <c r="J52">
        <v>0</v>
      </c>
      <c r="K52">
        <v>1</v>
      </c>
      <c r="L52">
        <v>200000000</v>
      </c>
      <c r="M52">
        <v>24</v>
      </c>
      <c r="N52">
        <v>24</v>
      </c>
      <c r="O52">
        <v>24</v>
      </c>
      <c r="P52">
        <v>0</v>
      </c>
      <c r="Q52" t="s">
        <v>62</v>
      </c>
      <c r="R52">
        <v>9999894897206180</v>
      </c>
      <c r="S52">
        <v>100000000</v>
      </c>
      <c r="T52">
        <v>9999894897206180</v>
      </c>
      <c r="U52">
        <v>100000000</v>
      </c>
      <c r="V52" t="s">
        <v>75</v>
      </c>
      <c r="W52">
        <v>33</v>
      </c>
      <c r="X52">
        <v>57143135</v>
      </c>
      <c r="Y52">
        <v>42856866</v>
      </c>
      <c r="Z52">
        <v>100000001</v>
      </c>
      <c r="AA52">
        <v>100000000</v>
      </c>
      <c r="AB52">
        <v>1.7499899999999999</v>
      </c>
      <c r="AC52">
        <v>2.3333499999999998</v>
      </c>
      <c r="AD52">
        <v>2</v>
      </c>
      <c r="AE52">
        <v>26.0746</v>
      </c>
      <c r="AM52">
        <v>258806215</v>
      </c>
      <c r="AN52">
        <v>0</v>
      </c>
      <c r="AO52">
        <v>0</v>
      </c>
      <c r="AP52">
        <v>258806215</v>
      </c>
      <c r="AQ52">
        <v>258806215</v>
      </c>
      <c r="AR52">
        <v>8626873</v>
      </c>
      <c r="AS52">
        <v>0</v>
      </c>
      <c r="AT52">
        <v>0</v>
      </c>
      <c r="AU52">
        <v>8626873</v>
      </c>
      <c r="AV52">
        <v>8626873</v>
      </c>
      <c r="AW52">
        <v>39.429000000000002</v>
      </c>
      <c r="AX52">
        <v>17.556999999999999</v>
      </c>
      <c r="AY52">
        <v>7761.97</v>
      </c>
      <c r="AZ52">
        <v>6463.26</v>
      </c>
      <c r="BA52">
        <v>7526</v>
      </c>
      <c r="BB52">
        <v>17157</v>
      </c>
      <c r="BC52" t="str">
        <f t="shared" si="0"/>
        <v>u=0%, k=2x10^8</v>
      </c>
      <c r="BD52">
        <f t="shared" si="1"/>
        <v>0</v>
      </c>
    </row>
    <row r="53" spans="1:56">
      <c r="A53" t="s">
        <v>137</v>
      </c>
      <c r="B53" t="s">
        <v>67</v>
      </c>
      <c r="D53" t="s">
        <v>65</v>
      </c>
      <c r="E53" t="s">
        <v>60</v>
      </c>
      <c r="F53" t="s">
        <v>61</v>
      </c>
      <c r="G53">
        <v>30000</v>
      </c>
      <c r="H53">
        <v>0</v>
      </c>
      <c r="I53">
        <v>0</v>
      </c>
      <c r="J53">
        <v>0</v>
      </c>
      <c r="K53">
        <v>1</v>
      </c>
      <c r="L53">
        <v>200000000</v>
      </c>
      <c r="M53">
        <v>48</v>
      </c>
      <c r="N53">
        <v>48</v>
      </c>
      <c r="O53">
        <v>48</v>
      </c>
      <c r="P53">
        <v>0</v>
      </c>
      <c r="Q53" t="s">
        <v>62</v>
      </c>
      <c r="R53">
        <v>1.00000586735059E+16</v>
      </c>
      <c r="S53">
        <v>100000000</v>
      </c>
      <c r="T53">
        <v>1.00000586735059E+16</v>
      </c>
      <c r="U53">
        <v>100000000</v>
      </c>
      <c r="V53" t="s">
        <v>75</v>
      </c>
      <c r="W53">
        <v>33</v>
      </c>
      <c r="X53">
        <v>57143229</v>
      </c>
      <c r="Y53">
        <v>42856772</v>
      </c>
      <c r="Z53">
        <v>100000001</v>
      </c>
      <c r="AA53">
        <v>100000000</v>
      </c>
      <c r="AB53">
        <v>1.7499899999999999</v>
      </c>
      <c r="AC53">
        <v>2.3333499999999998</v>
      </c>
      <c r="AD53">
        <v>2</v>
      </c>
      <c r="AE53">
        <v>26.0685</v>
      </c>
      <c r="AM53">
        <v>493502070</v>
      </c>
      <c r="AN53">
        <v>0</v>
      </c>
      <c r="AO53">
        <v>0</v>
      </c>
      <c r="AP53">
        <v>493502070</v>
      </c>
      <c r="AQ53">
        <v>493502070</v>
      </c>
      <c r="AR53">
        <v>16450069</v>
      </c>
      <c r="AS53">
        <v>0</v>
      </c>
      <c r="AT53">
        <v>0</v>
      </c>
      <c r="AU53">
        <v>16450069</v>
      </c>
      <c r="AV53">
        <v>16450069</v>
      </c>
      <c r="AW53">
        <v>40.258099999999999</v>
      </c>
      <c r="AX53">
        <v>17.616900000000001</v>
      </c>
      <c r="AY53">
        <v>8138.23</v>
      </c>
      <c r="AZ53">
        <v>6829.21</v>
      </c>
      <c r="BA53">
        <v>7533</v>
      </c>
      <c r="BB53">
        <v>9230</v>
      </c>
      <c r="BC53" t="str">
        <f t="shared" si="0"/>
        <v>u=0%, k=2x10^8</v>
      </c>
      <c r="BD53">
        <f t="shared" si="1"/>
        <v>0</v>
      </c>
    </row>
    <row r="54" spans="1:56">
      <c r="A54" t="s">
        <v>138</v>
      </c>
      <c r="B54" t="s">
        <v>67</v>
      </c>
      <c r="D54" t="s">
        <v>65</v>
      </c>
      <c r="E54" t="s">
        <v>60</v>
      </c>
      <c r="F54" t="s">
        <v>61</v>
      </c>
      <c r="G54">
        <v>30000</v>
      </c>
      <c r="H54">
        <v>0</v>
      </c>
      <c r="I54">
        <v>0</v>
      </c>
      <c r="J54">
        <v>0</v>
      </c>
      <c r="K54">
        <v>1</v>
      </c>
      <c r="L54">
        <v>200000000</v>
      </c>
      <c r="M54">
        <v>96</v>
      </c>
      <c r="N54">
        <v>96</v>
      </c>
      <c r="O54">
        <v>96</v>
      </c>
      <c r="P54">
        <v>0</v>
      </c>
      <c r="Q54" t="s">
        <v>62</v>
      </c>
      <c r="R54">
        <v>9999919674247780</v>
      </c>
      <c r="S54">
        <v>100000000</v>
      </c>
      <c r="T54">
        <v>9999919674247780</v>
      </c>
      <c r="U54">
        <v>100000000</v>
      </c>
      <c r="V54" t="s">
        <v>75</v>
      </c>
      <c r="W54">
        <v>33</v>
      </c>
      <c r="X54">
        <v>57140361</v>
      </c>
      <c r="Y54">
        <v>42859640</v>
      </c>
      <c r="Z54">
        <v>100000001</v>
      </c>
      <c r="AA54">
        <v>100000000</v>
      </c>
      <c r="AB54">
        <v>1.7500800000000001</v>
      </c>
      <c r="AC54">
        <v>2.3332000000000002</v>
      </c>
      <c r="AD54">
        <v>2</v>
      </c>
      <c r="AE54">
        <v>26.0688</v>
      </c>
      <c r="AM54">
        <v>1057125401</v>
      </c>
      <c r="AN54">
        <v>0</v>
      </c>
      <c r="AO54">
        <v>0</v>
      </c>
      <c r="AP54">
        <v>1057125401</v>
      </c>
      <c r="AQ54">
        <v>1057125401</v>
      </c>
      <c r="AR54">
        <v>35237513</v>
      </c>
      <c r="AS54">
        <v>0</v>
      </c>
      <c r="AT54">
        <v>0</v>
      </c>
      <c r="AU54">
        <v>35237513</v>
      </c>
      <c r="AV54">
        <v>35237513</v>
      </c>
      <c r="AW54">
        <v>40.558500000000002</v>
      </c>
      <c r="AX54">
        <v>19.52</v>
      </c>
      <c r="AY54">
        <v>7586.69</v>
      </c>
      <c r="AZ54">
        <v>6182.32</v>
      </c>
      <c r="BA54">
        <v>7548</v>
      </c>
      <c r="BB54">
        <v>4714</v>
      </c>
      <c r="BC54" t="str">
        <f t="shared" si="0"/>
        <v>u=0%, k=2x10^8</v>
      </c>
      <c r="BD54">
        <f t="shared" si="1"/>
        <v>0</v>
      </c>
    </row>
    <row r="55" spans="1:56">
      <c r="A55" t="s">
        <v>139</v>
      </c>
      <c r="B55" t="s">
        <v>67</v>
      </c>
      <c r="D55" t="s">
        <v>65</v>
      </c>
      <c r="E55" t="s">
        <v>60</v>
      </c>
      <c r="F55" t="s">
        <v>61</v>
      </c>
      <c r="G55">
        <v>30000</v>
      </c>
      <c r="H55">
        <v>0</v>
      </c>
      <c r="I55">
        <v>0</v>
      </c>
      <c r="J55">
        <v>0</v>
      </c>
      <c r="K55">
        <v>1</v>
      </c>
      <c r="L55">
        <v>200000000</v>
      </c>
      <c r="M55">
        <v>144</v>
      </c>
      <c r="N55">
        <v>144</v>
      </c>
      <c r="O55">
        <v>144</v>
      </c>
      <c r="P55">
        <v>0</v>
      </c>
      <c r="Q55" t="s">
        <v>62</v>
      </c>
      <c r="R55">
        <v>9999603262924720</v>
      </c>
      <c r="S55">
        <v>100000000</v>
      </c>
      <c r="T55">
        <v>9999603262924720</v>
      </c>
      <c r="U55">
        <v>100000000</v>
      </c>
      <c r="V55" t="s">
        <v>75</v>
      </c>
      <c r="W55">
        <v>33</v>
      </c>
      <c r="X55">
        <v>57144820</v>
      </c>
      <c r="Y55">
        <v>42855181</v>
      </c>
      <c r="Z55">
        <v>100000001</v>
      </c>
      <c r="AA55">
        <v>100000000</v>
      </c>
      <c r="AB55">
        <v>1.7499400000000001</v>
      </c>
      <c r="AC55">
        <v>2.33344</v>
      </c>
      <c r="AD55">
        <v>2</v>
      </c>
      <c r="AE55">
        <v>26.087299999999999</v>
      </c>
      <c r="AM55">
        <v>1601787632</v>
      </c>
      <c r="AN55">
        <v>0</v>
      </c>
      <c r="AO55">
        <v>0</v>
      </c>
      <c r="AP55">
        <v>1601787632</v>
      </c>
      <c r="AQ55">
        <v>1601787632</v>
      </c>
      <c r="AR55">
        <v>53392921</v>
      </c>
      <c r="AS55">
        <v>0</v>
      </c>
      <c r="AT55">
        <v>0</v>
      </c>
      <c r="AU55">
        <v>53392921</v>
      </c>
      <c r="AV55">
        <v>53392921</v>
      </c>
      <c r="AW55">
        <v>40.885899999999999</v>
      </c>
      <c r="AX55">
        <v>19.8733</v>
      </c>
      <c r="AY55">
        <v>7508.65</v>
      </c>
      <c r="AZ55">
        <v>6085.84</v>
      </c>
      <c r="BA55">
        <v>7562</v>
      </c>
      <c r="BB55">
        <v>3106</v>
      </c>
      <c r="BC55" t="str">
        <f t="shared" si="0"/>
        <v>u=0%, k=2x10^8</v>
      </c>
      <c r="BD55">
        <f t="shared" si="1"/>
        <v>0</v>
      </c>
    </row>
    <row r="56" spans="1:56">
      <c r="A56" t="s">
        <v>140</v>
      </c>
      <c r="B56" t="s">
        <v>67</v>
      </c>
      <c r="D56" t="s">
        <v>65</v>
      </c>
      <c r="E56" t="s">
        <v>60</v>
      </c>
      <c r="F56" t="s">
        <v>61</v>
      </c>
      <c r="G56">
        <v>30000</v>
      </c>
      <c r="H56">
        <v>0</v>
      </c>
      <c r="I56">
        <v>0</v>
      </c>
      <c r="J56">
        <v>0</v>
      </c>
      <c r="K56">
        <v>1</v>
      </c>
      <c r="L56">
        <v>200000000</v>
      </c>
      <c r="M56">
        <v>190</v>
      </c>
      <c r="N56">
        <v>190</v>
      </c>
      <c r="O56">
        <v>190</v>
      </c>
      <c r="P56">
        <v>0</v>
      </c>
      <c r="Q56" t="s">
        <v>62</v>
      </c>
      <c r="R56">
        <v>9999289921000340</v>
      </c>
      <c r="S56">
        <v>100000000</v>
      </c>
      <c r="T56">
        <v>9999289921000340</v>
      </c>
      <c r="U56">
        <v>100000000</v>
      </c>
      <c r="V56" t="s">
        <v>75</v>
      </c>
      <c r="W56">
        <v>33</v>
      </c>
      <c r="X56">
        <v>57144999</v>
      </c>
      <c r="Y56">
        <v>42855002</v>
      </c>
      <c r="Z56">
        <v>100000001</v>
      </c>
      <c r="AA56">
        <v>100000000</v>
      </c>
      <c r="AB56">
        <v>1.74993</v>
      </c>
      <c r="AC56">
        <v>2.33345</v>
      </c>
      <c r="AD56">
        <v>2</v>
      </c>
      <c r="AE56">
        <v>26.0702</v>
      </c>
      <c r="AM56">
        <v>2119514333</v>
      </c>
      <c r="AN56">
        <v>0</v>
      </c>
      <c r="AO56">
        <v>0</v>
      </c>
      <c r="AP56">
        <v>2119514333</v>
      </c>
      <c r="AQ56">
        <v>2119514333</v>
      </c>
      <c r="AR56">
        <v>70650477</v>
      </c>
      <c r="AS56">
        <v>0</v>
      </c>
      <c r="AT56">
        <v>0</v>
      </c>
      <c r="AU56">
        <v>70650477</v>
      </c>
      <c r="AV56">
        <v>70650477</v>
      </c>
      <c r="AW56">
        <v>40.808399999999999</v>
      </c>
      <c r="AX56">
        <v>20.084800000000001</v>
      </c>
      <c r="AY56">
        <v>7485.51</v>
      </c>
      <c r="AZ56">
        <v>6055.03</v>
      </c>
      <c r="BA56">
        <v>7577</v>
      </c>
      <c r="BB56">
        <v>2782</v>
      </c>
      <c r="BC56" t="str">
        <f t="shared" si="0"/>
        <v>u=0%, k=2x10^8</v>
      </c>
      <c r="BD56">
        <f t="shared" si="1"/>
        <v>0</v>
      </c>
    </row>
    <row r="57" spans="1:56">
      <c r="A57" t="s">
        <v>141</v>
      </c>
      <c r="B57" t="s">
        <v>68</v>
      </c>
      <c r="D57" t="s">
        <v>65</v>
      </c>
      <c r="E57" t="s">
        <v>60</v>
      </c>
      <c r="F57" t="s">
        <v>61</v>
      </c>
      <c r="G57">
        <v>30000</v>
      </c>
      <c r="H57">
        <v>0</v>
      </c>
      <c r="I57">
        <v>0</v>
      </c>
      <c r="J57">
        <v>0</v>
      </c>
      <c r="K57">
        <v>1</v>
      </c>
      <c r="L57">
        <v>200000000</v>
      </c>
      <c r="M57">
        <v>24</v>
      </c>
      <c r="N57">
        <v>24</v>
      </c>
      <c r="O57">
        <v>24</v>
      </c>
      <c r="P57">
        <v>0</v>
      </c>
      <c r="Q57" t="s">
        <v>62</v>
      </c>
      <c r="R57">
        <v>1.00003869532253E+16</v>
      </c>
      <c r="S57">
        <v>100000000</v>
      </c>
      <c r="T57">
        <v>1.00003869532253E+16</v>
      </c>
      <c r="U57">
        <v>100000000</v>
      </c>
      <c r="V57" t="s">
        <v>75</v>
      </c>
      <c r="W57">
        <v>70</v>
      </c>
      <c r="X57">
        <v>99999999</v>
      </c>
      <c r="Y57">
        <v>100000000</v>
      </c>
      <c r="Z57">
        <v>199999999</v>
      </c>
      <c r="AA57">
        <v>100000000</v>
      </c>
      <c r="AB57">
        <v>2</v>
      </c>
      <c r="AC57">
        <v>1</v>
      </c>
      <c r="AD57">
        <v>1.5</v>
      </c>
      <c r="AE57">
        <v>35.895800000000001</v>
      </c>
      <c r="AM57">
        <v>205547573</v>
      </c>
      <c r="AN57">
        <v>0</v>
      </c>
      <c r="AO57">
        <v>0</v>
      </c>
      <c r="AP57">
        <v>205547573</v>
      </c>
      <c r="AQ57">
        <v>205547573</v>
      </c>
      <c r="AR57">
        <v>6851585</v>
      </c>
      <c r="AS57">
        <v>0</v>
      </c>
      <c r="AT57">
        <v>0</v>
      </c>
      <c r="AU57">
        <v>6851585</v>
      </c>
      <c r="AV57">
        <v>6851585</v>
      </c>
      <c r="AW57">
        <v>37.621200000000002</v>
      </c>
      <c r="AX57">
        <v>16.8934</v>
      </c>
      <c r="AY57">
        <v>9772.41</v>
      </c>
      <c r="AZ57">
        <v>8004.76</v>
      </c>
      <c r="BA57">
        <v>7526</v>
      </c>
      <c r="BB57">
        <v>18994</v>
      </c>
      <c r="BC57" t="str">
        <f t="shared" si="0"/>
        <v>u=0%, k=2x10^8</v>
      </c>
      <c r="BD57">
        <f t="shared" si="1"/>
        <v>0</v>
      </c>
    </row>
    <row r="58" spans="1:56">
      <c r="A58" t="s">
        <v>142</v>
      </c>
      <c r="B58" t="s">
        <v>68</v>
      </c>
      <c r="D58" t="s">
        <v>65</v>
      </c>
      <c r="E58" t="s">
        <v>60</v>
      </c>
      <c r="F58" t="s">
        <v>61</v>
      </c>
      <c r="G58">
        <v>30000</v>
      </c>
      <c r="H58">
        <v>0</v>
      </c>
      <c r="I58">
        <v>0</v>
      </c>
      <c r="J58">
        <v>0</v>
      </c>
      <c r="K58">
        <v>1</v>
      </c>
      <c r="L58">
        <v>200000000</v>
      </c>
      <c r="M58">
        <v>48</v>
      </c>
      <c r="N58">
        <v>48</v>
      </c>
      <c r="O58">
        <v>48</v>
      </c>
      <c r="P58">
        <v>0</v>
      </c>
      <c r="Q58" t="s">
        <v>62</v>
      </c>
      <c r="R58">
        <v>1.00004775720461E+16</v>
      </c>
      <c r="S58">
        <v>100000000</v>
      </c>
      <c r="T58">
        <v>1.00004775720461E+16</v>
      </c>
      <c r="U58">
        <v>100000000</v>
      </c>
      <c r="V58" t="s">
        <v>75</v>
      </c>
      <c r="W58">
        <v>71</v>
      </c>
      <c r="X58">
        <v>99999999</v>
      </c>
      <c r="Y58">
        <v>100000000</v>
      </c>
      <c r="Z58">
        <v>199999999</v>
      </c>
      <c r="AA58">
        <v>100000000</v>
      </c>
      <c r="AB58">
        <v>2</v>
      </c>
      <c r="AC58">
        <v>1</v>
      </c>
      <c r="AD58">
        <v>1.5</v>
      </c>
      <c r="AE58">
        <v>35.975900000000003</v>
      </c>
      <c r="AM58">
        <v>400042794</v>
      </c>
      <c r="AN58">
        <v>0</v>
      </c>
      <c r="AO58">
        <v>0</v>
      </c>
      <c r="AP58">
        <v>400042794</v>
      </c>
      <c r="AQ58">
        <v>400042794</v>
      </c>
      <c r="AR58">
        <v>13334759</v>
      </c>
      <c r="AS58">
        <v>0</v>
      </c>
      <c r="AT58">
        <v>0</v>
      </c>
      <c r="AU58">
        <v>13334759</v>
      </c>
      <c r="AV58">
        <v>13334759</v>
      </c>
      <c r="AW58">
        <v>37.554099999999998</v>
      </c>
      <c r="AX58">
        <v>16.8596</v>
      </c>
      <c r="AY58">
        <v>10040.799999999999</v>
      </c>
      <c r="AZ58">
        <v>8954.81</v>
      </c>
      <c r="BA58">
        <v>7533</v>
      </c>
      <c r="BB58">
        <v>9949</v>
      </c>
      <c r="BC58" t="str">
        <f t="shared" si="0"/>
        <v>u=0%, k=2x10^8</v>
      </c>
      <c r="BD58">
        <f t="shared" si="1"/>
        <v>0</v>
      </c>
    </row>
    <row r="59" spans="1:56">
      <c r="A59" t="s">
        <v>143</v>
      </c>
      <c r="B59" t="s">
        <v>68</v>
      </c>
      <c r="D59" t="s">
        <v>65</v>
      </c>
      <c r="E59" t="s">
        <v>60</v>
      </c>
      <c r="F59" t="s">
        <v>61</v>
      </c>
      <c r="G59">
        <v>30000</v>
      </c>
      <c r="H59">
        <v>0</v>
      </c>
      <c r="I59">
        <v>0</v>
      </c>
      <c r="J59">
        <v>0</v>
      </c>
      <c r="K59">
        <v>1</v>
      </c>
      <c r="L59">
        <v>200000000</v>
      </c>
      <c r="M59">
        <v>96</v>
      </c>
      <c r="N59">
        <v>96</v>
      </c>
      <c r="O59">
        <v>96</v>
      </c>
      <c r="P59">
        <v>0</v>
      </c>
      <c r="Q59" t="s">
        <v>62</v>
      </c>
      <c r="R59">
        <v>1.00000300618316E+16</v>
      </c>
      <c r="S59">
        <v>100000000</v>
      </c>
      <c r="T59">
        <v>1.00000300618316E+16</v>
      </c>
      <c r="U59">
        <v>100000000</v>
      </c>
      <c r="V59" t="s">
        <v>75</v>
      </c>
      <c r="W59">
        <v>73</v>
      </c>
      <c r="X59">
        <v>99999999</v>
      </c>
      <c r="Y59">
        <v>100000000</v>
      </c>
      <c r="Z59">
        <v>199999999</v>
      </c>
      <c r="AA59">
        <v>100000000</v>
      </c>
      <c r="AB59">
        <v>2</v>
      </c>
      <c r="AC59">
        <v>1</v>
      </c>
      <c r="AD59">
        <v>1.5</v>
      </c>
      <c r="AE59">
        <v>36.886000000000003</v>
      </c>
      <c r="AM59">
        <v>874214856</v>
      </c>
      <c r="AN59">
        <v>0</v>
      </c>
      <c r="AO59">
        <v>0</v>
      </c>
      <c r="AP59">
        <v>874214856</v>
      </c>
      <c r="AQ59">
        <v>874214856</v>
      </c>
      <c r="AR59">
        <v>29140495</v>
      </c>
      <c r="AS59">
        <v>0</v>
      </c>
      <c r="AT59">
        <v>0</v>
      </c>
      <c r="AU59">
        <v>29140495</v>
      </c>
      <c r="AV59">
        <v>29140495</v>
      </c>
      <c r="AW59">
        <v>38.1038</v>
      </c>
      <c r="AX59">
        <v>18.737500000000001</v>
      </c>
      <c r="AY59">
        <v>9177.77</v>
      </c>
      <c r="AZ59">
        <v>8030.23</v>
      </c>
      <c r="BA59">
        <v>7547</v>
      </c>
      <c r="BB59">
        <v>4784</v>
      </c>
      <c r="BC59" t="str">
        <f t="shared" si="0"/>
        <v>u=0%, k=2x10^8</v>
      </c>
      <c r="BD59">
        <f t="shared" si="1"/>
        <v>0</v>
      </c>
    </row>
    <row r="60" spans="1:56">
      <c r="A60" t="s">
        <v>144</v>
      </c>
      <c r="B60" t="s">
        <v>68</v>
      </c>
      <c r="D60" t="s">
        <v>65</v>
      </c>
      <c r="E60" t="s">
        <v>60</v>
      </c>
      <c r="F60" t="s">
        <v>61</v>
      </c>
      <c r="G60">
        <v>30000</v>
      </c>
      <c r="H60">
        <v>0</v>
      </c>
      <c r="I60">
        <v>0</v>
      </c>
      <c r="J60">
        <v>0</v>
      </c>
      <c r="K60">
        <v>1</v>
      </c>
      <c r="L60">
        <v>200000000</v>
      </c>
      <c r="M60">
        <v>144</v>
      </c>
      <c r="N60">
        <v>144</v>
      </c>
      <c r="O60">
        <v>144</v>
      </c>
      <c r="P60">
        <v>0</v>
      </c>
      <c r="Q60" t="s">
        <v>62</v>
      </c>
      <c r="R60">
        <v>1.00000366987327E+16</v>
      </c>
      <c r="S60">
        <v>100000000</v>
      </c>
      <c r="T60">
        <v>1.00000366987327E+16</v>
      </c>
      <c r="U60">
        <v>100000000</v>
      </c>
      <c r="V60" t="s">
        <v>75</v>
      </c>
      <c r="W60">
        <v>71</v>
      </c>
      <c r="X60">
        <v>99999999</v>
      </c>
      <c r="Y60">
        <v>100000000</v>
      </c>
      <c r="Z60">
        <v>199999999</v>
      </c>
      <c r="AA60">
        <v>100000000</v>
      </c>
      <c r="AB60">
        <v>2</v>
      </c>
      <c r="AC60">
        <v>1</v>
      </c>
      <c r="AD60">
        <v>1.5</v>
      </c>
      <c r="AE60">
        <v>35.644199999999998</v>
      </c>
      <c r="AM60">
        <v>1340013005</v>
      </c>
      <c r="AN60">
        <v>0</v>
      </c>
      <c r="AO60">
        <v>0</v>
      </c>
      <c r="AP60">
        <v>1340013005</v>
      </c>
      <c r="AQ60">
        <v>1340013005</v>
      </c>
      <c r="AR60">
        <v>44667100</v>
      </c>
      <c r="AS60">
        <v>0</v>
      </c>
      <c r="AT60">
        <v>0</v>
      </c>
      <c r="AU60">
        <v>44667100</v>
      </c>
      <c r="AV60">
        <v>44667100</v>
      </c>
      <c r="AW60">
        <v>38.039900000000003</v>
      </c>
      <c r="AX60">
        <v>19.084399999999999</v>
      </c>
      <c r="AY60">
        <v>8979.41</v>
      </c>
      <c r="AZ60">
        <v>7831.7</v>
      </c>
      <c r="BA60">
        <v>7560</v>
      </c>
      <c r="BB60">
        <v>3151</v>
      </c>
      <c r="BC60" t="str">
        <f t="shared" si="0"/>
        <v>u=0%, k=2x10^8</v>
      </c>
      <c r="BD60">
        <f t="shared" si="1"/>
        <v>0</v>
      </c>
    </row>
    <row r="61" spans="1:56">
      <c r="A61" t="s">
        <v>145</v>
      </c>
      <c r="B61" t="s">
        <v>68</v>
      </c>
      <c r="D61" t="s">
        <v>65</v>
      </c>
      <c r="E61" t="s">
        <v>60</v>
      </c>
      <c r="F61" t="s">
        <v>61</v>
      </c>
      <c r="G61">
        <v>30000</v>
      </c>
      <c r="H61">
        <v>0</v>
      </c>
      <c r="I61">
        <v>0</v>
      </c>
      <c r="J61">
        <v>0</v>
      </c>
      <c r="K61">
        <v>1</v>
      </c>
      <c r="L61">
        <v>200000000</v>
      </c>
      <c r="M61">
        <v>190</v>
      </c>
      <c r="N61">
        <v>190</v>
      </c>
      <c r="O61">
        <v>190</v>
      </c>
      <c r="P61">
        <v>0</v>
      </c>
      <c r="Q61" t="s">
        <v>62</v>
      </c>
      <c r="R61">
        <v>9999424145962780</v>
      </c>
      <c r="S61">
        <v>100000000</v>
      </c>
      <c r="T61">
        <v>9999424145962780</v>
      </c>
      <c r="U61">
        <v>100000000</v>
      </c>
      <c r="V61" t="s">
        <v>75</v>
      </c>
      <c r="W61">
        <v>70</v>
      </c>
      <c r="X61">
        <v>99999999</v>
      </c>
      <c r="Y61">
        <v>100000000</v>
      </c>
      <c r="Z61">
        <v>199999999</v>
      </c>
      <c r="AA61">
        <v>100000000</v>
      </c>
      <c r="AB61">
        <v>2</v>
      </c>
      <c r="AC61">
        <v>1</v>
      </c>
      <c r="AD61">
        <v>1.5</v>
      </c>
      <c r="AE61">
        <v>35.525300000000001</v>
      </c>
      <c r="AM61">
        <v>1790343962</v>
      </c>
      <c r="AN61">
        <v>0</v>
      </c>
      <c r="AO61">
        <v>0</v>
      </c>
      <c r="AP61">
        <v>1790343962</v>
      </c>
      <c r="AQ61">
        <v>1790343962</v>
      </c>
      <c r="AR61">
        <v>59678132</v>
      </c>
      <c r="AS61">
        <v>0</v>
      </c>
      <c r="AT61">
        <v>0</v>
      </c>
      <c r="AU61">
        <v>59678132</v>
      </c>
      <c r="AV61">
        <v>59678132</v>
      </c>
      <c r="AW61">
        <v>38.288699999999999</v>
      </c>
      <c r="AX61">
        <v>19.282800000000002</v>
      </c>
      <c r="AY61">
        <v>8866.42</v>
      </c>
      <c r="AZ61">
        <v>7715.94</v>
      </c>
      <c r="BA61">
        <v>7574</v>
      </c>
      <c r="BB61">
        <v>2838</v>
      </c>
      <c r="BC61" t="str">
        <f t="shared" si="0"/>
        <v>u=0%, k=2x10^8</v>
      </c>
      <c r="BD61">
        <f t="shared" si="1"/>
        <v>0</v>
      </c>
    </row>
    <row r="62" spans="1:56">
      <c r="A62" t="s">
        <v>146</v>
      </c>
      <c r="B62" t="s">
        <v>64</v>
      </c>
      <c r="C62">
        <v>72</v>
      </c>
      <c r="D62" t="s">
        <v>65</v>
      </c>
      <c r="E62" t="s">
        <v>60</v>
      </c>
      <c r="F62" t="s">
        <v>61</v>
      </c>
      <c r="G62">
        <v>30000</v>
      </c>
      <c r="H62">
        <v>0</v>
      </c>
      <c r="I62">
        <v>0</v>
      </c>
      <c r="J62">
        <v>0</v>
      </c>
      <c r="K62">
        <v>1</v>
      </c>
      <c r="L62">
        <v>2000000000</v>
      </c>
      <c r="M62">
        <v>24</v>
      </c>
      <c r="N62">
        <v>24</v>
      </c>
      <c r="O62">
        <v>24</v>
      </c>
      <c r="P62">
        <v>0</v>
      </c>
      <c r="Q62" t="s">
        <v>62</v>
      </c>
      <c r="R62">
        <v>9.9998351557271002E+17</v>
      </c>
      <c r="S62">
        <v>1000000001</v>
      </c>
      <c r="T62">
        <v>9.9998351557271002E+17</v>
      </c>
      <c r="U62">
        <v>1000000001</v>
      </c>
      <c r="V62" t="s">
        <v>75</v>
      </c>
      <c r="W62">
        <v>6</v>
      </c>
      <c r="X62">
        <v>84465035</v>
      </c>
      <c r="Y62">
        <v>1078804517</v>
      </c>
      <c r="Z62">
        <v>1163269552</v>
      </c>
      <c r="AA62">
        <v>1000000001</v>
      </c>
      <c r="AB62">
        <v>13.7722</v>
      </c>
      <c r="AC62">
        <v>0.926952</v>
      </c>
      <c r="AD62">
        <v>1.85965</v>
      </c>
      <c r="AE62">
        <v>4</v>
      </c>
      <c r="AM62">
        <v>557373429</v>
      </c>
      <c r="AN62">
        <v>0</v>
      </c>
      <c r="AO62">
        <v>0</v>
      </c>
      <c r="AP62">
        <v>557373429</v>
      </c>
      <c r="AQ62">
        <v>557373429</v>
      </c>
      <c r="AR62">
        <v>18579114</v>
      </c>
      <c r="AS62">
        <v>0</v>
      </c>
      <c r="AT62">
        <v>0</v>
      </c>
      <c r="AU62">
        <v>18579114</v>
      </c>
      <c r="AV62">
        <v>18579114</v>
      </c>
      <c r="AW62">
        <v>21.8873</v>
      </c>
      <c r="AX62">
        <v>12.793200000000001</v>
      </c>
      <c r="AY62">
        <v>3600</v>
      </c>
      <c r="AZ62">
        <v>2879.69</v>
      </c>
      <c r="BA62">
        <v>59146</v>
      </c>
      <c r="BB62">
        <v>16127</v>
      </c>
      <c r="BC62" t="str">
        <f t="shared" si="0"/>
        <v>u=0%, k=2x10^9</v>
      </c>
      <c r="BD62">
        <f t="shared" si="1"/>
        <v>0</v>
      </c>
    </row>
    <row r="63" spans="1:56">
      <c r="A63" t="s">
        <v>147</v>
      </c>
      <c r="B63" t="s">
        <v>64</v>
      </c>
      <c r="C63">
        <v>72</v>
      </c>
      <c r="D63" t="s">
        <v>65</v>
      </c>
      <c r="E63" t="s">
        <v>60</v>
      </c>
      <c r="F63" t="s">
        <v>61</v>
      </c>
      <c r="G63">
        <v>30000</v>
      </c>
      <c r="H63">
        <v>0</v>
      </c>
      <c r="I63">
        <v>0</v>
      </c>
      <c r="J63">
        <v>0</v>
      </c>
      <c r="K63">
        <v>1</v>
      </c>
      <c r="L63">
        <v>2000000000</v>
      </c>
      <c r="M63">
        <v>48</v>
      </c>
      <c r="N63">
        <v>48</v>
      </c>
      <c r="O63">
        <v>48</v>
      </c>
      <c r="P63">
        <v>0</v>
      </c>
      <c r="Q63" t="s">
        <v>62</v>
      </c>
      <c r="R63">
        <v>1.0000123587202801E+18</v>
      </c>
      <c r="S63">
        <v>1000000001</v>
      </c>
      <c r="T63">
        <v>1.0000123587202801E+18</v>
      </c>
      <c r="U63">
        <v>1000000001</v>
      </c>
      <c r="V63" t="s">
        <v>75</v>
      </c>
      <c r="W63">
        <v>6</v>
      </c>
      <c r="X63">
        <v>84465035</v>
      </c>
      <c r="Y63">
        <v>1078804517</v>
      </c>
      <c r="Z63">
        <v>1163269552</v>
      </c>
      <c r="AA63">
        <v>1000000001</v>
      </c>
      <c r="AB63">
        <v>13.7722</v>
      </c>
      <c r="AC63">
        <v>0.926952</v>
      </c>
      <c r="AD63">
        <v>1.85965</v>
      </c>
      <c r="AE63">
        <v>4</v>
      </c>
      <c r="AM63">
        <v>1022008064</v>
      </c>
      <c r="AN63">
        <v>0</v>
      </c>
      <c r="AO63">
        <v>0</v>
      </c>
      <c r="AP63">
        <v>1022008064</v>
      </c>
      <c r="AQ63">
        <v>1022008064</v>
      </c>
      <c r="AR63">
        <v>34066935</v>
      </c>
      <c r="AS63">
        <v>0</v>
      </c>
      <c r="AT63">
        <v>0</v>
      </c>
      <c r="AU63">
        <v>34066935</v>
      </c>
      <c r="AV63">
        <v>34066935</v>
      </c>
      <c r="AW63">
        <v>21.8155</v>
      </c>
      <c r="AX63">
        <v>12.8103</v>
      </c>
      <c r="AY63">
        <v>3927.12</v>
      </c>
      <c r="AZ63">
        <v>3280.75</v>
      </c>
      <c r="BA63">
        <v>59274</v>
      </c>
      <c r="BB63">
        <v>11568</v>
      </c>
      <c r="BC63" t="str">
        <f t="shared" si="0"/>
        <v>u=0%, k=2x10^9</v>
      </c>
      <c r="BD63">
        <f t="shared" si="1"/>
        <v>0</v>
      </c>
    </row>
    <row r="64" spans="1:56">
      <c r="A64" t="s">
        <v>148</v>
      </c>
      <c r="B64" t="s">
        <v>64</v>
      </c>
      <c r="C64">
        <v>72</v>
      </c>
      <c r="D64" t="s">
        <v>65</v>
      </c>
      <c r="E64" t="s">
        <v>60</v>
      </c>
      <c r="F64" t="s">
        <v>61</v>
      </c>
      <c r="G64">
        <v>30000</v>
      </c>
      <c r="H64">
        <v>0</v>
      </c>
      <c r="I64">
        <v>0</v>
      </c>
      <c r="J64">
        <v>0</v>
      </c>
      <c r="K64">
        <v>1</v>
      </c>
      <c r="L64">
        <v>2000000000</v>
      </c>
      <c r="M64">
        <v>96</v>
      </c>
      <c r="N64">
        <v>96</v>
      </c>
      <c r="O64">
        <v>96</v>
      </c>
      <c r="P64">
        <v>0</v>
      </c>
      <c r="Q64" t="s">
        <v>62</v>
      </c>
      <c r="R64">
        <v>1.00000410051861E+18</v>
      </c>
      <c r="S64">
        <v>1000000001</v>
      </c>
      <c r="T64">
        <v>1.00000410051861E+18</v>
      </c>
      <c r="U64">
        <v>1000000001</v>
      </c>
      <c r="V64" t="s">
        <v>75</v>
      </c>
      <c r="W64">
        <v>6</v>
      </c>
      <c r="X64">
        <v>84465035</v>
      </c>
      <c r="Y64">
        <v>1078804517</v>
      </c>
      <c r="Z64">
        <v>1163269552</v>
      </c>
      <c r="AA64">
        <v>1000000001</v>
      </c>
      <c r="AB64">
        <v>13.7722</v>
      </c>
      <c r="AC64">
        <v>0.926952</v>
      </c>
      <c r="AD64">
        <v>1.85965</v>
      </c>
      <c r="AE64">
        <v>4</v>
      </c>
      <c r="AM64">
        <v>2268005610</v>
      </c>
      <c r="AN64">
        <v>0</v>
      </c>
      <c r="AO64">
        <v>0</v>
      </c>
      <c r="AP64">
        <v>2268005610</v>
      </c>
      <c r="AQ64">
        <v>2268005610</v>
      </c>
      <c r="AR64">
        <v>75600187</v>
      </c>
      <c r="AS64">
        <v>0</v>
      </c>
      <c r="AT64">
        <v>0</v>
      </c>
      <c r="AU64">
        <v>75600187</v>
      </c>
      <c r="AV64">
        <v>75600187</v>
      </c>
      <c r="AW64">
        <v>21.886900000000001</v>
      </c>
      <c r="AX64">
        <v>13.5867</v>
      </c>
      <c r="AY64">
        <v>3536.21</v>
      </c>
      <c r="AZ64">
        <v>2828.55</v>
      </c>
      <c r="BA64">
        <v>59528</v>
      </c>
      <c r="BB64">
        <v>9724</v>
      </c>
      <c r="BC64" t="str">
        <f t="shared" si="0"/>
        <v>u=0%, k=2x10^9</v>
      </c>
      <c r="BD64">
        <f t="shared" si="1"/>
        <v>0</v>
      </c>
    </row>
    <row r="65" spans="1:56">
      <c r="A65" t="s">
        <v>149</v>
      </c>
      <c r="B65" t="s">
        <v>64</v>
      </c>
      <c r="C65">
        <v>72</v>
      </c>
      <c r="D65" t="s">
        <v>65</v>
      </c>
      <c r="E65" t="s">
        <v>60</v>
      </c>
      <c r="F65" t="s">
        <v>61</v>
      </c>
      <c r="G65">
        <v>30000</v>
      </c>
      <c r="H65">
        <v>0</v>
      </c>
      <c r="I65">
        <v>0</v>
      </c>
      <c r="J65">
        <v>0</v>
      </c>
      <c r="K65">
        <v>1</v>
      </c>
      <c r="L65">
        <v>2000000000</v>
      </c>
      <c r="M65">
        <v>144</v>
      </c>
      <c r="N65">
        <v>144</v>
      </c>
      <c r="O65">
        <v>144</v>
      </c>
      <c r="P65">
        <v>0</v>
      </c>
      <c r="Q65" t="s">
        <v>62</v>
      </c>
      <c r="R65">
        <v>9.9999851725141901E+17</v>
      </c>
      <c r="S65">
        <v>1000000001</v>
      </c>
      <c r="T65">
        <v>9.9999851725141901E+17</v>
      </c>
      <c r="U65">
        <v>1000000001</v>
      </c>
      <c r="V65" t="s">
        <v>75</v>
      </c>
      <c r="W65">
        <v>6</v>
      </c>
      <c r="X65">
        <v>84465035</v>
      </c>
      <c r="Y65">
        <v>1078804517</v>
      </c>
      <c r="Z65">
        <v>1163269552</v>
      </c>
      <c r="AA65">
        <v>1000000001</v>
      </c>
      <c r="AB65">
        <v>13.7722</v>
      </c>
      <c r="AC65">
        <v>0.926952</v>
      </c>
      <c r="AD65">
        <v>1.85965</v>
      </c>
      <c r="AE65">
        <v>4</v>
      </c>
      <c r="AM65">
        <v>3413366202</v>
      </c>
      <c r="AN65">
        <v>0</v>
      </c>
      <c r="AO65">
        <v>0</v>
      </c>
      <c r="AP65">
        <v>3413366202</v>
      </c>
      <c r="AQ65">
        <v>3413366202</v>
      </c>
      <c r="AR65">
        <v>113778873</v>
      </c>
      <c r="AS65">
        <v>0</v>
      </c>
      <c r="AT65">
        <v>0</v>
      </c>
      <c r="AU65">
        <v>113778873</v>
      </c>
      <c r="AV65">
        <v>113778873</v>
      </c>
      <c r="AW65">
        <v>21.9072</v>
      </c>
      <c r="AX65">
        <v>13.8339</v>
      </c>
      <c r="AY65">
        <v>3523.57</v>
      </c>
      <c r="AZ65">
        <v>2789.59</v>
      </c>
      <c r="BA65">
        <v>59808</v>
      </c>
      <c r="BB65">
        <v>9188</v>
      </c>
      <c r="BC65" t="str">
        <f t="shared" si="0"/>
        <v>u=0%, k=2x10^9</v>
      </c>
      <c r="BD65">
        <f t="shared" si="1"/>
        <v>0</v>
      </c>
    </row>
    <row r="66" spans="1:56">
      <c r="A66" t="s">
        <v>150</v>
      </c>
      <c r="B66" t="s">
        <v>64</v>
      </c>
      <c r="C66">
        <v>72</v>
      </c>
      <c r="D66" t="s">
        <v>65</v>
      </c>
      <c r="E66" t="s">
        <v>60</v>
      </c>
      <c r="F66" t="s">
        <v>61</v>
      </c>
      <c r="G66">
        <v>30000</v>
      </c>
      <c r="H66">
        <v>0</v>
      </c>
      <c r="I66">
        <v>0</v>
      </c>
      <c r="J66">
        <v>0</v>
      </c>
      <c r="K66">
        <v>1</v>
      </c>
      <c r="L66">
        <v>2000000000</v>
      </c>
      <c r="M66">
        <v>190</v>
      </c>
      <c r="N66">
        <v>190</v>
      </c>
      <c r="O66">
        <v>190</v>
      </c>
      <c r="P66">
        <v>0</v>
      </c>
      <c r="Q66" t="s">
        <v>62</v>
      </c>
      <c r="R66">
        <v>1.00000172124923E+18</v>
      </c>
      <c r="S66">
        <v>1000000001</v>
      </c>
      <c r="T66">
        <v>1.00000172124923E+18</v>
      </c>
      <c r="U66">
        <v>1000000001</v>
      </c>
      <c r="V66" t="s">
        <v>75</v>
      </c>
      <c r="W66">
        <v>6</v>
      </c>
      <c r="X66">
        <v>84465035</v>
      </c>
      <c r="Y66">
        <v>1078804517</v>
      </c>
      <c r="Z66">
        <v>1163269552</v>
      </c>
      <c r="AA66">
        <v>1000000001</v>
      </c>
      <c r="AB66">
        <v>13.7722</v>
      </c>
      <c r="AC66">
        <v>0.926952</v>
      </c>
      <c r="AD66">
        <v>1.85965</v>
      </c>
      <c r="AE66">
        <v>4</v>
      </c>
      <c r="AM66">
        <v>4471263095</v>
      </c>
      <c r="AN66">
        <v>0</v>
      </c>
      <c r="AO66">
        <v>0</v>
      </c>
      <c r="AP66">
        <v>4471263095</v>
      </c>
      <c r="AQ66">
        <v>4471263095</v>
      </c>
      <c r="AR66">
        <v>149042103</v>
      </c>
      <c r="AS66">
        <v>0</v>
      </c>
      <c r="AT66">
        <v>0</v>
      </c>
      <c r="AU66">
        <v>149042103</v>
      </c>
      <c r="AV66">
        <v>149042103</v>
      </c>
      <c r="AW66">
        <v>21.9117</v>
      </c>
      <c r="AX66">
        <v>13.9879</v>
      </c>
      <c r="AY66">
        <v>3549.1</v>
      </c>
      <c r="AZ66">
        <v>2813.51</v>
      </c>
      <c r="BA66">
        <v>59975</v>
      </c>
      <c r="BB66">
        <v>9576</v>
      </c>
      <c r="BC66" t="str">
        <f t="shared" si="0"/>
        <v>u=0%, k=2x10^9</v>
      </c>
      <c r="BD66">
        <f t="shared" si="1"/>
        <v>0</v>
      </c>
    </row>
    <row r="67" spans="1:56">
      <c r="A67" t="s">
        <v>151</v>
      </c>
      <c r="B67" t="s">
        <v>66</v>
      </c>
      <c r="C67">
        <v>208</v>
      </c>
      <c r="D67" t="s">
        <v>65</v>
      </c>
      <c r="E67" t="s">
        <v>60</v>
      </c>
      <c r="F67" t="s">
        <v>61</v>
      </c>
      <c r="G67">
        <v>30000</v>
      </c>
      <c r="H67">
        <v>0</v>
      </c>
      <c r="I67">
        <v>0</v>
      </c>
      <c r="J67">
        <v>0</v>
      </c>
      <c r="K67">
        <v>1</v>
      </c>
      <c r="L67">
        <v>2000000000</v>
      </c>
      <c r="M67">
        <v>24</v>
      </c>
      <c r="N67">
        <v>24</v>
      </c>
      <c r="O67">
        <v>24</v>
      </c>
      <c r="P67">
        <v>0</v>
      </c>
      <c r="Q67" t="s">
        <v>62</v>
      </c>
      <c r="R67">
        <v>9.9998777679128E+17</v>
      </c>
      <c r="S67">
        <v>1000000000</v>
      </c>
      <c r="T67">
        <v>9.9998777679128E+17</v>
      </c>
      <c r="U67">
        <v>1000000000</v>
      </c>
      <c r="V67" t="s">
        <v>75</v>
      </c>
      <c r="W67">
        <v>12</v>
      </c>
      <c r="X67">
        <v>18538690</v>
      </c>
      <c r="Y67">
        <v>127580658</v>
      </c>
      <c r="Z67">
        <v>146119348</v>
      </c>
      <c r="AA67">
        <v>1000000000</v>
      </c>
      <c r="AB67">
        <v>7.8818599999999996</v>
      </c>
      <c r="AC67">
        <v>7.8381800000000004</v>
      </c>
      <c r="AD67">
        <v>7.8437200000000002</v>
      </c>
      <c r="AE67">
        <v>11</v>
      </c>
      <c r="AM67">
        <v>346647313</v>
      </c>
      <c r="AN67">
        <v>0</v>
      </c>
      <c r="AO67">
        <v>0</v>
      </c>
      <c r="AP67">
        <v>346647313</v>
      </c>
      <c r="AQ67">
        <v>346647313</v>
      </c>
      <c r="AR67">
        <v>11554910</v>
      </c>
      <c r="AS67">
        <v>0</v>
      </c>
      <c r="AT67">
        <v>0</v>
      </c>
      <c r="AU67">
        <v>11554910</v>
      </c>
      <c r="AV67">
        <v>11554910</v>
      </c>
      <c r="AW67">
        <v>30.0992</v>
      </c>
      <c r="AX67">
        <v>16.3813</v>
      </c>
      <c r="AY67">
        <v>5794.37</v>
      </c>
      <c r="AZ67">
        <v>4570.1899999999996</v>
      </c>
      <c r="BA67">
        <v>33252</v>
      </c>
      <c r="BB67">
        <v>154598</v>
      </c>
      <c r="BC67" t="str">
        <f t="shared" ref="BC67:BC130" si="2">"u="&amp;(H67+I67)&amp;"%, k=2x10^"&amp;LOG10(L67/2)</f>
        <v>u=0%, k=2x10^9</v>
      </c>
      <c r="BD67">
        <f t="shared" ref="BD67:BD130" si="3">IF(AH67="",0,LEFT(AH67,IF(ISNUMBER(FIND(" ",AH67)),FIND(" ",AH67)-1,LEN(AH67))))</f>
        <v>0</v>
      </c>
    </row>
    <row r="68" spans="1:56">
      <c r="A68" t="s">
        <v>152</v>
      </c>
      <c r="B68" t="s">
        <v>66</v>
      </c>
      <c r="C68">
        <v>208</v>
      </c>
      <c r="D68" t="s">
        <v>65</v>
      </c>
      <c r="E68" t="s">
        <v>60</v>
      </c>
      <c r="F68" t="s">
        <v>61</v>
      </c>
      <c r="G68">
        <v>30000</v>
      </c>
      <c r="H68">
        <v>0</v>
      </c>
      <c r="I68">
        <v>0</v>
      </c>
      <c r="J68">
        <v>0</v>
      </c>
      <c r="K68">
        <v>1</v>
      </c>
      <c r="L68">
        <v>2000000000</v>
      </c>
      <c r="M68">
        <v>48</v>
      </c>
      <c r="N68">
        <v>48</v>
      </c>
      <c r="O68">
        <v>48</v>
      </c>
      <c r="P68">
        <v>0</v>
      </c>
      <c r="Q68" t="s">
        <v>62</v>
      </c>
      <c r="R68">
        <v>1.00002165830162E+18</v>
      </c>
      <c r="S68">
        <v>1000000000</v>
      </c>
      <c r="T68">
        <v>1.00002165830162E+18</v>
      </c>
      <c r="U68">
        <v>1000000000</v>
      </c>
      <c r="V68" t="s">
        <v>75</v>
      </c>
      <c r="W68">
        <v>12</v>
      </c>
      <c r="X68">
        <v>18541023</v>
      </c>
      <c r="Y68">
        <v>127574713</v>
      </c>
      <c r="Z68">
        <v>146115736</v>
      </c>
      <c r="AA68">
        <v>1000000000</v>
      </c>
      <c r="AB68">
        <v>7.8806700000000003</v>
      </c>
      <c r="AC68">
        <v>7.8385400000000001</v>
      </c>
      <c r="AD68">
        <v>7.84389</v>
      </c>
      <c r="AE68">
        <v>11</v>
      </c>
      <c r="AM68">
        <v>656926407</v>
      </c>
      <c r="AN68">
        <v>0</v>
      </c>
      <c r="AO68">
        <v>0</v>
      </c>
      <c r="AP68">
        <v>656926407</v>
      </c>
      <c r="AQ68">
        <v>656926407</v>
      </c>
      <c r="AR68">
        <v>21897546</v>
      </c>
      <c r="AS68">
        <v>0</v>
      </c>
      <c r="AT68">
        <v>0</v>
      </c>
      <c r="AU68">
        <v>21897546</v>
      </c>
      <c r="AV68">
        <v>21897546</v>
      </c>
      <c r="AW68">
        <v>30.145299999999999</v>
      </c>
      <c r="AX68">
        <v>16.401299999999999</v>
      </c>
      <c r="AY68">
        <v>6114</v>
      </c>
      <c r="AZ68">
        <v>5183.0200000000004</v>
      </c>
      <c r="BA68">
        <v>33361</v>
      </c>
      <c r="BB68">
        <v>94619</v>
      </c>
      <c r="BC68" t="str">
        <f t="shared" si="2"/>
        <v>u=0%, k=2x10^9</v>
      </c>
      <c r="BD68">
        <f t="shared" si="3"/>
        <v>0</v>
      </c>
    </row>
    <row r="69" spans="1:56">
      <c r="A69" t="s">
        <v>153</v>
      </c>
      <c r="B69" t="s">
        <v>66</v>
      </c>
      <c r="C69">
        <v>208</v>
      </c>
      <c r="D69" t="s">
        <v>65</v>
      </c>
      <c r="E69" t="s">
        <v>60</v>
      </c>
      <c r="F69" t="s">
        <v>61</v>
      </c>
      <c r="G69">
        <v>30000</v>
      </c>
      <c r="H69">
        <v>0</v>
      </c>
      <c r="I69">
        <v>0</v>
      </c>
      <c r="J69">
        <v>0</v>
      </c>
      <c r="K69">
        <v>1</v>
      </c>
      <c r="L69">
        <v>2000000000</v>
      </c>
      <c r="M69">
        <v>96</v>
      </c>
      <c r="N69">
        <v>96</v>
      </c>
      <c r="O69">
        <v>96</v>
      </c>
      <c r="P69">
        <v>0</v>
      </c>
      <c r="Q69" t="s">
        <v>62</v>
      </c>
      <c r="R69">
        <v>1.00000015095306E+18</v>
      </c>
      <c r="S69">
        <v>1000000000</v>
      </c>
      <c r="T69">
        <v>1.00000015095306E+18</v>
      </c>
      <c r="U69">
        <v>1000000000</v>
      </c>
      <c r="V69" t="s">
        <v>75</v>
      </c>
      <c r="W69">
        <v>12</v>
      </c>
      <c r="X69">
        <v>18541242</v>
      </c>
      <c r="Y69">
        <v>127576027</v>
      </c>
      <c r="Z69">
        <v>146117269</v>
      </c>
      <c r="AA69">
        <v>1000000000</v>
      </c>
      <c r="AB69">
        <v>7.8806599999999998</v>
      </c>
      <c r="AC69">
        <v>7.8384600000000004</v>
      </c>
      <c r="AD69">
        <v>7.84382</v>
      </c>
      <c r="AE69">
        <v>11</v>
      </c>
      <c r="AM69">
        <v>1467510818</v>
      </c>
      <c r="AN69">
        <v>0</v>
      </c>
      <c r="AO69">
        <v>0</v>
      </c>
      <c r="AP69">
        <v>1467510818</v>
      </c>
      <c r="AQ69">
        <v>1467510818</v>
      </c>
      <c r="AR69">
        <v>48917027</v>
      </c>
      <c r="AS69">
        <v>0</v>
      </c>
      <c r="AT69">
        <v>0</v>
      </c>
      <c r="AU69">
        <v>48917027</v>
      </c>
      <c r="AV69">
        <v>48917027</v>
      </c>
      <c r="AW69">
        <v>30.383299999999998</v>
      </c>
      <c r="AX69">
        <v>17.5212</v>
      </c>
      <c r="AY69">
        <v>5464.89</v>
      </c>
      <c r="AZ69">
        <v>4453.16</v>
      </c>
      <c r="BA69">
        <v>33590</v>
      </c>
      <c r="BB69">
        <v>71781</v>
      </c>
      <c r="BC69" t="str">
        <f t="shared" si="2"/>
        <v>u=0%, k=2x10^9</v>
      </c>
      <c r="BD69">
        <f t="shared" si="3"/>
        <v>0</v>
      </c>
    </row>
    <row r="70" spans="1:56">
      <c r="A70" t="s">
        <v>154</v>
      </c>
      <c r="B70" t="s">
        <v>66</v>
      </c>
      <c r="C70">
        <v>208</v>
      </c>
      <c r="D70" t="s">
        <v>65</v>
      </c>
      <c r="E70" t="s">
        <v>60</v>
      </c>
      <c r="F70" t="s">
        <v>61</v>
      </c>
      <c r="G70">
        <v>30000</v>
      </c>
      <c r="H70">
        <v>0</v>
      </c>
      <c r="I70">
        <v>0</v>
      </c>
      <c r="J70">
        <v>0</v>
      </c>
      <c r="K70">
        <v>1</v>
      </c>
      <c r="L70">
        <v>2000000000</v>
      </c>
      <c r="M70">
        <v>144</v>
      </c>
      <c r="N70">
        <v>144</v>
      </c>
      <c r="O70">
        <v>144</v>
      </c>
      <c r="P70">
        <v>0</v>
      </c>
      <c r="Q70" t="s">
        <v>62</v>
      </c>
      <c r="R70">
        <v>9.9997282437626099E+17</v>
      </c>
      <c r="S70">
        <v>1000000000</v>
      </c>
      <c r="T70">
        <v>9.9997282437626099E+17</v>
      </c>
      <c r="U70">
        <v>1000000000</v>
      </c>
      <c r="V70" t="s">
        <v>75</v>
      </c>
      <c r="W70">
        <v>12</v>
      </c>
      <c r="X70">
        <v>18539575</v>
      </c>
      <c r="Y70">
        <v>127577278</v>
      </c>
      <c r="Z70">
        <v>146116853</v>
      </c>
      <c r="AA70">
        <v>1000000000</v>
      </c>
      <c r="AB70">
        <v>7.8813500000000003</v>
      </c>
      <c r="AC70">
        <v>7.8383900000000004</v>
      </c>
      <c r="AD70">
        <v>7.8438400000000001</v>
      </c>
      <c r="AE70">
        <v>11</v>
      </c>
      <c r="AM70">
        <v>2208134353</v>
      </c>
      <c r="AN70">
        <v>0</v>
      </c>
      <c r="AO70">
        <v>0</v>
      </c>
      <c r="AP70">
        <v>2208134353</v>
      </c>
      <c r="AQ70">
        <v>2208134353</v>
      </c>
      <c r="AR70">
        <v>73604478</v>
      </c>
      <c r="AS70">
        <v>0</v>
      </c>
      <c r="AT70">
        <v>0</v>
      </c>
      <c r="AU70">
        <v>73604478</v>
      </c>
      <c r="AV70">
        <v>73604478</v>
      </c>
      <c r="AW70">
        <v>30.489899999999999</v>
      </c>
      <c r="AX70">
        <v>17.726099999999999</v>
      </c>
      <c r="AY70">
        <v>5445.79</v>
      </c>
      <c r="AZ70">
        <v>4422.26</v>
      </c>
      <c r="BA70">
        <v>33804</v>
      </c>
      <c r="BB70">
        <v>64469</v>
      </c>
      <c r="BC70" t="str">
        <f t="shared" si="2"/>
        <v>u=0%, k=2x10^9</v>
      </c>
      <c r="BD70">
        <f t="shared" si="3"/>
        <v>0</v>
      </c>
    </row>
    <row r="71" spans="1:56">
      <c r="A71" t="s">
        <v>155</v>
      </c>
      <c r="B71" t="s">
        <v>66</v>
      </c>
      <c r="C71">
        <v>208</v>
      </c>
      <c r="D71" t="s">
        <v>65</v>
      </c>
      <c r="E71" t="s">
        <v>60</v>
      </c>
      <c r="F71" t="s">
        <v>61</v>
      </c>
      <c r="G71">
        <v>30000</v>
      </c>
      <c r="H71">
        <v>0</v>
      </c>
      <c r="I71">
        <v>0</v>
      </c>
      <c r="J71">
        <v>0</v>
      </c>
      <c r="K71">
        <v>1</v>
      </c>
      <c r="L71">
        <v>2000000000</v>
      </c>
      <c r="M71">
        <v>190</v>
      </c>
      <c r="N71">
        <v>190</v>
      </c>
      <c r="O71">
        <v>190</v>
      </c>
      <c r="P71">
        <v>0</v>
      </c>
      <c r="Q71" t="s">
        <v>62</v>
      </c>
      <c r="R71">
        <v>9.9997731429371699E+17</v>
      </c>
      <c r="S71">
        <v>1000000000</v>
      </c>
      <c r="T71">
        <v>9.9997731429371699E+17</v>
      </c>
      <c r="U71">
        <v>1000000000</v>
      </c>
      <c r="V71" t="s">
        <v>75</v>
      </c>
      <c r="W71">
        <v>11</v>
      </c>
      <c r="X71">
        <v>18539392</v>
      </c>
      <c r="Y71">
        <v>127573142</v>
      </c>
      <c r="Z71">
        <v>146112534</v>
      </c>
      <c r="AA71">
        <v>1000000000</v>
      </c>
      <c r="AB71">
        <v>7.8811900000000001</v>
      </c>
      <c r="AC71">
        <v>7.8386399999999998</v>
      </c>
      <c r="AD71">
        <v>7.8440399999999997</v>
      </c>
      <c r="AE71">
        <v>10</v>
      </c>
      <c r="AM71">
        <v>2929174379</v>
      </c>
      <c r="AN71">
        <v>0</v>
      </c>
      <c r="AO71">
        <v>0</v>
      </c>
      <c r="AP71">
        <v>2929174379</v>
      </c>
      <c r="AQ71">
        <v>2929174379</v>
      </c>
      <c r="AR71">
        <v>97639145</v>
      </c>
      <c r="AS71">
        <v>0</v>
      </c>
      <c r="AT71">
        <v>0</v>
      </c>
      <c r="AU71">
        <v>97639145</v>
      </c>
      <c r="AV71">
        <v>97639145</v>
      </c>
      <c r="AW71">
        <v>30.684999999999999</v>
      </c>
      <c r="AX71">
        <v>17.922799999999999</v>
      </c>
      <c r="AY71">
        <v>5415.35</v>
      </c>
      <c r="AZ71">
        <v>4400.25</v>
      </c>
      <c r="BA71">
        <v>34106</v>
      </c>
      <c r="BB71">
        <v>61437</v>
      </c>
      <c r="BC71" t="str">
        <f t="shared" si="2"/>
        <v>u=0%, k=2x10^9</v>
      </c>
      <c r="BD71">
        <f t="shared" si="3"/>
        <v>0</v>
      </c>
    </row>
    <row r="72" spans="1:56">
      <c r="A72" t="s">
        <v>156</v>
      </c>
      <c r="B72" t="s">
        <v>67</v>
      </c>
      <c r="D72" t="s">
        <v>65</v>
      </c>
      <c r="E72" t="s">
        <v>60</v>
      </c>
      <c r="F72" t="s">
        <v>61</v>
      </c>
      <c r="G72">
        <v>30000</v>
      </c>
      <c r="H72">
        <v>0</v>
      </c>
      <c r="I72">
        <v>0</v>
      </c>
      <c r="J72">
        <v>0</v>
      </c>
      <c r="K72">
        <v>1</v>
      </c>
      <c r="L72">
        <v>2000000000</v>
      </c>
      <c r="M72">
        <v>24</v>
      </c>
      <c r="N72">
        <v>24</v>
      </c>
      <c r="O72">
        <v>24</v>
      </c>
      <c r="P72">
        <v>0</v>
      </c>
      <c r="Q72" t="s">
        <v>62</v>
      </c>
      <c r="R72">
        <v>9.9998704904124506E+17</v>
      </c>
      <c r="S72">
        <v>1000000000</v>
      </c>
      <c r="T72">
        <v>9.9998704904124506E+17</v>
      </c>
      <c r="U72">
        <v>1000000000</v>
      </c>
      <c r="V72" t="s">
        <v>75</v>
      </c>
      <c r="W72">
        <v>37</v>
      </c>
      <c r="X72">
        <v>571425480</v>
      </c>
      <c r="Y72">
        <v>428574521</v>
      </c>
      <c r="Z72">
        <v>1000000001</v>
      </c>
      <c r="AA72">
        <v>1000000000</v>
      </c>
      <c r="AB72">
        <v>1.7500100000000001</v>
      </c>
      <c r="AC72">
        <v>2.3333200000000001</v>
      </c>
      <c r="AD72">
        <v>2</v>
      </c>
      <c r="AE72">
        <v>29.472100000000001</v>
      </c>
      <c r="AM72">
        <v>159924195</v>
      </c>
      <c r="AN72">
        <v>0</v>
      </c>
      <c r="AO72">
        <v>0</v>
      </c>
      <c r="AP72">
        <v>159924195</v>
      </c>
      <c r="AQ72">
        <v>159924195</v>
      </c>
      <c r="AR72">
        <v>5330806</v>
      </c>
      <c r="AS72">
        <v>0</v>
      </c>
      <c r="AT72">
        <v>0</v>
      </c>
      <c r="AU72">
        <v>5330806</v>
      </c>
      <c r="AV72">
        <v>5330806</v>
      </c>
      <c r="AW72">
        <v>53.732300000000002</v>
      </c>
      <c r="AX72">
        <v>28.867100000000001</v>
      </c>
      <c r="AY72">
        <v>12561.5</v>
      </c>
      <c r="AZ72">
        <v>11121</v>
      </c>
      <c r="BA72">
        <v>65644</v>
      </c>
      <c r="BB72">
        <v>272420</v>
      </c>
      <c r="BC72" t="str">
        <f t="shared" si="2"/>
        <v>u=0%, k=2x10^9</v>
      </c>
      <c r="BD72">
        <f t="shared" si="3"/>
        <v>0</v>
      </c>
    </row>
    <row r="73" spans="1:56">
      <c r="A73" t="s">
        <v>157</v>
      </c>
      <c r="B73" t="s">
        <v>67</v>
      </c>
      <c r="D73" t="s">
        <v>65</v>
      </c>
      <c r="E73" t="s">
        <v>60</v>
      </c>
      <c r="F73" t="s">
        <v>61</v>
      </c>
      <c r="G73">
        <v>30000</v>
      </c>
      <c r="H73">
        <v>0</v>
      </c>
      <c r="I73">
        <v>0</v>
      </c>
      <c r="J73">
        <v>0</v>
      </c>
      <c r="K73">
        <v>1</v>
      </c>
      <c r="L73">
        <v>2000000000</v>
      </c>
      <c r="M73">
        <v>48</v>
      </c>
      <c r="N73">
        <v>48</v>
      </c>
      <c r="O73">
        <v>48</v>
      </c>
      <c r="P73">
        <v>0</v>
      </c>
      <c r="Q73" t="s">
        <v>62</v>
      </c>
      <c r="R73">
        <v>1.00001544665493E+18</v>
      </c>
      <c r="S73">
        <v>1000000000</v>
      </c>
      <c r="T73">
        <v>1.00001544665493E+18</v>
      </c>
      <c r="U73">
        <v>1000000000</v>
      </c>
      <c r="V73" t="s">
        <v>75</v>
      </c>
      <c r="W73">
        <v>37</v>
      </c>
      <c r="X73">
        <v>571430371</v>
      </c>
      <c r="Y73">
        <v>428569630</v>
      </c>
      <c r="Z73">
        <v>1000000001</v>
      </c>
      <c r="AA73">
        <v>1000000000</v>
      </c>
      <c r="AB73">
        <v>1.7499899999999999</v>
      </c>
      <c r="AC73">
        <v>2.3333400000000002</v>
      </c>
      <c r="AD73">
        <v>2</v>
      </c>
      <c r="AE73">
        <v>29.469899999999999</v>
      </c>
      <c r="AM73">
        <v>308316134</v>
      </c>
      <c r="AN73">
        <v>0</v>
      </c>
      <c r="AO73">
        <v>0</v>
      </c>
      <c r="AP73">
        <v>308316134</v>
      </c>
      <c r="AQ73">
        <v>308316134</v>
      </c>
      <c r="AR73">
        <v>10277204</v>
      </c>
      <c r="AS73">
        <v>0</v>
      </c>
      <c r="AT73">
        <v>0</v>
      </c>
      <c r="AU73">
        <v>10277204</v>
      </c>
      <c r="AV73">
        <v>10277204</v>
      </c>
      <c r="AW73">
        <v>54.5565</v>
      </c>
      <c r="AX73">
        <v>28.9358</v>
      </c>
      <c r="AY73">
        <v>13028.6</v>
      </c>
      <c r="AZ73">
        <v>11623.2</v>
      </c>
      <c r="BA73">
        <v>65651</v>
      </c>
      <c r="BB73">
        <v>143053</v>
      </c>
      <c r="BC73" t="str">
        <f t="shared" si="2"/>
        <v>u=0%, k=2x10^9</v>
      </c>
      <c r="BD73">
        <f t="shared" si="3"/>
        <v>0</v>
      </c>
    </row>
    <row r="74" spans="1:56">
      <c r="A74" t="s">
        <v>158</v>
      </c>
      <c r="B74" t="s">
        <v>67</v>
      </c>
      <c r="D74" t="s">
        <v>65</v>
      </c>
      <c r="E74" t="s">
        <v>60</v>
      </c>
      <c r="F74" t="s">
        <v>61</v>
      </c>
      <c r="G74">
        <v>30000</v>
      </c>
      <c r="H74">
        <v>0</v>
      </c>
      <c r="I74">
        <v>0</v>
      </c>
      <c r="J74">
        <v>0</v>
      </c>
      <c r="K74">
        <v>1</v>
      </c>
      <c r="L74">
        <v>2000000000</v>
      </c>
      <c r="M74">
        <v>96</v>
      </c>
      <c r="N74">
        <v>96</v>
      </c>
      <c r="O74">
        <v>96</v>
      </c>
      <c r="P74">
        <v>0</v>
      </c>
      <c r="Q74" t="s">
        <v>62</v>
      </c>
      <c r="R74">
        <v>1.0000073865073201E+18</v>
      </c>
      <c r="S74">
        <v>1000000000</v>
      </c>
      <c r="T74">
        <v>1.0000073865073201E+18</v>
      </c>
      <c r="U74">
        <v>1000000000</v>
      </c>
      <c r="V74" t="s">
        <v>75</v>
      </c>
      <c r="W74">
        <v>37</v>
      </c>
      <c r="X74">
        <v>571428232</v>
      </c>
      <c r="Y74">
        <v>428571769</v>
      </c>
      <c r="Z74">
        <v>1000000001</v>
      </c>
      <c r="AA74">
        <v>1000000000</v>
      </c>
      <c r="AB74">
        <v>1.75</v>
      </c>
      <c r="AC74">
        <v>2.3333300000000001</v>
      </c>
      <c r="AD74">
        <v>2</v>
      </c>
      <c r="AE74">
        <v>29.450399999999998</v>
      </c>
      <c r="AM74">
        <v>685356591</v>
      </c>
      <c r="AN74">
        <v>0</v>
      </c>
      <c r="AO74">
        <v>0</v>
      </c>
      <c r="AP74">
        <v>685356591</v>
      </c>
      <c r="AQ74">
        <v>685356591</v>
      </c>
      <c r="AR74">
        <v>22845219</v>
      </c>
      <c r="AS74">
        <v>0</v>
      </c>
      <c r="AT74">
        <v>0</v>
      </c>
      <c r="AU74">
        <v>22845219</v>
      </c>
      <c r="AV74">
        <v>22845219</v>
      </c>
      <c r="AW74">
        <v>54.852899999999998</v>
      </c>
      <c r="AX74">
        <v>31.0884</v>
      </c>
      <c r="AY74">
        <v>11706.7</v>
      </c>
      <c r="AZ74">
        <v>10195.799999999999</v>
      </c>
      <c r="BA74">
        <v>65665</v>
      </c>
      <c r="BB74">
        <v>63602</v>
      </c>
      <c r="BC74" t="str">
        <f t="shared" si="2"/>
        <v>u=0%, k=2x10^9</v>
      </c>
      <c r="BD74">
        <f t="shared" si="3"/>
        <v>0</v>
      </c>
    </row>
    <row r="75" spans="1:56">
      <c r="A75" t="s">
        <v>159</v>
      </c>
      <c r="B75" t="s">
        <v>67</v>
      </c>
      <c r="D75" t="s">
        <v>65</v>
      </c>
      <c r="E75" t="s">
        <v>60</v>
      </c>
      <c r="F75" t="s">
        <v>61</v>
      </c>
      <c r="G75">
        <v>30000</v>
      </c>
      <c r="H75">
        <v>0</v>
      </c>
      <c r="I75">
        <v>0</v>
      </c>
      <c r="J75">
        <v>0</v>
      </c>
      <c r="K75">
        <v>1</v>
      </c>
      <c r="L75">
        <v>2000000000</v>
      </c>
      <c r="M75">
        <v>144</v>
      </c>
      <c r="N75">
        <v>144</v>
      </c>
      <c r="O75">
        <v>144</v>
      </c>
      <c r="P75">
        <v>0</v>
      </c>
      <c r="Q75" t="s">
        <v>62</v>
      </c>
      <c r="R75">
        <v>1.00000459858266E+18</v>
      </c>
      <c r="S75">
        <v>1000000000</v>
      </c>
      <c r="T75">
        <v>1.00000459858266E+18</v>
      </c>
      <c r="U75">
        <v>1000000000</v>
      </c>
      <c r="V75" t="s">
        <v>75</v>
      </c>
      <c r="W75">
        <v>37</v>
      </c>
      <c r="X75">
        <v>571428204</v>
      </c>
      <c r="Y75">
        <v>428571797</v>
      </c>
      <c r="Z75">
        <v>1000000001</v>
      </c>
      <c r="AA75">
        <v>1000000000</v>
      </c>
      <c r="AB75">
        <v>1.75</v>
      </c>
      <c r="AC75">
        <v>2.3333300000000001</v>
      </c>
      <c r="AD75">
        <v>2</v>
      </c>
      <c r="AE75">
        <v>29.409300000000002</v>
      </c>
      <c r="AM75">
        <v>1029800138</v>
      </c>
      <c r="AN75">
        <v>0</v>
      </c>
      <c r="AO75">
        <v>0</v>
      </c>
      <c r="AP75">
        <v>1029800138</v>
      </c>
      <c r="AQ75">
        <v>1029800138</v>
      </c>
      <c r="AR75">
        <v>34326671</v>
      </c>
      <c r="AS75">
        <v>0</v>
      </c>
      <c r="AT75">
        <v>0</v>
      </c>
      <c r="AU75">
        <v>34326671</v>
      </c>
      <c r="AV75">
        <v>34326671</v>
      </c>
      <c r="AW75">
        <v>55.369100000000003</v>
      </c>
      <c r="AX75">
        <v>31.341000000000001</v>
      </c>
      <c r="AY75">
        <v>11684.1</v>
      </c>
      <c r="AZ75">
        <v>10155.700000000001</v>
      </c>
      <c r="BA75">
        <v>65680</v>
      </c>
      <c r="BB75">
        <v>42831</v>
      </c>
      <c r="BC75" t="str">
        <f t="shared" si="2"/>
        <v>u=0%, k=2x10^9</v>
      </c>
      <c r="BD75">
        <f t="shared" si="3"/>
        <v>0</v>
      </c>
    </row>
    <row r="76" spans="1:56">
      <c r="A76" t="s">
        <v>160</v>
      </c>
      <c r="B76" t="s">
        <v>67</v>
      </c>
      <c r="D76" t="s">
        <v>65</v>
      </c>
      <c r="E76" t="s">
        <v>60</v>
      </c>
      <c r="F76" t="s">
        <v>61</v>
      </c>
      <c r="G76">
        <v>30000</v>
      </c>
      <c r="H76">
        <v>0</v>
      </c>
      <c r="I76">
        <v>0</v>
      </c>
      <c r="J76">
        <v>0</v>
      </c>
      <c r="K76">
        <v>1</v>
      </c>
      <c r="L76">
        <v>2000000000</v>
      </c>
      <c r="M76">
        <v>190</v>
      </c>
      <c r="N76">
        <v>190</v>
      </c>
      <c r="O76">
        <v>190</v>
      </c>
      <c r="P76">
        <v>0</v>
      </c>
      <c r="Q76" t="s">
        <v>62</v>
      </c>
      <c r="R76">
        <v>9.9999260060352205E+17</v>
      </c>
      <c r="S76">
        <v>1000000000</v>
      </c>
      <c r="T76">
        <v>9.9999260060352205E+17</v>
      </c>
      <c r="U76">
        <v>1000000000</v>
      </c>
      <c r="V76" t="s">
        <v>75</v>
      </c>
      <c r="W76">
        <v>37</v>
      </c>
      <c r="X76">
        <v>571431938</v>
      </c>
      <c r="Y76">
        <v>428568063</v>
      </c>
      <c r="Z76">
        <v>1000000001</v>
      </c>
      <c r="AA76">
        <v>1000000000</v>
      </c>
      <c r="AB76">
        <v>1.7499899999999999</v>
      </c>
      <c r="AC76">
        <v>2.3333499999999998</v>
      </c>
      <c r="AD76">
        <v>2</v>
      </c>
      <c r="AE76">
        <v>29.469000000000001</v>
      </c>
      <c r="AM76">
        <v>1359951895</v>
      </c>
      <c r="AN76">
        <v>0</v>
      </c>
      <c r="AO76">
        <v>0</v>
      </c>
      <c r="AP76">
        <v>1359951895</v>
      </c>
      <c r="AQ76">
        <v>1359951895</v>
      </c>
      <c r="AR76">
        <v>45331729</v>
      </c>
      <c r="AS76">
        <v>0</v>
      </c>
      <c r="AT76">
        <v>0</v>
      </c>
      <c r="AU76">
        <v>45331729</v>
      </c>
      <c r="AV76">
        <v>45331729</v>
      </c>
      <c r="AW76">
        <v>55.3825</v>
      </c>
      <c r="AX76">
        <v>31.508900000000001</v>
      </c>
      <c r="AY76">
        <v>11673.7</v>
      </c>
      <c r="AZ76">
        <v>10152.9</v>
      </c>
      <c r="BA76">
        <v>65694</v>
      </c>
      <c r="BB76">
        <v>32909</v>
      </c>
      <c r="BC76" t="str">
        <f t="shared" si="2"/>
        <v>u=0%, k=2x10^9</v>
      </c>
      <c r="BD76">
        <f t="shared" si="3"/>
        <v>0</v>
      </c>
    </row>
    <row r="77" spans="1:56">
      <c r="A77" t="s">
        <v>161</v>
      </c>
      <c r="B77" t="s">
        <v>68</v>
      </c>
      <c r="D77" t="s">
        <v>65</v>
      </c>
      <c r="E77" t="s">
        <v>60</v>
      </c>
      <c r="F77" t="s">
        <v>61</v>
      </c>
      <c r="G77">
        <v>30000</v>
      </c>
      <c r="H77">
        <v>0</v>
      </c>
      <c r="I77">
        <v>0</v>
      </c>
      <c r="J77">
        <v>0</v>
      </c>
      <c r="K77">
        <v>1</v>
      </c>
      <c r="L77">
        <v>2000000000</v>
      </c>
      <c r="M77">
        <v>24</v>
      </c>
      <c r="N77">
        <v>24</v>
      </c>
      <c r="O77">
        <v>24</v>
      </c>
      <c r="P77">
        <v>0</v>
      </c>
      <c r="Q77" t="s">
        <v>62</v>
      </c>
      <c r="R77">
        <v>1.00000693757678E+18</v>
      </c>
      <c r="S77">
        <v>1000000000</v>
      </c>
      <c r="T77">
        <v>1.00000693757678E+18</v>
      </c>
      <c r="U77">
        <v>1000000000</v>
      </c>
      <c r="V77" t="s">
        <v>75</v>
      </c>
      <c r="W77">
        <v>80</v>
      </c>
      <c r="X77">
        <v>999999999</v>
      </c>
      <c r="Y77">
        <v>1000000000</v>
      </c>
      <c r="Z77">
        <v>1999999999</v>
      </c>
      <c r="AA77">
        <v>1000000000</v>
      </c>
      <c r="AB77">
        <v>2</v>
      </c>
      <c r="AC77">
        <v>1</v>
      </c>
      <c r="AD77">
        <v>1.5</v>
      </c>
      <c r="AE77">
        <v>41.060099999999998</v>
      </c>
      <c r="AM77">
        <v>129456006</v>
      </c>
      <c r="AN77">
        <v>0</v>
      </c>
      <c r="AO77">
        <v>0</v>
      </c>
      <c r="AP77">
        <v>129456006</v>
      </c>
      <c r="AQ77">
        <v>129456006</v>
      </c>
      <c r="AR77">
        <v>4315200</v>
      </c>
      <c r="AS77">
        <v>0</v>
      </c>
      <c r="AT77">
        <v>0</v>
      </c>
      <c r="AU77">
        <v>4315200</v>
      </c>
      <c r="AV77">
        <v>4315200</v>
      </c>
      <c r="AW77">
        <v>53.186100000000003</v>
      </c>
      <c r="AX77">
        <v>28.6295</v>
      </c>
      <c r="AY77">
        <v>15515.5</v>
      </c>
      <c r="AZ77">
        <v>13410.9</v>
      </c>
      <c r="BA77">
        <v>65644</v>
      </c>
      <c r="BB77">
        <v>299208</v>
      </c>
      <c r="BC77" t="str">
        <f t="shared" si="2"/>
        <v>u=0%, k=2x10^9</v>
      </c>
      <c r="BD77">
        <f t="shared" si="3"/>
        <v>0</v>
      </c>
    </row>
    <row r="78" spans="1:56">
      <c r="A78" t="s">
        <v>162</v>
      </c>
      <c r="B78" t="s">
        <v>68</v>
      </c>
      <c r="D78" t="s">
        <v>65</v>
      </c>
      <c r="E78" t="s">
        <v>60</v>
      </c>
      <c r="F78" t="s">
        <v>61</v>
      </c>
      <c r="G78">
        <v>30000</v>
      </c>
      <c r="H78">
        <v>0</v>
      </c>
      <c r="I78">
        <v>0</v>
      </c>
      <c r="J78">
        <v>0</v>
      </c>
      <c r="K78">
        <v>1</v>
      </c>
      <c r="L78">
        <v>2000000000</v>
      </c>
      <c r="M78">
        <v>48</v>
      </c>
      <c r="N78">
        <v>48</v>
      </c>
      <c r="O78">
        <v>48</v>
      </c>
      <c r="P78">
        <v>0</v>
      </c>
      <c r="Q78" t="s">
        <v>62</v>
      </c>
      <c r="R78">
        <v>1.0000083052199E+18</v>
      </c>
      <c r="S78">
        <v>1000000000</v>
      </c>
      <c r="T78">
        <v>1.0000083052199E+18</v>
      </c>
      <c r="U78">
        <v>1000000000</v>
      </c>
      <c r="V78" t="s">
        <v>75</v>
      </c>
      <c r="W78">
        <v>79</v>
      </c>
      <c r="X78">
        <v>999999999</v>
      </c>
      <c r="Y78">
        <v>1000000000</v>
      </c>
      <c r="Z78">
        <v>1999999999</v>
      </c>
      <c r="AA78">
        <v>1000000000</v>
      </c>
      <c r="AB78">
        <v>2</v>
      </c>
      <c r="AC78">
        <v>1</v>
      </c>
      <c r="AD78">
        <v>1.5</v>
      </c>
      <c r="AE78">
        <v>40.889600000000002</v>
      </c>
      <c r="AM78">
        <v>253203412</v>
      </c>
      <c r="AN78">
        <v>0</v>
      </c>
      <c r="AO78">
        <v>0</v>
      </c>
      <c r="AP78">
        <v>253203412</v>
      </c>
      <c r="AQ78">
        <v>253203412</v>
      </c>
      <c r="AR78">
        <v>8440113</v>
      </c>
      <c r="AS78">
        <v>0</v>
      </c>
      <c r="AT78">
        <v>0</v>
      </c>
      <c r="AU78">
        <v>8440113</v>
      </c>
      <c r="AV78">
        <v>8440113</v>
      </c>
      <c r="AW78">
        <v>53.366300000000003</v>
      </c>
      <c r="AX78">
        <v>28.6236</v>
      </c>
      <c r="AY78">
        <v>15865.2</v>
      </c>
      <c r="AZ78">
        <v>14735.3</v>
      </c>
      <c r="BA78">
        <v>65651</v>
      </c>
      <c r="BB78">
        <v>153564</v>
      </c>
      <c r="BC78" t="str">
        <f t="shared" si="2"/>
        <v>u=0%, k=2x10^9</v>
      </c>
      <c r="BD78">
        <f t="shared" si="3"/>
        <v>0</v>
      </c>
    </row>
    <row r="79" spans="1:56">
      <c r="A79" t="s">
        <v>163</v>
      </c>
      <c r="B79" t="s">
        <v>68</v>
      </c>
      <c r="D79" t="s">
        <v>65</v>
      </c>
      <c r="E79" t="s">
        <v>60</v>
      </c>
      <c r="F79" t="s">
        <v>61</v>
      </c>
      <c r="G79">
        <v>30000</v>
      </c>
      <c r="H79">
        <v>0</v>
      </c>
      <c r="I79">
        <v>0</v>
      </c>
      <c r="J79">
        <v>0</v>
      </c>
      <c r="K79">
        <v>1</v>
      </c>
      <c r="L79">
        <v>2000000000</v>
      </c>
      <c r="M79">
        <v>96</v>
      </c>
      <c r="N79">
        <v>96</v>
      </c>
      <c r="O79">
        <v>96</v>
      </c>
      <c r="P79">
        <v>0</v>
      </c>
      <c r="Q79" t="s">
        <v>62</v>
      </c>
      <c r="R79">
        <v>1.00001618332915E+18</v>
      </c>
      <c r="S79">
        <v>1000000000</v>
      </c>
      <c r="T79">
        <v>1.00001618332915E+18</v>
      </c>
      <c r="U79">
        <v>1000000000</v>
      </c>
      <c r="V79" t="s">
        <v>75</v>
      </c>
      <c r="W79">
        <v>80</v>
      </c>
      <c r="X79">
        <v>999999999</v>
      </c>
      <c r="Y79">
        <v>1000000000</v>
      </c>
      <c r="Z79">
        <v>1999999999</v>
      </c>
      <c r="AA79">
        <v>1000000000</v>
      </c>
      <c r="AB79">
        <v>2</v>
      </c>
      <c r="AC79">
        <v>1</v>
      </c>
      <c r="AD79">
        <v>1.5</v>
      </c>
      <c r="AE79">
        <v>40.555799999999998</v>
      </c>
      <c r="AM79">
        <v>569041707</v>
      </c>
      <c r="AN79">
        <v>0</v>
      </c>
      <c r="AO79">
        <v>0</v>
      </c>
      <c r="AP79">
        <v>569041707</v>
      </c>
      <c r="AQ79">
        <v>569041707</v>
      </c>
      <c r="AR79">
        <v>18968056</v>
      </c>
      <c r="AS79">
        <v>0</v>
      </c>
      <c r="AT79">
        <v>0</v>
      </c>
      <c r="AU79">
        <v>18968056</v>
      </c>
      <c r="AV79">
        <v>18968056</v>
      </c>
      <c r="AW79">
        <v>53.871400000000001</v>
      </c>
      <c r="AX79">
        <v>31.202100000000002</v>
      </c>
      <c r="AY79">
        <v>14102.5</v>
      </c>
      <c r="AZ79">
        <v>12874.3</v>
      </c>
      <c r="BA79">
        <v>65665</v>
      </c>
      <c r="BB79">
        <v>66415</v>
      </c>
      <c r="BC79" t="str">
        <f t="shared" si="2"/>
        <v>u=0%, k=2x10^9</v>
      </c>
      <c r="BD79">
        <f t="shared" si="3"/>
        <v>0</v>
      </c>
    </row>
    <row r="80" spans="1:56">
      <c r="A80" t="s">
        <v>164</v>
      </c>
      <c r="B80" t="s">
        <v>68</v>
      </c>
      <c r="D80" t="s">
        <v>65</v>
      </c>
      <c r="E80" t="s">
        <v>60</v>
      </c>
      <c r="F80" t="s">
        <v>61</v>
      </c>
      <c r="G80">
        <v>30000</v>
      </c>
      <c r="H80">
        <v>0</v>
      </c>
      <c r="I80">
        <v>0</v>
      </c>
      <c r="J80">
        <v>0</v>
      </c>
      <c r="K80">
        <v>1</v>
      </c>
      <c r="L80">
        <v>2000000000</v>
      </c>
      <c r="M80">
        <v>144</v>
      </c>
      <c r="N80">
        <v>144</v>
      </c>
      <c r="O80">
        <v>144</v>
      </c>
      <c r="P80">
        <v>0</v>
      </c>
      <c r="Q80" t="s">
        <v>62</v>
      </c>
      <c r="R80">
        <v>9.9999774375556096E+17</v>
      </c>
      <c r="S80">
        <v>1000000000</v>
      </c>
      <c r="T80">
        <v>9.9999774375556096E+17</v>
      </c>
      <c r="U80">
        <v>1000000000</v>
      </c>
      <c r="V80" t="s">
        <v>75</v>
      </c>
      <c r="W80">
        <v>78</v>
      </c>
      <c r="X80">
        <v>999999999</v>
      </c>
      <c r="Y80">
        <v>1000000000</v>
      </c>
      <c r="Z80">
        <v>1999999999</v>
      </c>
      <c r="AA80">
        <v>1000000000</v>
      </c>
      <c r="AB80">
        <v>2</v>
      </c>
      <c r="AC80">
        <v>1</v>
      </c>
      <c r="AD80">
        <v>1.5</v>
      </c>
      <c r="AE80">
        <v>41.033299999999997</v>
      </c>
      <c r="AM80">
        <v>863801533</v>
      </c>
      <c r="AN80">
        <v>0</v>
      </c>
      <c r="AO80">
        <v>0</v>
      </c>
      <c r="AP80">
        <v>863801533</v>
      </c>
      <c r="AQ80">
        <v>863801533</v>
      </c>
      <c r="AR80">
        <v>28793384</v>
      </c>
      <c r="AS80">
        <v>0</v>
      </c>
      <c r="AT80">
        <v>0</v>
      </c>
      <c r="AU80">
        <v>28793384</v>
      </c>
      <c r="AV80">
        <v>28793384</v>
      </c>
      <c r="AW80">
        <v>53.933300000000003</v>
      </c>
      <c r="AX80">
        <v>31.419799999999999</v>
      </c>
      <c r="AY80">
        <v>13933.2</v>
      </c>
      <c r="AZ80">
        <v>12697.9</v>
      </c>
      <c r="BA80">
        <v>65675</v>
      </c>
      <c r="BB80">
        <v>44133</v>
      </c>
      <c r="BC80" t="str">
        <f t="shared" si="2"/>
        <v>u=0%, k=2x10^9</v>
      </c>
      <c r="BD80">
        <f t="shared" si="3"/>
        <v>0</v>
      </c>
    </row>
    <row r="81" spans="1:56">
      <c r="A81" t="s">
        <v>165</v>
      </c>
      <c r="B81" t="s">
        <v>68</v>
      </c>
      <c r="D81" t="s">
        <v>65</v>
      </c>
      <c r="E81" t="s">
        <v>60</v>
      </c>
      <c r="F81" t="s">
        <v>61</v>
      </c>
      <c r="G81">
        <v>30000</v>
      </c>
      <c r="H81">
        <v>0</v>
      </c>
      <c r="I81">
        <v>0</v>
      </c>
      <c r="J81">
        <v>0</v>
      </c>
      <c r="K81">
        <v>1</v>
      </c>
      <c r="L81">
        <v>2000000000</v>
      </c>
      <c r="M81">
        <v>190</v>
      </c>
      <c r="N81">
        <v>190</v>
      </c>
      <c r="O81">
        <v>190</v>
      </c>
      <c r="P81">
        <v>0</v>
      </c>
      <c r="Q81" t="s">
        <v>62</v>
      </c>
      <c r="R81">
        <v>9.9997028629624998E+17</v>
      </c>
      <c r="S81">
        <v>1000000000</v>
      </c>
      <c r="T81">
        <v>9.9997028629624998E+17</v>
      </c>
      <c r="U81">
        <v>1000000000</v>
      </c>
      <c r="V81" t="s">
        <v>75</v>
      </c>
      <c r="W81">
        <v>86</v>
      </c>
      <c r="X81">
        <v>999999999</v>
      </c>
      <c r="Y81">
        <v>1000000000</v>
      </c>
      <c r="Z81">
        <v>1999999999</v>
      </c>
      <c r="AA81">
        <v>1000000000</v>
      </c>
      <c r="AB81">
        <v>2</v>
      </c>
      <c r="AC81">
        <v>1</v>
      </c>
      <c r="AD81">
        <v>1.5</v>
      </c>
      <c r="AE81">
        <v>39.8611</v>
      </c>
      <c r="AM81">
        <v>1145146095</v>
      </c>
      <c r="AN81">
        <v>0</v>
      </c>
      <c r="AO81">
        <v>0</v>
      </c>
      <c r="AP81">
        <v>1145146095</v>
      </c>
      <c r="AQ81">
        <v>1145146095</v>
      </c>
      <c r="AR81">
        <v>38171536</v>
      </c>
      <c r="AS81">
        <v>0</v>
      </c>
      <c r="AT81">
        <v>0</v>
      </c>
      <c r="AU81">
        <v>38171536</v>
      </c>
      <c r="AV81">
        <v>38171536</v>
      </c>
      <c r="AW81">
        <v>53.984099999999998</v>
      </c>
      <c r="AX81">
        <v>31.550699999999999</v>
      </c>
      <c r="AY81">
        <v>13867.6</v>
      </c>
      <c r="AZ81">
        <v>12623.8</v>
      </c>
      <c r="BA81">
        <v>65693</v>
      </c>
      <c r="BB81">
        <v>33813</v>
      </c>
      <c r="BC81" t="str">
        <f t="shared" si="2"/>
        <v>u=0%, k=2x10^9</v>
      </c>
      <c r="BD81">
        <f t="shared" si="3"/>
        <v>0</v>
      </c>
    </row>
    <row r="82" spans="1:56">
      <c r="A82" t="s">
        <v>166</v>
      </c>
      <c r="B82" t="s">
        <v>64</v>
      </c>
      <c r="C82">
        <v>72</v>
      </c>
      <c r="D82" t="s">
        <v>65</v>
      </c>
      <c r="E82" t="s">
        <v>60</v>
      </c>
      <c r="F82" t="s">
        <v>61</v>
      </c>
      <c r="G82">
        <v>30000</v>
      </c>
      <c r="H82">
        <v>0.5</v>
      </c>
      <c r="I82">
        <v>0.5</v>
      </c>
      <c r="J82">
        <v>0</v>
      </c>
      <c r="K82">
        <v>1</v>
      </c>
      <c r="L82">
        <v>2000000</v>
      </c>
      <c r="M82">
        <v>24</v>
      </c>
      <c r="N82">
        <v>24</v>
      </c>
      <c r="O82">
        <v>24</v>
      </c>
      <c r="P82">
        <v>0</v>
      </c>
      <c r="Q82" t="s">
        <v>62</v>
      </c>
      <c r="R82">
        <v>1000726584208</v>
      </c>
      <c r="S82">
        <v>1000549</v>
      </c>
      <c r="T82">
        <v>1000726584208</v>
      </c>
      <c r="U82">
        <v>1000549</v>
      </c>
      <c r="V82" t="s">
        <v>75</v>
      </c>
      <c r="W82">
        <v>6</v>
      </c>
      <c r="X82">
        <v>40706</v>
      </c>
      <c r="Y82">
        <v>1047874</v>
      </c>
      <c r="Z82">
        <v>1088580</v>
      </c>
      <c r="AA82">
        <v>1000549</v>
      </c>
      <c r="AB82">
        <v>26.7425</v>
      </c>
      <c r="AC82">
        <v>0.95483700000000005</v>
      </c>
      <c r="AD82">
        <v>1.91913</v>
      </c>
      <c r="AE82">
        <v>3.01552</v>
      </c>
      <c r="AM82">
        <v>2380068456</v>
      </c>
      <c r="AN82">
        <v>0</v>
      </c>
      <c r="AO82">
        <v>24042979</v>
      </c>
      <c r="AP82">
        <v>2380068456</v>
      </c>
      <c r="AQ82">
        <v>2404111435</v>
      </c>
      <c r="AR82">
        <v>79335615</v>
      </c>
      <c r="AS82">
        <v>0</v>
      </c>
      <c r="AT82">
        <v>801432</v>
      </c>
      <c r="AU82">
        <v>79335615</v>
      </c>
      <c r="AV82">
        <v>80137047</v>
      </c>
      <c r="AW82">
        <v>8.5526999999999997</v>
      </c>
      <c r="AX82">
        <v>9.5569899999999999E-2</v>
      </c>
      <c r="AY82">
        <v>834.73599999999999</v>
      </c>
      <c r="AZ82">
        <v>272.59399999999999</v>
      </c>
      <c r="BA82">
        <v>1185</v>
      </c>
      <c r="BB82">
        <v>27</v>
      </c>
      <c r="BC82" t="str">
        <f t="shared" si="2"/>
        <v>u=1%, k=2x10^6</v>
      </c>
      <c r="BD82">
        <f t="shared" si="3"/>
        <v>0</v>
      </c>
    </row>
    <row r="83" spans="1:56">
      <c r="A83" t="s">
        <v>167</v>
      </c>
      <c r="B83" t="s">
        <v>64</v>
      </c>
      <c r="C83">
        <v>72</v>
      </c>
      <c r="D83" t="s">
        <v>65</v>
      </c>
      <c r="E83" t="s">
        <v>60</v>
      </c>
      <c r="F83" t="s">
        <v>61</v>
      </c>
      <c r="G83">
        <v>30000</v>
      </c>
      <c r="H83">
        <v>0.5</v>
      </c>
      <c r="I83">
        <v>0.5</v>
      </c>
      <c r="J83">
        <v>0</v>
      </c>
      <c r="K83">
        <v>1</v>
      </c>
      <c r="L83">
        <v>2000000</v>
      </c>
      <c r="M83">
        <v>48</v>
      </c>
      <c r="N83">
        <v>48</v>
      </c>
      <c r="O83">
        <v>48</v>
      </c>
      <c r="P83">
        <v>0</v>
      </c>
      <c r="Q83" t="s">
        <v>62</v>
      </c>
      <c r="R83">
        <v>1001799408793</v>
      </c>
      <c r="S83">
        <v>1001039</v>
      </c>
      <c r="T83">
        <v>1001799408793</v>
      </c>
      <c r="U83">
        <v>1001039</v>
      </c>
      <c r="V83" t="s">
        <v>75</v>
      </c>
      <c r="W83">
        <v>6</v>
      </c>
      <c r="X83">
        <v>82089</v>
      </c>
      <c r="Y83">
        <v>1135409</v>
      </c>
      <c r="Z83">
        <v>1217498</v>
      </c>
      <c r="AA83">
        <v>1001039</v>
      </c>
      <c r="AB83">
        <v>14.8314</v>
      </c>
      <c r="AC83">
        <v>0.88165499999999997</v>
      </c>
      <c r="AD83">
        <v>1.8222100000000001</v>
      </c>
      <c r="AE83">
        <v>3.1068199999999999</v>
      </c>
      <c r="AM83">
        <v>3644466005</v>
      </c>
      <c r="AN83">
        <v>0</v>
      </c>
      <c r="AO83">
        <v>36808784</v>
      </c>
      <c r="AP83">
        <v>3644466005</v>
      </c>
      <c r="AQ83">
        <v>3681274789</v>
      </c>
      <c r="AR83">
        <v>121482200</v>
      </c>
      <c r="AS83">
        <v>0</v>
      </c>
      <c r="AT83">
        <v>1226959</v>
      </c>
      <c r="AU83">
        <v>121482200</v>
      </c>
      <c r="AV83">
        <v>122709159</v>
      </c>
      <c r="AW83">
        <v>8.4267800000000008</v>
      </c>
      <c r="AX83">
        <v>0.110855</v>
      </c>
      <c r="AY83">
        <v>1083.52</v>
      </c>
      <c r="AZ83">
        <v>392.50900000000001</v>
      </c>
      <c r="BA83">
        <v>1214</v>
      </c>
      <c r="BB83">
        <v>31</v>
      </c>
      <c r="BC83" t="str">
        <f t="shared" si="2"/>
        <v>u=1%, k=2x10^6</v>
      </c>
      <c r="BD83">
        <f t="shared" si="3"/>
        <v>0</v>
      </c>
    </row>
    <row r="84" spans="1:56">
      <c r="A84" t="s">
        <v>168</v>
      </c>
      <c r="B84" t="s">
        <v>64</v>
      </c>
      <c r="C84">
        <v>72</v>
      </c>
      <c r="D84" t="s">
        <v>65</v>
      </c>
      <c r="E84" t="s">
        <v>60</v>
      </c>
      <c r="F84" t="s">
        <v>61</v>
      </c>
      <c r="G84">
        <v>30000</v>
      </c>
      <c r="H84">
        <v>0.5</v>
      </c>
      <c r="I84">
        <v>0.5</v>
      </c>
      <c r="J84">
        <v>0</v>
      </c>
      <c r="K84">
        <v>1</v>
      </c>
      <c r="L84">
        <v>2000000</v>
      </c>
      <c r="M84">
        <v>96</v>
      </c>
      <c r="N84">
        <v>96</v>
      </c>
      <c r="O84">
        <v>96</v>
      </c>
      <c r="P84">
        <v>0</v>
      </c>
      <c r="Q84" t="s">
        <v>62</v>
      </c>
      <c r="R84">
        <v>1000976932761</v>
      </c>
      <c r="S84">
        <v>1000544</v>
      </c>
      <c r="T84">
        <v>1000976932761</v>
      </c>
      <c r="U84">
        <v>1000544</v>
      </c>
      <c r="V84" t="s">
        <v>75</v>
      </c>
      <c r="W84">
        <v>6</v>
      </c>
      <c r="X84">
        <v>57489</v>
      </c>
      <c r="Y84">
        <v>1083058</v>
      </c>
      <c r="Z84">
        <v>1140547</v>
      </c>
      <c r="AA84">
        <v>1000544</v>
      </c>
      <c r="AB84">
        <v>19.839400000000001</v>
      </c>
      <c r="AC84">
        <v>0.92381400000000002</v>
      </c>
      <c r="AD84">
        <v>1.8772500000000001</v>
      </c>
      <c r="AE84">
        <v>3.0521600000000002</v>
      </c>
      <c r="AM84">
        <v>6658507942</v>
      </c>
      <c r="AN84">
        <v>0</v>
      </c>
      <c r="AO84">
        <v>67247303</v>
      </c>
      <c r="AP84">
        <v>6658507942</v>
      </c>
      <c r="AQ84">
        <v>6725755245</v>
      </c>
      <c r="AR84">
        <v>221950264</v>
      </c>
      <c r="AS84">
        <v>0</v>
      </c>
      <c r="AT84">
        <v>2241576</v>
      </c>
      <c r="AU84">
        <v>221950264</v>
      </c>
      <c r="AV84">
        <v>224191841</v>
      </c>
      <c r="AW84">
        <v>8.5029900000000005</v>
      </c>
      <c r="AX84">
        <v>0.24979899999999999</v>
      </c>
      <c r="AY84">
        <v>1186.67</v>
      </c>
      <c r="AZ84">
        <v>455.29</v>
      </c>
      <c r="BA84">
        <v>1273</v>
      </c>
      <c r="BB84">
        <v>131</v>
      </c>
      <c r="BC84" t="str">
        <f t="shared" si="2"/>
        <v>u=1%, k=2x10^6</v>
      </c>
      <c r="BD84">
        <f t="shared" si="3"/>
        <v>0</v>
      </c>
    </row>
    <row r="85" spans="1:56">
      <c r="A85" t="s">
        <v>169</v>
      </c>
      <c r="B85" t="s">
        <v>64</v>
      </c>
      <c r="C85">
        <v>72</v>
      </c>
      <c r="D85" t="s">
        <v>65</v>
      </c>
      <c r="E85" t="s">
        <v>60</v>
      </c>
      <c r="F85" t="s">
        <v>61</v>
      </c>
      <c r="G85">
        <v>30000</v>
      </c>
      <c r="H85">
        <v>0.5</v>
      </c>
      <c r="I85">
        <v>0.5</v>
      </c>
      <c r="J85">
        <v>0</v>
      </c>
      <c r="K85">
        <v>1</v>
      </c>
      <c r="L85">
        <v>2000000</v>
      </c>
      <c r="M85">
        <v>144</v>
      </c>
      <c r="N85">
        <v>144</v>
      </c>
      <c r="O85">
        <v>144</v>
      </c>
      <c r="P85">
        <v>0</v>
      </c>
      <c r="Q85" t="s">
        <v>62</v>
      </c>
      <c r="R85">
        <v>999174391955</v>
      </c>
      <c r="S85">
        <v>999722</v>
      </c>
      <c r="T85">
        <v>999174391955</v>
      </c>
      <c r="U85">
        <v>999722</v>
      </c>
      <c r="V85" t="s">
        <v>75</v>
      </c>
      <c r="W85">
        <v>6</v>
      </c>
      <c r="X85">
        <v>51754</v>
      </c>
      <c r="Y85">
        <v>1069449</v>
      </c>
      <c r="Z85">
        <v>1121203</v>
      </c>
      <c r="AA85">
        <v>999722</v>
      </c>
      <c r="AB85">
        <v>21.664100000000001</v>
      </c>
      <c r="AC85">
        <v>0.93480099999999999</v>
      </c>
      <c r="AD85">
        <v>1.8916500000000001</v>
      </c>
      <c r="AE85">
        <v>3.0388799999999998</v>
      </c>
      <c r="AM85">
        <v>9525995868</v>
      </c>
      <c r="AN85">
        <v>0</v>
      </c>
      <c r="AO85">
        <v>96229760</v>
      </c>
      <c r="AP85">
        <v>9525995868</v>
      </c>
      <c r="AQ85">
        <v>9622225628</v>
      </c>
      <c r="AR85">
        <v>317533195</v>
      </c>
      <c r="AS85">
        <v>0</v>
      </c>
      <c r="AT85">
        <v>3207658</v>
      </c>
      <c r="AU85">
        <v>317533195</v>
      </c>
      <c r="AV85">
        <v>320740854</v>
      </c>
      <c r="AW85">
        <v>8.6281700000000008</v>
      </c>
      <c r="AX85">
        <v>0.36267700000000003</v>
      </c>
      <c r="AY85">
        <v>1235.0999999999999</v>
      </c>
      <c r="AZ85">
        <v>502.798</v>
      </c>
      <c r="BA85">
        <v>1346</v>
      </c>
      <c r="BB85">
        <v>110</v>
      </c>
      <c r="BC85" t="str">
        <f t="shared" si="2"/>
        <v>u=1%, k=2x10^6</v>
      </c>
      <c r="BD85">
        <f t="shared" si="3"/>
        <v>0</v>
      </c>
    </row>
    <row r="86" spans="1:56">
      <c r="A86" t="s">
        <v>170</v>
      </c>
      <c r="B86" t="s">
        <v>64</v>
      </c>
      <c r="C86">
        <v>72</v>
      </c>
      <c r="D86" t="s">
        <v>65</v>
      </c>
      <c r="E86" t="s">
        <v>60</v>
      </c>
      <c r="F86" t="s">
        <v>61</v>
      </c>
      <c r="G86">
        <v>30000</v>
      </c>
      <c r="H86">
        <v>0.5</v>
      </c>
      <c r="I86">
        <v>0.5</v>
      </c>
      <c r="J86">
        <v>0</v>
      </c>
      <c r="K86">
        <v>1</v>
      </c>
      <c r="L86">
        <v>2000000</v>
      </c>
      <c r="M86">
        <v>190</v>
      </c>
      <c r="N86">
        <v>190</v>
      </c>
      <c r="O86">
        <v>190</v>
      </c>
      <c r="P86">
        <v>0</v>
      </c>
      <c r="Q86" t="s">
        <v>62</v>
      </c>
      <c r="R86">
        <v>999835045740</v>
      </c>
      <c r="S86">
        <v>999287</v>
      </c>
      <c r="T86">
        <v>999835045740</v>
      </c>
      <c r="U86">
        <v>999287</v>
      </c>
      <c r="V86" t="s">
        <v>75</v>
      </c>
      <c r="W86">
        <v>6</v>
      </c>
      <c r="X86">
        <v>53635</v>
      </c>
      <c r="Y86">
        <v>1073091</v>
      </c>
      <c r="Z86">
        <v>1126726</v>
      </c>
      <c r="AA86">
        <v>999287</v>
      </c>
      <c r="AB86">
        <v>21.007300000000001</v>
      </c>
      <c r="AC86">
        <v>0.93122300000000002</v>
      </c>
      <c r="AD86">
        <v>1.88689</v>
      </c>
      <c r="AE86">
        <v>3.0430299999999999</v>
      </c>
      <c r="AM86">
        <v>12439252863</v>
      </c>
      <c r="AN86">
        <v>0</v>
      </c>
      <c r="AO86">
        <v>125636628</v>
      </c>
      <c r="AP86">
        <v>12439252863</v>
      </c>
      <c r="AQ86">
        <v>12564889491</v>
      </c>
      <c r="AR86">
        <v>414641762</v>
      </c>
      <c r="AS86">
        <v>0</v>
      </c>
      <c r="AT86">
        <v>4187887</v>
      </c>
      <c r="AU86">
        <v>414641762</v>
      </c>
      <c r="AV86">
        <v>418829649</v>
      </c>
      <c r="AW86">
        <v>8.6910299999999996</v>
      </c>
      <c r="AX86">
        <v>0.41849999999999998</v>
      </c>
      <c r="AY86">
        <v>1244.21</v>
      </c>
      <c r="AZ86">
        <v>507.77499999999998</v>
      </c>
      <c r="BA86">
        <v>1417</v>
      </c>
      <c r="BB86">
        <v>319</v>
      </c>
      <c r="BC86" t="str">
        <f t="shared" si="2"/>
        <v>u=1%, k=2x10^6</v>
      </c>
      <c r="BD86">
        <f t="shared" si="3"/>
        <v>0</v>
      </c>
    </row>
    <row r="87" spans="1:56">
      <c r="A87" t="s">
        <v>171</v>
      </c>
      <c r="B87" t="s">
        <v>66</v>
      </c>
      <c r="C87">
        <v>208</v>
      </c>
      <c r="D87" t="s">
        <v>65</v>
      </c>
      <c r="E87" t="s">
        <v>60</v>
      </c>
      <c r="F87" t="s">
        <v>61</v>
      </c>
      <c r="G87">
        <v>30000</v>
      </c>
      <c r="H87">
        <v>0.5</v>
      </c>
      <c r="I87">
        <v>0.5</v>
      </c>
      <c r="J87">
        <v>0</v>
      </c>
      <c r="K87">
        <v>1</v>
      </c>
      <c r="L87">
        <v>2000000</v>
      </c>
      <c r="M87">
        <v>24</v>
      </c>
      <c r="N87">
        <v>24</v>
      </c>
      <c r="O87">
        <v>24</v>
      </c>
      <c r="P87">
        <v>0</v>
      </c>
      <c r="Q87" t="s">
        <v>62</v>
      </c>
      <c r="R87">
        <v>998879820301</v>
      </c>
      <c r="S87">
        <v>998753</v>
      </c>
      <c r="T87">
        <v>998879820301</v>
      </c>
      <c r="U87">
        <v>998753</v>
      </c>
      <c r="V87" t="s">
        <v>75</v>
      </c>
      <c r="W87">
        <v>8</v>
      </c>
      <c r="X87">
        <v>27830</v>
      </c>
      <c r="Y87">
        <v>188688</v>
      </c>
      <c r="Z87">
        <v>216518</v>
      </c>
      <c r="AA87">
        <v>998753</v>
      </c>
      <c r="AB87">
        <v>7.7800200000000004</v>
      </c>
      <c r="AC87">
        <v>5.2931499999999998</v>
      </c>
      <c r="AD87">
        <v>5.6127900000000004</v>
      </c>
      <c r="AE87">
        <v>7</v>
      </c>
      <c r="AM87">
        <v>1769049281</v>
      </c>
      <c r="AN87">
        <v>0</v>
      </c>
      <c r="AO87">
        <v>17866173</v>
      </c>
      <c r="AP87">
        <v>1769049281</v>
      </c>
      <c r="AQ87">
        <v>1786915454</v>
      </c>
      <c r="AR87">
        <v>58968309</v>
      </c>
      <c r="AS87">
        <v>0</v>
      </c>
      <c r="AT87">
        <v>595539</v>
      </c>
      <c r="AU87">
        <v>58968309</v>
      </c>
      <c r="AV87">
        <v>59563848</v>
      </c>
      <c r="AW87">
        <v>9.5006000000000004</v>
      </c>
      <c r="AX87">
        <v>0.72934699999999997</v>
      </c>
      <c r="AY87">
        <v>1123.76</v>
      </c>
      <c r="AZ87">
        <v>323.15199999999999</v>
      </c>
      <c r="BA87">
        <v>1117</v>
      </c>
      <c r="BB87">
        <v>157</v>
      </c>
      <c r="BC87" t="str">
        <f t="shared" si="2"/>
        <v>u=1%, k=2x10^6</v>
      </c>
      <c r="BD87">
        <f t="shared" si="3"/>
        <v>0</v>
      </c>
    </row>
    <row r="88" spans="1:56">
      <c r="A88" t="s">
        <v>172</v>
      </c>
      <c r="B88" t="s">
        <v>66</v>
      </c>
      <c r="C88">
        <v>208</v>
      </c>
      <c r="D88" t="s">
        <v>65</v>
      </c>
      <c r="E88" t="s">
        <v>60</v>
      </c>
      <c r="F88" t="s">
        <v>61</v>
      </c>
      <c r="G88">
        <v>30000</v>
      </c>
      <c r="H88">
        <v>0.5</v>
      </c>
      <c r="I88">
        <v>0.5</v>
      </c>
      <c r="J88">
        <v>0</v>
      </c>
      <c r="K88">
        <v>1</v>
      </c>
      <c r="L88">
        <v>2000000</v>
      </c>
      <c r="M88">
        <v>48</v>
      </c>
      <c r="N88">
        <v>48</v>
      </c>
      <c r="O88">
        <v>48</v>
      </c>
      <c r="P88">
        <v>0</v>
      </c>
      <c r="Q88" t="s">
        <v>62</v>
      </c>
      <c r="R88">
        <v>999854339139</v>
      </c>
      <c r="S88">
        <v>999828</v>
      </c>
      <c r="T88">
        <v>999854339139</v>
      </c>
      <c r="U88">
        <v>999828</v>
      </c>
      <c r="V88" t="s">
        <v>75</v>
      </c>
      <c r="W88">
        <v>8</v>
      </c>
      <c r="X88">
        <v>29142</v>
      </c>
      <c r="Y88">
        <v>193736</v>
      </c>
      <c r="Z88">
        <v>222878</v>
      </c>
      <c r="AA88">
        <v>999828</v>
      </c>
      <c r="AB88">
        <v>7.6479999999999997</v>
      </c>
      <c r="AC88">
        <v>5.1607799999999999</v>
      </c>
      <c r="AD88">
        <v>5.4859900000000001</v>
      </c>
      <c r="AE88">
        <v>7</v>
      </c>
      <c r="AM88">
        <v>2811702907</v>
      </c>
      <c r="AN88">
        <v>0</v>
      </c>
      <c r="AO88">
        <v>28406782</v>
      </c>
      <c r="AP88">
        <v>2811702907</v>
      </c>
      <c r="AQ88">
        <v>2840109689</v>
      </c>
      <c r="AR88">
        <v>93723430</v>
      </c>
      <c r="AS88">
        <v>0</v>
      </c>
      <c r="AT88">
        <v>946892</v>
      </c>
      <c r="AU88">
        <v>93723430</v>
      </c>
      <c r="AV88">
        <v>94670322</v>
      </c>
      <c r="AW88">
        <v>9.5830400000000004</v>
      </c>
      <c r="AX88">
        <v>0.81215999999999999</v>
      </c>
      <c r="AY88">
        <v>1383.87</v>
      </c>
      <c r="AZ88">
        <v>544.27200000000005</v>
      </c>
      <c r="BA88">
        <v>1128</v>
      </c>
      <c r="BB88">
        <v>199</v>
      </c>
      <c r="BC88" t="str">
        <f t="shared" si="2"/>
        <v>u=1%, k=2x10^6</v>
      </c>
      <c r="BD88">
        <f t="shared" si="3"/>
        <v>0</v>
      </c>
    </row>
    <row r="89" spans="1:56">
      <c r="A89" t="s">
        <v>173</v>
      </c>
      <c r="B89" t="s">
        <v>66</v>
      </c>
      <c r="C89">
        <v>208</v>
      </c>
      <c r="D89" t="s">
        <v>65</v>
      </c>
      <c r="E89" t="s">
        <v>60</v>
      </c>
      <c r="F89" t="s">
        <v>61</v>
      </c>
      <c r="G89">
        <v>30000</v>
      </c>
      <c r="H89">
        <v>0.5</v>
      </c>
      <c r="I89">
        <v>0.5</v>
      </c>
      <c r="J89">
        <v>0</v>
      </c>
      <c r="K89">
        <v>1</v>
      </c>
      <c r="L89">
        <v>2000000</v>
      </c>
      <c r="M89">
        <v>96</v>
      </c>
      <c r="N89">
        <v>96</v>
      </c>
      <c r="O89">
        <v>96</v>
      </c>
      <c r="P89">
        <v>0</v>
      </c>
      <c r="Q89" t="s">
        <v>62</v>
      </c>
      <c r="R89">
        <v>1000969847941</v>
      </c>
      <c r="S89">
        <v>1000641</v>
      </c>
      <c r="T89">
        <v>1000969847941</v>
      </c>
      <c r="U89">
        <v>1000641</v>
      </c>
      <c r="V89" t="s">
        <v>75</v>
      </c>
      <c r="W89">
        <v>8</v>
      </c>
      <c r="X89">
        <v>30905</v>
      </c>
      <c r="Y89">
        <v>196773</v>
      </c>
      <c r="Z89">
        <v>227678</v>
      </c>
      <c r="AA89">
        <v>1000641</v>
      </c>
      <c r="AB89">
        <v>7.3670299999999997</v>
      </c>
      <c r="AC89">
        <v>5.0852599999999999</v>
      </c>
      <c r="AD89">
        <v>5.3949800000000003</v>
      </c>
      <c r="AE89">
        <v>7</v>
      </c>
      <c r="AM89">
        <v>5528778411</v>
      </c>
      <c r="AN89">
        <v>0</v>
      </c>
      <c r="AO89">
        <v>55846906</v>
      </c>
      <c r="AP89">
        <v>5528778411</v>
      </c>
      <c r="AQ89">
        <v>5584625317</v>
      </c>
      <c r="AR89">
        <v>184292613</v>
      </c>
      <c r="AS89">
        <v>0</v>
      </c>
      <c r="AT89">
        <v>1861563</v>
      </c>
      <c r="AU89">
        <v>184292613</v>
      </c>
      <c r="AV89">
        <v>186154177</v>
      </c>
      <c r="AW89">
        <v>9.8916900000000005</v>
      </c>
      <c r="AX89">
        <v>1.1133500000000001</v>
      </c>
      <c r="AY89">
        <v>1398.55</v>
      </c>
      <c r="AZ89">
        <v>529.55100000000004</v>
      </c>
      <c r="BA89">
        <v>1146</v>
      </c>
      <c r="BB89">
        <v>315</v>
      </c>
      <c r="BC89" t="str">
        <f t="shared" si="2"/>
        <v>u=1%, k=2x10^6</v>
      </c>
      <c r="BD89">
        <f t="shared" si="3"/>
        <v>0</v>
      </c>
    </row>
    <row r="90" spans="1:56">
      <c r="A90" t="s">
        <v>174</v>
      </c>
      <c r="B90" t="s">
        <v>66</v>
      </c>
      <c r="C90">
        <v>208</v>
      </c>
      <c r="D90" t="s">
        <v>65</v>
      </c>
      <c r="E90" t="s">
        <v>60</v>
      </c>
      <c r="F90" t="s">
        <v>61</v>
      </c>
      <c r="G90">
        <v>30000</v>
      </c>
      <c r="H90">
        <v>0.5</v>
      </c>
      <c r="I90">
        <v>0.5</v>
      </c>
      <c r="J90">
        <v>0</v>
      </c>
      <c r="K90">
        <v>1</v>
      </c>
      <c r="L90">
        <v>2000000</v>
      </c>
      <c r="M90">
        <v>144</v>
      </c>
      <c r="N90">
        <v>144</v>
      </c>
      <c r="O90">
        <v>144</v>
      </c>
      <c r="P90">
        <v>0</v>
      </c>
      <c r="Q90" t="s">
        <v>62</v>
      </c>
      <c r="R90">
        <v>1000388051199</v>
      </c>
      <c r="S90">
        <v>1000352</v>
      </c>
      <c r="T90">
        <v>1000388051199</v>
      </c>
      <c r="U90">
        <v>1000352</v>
      </c>
      <c r="V90" t="s">
        <v>75</v>
      </c>
      <c r="W90">
        <v>8</v>
      </c>
      <c r="X90">
        <v>31678</v>
      </c>
      <c r="Y90">
        <v>196198</v>
      </c>
      <c r="Z90">
        <v>227876</v>
      </c>
      <c r="AA90">
        <v>1000352</v>
      </c>
      <c r="AB90">
        <v>7.1935099999999998</v>
      </c>
      <c r="AC90">
        <v>5.0986900000000004</v>
      </c>
      <c r="AD90">
        <v>5.3898999999999999</v>
      </c>
      <c r="AE90">
        <v>7</v>
      </c>
      <c r="AM90">
        <v>8067760117</v>
      </c>
      <c r="AN90">
        <v>0</v>
      </c>
      <c r="AO90">
        <v>81483010</v>
      </c>
      <c r="AP90">
        <v>8067760117</v>
      </c>
      <c r="AQ90">
        <v>8149243127</v>
      </c>
      <c r="AR90">
        <v>268925337</v>
      </c>
      <c r="AS90">
        <v>0</v>
      </c>
      <c r="AT90">
        <v>2716100</v>
      </c>
      <c r="AU90">
        <v>268925337</v>
      </c>
      <c r="AV90">
        <v>271641437</v>
      </c>
      <c r="AW90">
        <v>10.011900000000001</v>
      </c>
      <c r="AX90">
        <v>1.2357</v>
      </c>
      <c r="AY90">
        <v>1420.35</v>
      </c>
      <c r="AZ90">
        <v>531.88</v>
      </c>
      <c r="BA90">
        <v>1157</v>
      </c>
      <c r="BB90">
        <v>250</v>
      </c>
      <c r="BC90" t="str">
        <f t="shared" si="2"/>
        <v>u=1%, k=2x10^6</v>
      </c>
      <c r="BD90">
        <f t="shared" si="3"/>
        <v>0</v>
      </c>
    </row>
    <row r="91" spans="1:56">
      <c r="A91" t="s">
        <v>175</v>
      </c>
      <c r="B91" t="s">
        <v>66</v>
      </c>
      <c r="C91">
        <v>208</v>
      </c>
      <c r="D91" t="s">
        <v>65</v>
      </c>
      <c r="E91" t="s">
        <v>60</v>
      </c>
      <c r="F91" t="s">
        <v>61</v>
      </c>
      <c r="G91">
        <v>30000</v>
      </c>
      <c r="H91">
        <v>0.5</v>
      </c>
      <c r="I91">
        <v>0.5</v>
      </c>
      <c r="J91">
        <v>0</v>
      </c>
      <c r="K91">
        <v>1</v>
      </c>
      <c r="L91">
        <v>2000000</v>
      </c>
      <c r="M91">
        <v>190</v>
      </c>
      <c r="N91">
        <v>190</v>
      </c>
      <c r="O91">
        <v>190</v>
      </c>
      <c r="P91">
        <v>0</v>
      </c>
      <c r="Q91" t="s">
        <v>62</v>
      </c>
      <c r="R91">
        <v>1001110241457</v>
      </c>
      <c r="S91">
        <v>1000866</v>
      </c>
      <c r="T91">
        <v>1001110241457</v>
      </c>
      <c r="U91">
        <v>1000866</v>
      </c>
      <c r="V91" t="s">
        <v>75</v>
      </c>
      <c r="W91">
        <v>8</v>
      </c>
      <c r="X91">
        <v>32336</v>
      </c>
      <c r="Y91">
        <v>196009</v>
      </c>
      <c r="Z91">
        <v>228345</v>
      </c>
      <c r="AA91">
        <v>1000866</v>
      </c>
      <c r="AB91">
        <v>7.0616300000000001</v>
      </c>
      <c r="AC91">
        <v>5.1062200000000004</v>
      </c>
      <c r="AD91">
        <v>5.3831300000000004</v>
      </c>
      <c r="AE91">
        <v>7</v>
      </c>
      <c r="AM91">
        <v>10519837112</v>
      </c>
      <c r="AN91">
        <v>0</v>
      </c>
      <c r="AO91">
        <v>106246208</v>
      </c>
      <c r="AP91">
        <v>10519837112</v>
      </c>
      <c r="AQ91">
        <v>10626083320</v>
      </c>
      <c r="AR91">
        <v>350661237</v>
      </c>
      <c r="AS91">
        <v>0</v>
      </c>
      <c r="AT91">
        <v>3541540</v>
      </c>
      <c r="AU91">
        <v>350661237</v>
      </c>
      <c r="AV91">
        <v>354202777</v>
      </c>
      <c r="AW91">
        <v>10.353300000000001</v>
      </c>
      <c r="AX91">
        <v>1.3069299999999999</v>
      </c>
      <c r="AY91">
        <v>1441.78</v>
      </c>
      <c r="AZ91">
        <v>548.06899999999996</v>
      </c>
      <c r="BA91">
        <v>1177</v>
      </c>
      <c r="BB91">
        <v>309</v>
      </c>
      <c r="BC91" t="str">
        <f t="shared" si="2"/>
        <v>u=1%, k=2x10^6</v>
      </c>
      <c r="BD91">
        <f t="shared" si="3"/>
        <v>0</v>
      </c>
    </row>
    <row r="92" spans="1:56">
      <c r="A92" t="s">
        <v>176</v>
      </c>
      <c r="B92" t="s">
        <v>67</v>
      </c>
      <c r="D92" t="s">
        <v>65</v>
      </c>
      <c r="E92" t="s">
        <v>60</v>
      </c>
      <c r="F92" t="s">
        <v>61</v>
      </c>
      <c r="G92">
        <v>30000</v>
      </c>
      <c r="H92">
        <v>0.5</v>
      </c>
      <c r="I92">
        <v>0.5</v>
      </c>
      <c r="J92">
        <v>0</v>
      </c>
      <c r="K92">
        <v>1</v>
      </c>
      <c r="L92">
        <v>2000000</v>
      </c>
      <c r="M92">
        <v>24</v>
      </c>
      <c r="N92">
        <v>24</v>
      </c>
      <c r="O92">
        <v>24</v>
      </c>
      <c r="P92">
        <v>0</v>
      </c>
      <c r="Q92" t="s">
        <v>62</v>
      </c>
      <c r="R92">
        <v>1000038873601</v>
      </c>
      <c r="S92">
        <v>1000100</v>
      </c>
      <c r="T92">
        <v>1000038873601</v>
      </c>
      <c r="U92">
        <v>1000100</v>
      </c>
      <c r="V92" t="s">
        <v>75</v>
      </c>
      <c r="W92">
        <v>25</v>
      </c>
      <c r="X92">
        <v>684471</v>
      </c>
      <c r="Y92">
        <v>518898</v>
      </c>
      <c r="Z92">
        <v>1203369</v>
      </c>
      <c r="AA92">
        <v>1000100</v>
      </c>
      <c r="AB92">
        <v>1.7581</v>
      </c>
      <c r="AC92">
        <v>1.9273499999999999</v>
      </c>
      <c r="AD92">
        <v>1.83108</v>
      </c>
      <c r="AE92">
        <v>19.851900000000001</v>
      </c>
      <c r="AM92">
        <v>867451519</v>
      </c>
      <c r="AN92">
        <v>0</v>
      </c>
      <c r="AO92">
        <v>8761388</v>
      </c>
      <c r="AP92">
        <v>867451519</v>
      </c>
      <c r="AQ92">
        <v>876212907</v>
      </c>
      <c r="AR92">
        <v>28915050</v>
      </c>
      <c r="AS92">
        <v>0</v>
      </c>
      <c r="AT92">
        <v>292046</v>
      </c>
      <c r="AU92">
        <v>28915050</v>
      </c>
      <c r="AV92">
        <v>29207096</v>
      </c>
      <c r="AW92">
        <v>15.3466</v>
      </c>
      <c r="AX92">
        <v>2.27535</v>
      </c>
      <c r="AY92">
        <v>2292.14</v>
      </c>
      <c r="AZ92">
        <v>1241.8699999999999</v>
      </c>
      <c r="BA92">
        <v>1146</v>
      </c>
      <c r="BB92">
        <v>198</v>
      </c>
      <c r="BC92" t="str">
        <f t="shared" si="2"/>
        <v>u=1%, k=2x10^6</v>
      </c>
      <c r="BD92">
        <f t="shared" si="3"/>
        <v>0</v>
      </c>
    </row>
    <row r="93" spans="1:56">
      <c r="A93" t="s">
        <v>177</v>
      </c>
      <c r="B93" t="s">
        <v>67</v>
      </c>
      <c r="D93" t="s">
        <v>65</v>
      </c>
      <c r="E93" t="s">
        <v>60</v>
      </c>
      <c r="F93" t="s">
        <v>61</v>
      </c>
      <c r="G93">
        <v>30000</v>
      </c>
      <c r="H93">
        <v>0.5</v>
      </c>
      <c r="I93">
        <v>0.5</v>
      </c>
      <c r="J93">
        <v>0</v>
      </c>
      <c r="K93">
        <v>1</v>
      </c>
      <c r="L93">
        <v>2000000</v>
      </c>
      <c r="M93">
        <v>48</v>
      </c>
      <c r="N93">
        <v>48</v>
      </c>
      <c r="O93">
        <v>48</v>
      </c>
      <c r="P93">
        <v>0</v>
      </c>
      <c r="Q93" t="s">
        <v>62</v>
      </c>
      <c r="R93">
        <v>1000297848569</v>
      </c>
      <c r="S93">
        <v>1000440</v>
      </c>
      <c r="T93">
        <v>1000297848569</v>
      </c>
      <c r="U93">
        <v>1000440</v>
      </c>
      <c r="V93" t="s">
        <v>75</v>
      </c>
      <c r="W93">
        <v>25</v>
      </c>
      <c r="X93">
        <v>685710</v>
      </c>
      <c r="Y93">
        <v>520740</v>
      </c>
      <c r="Z93">
        <v>1206450</v>
      </c>
      <c r="AA93">
        <v>1000440</v>
      </c>
      <c r="AB93">
        <v>1.75942</v>
      </c>
      <c r="AC93">
        <v>1.92119</v>
      </c>
      <c r="AD93">
        <v>1.82924</v>
      </c>
      <c r="AE93">
        <v>19.879899999999999</v>
      </c>
      <c r="AM93">
        <v>1497207785</v>
      </c>
      <c r="AN93">
        <v>0</v>
      </c>
      <c r="AO93">
        <v>15126960</v>
      </c>
      <c r="AP93">
        <v>1497207785</v>
      </c>
      <c r="AQ93">
        <v>1512334745</v>
      </c>
      <c r="AR93">
        <v>49906926</v>
      </c>
      <c r="AS93">
        <v>0</v>
      </c>
      <c r="AT93">
        <v>504232</v>
      </c>
      <c r="AU93">
        <v>49906926</v>
      </c>
      <c r="AV93">
        <v>50411158</v>
      </c>
      <c r="AW93">
        <v>16.488600000000002</v>
      </c>
      <c r="AX93">
        <v>2.3826399999999999</v>
      </c>
      <c r="AY93">
        <v>2640.77</v>
      </c>
      <c r="AZ93">
        <v>1457.25</v>
      </c>
      <c r="BA93">
        <v>1151</v>
      </c>
      <c r="BB93">
        <v>232</v>
      </c>
      <c r="BC93" t="str">
        <f t="shared" si="2"/>
        <v>u=1%, k=2x10^6</v>
      </c>
      <c r="BD93">
        <f t="shared" si="3"/>
        <v>0</v>
      </c>
    </row>
    <row r="94" spans="1:56">
      <c r="A94" t="s">
        <v>178</v>
      </c>
      <c r="B94" t="s">
        <v>67</v>
      </c>
      <c r="D94" t="s">
        <v>65</v>
      </c>
      <c r="E94" t="s">
        <v>60</v>
      </c>
      <c r="F94" t="s">
        <v>61</v>
      </c>
      <c r="G94">
        <v>30000</v>
      </c>
      <c r="H94">
        <v>0.5</v>
      </c>
      <c r="I94">
        <v>0.5</v>
      </c>
      <c r="J94">
        <v>0</v>
      </c>
      <c r="K94">
        <v>1</v>
      </c>
      <c r="L94">
        <v>2000000</v>
      </c>
      <c r="M94">
        <v>96</v>
      </c>
      <c r="N94">
        <v>96</v>
      </c>
      <c r="O94">
        <v>96</v>
      </c>
      <c r="P94">
        <v>0</v>
      </c>
      <c r="Q94" t="s">
        <v>62</v>
      </c>
      <c r="R94">
        <v>999311853599</v>
      </c>
      <c r="S94">
        <v>998950</v>
      </c>
      <c r="T94">
        <v>999311853599</v>
      </c>
      <c r="U94">
        <v>998950</v>
      </c>
      <c r="V94" t="s">
        <v>75</v>
      </c>
      <c r="W94">
        <v>25</v>
      </c>
      <c r="X94">
        <v>685318</v>
      </c>
      <c r="Y94">
        <v>519550</v>
      </c>
      <c r="Z94">
        <v>1204868</v>
      </c>
      <c r="AA94">
        <v>998950</v>
      </c>
      <c r="AB94">
        <v>1.7581199999999999</v>
      </c>
      <c r="AC94">
        <v>1.92272</v>
      </c>
      <c r="AD94">
        <v>1.8290900000000001</v>
      </c>
      <c r="AE94">
        <v>19.831099999999999</v>
      </c>
      <c r="AM94">
        <v>3159598834</v>
      </c>
      <c r="AN94">
        <v>0</v>
      </c>
      <c r="AO94">
        <v>31918343</v>
      </c>
      <c r="AP94">
        <v>3159598834</v>
      </c>
      <c r="AQ94">
        <v>3191517177</v>
      </c>
      <c r="AR94">
        <v>105319961</v>
      </c>
      <c r="AS94">
        <v>0</v>
      </c>
      <c r="AT94">
        <v>1063944</v>
      </c>
      <c r="AU94">
        <v>105319961</v>
      </c>
      <c r="AV94">
        <v>106383905</v>
      </c>
      <c r="AW94">
        <v>16.750599999999999</v>
      </c>
      <c r="AX94">
        <v>2.76139</v>
      </c>
      <c r="AY94">
        <v>2502.2600000000002</v>
      </c>
      <c r="AZ94">
        <v>1288.3599999999999</v>
      </c>
      <c r="BA94">
        <v>1166</v>
      </c>
      <c r="BB94">
        <v>348</v>
      </c>
      <c r="BC94" t="str">
        <f t="shared" si="2"/>
        <v>u=1%, k=2x10^6</v>
      </c>
      <c r="BD94">
        <f t="shared" si="3"/>
        <v>0</v>
      </c>
    </row>
    <row r="95" spans="1:56">
      <c r="A95" t="s">
        <v>179</v>
      </c>
      <c r="B95" t="s">
        <v>67</v>
      </c>
      <c r="D95" t="s">
        <v>65</v>
      </c>
      <c r="E95" t="s">
        <v>60</v>
      </c>
      <c r="F95" t="s">
        <v>61</v>
      </c>
      <c r="G95">
        <v>30000</v>
      </c>
      <c r="H95">
        <v>0.5</v>
      </c>
      <c r="I95">
        <v>0.5</v>
      </c>
      <c r="J95">
        <v>0</v>
      </c>
      <c r="K95">
        <v>1</v>
      </c>
      <c r="L95">
        <v>2000000</v>
      </c>
      <c r="M95">
        <v>144</v>
      </c>
      <c r="N95">
        <v>144</v>
      </c>
      <c r="O95">
        <v>144</v>
      </c>
      <c r="P95">
        <v>0</v>
      </c>
      <c r="Q95" t="s">
        <v>62</v>
      </c>
      <c r="R95">
        <v>1001970514691</v>
      </c>
      <c r="S95">
        <v>1001605</v>
      </c>
      <c r="T95">
        <v>1001970514691</v>
      </c>
      <c r="U95">
        <v>1001605</v>
      </c>
      <c r="V95" t="s">
        <v>75</v>
      </c>
      <c r="W95">
        <v>25</v>
      </c>
      <c r="X95">
        <v>686722</v>
      </c>
      <c r="Y95">
        <v>520967</v>
      </c>
      <c r="Z95">
        <v>1207689</v>
      </c>
      <c r="AA95">
        <v>1001605</v>
      </c>
      <c r="AB95">
        <v>1.7586299999999999</v>
      </c>
      <c r="AC95">
        <v>1.92259</v>
      </c>
      <c r="AD95">
        <v>1.8293600000000001</v>
      </c>
      <c r="AE95">
        <v>19.903700000000001</v>
      </c>
      <c r="AM95">
        <v>4673015441</v>
      </c>
      <c r="AN95">
        <v>0</v>
      </c>
      <c r="AO95">
        <v>47196669</v>
      </c>
      <c r="AP95">
        <v>4673015441</v>
      </c>
      <c r="AQ95">
        <v>4720212110</v>
      </c>
      <c r="AR95">
        <v>155767181</v>
      </c>
      <c r="AS95">
        <v>0</v>
      </c>
      <c r="AT95">
        <v>1573222</v>
      </c>
      <c r="AU95">
        <v>155767181</v>
      </c>
      <c r="AV95">
        <v>157340403</v>
      </c>
      <c r="AW95">
        <v>16.767600000000002</v>
      </c>
      <c r="AX95">
        <v>2.84321</v>
      </c>
      <c r="AY95">
        <v>2507.0100000000002</v>
      </c>
      <c r="AZ95">
        <v>1278.4100000000001</v>
      </c>
      <c r="BA95">
        <v>1175</v>
      </c>
      <c r="BB95">
        <v>273</v>
      </c>
      <c r="BC95" t="str">
        <f t="shared" si="2"/>
        <v>u=1%, k=2x10^6</v>
      </c>
      <c r="BD95">
        <f t="shared" si="3"/>
        <v>0</v>
      </c>
    </row>
    <row r="96" spans="1:56">
      <c r="A96" t="s">
        <v>180</v>
      </c>
      <c r="B96" t="s">
        <v>67</v>
      </c>
      <c r="D96" t="s">
        <v>65</v>
      </c>
      <c r="E96" t="s">
        <v>60</v>
      </c>
      <c r="F96" t="s">
        <v>61</v>
      </c>
      <c r="G96">
        <v>30000</v>
      </c>
      <c r="H96">
        <v>0.5</v>
      </c>
      <c r="I96">
        <v>0.5</v>
      </c>
      <c r="J96">
        <v>0</v>
      </c>
      <c r="K96">
        <v>1</v>
      </c>
      <c r="L96">
        <v>2000000</v>
      </c>
      <c r="M96">
        <v>190</v>
      </c>
      <c r="N96">
        <v>190</v>
      </c>
      <c r="O96">
        <v>190</v>
      </c>
      <c r="P96">
        <v>0</v>
      </c>
      <c r="Q96" t="s">
        <v>62</v>
      </c>
      <c r="R96">
        <v>999758115254</v>
      </c>
      <c r="S96">
        <v>1000266</v>
      </c>
      <c r="T96">
        <v>999758115254</v>
      </c>
      <c r="U96">
        <v>1000266</v>
      </c>
      <c r="V96" t="s">
        <v>75</v>
      </c>
      <c r="W96">
        <v>25</v>
      </c>
      <c r="X96">
        <v>685698</v>
      </c>
      <c r="Y96">
        <v>520296</v>
      </c>
      <c r="Z96">
        <v>1205994</v>
      </c>
      <c r="AA96">
        <v>1000266</v>
      </c>
      <c r="AB96">
        <v>1.75878</v>
      </c>
      <c r="AC96">
        <v>1.92249</v>
      </c>
      <c r="AD96">
        <v>1.82941</v>
      </c>
      <c r="AE96">
        <v>19.833400000000001</v>
      </c>
      <c r="AM96">
        <v>6152556688</v>
      </c>
      <c r="AN96">
        <v>0</v>
      </c>
      <c r="AO96">
        <v>62148485</v>
      </c>
      <c r="AP96">
        <v>6152556688</v>
      </c>
      <c r="AQ96">
        <v>6214705173</v>
      </c>
      <c r="AR96">
        <v>205085222</v>
      </c>
      <c r="AS96">
        <v>0</v>
      </c>
      <c r="AT96">
        <v>2071616</v>
      </c>
      <c r="AU96">
        <v>205085222</v>
      </c>
      <c r="AV96">
        <v>207156839</v>
      </c>
      <c r="AW96">
        <v>16.8871</v>
      </c>
      <c r="AX96">
        <v>2.9023400000000001</v>
      </c>
      <c r="AY96">
        <v>2506.23</v>
      </c>
      <c r="AZ96">
        <v>1264.71</v>
      </c>
      <c r="BA96">
        <v>1188</v>
      </c>
      <c r="BB96">
        <v>378</v>
      </c>
      <c r="BC96" t="str">
        <f t="shared" si="2"/>
        <v>u=1%, k=2x10^6</v>
      </c>
      <c r="BD96">
        <f t="shared" si="3"/>
        <v>0</v>
      </c>
    </row>
    <row r="97" spans="1:56">
      <c r="A97" t="s">
        <v>181</v>
      </c>
      <c r="B97" t="s">
        <v>68</v>
      </c>
      <c r="D97" t="s">
        <v>65</v>
      </c>
      <c r="E97" t="s">
        <v>60</v>
      </c>
      <c r="F97" t="s">
        <v>61</v>
      </c>
      <c r="G97">
        <v>30000</v>
      </c>
      <c r="H97">
        <v>0.5</v>
      </c>
      <c r="I97">
        <v>0.5</v>
      </c>
      <c r="J97">
        <v>0</v>
      </c>
      <c r="K97">
        <v>1</v>
      </c>
      <c r="L97">
        <v>2000000</v>
      </c>
      <c r="M97">
        <v>24</v>
      </c>
      <c r="N97">
        <v>24</v>
      </c>
      <c r="O97">
        <v>24</v>
      </c>
      <c r="P97">
        <v>0</v>
      </c>
      <c r="Q97" t="s">
        <v>62</v>
      </c>
      <c r="R97">
        <v>1000648127575</v>
      </c>
      <c r="S97">
        <v>1001012</v>
      </c>
      <c r="T97">
        <v>1000648127575</v>
      </c>
      <c r="U97">
        <v>1001012</v>
      </c>
      <c r="V97" t="s">
        <v>75</v>
      </c>
      <c r="W97">
        <v>50</v>
      </c>
      <c r="X97">
        <v>1001011</v>
      </c>
      <c r="Y97">
        <v>1001012</v>
      </c>
      <c r="Z97">
        <v>2002023</v>
      </c>
      <c r="AA97">
        <v>1001012</v>
      </c>
      <c r="AB97">
        <v>2</v>
      </c>
      <c r="AC97">
        <v>1</v>
      </c>
      <c r="AD97">
        <v>1.5</v>
      </c>
      <c r="AE97">
        <v>25.640699999999999</v>
      </c>
      <c r="AM97">
        <v>765700743</v>
      </c>
      <c r="AN97">
        <v>0</v>
      </c>
      <c r="AO97">
        <v>7734962</v>
      </c>
      <c r="AP97">
        <v>765700743</v>
      </c>
      <c r="AQ97">
        <v>773435705</v>
      </c>
      <c r="AR97">
        <v>25523358</v>
      </c>
      <c r="AS97">
        <v>0</v>
      </c>
      <c r="AT97">
        <v>257832</v>
      </c>
      <c r="AU97">
        <v>25523358</v>
      </c>
      <c r="AV97">
        <v>25781190</v>
      </c>
      <c r="AW97">
        <v>12.1944</v>
      </c>
      <c r="AX97">
        <v>1.7796099999999999</v>
      </c>
      <c r="AY97">
        <v>2596.96</v>
      </c>
      <c r="AZ97">
        <v>1643.41</v>
      </c>
      <c r="BA97">
        <v>1134</v>
      </c>
      <c r="BB97">
        <v>177</v>
      </c>
      <c r="BC97" t="str">
        <f t="shared" si="2"/>
        <v>u=1%, k=2x10^6</v>
      </c>
      <c r="BD97">
        <f t="shared" si="3"/>
        <v>0</v>
      </c>
    </row>
    <row r="98" spans="1:56">
      <c r="A98" t="s">
        <v>182</v>
      </c>
      <c r="B98" t="s">
        <v>68</v>
      </c>
      <c r="D98" t="s">
        <v>65</v>
      </c>
      <c r="E98" t="s">
        <v>60</v>
      </c>
      <c r="F98" t="s">
        <v>61</v>
      </c>
      <c r="G98">
        <v>30000</v>
      </c>
      <c r="H98">
        <v>0.5</v>
      </c>
      <c r="I98">
        <v>0.5</v>
      </c>
      <c r="J98">
        <v>0</v>
      </c>
      <c r="K98">
        <v>1</v>
      </c>
      <c r="L98">
        <v>2000000</v>
      </c>
      <c r="M98">
        <v>48</v>
      </c>
      <c r="N98">
        <v>48</v>
      </c>
      <c r="O98">
        <v>48</v>
      </c>
      <c r="P98">
        <v>0</v>
      </c>
      <c r="Q98" t="s">
        <v>62</v>
      </c>
      <c r="R98">
        <v>999136772474</v>
      </c>
      <c r="S98">
        <v>999005</v>
      </c>
      <c r="T98">
        <v>999136772474</v>
      </c>
      <c r="U98">
        <v>999005</v>
      </c>
      <c r="V98" t="s">
        <v>75</v>
      </c>
      <c r="W98">
        <v>47</v>
      </c>
      <c r="X98">
        <v>999004</v>
      </c>
      <c r="Y98">
        <v>999005</v>
      </c>
      <c r="Z98">
        <v>1998009</v>
      </c>
      <c r="AA98">
        <v>999005</v>
      </c>
      <c r="AB98">
        <v>2</v>
      </c>
      <c r="AC98">
        <v>1</v>
      </c>
      <c r="AD98">
        <v>1.5</v>
      </c>
      <c r="AE98">
        <v>25.528199999999998</v>
      </c>
      <c r="AM98">
        <v>1374594819</v>
      </c>
      <c r="AN98">
        <v>0</v>
      </c>
      <c r="AO98">
        <v>13886441</v>
      </c>
      <c r="AP98">
        <v>1374594819</v>
      </c>
      <c r="AQ98">
        <v>1388481260</v>
      </c>
      <c r="AR98">
        <v>45819827</v>
      </c>
      <c r="AS98">
        <v>0</v>
      </c>
      <c r="AT98">
        <v>462881</v>
      </c>
      <c r="AU98">
        <v>45819827</v>
      </c>
      <c r="AV98">
        <v>46282708</v>
      </c>
      <c r="AW98">
        <v>12.1835</v>
      </c>
      <c r="AX98">
        <v>1.8162199999999999</v>
      </c>
      <c r="AY98">
        <v>2892.31</v>
      </c>
      <c r="AZ98">
        <v>2003.67</v>
      </c>
      <c r="BA98">
        <v>1140</v>
      </c>
      <c r="BB98">
        <v>213</v>
      </c>
      <c r="BC98" t="str">
        <f t="shared" si="2"/>
        <v>u=1%, k=2x10^6</v>
      </c>
      <c r="BD98">
        <f t="shared" si="3"/>
        <v>0</v>
      </c>
    </row>
    <row r="99" spans="1:56">
      <c r="A99" t="s">
        <v>183</v>
      </c>
      <c r="B99" t="s">
        <v>68</v>
      </c>
      <c r="D99" t="s">
        <v>65</v>
      </c>
      <c r="E99" t="s">
        <v>60</v>
      </c>
      <c r="F99" t="s">
        <v>61</v>
      </c>
      <c r="G99">
        <v>30000</v>
      </c>
      <c r="H99">
        <v>0.5</v>
      </c>
      <c r="I99">
        <v>0.5</v>
      </c>
      <c r="J99">
        <v>0</v>
      </c>
      <c r="K99">
        <v>1</v>
      </c>
      <c r="L99">
        <v>2000000</v>
      </c>
      <c r="M99">
        <v>96</v>
      </c>
      <c r="N99">
        <v>96</v>
      </c>
      <c r="O99">
        <v>96</v>
      </c>
      <c r="P99">
        <v>0</v>
      </c>
      <c r="Q99" t="s">
        <v>62</v>
      </c>
      <c r="R99">
        <v>1000320377909</v>
      </c>
      <c r="S99">
        <v>1000482</v>
      </c>
      <c r="T99">
        <v>1000320377909</v>
      </c>
      <c r="U99">
        <v>1000482</v>
      </c>
      <c r="V99" t="s">
        <v>75</v>
      </c>
      <c r="W99">
        <v>47</v>
      </c>
      <c r="X99">
        <v>1000481</v>
      </c>
      <c r="Y99">
        <v>1000482</v>
      </c>
      <c r="Z99">
        <v>2000963</v>
      </c>
      <c r="AA99">
        <v>1000482</v>
      </c>
      <c r="AB99">
        <v>2</v>
      </c>
      <c r="AC99">
        <v>1</v>
      </c>
      <c r="AD99">
        <v>1.5</v>
      </c>
      <c r="AE99">
        <v>26.875699999999998</v>
      </c>
      <c r="AM99">
        <v>2997531223</v>
      </c>
      <c r="AN99">
        <v>0</v>
      </c>
      <c r="AO99">
        <v>30288545</v>
      </c>
      <c r="AP99">
        <v>2997531223</v>
      </c>
      <c r="AQ99">
        <v>3027819768</v>
      </c>
      <c r="AR99">
        <v>99917707</v>
      </c>
      <c r="AS99">
        <v>0</v>
      </c>
      <c r="AT99">
        <v>1009618</v>
      </c>
      <c r="AU99">
        <v>99917707</v>
      </c>
      <c r="AV99">
        <v>100927325</v>
      </c>
      <c r="AW99">
        <v>12.265599999999999</v>
      </c>
      <c r="AX99">
        <v>2.12269</v>
      </c>
      <c r="AY99">
        <v>2648.57</v>
      </c>
      <c r="AZ99">
        <v>1725.77</v>
      </c>
      <c r="BA99">
        <v>1153</v>
      </c>
      <c r="BB99">
        <v>281</v>
      </c>
      <c r="BC99" t="str">
        <f t="shared" si="2"/>
        <v>u=1%, k=2x10^6</v>
      </c>
      <c r="BD99">
        <f t="shared" si="3"/>
        <v>0</v>
      </c>
    </row>
    <row r="100" spans="1:56">
      <c r="A100" t="s">
        <v>184</v>
      </c>
      <c r="B100" t="s">
        <v>68</v>
      </c>
      <c r="D100" t="s">
        <v>65</v>
      </c>
      <c r="E100" t="s">
        <v>60</v>
      </c>
      <c r="F100" t="s">
        <v>61</v>
      </c>
      <c r="G100">
        <v>30000</v>
      </c>
      <c r="H100">
        <v>0.5</v>
      </c>
      <c r="I100">
        <v>0.5</v>
      </c>
      <c r="J100">
        <v>0</v>
      </c>
      <c r="K100">
        <v>1</v>
      </c>
      <c r="L100">
        <v>2000000</v>
      </c>
      <c r="M100">
        <v>144</v>
      </c>
      <c r="N100">
        <v>144</v>
      </c>
      <c r="O100">
        <v>144</v>
      </c>
      <c r="P100">
        <v>0</v>
      </c>
      <c r="Q100" t="s">
        <v>62</v>
      </c>
      <c r="R100">
        <v>998760687314</v>
      </c>
      <c r="S100">
        <v>999283</v>
      </c>
      <c r="T100">
        <v>998760687314</v>
      </c>
      <c r="U100">
        <v>999283</v>
      </c>
      <c r="V100" t="s">
        <v>75</v>
      </c>
      <c r="W100">
        <v>48</v>
      </c>
      <c r="X100">
        <v>999282</v>
      </c>
      <c r="Y100">
        <v>999283</v>
      </c>
      <c r="Z100">
        <v>1998565</v>
      </c>
      <c r="AA100">
        <v>999283</v>
      </c>
      <c r="AB100">
        <v>2</v>
      </c>
      <c r="AC100">
        <v>1</v>
      </c>
      <c r="AD100">
        <v>1.5</v>
      </c>
      <c r="AE100">
        <v>25.134499999999999</v>
      </c>
      <c r="AM100">
        <v>4563456476</v>
      </c>
      <c r="AN100">
        <v>0</v>
      </c>
      <c r="AO100">
        <v>46099553</v>
      </c>
      <c r="AP100">
        <v>4563456476</v>
      </c>
      <c r="AQ100">
        <v>4609556029</v>
      </c>
      <c r="AR100">
        <v>152115215</v>
      </c>
      <c r="AS100">
        <v>0</v>
      </c>
      <c r="AT100">
        <v>1536651</v>
      </c>
      <c r="AU100">
        <v>152115215</v>
      </c>
      <c r="AV100">
        <v>153651867</v>
      </c>
      <c r="AW100">
        <v>12.3514</v>
      </c>
      <c r="AX100">
        <v>2.1933099999999999</v>
      </c>
      <c r="AY100">
        <v>2609.14</v>
      </c>
      <c r="AZ100">
        <v>1681.18</v>
      </c>
      <c r="BA100">
        <v>1168</v>
      </c>
      <c r="BB100">
        <v>299</v>
      </c>
      <c r="BC100" t="str">
        <f t="shared" si="2"/>
        <v>u=1%, k=2x10^6</v>
      </c>
      <c r="BD100">
        <f t="shared" si="3"/>
        <v>0</v>
      </c>
    </row>
    <row r="101" spans="1:56">
      <c r="A101" t="s">
        <v>185</v>
      </c>
      <c r="B101" t="s">
        <v>68</v>
      </c>
      <c r="D101" t="s">
        <v>65</v>
      </c>
      <c r="E101" t="s">
        <v>60</v>
      </c>
      <c r="F101" t="s">
        <v>61</v>
      </c>
      <c r="G101">
        <v>30000</v>
      </c>
      <c r="H101">
        <v>0.5</v>
      </c>
      <c r="I101">
        <v>0.5</v>
      </c>
      <c r="J101">
        <v>0</v>
      </c>
      <c r="K101">
        <v>1</v>
      </c>
      <c r="L101">
        <v>2000000</v>
      </c>
      <c r="M101">
        <v>190</v>
      </c>
      <c r="N101">
        <v>190</v>
      </c>
      <c r="O101">
        <v>190</v>
      </c>
      <c r="P101">
        <v>0</v>
      </c>
      <c r="Q101" t="s">
        <v>62</v>
      </c>
      <c r="R101">
        <v>997633311913</v>
      </c>
      <c r="S101">
        <v>998548</v>
      </c>
      <c r="T101">
        <v>997633311913</v>
      </c>
      <c r="U101">
        <v>998548</v>
      </c>
      <c r="V101" t="s">
        <v>75</v>
      </c>
      <c r="W101">
        <v>55</v>
      </c>
      <c r="X101">
        <v>998547</v>
      </c>
      <c r="Y101">
        <v>998548</v>
      </c>
      <c r="Z101">
        <v>1997095</v>
      </c>
      <c r="AA101">
        <v>998548</v>
      </c>
      <c r="AB101">
        <v>2</v>
      </c>
      <c r="AC101">
        <v>1</v>
      </c>
      <c r="AD101">
        <v>1.5</v>
      </c>
      <c r="AE101">
        <v>27.2849</v>
      </c>
      <c r="AM101">
        <v>6025333811</v>
      </c>
      <c r="AN101">
        <v>0</v>
      </c>
      <c r="AO101">
        <v>60855990</v>
      </c>
      <c r="AP101">
        <v>6025333811</v>
      </c>
      <c r="AQ101">
        <v>6086189801</v>
      </c>
      <c r="AR101">
        <v>200844460</v>
      </c>
      <c r="AS101">
        <v>0</v>
      </c>
      <c r="AT101">
        <v>2028533</v>
      </c>
      <c r="AU101">
        <v>200844460</v>
      </c>
      <c r="AV101">
        <v>202872993</v>
      </c>
      <c r="AW101">
        <v>12.4748</v>
      </c>
      <c r="AX101">
        <v>2.2420599999999999</v>
      </c>
      <c r="AY101">
        <v>2607.67</v>
      </c>
      <c r="AZ101">
        <v>1674.32</v>
      </c>
      <c r="BA101">
        <v>1179</v>
      </c>
      <c r="BB101">
        <v>280</v>
      </c>
      <c r="BC101" t="str">
        <f t="shared" si="2"/>
        <v>u=1%, k=2x10^6</v>
      </c>
      <c r="BD101">
        <f t="shared" si="3"/>
        <v>0</v>
      </c>
    </row>
    <row r="102" spans="1:56">
      <c r="A102" t="s">
        <v>186</v>
      </c>
      <c r="B102" t="s">
        <v>64</v>
      </c>
      <c r="C102">
        <v>72</v>
      </c>
      <c r="D102" t="s">
        <v>65</v>
      </c>
      <c r="E102" t="s">
        <v>60</v>
      </c>
      <c r="F102" t="s">
        <v>61</v>
      </c>
      <c r="G102">
        <v>30000</v>
      </c>
      <c r="H102">
        <v>0.5</v>
      </c>
      <c r="I102">
        <v>0.5</v>
      </c>
      <c r="J102">
        <v>0</v>
      </c>
      <c r="K102">
        <v>1</v>
      </c>
      <c r="L102">
        <v>20000000</v>
      </c>
      <c r="M102">
        <v>24</v>
      </c>
      <c r="N102">
        <v>24</v>
      </c>
      <c r="O102">
        <v>24</v>
      </c>
      <c r="P102">
        <v>0</v>
      </c>
      <c r="Q102" t="s">
        <v>62</v>
      </c>
      <c r="R102">
        <v>99982942232960</v>
      </c>
      <c r="S102">
        <v>9997063</v>
      </c>
      <c r="T102">
        <v>99982942232960</v>
      </c>
      <c r="U102">
        <v>9997063</v>
      </c>
      <c r="V102" t="s">
        <v>75</v>
      </c>
      <c r="W102">
        <v>7</v>
      </c>
      <c r="X102">
        <v>1738521</v>
      </c>
      <c r="Y102">
        <v>11669735</v>
      </c>
      <c r="Z102">
        <v>13408256</v>
      </c>
      <c r="AA102">
        <v>9997063</v>
      </c>
      <c r="AB102">
        <v>7.7124499999999996</v>
      </c>
      <c r="AC102">
        <v>0.85666600000000004</v>
      </c>
      <c r="AD102">
        <v>1.74559</v>
      </c>
      <c r="AE102">
        <v>4.0226600000000001</v>
      </c>
      <c r="AM102">
        <v>1045069566</v>
      </c>
      <c r="AN102">
        <v>0</v>
      </c>
      <c r="AO102">
        <v>10560128</v>
      </c>
      <c r="AP102">
        <v>1045069566</v>
      </c>
      <c r="AQ102">
        <v>1055629694</v>
      </c>
      <c r="AR102">
        <v>34835652</v>
      </c>
      <c r="AS102">
        <v>0</v>
      </c>
      <c r="AT102">
        <v>352004</v>
      </c>
      <c r="AU102">
        <v>34835652</v>
      </c>
      <c r="AV102">
        <v>35187656</v>
      </c>
      <c r="AW102">
        <v>16.0885</v>
      </c>
      <c r="AX102">
        <v>5.8990499999999999</v>
      </c>
      <c r="AY102">
        <v>1899.91</v>
      </c>
      <c r="AZ102">
        <v>1234.1600000000001</v>
      </c>
      <c r="BA102">
        <v>2439</v>
      </c>
      <c r="BB102">
        <v>178</v>
      </c>
      <c r="BC102" t="str">
        <f t="shared" si="2"/>
        <v>u=1%, k=2x10^7</v>
      </c>
      <c r="BD102">
        <f t="shared" si="3"/>
        <v>0</v>
      </c>
    </row>
    <row r="103" spans="1:56">
      <c r="A103" t="s">
        <v>187</v>
      </c>
      <c r="B103" t="s">
        <v>64</v>
      </c>
      <c r="C103">
        <v>72</v>
      </c>
      <c r="D103" t="s">
        <v>65</v>
      </c>
      <c r="E103" t="s">
        <v>60</v>
      </c>
      <c r="F103" t="s">
        <v>61</v>
      </c>
      <c r="G103">
        <v>30000</v>
      </c>
      <c r="H103">
        <v>0.5</v>
      </c>
      <c r="I103">
        <v>0.5</v>
      </c>
      <c r="J103">
        <v>0</v>
      </c>
      <c r="K103">
        <v>1</v>
      </c>
      <c r="L103">
        <v>20000000</v>
      </c>
      <c r="M103">
        <v>48</v>
      </c>
      <c r="N103">
        <v>48</v>
      </c>
      <c r="O103">
        <v>48</v>
      </c>
      <c r="P103">
        <v>0</v>
      </c>
      <c r="Q103" t="s">
        <v>62</v>
      </c>
      <c r="R103">
        <v>100015020607379</v>
      </c>
      <c r="S103">
        <v>10000934</v>
      </c>
      <c r="T103">
        <v>100015020607379</v>
      </c>
      <c r="U103">
        <v>10000934</v>
      </c>
      <c r="V103" t="s">
        <v>75</v>
      </c>
      <c r="W103">
        <v>7</v>
      </c>
      <c r="X103">
        <v>1904667</v>
      </c>
      <c r="Y103">
        <v>12035006</v>
      </c>
      <c r="Z103">
        <v>13939673</v>
      </c>
      <c r="AA103">
        <v>10000934</v>
      </c>
      <c r="AB103">
        <v>7.3186900000000001</v>
      </c>
      <c r="AC103">
        <v>0.83098700000000003</v>
      </c>
      <c r="AD103">
        <v>1.7174400000000001</v>
      </c>
      <c r="AE103">
        <v>4.0554600000000001</v>
      </c>
      <c r="AM103">
        <v>1811791821</v>
      </c>
      <c r="AN103">
        <v>0</v>
      </c>
      <c r="AO103">
        <v>18301865</v>
      </c>
      <c r="AP103">
        <v>1811791821</v>
      </c>
      <c r="AQ103">
        <v>1830093686</v>
      </c>
      <c r="AR103">
        <v>60393060</v>
      </c>
      <c r="AS103">
        <v>0</v>
      </c>
      <c r="AT103">
        <v>610062</v>
      </c>
      <c r="AU103">
        <v>60393060</v>
      </c>
      <c r="AV103">
        <v>61003122</v>
      </c>
      <c r="AW103">
        <v>16.085100000000001</v>
      </c>
      <c r="AX103">
        <v>5.9881399999999996</v>
      </c>
      <c r="AY103">
        <v>2186.59</v>
      </c>
      <c r="AZ103">
        <v>1504.2</v>
      </c>
      <c r="BA103">
        <v>2476</v>
      </c>
      <c r="BB103">
        <v>176</v>
      </c>
      <c r="BC103" t="str">
        <f t="shared" si="2"/>
        <v>u=1%, k=2x10^7</v>
      </c>
      <c r="BD103">
        <f t="shared" si="3"/>
        <v>0</v>
      </c>
    </row>
    <row r="104" spans="1:56">
      <c r="A104" t="s">
        <v>188</v>
      </c>
      <c r="B104" t="s">
        <v>64</v>
      </c>
      <c r="C104">
        <v>72</v>
      </c>
      <c r="D104" t="s">
        <v>65</v>
      </c>
      <c r="E104" t="s">
        <v>60</v>
      </c>
      <c r="F104" t="s">
        <v>61</v>
      </c>
      <c r="G104">
        <v>30000</v>
      </c>
      <c r="H104">
        <v>0.5</v>
      </c>
      <c r="I104">
        <v>0.5</v>
      </c>
      <c r="J104">
        <v>0</v>
      </c>
      <c r="K104">
        <v>1</v>
      </c>
      <c r="L104">
        <v>20000000</v>
      </c>
      <c r="M104">
        <v>96</v>
      </c>
      <c r="N104">
        <v>96</v>
      </c>
      <c r="O104">
        <v>96</v>
      </c>
      <c r="P104">
        <v>0</v>
      </c>
      <c r="Q104" t="s">
        <v>62</v>
      </c>
      <c r="R104">
        <v>99989499985543</v>
      </c>
      <c r="S104">
        <v>9996406</v>
      </c>
      <c r="T104">
        <v>99989499985543</v>
      </c>
      <c r="U104">
        <v>9996406</v>
      </c>
      <c r="V104" t="s">
        <v>75</v>
      </c>
      <c r="W104">
        <v>7</v>
      </c>
      <c r="X104">
        <v>1798739</v>
      </c>
      <c r="Y104">
        <v>11811807</v>
      </c>
      <c r="Z104">
        <v>13610546</v>
      </c>
      <c r="AA104">
        <v>9996406</v>
      </c>
      <c r="AB104">
        <v>7.5667200000000001</v>
      </c>
      <c r="AC104">
        <v>0.846306</v>
      </c>
      <c r="AD104">
        <v>1.7344599999999999</v>
      </c>
      <c r="AE104">
        <v>4.0340999999999996</v>
      </c>
      <c r="AM104">
        <v>3862525702</v>
      </c>
      <c r="AN104">
        <v>0</v>
      </c>
      <c r="AO104">
        <v>39021995</v>
      </c>
      <c r="AP104">
        <v>3862525702</v>
      </c>
      <c r="AQ104">
        <v>3901547697</v>
      </c>
      <c r="AR104">
        <v>128750856</v>
      </c>
      <c r="AS104">
        <v>0</v>
      </c>
      <c r="AT104">
        <v>1300733</v>
      </c>
      <c r="AU104">
        <v>128750856</v>
      </c>
      <c r="AV104">
        <v>130051589</v>
      </c>
      <c r="AW104">
        <v>16.251000000000001</v>
      </c>
      <c r="AX104">
        <v>6.4264200000000002</v>
      </c>
      <c r="AY104">
        <v>2032.02</v>
      </c>
      <c r="AZ104">
        <v>1282.4100000000001</v>
      </c>
      <c r="BA104">
        <v>2545</v>
      </c>
      <c r="BB104">
        <v>218</v>
      </c>
      <c r="BC104" t="str">
        <f t="shared" si="2"/>
        <v>u=1%, k=2x10^7</v>
      </c>
      <c r="BD104">
        <f t="shared" si="3"/>
        <v>0</v>
      </c>
    </row>
    <row r="105" spans="1:56">
      <c r="A105" t="s">
        <v>189</v>
      </c>
      <c r="B105" t="s">
        <v>64</v>
      </c>
      <c r="C105">
        <v>72</v>
      </c>
      <c r="D105" t="s">
        <v>65</v>
      </c>
      <c r="E105" t="s">
        <v>60</v>
      </c>
      <c r="F105" t="s">
        <v>61</v>
      </c>
      <c r="G105">
        <v>30000</v>
      </c>
      <c r="H105">
        <v>0.5</v>
      </c>
      <c r="I105">
        <v>0.5</v>
      </c>
      <c r="J105">
        <v>0</v>
      </c>
      <c r="K105">
        <v>1</v>
      </c>
      <c r="L105">
        <v>20000000</v>
      </c>
      <c r="M105">
        <v>144</v>
      </c>
      <c r="N105">
        <v>144</v>
      </c>
      <c r="O105">
        <v>144</v>
      </c>
      <c r="P105">
        <v>0</v>
      </c>
      <c r="Q105" t="s">
        <v>62</v>
      </c>
      <c r="R105">
        <v>100028164039608</v>
      </c>
      <c r="S105">
        <v>10002071</v>
      </c>
      <c r="T105">
        <v>100028164039608</v>
      </c>
      <c r="U105">
        <v>10002071</v>
      </c>
      <c r="V105" t="s">
        <v>75</v>
      </c>
      <c r="W105">
        <v>7</v>
      </c>
      <c r="X105">
        <v>1888912</v>
      </c>
      <c r="Y105">
        <v>11993129</v>
      </c>
      <c r="Z105">
        <v>13882041</v>
      </c>
      <c r="AA105">
        <v>10002071</v>
      </c>
      <c r="AB105">
        <v>7.3492300000000004</v>
      </c>
      <c r="AC105">
        <v>0.83398300000000003</v>
      </c>
      <c r="AD105">
        <v>1.7204999999999999</v>
      </c>
      <c r="AE105">
        <v>4.0527300000000004</v>
      </c>
      <c r="AM105">
        <v>5661209454</v>
      </c>
      <c r="AN105">
        <v>0</v>
      </c>
      <c r="AO105">
        <v>57171656</v>
      </c>
      <c r="AP105">
        <v>5661209454</v>
      </c>
      <c r="AQ105">
        <v>5718381110</v>
      </c>
      <c r="AR105">
        <v>188706981</v>
      </c>
      <c r="AS105">
        <v>0</v>
      </c>
      <c r="AT105">
        <v>1905721</v>
      </c>
      <c r="AU105">
        <v>188706981</v>
      </c>
      <c r="AV105">
        <v>190612703</v>
      </c>
      <c r="AW105">
        <v>16.293299999999999</v>
      </c>
      <c r="AX105">
        <v>6.5669899999999997</v>
      </c>
      <c r="AY105">
        <v>2078.63</v>
      </c>
      <c r="AZ105">
        <v>1313.56</v>
      </c>
      <c r="BA105">
        <v>2677</v>
      </c>
      <c r="BB105">
        <v>326</v>
      </c>
      <c r="BC105" t="str">
        <f t="shared" si="2"/>
        <v>u=1%, k=2x10^7</v>
      </c>
      <c r="BD105">
        <f t="shared" si="3"/>
        <v>0</v>
      </c>
    </row>
    <row r="106" spans="1:56">
      <c r="A106" t="s">
        <v>190</v>
      </c>
      <c r="B106" t="s">
        <v>64</v>
      </c>
      <c r="C106">
        <v>72</v>
      </c>
      <c r="D106" t="s">
        <v>65</v>
      </c>
      <c r="E106" t="s">
        <v>60</v>
      </c>
      <c r="F106" t="s">
        <v>61</v>
      </c>
      <c r="G106">
        <v>30000</v>
      </c>
      <c r="H106">
        <v>0.5</v>
      </c>
      <c r="I106">
        <v>0.5</v>
      </c>
      <c r="J106">
        <v>0</v>
      </c>
      <c r="K106">
        <v>1</v>
      </c>
      <c r="L106">
        <v>20000000</v>
      </c>
      <c r="M106">
        <v>190</v>
      </c>
      <c r="N106">
        <v>190</v>
      </c>
      <c r="O106">
        <v>190</v>
      </c>
      <c r="P106">
        <v>0</v>
      </c>
      <c r="Q106" t="s">
        <v>62</v>
      </c>
      <c r="R106">
        <v>99986455043617</v>
      </c>
      <c r="S106">
        <v>9998828</v>
      </c>
      <c r="T106">
        <v>99986455043617</v>
      </c>
      <c r="U106">
        <v>9998828</v>
      </c>
      <c r="V106" t="s">
        <v>75</v>
      </c>
      <c r="W106">
        <v>7</v>
      </c>
      <c r="X106">
        <v>1772802</v>
      </c>
      <c r="Y106">
        <v>11746158</v>
      </c>
      <c r="Z106">
        <v>13518960</v>
      </c>
      <c r="AA106">
        <v>9998828</v>
      </c>
      <c r="AB106">
        <v>7.6257599999999996</v>
      </c>
      <c r="AC106">
        <v>0.85124200000000005</v>
      </c>
      <c r="AD106">
        <v>1.7396199999999999</v>
      </c>
      <c r="AE106">
        <v>4.0302199999999999</v>
      </c>
      <c r="AM106">
        <v>7367812203</v>
      </c>
      <c r="AN106">
        <v>0</v>
      </c>
      <c r="AO106">
        <v>74436137</v>
      </c>
      <c r="AP106">
        <v>7367812203</v>
      </c>
      <c r="AQ106">
        <v>7442248340</v>
      </c>
      <c r="AR106">
        <v>245593740</v>
      </c>
      <c r="AS106">
        <v>0</v>
      </c>
      <c r="AT106">
        <v>2481204</v>
      </c>
      <c r="AU106">
        <v>245593740</v>
      </c>
      <c r="AV106">
        <v>248074944</v>
      </c>
      <c r="AW106">
        <v>16.342600000000001</v>
      </c>
      <c r="AX106">
        <v>6.65191</v>
      </c>
      <c r="AY106">
        <v>2105.85</v>
      </c>
      <c r="AZ106">
        <v>1323.7</v>
      </c>
      <c r="BA106">
        <v>2732</v>
      </c>
      <c r="BB106">
        <v>414</v>
      </c>
      <c r="BC106" t="str">
        <f t="shared" si="2"/>
        <v>u=1%, k=2x10^7</v>
      </c>
      <c r="BD106">
        <f t="shared" si="3"/>
        <v>0</v>
      </c>
    </row>
    <row r="107" spans="1:56">
      <c r="A107" t="s">
        <v>191</v>
      </c>
      <c r="B107" t="s">
        <v>66</v>
      </c>
      <c r="C107">
        <v>208</v>
      </c>
      <c r="D107" t="s">
        <v>65</v>
      </c>
      <c r="E107" t="s">
        <v>60</v>
      </c>
      <c r="F107" t="s">
        <v>61</v>
      </c>
      <c r="G107">
        <v>30000</v>
      </c>
      <c r="H107">
        <v>0.5</v>
      </c>
      <c r="I107">
        <v>0.5</v>
      </c>
      <c r="J107">
        <v>0</v>
      </c>
      <c r="K107">
        <v>1</v>
      </c>
      <c r="L107">
        <v>20000000</v>
      </c>
      <c r="M107">
        <v>24</v>
      </c>
      <c r="N107">
        <v>24</v>
      </c>
      <c r="O107">
        <v>24</v>
      </c>
      <c r="P107">
        <v>0</v>
      </c>
      <c r="Q107" t="s">
        <v>62</v>
      </c>
      <c r="R107">
        <v>99977590727795</v>
      </c>
      <c r="S107">
        <v>9998818</v>
      </c>
      <c r="T107">
        <v>99977590727795</v>
      </c>
      <c r="U107">
        <v>9998818</v>
      </c>
      <c r="V107" t="s">
        <v>75</v>
      </c>
      <c r="W107">
        <v>9</v>
      </c>
      <c r="X107">
        <v>207659</v>
      </c>
      <c r="Y107">
        <v>1427710</v>
      </c>
      <c r="Z107">
        <v>1635369</v>
      </c>
      <c r="AA107">
        <v>9998818</v>
      </c>
      <c r="AB107">
        <v>7.8752599999999999</v>
      </c>
      <c r="AC107">
        <v>7.0034000000000001</v>
      </c>
      <c r="AD107">
        <v>7.1141100000000002</v>
      </c>
      <c r="AE107">
        <v>8</v>
      </c>
      <c r="AM107">
        <v>908937133</v>
      </c>
      <c r="AN107">
        <v>0</v>
      </c>
      <c r="AO107">
        <v>9179919</v>
      </c>
      <c r="AP107">
        <v>908937133</v>
      </c>
      <c r="AQ107">
        <v>918117052</v>
      </c>
      <c r="AR107">
        <v>30297904</v>
      </c>
      <c r="AS107">
        <v>0</v>
      </c>
      <c r="AT107">
        <v>305997</v>
      </c>
      <c r="AU107">
        <v>30297904</v>
      </c>
      <c r="AV107">
        <v>30603901</v>
      </c>
      <c r="AW107">
        <v>16.706</v>
      </c>
      <c r="AX107">
        <v>5.0518999999999998</v>
      </c>
      <c r="AY107">
        <v>2187.21</v>
      </c>
      <c r="AZ107">
        <v>1179.48</v>
      </c>
      <c r="BA107">
        <v>1442</v>
      </c>
      <c r="BB107">
        <v>992</v>
      </c>
      <c r="BC107" t="str">
        <f t="shared" si="2"/>
        <v>u=1%, k=2x10^7</v>
      </c>
      <c r="BD107">
        <f t="shared" si="3"/>
        <v>0</v>
      </c>
    </row>
    <row r="108" spans="1:56">
      <c r="A108" t="s">
        <v>192</v>
      </c>
      <c r="B108" t="s">
        <v>66</v>
      </c>
      <c r="C108">
        <v>208</v>
      </c>
      <c r="D108" t="s">
        <v>65</v>
      </c>
      <c r="E108" t="s">
        <v>60</v>
      </c>
      <c r="F108" t="s">
        <v>61</v>
      </c>
      <c r="G108">
        <v>30000</v>
      </c>
      <c r="H108">
        <v>0.5</v>
      </c>
      <c r="I108">
        <v>0.5</v>
      </c>
      <c r="J108">
        <v>0</v>
      </c>
      <c r="K108">
        <v>1</v>
      </c>
      <c r="L108">
        <v>20000000</v>
      </c>
      <c r="M108">
        <v>48</v>
      </c>
      <c r="N108">
        <v>48</v>
      </c>
      <c r="O108">
        <v>48</v>
      </c>
      <c r="P108">
        <v>0</v>
      </c>
      <c r="Q108" t="s">
        <v>62</v>
      </c>
      <c r="R108">
        <v>100016765946126</v>
      </c>
      <c r="S108">
        <v>9999328</v>
      </c>
      <c r="T108">
        <v>100016765946126</v>
      </c>
      <c r="U108">
        <v>9999328</v>
      </c>
      <c r="V108" t="s">
        <v>75</v>
      </c>
      <c r="W108">
        <v>9</v>
      </c>
      <c r="X108">
        <v>217923</v>
      </c>
      <c r="Y108">
        <v>1498378</v>
      </c>
      <c r="Z108">
        <v>1716301</v>
      </c>
      <c r="AA108">
        <v>9999328</v>
      </c>
      <c r="AB108">
        <v>7.8757200000000003</v>
      </c>
      <c r="AC108">
        <v>6.6734299999999998</v>
      </c>
      <c r="AD108">
        <v>6.8260899999999998</v>
      </c>
      <c r="AE108">
        <v>8</v>
      </c>
      <c r="AM108">
        <v>1654105464</v>
      </c>
      <c r="AN108">
        <v>0</v>
      </c>
      <c r="AO108">
        <v>16712878</v>
      </c>
      <c r="AP108">
        <v>1654105464</v>
      </c>
      <c r="AQ108">
        <v>1670818342</v>
      </c>
      <c r="AR108">
        <v>55136848</v>
      </c>
      <c r="AS108">
        <v>0</v>
      </c>
      <c r="AT108">
        <v>557095</v>
      </c>
      <c r="AU108">
        <v>55136848</v>
      </c>
      <c r="AV108">
        <v>55693944</v>
      </c>
      <c r="AW108">
        <v>16.8688</v>
      </c>
      <c r="AX108">
        <v>5.1297300000000003</v>
      </c>
      <c r="AY108">
        <v>2403.12</v>
      </c>
      <c r="AZ108">
        <v>1552.69</v>
      </c>
      <c r="BA108">
        <v>1505</v>
      </c>
      <c r="BB108">
        <v>770</v>
      </c>
      <c r="BC108" t="str">
        <f t="shared" si="2"/>
        <v>u=1%, k=2x10^7</v>
      </c>
      <c r="BD108">
        <f t="shared" si="3"/>
        <v>0</v>
      </c>
    </row>
    <row r="109" spans="1:56">
      <c r="A109" t="s">
        <v>193</v>
      </c>
      <c r="B109" t="s">
        <v>66</v>
      </c>
      <c r="C109">
        <v>208</v>
      </c>
      <c r="D109" t="s">
        <v>65</v>
      </c>
      <c r="E109" t="s">
        <v>60</v>
      </c>
      <c r="F109" t="s">
        <v>61</v>
      </c>
      <c r="G109">
        <v>30000</v>
      </c>
      <c r="H109">
        <v>0.5</v>
      </c>
      <c r="I109">
        <v>0.5</v>
      </c>
      <c r="J109">
        <v>0</v>
      </c>
      <c r="K109">
        <v>1</v>
      </c>
      <c r="L109">
        <v>20000000</v>
      </c>
      <c r="M109">
        <v>96</v>
      </c>
      <c r="N109">
        <v>96</v>
      </c>
      <c r="O109">
        <v>96</v>
      </c>
      <c r="P109">
        <v>0</v>
      </c>
      <c r="Q109" t="s">
        <v>62</v>
      </c>
      <c r="R109">
        <v>99969437333546</v>
      </c>
      <c r="S109">
        <v>9998657</v>
      </c>
      <c r="T109">
        <v>99969437333546</v>
      </c>
      <c r="U109">
        <v>9998657</v>
      </c>
      <c r="V109" t="s">
        <v>75</v>
      </c>
      <c r="W109">
        <v>9</v>
      </c>
      <c r="X109">
        <v>234422</v>
      </c>
      <c r="Y109">
        <v>1612038</v>
      </c>
      <c r="Z109">
        <v>1846460</v>
      </c>
      <c r="AA109">
        <v>9998657</v>
      </c>
      <c r="AB109">
        <v>7.8766499999999997</v>
      </c>
      <c r="AC109">
        <v>6.2024900000000001</v>
      </c>
      <c r="AD109">
        <v>6.4150400000000003</v>
      </c>
      <c r="AE109">
        <v>8</v>
      </c>
      <c r="AM109">
        <v>3489751612</v>
      </c>
      <c r="AN109">
        <v>0</v>
      </c>
      <c r="AO109">
        <v>35259818</v>
      </c>
      <c r="AP109">
        <v>3489751612</v>
      </c>
      <c r="AQ109">
        <v>3525011430</v>
      </c>
      <c r="AR109">
        <v>116325053</v>
      </c>
      <c r="AS109">
        <v>0</v>
      </c>
      <c r="AT109">
        <v>1175327</v>
      </c>
      <c r="AU109">
        <v>116325053</v>
      </c>
      <c r="AV109">
        <v>117500381</v>
      </c>
      <c r="AW109">
        <v>17.181799999999999</v>
      </c>
      <c r="AX109">
        <v>5.6567699999999999</v>
      </c>
      <c r="AY109">
        <v>2264.69</v>
      </c>
      <c r="AZ109">
        <v>1366.33</v>
      </c>
      <c r="BA109">
        <v>1618</v>
      </c>
      <c r="BB109">
        <v>933</v>
      </c>
      <c r="BC109" t="str">
        <f t="shared" si="2"/>
        <v>u=1%, k=2x10^7</v>
      </c>
      <c r="BD109">
        <f t="shared" si="3"/>
        <v>0</v>
      </c>
    </row>
    <row r="110" spans="1:56">
      <c r="A110" t="s">
        <v>194</v>
      </c>
      <c r="B110" t="s">
        <v>66</v>
      </c>
      <c r="C110">
        <v>208</v>
      </c>
      <c r="D110" t="s">
        <v>65</v>
      </c>
      <c r="E110" t="s">
        <v>60</v>
      </c>
      <c r="F110" t="s">
        <v>61</v>
      </c>
      <c r="G110">
        <v>30000</v>
      </c>
      <c r="H110">
        <v>0.5</v>
      </c>
      <c r="I110">
        <v>0.5</v>
      </c>
      <c r="J110">
        <v>0</v>
      </c>
      <c r="K110">
        <v>1</v>
      </c>
      <c r="L110">
        <v>20000000</v>
      </c>
      <c r="M110">
        <v>144</v>
      </c>
      <c r="N110">
        <v>144</v>
      </c>
      <c r="O110">
        <v>144</v>
      </c>
      <c r="P110">
        <v>0</v>
      </c>
      <c r="Q110" t="s">
        <v>62</v>
      </c>
      <c r="R110">
        <v>100025972652741</v>
      </c>
      <c r="S110">
        <v>10001557</v>
      </c>
      <c r="T110">
        <v>100025972652741</v>
      </c>
      <c r="U110">
        <v>10001557</v>
      </c>
      <c r="V110" t="s">
        <v>75</v>
      </c>
      <c r="W110">
        <v>9</v>
      </c>
      <c r="X110">
        <v>244568</v>
      </c>
      <c r="Y110">
        <v>1680507</v>
      </c>
      <c r="Z110">
        <v>1925075</v>
      </c>
      <c r="AA110">
        <v>10001557</v>
      </c>
      <c r="AB110">
        <v>7.8713300000000004</v>
      </c>
      <c r="AC110">
        <v>5.9515099999999999</v>
      </c>
      <c r="AD110">
        <v>6.1954099999999999</v>
      </c>
      <c r="AE110">
        <v>8</v>
      </c>
      <c r="AM110">
        <v>5165073846</v>
      </c>
      <c r="AN110">
        <v>0</v>
      </c>
      <c r="AO110">
        <v>52169256</v>
      </c>
      <c r="AP110">
        <v>5165073846</v>
      </c>
      <c r="AQ110">
        <v>5217243102</v>
      </c>
      <c r="AR110">
        <v>172169128</v>
      </c>
      <c r="AS110">
        <v>0</v>
      </c>
      <c r="AT110">
        <v>1738975</v>
      </c>
      <c r="AU110">
        <v>172169128</v>
      </c>
      <c r="AV110">
        <v>173908103</v>
      </c>
      <c r="AW110">
        <v>17.318200000000001</v>
      </c>
      <c r="AX110">
        <v>5.81806</v>
      </c>
      <c r="AY110">
        <v>2294.89</v>
      </c>
      <c r="AZ110">
        <v>1389.31</v>
      </c>
      <c r="BA110">
        <v>1629</v>
      </c>
      <c r="BB110">
        <v>801</v>
      </c>
      <c r="BC110" t="str">
        <f t="shared" si="2"/>
        <v>u=1%, k=2x10^7</v>
      </c>
      <c r="BD110">
        <f t="shared" si="3"/>
        <v>0</v>
      </c>
    </row>
    <row r="111" spans="1:56">
      <c r="A111" t="s">
        <v>195</v>
      </c>
      <c r="B111" t="s">
        <v>66</v>
      </c>
      <c r="C111">
        <v>208</v>
      </c>
      <c r="D111" t="s">
        <v>65</v>
      </c>
      <c r="E111" t="s">
        <v>60</v>
      </c>
      <c r="F111" t="s">
        <v>61</v>
      </c>
      <c r="G111">
        <v>30000</v>
      </c>
      <c r="H111">
        <v>0.5</v>
      </c>
      <c r="I111">
        <v>0.5</v>
      </c>
      <c r="J111">
        <v>0</v>
      </c>
      <c r="K111">
        <v>1</v>
      </c>
      <c r="L111">
        <v>20000000</v>
      </c>
      <c r="M111">
        <v>190</v>
      </c>
      <c r="N111">
        <v>190</v>
      </c>
      <c r="O111">
        <v>190</v>
      </c>
      <c r="P111">
        <v>0</v>
      </c>
      <c r="Q111" t="s">
        <v>62</v>
      </c>
      <c r="R111">
        <v>99993915341587</v>
      </c>
      <c r="S111">
        <v>10001437</v>
      </c>
      <c r="T111">
        <v>99993915341587</v>
      </c>
      <c r="U111">
        <v>10001437</v>
      </c>
      <c r="V111" t="s">
        <v>75</v>
      </c>
      <c r="W111">
        <v>9</v>
      </c>
      <c r="X111">
        <v>252178</v>
      </c>
      <c r="Y111">
        <v>1730258</v>
      </c>
      <c r="Z111">
        <v>1982436</v>
      </c>
      <c r="AA111">
        <v>10001437</v>
      </c>
      <c r="AB111">
        <v>7.8612599999999997</v>
      </c>
      <c r="AC111">
        <v>5.7803199999999997</v>
      </c>
      <c r="AD111">
        <v>6.0450200000000001</v>
      </c>
      <c r="AE111">
        <v>8</v>
      </c>
      <c r="AM111">
        <v>6793931732</v>
      </c>
      <c r="AN111">
        <v>0</v>
      </c>
      <c r="AO111">
        <v>68629454</v>
      </c>
      <c r="AP111">
        <v>6793931732</v>
      </c>
      <c r="AQ111">
        <v>6862561186</v>
      </c>
      <c r="AR111">
        <v>226464391</v>
      </c>
      <c r="AS111">
        <v>0</v>
      </c>
      <c r="AT111">
        <v>2287648</v>
      </c>
      <c r="AU111">
        <v>226464391</v>
      </c>
      <c r="AV111">
        <v>228752039</v>
      </c>
      <c r="AW111">
        <v>17.533899999999999</v>
      </c>
      <c r="AX111">
        <v>5.9438599999999999</v>
      </c>
      <c r="AY111">
        <v>2296.9499999999998</v>
      </c>
      <c r="AZ111">
        <v>1383.48</v>
      </c>
      <c r="BA111">
        <v>1709</v>
      </c>
      <c r="BB111">
        <v>927</v>
      </c>
      <c r="BC111" t="str">
        <f t="shared" si="2"/>
        <v>u=1%, k=2x10^7</v>
      </c>
      <c r="BD111">
        <f t="shared" si="3"/>
        <v>0</v>
      </c>
    </row>
    <row r="112" spans="1:56">
      <c r="A112" t="s">
        <v>196</v>
      </c>
      <c r="B112" t="s">
        <v>67</v>
      </c>
      <c r="D112" t="s">
        <v>65</v>
      </c>
      <c r="E112" t="s">
        <v>60</v>
      </c>
      <c r="F112" t="s">
        <v>61</v>
      </c>
      <c r="G112">
        <v>30000</v>
      </c>
      <c r="H112">
        <v>0.5</v>
      </c>
      <c r="I112">
        <v>0.5</v>
      </c>
      <c r="J112">
        <v>0</v>
      </c>
      <c r="K112">
        <v>1</v>
      </c>
      <c r="L112">
        <v>20000000</v>
      </c>
      <c r="M112">
        <v>24</v>
      </c>
      <c r="N112">
        <v>24</v>
      </c>
      <c r="O112">
        <v>24</v>
      </c>
      <c r="P112">
        <v>0</v>
      </c>
      <c r="Q112" t="s">
        <v>62</v>
      </c>
      <c r="R112">
        <v>99996042736893</v>
      </c>
      <c r="S112">
        <v>10000478</v>
      </c>
      <c r="T112">
        <v>99996042736893</v>
      </c>
      <c r="U112">
        <v>10000478</v>
      </c>
      <c r="V112" t="s">
        <v>75</v>
      </c>
      <c r="W112">
        <v>29</v>
      </c>
      <c r="X112">
        <v>5931606</v>
      </c>
      <c r="Y112">
        <v>4466919</v>
      </c>
      <c r="Z112">
        <v>10398525</v>
      </c>
      <c r="AA112">
        <v>10000478</v>
      </c>
      <c r="AB112">
        <v>1.7530699999999999</v>
      </c>
      <c r="AC112">
        <v>2.2387899999999998</v>
      </c>
      <c r="AD112">
        <v>1.9617199999999999</v>
      </c>
      <c r="AE112">
        <v>22.843299999999999</v>
      </c>
      <c r="AM112">
        <v>411128054</v>
      </c>
      <c r="AN112">
        <v>0</v>
      </c>
      <c r="AO112">
        <v>4152978</v>
      </c>
      <c r="AP112">
        <v>411128054</v>
      </c>
      <c r="AQ112">
        <v>415281032</v>
      </c>
      <c r="AR112">
        <v>13704268</v>
      </c>
      <c r="AS112">
        <v>0</v>
      </c>
      <c r="AT112">
        <v>138432</v>
      </c>
      <c r="AU112">
        <v>13704268</v>
      </c>
      <c r="AV112">
        <v>13842701</v>
      </c>
      <c r="AW112">
        <v>27.485800000000001</v>
      </c>
      <c r="AX112">
        <v>9.3385599999999993</v>
      </c>
      <c r="AY112">
        <v>4836.4799999999996</v>
      </c>
      <c r="AZ112">
        <v>3636.86</v>
      </c>
      <c r="BA112">
        <v>1742</v>
      </c>
      <c r="BB112">
        <v>1450</v>
      </c>
      <c r="BC112" t="str">
        <f t="shared" si="2"/>
        <v>u=1%, k=2x10^7</v>
      </c>
      <c r="BD112">
        <f t="shared" si="3"/>
        <v>0</v>
      </c>
    </row>
    <row r="113" spans="1:56">
      <c r="A113" t="s">
        <v>197</v>
      </c>
      <c r="B113" t="s">
        <v>67</v>
      </c>
      <c r="D113" t="s">
        <v>65</v>
      </c>
      <c r="E113" t="s">
        <v>60</v>
      </c>
      <c r="F113" t="s">
        <v>61</v>
      </c>
      <c r="G113">
        <v>30000</v>
      </c>
      <c r="H113">
        <v>0.5</v>
      </c>
      <c r="I113">
        <v>0.5</v>
      </c>
      <c r="J113">
        <v>0</v>
      </c>
      <c r="K113">
        <v>1</v>
      </c>
      <c r="L113">
        <v>20000000</v>
      </c>
      <c r="M113">
        <v>48</v>
      </c>
      <c r="N113">
        <v>48</v>
      </c>
      <c r="O113">
        <v>48</v>
      </c>
      <c r="P113">
        <v>0</v>
      </c>
      <c r="Q113" t="s">
        <v>62</v>
      </c>
      <c r="R113">
        <v>99986621951079</v>
      </c>
      <c r="S113">
        <v>9999110</v>
      </c>
      <c r="T113">
        <v>99986621951079</v>
      </c>
      <c r="U113">
        <v>9999110</v>
      </c>
      <c r="V113" t="s">
        <v>75</v>
      </c>
      <c r="W113">
        <v>29</v>
      </c>
      <c r="X113">
        <v>6087019</v>
      </c>
      <c r="Y113">
        <v>4590816</v>
      </c>
      <c r="Z113">
        <v>10677835</v>
      </c>
      <c r="AA113">
        <v>9999110</v>
      </c>
      <c r="AB113">
        <v>1.7542</v>
      </c>
      <c r="AC113">
        <v>2.17807</v>
      </c>
      <c r="AD113">
        <v>1.9364399999999999</v>
      </c>
      <c r="AE113">
        <v>22.905999999999999</v>
      </c>
      <c r="AM113">
        <v>772138186</v>
      </c>
      <c r="AN113">
        <v>0</v>
      </c>
      <c r="AO113">
        <v>7800424</v>
      </c>
      <c r="AP113">
        <v>772138186</v>
      </c>
      <c r="AQ113">
        <v>779938610</v>
      </c>
      <c r="AR113">
        <v>25737939</v>
      </c>
      <c r="AS113">
        <v>0</v>
      </c>
      <c r="AT113">
        <v>260014</v>
      </c>
      <c r="AU113">
        <v>25737939</v>
      </c>
      <c r="AV113">
        <v>25997953</v>
      </c>
      <c r="AW113">
        <v>28.411000000000001</v>
      </c>
      <c r="AX113">
        <v>9.4319299999999995</v>
      </c>
      <c r="AY113">
        <v>5149.24</v>
      </c>
      <c r="AZ113">
        <v>3923.09</v>
      </c>
      <c r="BA113">
        <v>1765</v>
      </c>
      <c r="BB113">
        <v>1037</v>
      </c>
      <c r="BC113" t="str">
        <f t="shared" si="2"/>
        <v>u=1%, k=2x10^7</v>
      </c>
      <c r="BD113">
        <f t="shared" si="3"/>
        <v>0</v>
      </c>
    </row>
    <row r="114" spans="1:56">
      <c r="A114" t="s">
        <v>198</v>
      </c>
      <c r="B114" t="s">
        <v>67</v>
      </c>
      <c r="D114" t="s">
        <v>65</v>
      </c>
      <c r="E114" t="s">
        <v>60</v>
      </c>
      <c r="F114" t="s">
        <v>61</v>
      </c>
      <c r="G114">
        <v>30000</v>
      </c>
      <c r="H114">
        <v>0.5</v>
      </c>
      <c r="I114">
        <v>0.5</v>
      </c>
      <c r="J114">
        <v>0</v>
      </c>
      <c r="K114">
        <v>1</v>
      </c>
      <c r="L114">
        <v>20000000</v>
      </c>
      <c r="M114">
        <v>96</v>
      </c>
      <c r="N114">
        <v>96</v>
      </c>
      <c r="O114">
        <v>96</v>
      </c>
      <c r="P114">
        <v>0</v>
      </c>
      <c r="Q114" t="s">
        <v>62</v>
      </c>
      <c r="R114">
        <v>99983483866915</v>
      </c>
      <c r="S114">
        <v>9998304</v>
      </c>
      <c r="T114">
        <v>99983483866915</v>
      </c>
      <c r="U114">
        <v>9998304</v>
      </c>
      <c r="V114" t="s">
        <v>75</v>
      </c>
      <c r="W114">
        <v>29</v>
      </c>
      <c r="X114">
        <v>6382708</v>
      </c>
      <c r="Y114">
        <v>4824967</v>
      </c>
      <c r="Z114">
        <v>11207675</v>
      </c>
      <c r="AA114">
        <v>9998304</v>
      </c>
      <c r="AB114">
        <v>1.7559400000000001</v>
      </c>
      <c r="AC114">
        <v>2.0722</v>
      </c>
      <c r="AD114">
        <v>1.89209</v>
      </c>
      <c r="AE114">
        <v>23.046600000000002</v>
      </c>
      <c r="AM114">
        <v>1711185581</v>
      </c>
      <c r="AN114">
        <v>0</v>
      </c>
      <c r="AO114">
        <v>17285211</v>
      </c>
      <c r="AP114">
        <v>1711185581</v>
      </c>
      <c r="AQ114">
        <v>1728470792</v>
      </c>
      <c r="AR114">
        <v>57039519</v>
      </c>
      <c r="AS114">
        <v>0</v>
      </c>
      <c r="AT114">
        <v>576173</v>
      </c>
      <c r="AU114">
        <v>57039519</v>
      </c>
      <c r="AV114">
        <v>57615693</v>
      </c>
      <c r="AW114">
        <v>28.767800000000001</v>
      </c>
      <c r="AX114">
        <v>10.667899999999999</v>
      </c>
      <c r="AY114">
        <v>4639.3</v>
      </c>
      <c r="AZ114">
        <v>3329.77</v>
      </c>
      <c r="BA114">
        <v>1813</v>
      </c>
      <c r="BB114">
        <v>767</v>
      </c>
      <c r="BC114" t="str">
        <f t="shared" si="2"/>
        <v>u=1%, k=2x10^7</v>
      </c>
      <c r="BD114">
        <f t="shared" si="3"/>
        <v>0</v>
      </c>
    </row>
    <row r="115" spans="1:56">
      <c r="A115" t="s">
        <v>199</v>
      </c>
      <c r="B115" t="s">
        <v>67</v>
      </c>
      <c r="D115" t="s">
        <v>65</v>
      </c>
      <c r="E115" t="s">
        <v>60</v>
      </c>
      <c r="F115" t="s">
        <v>61</v>
      </c>
      <c r="G115">
        <v>30000</v>
      </c>
      <c r="H115">
        <v>0.5</v>
      </c>
      <c r="I115">
        <v>0.5</v>
      </c>
      <c r="J115">
        <v>0</v>
      </c>
      <c r="K115">
        <v>1</v>
      </c>
      <c r="L115">
        <v>20000000</v>
      </c>
      <c r="M115">
        <v>144</v>
      </c>
      <c r="N115">
        <v>144</v>
      </c>
      <c r="O115">
        <v>144</v>
      </c>
      <c r="P115">
        <v>0</v>
      </c>
      <c r="Q115" t="s">
        <v>62</v>
      </c>
      <c r="R115">
        <v>99969446964422</v>
      </c>
      <c r="S115">
        <v>9998775</v>
      </c>
      <c r="T115">
        <v>99969446964422</v>
      </c>
      <c r="U115">
        <v>9998775</v>
      </c>
      <c r="V115" t="s">
        <v>75</v>
      </c>
      <c r="W115">
        <v>29</v>
      </c>
      <c r="X115">
        <v>6549615</v>
      </c>
      <c r="Y115">
        <v>4958615</v>
      </c>
      <c r="Z115">
        <v>11508230</v>
      </c>
      <c r="AA115">
        <v>9998775</v>
      </c>
      <c r="AB115">
        <v>1.75708</v>
      </c>
      <c r="AC115">
        <v>2.0164499999999999</v>
      </c>
      <c r="AD115">
        <v>1.8688400000000001</v>
      </c>
      <c r="AE115">
        <v>23.100999999999999</v>
      </c>
      <c r="AM115">
        <v>2575278956</v>
      </c>
      <c r="AN115">
        <v>0</v>
      </c>
      <c r="AO115">
        <v>26020248</v>
      </c>
      <c r="AP115">
        <v>2575278956</v>
      </c>
      <c r="AQ115">
        <v>2601299204</v>
      </c>
      <c r="AR115">
        <v>85842631</v>
      </c>
      <c r="AS115">
        <v>0</v>
      </c>
      <c r="AT115">
        <v>867341</v>
      </c>
      <c r="AU115">
        <v>85842631</v>
      </c>
      <c r="AV115">
        <v>86709973</v>
      </c>
      <c r="AW115">
        <v>28.8416</v>
      </c>
      <c r="AX115">
        <v>10.848800000000001</v>
      </c>
      <c r="AY115">
        <v>4616.8500000000004</v>
      </c>
      <c r="AZ115">
        <v>3293</v>
      </c>
      <c r="BA115">
        <v>1842</v>
      </c>
      <c r="BB115">
        <v>473</v>
      </c>
      <c r="BC115" t="str">
        <f t="shared" si="2"/>
        <v>u=1%, k=2x10^7</v>
      </c>
      <c r="BD115">
        <f t="shared" si="3"/>
        <v>0</v>
      </c>
    </row>
    <row r="116" spans="1:56">
      <c r="A116" t="s">
        <v>200</v>
      </c>
      <c r="B116" t="s">
        <v>67</v>
      </c>
      <c r="D116" t="s">
        <v>65</v>
      </c>
      <c r="E116" t="s">
        <v>60</v>
      </c>
      <c r="F116" t="s">
        <v>61</v>
      </c>
      <c r="G116">
        <v>30000</v>
      </c>
      <c r="H116">
        <v>0.5</v>
      </c>
      <c r="I116">
        <v>0.5</v>
      </c>
      <c r="J116">
        <v>0</v>
      </c>
      <c r="K116">
        <v>1</v>
      </c>
      <c r="L116">
        <v>20000000</v>
      </c>
      <c r="M116">
        <v>190</v>
      </c>
      <c r="N116">
        <v>190</v>
      </c>
      <c r="O116">
        <v>190</v>
      </c>
      <c r="P116">
        <v>0</v>
      </c>
      <c r="Q116" t="s">
        <v>62</v>
      </c>
      <c r="R116">
        <v>99984957123027</v>
      </c>
      <c r="S116">
        <v>10000560</v>
      </c>
      <c r="T116">
        <v>99984957123027</v>
      </c>
      <c r="U116">
        <v>10000560</v>
      </c>
      <c r="V116" t="s">
        <v>75</v>
      </c>
      <c r="W116">
        <v>29</v>
      </c>
      <c r="X116">
        <v>6659800</v>
      </c>
      <c r="Y116">
        <v>5044099</v>
      </c>
      <c r="Z116">
        <v>11703899</v>
      </c>
      <c r="AA116">
        <v>10000560</v>
      </c>
      <c r="AB116">
        <v>1.75739</v>
      </c>
      <c r="AC116">
        <v>1.9826299999999999</v>
      </c>
      <c r="AD116">
        <v>1.85446</v>
      </c>
      <c r="AE116">
        <v>23.229800000000001</v>
      </c>
      <c r="AM116">
        <v>3418087082</v>
      </c>
      <c r="AN116">
        <v>0</v>
      </c>
      <c r="AO116">
        <v>34517843</v>
      </c>
      <c r="AP116">
        <v>3418087082</v>
      </c>
      <c r="AQ116">
        <v>3452604925</v>
      </c>
      <c r="AR116">
        <v>113936236</v>
      </c>
      <c r="AS116">
        <v>0</v>
      </c>
      <c r="AT116">
        <v>1150594</v>
      </c>
      <c r="AU116">
        <v>113936236</v>
      </c>
      <c r="AV116">
        <v>115086830</v>
      </c>
      <c r="AW116">
        <v>28.975000000000001</v>
      </c>
      <c r="AX116">
        <v>10.9628</v>
      </c>
      <c r="AY116">
        <v>4586.84</v>
      </c>
      <c r="AZ116">
        <v>3261.16</v>
      </c>
      <c r="BA116">
        <v>1865</v>
      </c>
      <c r="BB116">
        <v>455</v>
      </c>
      <c r="BC116" t="str">
        <f t="shared" si="2"/>
        <v>u=1%, k=2x10^7</v>
      </c>
      <c r="BD116">
        <f t="shared" si="3"/>
        <v>0</v>
      </c>
    </row>
    <row r="117" spans="1:56">
      <c r="A117" t="s">
        <v>201</v>
      </c>
      <c r="B117" t="s">
        <v>68</v>
      </c>
      <c r="D117" t="s">
        <v>65</v>
      </c>
      <c r="E117" t="s">
        <v>60</v>
      </c>
      <c r="F117" t="s">
        <v>61</v>
      </c>
      <c r="G117">
        <v>30000</v>
      </c>
      <c r="H117">
        <v>0.5</v>
      </c>
      <c r="I117">
        <v>0.5</v>
      </c>
      <c r="J117">
        <v>0</v>
      </c>
      <c r="K117">
        <v>1</v>
      </c>
      <c r="L117">
        <v>20000000</v>
      </c>
      <c r="M117">
        <v>24</v>
      </c>
      <c r="N117">
        <v>24</v>
      </c>
      <c r="O117">
        <v>24</v>
      </c>
      <c r="P117">
        <v>0</v>
      </c>
      <c r="Q117" t="s">
        <v>62</v>
      </c>
      <c r="R117">
        <v>99992004880007</v>
      </c>
      <c r="S117">
        <v>9997059</v>
      </c>
      <c r="T117">
        <v>99992004880007</v>
      </c>
      <c r="U117">
        <v>9997059</v>
      </c>
      <c r="V117" t="s">
        <v>75</v>
      </c>
      <c r="W117">
        <v>64</v>
      </c>
      <c r="X117">
        <v>9997058</v>
      </c>
      <c r="Y117">
        <v>9997059</v>
      </c>
      <c r="Z117">
        <v>19994117</v>
      </c>
      <c r="AA117">
        <v>9997059</v>
      </c>
      <c r="AB117">
        <v>2</v>
      </c>
      <c r="AC117">
        <v>1</v>
      </c>
      <c r="AD117">
        <v>1.5</v>
      </c>
      <c r="AE117">
        <v>32.756799999999998</v>
      </c>
      <c r="AM117">
        <v>333830905</v>
      </c>
      <c r="AN117">
        <v>0</v>
      </c>
      <c r="AO117">
        <v>3371806</v>
      </c>
      <c r="AP117">
        <v>333830905</v>
      </c>
      <c r="AQ117">
        <v>337202711</v>
      </c>
      <c r="AR117">
        <v>11127696</v>
      </c>
      <c r="AS117">
        <v>0</v>
      </c>
      <c r="AT117">
        <v>112393</v>
      </c>
      <c r="AU117">
        <v>11127696</v>
      </c>
      <c r="AV117">
        <v>11240090</v>
      </c>
      <c r="AW117">
        <v>24.313300000000002</v>
      </c>
      <c r="AX117">
        <v>8.6973500000000001</v>
      </c>
      <c r="AY117">
        <v>5956.76</v>
      </c>
      <c r="AZ117">
        <v>4523.75</v>
      </c>
      <c r="BA117">
        <v>1716</v>
      </c>
      <c r="BB117">
        <v>1501</v>
      </c>
      <c r="BC117" t="str">
        <f t="shared" si="2"/>
        <v>u=1%, k=2x10^7</v>
      </c>
      <c r="BD117">
        <f t="shared" si="3"/>
        <v>0</v>
      </c>
    </row>
    <row r="118" spans="1:56">
      <c r="A118" t="s">
        <v>202</v>
      </c>
      <c r="B118" t="s">
        <v>68</v>
      </c>
      <c r="D118" t="s">
        <v>65</v>
      </c>
      <c r="E118" t="s">
        <v>60</v>
      </c>
      <c r="F118" t="s">
        <v>61</v>
      </c>
      <c r="G118">
        <v>30000</v>
      </c>
      <c r="H118">
        <v>0.5</v>
      </c>
      <c r="I118">
        <v>0.5</v>
      </c>
      <c r="J118">
        <v>0</v>
      </c>
      <c r="K118">
        <v>1</v>
      </c>
      <c r="L118">
        <v>20000000</v>
      </c>
      <c r="M118">
        <v>48</v>
      </c>
      <c r="N118">
        <v>48</v>
      </c>
      <c r="O118">
        <v>48</v>
      </c>
      <c r="P118">
        <v>0</v>
      </c>
      <c r="Q118" t="s">
        <v>62</v>
      </c>
      <c r="R118">
        <v>100010576282451</v>
      </c>
      <c r="S118">
        <v>10001888</v>
      </c>
      <c r="T118">
        <v>100010576282451</v>
      </c>
      <c r="U118">
        <v>10001888</v>
      </c>
      <c r="V118" t="s">
        <v>75</v>
      </c>
      <c r="W118">
        <v>60</v>
      </c>
      <c r="X118">
        <v>10001887</v>
      </c>
      <c r="Y118">
        <v>10001888</v>
      </c>
      <c r="Z118">
        <v>20003775</v>
      </c>
      <c r="AA118">
        <v>10001888</v>
      </c>
      <c r="AB118">
        <v>2</v>
      </c>
      <c r="AC118">
        <v>1</v>
      </c>
      <c r="AD118">
        <v>1.5</v>
      </c>
      <c r="AE118">
        <v>31.605899999999998</v>
      </c>
      <c r="AM118">
        <v>638917809</v>
      </c>
      <c r="AN118">
        <v>0</v>
      </c>
      <c r="AO118">
        <v>6452021</v>
      </c>
      <c r="AP118">
        <v>638917809</v>
      </c>
      <c r="AQ118">
        <v>645369830</v>
      </c>
      <c r="AR118">
        <v>21297260</v>
      </c>
      <c r="AS118">
        <v>0</v>
      </c>
      <c r="AT118">
        <v>215067</v>
      </c>
      <c r="AU118">
        <v>21297260</v>
      </c>
      <c r="AV118">
        <v>21512327</v>
      </c>
      <c r="AW118">
        <v>24.2743</v>
      </c>
      <c r="AX118">
        <v>8.7542399999999994</v>
      </c>
      <c r="AY118">
        <v>6224.18</v>
      </c>
      <c r="AZ118">
        <v>5215.88</v>
      </c>
      <c r="BA118">
        <v>1722</v>
      </c>
      <c r="BB118">
        <v>1060</v>
      </c>
      <c r="BC118" t="str">
        <f t="shared" si="2"/>
        <v>u=1%, k=2x10^7</v>
      </c>
      <c r="BD118">
        <f t="shared" si="3"/>
        <v>0</v>
      </c>
    </row>
    <row r="119" spans="1:56">
      <c r="A119" t="s">
        <v>203</v>
      </c>
      <c r="B119" t="s">
        <v>68</v>
      </c>
      <c r="D119" t="s">
        <v>65</v>
      </c>
      <c r="E119" t="s">
        <v>60</v>
      </c>
      <c r="F119" t="s">
        <v>61</v>
      </c>
      <c r="G119">
        <v>30000</v>
      </c>
      <c r="H119">
        <v>0.5</v>
      </c>
      <c r="I119">
        <v>0.5</v>
      </c>
      <c r="J119">
        <v>0</v>
      </c>
      <c r="K119">
        <v>1</v>
      </c>
      <c r="L119">
        <v>20000000</v>
      </c>
      <c r="M119">
        <v>96</v>
      </c>
      <c r="N119">
        <v>96</v>
      </c>
      <c r="O119">
        <v>96</v>
      </c>
      <c r="P119">
        <v>0</v>
      </c>
      <c r="Q119" t="s">
        <v>62</v>
      </c>
      <c r="R119">
        <v>100027036534799</v>
      </c>
      <c r="S119">
        <v>9999816</v>
      </c>
      <c r="T119">
        <v>100027036534799</v>
      </c>
      <c r="U119">
        <v>9999816</v>
      </c>
      <c r="V119" t="s">
        <v>75</v>
      </c>
      <c r="W119">
        <v>60</v>
      </c>
      <c r="X119">
        <v>9999815</v>
      </c>
      <c r="Y119">
        <v>9999816</v>
      </c>
      <c r="Z119">
        <v>19999631</v>
      </c>
      <c r="AA119">
        <v>9999816</v>
      </c>
      <c r="AB119">
        <v>2</v>
      </c>
      <c r="AC119">
        <v>1</v>
      </c>
      <c r="AD119">
        <v>1.5</v>
      </c>
      <c r="AE119">
        <v>31.020299999999999</v>
      </c>
      <c r="AM119">
        <v>1459971767</v>
      </c>
      <c r="AN119">
        <v>0</v>
      </c>
      <c r="AO119">
        <v>14753551</v>
      </c>
      <c r="AP119">
        <v>1459971767</v>
      </c>
      <c r="AQ119">
        <v>1474725318</v>
      </c>
      <c r="AR119">
        <v>48665725</v>
      </c>
      <c r="AS119">
        <v>0</v>
      </c>
      <c r="AT119">
        <v>491785</v>
      </c>
      <c r="AU119">
        <v>48665725</v>
      </c>
      <c r="AV119">
        <v>49157510</v>
      </c>
      <c r="AW119">
        <v>25.116199999999999</v>
      </c>
      <c r="AX119">
        <v>10.081799999999999</v>
      </c>
      <c r="AY119">
        <v>5439.84</v>
      </c>
      <c r="AZ119">
        <v>4432.62</v>
      </c>
      <c r="BA119">
        <v>1738</v>
      </c>
      <c r="BB119">
        <v>733</v>
      </c>
      <c r="BC119" t="str">
        <f t="shared" si="2"/>
        <v>u=1%, k=2x10^7</v>
      </c>
      <c r="BD119">
        <f t="shared" si="3"/>
        <v>0</v>
      </c>
    </row>
    <row r="120" spans="1:56">
      <c r="A120" t="s">
        <v>204</v>
      </c>
      <c r="B120" t="s">
        <v>68</v>
      </c>
      <c r="D120" t="s">
        <v>65</v>
      </c>
      <c r="E120" t="s">
        <v>60</v>
      </c>
      <c r="F120" t="s">
        <v>61</v>
      </c>
      <c r="G120">
        <v>30000</v>
      </c>
      <c r="H120">
        <v>0.5</v>
      </c>
      <c r="I120">
        <v>0.5</v>
      </c>
      <c r="J120">
        <v>0</v>
      </c>
      <c r="K120">
        <v>1</v>
      </c>
      <c r="L120">
        <v>20000000</v>
      </c>
      <c r="M120">
        <v>144</v>
      </c>
      <c r="N120">
        <v>144</v>
      </c>
      <c r="O120">
        <v>144</v>
      </c>
      <c r="P120">
        <v>0</v>
      </c>
      <c r="Q120" t="s">
        <v>62</v>
      </c>
      <c r="R120">
        <v>99981164887228</v>
      </c>
      <c r="S120">
        <v>9996673</v>
      </c>
      <c r="T120">
        <v>99981164887228</v>
      </c>
      <c r="U120">
        <v>9996673</v>
      </c>
      <c r="V120" t="s">
        <v>75</v>
      </c>
      <c r="W120">
        <v>60</v>
      </c>
      <c r="X120">
        <v>9996672</v>
      </c>
      <c r="Y120">
        <v>9996673</v>
      </c>
      <c r="Z120">
        <v>19993345</v>
      </c>
      <c r="AA120">
        <v>9996673</v>
      </c>
      <c r="AB120">
        <v>2</v>
      </c>
      <c r="AC120">
        <v>1</v>
      </c>
      <c r="AD120">
        <v>1.5</v>
      </c>
      <c r="AE120">
        <v>31.6935</v>
      </c>
      <c r="AM120">
        <v>2223126933</v>
      </c>
      <c r="AN120">
        <v>0</v>
      </c>
      <c r="AO120">
        <v>22458736</v>
      </c>
      <c r="AP120">
        <v>2223126933</v>
      </c>
      <c r="AQ120">
        <v>2245585669</v>
      </c>
      <c r="AR120">
        <v>74104231</v>
      </c>
      <c r="AS120">
        <v>0</v>
      </c>
      <c r="AT120">
        <v>748624</v>
      </c>
      <c r="AU120">
        <v>74104231</v>
      </c>
      <c r="AV120">
        <v>74852855</v>
      </c>
      <c r="AW120">
        <v>25.3017</v>
      </c>
      <c r="AX120">
        <v>10.2578</v>
      </c>
      <c r="AY120">
        <v>5354.8</v>
      </c>
      <c r="AZ120">
        <v>4349.96</v>
      </c>
      <c r="BA120">
        <v>1750</v>
      </c>
      <c r="BB120">
        <v>429</v>
      </c>
      <c r="BC120" t="str">
        <f t="shared" si="2"/>
        <v>u=1%, k=2x10^7</v>
      </c>
      <c r="BD120">
        <f t="shared" si="3"/>
        <v>0</v>
      </c>
    </row>
    <row r="121" spans="1:56">
      <c r="A121" t="s">
        <v>205</v>
      </c>
      <c r="B121" t="s">
        <v>68</v>
      </c>
      <c r="D121" t="s">
        <v>65</v>
      </c>
      <c r="E121" t="s">
        <v>60</v>
      </c>
      <c r="F121" t="s">
        <v>61</v>
      </c>
      <c r="G121">
        <v>30000</v>
      </c>
      <c r="H121">
        <v>0.5</v>
      </c>
      <c r="I121">
        <v>0.5</v>
      </c>
      <c r="J121">
        <v>0</v>
      </c>
      <c r="K121">
        <v>1</v>
      </c>
      <c r="L121">
        <v>20000000</v>
      </c>
      <c r="M121">
        <v>190</v>
      </c>
      <c r="N121">
        <v>190</v>
      </c>
      <c r="O121">
        <v>190</v>
      </c>
      <c r="P121">
        <v>0</v>
      </c>
      <c r="Q121" t="s">
        <v>62</v>
      </c>
      <c r="R121">
        <v>100027227398268</v>
      </c>
      <c r="S121">
        <v>10002475</v>
      </c>
      <c r="T121">
        <v>100027227398268</v>
      </c>
      <c r="U121">
        <v>10002475</v>
      </c>
      <c r="V121" t="s">
        <v>75</v>
      </c>
      <c r="W121">
        <v>60</v>
      </c>
      <c r="X121">
        <v>10002474</v>
      </c>
      <c r="Y121">
        <v>10002475</v>
      </c>
      <c r="Z121">
        <v>20004949</v>
      </c>
      <c r="AA121">
        <v>10002475</v>
      </c>
      <c r="AB121">
        <v>2</v>
      </c>
      <c r="AC121">
        <v>1</v>
      </c>
      <c r="AD121">
        <v>1.5</v>
      </c>
      <c r="AE121">
        <v>30.752099999999999</v>
      </c>
      <c r="AM121">
        <v>2957740705</v>
      </c>
      <c r="AN121">
        <v>0</v>
      </c>
      <c r="AO121">
        <v>29879199</v>
      </c>
      <c r="AP121">
        <v>2957740705</v>
      </c>
      <c r="AQ121">
        <v>2987619904</v>
      </c>
      <c r="AR121">
        <v>98591356</v>
      </c>
      <c r="AS121">
        <v>0</v>
      </c>
      <c r="AT121">
        <v>995973</v>
      </c>
      <c r="AU121">
        <v>98591356</v>
      </c>
      <c r="AV121">
        <v>99587330</v>
      </c>
      <c r="AW121">
        <v>25.445</v>
      </c>
      <c r="AX121">
        <v>10.3771</v>
      </c>
      <c r="AY121">
        <v>5309.59</v>
      </c>
      <c r="AZ121">
        <v>4307.22</v>
      </c>
      <c r="BA121">
        <v>1761</v>
      </c>
      <c r="BB121">
        <v>458</v>
      </c>
      <c r="BC121" t="str">
        <f t="shared" si="2"/>
        <v>u=1%, k=2x10^7</v>
      </c>
      <c r="BD121">
        <f t="shared" si="3"/>
        <v>0</v>
      </c>
    </row>
    <row r="122" spans="1:56">
      <c r="A122" t="s">
        <v>206</v>
      </c>
      <c r="B122" t="s">
        <v>64</v>
      </c>
      <c r="C122">
        <v>72</v>
      </c>
      <c r="D122" t="s">
        <v>65</v>
      </c>
      <c r="E122" t="s">
        <v>60</v>
      </c>
      <c r="F122" t="s">
        <v>61</v>
      </c>
      <c r="G122">
        <v>30000</v>
      </c>
      <c r="H122">
        <v>0.5</v>
      </c>
      <c r="I122">
        <v>0.5</v>
      </c>
      <c r="J122">
        <v>0</v>
      </c>
      <c r="K122">
        <v>1</v>
      </c>
      <c r="L122">
        <v>200000000</v>
      </c>
      <c r="M122">
        <v>24</v>
      </c>
      <c r="N122">
        <v>24</v>
      </c>
      <c r="O122">
        <v>24</v>
      </c>
      <c r="P122">
        <v>0</v>
      </c>
      <c r="Q122" t="s">
        <v>62</v>
      </c>
      <c r="R122">
        <v>9999921786498060</v>
      </c>
      <c r="S122">
        <v>99998790</v>
      </c>
      <c r="T122">
        <v>9999921786498060</v>
      </c>
      <c r="U122">
        <v>99998790</v>
      </c>
      <c r="V122" t="s">
        <v>75</v>
      </c>
      <c r="W122">
        <v>7</v>
      </c>
      <c r="X122">
        <v>12908803</v>
      </c>
      <c r="Y122">
        <v>113847952</v>
      </c>
      <c r="Z122">
        <v>126756755</v>
      </c>
      <c r="AA122">
        <v>99998790</v>
      </c>
      <c r="AB122">
        <v>9.8193999999999999</v>
      </c>
      <c r="AC122">
        <v>0.87835399999999997</v>
      </c>
      <c r="AD122">
        <v>1.7888999999999999</v>
      </c>
      <c r="AE122">
        <v>4.0388400000000004</v>
      </c>
      <c r="AM122">
        <v>856303383</v>
      </c>
      <c r="AN122">
        <v>0</v>
      </c>
      <c r="AO122">
        <v>8649794</v>
      </c>
      <c r="AP122">
        <v>856303383</v>
      </c>
      <c r="AQ122">
        <v>864953177</v>
      </c>
      <c r="AR122">
        <v>28543446</v>
      </c>
      <c r="AS122">
        <v>0</v>
      </c>
      <c r="AT122">
        <v>288326</v>
      </c>
      <c r="AU122">
        <v>28543446</v>
      </c>
      <c r="AV122">
        <v>28831772</v>
      </c>
      <c r="AW122">
        <v>18.799399999999999</v>
      </c>
      <c r="AX122">
        <v>8.2034500000000001</v>
      </c>
      <c r="AY122">
        <v>2320.84</v>
      </c>
      <c r="AZ122">
        <v>1732.31</v>
      </c>
      <c r="BA122">
        <v>7280</v>
      </c>
      <c r="BB122">
        <v>1551</v>
      </c>
      <c r="BC122" t="str">
        <f t="shared" si="2"/>
        <v>u=1%, k=2x10^8</v>
      </c>
      <c r="BD122">
        <f t="shared" si="3"/>
        <v>0</v>
      </c>
    </row>
    <row r="123" spans="1:56">
      <c r="A123" t="s">
        <v>207</v>
      </c>
      <c r="B123" t="s">
        <v>64</v>
      </c>
      <c r="C123">
        <v>72</v>
      </c>
      <c r="D123" t="s">
        <v>65</v>
      </c>
      <c r="E123" t="s">
        <v>60</v>
      </c>
      <c r="F123" t="s">
        <v>61</v>
      </c>
      <c r="G123">
        <v>30000</v>
      </c>
      <c r="H123">
        <v>0.5</v>
      </c>
      <c r="I123">
        <v>0.5</v>
      </c>
      <c r="J123">
        <v>0</v>
      </c>
      <c r="K123">
        <v>1</v>
      </c>
      <c r="L123">
        <v>200000000</v>
      </c>
      <c r="M123">
        <v>48</v>
      </c>
      <c r="N123">
        <v>48</v>
      </c>
      <c r="O123">
        <v>48</v>
      </c>
      <c r="P123">
        <v>0</v>
      </c>
      <c r="Q123" t="s">
        <v>62</v>
      </c>
      <c r="R123">
        <v>9999332984144690</v>
      </c>
      <c r="S123">
        <v>99996440</v>
      </c>
      <c r="T123">
        <v>9999332984144690</v>
      </c>
      <c r="U123">
        <v>99996440</v>
      </c>
      <c r="V123" t="s">
        <v>75</v>
      </c>
      <c r="W123">
        <v>7</v>
      </c>
      <c r="X123">
        <v>13900284</v>
      </c>
      <c r="Y123">
        <v>115927022</v>
      </c>
      <c r="Z123">
        <v>129827306</v>
      </c>
      <c r="AA123">
        <v>99996440</v>
      </c>
      <c r="AB123">
        <v>9.3399000000000001</v>
      </c>
      <c r="AC123">
        <v>0.86258100000000004</v>
      </c>
      <c r="AD123">
        <v>1.77023</v>
      </c>
      <c r="AE123">
        <v>4.0597200000000004</v>
      </c>
      <c r="AM123">
        <v>1507752004</v>
      </c>
      <c r="AN123">
        <v>0</v>
      </c>
      <c r="AO123">
        <v>15227770</v>
      </c>
      <c r="AP123">
        <v>1507752004</v>
      </c>
      <c r="AQ123">
        <v>1522979774</v>
      </c>
      <c r="AR123">
        <v>50258400</v>
      </c>
      <c r="AS123">
        <v>0</v>
      </c>
      <c r="AT123">
        <v>507592</v>
      </c>
      <c r="AU123">
        <v>50258400</v>
      </c>
      <c r="AV123">
        <v>50765992</v>
      </c>
      <c r="AW123">
        <v>18.884</v>
      </c>
      <c r="AX123">
        <v>8.2545599999999997</v>
      </c>
      <c r="AY123">
        <v>2635.75</v>
      </c>
      <c r="AZ123">
        <v>1955.07</v>
      </c>
      <c r="BA123">
        <v>7481</v>
      </c>
      <c r="BB123">
        <v>1248</v>
      </c>
      <c r="BC123" t="str">
        <f t="shared" si="2"/>
        <v>u=1%, k=2x10^8</v>
      </c>
      <c r="BD123">
        <f t="shared" si="3"/>
        <v>0</v>
      </c>
    </row>
    <row r="124" spans="1:56">
      <c r="A124" t="s">
        <v>208</v>
      </c>
      <c r="B124" t="s">
        <v>64</v>
      </c>
      <c r="C124">
        <v>72</v>
      </c>
      <c r="D124" t="s">
        <v>65</v>
      </c>
      <c r="E124" t="s">
        <v>60</v>
      </c>
      <c r="F124" t="s">
        <v>61</v>
      </c>
      <c r="G124">
        <v>30000</v>
      </c>
      <c r="H124">
        <v>0.5</v>
      </c>
      <c r="I124">
        <v>0.5</v>
      </c>
      <c r="J124">
        <v>0</v>
      </c>
      <c r="K124">
        <v>1</v>
      </c>
      <c r="L124">
        <v>200000000</v>
      </c>
      <c r="M124">
        <v>96</v>
      </c>
      <c r="N124">
        <v>96</v>
      </c>
      <c r="O124">
        <v>96</v>
      </c>
      <c r="P124">
        <v>0</v>
      </c>
      <c r="Q124" t="s">
        <v>62</v>
      </c>
      <c r="R124">
        <v>1.00005526708424E+16</v>
      </c>
      <c r="S124">
        <v>99999883</v>
      </c>
      <c r="T124">
        <v>1.00005526708424E+16</v>
      </c>
      <c r="U124">
        <v>99999883</v>
      </c>
      <c r="V124" t="s">
        <v>75</v>
      </c>
      <c r="W124">
        <v>7</v>
      </c>
      <c r="X124">
        <v>14926755</v>
      </c>
      <c r="Y124">
        <v>118217064</v>
      </c>
      <c r="Z124">
        <v>133143819</v>
      </c>
      <c r="AA124">
        <v>99999883</v>
      </c>
      <c r="AB124">
        <v>8.91981</v>
      </c>
      <c r="AC124">
        <v>0.84590100000000001</v>
      </c>
      <c r="AD124">
        <v>1.7510699999999999</v>
      </c>
      <c r="AE124">
        <v>4.0817800000000002</v>
      </c>
      <c r="AM124">
        <v>2991851373</v>
      </c>
      <c r="AN124">
        <v>0</v>
      </c>
      <c r="AO124">
        <v>30218216</v>
      </c>
      <c r="AP124">
        <v>2991851373</v>
      </c>
      <c r="AQ124">
        <v>3022069589</v>
      </c>
      <c r="AR124">
        <v>99728379</v>
      </c>
      <c r="AS124">
        <v>0</v>
      </c>
      <c r="AT124">
        <v>1007273</v>
      </c>
      <c r="AU124">
        <v>99728379</v>
      </c>
      <c r="AV124">
        <v>100735652</v>
      </c>
      <c r="AW124">
        <v>19.168199999999999</v>
      </c>
      <c r="AX124">
        <v>9.16371</v>
      </c>
      <c r="AY124">
        <v>2652.66</v>
      </c>
      <c r="AZ124">
        <v>1919.98</v>
      </c>
      <c r="BA124">
        <v>7901</v>
      </c>
      <c r="BB124">
        <v>1055</v>
      </c>
      <c r="BC124" t="str">
        <f t="shared" si="2"/>
        <v>u=1%, k=2x10^8</v>
      </c>
      <c r="BD124">
        <f t="shared" si="3"/>
        <v>0</v>
      </c>
    </row>
    <row r="125" spans="1:56">
      <c r="A125" t="s">
        <v>209</v>
      </c>
      <c r="B125" t="s">
        <v>64</v>
      </c>
      <c r="C125">
        <v>72</v>
      </c>
      <c r="D125" t="s">
        <v>65</v>
      </c>
      <c r="E125" t="s">
        <v>60</v>
      </c>
      <c r="F125" t="s">
        <v>61</v>
      </c>
      <c r="G125">
        <v>30000</v>
      </c>
      <c r="H125">
        <v>0.5</v>
      </c>
      <c r="I125">
        <v>0.5</v>
      </c>
      <c r="J125">
        <v>0</v>
      </c>
      <c r="K125">
        <v>1</v>
      </c>
      <c r="L125">
        <v>200000000</v>
      </c>
      <c r="M125">
        <v>144</v>
      </c>
      <c r="N125">
        <v>144</v>
      </c>
      <c r="O125">
        <v>144</v>
      </c>
      <c r="P125">
        <v>0</v>
      </c>
      <c r="Q125" t="s">
        <v>62</v>
      </c>
      <c r="R125">
        <v>9999077908357350</v>
      </c>
      <c r="S125">
        <v>99991781</v>
      </c>
      <c r="T125">
        <v>9999077908357350</v>
      </c>
      <c r="U125">
        <v>99991781</v>
      </c>
      <c r="V125" t="s">
        <v>75</v>
      </c>
      <c r="W125">
        <v>7</v>
      </c>
      <c r="X125">
        <v>13910085</v>
      </c>
      <c r="Y125">
        <v>115997827</v>
      </c>
      <c r="Z125">
        <v>129907912</v>
      </c>
      <c r="AA125">
        <v>99991781</v>
      </c>
      <c r="AB125">
        <v>9.3391199999999994</v>
      </c>
      <c r="AC125">
        <v>0.86201399999999995</v>
      </c>
      <c r="AD125">
        <v>1.7697099999999999</v>
      </c>
      <c r="AE125">
        <v>4.0578099999999999</v>
      </c>
      <c r="AM125">
        <v>4378523574</v>
      </c>
      <c r="AN125">
        <v>0</v>
      </c>
      <c r="AO125">
        <v>44230516</v>
      </c>
      <c r="AP125">
        <v>4378523574</v>
      </c>
      <c r="AQ125">
        <v>4422754090</v>
      </c>
      <c r="AR125">
        <v>145950785</v>
      </c>
      <c r="AS125">
        <v>0</v>
      </c>
      <c r="AT125">
        <v>1474350</v>
      </c>
      <c r="AU125">
        <v>145950785</v>
      </c>
      <c r="AV125">
        <v>147425136</v>
      </c>
      <c r="AW125">
        <v>19.248699999999999</v>
      </c>
      <c r="AX125">
        <v>9.4655299999999993</v>
      </c>
      <c r="AY125">
        <v>2712.36</v>
      </c>
      <c r="AZ125">
        <v>1960.2</v>
      </c>
      <c r="BA125">
        <v>8761</v>
      </c>
      <c r="BB125">
        <v>1031</v>
      </c>
      <c r="BC125" t="str">
        <f t="shared" si="2"/>
        <v>u=1%, k=2x10^8</v>
      </c>
      <c r="BD125">
        <f t="shared" si="3"/>
        <v>0</v>
      </c>
    </row>
    <row r="126" spans="1:56">
      <c r="A126" t="s">
        <v>210</v>
      </c>
      <c r="B126" t="s">
        <v>64</v>
      </c>
      <c r="C126">
        <v>72</v>
      </c>
      <c r="D126" t="s">
        <v>65</v>
      </c>
      <c r="E126" t="s">
        <v>60</v>
      </c>
      <c r="F126" t="s">
        <v>61</v>
      </c>
      <c r="G126">
        <v>30000</v>
      </c>
      <c r="H126">
        <v>0.5</v>
      </c>
      <c r="I126">
        <v>0.5</v>
      </c>
      <c r="J126">
        <v>0</v>
      </c>
      <c r="K126">
        <v>1</v>
      </c>
      <c r="L126">
        <v>200000000</v>
      </c>
      <c r="M126">
        <v>190</v>
      </c>
      <c r="N126">
        <v>190</v>
      </c>
      <c r="O126">
        <v>190</v>
      </c>
      <c r="P126">
        <v>0</v>
      </c>
      <c r="Q126" t="s">
        <v>62</v>
      </c>
      <c r="R126">
        <v>9999758602336900</v>
      </c>
      <c r="S126">
        <v>100001679</v>
      </c>
      <c r="T126">
        <v>9999758602336900</v>
      </c>
      <c r="U126">
        <v>100001679</v>
      </c>
      <c r="V126" t="s">
        <v>75</v>
      </c>
      <c r="W126">
        <v>7</v>
      </c>
      <c r="X126">
        <v>12544402</v>
      </c>
      <c r="Y126">
        <v>113102318</v>
      </c>
      <c r="Z126">
        <v>125646720</v>
      </c>
      <c r="AA126">
        <v>100001679</v>
      </c>
      <c r="AB126">
        <v>10.0162</v>
      </c>
      <c r="AC126">
        <v>0.88417000000000001</v>
      </c>
      <c r="AD126">
        <v>1.7959000000000001</v>
      </c>
      <c r="AE126">
        <v>4.03125</v>
      </c>
      <c r="AM126">
        <v>5617040370</v>
      </c>
      <c r="AN126">
        <v>0</v>
      </c>
      <c r="AO126">
        <v>56725964</v>
      </c>
      <c r="AP126">
        <v>5617040370</v>
      </c>
      <c r="AQ126">
        <v>5673766334</v>
      </c>
      <c r="AR126">
        <v>187234679</v>
      </c>
      <c r="AS126">
        <v>0</v>
      </c>
      <c r="AT126">
        <v>1890865</v>
      </c>
      <c r="AU126">
        <v>187234679</v>
      </c>
      <c r="AV126">
        <v>189125544</v>
      </c>
      <c r="AW126">
        <v>19.406099999999999</v>
      </c>
      <c r="AX126">
        <v>9.5748999999999995</v>
      </c>
      <c r="AY126">
        <v>2739.01</v>
      </c>
      <c r="AZ126">
        <v>1976.2</v>
      </c>
      <c r="BA126">
        <v>13350</v>
      </c>
      <c r="BB126">
        <v>1219</v>
      </c>
      <c r="BC126" t="str">
        <f t="shared" si="2"/>
        <v>u=1%, k=2x10^8</v>
      </c>
      <c r="BD126">
        <f t="shared" si="3"/>
        <v>0</v>
      </c>
    </row>
    <row r="127" spans="1:56">
      <c r="A127" t="s">
        <v>211</v>
      </c>
      <c r="B127" t="s">
        <v>66</v>
      </c>
      <c r="C127">
        <v>208</v>
      </c>
      <c r="D127" t="s">
        <v>65</v>
      </c>
      <c r="E127" t="s">
        <v>60</v>
      </c>
      <c r="F127" t="s">
        <v>61</v>
      </c>
      <c r="G127">
        <v>30000</v>
      </c>
      <c r="H127">
        <v>0.5</v>
      </c>
      <c r="I127">
        <v>0.5</v>
      </c>
      <c r="J127">
        <v>0</v>
      </c>
      <c r="K127">
        <v>1</v>
      </c>
      <c r="L127">
        <v>200000000</v>
      </c>
      <c r="M127">
        <v>24</v>
      </c>
      <c r="N127">
        <v>24</v>
      </c>
      <c r="O127">
        <v>24</v>
      </c>
      <c r="P127">
        <v>0</v>
      </c>
      <c r="Q127" t="s">
        <v>62</v>
      </c>
      <c r="R127">
        <v>1.0000339572905E+16</v>
      </c>
      <c r="S127">
        <v>99999867</v>
      </c>
      <c r="T127">
        <v>1.0000339572905E+16</v>
      </c>
      <c r="U127">
        <v>99999867</v>
      </c>
      <c r="V127" t="s">
        <v>75</v>
      </c>
      <c r="W127">
        <v>10</v>
      </c>
      <c r="X127">
        <v>1879318</v>
      </c>
      <c r="Y127">
        <v>12933138</v>
      </c>
      <c r="Z127">
        <v>14812456</v>
      </c>
      <c r="AA127">
        <v>99999867</v>
      </c>
      <c r="AB127">
        <v>7.8818299999999999</v>
      </c>
      <c r="AC127">
        <v>7.7320700000000002</v>
      </c>
      <c r="AD127">
        <v>7.7510700000000003</v>
      </c>
      <c r="AE127">
        <v>9</v>
      </c>
      <c r="AM127">
        <v>595189412</v>
      </c>
      <c r="AN127">
        <v>0</v>
      </c>
      <c r="AO127">
        <v>6008143</v>
      </c>
      <c r="AP127">
        <v>595189412</v>
      </c>
      <c r="AQ127">
        <v>601197555</v>
      </c>
      <c r="AR127">
        <v>19839647</v>
      </c>
      <c r="AS127">
        <v>0</v>
      </c>
      <c r="AT127">
        <v>200271</v>
      </c>
      <c r="AU127">
        <v>19839647</v>
      </c>
      <c r="AV127">
        <v>20039918</v>
      </c>
      <c r="AW127">
        <v>23.6843</v>
      </c>
      <c r="AX127">
        <v>9.5071100000000008</v>
      </c>
      <c r="AY127">
        <v>3340.34</v>
      </c>
      <c r="AZ127">
        <v>2238.9699999999998</v>
      </c>
      <c r="BA127">
        <v>4341</v>
      </c>
      <c r="BB127">
        <v>9588</v>
      </c>
      <c r="BC127" t="str">
        <f t="shared" si="2"/>
        <v>u=1%, k=2x10^8</v>
      </c>
      <c r="BD127">
        <f t="shared" si="3"/>
        <v>0</v>
      </c>
    </row>
    <row r="128" spans="1:56">
      <c r="A128" t="s">
        <v>212</v>
      </c>
      <c r="B128" t="s">
        <v>66</v>
      </c>
      <c r="C128">
        <v>208</v>
      </c>
      <c r="D128" t="s">
        <v>65</v>
      </c>
      <c r="E128" t="s">
        <v>60</v>
      </c>
      <c r="F128" t="s">
        <v>61</v>
      </c>
      <c r="G128">
        <v>30000</v>
      </c>
      <c r="H128">
        <v>0.5</v>
      </c>
      <c r="I128">
        <v>0.5</v>
      </c>
      <c r="J128">
        <v>0</v>
      </c>
      <c r="K128">
        <v>1</v>
      </c>
      <c r="L128">
        <v>200000000</v>
      </c>
      <c r="M128">
        <v>48</v>
      </c>
      <c r="N128">
        <v>48</v>
      </c>
      <c r="O128">
        <v>48</v>
      </c>
      <c r="P128">
        <v>0</v>
      </c>
      <c r="Q128" t="s">
        <v>62</v>
      </c>
      <c r="R128">
        <v>9999703347392910</v>
      </c>
      <c r="S128">
        <v>100000591</v>
      </c>
      <c r="T128">
        <v>9999703347392910</v>
      </c>
      <c r="U128">
        <v>100000591</v>
      </c>
      <c r="V128" t="s">
        <v>75</v>
      </c>
      <c r="W128">
        <v>10</v>
      </c>
      <c r="X128">
        <v>1899419</v>
      </c>
      <c r="Y128">
        <v>13071005</v>
      </c>
      <c r="Z128">
        <v>14970424</v>
      </c>
      <c r="AA128">
        <v>100000591</v>
      </c>
      <c r="AB128">
        <v>7.8815799999999996</v>
      </c>
      <c r="AC128">
        <v>7.6505700000000001</v>
      </c>
      <c r="AD128">
        <v>7.6798799999999998</v>
      </c>
      <c r="AE128">
        <v>9</v>
      </c>
      <c r="AM128">
        <v>1123909702</v>
      </c>
      <c r="AN128">
        <v>0</v>
      </c>
      <c r="AO128">
        <v>11351753</v>
      </c>
      <c r="AP128">
        <v>1123909702</v>
      </c>
      <c r="AQ128">
        <v>1135261455</v>
      </c>
      <c r="AR128">
        <v>37463656</v>
      </c>
      <c r="AS128">
        <v>0</v>
      </c>
      <c r="AT128">
        <v>378391</v>
      </c>
      <c r="AU128">
        <v>37463656</v>
      </c>
      <c r="AV128">
        <v>37842048</v>
      </c>
      <c r="AW128">
        <v>23.680900000000001</v>
      </c>
      <c r="AX128">
        <v>9.5778099999999995</v>
      </c>
      <c r="AY128">
        <v>3536.86</v>
      </c>
      <c r="AZ128">
        <v>2653.41</v>
      </c>
      <c r="BA128">
        <v>4461</v>
      </c>
      <c r="BB128">
        <v>6546</v>
      </c>
      <c r="BC128" t="str">
        <f t="shared" si="2"/>
        <v>u=1%, k=2x10^8</v>
      </c>
      <c r="BD128">
        <f t="shared" si="3"/>
        <v>0</v>
      </c>
    </row>
    <row r="129" spans="1:56">
      <c r="A129" t="s">
        <v>213</v>
      </c>
      <c r="B129" t="s">
        <v>66</v>
      </c>
      <c r="C129">
        <v>208</v>
      </c>
      <c r="D129" t="s">
        <v>65</v>
      </c>
      <c r="E129" t="s">
        <v>60</v>
      </c>
      <c r="F129" t="s">
        <v>61</v>
      </c>
      <c r="G129">
        <v>30000</v>
      </c>
      <c r="H129">
        <v>0.5</v>
      </c>
      <c r="I129">
        <v>0.5</v>
      </c>
      <c r="J129">
        <v>0</v>
      </c>
      <c r="K129">
        <v>1</v>
      </c>
      <c r="L129">
        <v>200000000</v>
      </c>
      <c r="M129">
        <v>96</v>
      </c>
      <c r="N129">
        <v>96</v>
      </c>
      <c r="O129">
        <v>96</v>
      </c>
      <c r="P129">
        <v>0</v>
      </c>
      <c r="Q129" t="s">
        <v>62</v>
      </c>
      <c r="R129">
        <v>9999684365877600</v>
      </c>
      <c r="S129">
        <v>99998049</v>
      </c>
      <c r="T129">
        <v>9999684365877600</v>
      </c>
      <c r="U129">
        <v>99998049</v>
      </c>
      <c r="V129" t="s">
        <v>75</v>
      </c>
      <c r="W129">
        <v>10</v>
      </c>
      <c r="X129">
        <v>1938395</v>
      </c>
      <c r="Y129">
        <v>13339015</v>
      </c>
      <c r="Z129">
        <v>15277410</v>
      </c>
      <c r="AA129">
        <v>99998049</v>
      </c>
      <c r="AB129">
        <v>7.8814700000000002</v>
      </c>
      <c r="AC129">
        <v>7.4966600000000003</v>
      </c>
      <c r="AD129">
        <v>7.5454800000000004</v>
      </c>
      <c r="AE129">
        <v>9</v>
      </c>
      <c r="AM129">
        <v>2366633708</v>
      </c>
      <c r="AN129">
        <v>0</v>
      </c>
      <c r="AO129">
        <v>23908160</v>
      </c>
      <c r="AP129">
        <v>2366633708</v>
      </c>
      <c r="AQ129">
        <v>2390541868</v>
      </c>
      <c r="AR129">
        <v>78887790</v>
      </c>
      <c r="AS129">
        <v>0</v>
      </c>
      <c r="AT129">
        <v>796938</v>
      </c>
      <c r="AU129">
        <v>78887790</v>
      </c>
      <c r="AV129">
        <v>79684728</v>
      </c>
      <c r="AW129">
        <v>23.7319</v>
      </c>
      <c r="AX129">
        <v>10.324999999999999</v>
      </c>
      <c r="AY129">
        <v>3353.87</v>
      </c>
      <c r="AZ129">
        <v>2408.0700000000002</v>
      </c>
      <c r="BA129">
        <v>4845</v>
      </c>
      <c r="BB129">
        <v>6492</v>
      </c>
      <c r="BC129" t="str">
        <f t="shared" si="2"/>
        <v>u=1%, k=2x10^8</v>
      </c>
      <c r="BD129">
        <f t="shared" si="3"/>
        <v>0</v>
      </c>
    </row>
    <row r="130" spans="1:56">
      <c r="A130" t="s">
        <v>214</v>
      </c>
      <c r="B130" t="s">
        <v>66</v>
      </c>
      <c r="C130">
        <v>208</v>
      </c>
      <c r="D130" t="s">
        <v>65</v>
      </c>
      <c r="E130" t="s">
        <v>60</v>
      </c>
      <c r="F130" t="s">
        <v>61</v>
      </c>
      <c r="G130">
        <v>30000</v>
      </c>
      <c r="H130">
        <v>0.5</v>
      </c>
      <c r="I130">
        <v>0.5</v>
      </c>
      <c r="J130">
        <v>0</v>
      </c>
      <c r="K130">
        <v>1</v>
      </c>
      <c r="L130">
        <v>200000000</v>
      </c>
      <c r="M130">
        <v>144</v>
      </c>
      <c r="N130">
        <v>144</v>
      </c>
      <c r="O130">
        <v>144</v>
      </c>
      <c r="P130">
        <v>0</v>
      </c>
      <c r="Q130" t="s">
        <v>62</v>
      </c>
      <c r="R130">
        <v>1.00000863011625E+16</v>
      </c>
      <c r="S130">
        <v>100001549</v>
      </c>
      <c r="T130">
        <v>1.00000863011625E+16</v>
      </c>
      <c r="U130">
        <v>100001549</v>
      </c>
      <c r="V130" t="s">
        <v>75</v>
      </c>
      <c r="W130">
        <v>10</v>
      </c>
      <c r="X130">
        <v>1970302</v>
      </c>
      <c r="Y130">
        <v>13549582</v>
      </c>
      <c r="Z130">
        <v>15519884</v>
      </c>
      <c r="AA130">
        <v>100001549</v>
      </c>
      <c r="AB130">
        <v>7.8769099999999996</v>
      </c>
      <c r="AC130">
        <v>7.38042</v>
      </c>
      <c r="AD130">
        <v>7.4434500000000003</v>
      </c>
      <c r="AE130">
        <v>9</v>
      </c>
      <c r="AM130">
        <v>3528940932</v>
      </c>
      <c r="AN130">
        <v>0</v>
      </c>
      <c r="AO130">
        <v>35644426</v>
      </c>
      <c r="AP130">
        <v>3528940932</v>
      </c>
      <c r="AQ130">
        <v>3564585358</v>
      </c>
      <c r="AR130">
        <v>117631364</v>
      </c>
      <c r="AS130">
        <v>0</v>
      </c>
      <c r="AT130">
        <v>1188147</v>
      </c>
      <c r="AU130">
        <v>117631364</v>
      </c>
      <c r="AV130">
        <v>118819511</v>
      </c>
      <c r="AW130">
        <v>23.8063</v>
      </c>
      <c r="AX130">
        <v>10.517799999999999</v>
      </c>
      <c r="AY130">
        <v>3366.82</v>
      </c>
      <c r="AZ130">
        <v>2401.54</v>
      </c>
      <c r="BA130">
        <v>4881</v>
      </c>
      <c r="BB130">
        <v>5959</v>
      </c>
      <c r="BC130" t="str">
        <f t="shared" si="2"/>
        <v>u=1%, k=2x10^8</v>
      </c>
      <c r="BD130">
        <f t="shared" si="3"/>
        <v>0</v>
      </c>
    </row>
    <row r="131" spans="1:56">
      <c r="A131" t="s">
        <v>215</v>
      </c>
      <c r="B131" t="s">
        <v>66</v>
      </c>
      <c r="C131">
        <v>208</v>
      </c>
      <c r="D131" t="s">
        <v>65</v>
      </c>
      <c r="E131" t="s">
        <v>60</v>
      </c>
      <c r="F131" t="s">
        <v>61</v>
      </c>
      <c r="G131">
        <v>30000</v>
      </c>
      <c r="H131">
        <v>0.5</v>
      </c>
      <c r="I131">
        <v>0.5</v>
      </c>
      <c r="J131">
        <v>0</v>
      </c>
      <c r="K131">
        <v>1</v>
      </c>
      <c r="L131">
        <v>200000000</v>
      </c>
      <c r="M131">
        <v>190</v>
      </c>
      <c r="N131">
        <v>190</v>
      </c>
      <c r="O131">
        <v>190</v>
      </c>
      <c r="P131">
        <v>0</v>
      </c>
      <c r="Q131" t="s">
        <v>62</v>
      </c>
      <c r="R131">
        <v>1.00005192577018E+16</v>
      </c>
      <c r="S131">
        <v>100001168</v>
      </c>
      <c r="T131">
        <v>1.00005192577018E+16</v>
      </c>
      <c r="U131">
        <v>100001168</v>
      </c>
      <c r="V131" t="s">
        <v>75</v>
      </c>
      <c r="W131">
        <v>10</v>
      </c>
      <c r="X131">
        <v>1995490</v>
      </c>
      <c r="Y131">
        <v>13725653</v>
      </c>
      <c r="Z131">
        <v>15721143</v>
      </c>
      <c r="AA131">
        <v>100001168</v>
      </c>
      <c r="AB131">
        <v>7.8783399999999997</v>
      </c>
      <c r="AC131">
        <v>7.2857099999999999</v>
      </c>
      <c r="AD131">
        <v>7.3609299999999998</v>
      </c>
      <c r="AE131">
        <v>9</v>
      </c>
      <c r="AM131">
        <v>4634503639</v>
      </c>
      <c r="AN131">
        <v>0</v>
      </c>
      <c r="AO131">
        <v>46810570</v>
      </c>
      <c r="AP131">
        <v>4634503639</v>
      </c>
      <c r="AQ131">
        <v>4681314209</v>
      </c>
      <c r="AR131">
        <v>154483454</v>
      </c>
      <c r="AS131">
        <v>0</v>
      </c>
      <c r="AT131">
        <v>1560352</v>
      </c>
      <c r="AU131">
        <v>154483454</v>
      </c>
      <c r="AV131">
        <v>156043806</v>
      </c>
      <c r="AW131">
        <v>23.8963</v>
      </c>
      <c r="AX131">
        <v>10.806699999999999</v>
      </c>
      <c r="AY131">
        <v>3381.59</v>
      </c>
      <c r="AZ131">
        <v>2416.8000000000002</v>
      </c>
      <c r="BA131">
        <v>5362</v>
      </c>
      <c r="BB131">
        <v>6024</v>
      </c>
      <c r="BC131" t="str">
        <f t="shared" ref="BC131:BC194" si="4">"u="&amp;(H131+I131)&amp;"%, k=2x10^"&amp;LOG10(L131/2)</f>
        <v>u=1%, k=2x10^8</v>
      </c>
      <c r="BD131">
        <f t="shared" ref="BD131:BD194" si="5">IF(AH131="",0,LEFT(AH131,IF(ISNUMBER(FIND(" ",AH131)),FIND(" ",AH131)-1,LEN(AH131))))</f>
        <v>0</v>
      </c>
    </row>
    <row r="132" spans="1:56">
      <c r="A132" t="s">
        <v>216</v>
      </c>
      <c r="B132" t="s">
        <v>67</v>
      </c>
      <c r="D132" t="s">
        <v>65</v>
      </c>
      <c r="E132" t="s">
        <v>60</v>
      </c>
      <c r="F132" t="s">
        <v>61</v>
      </c>
      <c r="G132">
        <v>30000</v>
      </c>
      <c r="H132">
        <v>0.5</v>
      </c>
      <c r="I132">
        <v>0.5</v>
      </c>
      <c r="J132">
        <v>0</v>
      </c>
      <c r="K132">
        <v>1</v>
      </c>
      <c r="L132">
        <v>200000000</v>
      </c>
      <c r="M132">
        <v>24</v>
      </c>
      <c r="N132">
        <v>24</v>
      </c>
      <c r="O132">
        <v>24</v>
      </c>
      <c r="P132">
        <v>0</v>
      </c>
      <c r="Q132" t="s">
        <v>62</v>
      </c>
      <c r="R132">
        <v>1.00003894719622E+16</v>
      </c>
      <c r="S132">
        <v>100001476</v>
      </c>
      <c r="T132">
        <v>1.00003894719622E+16</v>
      </c>
      <c r="U132">
        <v>100001476</v>
      </c>
      <c r="V132" t="s">
        <v>75</v>
      </c>
      <c r="W132">
        <v>33</v>
      </c>
      <c r="X132">
        <v>57291975</v>
      </c>
      <c r="Y132">
        <v>42983053</v>
      </c>
      <c r="Z132">
        <v>100275028</v>
      </c>
      <c r="AA132">
        <v>100001476</v>
      </c>
      <c r="AB132">
        <v>1.7502500000000001</v>
      </c>
      <c r="AC132">
        <v>2.32653</v>
      </c>
      <c r="AD132">
        <v>1.9972700000000001</v>
      </c>
      <c r="AE132">
        <v>26.063099999999999</v>
      </c>
      <c r="AM132">
        <v>254626181</v>
      </c>
      <c r="AN132">
        <v>0</v>
      </c>
      <c r="AO132">
        <v>2576220</v>
      </c>
      <c r="AP132">
        <v>254626181</v>
      </c>
      <c r="AQ132">
        <v>257202401</v>
      </c>
      <c r="AR132">
        <v>8487539</v>
      </c>
      <c r="AS132">
        <v>0</v>
      </c>
      <c r="AT132">
        <v>85874</v>
      </c>
      <c r="AU132">
        <v>8487539</v>
      </c>
      <c r="AV132">
        <v>8573413</v>
      </c>
      <c r="AW132">
        <v>39.620199999999997</v>
      </c>
      <c r="AX132">
        <v>17.6265</v>
      </c>
      <c r="AY132">
        <v>7809.08</v>
      </c>
      <c r="AZ132">
        <v>6492.94</v>
      </c>
      <c r="BA132">
        <v>7544</v>
      </c>
      <c r="BB132">
        <v>17170</v>
      </c>
      <c r="BC132" t="str">
        <f t="shared" si="4"/>
        <v>u=1%, k=2x10^8</v>
      </c>
      <c r="BD132">
        <f t="shared" si="5"/>
        <v>0</v>
      </c>
    </row>
    <row r="133" spans="1:56">
      <c r="A133" t="s">
        <v>217</v>
      </c>
      <c r="B133" t="s">
        <v>67</v>
      </c>
      <c r="D133" t="s">
        <v>65</v>
      </c>
      <c r="E133" t="s">
        <v>60</v>
      </c>
      <c r="F133" t="s">
        <v>61</v>
      </c>
      <c r="G133">
        <v>30000</v>
      </c>
      <c r="H133">
        <v>0.5</v>
      </c>
      <c r="I133">
        <v>0.5</v>
      </c>
      <c r="J133">
        <v>0</v>
      </c>
      <c r="K133">
        <v>1</v>
      </c>
      <c r="L133">
        <v>200000000</v>
      </c>
      <c r="M133">
        <v>48</v>
      </c>
      <c r="N133">
        <v>48</v>
      </c>
      <c r="O133">
        <v>48</v>
      </c>
      <c r="P133">
        <v>0</v>
      </c>
      <c r="Q133" t="s">
        <v>62</v>
      </c>
      <c r="R133">
        <v>9999912540503920</v>
      </c>
      <c r="S133">
        <v>100002555</v>
      </c>
      <c r="T133">
        <v>9999912540503920</v>
      </c>
      <c r="U133">
        <v>100002555</v>
      </c>
      <c r="V133" t="s">
        <v>75</v>
      </c>
      <c r="W133">
        <v>33</v>
      </c>
      <c r="X133">
        <v>57424095</v>
      </c>
      <c r="Y133">
        <v>43096879</v>
      </c>
      <c r="Z133">
        <v>100520974</v>
      </c>
      <c r="AA133">
        <v>100002555</v>
      </c>
      <c r="AB133">
        <v>1.7504999999999999</v>
      </c>
      <c r="AC133">
        <v>2.3204099999999999</v>
      </c>
      <c r="AD133">
        <v>1.9948399999999999</v>
      </c>
      <c r="AE133">
        <v>26.102900000000002</v>
      </c>
      <c r="AM133">
        <v>486343045</v>
      </c>
      <c r="AN133">
        <v>0</v>
      </c>
      <c r="AO133">
        <v>4909187</v>
      </c>
      <c r="AP133">
        <v>486343045</v>
      </c>
      <c r="AQ133">
        <v>491252232</v>
      </c>
      <c r="AR133">
        <v>16211434</v>
      </c>
      <c r="AS133">
        <v>0</v>
      </c>
      <c r="AT133">
        <v>163639</v>
      </c>
      <c r="AU133">
        <v>16211434</v>
      </c>
      <c r="AV133">
        <v>16375074</v>
      </c>
      <c r="AW133">
        <v>40.467599999999997</v>
      </c>
      <c r="AX133">
        <v>17.7227</v>
      </c>
      <c r="AY133">
        <v>8175.7</v>
      </c>
      <c r="AZ133">
        <v>6867.95</v>
      </c>
      <c r="BA133">
        <v>7568</v>
      </c>
      <c r="BB133">
        <v>9231</v>
      </c>
      <c r="BC133" t="str">
        <f t="shared" si="4"/>
        <v>u=1%, k=2x10^8</v>
      </c>
      <c r="BD133">
        <f t="shared" si="5"/>
        <v>0</v>
      </c>
    </row>
    <row r="134" spans="1:56">
      <c r="A134" t="s">
        <v>218</v>
      </c>
      <c r="B134" t="s">
        <v>67</v>
      </c>
      <c r="D134" t="s">
        <v>65</v>
      </c>
      <c r="E134" t="s">
        <v>60</v>
      </c>
      <c r="F134" t="s">
        <v>61</v>
      </c>
      <c r="G134">
        <v>30000</v>
      </c>
      <c r="H134">
        <v>0.5</v>
      </c>
      <c r="I134">
        <v>0.5</v>
      </c>
      <c r="J134">
        <v>0</v>
      </c>
      <c r="K134">
        <v>1</v>
      </c>
      <c r="L134">
        <v>200000000</v>
      </c>
      <c r="M134">
        <v>96</v>
      </c>
      <c r="N134">
        <v>96</v>
      </c>
      <c r="O134">
        <v>96</v>
      </c>
      <c r="P134">
        <v>0</v>
      </c>
      <c r="Q134" t="s">
        <v>62</v>
      </c>
      <c r="R134">
        <v>9999729267516530</v>
      </c>
      <c r="S134">
        <v>100000163</v>
      </c>
      <c r="T134">
        <v>9999729267516530</v>
      </c>
      <c r="U134">
        <v>100000163</v>
      </c>
      <c r="V134" t="s">
        <v>75</v>
      </c>
      <c r="W134">
        <v>33</v>
      </c>
      <c r="X134">
        <v>57737458</v>
      </c>
      <c r="Y134">
        <v>43352777</v>
      </c>
      <c r="Z134">
        <v>101090235</v>
      </c>
      <c r="AA134">
        <v>100000163</v>
      </c>
      <c r="AB134">
        <v>1.7508600000000001</v>
      </c>
      <c r="AC134">
        <v>2.3066599999999999</v>
      </c>
      <c r="AD134">
        <v>1.98922</v>
      </c>
      <c r="AE134">
        <v>26.1</v>
      </c>
      <c r="AM134">
        <v>1038136474</v>
      </c>
      <c r="AN134">
        <v>0</v>
      </c>
      <c r="AO134">
        <v>10486179</v>
      </c>
      <c r="AP134">
        <v>1038136474</v>
      </c>
      <c r="AQ134">
        <v>1048622653</v>
      </c>
      <c r="AR134">
        <v>34604549</v>
      </c>
      <c r="AS134">
        <v>0</v>
      </c>
      <c r="AT134">
        <v>349539</v>
      </c>
      <c r="AU134">
        <v>34604549</v>
      </c>
      <c r="AV134">
        <v>34954088</v>
      </c>
      <c r="AW134">
        <v>40.753100000000003</v>
      </c>
      <c r="AX134">
        <v>19.566600000000001</v>
      </c>
      <c r="AY134">
        <v>7649.54</v>
      </c>
      <c r="AZ134">
        <v>6238.55</v>
      </c>
      <c r="BA134">
        <v>7617</v>
      </c>
      <c r="BB134">
        <v>4723</v>
      </c>
      <c r="BC134" t="str">
        <f t="shared" si="4"/>
        <v>u=1%, k=2x10^8</v>
      </c>
      <c r="BD134">
        <f t="shared" si="5"/>
        <v>0</v>
      </c>
    </row>
    <row r="135" spans="1:56">
      <c r="A135" t="s">
        <v>219</v>
      </c>
      <c r="B135" t="s">
        <v>67</v>
      </c>
      <c r="D135" t="s">
        <v>65</v>
      </c>
      <c r="E135" t="s">
        <v>60</v>
      </c>
      <c r="F135" t="s">
        <v>61</v>
      </c>
      <c r="G135">
        <v>30000</v>
      </c>
      <c r="H135">
        <v>0.5</v>
      </c>
      <c r="I135">
        <v>0.5</v>
      </c>
      <c r="J135">
        <v>0</v>
      </c>
      <c r="K135">
        <v>1</v>
      </c>
      <c r="L135">
        <v>200000000</v>
      </c>
      <c r="M135">
        <v>144</v>
      </c>
      <c r="N135">
        <v>144</v>
      </c>
      <c r="O135">
        <v>144</v>
      </c>
      <c r="P135">
        <v>0</v>
      </c>
      <c r="Q135" t="s">
        <v>62</v>
      </c>
      <c r="R135">
        <v>9999942638965760</v>
      </c>
      <c r="S135">
        <v>99999857</v>
      </c>
      <c r="T135">
        <v>9999942638965760</v>
      </c>
      <c r="U135">
        <v>99999857</v>
      </c>
      <c r="V135" t="s">
        <v>75</v>
      </c>
      <c r="W135">
        <v>33</v>
      </c>
      <c r="X135">
        <v>58028716</v>
      </c>
      <c r="Y135">
        <v>43596655</v>
      </c>
      <c r="Z135">
        <v>101625371</v>
      </c>
      <c r="AA135">
        <v>99999857</v>
      </c>
      <c r="AB135">
        <v>1.75129</v>
      </c>
      <c r="AC135">
        <v>2.2937500000000002</v>
      </c>
      <c r="AD135">
        <v>1.984</v>
      </c>
      <c r="AE135">
        <v>26.099399999999999</v>
      </c>
      <c r="AM135">
        <v>1568342961</v>
      </c>
      <c r="AN135">
        <v>0</v>
      </c>
      <c r="AO135">
        <v>15834574</v>
      </c>
      <c r="AP135">
        <v>1568342961</v>
      </c>
      <c r="AQ135">
        <v>1584177535</v>
      </c>
      <c r="AR135">
        <v>52278098</v>
      </c>
      <c r="AS135">
        <v>0</v>
      </c>
      <c r="AT135">
        <v>527819</v>
      </c>
      <c r="AU135">
        <v>52278098</v>
      </c>
      <c r="AV135">
        <v>52805917</v>
      </c>
      <c r="AW135">
        <v>41.7729</v>
      </c>
      <c r="AX135">
        <v>19.910799999999998</v>
      </c>
      <c r="AY135">
        <v>7592.57</v>
      </c>
      <c r="AZ135">
        <v>6170.68</v>
      </c>
      <c r="BA135">
        <v>7666</v>
      </c>
      <c r="BB135">
        <v>3117</v>
      </c>
      <c r="BC135" t="str">
        <f t="shared" si="4"/>
        <v>u=1%, k=2x10^8</v>
      </c>
      <c r="BD135">
        <f t="shared" si="5"/>
        <v>0</v>
      </c>
    </row>
    <row r="136" spans="1:56">
      <c r="A136" t="s">
        <v>220</v>
      </c>
      <c r="B136" t="s">
        <v>67</v>
      </c>
      <c r="D136" t="s">
        <v>65</v>
      </c>
      <c r="E136" t="s">
        <v>60</v>
      </c>
      <c r="F136" t="s">
        <v>61</v>
      </c>
      <c r="G136">
        <v>30000</v>
      </c>
      <c r="H136">
        <v>0.5</v>
      </c>
      <c r="I136">
        <v>0.5</v>
      </c>
      <c r="J136">
        <v>0</v>
      </c>
      <c r="K136">
        <v>1</v>
      </c>
      <c r="L136">
        <v>200000000</v>
      </c>
      <c r="M136">
        <v>190</v>
      </c>
      <c r="N136">
        <v>190</v>
      </c>
      <c r="O136">
        <v>190</v>
      </c>
      <c r="P136">
        <v>0</v>
      </c>
      <c r="Q136" t="s">
        <v>62</v>
      </c>
      <c r="R136">
        <v>1.00003418732784E+16</v>
      </c>
      <c r="S136">
        <v>100001574</v>
      </c>
      <c r="T136">
        <v>1.00003418732784E+16</v>
      </c>
      <c r="U136">
        <v>100001574</v>
      </c>
      <c r="V136" t="s">
        <v>75</v>
      </c>
      <c r="W136">
        <v>33</v>
      </c>
      <c r="X136">
        <v>58313159</v>
      </c>
      <c r="Y136">
        <v>43829334</v>
      </c>
      <c r="Z136">
        <v>102142493</v>
      </c>
      <c r="AA136">
        <v>100001574</v>
      </c>
      <c r="AB136">
        <v>1.75162</v>
      </c>
      <c r="AC136">
        <v>2.2816100000000001</v>
      </c>
      <c r="AD136">
        <v>1.9790399999999999</v>
      </c>
      <c r="AE136">
        <v>26.138999999999999</v>
      </c>
      <c r="AM136">
        <v>2092656109</v>
      </c>
      <c r="AN136">
        <v>0</v>
      </c>
      <c r="AO136">
        <v>21141700</v>
      </c>
      <c r="AP136">
        <v>2092656109</v>
      </c>
      <c r="AQ136">
        <v>2113797809</v>
      </c>
      <c r="AR136">
        <v>69755203</v>
      </c>
      <c r="AS136">
        <v>0</v>
      </c>
      <c r="AT136">
        <v>704723</v>
      </c>
      <c r="AU136">
        <v>69755203</v>
      </c>
      <c r="AV136">
        <v>70459926</v>
      </c>
      <c r="AW136">
        <v>41.148699999999998</v>
      </c>
      <c r="AX136">
        <v>20.1326</v>
      </c>
      <c r="AY136">
        <v>7507.32</v>
      </c>
      <c r="AZ136">
        <v>6084.43</v>
      </c>
      <c r="BA136">
        <v>7714</v>
      </c>
      <c r="BB136">
        <v>2778</v>
      </c>
      <c r="BC136" t="str">
        <f t="shared" si="4"/>
        <v>u=1%, k=2x10^8</v>
      </c>
      <c r="BD136">
        <f t="shared" si="5"/>
        <v>0</v>
      </c>
    </row>
    <row r="137" spans="1:56">
      <c r="A137" t="s">
        <v>221</v>
      </c>
      <c r="B137" t="s">
        <v>68</v>
      </c>
      <c r="D137" t="s">
        <v>65</v>
      </c>
      <c r="E137" t="s">
        <v>60</v>
      </c>
      <c r="F137" t="s">
        <v>61</v>
      </c>
      <c r="G137">
        <v>30000</v>
      </c>
      <c r="H137">
        <v>0.5</v>
      </c>
      <c r="I137">
        <v>0.5</v>
      </c>
      <c r="J137">
        <v>0</v>
      </c>
      <c r="K137">
        <v>1</v>
      </c>
      <c r="L137">
        <v>200000000</v>
      </c>
      <c r="M137">
        <v>24</v>
      </c>
      <c r="N137">
        <v>24</v>
      </c>
      <c r="O137">
        <v>24</v>
      </c>
      <c r="P137">
        <v>0</v>
      </c>
      <c r="Q137" t="s">
        <v>62</v>
      </c>
      <c r="R137">
        <v>9999994681221530</v>
      </c>
      <c r="S137">
        <v>99999934</v>
      </c>
      <c r="T137">
        <v>9999994681221530</v>
      </c>
      <c r="U137">
        <v>99999934</v>
      </c>
      <c r="V137" t="s">
        <v>75</v>
      </c>
      <c r="W137">
        <v>71</v>
      </c>
      <c r="X137">
        <v>99999933</v>
      </c>
      <c r="Y137">
        <v>99999934</v>
      </c>
      <c r="Z137">
        <v>199999867</v>
      </c>
      <c r="AA137">
        <v>99999934</v>
      </c>
      <c r="AB137">
        <v>2</v>
      </c>
      <c r="AC137">
        <v>1</v>
      </c>
      <c r="AD137">
        <v>1.5</v>
      </c>
      <c r="AE137">
        <v>36.657600000000002</v>
      </c>
      <c r="AM137">
        <v>203538156</v>
      </c>
      <c r="AN137">
        <v>0</v>
      </c>
      <c r="AO137">
        <v>2055768</v>
      </c>
      <c r="AP137">
        <v>203538156</v>
      </c>
      <c r="AQ137">
        <v>205593924</v>
      </c>
      <c r="AR137">
        <v>6784605</v>
      </c>
      <c r="AS137">
        <v>0</v>
      </c>
      <c r="AT137">
        <v>68525</v>
      </c>
      <c r="AU137">
        <v>6784605</v>
      </c>
      <c r="AV137">
        <v>6853130</v>
      </c>
      <c r="AW137">
        <v>37.567900000000002</v>
      </c>
      <c r="AX137">
        <v>16.936</v>
      </c>
      <c r="AY137">
        <v>9769.89</v>
      </c>
      <c r="AZ137">
        <v>8070.43</v>
      </c>
      <c r="BA137">
        <v>7526</v>
      </c>
      <c r="BB137">
        <v>18931</v>
      </c>
      <c r="BC137" t="str">
        <f t="shared" si="4"/>
        <v>u=1%, k=2x10^8</v>
      </c>
      <c r="BD137">
        <f t="shared" si="5"/>
        <v>0</v>
      </c>
    </row>
    <row r="138" spans="1:56">
      <c r="A138" t="s">
        <v>222</v>
      </c>
      <c r="B138" t="s">
        <v>68</v>
      </c>
      <c r="D138" t="s">
        <v>65</v>
      </c>
      <c r="E138" t="s">
        <v>60</v>
      </c>
      <c r="F138" t="s">
        <v>61</v>
      </c>
      <c r="G138">
        <v>30000</v>
      </c>
      <c r="H138">
        <v>0.5</v>
      </c>
      <c r="I138">
        <v>0.5</v>
      </c>
      <c r="J138">
        <v>0</v>
      </c>
      <c r="K138">
        <v>1</v>
      </c>
      <c r="L138">
        <v>200000000</v>
      </c>
      <c r="M138">
        <v>48</v>
      </c>
      <c r="N138">
        <v>48</v>
      </c>
      <c r="O138">
        <v>48</v>
      </c>
      <c r="P138">
        <v>0</v>
      </c>
      <c r="Q138" t="s">
        <v>62</v>
      </c>
      <c r="R138">
        <v>9999906451770860</v>
      </c>
      <c r="S138">
        <v>99997422</v>
      </c>
      <c r="T138">
        <v>9999906451770860</v>
      </c>
      <c r="U138">
        <v>99997422</v>
      </c>
      <c r="V138" t="s">
        <v>75</v>
      </c>
      <c r="W138">
        <v>66</v>
      </c>
      <c r="X138">
        <v>99997421</v>
      </c>
      <c r="Y138">
        <v>99997422</v>
      </c>
      <c r="Z138">
        <v>199994843</v>
      </c>
      <c r="AA138">
        <v>99997422</v>
      </c>
      <c r="AB138">
        <v>2</v>
      </c>
      <c r="AC138">
        <v>1</v>
      </c>
      <c r="AD138">
        <v>1.5</v>
      </c>
      <c r="AE138">
        <v>34.976300000000002</v>
      </c>
      <c r="AM138">
        <v>395486725</v>
      </c>
      <c r="AN138">
        <v>0</v>
      </c>
      <c r="AO138">
        <v>3988928</v>
      </c>
      <c r="AP138">
        <v>395486725</v>
      </c>
      <c r="AQ138">
        <v>399475653</v>
      </c>
      <c r="AR138">
        <v>13182890</v>
      </c>
      <c r="AS138">
        <v>0</v>
      </c>
      <c r="AT138">
        <v>132964</v>
      </c>
      <c r="AU138">
        <v>13182890</v>
      </c>
      <c r="AV138">
        <v>13315855</v>
      </c>
      <c r="AW138">
        <v>37.481000000000002</v>
      </c>
      <c r="AX138">
        <v>16.916699999999999</v>
      </c>
      <c r="AY138">
        <v>10055.4</v>
      </c>
      <c r="AZ138">
        <v>8969.83</v>
      </c>
      <c r="BA138">
        <v>7534</v>
      </c>
      <c r="BB138">
        <v>9926</v>
      </c>
      <c r="BC138" t="str">
        <f t="shared" si="4"/>
        <v>u=1%, k=2x10^8</v>
      </c>
      <c r="BD138">
        <f t="shared" si="5"/>
        <v>0</v>
      </c>
    </row>
    <row r="139" spans="1:56">
      <c r="A139" t="s">
        <v>223</v>
      </c>
      <c r="B139" t="s">
        <v>68</v>
      </c>
      <c r="D139" t="s">
        <v>65</v>
      </c>
      <c r="E139" t="s">
        <v>60</v>
      </c>
      <c r="F139" t="s">
        <v>61</v>
      </c>
      <c r="G139">
        <v>30000</v>
      </c>
      <c r="H139">
        <v>0.5</v>
      </c>
      <c r="I139">
        <v>0.5</v>
      </c>
      <c r="J139">
        <v>0</v>
      </c>
      <c r="K139">
        <v>1</v>
      </c>
      <c r="L139">
        <v>200000000</v>
      </c>
      <c r="M139">
        <v>96</v>
      </c>
      <c r="N139">
        <v>96</v>
      </c>
      <c r="O139">
        <v>96</v>
      </c>
      <c r="P139">
        <v>0</v>
      </c>
      <c r="Q139" t="s">
        <v>62</v>
      </c>
      <c r="R139">
        <v>9999865248186090</v>
      </c>
      <c r="S139">
        <v>100000177</v>
      </c>
      <c r="T139">
        <v>9999865248186090</v>
      </c>
      <c r="U139">
        <v>100000177</v>
      </c>
      <c r="V139" t="s">
        <v>75</v>
      </c>
      <c r="W139">
        <v>66</v>
      </c>
      <c r="X139">
        <v>100000176</v>
      </c>
      <c r="Y139">
        <v>100000177</v>
      </c>
      <c r="Z139">
        <v>200000353</v>
      </c>
      <c r="AA139">
        <v>100000177</v>
      </c>
      <c r="AB139">
        <v>2</v>
      </c>
      <c r="AC139">
        <v>1</v>
      </c>
      <c r="AD139">
        <v>1.5</v>
      </c>
      <c r="AE139">
        <v>34.805100000000003</v>
      </c>
      <c r="AM139">
        <v>866702255</v>
      </c>
      <c r="AN139">
        <v>0</v>
      </c>
      <c r="AO139">
        <v>8759083</v>
      </c>
      <c r="AP139">
        <v>866702255</v>
      </c>
      <c r="AQ139">
        <v>875461338</v>
      </c>
      <c r="AR139">
        <v>28890075</v>
      </c>
      <c r="AS139">
        <v>0</v>
      </c>
      <c r="AT139">
        <v>291969</v>
      </c>
      <c r="AU139">
        <v>28890075</v>
      </c>
      <c r="AV139">
        <v>29182044</v>
      </c>
      <c r="AW139">
        <v>38.096600000000002</v>
      </c>
      <c r="AX139">
        <v>18.790199999999999</v>
      </c>
      <c r="AY139">
        <v>9165.66</v>
      </c>
      <c r="AZ139">
        <v>8021.55</v>
      </c>
      <c r="BA139">
        <v>7549</v>
      </c>
      <c r="BB139">
        <v>4749</v>
      </c>
      <c r="BC139" t="str">
        <f t="shared" si="4"/>
        <v>u=1%, k=2x10^8</v>
      </c>
      <c r="BD139">
        <f t="shared" si="5"/>
        <v>0</v>
      </c>
    </row>
    <row r="140" spans="1:56">
      <c r="A140" t="s">
        <v>224</v>
      </c>
      <c r="B140" t="s">
        <v>68</v>
      </c>
      <c r="D140" t="s">
        <v>65</v>
      </c>
      <c r="E140" t="s">
        <v>60</v>
      </c>
      <c r="F140" t="s">
        <v>61</v>
      </c>
      <c r="G140">
        <v>30000</v>
      </c>
      <c r="H140">
        <v>0.5</v>
      </c>
      <c r="I140">
        <v>0.5</v>
      </c>
      <c r="J140">
        <v>0</v>
      </c>
      <c r="K140">
        <v>1</v>
      </c>
      <c r="L140">
        <v>200000000</v>
      </c>
      <c r="M140">
        <v>144</v>
      </c>
      <c r="N140">
        <v>144</v>
      </c>
      <c r="O140">
        <v>144</v>
      </c>
      <c r="P140">
        <v>0</v>
      </c>
      <c r="Q140" t="s">
        <v>62</v>
      </c>
      <c r="R140">
        <v>1.00007060511108E+16</v>
      </c>
      <c r="S140">
        <v>100003623</v>
      </c>
      <c r="T140">
        <v>1.00007060511108E+16</v>
      </c>
      <c r="U140">
        <v>100003623</v>
      </c>
      <c r="V140" t="s">
        <v>75</v>
      </c>
      <c r="W140">
        <v>71</v>
      </c>
      <c r="X140">
        <v>100003622</v>
      </c>
      <c r="Y140">
        <v>100003623</v>
      </c>
      <c r="Z140">
        <v>200007245</v>
      </c>
      <c r="AA140">
        <v>100003623</v>
      </c>
      <c r="AB140">
        <v>2</v>
      </c>
      <c r="AC140">
        <v>1</v>
      </c>
      <c r="AD140">
        <v>1.5</v>
      </c>
      <c r="AE140">
        <v>35.914400000000001</v>
      </c>
      <c r="AM140">
        <v>1319182620</v>
      </c>
      <c r="AN140">
        <v>0</v>
      </c>
      <c r="AO140">
        <v>13319658</v>
      </c>
      <c r="AP140">
        <v>1319182620</v>
      </c>
      <c r="AQ140">
        <v>1332502278</v>
      </c>
      <c r="AR140">
        <v>43972754</v>
      </c>
      <c r="AS140">
        <v>0</v>
      </c>
      <c r="AT140">
        <v>443988</v>
      </c>
      <c r="AU140">
        <v>43972754</v>
      </c>
      <c r="AV140">
        <v>44416742</v>
      </c>
      <c r="AW140">
        <v>38.291600000000003</v>
      </c>
      <c r="AX140">
        <v>19.1373</v>
      </c>
      <c r="AY140">
        <v>9030.34</v>
      </c>
      <c r="AZ140">
        <v>7881.8</v>
      </c>
      <c r="BA140">
        <v>7563</v>
      </c>
      <c r="BB140">
        <v>3106</v>
      </c>
      <c r="BC140" t="str">
        <f t="shared" si="4"/>
        <v>u=1%, k=2x10^8</v>
      </c>
      <c r="BD140">
        <f t="shared" si="5"/>
        <v>0</v>
      </c>
    </row>
    <row r="141" spans="1:56">
      <c r="A141" t="s">
        <v>225</v>
      </c>
      <c r="B141" t="s">
        <v>68</v>
      </c>
      <c r="D141" t="s">
        <v>65</v>
      </c>
      <c r="E141" t="s">
        <v>60</v>
      </c>
      <c r="F141" t="s">
        <v>61</v>
      </c>
      <c r="G141">
        <v>30000</v>
      </c>
      <c r="H141">
        <v>0.5</v>
      </c>
      <c r="I141">
        <v>0.5</v>
      </c>
      <c r="J141">
        <v>0</v>
      </c>
      <c r="K141">
        <v>1</v>
      </c>
      <c r="L141">
        <v>200000000</v>
      </c>
      <c r="M141">
        <v>190</v>
      </c>
      <c r="N141">
        <v>190</v>
      </c>
      <c r="O141">
        <v>190</v>
      </c>
      <c r="P141">
        <v>0</v>
      </c>
      <c r="Q141" t="s">
        <v>62</v>
      </c>
      <c r="R141">
        <v>9999811087232670</v>
      </c>
      <c r="S141">
        <v>99999237</v>
      </c>
      <c r="T141">
        <v>9999811087232670</v>
      </c>
      <c r="U141">
        <v>99999237</v>
      </c>
      <c r="V141" t="s">
        <v>75</v>
      </c>
      <c r="W141">
        <v>72</v>
      </c>
      <c r="X141">
        <v>99999236</v>
      </c>
      <c r="Y141">
        <v>99999237</v>
      </c>
      <c r="Z141">
        <v>199998473</v>
      </c>
      <c r="AA141">
        <v>99999237</v>
      </c>
      <c r="AB141">
        <v>2</v>
      </c>
      <c r="AC141">
        <v>1</v>
      </c>
      <c r="AD141">
        <v>1.5</v>
      </c>
      <c r="AE141">
        <v>37.222000000000001</v>
      </c>
      <c r="AM141">
        <v>1761991560</v>
      </c>
      <c r="AN141">
        <v>0</v>
      </c>
      <c r="AO141">
        <v>17792434</v>
      </c>
      <c r="AP141">
        <v>1761991560</v>
      </c>
      <c r="AQ141">
        <v>1779783994</v>
      </c>
      <c r="AR141">
        <v>58733052</v>
      </c>
      <c r="AS141">
        <v>0</v>
      </c>
      <c r="AT141">
        <v>593081</v>
      </c>
      <c r="AU141">
        <v>58733052</v>
      </c>
      <c r="AV141">
        <v>59326133</v>
      </c>
      <c r="AW141">
        <v>38.393099999999997</v>
      </c>
      <c r="AX141">
        <v>19.3642</v>
      </c>
      <c r="AY141">
        <v>8919.23</v>
      </c>
      <c r="AZ141">
        <v>7760.91</v>
      </c>
      <c r="BA141">
        <v>7579</v>
      </c>
      <c r="BB141">
        <v>2831</v>
      </c>
      <c r="BC141" t="str">
        <f t="shared" si="4"/>
        <v>u=1%, k=2x10^8</v>
      </c>
      <c r="BD141">
        <f t="shared" si="5"/>
        <v>0</v>
      </c>
    </row>
    <row r="142" spans="1:56">
      <c r="A142" t="s">
        <v>226</v>
      </c>
      <c r="B142" t="s">
        <v>64</v>
      </c>
      <c r="C142">
        <v>72</v>
      </c>
      <c r="D142" t="s">
        <v>65</v>
      </c>
      <c r="E142" t="s">
        <v>60</v>
      </c>
      <c r="F142" t="s">
        <v>61</v>
      </c>
      <c r="G142">
        <v>30000</v>
      </c>
      <c r="H142">
        <v>0.5</v>
      </c>
      <c r="I142">
        <v>0.5</v>
      </c>
      <c r="J142">
        <v>0</v>
      </c>
      <c r="K142">
        <v>1</v>
      </c>
      <c r="L142">
        <v>2000000000</v>
      </c>
      <c r="M142">
        <v>24</v>
      </c>
      <c r="N142">
        <v>24</v>
      </c>
      <c r="O142">
        <v>24</v>
      </c>
      <c r="P142">
        <v>0</v>
      </c>
      <c r="Q142" t="s">
        <v>62</v>
      </c>
      <c r="R142">
        <v>9.9999844601688499E+17</v>
      </c>
      <c r="S142">
        <v>999998986</v>
      </c>
      <c r="T142">
        <v>9.9999844601688499E+17</v>
      </c>
      <c r="U142">
        <v>999998986</v>
      </c>
      <c r="V142" t="s">
        <v>75</v>
      </c>
      <c r="W142">
        <v>7</v>
      </c>
      <c r="X142">
        <v>85850454</v>
      </c>
      <c r="Y142">
        <v>1081577212</v>
      </c>
      <c r="Z142">
        <v>1167427666</v>
      </c>
      <c r="AA142">
        <v>999998986</v>
      </c>
      <c r="AB142">
        <v>13.5984</v>
      </c>
      <c r="AC142">
        <v>0.92457500000000004</v>
      </c>
      <c r="AD142">
        <v>1.8565799999999999</v>
      </c>
      <c r="AE142">
        <v>4.0027799999999996</v>
      </c>
      <c r="AM142">
        <v>551114262</v>
      </c>
      <c r="AN142">
        <v>0</v>
      </c>
      <c r="AO142">
        <v>5567858</v>
      </c>
      <c r="AP142">
        <v>551114262</v>
      </c>
      <c r="AQ142">
        <v>556682120</v>
      </c>
      <c r="AR142">
        <v>18370475</v>
      </c>
      <c r="AS142">
        <v>0</v>
      </c>
      <c r="AT142">
        <v>185595</v>
      </c>
      <c r="AU142">
        <v>18370475</v>
      </c>
      <c r="AV142">
        <v>18556070</v>
      </c>
      <c r="AW142">
        <v>22.011399999999998</v>
      </c>
      <c r="AX142">
        <v>12.8687</v>
      </c>
      <c r="AY142">
        <v>3604.02</v>
      </c>
      <c r="AZ142">
        <v>2892.09</v>
      </c>
      <c r="BA142">
        <v>59299</v>
      </c>
      <c r="BB142">
        <v>16022</v>
      </c>
      <c r="BC142" t="str">
        <f t="shared" si="4"/>
        <v>u=1%, k=2x10^9</v>
      </c>
      <c r="BD142">
        <f t="shared" si="5"/>
        <v>0</v>
      </c>
    </row>
    <row r="143" spans="1:56">
      <c r="A143" t="s">
        <v>227</v>
      </c>
      <c r="B143" t="s">
        <v>64</v>
      </c>
      <c r="C143">
        <v>72</v>
      </c>
      <c r="D143" t="s">
        <v>65</v>
      </c>
      <c r="E143" t="s">
        <v>60</v>
      </c>
      <c r="F143" t="s">
        <v>61</v>
      </c>
      <c r="G143">
        <v>30000</v>
      </c>
      <c r="H143">
        <v>0.5</v>
      </c>
      <c r="I143">
        <v>0.5</v>
      </c>
      <c r="J143">
        <v>0</v>
      </c>
      <c r="K143">
        <v>1</v>
      </c>
      <c r="L143">
        <v>2000000000</v>
      </c>
      <c r="M143">
        <v>48</v>
      </c>
      <c r="N143">
        <v>48</v>
      </c>
      <c r="O143">
        <v>48</v>
      </c>
      <c r="P143">
        <v>0</v>
      </c>
      <c r="Q143" t="s">
        <v>62</v>
      </c>
      <c r="R143">
        <v>9.9999603295972301E+17</v>
      </c>
      <c r="S143">
        <v>999996513</v>
      </c>
      <c r="T143">
        <v>9.9999603295972301E+17</v>
      </c>
      <c r="U143">
        <v>999996513</v>
      </c>
      <c r="V143" t="s">
        <v>75</v>
      </c>
      <c r="W143">
        <v>7</v>
      </c>
      <c r="X143">
        <v>86973939</v>
      </c>
      <c r="Y143">
        <v>1083828886</v>
      </c>
      <c r="Z143">
        <v>1170802825</v>
      </c>
      <c r="AA143">
        <v>999996513</v>
      </c>
      <c r="AB143">
        <v>13.461499999999999</v>
      </c>
      <c r="AC143">
        <v>0.92265200000000003</v>
      </c>
      <c r="AD143">
        <v>1.8541099999999999</v>
      </c>
      <c r="AE143">
        <v>4.0050400000000002</v>
      </c>
      <c r="AM143">
        <v>1002506519</v>
      </c>
      <c r="AN143">
        <v>0</v>
      </c>
      <c r="AO143">
        <v>10126131</v>
      </c>
      <c r="AP143">
        <v>1002506519</v>
      </c>
      <c r="AQ143">
        <v>1012632650</v>
      </c>
      <c r="AR143">
        <v>33416883</v>
      </c>
      <c r="AS143">
        <v>0</v>
      </c>
      <c r="AT143">
        <v>337537</v>
      </c>
      <c r="AU143">
        <v>33416883</v>
      </c>
      <c r="AV143">
        <v>33754421</v>
      </c>
      <c r="AW143">
        <v>21.959599999999998</v>
      </c>
      <c r="AX143">
        <v>12.8954</v>
      </c>
      <c r="AY143">
        <v>3962.26</v>
      </c>
      <c r="AZ143">
        <v>3307.65</v>
      </c>
      <c r="BA143">
        <v>59552</v>
      </c>
      <c r="BB143">
        <v>12221</v>
      </c>
      <c r="BC143" t="str">
        <f t="shared" si="4"/>
        <v>u=1%, k=2x10^9</v>
      </c>
      <c r="BD143">
        <f t="shared" si="5"/>
        <v>0</v>
      </c>
    </row>
    <row r="144" spans="1:56">
      <c r="A144" t="s">
        <v>228</v>
      </c>
      <c r="B144" t="s">
        <v>64</v>
      </c>
      <c r="C144">
        <v>72</v>
      </c>
      <c r="D144" t="s">
        <v>65</v>
      </c>
      <c r="E144" t="s">
        <v>60</v>
      </c>
      <c r="F144" t="s">
        <v>61</v>
      </c>
      <c r="G144">
        <v>30000</v>
      </c>
      <c r="H144">
        <v>0.5</v>
      </c>
      <c r="I144">
        <v>0.5</v>
      </c>
      <c r="J144">
        <v>0</v>
      </c>
      <c r="K144">
        <v>1</v>
      </c>
      <c r="L144">
        <v>2000000000</v>
      </c>
      <c r="M144">
        <v>96</v>
      </c>
      <c r="N144">
        <v>96</v>
      </c>
      <c r="O144">
        <v>96</v>
      </c>
      <c r="P144">
        <v>0</v>
      </c>
      <c r="Q144" t="s">
        <v>62</v>
      </c>
      <c r="R144">
        <v>1.00000437416122E+18</v>
      </c>
      <c r="S144">
        <v>1000002843</v>
      </c>
      <c r="T144">
        <v>1.00000437416122E+18</v>
      </c>
      <c r="U144">
        <v>1000002843</v>
      </c>
      <c r="V144" t="s">
        <v>75</v>
      </c>
      <c r="W144">
        <v>7</v>
      </c>
      <c r="X144">
        <v>89924687</v>
      </c>
      <c r="Y144">
        <v>1089754800</v>
      </c>
      <c r="Z144">
        <v>1179679487</v>
      </c>
      <c r="AA144">
        <v>1000002843</v>
      </c>
      <c r="AB144">
        <v>13.118499999999999</v>
      </c>
      <c r="AC144">
        <v>0.91764000000000001</v>
      </c>
      <c r="AD144">
        <v>1.8476900000000001</v>
      </c>
      <c r="AE144">
        <v>4.0110099999999997</v>
      </c>
      <c r="AM144">
        <v>2203474702</v>
      </c>
      <c r="AN144">
        <v>0</v>
      </c>
      <c r="AO144">
        <v>22257114</v>
      </c>
      <c r="AP144">
        <v>2203474702</v>
      </c>
      <c r="AQ144">
        <v>2225731816</v>
      </c>
      <c r="AR144">
        <v>73449156</v>
      </c>
      <c r="AS144">
        <v>0</v>
      </c>
      <c r="AT144">
        <v>741903</v>
      </c>
      <c r="AU144">
        <v>73449156</v>
      </c>
      <c r="AV144">
        <v>74191060</v>
      </c>
      <c r="AW144">
        <v>22.0748</v>
      </c>
      <c r="AX144">
        <v>13.639200000000001</v>
      </c>
      <c r="AY144">
        <v>3603.48</v>
      </c>
      <c r="AZ144">
        <v>2883.17</v>
      </c>
      <c r="BA144">
        <v>60133</v>
      </c>
      <c r="BB144">
        <v>10073</v>
      </c>
      <c r="BC144" t="str">
        <f t="shared" si="4"/>
        <v>u=1%, k=2x10^9</v>
      </c>
      <c r="BD144">
        <f t="shared" si="5"/>
        <v>0</v>
      </c>
    </row>
    <row r="145" spans="1:56">
      <c r="A145" t="s">
        <v>229</v>
      </c>
      <c r="B145" t="s">
        <v>64</v>
      </c>
      <c r="C145">
        <v>72</v>
      </c>
      <c r="D145" t="s">
        <v>65</v>
      </c>
      <c r="E145" t="s">
        <v>60</v>
      </c>
      <c r="F145" t="s">
        <v>61</v>
      </c>
      <c r="G145">
        <v>30000</v>
      </c>
      <c r="H145">
        <v>0.5</v>
      </c>
      <c r="I145">
        <v>0.5</v>
      </c>
      <c r="J145">
        <v>0</v>
      </c>
      <c r="K145">
        <v>1</v>
      </c>
      <c r="L145">
        <v>2000000000</v>
      </c>
      <c r="M145">
        <v>144</v>
      </c>
      <c r="N145">
        <v>144</v>
      </c>
      <c r="O145">
        <v>144</v>
      </c>
      <c r="P145">
        <v>0</v>
      </c>
      <c r="Q145" t="s">
        <v>62</v>
      </c>
      <c r="R145">
        <v>1.00000397836387E+18</v>
      </c>
      <c r="S145">
        <v>1000011895</v>
      </c>
      <c r="T145">
        <v>1.00000397836387E+18</v>
      </c>
      <c r="U145">
        <v>1000011895</v>
      </c>
      <c r="V145" t="s">
        <v>75</v>
      </c>
      <c r="W145">
        <v>7</v>
      </c>
      <c r="X145">
        <v>92582003</v>
      </c>
      <c r="Y145">
        <v>1095109250</v>
      </c>
      <c r="Z145">
        <v>1187691253</v>
      </c>
      <c r="AA145">
        <v>1000011895</v>
      </c>
      <c r="AB145">
        <v>12.8285</v>
      </c>
      <c r="AC145">
        <v>0.91316200000000003</v>
      </c>
      <c r="AD145">
        <v>1.84198</v>
      </c>
      <c r="AE145">
        <v>4.0164200000000001</v>
      </c>
      <c r="AM145">
        <v>3312459389</v>
      </c>
      <c r="AN145">
        <v>0</v>
      </c>
      <c r="AO145">
        <v>33457631</v>
      </c>
      <c r="AP145">
        <v>3312459389</v>
      </c>
      <c r="AQ145">
        <v>3345917020</v>
      </c>
      <c r="AR145">
        <v>110415312</v>
      </c>
      <c r="AS145">
        <v>0</v>
      </c>
      <c r="AT145">
        <v>1115254</v>
      </c>
      <c r="AU145">
        <v>110415312</v>
      </c>
      <c r="AV145">
        <v>111530567</v>
      </c>
      <c r="AW145">
        <v>22.029900000000001</v>
      </c>
      <c r="AX145">
        <v>13.867100000000001</v>
      </c>
      <c r="AY145">
        <v>3594.99</v>
      </c>
      <c r="AZ145">
        <v>2869.56</v>
      </c>
      <c r="BA145">
        <v>60713</v>
      </c>
      <c r="BB145">
        <v>9480</v>
      </c>
      <c r="BC145" t="str">
        <f t="shared" si="4"/>
        <v>u=1%, k=2x10^9</v>
      </c>
      <c r="BD145">
        <f t="shared" si="5"/>
        <v>0</v>
      </c>
    </row>
    <row r="146" spans="1:56">
      <c r="A146" t="s">
        <v>230</v>
      </c>
      <c r="B146" t="s">
        <v>64</v>
      </c>
      <c r="C146">
        <v>72</v>
      </c>
      <c r="D146" t="s">
        <v>65</v>
      </c>
      <c r="E146" t="s">
        <v>60</v>
      </c>
      <c r="F146" t="s">
        <v>61</v>
      </c>
      <c r="G146">
        <v>30000</v>
      </c>
      <c r="H146">
        <v>0.5</v>
      </c>
      <c r="I146">
        <v>0.5</v>
      </c>
      <c r="J146">
        <v>0</v>
      </c>
      <c r="K146">
        <v>1</v>
      </c>
      <c r="L146">
        <v>2000000000</v>
      </c>
      <c r="M146">
        <v>190</v>
      </c>
      <c r="N146">
        <v>190</v>
      </c>
      <c r="O146">
        <v>190</v>
      </c>
      <c r="P146">
        <v>0</v>
      </c>
      <c r="Q146" t="s">
        <v>62</v>
      </c>
      <c r="R146">
        <v>9.9998898354162906E+17</v>
      </c>
      <c r="S146">
        <v>999990934</v>
      </c>
      <c r="T146">
        <v>9.9998898354162906E+17</v>
      </c>
      <c r="U146">
        <v>999990934</v>
      </c>
      <c r="V146" t="s">
        <v>75</v>
      </c>
      <c r="W146">
        <v>7</v>
      </c>
      <c r="X146">
        <v>94938084</v>
      </c>
      <c r="Y146">
        <v>1099873999</v>
      </c>
      <c r="Z146">
        <v>1194812083</v>
      </c>
      <c r="AA146">
        <v>999990934</v>
      </c>
      <c r="AB146">
        <v>12.5852</v>
      </c>
      <c r="AC146">
        <v>0.90918699999999997</v>
      </c>
      <c r="AD146">
        <v>1.83694</v>
      </c>
      <c r="AE146">
        <v>4.0212599999999998</v>
      </c>
      <c r="AM146">
        <v>4328995085</v>
      </c>
      <c r="AN146">
        <v>0</v>
      </c>
      <c r="AO146">
        <v>43734799</v>
      </c>
      <c r="AP146">
        <v>4328995085</v>
      </c>
      <c r="AQ146">
        <v>4372729884</v>
      </c>
      <c r="AR146">
        <v>144299836</v>
      </c>
      <c r="AS146">
        <v>0</v>
      </c>
      <c r="AT146">
        <v>1457826</v>
      </c>
      <c r="AU146">
        <v>144299836</v>
      </c>
      <c r="AV146">
        <v>145757662</v>
      </c>
      <c r="AW146">
        <v>22.072199999999999</v>
      </c>
      <c r="AX146">
        <v>14.0138</v>
      </c>
      <c r="AY146">
        <v>3628.9</v>
      </c>
      <c r="AZ146">
        <v>2894.85</v>
      </c>
      <c r="BA146">
        <v>61146</v>
      </c>
      <c r="BB146">
        <v>9320</v>
      </c>
      <c r="BC146" t="str">
        <f t="shared" si="4"/>
        <v>u=1%, k=2x10^9</v>
      </c>
      <c r="BD146">
        <f t="shared" si="5"/>
        <v>0</v>
      </c>
    </row>
    <row r="147" spans="1:56">
      <c r="A147" t="s">
        <v>231</v>
      </c>
      <c r="B147" t="s">
        <v>66</v>
      </c>
      <c r="C147">
        <v>208</v>
      </c>
      <c r="D147" t="s">
        <v>65</v>
      </c>
      <c r="E147" t="s">
        <v>60</v>
      </c>
      <c r="F147" t="s">
        <v>61</v>
      </c>
      <c r="G147">
        <v>30000</v>
      </c>
      <c r="H147">
        <v>0.5</v>
      </c>
      <c r="I147">
        <v>0.5</v>
      </c>
      <c r="J147">
        <v>0</v>
      </c>
      <c r="K147">
        <v>1</v>
      </c>
      <c r="L147">
        <v>2000000000</v>
      </c>
      <c r="M147">
        <v>24</v>
      </c>
      <c r="N147">
        <v>24</v>
      </c>
      <c r="O147">
        <v>24</v>
      </c>
      <c r="P147">
        <v>0</v>
      </c>
      <c r="Q147" t="s">
        <v>62</v>
      </c>
      <c r="R147">
        <v>9.9999125982901094E+17</v>
      </c>
      <c r="S147">
        <v>1000000814</v>
      </c>
      <c r="T147">
        <v>9.9999125982901094E+17</v>
      </c>
      <c r="U147">
        <v>1000000814</v>
      </c>
      <c r="V147" t="s">
        <v>75</v>
      </c>
      <c r="W147">
        <v>12</v>
      </c>
      <c r="X147">
        <v>18556877</v>
      </c>
      <c r="Y147">
        <v>127683482</v>
      </c>
      <c r="Z147">
        <v>146240359</v>
      </c>
      <c r="AA147">
        <v>1000000814</v>
      </c>
      <c r="AB147">
        <v>7.8806599999999998</v>
      </c>
      <c r="AC147">
        <v>7.8318700000000003</v>
      </c>
      <c r="AD147">
        <v>7.8380599999999996</v>
      </c>
      <c r="AE147">
        <v>11</v>
      </c>
      <c r="AM147">
        <v>340756372</v>
      </c>
      <c r="AN147">
        <v>0</v>
      </c>
      <c r="AO147">
        <v>3444790</v>
      </c>
      <c r="AP147">
        <v>340756372</v>
      </c>
      <c r="AQ147">
        <v>344201162</v>
      </c>
      <c r="AR147">
        <v>11358545</v>
      </c>
      <c r="AS147">
        <v>0</v>
      </c>
      <c r="AT147">
        <v>114826</v>
      </c>
      <c r="AU147">
        <v>11358545</v>
      </c>
      <c r="AV147">
        <v>11473372</v>
      </c>
      <c r="AW147">
        <v>30.482800000000001</v>
      </c>
      <c r="AX147">
        <v>16.464400000000001</v>
      </c>
      <c r="AY147">
        <v>5834.63</v>
      </c>
      <c r="AZ147">
        <v>4592.59</v>
      </c>
      <c r="BA147">
        <v>33275</v>
      </c>
      <c r="BB147">
        <v>154859</v>
      </c>
      <c r="BC147" t="str">
        <f t="shared" si="4"/>
        <v>u=1%, k=2x10^9</v>
      </c>
      <c r="BD147">
        <f t="shared" si="5"/>
        <v>0</v>
      </c>
    </row>
    <row r="148" spans="1:56">
      <c r="A148" t="s">
        <v>232</v>
      </c>
      <c r="B148" t="s">
        <v>66</v>
      </c>
      <c r="C148">
        <v>208</v>
      </c>
      <c r="D148" t="s">
        <v>65</v>
      </c>
      <c r="E148" t="s">
        <v>60</v>
      </c>
      <c r="F148" t="s">
        <v>61</v>
      </c>
      <c r="G148">
        <v>30000</v>
      </c>
      <c r="H148">
        <v>0.5</v>
      </c>
      <c r="I148">
        <v>0.5</v>
      </c>
      <c r="J148">
        <v>0</v>
      </c>
      <c r="K148">
        <v>1</v>
      </c>
      <c r="L148">
        <v>2000000000</v>
      </c>
      <c r="M148">
        <v>48</v>
      </c>
      <c r="N148">
        <v>48</v>
      </c>
      <c r="O148">
        <v>48</v>
      </c>
      <c r="P148">
        <v>0</v>
      </c>
      <c r="Q148" t="s">
        <v>62</v>
      </c>
      <c r="R148">
        <v>9.9999545222009805E+17</v>
      </c>
      <c r="S148">
        <v>1000001479</v>
      </c>
      <c r="T148">
        <v>9.9999545222009805E+17</v>
      </c>
      <c r="U148">
        <v>1000001479</v>
      </c>
      <c r="V148" t="s">
        <v>75</v>
      </c>
      <c r="W148">
        <v>12</v>
      </c>
      <c r="X148">
        <v>18567839</v>
      </c>
      <c r="Y148">
        <v>127780716</v>
      </c>
      <c r="Z148">
        <v>146348555</v>
      </c>
      <c r="AA148">
        <v>1000001479</v>
      </c>
      <c r="AB148">
        <v>7.8818299999999999</v>
      </c>
      <c r="AC148">
        <v>7.82592</v>
      </c>
      <c r="AD148">
        <v>7.8330099999999998</v>
      </c>
      <c r="AE148">
        <v>11</v>
      </c>
      <c r="AM148">
        <v>648459431</v>
      </c>
      <c r="AN148">
        <v>0</v>
      </c>
      <c r="AO148">
        <v>6547296</v>
      </c>
      <c r="AP148">
        <v>648459431</v>
      </c>
      <c r="AQ148">
        <v>655006727</v>
      </c>
      <c r="AR148">
        <v>21615314</v>
      </c>
      <c r="AS148">
        <v>0</v>
      </c>
      <c r="AT148">
        <v>218243</v>
      </c>
      <c r="AU148">
        <v>21615314</v>
      </c>
      <c r="AV148">
        <v>21833557</v>
      </c>
      <c r="AW148">
        <v>30.345199999999998</v>
      </c>
      <c r="AX148">
        <v>16.493600000000001</v>
      </c>
      <c r="AY148">
        <v>6131.44</v>
      </c>
      <c r="AZ148">
        <v>5202.74</v>
      </c>
      <c r="BA148">
        <v>33410</v>
      </c>
      <c r="BB148">
        <v>94452</v>
      </c>
      <c r="BC148" t="str">
        <f t="shared" si="4"/>
        <v>u=1%, k=2x10^9</v>
      </c>
      <c r="BD148">
        <f t="shared" si="5"/>
        <v>0</v>
      </c>
    </row>
    <row r="149" spans="1:56">
      <c r="A149" t="s">
        <v>233</v>
      </c>
      <c r="B149" t="s">
        <v>66</v>
      </c>
      <c r="C149">
        <v>208</v>
      </c>
      <c r="D149" t="s">
        <v>65</v>
      </c>
      <c r="E149" t="s">
        <v>60</v>
      </c>
      <c r="F149" t="s">
        <v>61</v>
      </c>
      <c r="G149">
        <v>30000</v>
      </c>
      <c r="H149">
        <v>0.5</v>
      </c>
      <c r="I149">
        <v>0.5</v>
      </c>
      <c r="J149">
        <v>0</v>
      </c>
      <c r="K149">
        <v>1</v>
      </c>
      <c r="L149">
        <v>2000000000</v>
      </c>
      <c r="M149">
        <v>96</v>
      </c>
      <c r="N149">
        <v>96</v>
      </c>
      <c r="O149">
        <v>96</v>
      </c>
      <c r="P149">
        <v>0</v>
      </c>
      <c r="Q149" t="s">
        <v>62</v>
      </c>
      <c r="R149">
        <v>1.00000420921952E+18</v>
      </c>
      <c r="S149">
        <v>1000006080</v>
      </c>
      <c r="T149">
        <v>1.00000420921952E+18</v>
      </c>
      <c r="U149">
        <v>1000006080</v>
      </c>
      <c r="V149" t="s">
        <v>75</v>
      </c>
      <c r="W149">
        <v>12</v>
      </c>
      <c r="X149">
        <v>18603811</v>
      </c>
      <c r="Y149">
        <v>128032545</v>
      </c>
      <c r="Z149">
        <v>146636356</v>
      </c>
      <c r="AA149">
        <v>1000006080</v>
      </c>
      <c r="AB149">
        <v>7.8820600000000001</v>
      </c>
      <c r="AC149">
        <v>7.8105599999999997</v>
      </c>
      <c r="AD149">
        <v>7.8196300000000001</v>
      </c>
      <c r="AE149">
        <v>11</v>
      </c>
      <c r="AM149">
        <v>1449708543</v>
      </c>
      <c r="AN149">
        <v>0</v>
      </c>
      <c r="AO149">
        <v>14639003</v>
      </c>
      <c r="AP149">
        <v>1449708543</v>
      </c>
      <c r="AQ149">
        <v>1464347546</v>
      </c>
      <c r="AR149">
        <v>48323618</v>
      </c>
      <c r="AS149">
        <v>0</v>
      </c>
      <c r="AT149">
        <v>487966</v>
      </c>
      <c r="AU149">
        <v>48323618</v>
      </c>
      <c r="AV149">
        <v>48811584</v>
      </c>
      <c r="AW149">
        <v>30.7044</v>
      </c>
      <c r="AX149">
        <v>17.572399999999998</v>
      </c>
      <c r="AY149">
        <v>5476.63</v>
      </c>
      <c r="AZ149">
        <v>4480.0200000000004</v>
      </c>
      <c r="BA149">
        <v>33683</v>
      </c>
      <c r="BB149">
        <v>72693</v>
      </c>
      <c r="BC149" t="str">
        <f t="shared" si="4"/>
        <v>u=1%, k=2x10^9</v>
      </c>
      <c r="BD149">
        <f t="shared" si="5"/>
        <v>0</v>
      </c>
    </row>
    <row r="150" spans="1:56">
      <c r="A150" t="s">
        <v>234</v>
      </c>
      <c r="B150" t="s">
        <v>66</v>
      </c>
      <c r="C150">
        <v>208</v>
      </c>
      <c r="D150" t="s">
        <v>65</v>
      </c>
      <c r="E150" t="s">
        <v>60</v>
      </c>
      <c r="F150" t="s">
        <v>61</v>
      </c>
      <c r="G150">
        <v>30000</v>
      </c>
      <c r="H150">
        <v>0.5</v>
      </c>
      <c r="I150">
        <v>0.5</v>
      </c>
      <c r="J150">
        <v>0</v>
      </c>
      <c r="K150">
        <v>1</v>
      </c>
      <c r="L150">
        <v>2000000000</v>
      </c>
      <c r="M150">
        <v>144</v>
      </c>
      <c r="N150">
        <v>144</v>
      </c>
      <c r="O150">
        <v>144</v>
      </c>
      <c r="P150">
        <v>0</v>
      </c>
      <c r="Q150" t="s">
        <v>62</v>
      </c>
      <c r="R150">
        <v>1.00000663181945E+18</v>
      </c>
      <c r="S150">
        <v>1000000723</v>
      </c>
      <c r="T150">
        <v>1.00000663181945E+18</v>
      </c>
      <c r="U150">
        <v>1000000723</v>
      </c>
      <c r="V150" t="s">
        <v>75</v>
      </c>
      <c r="W150">
        <v>12</v>
      </c>
      <c r="X150">
        <v>18635732</v>
      </c>
      <c r="Y150">
        <v>128254502</v>
      </c>
      <c r="Z150">
        <v>146890234</v>
      </c>
      <c r="AA150">
        <v>1000000723</v>
      </c>
      <c r="AB150">
        <v>7.88218</v>
      </c>
      <c r="AC150">
        <v>7.7969999999999997</v>
      </c>
      <c r="AD150">
        <v>7.8078099999999999</v>
      </c>
      <c r="AE150">
        <v>11</v>
      </c>
      <c r="AM150">
        <v>2184553256</v>
      </c>
      <c r="AN150">
        <v>0</v>
      </c>
      <c r="AO150">
        <v>22061508</v>
      </c>
      <c r="AP150">
        <v>2184553256</v>
      </c>
      <c r="AQ150">
        <v>2206614764</v>
      </c>
      <c r="AR150">
        <v>72818441</v>
      </c>
      <c r="AS150">
        <v>0</v>
      </c>
      <c r="AT150">
        <v>735383</v>
      </c>
      <c r="AU150">
        <v>72818441</v>
      </c>
      <c r="AV150">
        <v>73553825</v>
      </c>
      <c r="AW150">
        <v>30.817900000000002</v>
      </c>
      <c r="AX150">
        <v>17.778600000000001</v>
      </c>
      <c r="AY150">
        <v>5450.07</v>
      </c>
      <c r="AZ150">
        <v>4451.8</v>
      </c>
      <c r="BA150">
        <v>34082</v>
      </c>
      <c r="BB150">
        <v>64638</v>
      </c>
      <c r="BC150" t="str">
        <f t="shared" si="4"/>
        <v>u=1%, k=2x10^9</v>
      </c>
      <c r="BD150">
        <f t="shared" si="5"/>
        <v>0</v>
      </c>
    </row>
    <row r="151" spans="1:56">
      <c r="A151" t="s">
        <v>235</v>
      </c>
      <c r="B151" t="s">
        <v>66</v>
      </c>
      <c r="C151">
        <v>208</v>
      </c>
      <c r="D151" t="s">
        <v>65</v>
      </c>
      <c r="E151" t="s">
        <v>60</v>
      </c>
      <c r="F151" t="s">
        <v>61</v>
      </c>
      <c r="G151">
        <v>30000</v>
      </c>
      <c r="H151">
        <v>0.5</v>
      </c>
      <c r="I151">
        <v>0.5</v>
      </c>
      <c r="J151">
        <v>0</v>
      </c>
      <c r="K151">
        <v>1</v>
      </c>
      <c r="L151">
        <v>2000000000</v>
      </c>
      <c r="M151">
        <v>190</v>
      </c>
      <c r="N151">
        <v>190</v>
      </c>
      <c r="O151">
        <v>190</v>
      </c>
      <c r="P151">
        <v>0</v>
      </c>
      <c r="Q151" t="s">
        <v>62</v>
      </c>
      <c r="R151">
        <v>1.00000631155749E+18</v>
      </c>
      <c r="S151">
        <v>999998599</v>
      </c>
      <c r="T151">
        <v>1.00000631155749E+18</v>
      </c>
      <c r="U151">
        <v>999998599</v>
      </c>
      <c r="V151" t="s">
        <v>75</v>
      </c>
      <c r="W151">
        <v>12</v>
      </c>
      <c r="X151">
        <v>18666403</v>
      </c>
      <c r="Y151">
        <v>128458555</v>
      </c>
      <c r="Z151">
        <v>147124958</v>
      </c>
      <c r="AA151">
        <v>999998599</v>
      </c>
      <c r="AB151">
        <v>7.8818099999999998</v>
      </c>
      <c r="AC151">
        <v>7.7846000000000002</v>
      </c>
      <c r="AD151">
        <v>7.7969299999999997</v>
      </c>
      <c r="AE151">
        <v>11</v>
      </c>
      <c r="AM151">
        <v>2865939239</v>
      </c>
      <c r="AN151">
        <v>0</v>
      </c>
      <c r="AO151">
        <v>28953263</v>
      </c>
      <c r="AP151">
        <v>2865939239</v>
      </c>
      <c r="AQ151">
        <v>2894892502</v>
      </c>
      <c r="AR151">
        <v>95531307</v>
      </c>
      <c r="AS151">
        <v>0</v>
      </c>
      <c r="AT151">
        <v>965108</v>
      </c>
      <c r="AU151">
        <v>95531307</v>
      </c>
      <c r="AV151">
        <v>96496416</v>
      </c>
      <c r="AW151">
        <v>30.879799999999999</v>
      </c>
      <c r="AX151">
        <v>17.910499999999999</v>
      </c>
      <c r="AY151">
        <v>5480.33</v>
      </c>
      <c r="AZ151">
        <v>4465.0200000000004</v>
      </c>
      <c r="BA151">
        <v>34263</v>
      </c>
      <c r="BB151">
        <v>61302</v>
      </c>
      <c r="BC151" t="str">
        <f t="shared" si="4"/>
        <v>u=1%, k=2x10^9</v>
      </c>
      <c r="BD151">
        <f t="shared" si="5"/>
        <v>0</v>
      </c>
    </row>
    <row r="152" spans="1:56">
      <c r="A152" t="s">
        <v>236</v>
      </c>
      <c r="B152" t="s">
        <v>67</v>
      </c>
      <c r="D152" t="s">
        <v>65</v>
      </c>
      <c r="E152" t="s">
        <v>60</v>
      </c>
      <c r="F152" t="s">
        <v>61</v>
      </c>
      <c r="G152">
        <v>30000</v>
      </c>
      <c r="H152">
        <v>0.5</v>
      </c>
      <c r="I152">
        <v>0.5</v>
      </c>
      <c r="J152">
        <v>0</v>
      </c>
      <c r="K152">
        <v>1</v>
      </c>
      <c r="L152">
        <v>2000000000</v>
      </c>
      <c r="M152">
        <v>24</v>
      </c>
      <c r="N152">
        <v>24</v>
      </c>
      <c r="O152">
        <v>24</v>
      </c>
      <c r="P152">
        <v>0</v>
      </c>
      <c r="Q152" t="s">
        <v>62</v>
      </c>
      <c r="R152">
        <v>1.00000728338545E+18</v>
      </c>
      <c r="S152">
        <v>1000001313</v>
      </c>
      <c r="T152">
        <v>1.00000728338545E+18</v>
      </c>
      <c r="U152">
        <v>1000001313</v>
      </c>
      <c r="V152" t="s">
        <v>75</v>
      </c>
      <c r="W152">
        <v>37</v>
      </c>
      <c r="X152">
        <v>571526107</v>
      </c>
      <c r="Y152">
        <v>428645679</v>
      </c>
      <c r="Z152">
        <v>1000171786</v>
      </c>
      <c r="AA152">
        <v>1000001313</v>
      </c>
      <c r="AB152">
        <v>1.75</v>
      </c>
      <c r="AC152">
        <v>2.3329300000000002</v>
      </c>
      <c r="AD152">
        <v>1.99983</v>
      </c>
      <c r="AE152">
        <v>29.464300000000001</v>
      </c>
      <c r="AM152">
        <v>157680766</v>
      </c>
      <c r="AN152">
        <v>0</v>
      </c>
      <c r="AO152">
        <v>1593279</v>
      </c>
      <c r="AP152">
        <v>157680766</v>
      </c>
      <c r="AQ152">
        <v>159274045</v>
      </c>
      <c r="AR152">
        <v>5256025</v>
      </c>
      <c r="AS152">
        <v>0</v>
      </c>
      <c r="AT152">
        <v>53109</v>
      </c>
      <c r="AU152">
        <v>5256025</v>
      </c>
      <c r="AV152">
        <v>5309134</v>
      </c>
      <c r="AW152">
        <v>54.084499999999998</v>
      </c>
      <c r="AX152">
        <v>28.948399999999999</v>
      </c>
      <c r="AY152">
        <v>12610.8</v>
      </c>
      <c r="AZ152">
        <v>11159.5</v>
      </c>
      <c r="BA152">
        <v>65655</v>
      </c>
      <c r="BB152">
        <v>272519</v>
      </c>
      <c r="BC152" t="str">
        <f t="shared" si="4"/>
        <v>u=1%, k=2x10^9</v>
      </c>
      <c r="BD152">
        <f t="shared" si="5"/>
        <v>0</v>
      </c>
    </row>
    <row r="153" spans="1:56">
      <c r="A153" t="s">
        <v>237</v>
      </c>
      <c r="B153" t="s">
        <v>67</v>
      </c>
      <c r="D153" t="s">
        <v>65</v>
      </c>
      <c r="E153" t="s">
        <v>60</v>
      </c>
      <c r="F153" t="s">
        <v>61</v>
      </c>
      <c r="G153">
        <v>30000</v>
      </c>
      <c r="H153">
        <v>0.5</v>
      </c>
      <c r="I153">
        <v>0.5</v>
      </c>
      <c r="J153">
        <v>0</v>
      </c>
      <c r="K153">
        <v>1</v>
      </c>
      <c r="L153">
        <v>2000000000</v>
      </c>
      <c r="M153">
        <v>48</v>
      </c>
      <c r="N153">
        <v>48</v>
      </c>
      <c r="O153">
        <v>48</v>
      </c>
      <c r="P153">
        <v>0</v>
      </c>
      <c r="Q153" t="s">
        <v>62</v>
      </c>
      <c r="R153">
        <v>1.00001810514645E+18</v>
      </c>
      <c r="S153">
        <v>999999577</v>
      </c>
      <c r="T153">
        <v>1.00001810514645E+18</v>
      </c>
      <c r="U153">
        <v>999999577</v>
      </c>
      <c r="V153" t="s">
        <v>75</v>
      </c>
      <c r="W153">
        <v>37</v>
      </c>
      <c r="X153">
        <v>571606353</v>
      </c>
      <c r="Y153">
        <v>428721632</v>
      </c>
      <c r="Z153">
        <v>1000327985</v>
      </c>
      <c r="AA153">
        <v>999999577</v>
      </c>
      <c r="AB153">
        <v>1.75003</v>
      </c>
      <c r="AC153">
        <v>2.3325100000000001</v>
      </c>
      <c r="AD153">
        <v>1.9996700000000001</v>
      </c>
      <c r="AE153">
        <v>29.445399999999999</v>
      </c>
      <c r="AM153">
        <v>303963882</v>
      </c>
      <c r="AN153">
        <v>0</v>
      </c>
      <c r="AO153">
        <v>3069219</v>
      </c>
      <c r="AP153">
        <v>303963882</v>
      </c>
      <c r="AQ153">
        <v>307033101</v>
      </c>
      <c r="AR153">
        <v>10132129</v>
      </c>
      <c r="AS153">
        <v>0</v>
      </c>
      <c r="AT153">
        <v>102307</v>
      </c>
      <c r="AU153">
        <v>10132129</v>
      </c>
      <c r="AV153">
        <v>10234436</v>
      </c>
      <c r="AW153">
        <v>54.7774</v>
      </c>
      <c r="AX153">
        <v>29.042000000000002</v>
      </c>
      <c r="AY153">
        <v>13082.8</v>
      </c>
      <c r="AZ153">
        <v>11678.5</v>
      </c>
      <c r="BA153">
        <v>65672</v>
      </c>
      <c r="BB153">
        <v>142948</v>
      </c>
      <c r="BC153" t="str">
        <f t="shared" si="4"/>
        <v>u=1%, k=2x10^9</v>
      </c>
      <c r="BD153">
        <f t="shared" si="5"/>
        <v>0</v>
      </c>
    </row>
    <row r="154" spans="1:56">
      <c r="A154" t="s">
        <v>238</v>
      </c>
      <c r="B154" t="s">
        <v>67</v>
      </c>
      <c r="D154" t="s">
        <v>65</v>
      </c>
      <c r="E154" t="s">
        <v>60</v>
      </c>
      <c r="F154" t="s">
        <v>61</v>
      </c>
      <c r="G154">
        <v>30000</v>
      </c>
      <c r="H154">
        <v>0.5</v>
      </c>
      <c r="I154">
        <v>0.5</v>
      </c>
      <c r="J154">
        <v>0</v>
      </c>
      <c r="K154">
        <v>1</v>
      </c>
      <c r="L154">
        <v>2000000000</v>
      </c>
      <c r="M154">
        <v>96</v>
      </c>
      <c r="N154">
        <v>96</v>
      </c>
      <c r="O154">
        <v>96</v>
      </c>
      <c r="P154">
        <v>0</v>
      </c>
      <c r="Q154" t="s">
        <v>62</v>
      </c>
      <c r="R154">
        <v>9.9999219723087898E+17</v>
      </c>
      <c r="S154">
        <v>999999845</v>
      </c>
      <c r="T154">
        <v>9.9999219723087898E+17</v>
      </c>
      <c r="U154">
        <v>999999845</v>
      </c>
      <c r="V154" t="s">
        <v>75</v>
      </c>
      <c r="W154">
        <v>37</v>
      </c>
      <c r="X154">
        <v>571832428</v>
      </c>
      <c r="Y154">
        <v>428899622</v>
      </c>
      <c r="Z154">
        <v>1000732050</v>
      </c>
      <c r="AA154">
        <v>999999845</v>
      </c>
      <c r="AB154">
        <v>1.75004</v>
      </c>
      <c r="AC154">
        <v>2.33155</v>
      </c>
      <c r="AD154">
        <v>1.9992700000000001</v>
      </c>
      <c r="AE154">
        <v>29.436</v>
      </c>
      <c r="AM154">
        <v>677073148</v>
      </c>
      <c r="AN154">
        <v>0</v>
      </c>
      <c r="AO154">
        <v>6837013</v>
      </c>
      <c r="AP154">
        <v>677073148</v>
      </c>
      <c r="AQ154">
        <v>683910161</v>
      </c>
      <c r="AR154">
        <v>22569104</v>
      </c>
      <c r="AS154">
        <v>0</v>
      </c>
      <c r="AT154">
        <v>227900</v>
      </c>
      <c r="AU154">
        <v>22569104</v>
      </c>
      <c r="AV154">
        <v>22797005</v>
      </c>
      <c r="AW154">
        <v>55.101500000000001</v>
      </c>
      <c r="AX154">
        <v>31.1831</v>
      </c>
      <c r="AY154">
        <v>11733.5</v>
      </c>
      <c r="AZ154">
        <v>10240.6</v>
      </c>
      <c r="BA154">
        <v>65713</v>
      </c>
      <c r="BB154">
        <v>63700</v>
      </c>
      <c r="BC154" t="str">
        <f t="shared" si="4"/>
        <v>u=1%, k=2x10^9</v>
      </c>
      <c r="BD154">
        <f t="shared" si="5"/>
        <v>0</v>
      </c>
    </row>
    <row r="155" spans="1:56">
      <c r="A155" t="s">
        <v>239</v>
      </c>
      <c r="B155" t="s">
        <v>67</v>
      </c>
      <c r="D155" t="s">
        <v>65</v>
      </c>
      <c r="E155" t="s">
        <v>60</v>
      </c>
      <c r="F155" t="s">
        <v>61</v>
      </c>
      <c r="G155">
        <v>30000</v>
      </c>
      <c r="H155">
        <v>0.5</v>
      </c>
      <c r="I155">
        <v>0.5</v>
      </c>
      <c r="J155">
        <v>0</v>
      </c>
      <c r="K155">
        <v>1</v>
      </c>
      <c r="L155">
        <v>2000000000</v>
      </c>
      <c r="M155">
        <v>144</v>
      </c>
      <c r="N155">
        <v>144</v>
      </c>
      <c r="O155">
        <v>144</v>
      </c>
      <c r="P155">
        <v>0</v>
      </c>
      <c r="Q155" t="s">
        <v>62</v>
      </c>
      <c r="R155">
        <v>9.9999190154551002E+17</v>
      </c>
      <c r="S155">
        <v>1000000283</v>
      </c>
      <c r="T155">
        <v>9.9999190154551002E+17</v>
      </c>
      <c r="U155">
        <v>1000000283</v>
      </c>
      <c r="V155" t="s">
        <v>75</v>
      </c>
      <c r="W155">
        <v>37</v>
      </c>
      <c r="X155">
        <v>572028823</v>
      </c>
      <c r="Y155">
        <v>429069205</v>
      </c>
      <c r="Z155">
        <v>1001098028</v>
      </c>
      <c r="AA155">
        <v>1000000283</v>
      </c>
      <c r="AB155">
        <v>1.7500800000000001</v>
      </c>
      <c r="AC155">
        <v>2.3306300000000002</v>
      </c>
      <c r="AD155">
        <v>1.9988999999999999</v>
      </c>
      <c r="AE155">
        <v>29.4177</v>
      </c>
      <c r="AM155">
        <v>1018068208</v>
      </c>
      <c r="AN155">
        <v>0</v>
      </c>
      <c r="AO155">
        <v>10286788</v>
      </c>
      <c r="AP155">
        <v>1018068208</v>
      </c>
      <c r="AQ155">
        <v>1028354996</v>
      </c>
      <c r="AR155">
        <v>33935606</v>
      </c>
      <c r="AS155">
        <v>0</v>
      </c>
      <c r="AT155">
        <v>342892</v>
      </c>
      <c r="AU155">
        <v>33935606</v>
      </c>
      <c r="AV155">
        <v>34278499</v>
      </c>
      <c r="AW155">
        <v>55.774999999999999</v>
      </c>
      <c r="AX155">
        <v>31.433700000000002</v>
      </c>
      <c r="AY155">
        <v>11702.3</v>
      </c>
      <c r="AZ155">
        <v>10189</v>
      </c>
      <c r="BA155">
        <v>65751</v>
      </c>
      <c r="BB155">
        <v>42793</v>
      </c>
      <c r="BC155" t="str">
        <f t="shared" si="4"/>
        <v>u=1%, k=2x10^9</v>
      </c>
      <c r="BD155">
        <f t="shared" si="5"/>
        <v>0</v>
      </c>
    </row>
    <row r="156" spans="1:56">
      <c r="A156" t="s">
        <v>240</v>
      </c>
      <c r="B156" t="s">
        <v>67</v>
      </c>
      <c r="D156" t="s">
        <v>65</v>
      </c>
      <c r="E156" t="s">
        <v>60</v>
      </c>
      <c r="F156" t="s">
        <v>61</v>
      </c>
      <c r="G156">
        <v>30000</v>
      </c>
      <c r="H156">
        <v>0.5</v>
      </c>
      <c r="I156">
        <v>0.5</v>
      </c>
      <c r="J156">
        <v>0</v>
      </c>
      <c r="K156">
        <v>1</v>
      </c>
      <c r="L156">
        <v>2000000000</v>
      </c>
      <c r="M156">
        <v>190</v>
      </c>
      <c r="N156">
        <v>190</v>
      </c>
      <c r="O156">
        <v>190</v>
      </c>
      <c r="P156">
        <v>0</v>
      </c>
      <c r="Q156" t="s">
        <v>62</v>
      </c>
      <c r="R156">
        <v>9.9999433246106598E+17</v>
      </c>
      <c r="S156">
        <v>999999587</v>
      </c>
      <c r="T156">
        <v>9.9999433246106598E+17</v>
      </c>
      <c r="U156">
        <v>999999587</v>
      </c>
      <c r="V156" t="s">
        <v>75</v>
      </c>
      <c r="W156">
        <v>37</v>
      </c>
      <c r="X156">
        <v>572215088</v>
      </c>
      <c r="Y156">
        <v>429234292</v>
      </c>
      <c r="Z156">
        <v>1001449380</v>
      </c>
      <c r="AA156">
        <v>999999587</v>
      </c>
      <c r="AB156">
        <v>1.75013</v>
      </c>
      <c r="AC156">
        <v>2.3297300000000001</v>
      </c>
      <c r="AD156">
        <v>1.99855</v>
      </c>
      <c r="AE156">
        <v>29.433</v>
      </c>
      <c r="AM156">
        <v>1344428877</v>
      </c>
      <c r="AN156">
        <v>0</v>
      </c>
      <c r="AO156">
        <v>13578379</v>
      </c>
      <c r="AP156">
        <v>1344428877</v>
      </c>
      <c r="AQ156">
        <v>1358007256</v>
      </c>
      <c r="AR156">
        <v>44814295</v>
      </c>
      <c r="AS156">
        <v>0</v>
      </c>
      <c r="AT156">
        <v>452612</v>
      </c>
      <c r="AU156">
        <v>44814295</v>
      </c>
      <c r="AV156">
        <v>45266908</v>
      </c>
      <c r="AW156">
        <v>55.688000000000002</v>
      </c>
      <c r="AX156">
        <v>31.580400000000001</v>
      </c>
      <c r="AY156">
        <v>11690.6</v>
      </c>
      <c r="AZ156">
        <v>10178</v>
      </c>
      <c r="BA156">
        <v>65788</v>
      </c>
      <c r="BB156">
        <v>32904</v>
      </c>
      <c r="BC156" t="str">
        <f t="shared" si="4"/>
        <v>u=1%, k=2x10^9</v>
      </c>
      <c r="BD156">
        <f t="shared" si="5"/>
        <v>0</v>
      </c>
    </row>
    <row r="157" spans="1:56">
      <c r="A157" t="s">
        <v>241</v>
      </c>
      <c r="B157" t="s">
        <v>68</v>
      </c>
      <c r="D157" t="s">
        <v>65</v>
      </c>
      <c r="E157" t="s">
        <v>60</v>
      </c>
      <c r="F157" t="s">
        <v>61</v>
      </c>
      <c r="G157">
        <v>30000</v>
      </c>
      <c r="H157">
        <v>0.5</v>
      </c>
      <c r="I157">
        <v>0.5</v>
      </c>
      <c r="J157">
        <v>0</v>
      </c>
      <c r="K157">
        <v>1</v>
      </c>
      <c r="L157">
        <v>2000000000</v>
      </c>
      <c r="M157">
        <v>24</v>
      </c>
      <c r="N157">
        <v>24</v>
      </c>
      <c r="O157">
        <v>24</v>
      </c>
      <c r="P157">
        <v>0</v>
      </c>
      <c r="Q157" t="s">
        <v>62</v>
      </c>
      <c r="R157">
        <v>9.9999659846565901E+17</v>
      </c>
      <c r="S157">
        <v>1000000608</v>
      </c>
      <c r="T157">
        <v>9.9999659846565901E+17</v>
      </c>
      <c r="U157">
        <v>1000000608</v>
      </c>
      <c r="V157" t="s">
        <v>75</v>
      </c>
      <c r="W157">
        <v>82</v>
      </c>
      <c r="X157">
        <v>1000000607</v>
      </c>
      <c r="Y157">
        <v>1000000608</v>
      </c>
      <c r="Z157">
        <v>2000001215</v>
      </c>
      <c r="AA157">
        <v>1000000608</v>
      </c>
      <c r="AB157">
        <v>2</v>
      </c>
      <c r="AC157">
        <v>1</v>
      </c>
      <c r="AD157">
        <v>1.5</v>
      </c>
      <c r="AE157">
        <v>42.430599999999998</v>
      </c>
      <c r="AM157">
        <v>127931004</v>
      </c>
      <c r="AN157">
        <v>0</v>
      </c>
      <c r="AO157">
        <v>1291452</v>
      </c>
      <c r="AP157">
        <v>127931004</v>
      </c>
      <c r="AQ157">
        <v>129222456</v>
      </c>
      <c r="AR157">
        <v>4264366</v>
      </c>
      <c r="AS157">
        <v>0</v>
      </c>
      <c r="AT157">
        <v>43048</v>
      </c>
      <c r="AU157">
        <v>4264366</v>
      </c>
      <c r="AV157">
        <v>4307415</v>
      </c>
      <c r="AW157">
        <v>53.445599999999999</v>
      </c>
      <c r="AX157">
        <v>28.665900000000001</v>
      </c>
      <c r="AY157">
        <v>15544</v>
      </c>
      <c r="AZ157">
        <v>13516.9</v>
      </c>
      <c r="BA157">
        <v>65644</v>
      </c>
      <c r="BB157">
        <v>299557</v>
      </c>
      <c r="BC157" t="str">
        <f t="shared" si="4"/>
        <v>u=1%, k=2x10^9</v>
      </c>
      <c r="BD157">
        <f t="shared" si="5"/>
        <v>0</v>
      </c>
    </row>
    <row r="158" spans="1:56">
      <c r="A158" t="s">
        <v>242</v>
      </c>
      <c r="B158" t="s">
        <v>68</v>
      </c>
      <c r="D158" t="s">
        <v>65</v>
      </c>
      <c r="E158" t="s">
        <v>60</v>
      </c>
      <c r="F158" t="s">
        <v>61</v>
      </c>
      <c r="G158">
        <v>30000</v>
      </c>
      <c r="H158">
        <v>0.5</v>
      </c>
      <c r="I158">
        <v>0.5</v>
      </c>
      <c r="J158">
        <v>0</v>
      </c>
      <c r="K158">
        <v>1</v>
      </c>
      <c r="L158">
        <v>2000000000</v>
      </c>
      <c r="M158">
        <v>48</v>
      </c>
      <c r="N158">
        <v>48</v>
      </c>
      <c r="O158">
        <v>48</v>
      </c>
      <c r="P158">
        <v>0</v>
      </c>
      <c r="Q158" t="s">
        <v>62</v>
      </c>
      <c r="R158">
        <v>1.0000032404209E+18</v>
      </c>
      <c r="S158">
        <v>1000001189</v>
      </c>
      <c r="T158">
        <v>1.0000032404209E+18</v>
      </c>
      <c r="U158">
        <v>1000001189</v>
      </c>
      <c r="V158" t="s">
        <v>75</v>
      </c>
      <c r="W158">
        <v>87</v>
      </c>
      <c r="X158">
        <v>1000001188</v>
      </c>
      <c r="Y158">
        <v>1000001189</v>
      </c>
      <c r="Z158">
        <v>2000002377</v>
      </c>
      <c r="AA158">
        <v>1000001189</v>
      </c>
      <c r="AB158">
        <v>2</v>
      </c>
      <c r="AC158">
        <v>1</v>
      </c>
      <c r="AD158">
        <v>1.5</v>
      </c>
      <c r="AE158">
        <v>42.069499999999998</v>
      </c>
      <c r="AM158">
        <v>250405919</v>
      </c>
      <c r="AN158">
        <v>0</v>
      </c>
      <c r="AO158">
        <v>2532654</v>
      </c>
      <c r="AP158">
        <v>250405919</v>
      </c>
      <c r="AQ158">
        <v>252938573</v>
      </c>
      <c r="AR158">
        <v>8346863</v>
      </c>
      <c r="AS158">
        <v>0</v>
      </c>
      <c r="AT158">
        <v>84421</v>
      </c>
      <c r="AU158">
        <v>8346863</v>
      </c>
      <c r="AV158">
        <v>8431285</v>
      </c>
      <c r="AW158">
        <v>53.274999999999999</v>
      </c>
      <c r="AX158">
        <v>28.6708</v>
      </c>
      <c r="AY158">
        <v>15882</v>
      </c>
      <c r="AZ158">
        <v>14746.8</v>
      </c>
      <c r="BA158">
        <v>65652</v>
      </c>
      <c r="BB158">
        <v>153460</v>
      </c>
      <c r="BC158" t="str">
        <f t="shared" si="4"/>
        <v>u=1%, k=2x10^9</v>
      </c>
      <c r="BD158">
        <f t="shared" si="5"/>
        <v>0</v>
      </c>
    </row>
    <row r="159" spans="1:56">
      <c r="A159" t="s">
        <v>243</v>
      </c>
      <c r="B159" t="s">
        <v>68</v>
      </c>
      <c r="D159" t="s">
        <v>65</v>
      </c>
      <c r="E159" t="s">
        <v>60</v>
      </c>
      <c r="F159" t="s">
        <v>61</v>
      </c>
      <c r="G159">
        <v>30000</v>
      </c>
      <c r="H159">
        <v>0.5</v>
      </c>
      <c r="I159">
        <v>0.5</v>
      </c>
      <c r="J159">
        <v>0</v>
      </c>
      <c r="K159">
        <v>1</v>
      </c>
      <c r="L159">
        <v>2000000000</v>
      </c>
      <c r="M159">
        <v>96</v>
      </c>
      <c r="N159">
        <v>96</v>
      </c>
      <c r="O159">
        <v>96</v>
      </c>
      <c r="P159">
        <v>0</v>
      </c>
      <c r="Q159" t="s">
        <v>62</v>
      </c>
      <c r="R159">
        <v>9.9999482886666304E+17</v>
      </c>
      <c r="S159">
        <v>999999903</v>
      </c>
      <c r="T159">
        <v>9.9999482886666304E+17</v>
      </c>
      <c r="U159">
        <v>999999903</v>
      </c>
      <c r="V159" t="s">
        <v>75</v>
      </c>
      <c r="W159">
        <v>80</v>
      </c>
      <c r="X159">
        <v>999999902</v>
      </c>
      <c r="Y159">
        <v>999999903</v>
      </c>
      <c r="Z159">
        <v>1999999805</v>
      </c>
      <c r="AA159">
        <v>999999903</v>
      </c>
      <c r="AB159">
        <v>2</v>
      </c>
      <c r="AC159">
        <v>1</v>
      </c>
      <c r="AD159">
        <v>1.5</v>
      </c>
      <c r="AE159">
        <v>39.747500000000002</v>
      </c>
      <c r="AM159">
        <v>563291530</v>
      </c>
      <c r="AN159">
        <v>0</v>
      </c>
      <c r="AO159">
        <v>5689442</v>
      </c>
      <c r="AP159">
        <v>563291530</v>
      </c>
      <c r="AQ159">
        <v>568980972</v>
      </c>
      <c r="AR159">
        <v>18776384</v>
      </c>
      <c r="AS159">
        <v>0</v>
      </c>
      <c r="AT159">
        <v>189648</v>
      </c>
      <c r="AU159">
        <v>18776384</v>
      </c>
      <c r="AV159">
        <v>18966032</v>
      </c>
      <c r="AW159">
        <v>53.994100000000003</v>
      </c>
      <c r="AX159">
        <v>31.277000000000001</v>
      </c>
      <c r="AY159">
        <v>14106.9</v>
      </c>
      <c r="AZ159">
        <v>12887.6</v>
      </c>
      <c r="BA159">
        <v>65667</v>
      </c>
      <c r="BB159">
        <v>66331</v>
      </c>
      <c r="BC159" t="str">
        <f t="shared" si="4"/>
        <v>u=1%, k=2x10^9</v>
      </c>
      <c r="BD159">
        <f t="shared" si="5"/>
        <v>0</v>
      </c>
    </row>
    <row r="160" spans="1:56">
      <c r="A160" t="s">
        <v>244</v>
      </c>
      <c r="B160" t="s">
        <v>68</v>
      </c>
      <c r="D160" t="s">
        <v>65</v>
      </c>
      <c r="E160" t="s">
        <v>60</v>
      </c>
      <c r="F160" t="s">
        <v>61</v>
      </c>
      <c r="G160">
        <v>30000</v>
      </c>
      <c r="H160">
        <v>0.5</v>
      </c>
      <c r="I160">
        <v>0.5</v>
      </c>
      <c r="J160">
        <v>0</v>
      </c>
      <c r="K160">
        <v>1</v>
      </c>
      <c r="L160">
        <v>2000000000</v>
      </c>
      <c r="M160">
        <v>144</v>
      </c>
      <c r="N160">
        <v>144</v>
      </c>
      <c r="O160">
        <v>144</v>
      </c>
      <c r="P160">
        <v>0</v>
      </c>
      <c r="Q160" t="s">
        <v>62</v>
      </c>
      <c r="R160">
        <v>1.0000093592580401E+18</v>
      </c>
      <c r="S160">
        <v>999996431</v>
      </c>
      <c r="T160">
        <v>1.0000093592580401E+18</v>
      </c>
      <c r="U160">
        <v>999996431</v>
      </c>
      <c r="V160" t="s">
        <v>75</v>
      </c>
      <c r="W160">
        <v>76</v>
      </c>
      <c r="X160">
        <v>999996430</v>
      </c>
      <c r="Y160">
        <v>999996431</v>
      </c>
      <c r="Z160">
        <v>1999992861</v>
      </c>
      <c r="AA160">
        <v>999996431</v>
      </c>
      <c r="AB160">
        <v>2</v>
      </c>
      <c r="AC160">
        <v>1</v>
      </c>
      <c r="AD160">
        <v>1.5</v>
      </c>
      <c r="AE160">
        <v>39.7072</v>
      </c>
      <c r="AM160">
        <v>852491882</v>
      </c>
      <c r="AN160">
        <v>0</v>
      </c>
      <c r="AO160">
        <v>8604750</v>
      </c>
      <c r="AP160">
        <v>852491882</v>
      </c>
      <c r="AQ160">
        <v>861096632</v>
      </c>
      <c r="AR160">
        <v>28416396</v>
      </c>
      <c r="AS160">
        <v>0</v>
      </c>
      <c r="AT160">
        <v>286825</v>
      </c>
      <c r="AU160">
        <v>28416396</v>
      </c>
      <c r="AV160">
        <v>28703221</v>
      </c>
      <c r="AW160">
        <v>54.243699999999997</v>
      </c>
      <c r="AX160">
        <v>31.487500000000001</v>
      </c>
      <c r="AY160">
        <v>13978.5</v>
      </c>
      <c r="AZ160">
        <v>12746.4</v>
      </c>
      <c r="BA160">
        <v>65679</v>
      </c>
      <c r="BB160">
        <v>44200</v>
      </c>
      <c r="BC160" t="str">
        <f t="shared" si="4"/>
        <v>u=1%, k=2x10^9</v>
      </c>
      <c r="BD160">
        <f t="shared" si="5"/>
        <v>0</v>
      </c>
    </row>
    <row r="161" spans="1:56">
      <c r="A161" t="s">
        <v>245</v>
      </c>
      <c r="B161" t="s">
        <v>68</v>
      </c>
      <c r="D161" t="s">
        <v>65</v>
      </c>
      <c r="E161" t="s">
        <v>60</v>
      </c>
      <c r="F161" t="s">
        <v>61</v>
      </c>
      <c r="G161">
        <v>30000</v>
      </c>
      <c r="H161">
        <v>0.5</v>
      </c>
      <c r="I161">
        <v>0.5</v>
      </c>
      <c r="J161">
        <v>0</v>
      </c>
      <c r="K161">
        <v>1</v>
      </c>
      <c r="L161">
        <v>2000000000</v>
      </c>
      <c r="M161">
        <v>190</v>
      </c>
      <c r="N161">
        <v>190</v>
      </c>
      <c r="O161">
        <v>190</v>
      </c>
      <c r="P161">
        <v>0</v>
      </c>
      <c r="Q161" t="s">
        <v>62</v>
      </c>
      <c r="R161">
        <v>1.00002754463336E+18</v>
      </c>
      <c r="S161">
        <v>999997548</v>
      </c>
      <c r="T161">
        <v>1.00002754463336E+18</v>
      </c>
      <c r="U161">
        <v>999997548</v>
      </c>
      <c r="V161" t="s">
        <v>75</v>
      </c>
      <c r="W161">
        <v>81</v>
      </c>
      <c r="X161">
        <v>999997547</v>
      </c>
      <c r="Y161">
        <v>999997548</v>
      </c>
      <c r="Z161">
        <v>1999995095</v>
      </c>
      <c r="AA161">
        <v>999997548</v>
      </c>
      <c r="AB161">
        <v>2</v>
      </c>
      <c r="AC161">
        <v>1</v>
      </c>
      <c r="AD161">
        <v>1.5</v>
      </c>
      <c r="AE161">
        <v>40.872900000000001</v>
      </c>
      <c r="AM161">
        <v>1129473232</v>
      </c>
      <c r="AN161">
        <v>0</v>
      </c>
      <c r="AO161">
        <v>11404965</v>
      </c>
      <c r="AP161">
        <v>1129473232</v>
      </c>
      <c r="AQ161">
        <v>1140878197</v>
      </c>
      <c r="AR161">
        <v>37649107</v>
      </c>
      <c r="AS161">
        <v>0</v>
      </c>
      <c r="AT161">
        <v>380165</v>
      </c>
      <c r="AU161">
        <v>37649107</v>
      </c>
      <c r="AV161">
        <v>38029273</v>
      </c>
      <c r="AW161">
        <v>54.241100000000003</v>
      </c>
      <c r="AX161">
        <v>31.620100000000001</v>
      </c>
      <c r="AY161">
        <v>13920.5</v>
      </c>
      <c r="AZ161">
        <v>12672.7</v>
      </c>
      <c r="BA161">
        <v>65692</v>
      </c>
      <c r="BB161">
        <v>33856</v>
      </c>
      <c r="BC161" t="str">
        <f t="shared" si="4"/>
        <v>u=1%, k=2x10^9</v>
      </c>
      <c r="BD161">
        <f t="shared" si="5"/>
        <v>0</v>
      </c>
    </row>
    <row r="162" spans="1:56">
      <c r="A162" t="s">
        <v>246</v>
      </c>
      <c r="B162" t="s">
        <v>64</v>
      </c>
      <c r="C162">
        <v>72</v>
      </c>
      <c r="D162" t="s">
        <v>65</v>
      </c>
      <c r="E162" t="s">
        <v>60</v>
      </c>
      <c r="F162" t="s">
        <v>61</v>
      </c>
      <c r="G162">
        <v>30000</v>
      </c>
      <c r="H162">
        <v>5</v>
      </c>
      <c r="I162">
        <v>5</v>
      </c>
      <c r="J162">
        <v>0</v>
      </c>
      <c r="K162">
        <v>1</v>
      </c>
      <c r="L162">
        <v>2000000</v>
      </c>
      <c r="M162">
        <v>24</v>
      </c>
      <c r="N162">
        <v>24</v>
      </c>
      <c r="O162">
        <v>24</v>
      </c>
      <c r="P162">
        <v>0</v>
      </c>
      <c r="Q162" t="s">
        <v>62</v>
      </c>
      <c r="R162">
        <v>999607795244</v>
      </c>
      <c r="S162">
        <v>1000568</v>
      </c>
      <c r="T162">
        <v>999607795244</v>
      </c>
      <c r="U162">
        <v>1000568</v>
      </c>
      <c r="V162" t="s">
        <v>75</v>
      </c>
      <c r="W162">
        <v>6</v>
      </c>
      <c r="X162">
        <v>64779</v>
      </c>
      <c r="Y162">
        <v>1097169</v>
      </c>
      <c r="Z162">
        <v>1161948</v>
      </c>
      <c r="AA162">
        <v>1000568</v>
      </c>
      <c r="AB162">
        <v>17.937100000000001</v>
      </c>
      <c r="AC162">
        <v>0.91195400000000004</v>
      </c>
      <c r="AD162">
        <v>1.86111</v>
      </c>
      <c r="AE162">
        <v>3.0666899999999999</v>
      </c>
      <c r="AM162">
        <v>1760934117</v>
      </c>
      <c r="AN162">
        <v>0</v>
      </c>
      <c r="AO162">
        <v>195652813</v>
      </c>
      <c r="AP162">
        <v>1760934117</v>
      </c>
      <c r="AQ162">
        <v>1956586930</v>
      </c>
      <c r="AR162">
        <v>58697803</v>
      </c>
      <c r="AS162">
        <v>0</v>
      </c>
      <c r="AT162">
        <v>6521760</v>
      </c>
      <c r="AU162">
        <v>58697803</v>
      </c>
      <c r="AV162">
        <v>65219564</v>
      </c>
      <c r="AW162">
        <v>10.1838</v>
      </c>
      <c r="AX162">
        <v>0.37295099999999998</v>
      </c>
      <c r="AY162">
        <v>1025.48</v>
      </c>
      <c r="AZ162">
        <v>364.14600000000002</v>
      </c>
      <c r="BA162">
        <v>1197</v>
      </c>
      <c r="BB162">
        <v>27</v>
      </c>
      <c r="BC162" t="str">
        <f t="shared" si="4"/>
        <v>u=10%, k=2x10^6</v>
      </c>
      <c r="BD162">
        <f t="shared" si="5"/>
        <v>0</v>
      </c>
    </row>
    <row r="163" spans="1:56">
      <c r="A163" t="s">
        <v>247</v>
      </c>
      <c r="B163" t="s">
        <v>64</v>
      </c>
      <c r="C163">
        <v>72</v>
      </c>
      <c r="D163" t="s">
        <v>65</v>
      </c>
      <c r="E163" t="s">
        <v>60</v>
      </c>
      <c r="F163" t="s">
        <v>61</v>
      </c>
      <c r="G163">
        <v>30000</v>
      </c>
      <c r="H163">
        <v>5</v>
      </c>
      <c r="I163">
        <v>5</v>
      </c>
      <c r="J163">
        <v>0</v>
      </c>
      <c r="K163">
        <v>1</v>
      </c>
      <c r="L163">
        <v>2000000</v>
      </c>
      <c r="M163">
        <v>48</v>
      </c>
      <c r="N163">
        <v>48</v>
      </c>
      <c r="O163">
        <v>48</v>
      </c>
      <c r="P163">
        <v>0</v>
      </c>
      <c r="Q163" t="s">
        <v>62</v>
      </c>
      <c r="R163">
        <v>1000772017151</v>
      </c>
      <c r="S163">
        <v>1000875</v>
      </c>
      <c r="T163">
        <v>1000772017151</v>
      </c>
      <c r="U163">
        <v>1000875</v>
      </c>
      <c r="V163" t="s">
        <v>75</v>
      </c>
      <c r="W163">
        <v>6</v>
      </c>
      <c r="X163">
        <v>79786</v>
      </c>
      <c r="Y163">
        <v>1130578</v>
      </c>
      <c r="Z163">
        <v>1210364</v>
      </c>
      <c r="AA163">
        <v>1000875</v>
      </c>
      <c r="AB163">
        <v>15.1701</v>
      </c>
      <c r="AC163">
        <v>0.88527699999999998</v>
      </c>
      <c r="AD163">
        <v>1.8269200000000001</v>
      </c>
      <c r="AE163">
        <v>3.1019800000000002</v>
      </c>
      <c r="AM163">
        <v>2643858413</v>
      </c>
      <c r="AN163">
        <v>0</v>
      </c>
      <c r="AO163">
        <v>293773544</v>
      </c>
      <c r="AP163">
        <v>2643858413</v>
      </c>
      <c r="AQ163">
        <v>2937631957</v>
      </c>
      <c r="AR163">
        <v>88128613</v>
      </c>
      <c r="AS163">
        <v>0</v>
      </c>
      <c r="AT163">
        <v>9792451</v>
      </c>
      <c r="AU163">
        <v>88128613</v>
      </c>
      <c r="AV163">
        <v>97921065</v>
      </c>
      <c r="AW163">
        <v>10.2904</v>
      </c>
      <c r="AX163">
        <v>0.470553</v>
      </c>
      <c r="AY163">
        <v>1353.49</v>
      </c>
      <c r="AZ163">
        <v>570.04300000000001</v>
      </c>
      <c r="BA163">
        <v>1236</v>
      </c>
      <c r="BB163">
        <v>52</v>
      </c>
      <c r="BC163" t="str">
        <f t="shared" si="4"/>
        <v>u=10%, k=2x10^6</v>
      </c>
      <c r="BD163">
        <f t="shared" si="5"/>
        <v>0</v>
      </c>
    </row>
    <row r="164" spans="1:56">
      <c r="A164" t="s">
        <v>248</v>
      </c>
      <c r="B164" t="s">
        <v>64</v>
      </c>
      <c r="C164">
        <v>72</v>
      </c>
      <c r="D164" t="s">
        <v>65</v>
      </c>
      <c r="E164" t="s">
        <v>60</v>
      </c>
      <c r="F164" t="s">
        <v>61</v>
      </c>
      <c r="G164">
        <v>30000</v>
      </c>
      <c r="H164">
        <v>5</v>
      </c>
      <c r="I164">
        <v>5</v>
      </c>
      <c r="J164">
        <v>0</v>
      </c>
      <c r="K164">
        <v>1</v>
      </c>
      <c r="L164">
        <v>2000000</v>
      </c>
      <c r="M164">
        <v>96</v>
      </c>
      <c r="N164">
        <v>96</v>
      </c>
      <c r="O164">
        <v>96</v>
      </c>
      <c r="P164">
        <v>0</v>
      </c>
      <c r="Q164" t="s">
        <v>62</v>
      </c>
      <c r="R164">
        <v>999046596160</v>
      </c>
      <c r="S164">
        <v>999623</v>
      </c>
      <c r="T164">
        <v>999046596160</v>
      </c>
      <c r="U164">
        <v>999623</v>
      </c>
      <c r="V164" t="s">
        <v>75</v>
      </c>
      <c r="W164">
        <v>6</v>
      </c>
      <c r="X164">
        <v>44477</v>
      </c>
      <c r="Y164">
        <v>1054387</v>
      </c>
      <c r="Z164">
        <v>1098864</v>
      </c>
      <c r="AA164">
        <v>999623</v>
      </c>
      <c r="AB164">
        <v>24.706299999999999</v>
      </c>
      <c r="AC164">
        <v>0.94806100000000004</v>
      </c>
      <c r="AD164">
        <v>1.9096900000000001</v>
      </c>
      <c r="AE164">
        <v>3.0233500000000002</v>
      </c>
      <c r="AM164">
        <v>4224436884</v>
      </c>
      <c r="AN164">
        <v>0</v>
      </c>
      <c r="AO164">
        <v>469348761</v>
      </c>
      <c r="AP164">
        <v>4224436884</v>
      </c>
      <c r="AQ164">
        <v>4693785645</v>
      </c>
      <c r="AR164">
        <v>140814562</v>
      </c>
      <c r="AS164">
        <v>0</v>
      </c>
      <c r="AT164">
        <v>15644958</v>
      </c>
      <c r="AU164">
        <v>140814562</v>
      </c>
      <c r="AV164">
        <v>156459521</v>
      </c>
      <c r="AW164">
        <v>11.0138</v>
      </c>
      <c r="AX164">
        <v>1.62734</v>
      </c>
      <c r="AY164">
        <v>1706.37</v>
      </c>
      <c r="AZ164">
        <v>903.74400000000003</v>
      </c>
      <c r="BA164">
        <v>1335</v>
      </c>
      <c r="BB164">
        <v>153</v>
      </c>
      <c r="BC164" t="str">
        <f t="shared" si="4"/>
        <v>u=10%, k=2x10^6</v>
      </c>
      <c r="BD164">
        <f t="shared" si="5"/>
        <v>0</v>
      </c>
    </row>
    <row r="165" spans="1:56">
      <c r="A165" t="s">
        <v>249</v>
      </c>
      <c r="B165" t="s">
        <v>64</v>
      </c>
      <c r="C165">
        <v>72</v>
      </c>
      <c r="D165" t="s">
        <v>65</v>
      </c>
      <c r="E165" t="s">
        <v>60</v>
      </c>
      <c r="F165" t="s">
        <v>61</v>
      </c>
      <c r="G165">
        <v>30000</v>
      </c>
      <c r="H165">
        <v>5</v>
      </c>
      <c r="I165">
        <v>5</v>
      </c>
      <c r="J165">
        <v>0</v>
      </c>
      <c r="K165">
        <v>1</v>
      </c>
      <c r="L165">
        <v>2000000</v>
      </c>
      <c r="M165">
        <v>144</v>
      </c>
      <c r="N165">
        <v>144</v>
      </c>
      <c r="O165">
        <v>144</v>
      </c>
      <c r="P165">
        <v>0</v>
      </c>
      <c r="Q165" t="s">
        <v>62</v>
      </c>
      <c r="R165">
        <v>1000456023200</v>
      </c>
      <c r="S165">
        <v>1000529</v>
      </c>
      <c r="T165">
        <v>1000456023200</v>
      </c>
      <c r="U165">
        <v>1000529</v>
      </c>
      <c r="V165" t="s">
        <v>75</v>
      </c>
      <c r="W165">
        <v>6</v>
      </c>
      <c r="X165">
        <v>48748</v>
      </c>
      <c r="Y165">
        <v>1064036</v>
      </c>
      <c r="Z165">
        <v>1112784</v>
      </c>
      <c r="AA165">
        <v>1000529</v>
      </c>
      <c r="AB165">
        <v>22.827300000000001</v>
      </c>
      <c r="AC165">
        <v>0.94031500000000001</v>
      </c>
      <c r="AD165">
        <v>1.8991199999999999</v>
      </c>
      <c r="AE165">
        <v>3.0322</v>
      </c>
      <c r="AM165">
        <v>5220441333</v>
      </c>
      <c r="AN165">
        <v>0</v>
      </c>
      <c r="AO165">
        <v>580094964</v>
      </c>
      <c r="AP165">
        <v>5220441333</v>
      </c>
      <c r="AQ165">
        <v>5800536297</v>
      </c>
      <c r="AR165">
        <v>174014711</v>
      </c>
      <c r="AS165">
        <v>0</v>
      </c>
      <c r="AT165">
        <v>19336498</v>
      </c>
      <c r="AU165">
        <v>174014711</v>
      </c>
      <c r="AV165">
        <v>193351209</v>
      </c>
      <c r="AW165">
        <v>12.218</v>
      </c>
      <c r="AX165">
        <v>2.7405599999999999</v>
      </c>
      <c r="AY165">
        <v>2066.44</v>
      </c>
      <c r="AZ165">
        <v>1234.8900000000001</v>
      </c>
      <c r="BA165">
        <v>1475</v>
      </c>
      <c r="BB165">
        <v>292</v>
      </c>
      <c r="BC165" t="str">
        <f t="shared" si="4"/>
        <v>u=10%, k=2x10^6</v>
      </c>
      <c r="BD165">
        <f t="shared" si="5"/>
        <v>0</v>
      </c>
    </row>
    <row r="166" spans="1:56">
      <c r="A166" t="s">
        <v>250</v>
      </c>
      <c r="B166" t="s">
        <v>64</v>
      </c>
      <c r="C166">
        <v>72</v>
      </c>
      <c r="D166" t="s">
        <v>65</v>
      </c>
      <c r="E166" t="s">
        <v>60</v>
      </c>
      <c r="F166" t="s">
        <v>61</v>
      </c>
      <c r="G166">
        <v>30000</v>
      </c>
      <c r="H166">
        <v>5</v>
      </c>
      <c r="I166">
        <v>5</v>
      </c>
      <c r="J166">
        <v>0</v>
      </c>
      <c r="K166">
        <v>1</v>
      </c>
      <c r="L166">
        <v>2000000</v>
      </c>
      <c r="M166">
        <v>190</v>
      </c>
      <c r="N166">
        <v>190</v>
      </c>
      <c r="O166">
        <v>190</v>
      </c>
      <c r="P166">
        <v>0</v>
      </c>
      <c r="Q166" t="s">
        <v>62</v>
      </c>
      <c r="R166">
        <v>999404080834</v>
      </c>
      <c r="S166">
        <v>999677</v>
      </c>
      <c r="T166">
        <v>999404080834</v>
      </c>
      <c r="U166">
        <v>999677</v>
      </c>
      <c r="V166" t="s">
        <v>75</v>
      </c>
      <c r="W166">
        <v>6</v>
      </c>
      <c r="X166">
        <v>57680</v>
      </c>
      <c r="Y166">
        <v>1081977</v>
      </c>
      <c r="Z166">
        <v>1139657</v>
      </c>
      <c r="AA166">
        <v>999677</v>
      </c>
      <c r="AB166">
        <v>19.758299999999998</v>
      </c>
      <c r="AC166">
        <v>0.92393599999999998</v>
      </c>
      <c r="AD166">
        <v>1.87717</v>
      </c>
      <c r="AE166">
        <v>3.0515500000000002</v>
      </c>
      <c r="AM166">
        <v>6190820070</v>
      </c>
      <c r="AN166">
        <v>0</v>
      </c>
      <c r="AO166">
        <v>687853448</v>
      </c>
      <c r="AP166">
        <v>6190820070</v>
      </c>
      <c r="AQ166">
        <v>6878673518</v>
      </c>
      <c r="AR166">
        <v>206360669</v>
      </c>
      <c r="AS166">
        <v>0</v>
      </c>
      <c r="AT166">
        <v>22928448</v>
      </c>
      <c r="AU166">
        <v>206360669</v>
      </c>
      <c r="AV166">
        <v>229289117</v>
      </c>
      <c r="AW166">
        <v>12.4824</v>
      </c>
      <c r="AX166">
        <v>3.1570999999999998</v>
      </c>
      <c r="AY166">
        <v>2303.87</v>
      </c>
      <c r="AZ166">
        <v>1475.35</v>
      </c>
      <c r="BA166">
        <v>1590</v>
      </c>
      <c r="BB166">
        <v>280</v>
      </c>
      <c r="BC166" t="str">
        <f t="shared" si="4"/>
        <v>u=10%, k=2x10^6</v>
      </c>
      <c r="BD166">
        <f t="shared" si="5"/>
        <v>0</v>
      </c>
    </row>
    <row r="167" spans="1:56">
      <c r="A167" t="s">
        <v>251</v>
      </c>
      <c r="B167" t="s">
        <v>66</v>
      </c>
      <c r="C167">
        <v>208</v>
      </c>
      <c r="D167" t="s">
        <v>65</v>
      </c>
      <c r="E167" t="s">
        <v>60</v>
      </c>
      <c r="F167" t="s">
        <v>61</v>
      </c>
      <c r="G167">
        <v>30000</v>
      </c>
      <c r="H167">
        <v>5</v>
      </c>
      <c r="I167">
        <v>5</v>
      </c>
      <c r="J167">
        <v>0</v>
      </c>
      <c r="K167">
        <v>1</v>
      </c>
      <c r="L167">
        <v>2000000</v>
      </c>
      <c r="M167">
        <v>24</v>
      </c>
      <c r="N167">
        <v>24</v>
      </c>
      <c r="O167">
        <v>24</v>
      </c>
      <c r="P167">
        <v>0</v>
      </c>
      <c r="Q167" t="s">
        <v>62</v>
      </c>
      <c r="R167">
        <v>1001050091771</v>
      </c>
      <c r="S167">
        <v>1000502</v>
      </c>
      <c r="T167">
        <v>1001050091771</v>
      </c>
      <c r="U167">
        <v>1000502</v>
      </c>
      <c r="V167" t="s">
        <v>75</v>
      </c>
      <c r="W167">
        <v>8</v>
      </c>
      <c r="X167">
        <v>32841</v>
      </c>
      <c r="Y167">
        <v>195355</v>
      </c>
      <c r="Z167">
        <v>228196</v>
      </c>
      <c r="AA167">
        <v>1000502</v>
      </c>
      <c r="AB167">
        <v>6.9485099999999997</v>
      </c>
      <c r="AC167">
        <v>5.1214599999999999</v>
      </c>
      <c r="AD167">
        <v>5.3844000000000003</v>
      </c>
      <c r="AE167">
        <v>7</v>
      </c>
      <c r="AM167">
        <v>1437671474</v>
      </c>
      <c r="AN167">
        <v>0</v>
      </c>
      <c r="AO167">
        <v>159752002</v>
      </c>
      <c r="AP167">
        <v>1437671474</v>
      </c>
      <c r="AQ167">
        <v>1597423476</v>
      </c>
      <c r="AR167">
        <v>47922382</v>
      </c>
      <c r="AS167">
        <v>0</v>
      </c>
      <c r="AT167">
        <v>5325066</v>
      </c>
      <c r="AU167">
        <v>47922382</v>
      </c>
      <c r="AV167">
        <v>53247449</v>
      </c>
      <c r="AW167">
        <v>10.3887</v>
      </c>
      <c r="AX167">
        <v>0.99954799999999999</v>
      </c>
      <c r="AY167">
        <v>1256.98</v>
      </c>
      <c r="AZ167">
        <v>408.524</v>
      </c>
      <c r="BA167">
        <v>1125</v>
      </c>
      <c r="BB167">
        <v>159</v>
      </c>
      <c r="BC167" t="str">
        <f t="shared" si="4"/>
        <v>u=10%, k=2x10^6</v>
      </c>
      <c r="BD167">
        <f t="shared" si="5"/>
        <v>0</v>
      </c>
    </row>
    <row r="168" spans="1:56">
      <c r="A168" t="s">
        <v>252</v>
      </c>
      <c r="B168" t="s">
        <v>66</v>
      </c>
      <c r="C168">
        <v>208</v>
      </c>
      <c r="D168" t="s">
        <v>65</v>
      </c>
      <c r="E168" t="s">
        <v>60</v>
      </c>
      <c r="F168" t="s">
        <v>61</v>
      </c>
      <c r="G168">
        <v>30000</v>
      </c>
      <c r="H168">
        <v>5</v>
      </c>
      <c r="I168">
        <v>5</v>
      </c>
      <c r="J168">
        <v>0</v>
      </c>
      <c r="K168">
        <v>1</v>
      </c>
      <c r="L168">
        <v>2000000</v>
      </c>
      <c r="M168">
        <v>48</v>
      </c>
      <c r="N168">
        <v>48</v>
      </c>
      <c r="O168">
        <v>48</v>
      </c>
      <c r="P168">
        <v>0</v>
      </c>
      <c r="Q168" t="s">
        <v>62</v>
      </c>
      <c r="R168">
        <v>1001180234925</v>
      </c>
      <c r="S168">
        <v>1001190</v>
      </c>
      <c r="T168">
        <v>1001180234925</v>
      </c>
      <c r="U168">
        <v>1001190</v>
      </c>
      <c r="V168" t="s">
        <v>75</v>
      </c>
      <c r="W168">
        <v>8</v>
      </c>
      <c r="X168">
        <v>33689</v>
      </c>
      <c r="Y168">
        <v>195313</v>
      </c>
      <c r="Z168">
        <v>229002</v>
      </c>
      <c r="AA168">
        <v>1001190</v>
      </c>
      <c r="AB168">
        <v>6.7975300000000001</v>
      </c>
      <c r="AC168">
        <v>5.12608</v>
      </c>
      <c r="AD168">
        <v>5.3719700000000001</v>
      </c>
      <c r="AE168">
        <v>7</v>
      </c>
      <c r="AM168">
        <v>2317565646</v>
      </c>
      <c r="AN168">
        <v>0</v>
      </c>
      <c r="AO168">
        <v>257503073</v>
      </c>
      <c r="AP168">
        <v>2317565646</v>
      </c>
      <c r="AQ168">
        <v>2575068719</v>
      </c>
      <c r="AR168">
        <v>77252188</v>
      </c>
      <c r="AS168">
        <v>0</v>
      </c>
      <c r="AT168">
        <v>8583435</v>
      </c>
      <c r="AU168">
        <v>77252188</v>
      </c>
      <c r="AV168">
        <v>85835623</v>
      </c>
      <c r="AW168">
        <v>10.5756</v>
      </c>
      <c r="AX168">
        <v>1.09093</v>
      </c>
      <c r="AY168">
        <v>1521.97</v>
      </c>
      <c r="AZ168">
        <v>640.14499999999998</v>
      </c>
      <c r="BA168">
        <v>1138</v>
      </c>
      <c r="BB168">
        <v>206</v>
      </c>
      <c r="BC168" t="str">
        <f t="shared" si="4"/>
        <v>u=10%, k=2x10^6</v>
      </c>
      <c r="BD168">
        <f t="shared" si="5"/>
        <v>0</v>
      </c>
    </row>
    <row r="169" spans="1:56">
      <c r="A169" t="s">
        <v>253</v>
      </c>
      <c r="B169" t="s">
        <v>66</v>
      </c>
      <c r="C169">
        <v>208</v>
      </c>
      <c r="D169" t="s">
        <v>65</v>
      </c>
      <c r="E169" t="s">
        <v>60</v>
      </c>
      <c r="F169" t="s">
        <v>61</v>
      </c>
      <c r="G169">
        <v>30000</v>
      </c>
      <c r="H169">
        <v>5</v>
      </c>
      <c r="I169">
        <v>5</v>
      </c>
      <c r="J169">
        <v>0</v>
      </c>
      <c r="K169">
        <v>1</v>
      </c>
      <c r="L169">
        <v>2000000</v>
      </c>
      <c r="M169">
        <v>96</v>
      </c>
      <c r="N169">
        <v>96</v>
      </c>
      <c r="O169">
        <v>96</v>
      </c>
      <c r="P169">
        <v>0</v>
      </c>
      <c r="Q169" t="s">
        <v>62</v>
      </c>
      <c r="R169">
        <v>999466625345</v>
      </c>
      <c r="S169">
        <v>999853</v>
      </c>
      <c r="T169">
        <v>999466625345</v>
      </c>
      <c r="U169">
        <v>999853</v>
      </c>
      <c r="V169" t="s">
        <v>75</v>
      </c>
      <c r="W169">
        <v>8</v>
      </c>
      <c r="X169">
        <v>34500</v>
      </c>
      <c r="Y169">
        <v>195143</v>
      </c>
      <c r="Z169">
        <v>229643</v>
      </c>
      <c r="AA169">
        <v>999853</v>
      </c>
      <c r="AB169">
        <v>6.65632</v>
      </c>
      <c r="AC169">
        <v>5.1236899999999999</v>
      </c>
      <c r="AD169">
        <v>5.3539500000000002</v>
      </c>
      <c r="AE169">
        <v>7</v>
      </c>
      <c r="AM169">
        <v>4356866728</v>
      </c>
      <c r="AN169">
        <v>0</v>
      </c>
      <c r="AO169">
        <v>484080370</v>
      </c>
      <c r="AP169">
        <v>4356866728</v>
      </c>
      <c r="AQ169">
        <v>4840947098</v>
      </c>
      <c r="AR169">
        <v>145228890</v>
      </c>
      <c r="AS169">
        <v>0</v>
      </c>
      <c r="AT169">
        <v>16136012</v>
      </c>
      <c r="AU169">
        <v>145228890</v>
      </c>
      <c r="AV169">
        <v>161364903</v>
      </c>
      <c r="AW169">
        <v>11.0031</v>
      </c>
      <c r="AX169">
        <v>1.82657</v>
      </c>
      <c r="AY169">
        <v>1623.36</v>
      </c>
      <c r="AZ169">
        <v>714.9</v>
      </c>
      <c r="BA169">
        <v>1165</v>
      </c>
      <c r="BB169">
        <v>304</v>
      </c>
      <c r="BC169" t="str">
        <f t="shared" si="4"/>
        <v>u=10%, k=2x10^6</v>
      </c>
      <c r="BD169">
        <f t="shared" si="5"/>
        <v>0</v>
      </c>
    </row>
    <row r="170" spans="1:56">
      <c r="A170" t="s">
        <v>254</v>
      </c>
      <c r="B170" t="s">
        <v>66</v>
      </c>
      <c r="C170">
        <v>208</v>
      </c>
      <c r="D170" t="s">
        <v>65</v>
      </c>
      <c r="E170" t="s">
        <v>60</v>
      </c>
      <c r="F170" t="s">
        <v>61</v>
      </c>
      <c r="G170">
        <v>30000</v>
      </c>
      <c r="H170">
        <v>5</v>
      </c>
      <c r="I170">
        <v>5</v>
      </c>
      <c r="J170">
        <v>0</v>
      </c>
      <c r="K170">
        <v>1</v>
      </c>
      <c r="L170">
        <v>2000000</v>
      </c>
      <c r="M170">
        <v>144</v>
      </c>
      <c r="N170">
        <v>144</v>
      </c>
      <c r="O170">
        <v>144</v>
      </c>
      <c r="P170">
        <v>0</v>
      </c>
      <c r="Q170" t="s">
        <v>62</v>
      </c>
      <c r="R170">
        <v>999185208396</v>
      </c>
      <c r="S170">
        <v>999115</v>
      </c>
      <c r="T170">
        <v>999185208396</v>
      </c>
      <c r="U170">
        <v>999115</v>
      </c>
      <c r="V170" t="s">
        <v>75</v>
      </c>
      <c r="W170">
        <v>8</v>
      </c>
      <c r="X170">
        <v>35022</v>
      </c>
      <c r="Y170">
        <v>195053</v>
      </c>
      <c r="Z170">
        <v>230075</v>
      </c>
      <c r="AA170">
        <v>999115</v>
      </c>
      <c r="AB170">
        <v>6.5694400000000002</v>
      </c>
      <c r="AC170">
        <v>5.1222700000000003</v>
      </c>
      <c r="AD170">
        <v>5.3425599999999998</v>
      </c>
      <c r="AE170">
        <v>7</v>
      </c>
      <c r="AM170">
        <v>6216278943</v>
      </c>
      <c r="AN170">
        <v>0</v>
      </c>
      <c r="AO170">
        <v>690714105</v>
      </c>
      <c r="AP170">
        <v>6216278943</v>
      </c>
      <c r="AQ170">
        <v>6906993048</v>
      </c>
      <c r="AR170">
        <v>207209298</v>
      </c>
      <c r="AS170">
        <v>0</v>
      </c>
      <c r="AT170">
        <v>23023803</v>
      </c>
      <c r="AU170">
        <v>207209298</v>
      </c>
      <c r="AV170">
        <v>230233101</v>
      </c>
      <c r="AW170">
        <v>11.433199999999999</v>
      </c>
      <c r="AX170">
        <v>2.1486800000000001</v>
      </c>
      <c r="AY170">
        <v>1687.35</v>
      </c>
      <c r="AZ170">
        <v>759.27599999999995</v>
      </c>
      <c r="BA170">
        <v>1201</v>
      </c>
      <c r="BB170">
        <v>323</v>
      </c>
      <c r="BC170" t="str">
        <f t="shared" si="4"/>
        <v>u=10%, k=2x10^6</v>
      </c>
      <c r="BD170">
        <f t="shared" si="5"/>
        <v>0</v>
      </c>
    </row>
    <row r="171" spans="1:56">
      <c r="A171" t="s">
        <v>255</v>
      </c>
      <c r="B171" t="s">
        <v>66</v>
      </c>
      <c r="C171">
        <v>208</v>
      </c>
      <c r="D171" t="s">
        <v>65</v>
      </c>
      <c r="E171" t="s">
        <v>60</v>
      </c>
      <c r="F171" t="s">
        <v>61</v>
      </c>
      <c r="G171">
        <v>30000</v>
      </c>
      <c r="H171">
        <v>5</v>
      </c>
      <c r="I171">
        <v>5</v>
      </c>
      <c r="J171">
        <v>0</v>
      </c>
      <c r="K171">
        <v>1</v>
      </c>
      <c r="L171">
        <v>2000000</v>
      </c>
      <c r="M171">
        <v>190</v>
      </c>
      <c r="N171">
        <v>190</v>
      </c>
      <c r="O171">
        <v>190</v>
      </c>
      <c r="P171">
        <v>0</v>
      </c>
      <c r="Q171" t="s">
        <v>62</v>
      </c>
      <c r="R171">
        <v>999474689544</v>
      </c>
      <c r="S171">
        <v>998571</v>
      </c>
      <c r="T171">
        <v>999474689544</v>
      </c>
      <c r="U171">
        <v>998571</v>
      </c>
      <c r="V171" t="s">
        <v>75</v>
      </c>
      <c r="W171">
        <v>8</v>
      </c>
      <c r="X171">
        <v>35243</v>
      </c>
      <c r="Y171">
        <v>194789</v>
      </c>
      <c r="Z171">
        <v>230032</v>
      </c>
      <c r="AA171">
        <v>998571</v>
      </c>
      <c r="AB171">
        <v>6.5270299999999999</v>
      </c>
      <c r="AC171">
        <v>5.1264200000000004</v>
      </c>
      <c r="AD171">
        <v>5.3410099999999998</v>
      </c>
      <c r="AE171">
        <v>7</v>
      </c>
      <c r="AM171">
        <v>8118887287</v>
      </c>
      <c r="AN171">
        <v>0</v>
      </c>
      <c r="AO171">
        <v>902105944</v>
      </c>
      <c r="AP171">
        <v>8118887287</v>
      </c>
      <c r="AQ171">
        <v>9020993231</v>
      </c>
      <c r="AR171">
        <v>270629576</v>
      </c>
      <c r="AS171">
        <v>0</v>
      </c>
      <c r="AT171">
        <v>30070198</v>
      </c>
      <c r="AU171">
        <v>270629576</v>
      </c>
      <c r="AV171">
        <v>300699774</v>
      </c>
      <c r="AW171">
        <v>11.741</v>
      </c>
      <c r="AX171">
        <v>2.3703500000000002</v>
      </c>
      <c r="AY171">
        <v>1710.02</v>
      </c>
      <c r="AZ171">
        <v>783.52499999999998</v>
      </c>
      <c r="BA171">
        <v>1219</v>
      </c>
      <c r="BB171">
        <v>309</v>
      </c>
      <c r="BC171" t="str">
        <f t="shared" si="4"/>
        <v>u=10%, k=2x10^6</v>
      </c>
      <c r="BD171">
        <f t="shared" si="5"/>
        <v>0</v>
      </c>
    </row>
    <row r="172" spans="1:56">
      <c r="A172" t="s">
        <v>256</v>
      </c>
      <c r="B172" t="s">
        <v>67</v>
      </c>
      <c r="D172" t="s">
        <v>65</v>
      </c>
      <c r="E172" t="s">
        <v>60</v>
      </c>
      <c r="F172" t="s">
        <v>61</v>
      </c>
      <c r="G172">
        <v>30000</v>
      </c>
      <c r="H172">
        <v>5</v>
      </c>
      <c r="I172">
        <v>5</v>
      </c>
      <c r="J172">
        <v>0</v>
      </c>
      <c r="K172">
        <v>1</v>
      </c>
      <c r="L172">
        <v>2000000</v>
      </c>
      <c r="M172">
        <v>24</v>
      </c>
      <c r="N172">
        <v>24</v>
      </c>
      <c r="O172">
        <v>24</v>
      </c>
      <c r="P172">
        <v>0</v>
      </c>
      <c r="Q172" t="s">
        <v>62</v>
      </c>
      <c r="R172">
        <v>1000651416352</v>
      </c>
      <c r="S172">
        <v>1000665</v>
      </c>
      <c r="T172">
        <v>1000651416352</v>
      </c>
      <c r="U172">
        <v>1000665</v>
      </c>
      <c r="V172" t="s">
        <v>75</v>
      </c>
      <c r="W172">
        <v>25</v>
      </c>
      <c r="X172">
        <v>686102</v>
      </c>
      <c r="Y172">
        <v>521506</v>
      </c>
      <c r="Z172">
        <v>1207608</v>
      </c>
      <c r="AA172">
        <v>1000665</v>
      </c>
      <c r="AB172">
        <v>1.7601</v>
      </c>
      <c r="AC172">
        <v>1.9188000000000001</v>
      </c>
      <c r="AD172">
        <v>1.82863</v>
      </c>
      <c r="AE172">
        <v>19.864899999999999</v>
      </c>
      <c r="AM172">
        <v>733179886</v>
      </c>
      <c r="AN172">
        <v>0</v>
      </c>
      <c r="AO172">
        <v>81465299</v>
      </c>
      <c r="AP172">
        <v>733179886</v>
      </c>
      <c r="AQ172">
        <v>814645185</v>
      </c>
      <c r="AR172">
        <v>24439329</v>
      </c>
      <c r="AS172">
        <v>0</v>
      </c>
      <c r="AT172">
        <v>2715509</v>
      </c>
      <c r="AU172">
        <v>24439329</v>
      </c>
      <c r="AV172">
        <v>27154839</v>
      </c>
      <c r="AW172">
        <v>16.261900000000001</v>
      </c>
      <c r="AX172">
        <v>2.6464599999999998</v>
      </c>
      <c r="AY172">
        <v>2465.41</v>
      </c>
      <c r="AZ172">
        <v>1366.28</v>
      </c>
      <c r="BA172">
        <v>1155</v>
      </c>
      <c r="BB172">
        <v>196</v>
      </c>
      <c r="BC172" t="str">
        <f t="shared" si="4"/>
        <v>u=10%, k=2x10^6</v>
      </c>
      <c r="BD172">
        <f t="shared" si="5"/>
        <v>0</v>
      </c>
    </row>
    <row r="173" spans="1:56">
      <c r="A173" t="s">
        <v>257</v>
      </c>
      <c r="B173" t="s">
        <v>67</v>
      </c>
      <c r="D173" t="s">
        <v>65</v>
      </c>
      <c r="E173" t="s">
        <v>60</v>
      </c>
      <c r="F173" t="s">
        <v>61</v>
      </c>
      <c r="G173">
        <v>30000</v>
      </c>
      <c r="H173">
        <v>5</v>
      </c>
      <c r="I173">
        <v>5</v>
      </c>
      <c r="J173">
        <v>0</v>
      </c>
      <c r="K173">
        <v>1</v>
      </c>
      <c r="L173">
        <v>2000000</v>
      </c>
      <c r="M173">
        <v>48</v>
      </c>
      <c r="N173">
        <v>48</v>
      </c>
      <c r="O173">
        <v>48</v>
      </c>
      <c r="P173">
        <v>0</v>
      </c>
      <c r="Q173" t="s">
        <v>62</v>
      </c>
      <c r="R173">
        <v>1000010740550</v>
      </c>
      <c r="S173">
        <v>1000014</v>
      </c>
      <c r="T173">
        <v>1000010740550</v>
      </c>
      <c r="U173">
        <v>1000014</v>
      </c>
      <c r="V173" t="s">
        <v>75</v>
      </c>
      <c r="W173">
        <v>25</v>
      </c>
      <c r="X173">
        <v>685854</v>
      </c>
      <c r="Y173">
        <v>520246</v>
      </c>
      <c r="Z173">
        <v>1206100</v>
      </c>
      <c r="AA173">
        <v>1000014</v>
      </c>
      <c r="AB173">
        <v>1.75854</v>
      </c>
      <c r="AC173">
        <v>1.9221900000000001</v>
      </c>
      <c r="AD173">
        <v>1.8291299999999999</v>
      </c>
      <c r="AE173">
        <v>19.848700000000001</v>
      </c>
      <c r="AM173">
        <v>1272000964</v>
      </c>
      <c r="AN173">
        <v>0</v>
      </c>
      <c r="AO173">
        <v>141334416</v>
      </c>
      <c r="AP173">
        <v>1272000964</v>
      </c>
      <c r="AQ173">
        <v>1413335380</v>
      </c>
      <c r="AR173">
        <v>42400032</v>
      </c>
      <c r="AS173">
        <v>0</v>
      </c>
      <c r="AT173">
        <v>4711147</v>
      </c>
      <c r="AU173">
        <v>42400032</v>
      </c>
      <c r="AV173">
        <v>47111179</v>
      </c>
      <c r="AW173">
        <v>17.334199999999999</v>
      </c>
      <c r="AX173">
        <v>2.77041</v>
      </c>
      <c r="AY173">
        <v>2825.42</v>
      </c>
      <c r="AZ173">
        <v>1601.23</v>
      </c>
      <c r="BA173">
        <v>1166</v>
      </c>
      <c r="BB173">
        <v>223</v>
      </c>
      <c r="BC173" t="str">
        <f t="shared" si="4"/>
        <v>u=10%, k=2x10^6</v>
      </c>
      <c r="BD173">
        <f t="shared" si="5"/>
        <v>0</v>
      </c>
    </row>
    <row r="174" spans="1:56">
      <c r="A174" t="s">
        <v>258</v>
      </c>
      <c r="B174" t="s">
        <v>67</v>
      </c>
      <c r="D174" t="s">
        <v>65</v>
      </c>
      <c r="E174" t="s">
        <v>60</v>
      </c>
      <c r="F174" t="s">
        <v>61</v>
      </c>
      <c r="G174">
        <v>30000</v>
      </c>
      <c r="H174">
        <v>5</v>
      </c>
      <c r="I174">
        <v>5</v>
      </c>
      <c r="J174">
        <v>0</v>
      </c>
      <c r="K174">
        <v>1</v>
      </c>
      <c r="L174">
        <v>2000000</v>
      </c>
      <c r="M174">
        <v>96</v>
      </c>
      <c r="N174">
        <v>96</v>
      </c>
      <c r="O174">
        <v>96</v>
      </c>
      <c r="P174">
        <v>0</v>
      </c>
      <c r="Q174" t="s">
        <v>62</v>
      </c>
      <c r="R174">
        <v>999519423857</v>
      </c>
      <c r="S174">
        <v>999122</v>
      </c>
      <c r="T174">
        <v>999519423857</v>
      </c>
      <c r="U174">
        <v>999122</v>
      </c>
      <c r="V174" t="s">
        <v>75</v>
      </c>
      <c r="W174">
        <v>25</v>
      </c>
      <c r="X174">
        <v>685356</v>
      </c>
      <c r="Y174">
        <v>520519</v>
      </c>
      <c r="Z174">
        <v>1205875</v>
      </c>
      <c r="AA174">
        <v>999122</v>
      </c>
      <c r="AB174">
        <v>1.75949</v>
      </c>
      <c r="AC174">
        <v>1.91947</v>
      </c>
      <c r="AD174">
        <v>1.8285499999999999</v>
      </c>
      <c r="AE174">
        <v>19.865100000000002</v>
      </c>
      <c r="AM174">
        <v>2540639471</v>
      </c>
      <c r="AN174">
        <v>0</v>
      </c>
      <c r="AO174">
        <v>282304184</v>
      </c>
      <c r="AP174">
        <v>2540639471</v>
      </c>
      <c r="AQ174">
        <v>2822943655</v>
      </c>
      <c r="AR174">
        <v>84687982</v>
      </c>
      <c r="AS174">
        <v>0</v>
      </c>
      <c r="AT174">
        <v>9410139</v>
      </c>
      <c r="AU174">
        <v>84687982</v>
      </c>
      <c r="AV174">
        <v>94098121</v>
      </c>
      <c r="AW174">
        <v>17.848400000000002</v>
      </c>
      <c r="AX174">
        <v>3.2414399999999999</v>
      </c>
      <c r="AY174">
        <v>2830.57</v>
      </c>
      <c r="AZ174">
        <v>1557.14</v>
      </c>
      <c r="BA174">
        <v>1190</v>
      </c>
      <c r="BB174">
        <v>304</v>
      </c>
      <c r="BC174" t="str">
        <f t="shared" si="4"/>
        <v>u=10%, k=2x10^6</v>
      </c>
      <c r="BD174">
        <f t="shared" si="5"/>
        <v>0</v>
      </c>
    </row>
    <row r="175" spans="1:56">
      <c r="A175" t="s">
        <v>259</v>
      </c>
      <c r="B175" t="s">
        <v>67</v>
      </c>
      <c r="D175" t="s">
        <v>65</v>
      </c>
      <c r="E175" t="s">
        <v>60</v>
      </c>
      <c r="F175" t="s">
        <v>61</v>
      </c>
      <c r="G175">
        <v>30000</v>
      </c>
      <c r="H175">
        <v>5</v>
      </c>
      <c r="I175">
        <v>5</v>
      </c>
      <c r="J175">
        <v>0</v>
      </c>
      <c r="K175">
        <v>1</v>
      </c>
      <c r="L175">
        <v>2000000</v>
      </c>
      <c r="M175">
        <v>144</v>
      </c>
      <c r="N175">
        <v>144</v>
      </c>
      <c r="O175">
        <v>144</v>
      </c>
      <c r="P175">
        <v>0</v>
      </c>
      <c r="Q175" t="s">
        <v>62</v>
      </c>
      <c r="R175">
        <v>999867288942</v>
      </c>
      <c r="S175">
        <v>999990</v>
      </c>
      <c r="T175">
        <v>999867288942</v>
      </c>
      <c r="U175">
        <v>999990</v>
      </c>
      <c r="V175" t="s">
        <v>75</v>
      </c>
      <c r="W175">
        <v>25</v>
      </c>
      <c r="X175">
        <v>685582</v>
      </c>
      <c r="Y175">
        <v>519946</v>
      </c>
      <c r="Z175">
        <v>1205528</v>
      </c>
      <c r="AA175">
        <v>999990</v>
      </c>
      <c r="AB175">
        <v>1.7584</v>
      </c>
      <c r="AC175">
        <v>1.92326</v>
      </c>
      <c r="AD175">
        <v>1.8294999999999999</v>
      </c>
      <c r="AE175">
        <v>19.805599999999998</v>
      </c>
      <c r="AM175">
        <v>3741579575</v>
      </c>
      <c r="AN175">
        <v>0</v>
      </c>
      <c r="AO175">
        <v>415751331</v>
      </c>
      <c r="AP175">
        <v>3741579575</v>
      </c>
      <c r="AQ175">
        <v>4157330906</v>
      </c>
      <c r="AR175">
        <v>124719319</v>
      </c>
      <c r="AS175">
        <v>0</v>
      </c>
      <c r="AT175">
        <v>13858377</v>
      </c>
      <c r="AU175">
        <v>124719319</v>
      </c>
      <c r="AV175">
        <v>138577696</v>
      </c>
      <c r="AW175">
        <v>18.3401</v>
      </c>
      <c r="AX175">
        <v>3.4306299999999998</v>
      </c>
      <c r="AY175">
        <v>2857.34</v>
      </c>
      <c r="AZ175">
        <v>1576.46</v>
      </c>
      <c r="BA175">
        <v>1214</v>
      </c>
      <c r="BB175">
        <v>352</v>
      </c>
      <c r="BC175" t="str">
        <f t="shared" si="4"/>
        <v>u=10%, k=2x10^6</v>
      </c>
      <c r="BD175">
        <f t="shared" si="5"/>
        <v>0</v>
      </c>
    </row>
    <row r="176" spans="1:56">
      <c r="A176" t="s">
        <v>260</v>
      </c>
      <c r="B176" t="s">
        <v>67</v>
      </c>
      <c r="D176" t="s">
        <v>65</v>
      </c>
      <c r="E176" t="s">
        <v>60</v>
      </c>
      <c r="F176" t="s">
        <v>61</v>
      </c>
      <c r="G176">
        <v>30000</v>
      </c>
      <c r="H176">
        <v>5</v>
      </c>
      <c r="I176">
        <v>5</v>
      </c>
      <c r="J176">
        <v>0</v>
      </c>
      <c r="K176">
        <v>1</v>
      </c>
      <c r="L176">
        <v>2000000</v>
      </c>
      <c r="M176">
        <v>190</v>
      </c>
      <c r="N176">
        <v>190</v>
      </c>
      <c r="O176">
        <v>190</v>
      </c>
      <c r="P176">
        <v>0</v>
      </c>
      <c r="Q176" t="s">
        <v>62</v>
      </c>
      <c r="R176">
        <v>999234590161</v>
      </c>
      <c r="S176">
        <v>999285</v>
      </c>
      <c r="T176">
        <v>999234590161</v>
      </c>
      <c r="U176">
        <v>999285</v>
      </c>
      <c r="V176" t="s">
        <v>75</v>
      </c>
      <c r="W176">
        <v>25</v>
      </c>
      <c r="X176">
        <v>685322</v>
      </c>
      <c r="Y176">
        <v>520768</v>
      </c>
      <c r="Z176">
        <v>1206090</v>
      </c>
      <c r="AA176">
        <v>999285</v>
      </c>
      <c r="AB176">
        <v>1.75989</v>
      </c>
      <c r="AC176">
        <v>1.9188700000000001</v>
      </c>
      <c r="AD176">
        <v>1.82853</v>
      </c>
      <c r="AE176">
        <v>19.8582</v>
      </c>
      <c r="AM176">
        <v>4935636593</v>
      </c>
      <c r="AN176">
        <v>0</v>
      </c>
      <c r="AO176">
        <v>548395770</v>
      </c>
      <c r="AP176">
        <v>4935636593</v>
      </c>
      <c r="AQ176">
        <v>5484032363</v>
      </c>
      <c r="AR176">
        <v>164521219</v>
      </c>
      <c r="AS176">
        <v>0</v>
      </c>
      <c r="AT176">
        <v>18279859</v>
      </c>
      <c r="AU176">
        <v>164521219</v>
      </c>
      <c r="AV176">
        <v>182801078</v>
      </c>
      <c r="AW176">
        <v>18.8565</v>
      </c>
      <c r="AX176">
        <v>3.5326399999999998</v>
      </c>
      <c r="AY176">
        <v>2856.4</v>
      </c>
      <c r="AZ176">
        <v>1575.98</v>
      </c>
      <c r="BA176">
        <v>1233</v>
      </c>
      <c r="BB176">
        <v>389</v>
      </c>
      <c r="BC176" t="str">
        <f t="shared" si="4"/>
        <v>u=10%, k=2x10^6</v>
      </c>
      <c r="BD176">
        <f t="shared" si="5"/>
        <v>0</v>
      </c>
    </row>
    <row r="177" spans="1:56">
      <c r="A177" t="s">
        <v>261</v>
      </c>
      <c r="B177" t="s">
        <v>68</v>
      </c>
      <c r="D177" t="s">
        <v>65</v>
      </c>
      <c r="E177" t="s">
        <v>60</v>
      </c>
      <c r="F177" t="s">
        <v>61</v>
      </c>
      <c r="G177">
        <v>30000</v>
      </c>
      <c r="H177">
        <v>5</v>
      </c>
      <c r="I177">
        <v>5</v>
      </c>
      <c r="J177">
        <v>0</v>
      </c>
      <c r="K177">
        <v>1</v>
      </c>
      <c r="L177">
        <v>2000000</v>
      </c>
      <c r="M177">
        <v>24</v>
      </c>
      <c r="N177">
        <v>24</v>
      </c>
      <c r="O177">
        <v>24</v>
      </c>
      <c r="P177">
        <v>0</v>
      </c>
      <c r="Q177" t="s">
        <v>62</v>
      </c>
      <c r="R177">
        <v>1000945112754</v>
      </c>
      <c r="S177">
        <v>1000359</v>
      </c>
      <c r="T177">
        <v>1000945112754</v>
      </c>
      <c r="U177">
        <v>1000359</v>
      </c>
      <c r="V177" t="s">
        <v>75</v>
      </c>
      <c r="W177">
        <v>48</v>
      </c>
      <c r="X177">
        <v>1000358</v>
      </c>
      <c r="Y177">
        <v>1000359</v>
      </c>
      <c r="Z177">
        <v>2000717</v>
      </c>
      <c r="AA177">
        <v>1000359</v>
      </c>
      <c r="AB177">
        <v>2</v>
      </c>
      <c r="AC177">
        <v>1</v>
      </c>
      <c r="AD177">
        <v>1.5</v>
      </c>
      <c r="AE177">
        <v>25.511099999999999</v>
      </c>
      <c r="AM177">
        <v>660598630</v>
      </c>
      <c r="AN177">
        <v>0</v>
      </c>
      <c r="AO177">
        <v>73408187</v>
      </c>
      <c r="AP177">
        <v>660598630</v>
      </c>
      <c r="AQ177">
        <v>734006817</v>
      </c>
      <c r="AR177">
        <v>22019954</v>
      </c>
      <c r="AS177">
        <v>0</v>
      </c>
      <c r="AT177">
        <v>2446939</v>
      </c>
      <c r="AU177">
        <v>22019954</v>
      </c>
      <c r="AV177">
        <v>24466893</v>
      </c>
      <c r="AW177">
        <v>12.4003</v>
      </c>
      <c r="AX177">
        <v>2.0498500000000002</v>
      </c>
      <c r="AY177">
        <v>2736.34</v>
      </c>
      <c r="AZ177">
        <v>1771.99</v>
      </c>
      <c r="BA177">
        <v>1149</v>
      </c>
      <c r="BB177">
        <v>176</v>
      </c>
      <c r="BC177" t="str">
        <f t="shared" si="4"/>
        <v>u=10%, k=2x10^6</v>
      </c>
      <c r="BD177">
        <f t="shared" si="5"/>
        <v>0</v>
      </c>
    </row>
    <row r="178" spans="1:56">
      <c r="A178" t="s">
        <v>262</v>
      </c>
      <c r="B178" t="s">
        <v>68</v>
      </c>
      <c r="D178" t="s">
        <v>65</v>
      </c>
      <c r="E178" t="s">
        <v>60</v>
      </c>
      <c r="F178" t="s">
        <v>61</v>
      </c>
      <c r="G178">
        <v>30000</v>
      </c>
      <c r="H178">
        <v>5</v>
      </c>
      <c r="I178">
        <v>5</v>
      </c>
      <c r="J178">
        <v>0</v>
      </c>
      <c r="K178">
        <v>1</v>
      </c>
      <c r="L178">
        <v>2000000</v>
      </c>
      <c r="M178">
        <v>48</v>
      </c>
      <c r="N178">
        <v>48</v>
      </c>
      <c r="O178">
        <v>48</v>
      </c>
      <c r="P178">
        <v>0</v>
      </c>
      <c r="Q178" t="s">
        <v>62</v>
      </c>
      <c r="R178">
        <v>1001277848543</v>
      </c>
      <c r="S178">
        <v>1000958</v>
      </c>
      <c r="T178">
        <v>1001277848543</v>
      </c>
      <c r="U178">
        <v>1000958</v>
      </c>
      <c r="V178" t="s">
        <v>75</v>
      </c>
      <c r="W178">
        <v>47</v>
      </c>
      <c r="X178">
        <v>1000957</v>
      </c>
      <c r="Y178">
        <v>1000958</v>
      </c>
      <c r="Z178">
        <v>2001915</v>
      </c>
      <c r="AA178">
        <v>1000958</v>
      </c>
      <c r="AB178">
        <v>2</v>
      </c>
      <c r="AC178">
        <v>1</v>
      </c>
      <c r="AD178">
        <v>1.5</v>
      </c>
      <c r="AE178">
        <v>26.1553</v>
      </c>
      <c r="AM178">
        <v>1192941880</v>
      </c>
      <c r="AN178">
        <v>0</v>
      </c>
      <c r="AO178">
        <v>132535551</v>
      </c>
      <c r="AP178">
        <v>1192941880</v>
      </c>
      <c r="AQ178">
        <v>1325477431</v>
      </c>
      <c r="AR178">
        <v>39764729</v>
      </c>
      <c r="AS178">
        <v>0</v>
      </c>
      <c r="AT178">
        <v>4417851</v>
      </c>
      <c r="AU178">
        <v>39764729</v>
      </c>
      <c r="AV178">
        <v>44182581</v>
      </c>
      <c r="AW178">
        <v>12.3653</v>
      </c>
      <c r="AX178">
        <v>2.1419600000000001</v>
      </c>
      <c r="AY178">
        <v>3029.69</v>
      </c>
      <c r="AZ178">
        <v>2110.35</v>
      </c>
      <c r="BA178">
        <v>1162</v>
      </c>
      <c r="BB178">
        <v>211</v>
      </c>
      <c r="BC178" t="str">
        <f t="shared" si="4"/>
        <v>u=10%, k=2x10^6</v>
      </c>
      <c r="BD178">
        <f t="shared" si="5"/>
        <v>0</v>
      </c>
    </row>
    <row r="179" spans="1:56">
      <c r="A179" t="s">
        <v>263</v>
      </c>
      <c r="B179" t="s">
        <v>68</v>
      </c>
      <c r="D179" t="s">
        <v>65</v>
      </c>
      <c r="E179" t="s">
        <v>60</v>
      </c>
      <c r="F179" t="s">
        <v>61</v>
      </c>
      <c r="G179">
        <v>30000</v>
      </c>
      <c r="H179">
        <v>5</v>
      </c>
      <c r="I179">
        <v>5</v>
      </c>
      <c r="J179">
        <v>0</v>
      </c>
      <c r="K179">
        <v>1</v>
      </c>
      <c r="L179">
        <v>2000000</v>
      </c>
      <c r="M179">
        <v>96</v>
      </c>
      <c r="N179">
        <v>96</v>
      </c>
      <c r="O179">
        <v>96</v>
      </c>
      <c r="P179">
        <v>0</v>
      </c>
      <c r="Q179" t="s">
        <v>62</v>
      </c>
      <c r="R179">
        <v>1001731184746</v>
      </c>
      <c r="S179">
        <v>1001765</v>
      </c>
      <c r="T179">
        <v>1001731184746</v>
      </c>
      <c r="U179">
        <v>1001765</v>
      </c>
      <c r="V179" t="s">
        <v>75</v>
      </c>
      <c r="W179">
        <v>47</v>
      </c>
      <c r="X179">
        <v>1001764</v>
      </c>
      <c r="Y179">
        <v>1001765</v>
      </c>
      <c r="Z179">
        <v>2003529</v>
      </c>
      <c r="AA179">
        <v>1001765</v>
      </c>
      <c r="AB179">
        <v>2</v>
      </c>
      <c r="AC179">
        <v>1</v>
      </c>
      <c r="AD179">
        <v>1.5</v>
      </c>
      <c r="AE179">
        <v>25.7105</v>
      </c>
      <c r="AM179">
        <v>2513725758</v>
      </c>
      <c r="AN179">
        <v>0</v>
      </c>
      <c r="AO179">
        <v>279327251</v>
      </c>
      <c r="AP179">
        <v>2513725758</v>
      </c>
      <c r="AQ179">
        <v>2793053009</v>
      </c>
      <c r="AR179">
        <v>83790858</v>
      </c>
      <c r="AS179">
        <v>0</v>
      </c>
      <c r="AT179">
        <v>9310908</v>
      </c>
      <c r="AU179">
        <v>83790858</v>
      </c>
      <c r="AV179">
        <v>93101766</v>
      </c>
      <c r="AW179">
        <v>12.9468</v>
      </c>
      <c r="AX179">
        <v>2.56379</v>
      </c>
      <c r="AY179">
        <v>2871.62</v>
      </c>
      <c r="AZ179">
        <v>1910.43</v>
      </c>
      <c r="BA179">
        <v>1191</v>
      </c>
      <c r="BB179">
        <v>294</v>
      </c>
      <c r="BC179" t="str">
        <f t="shared" si="4"/>
        <v>u=10%, k=2x10^6</v>
      </c>
      <c r="BD179">
        <f t="shared" si="5"/>
        <v>0</v>
      </c>
    </row>
    <row r="180" spans="1:56">
      <c r="A180" t="s">
        <v>264</v>
      </c>
      <c r="B180" t="s">
        <v>68</v>
      </c>
      <c r="D180" t="s">
        <v>65</v>
      </c>
      <c r="E180" t="s">
        <v>60</v>
      </c>
      <c r="F180" t="s">
        <v>61</v>
      </c>
      <c r="G180">
        <v>30000</v>
      </c>
      <c r="H180">
        <v>5</v>
      </c>
      <c r="I180">
        <v>5</v>
      </c>
      <c r="J180">
        <v>0</v>
      </c>
      <c r="K180">
        <v>1</v>
      </c>
      <c r="L180">
        <v>2000000</v>
      </c>
      <c r="M180">
        <v>144</v>
      </c>
      <c r="N180">
        <v>144</v>
      </c>
      <c r="O180">
        <v>144</v>
      </c>
      <c r="P180">
        <v>0</v>
      </c>
      <c r="Q180" t="s">
        <v>62</v>
      </c>
      <c r="R180">
        <v>1000106082180</v>
      </c>
      <c r="S180">
        <v>999879</v>
      </c>
      <c r="T180">
        <v>1000106082180</v>
      </c>
      <c r="U180">
        <v>999879</v>
      </c>
      <c r="V180" t="s">
        <v>75</v>
      </c>
      <c r="W180">
        <v>46</v>
      </c>
      <c r="X180">
        <v>999878</v>
      </c>
      <c r="Y180">
        <v>999879</v>
      </c>
      <c r="Z180">
        <v>1999757</v>
      </c>
      <c r="AA180">
        <v>999879</v>
      </c>
      <c r="AB180">
        <v>2</v>
      </c>
      <c r="AC180">
        <v>1</v>
      </c>
      <c r="AD180">
        <v>1.5</v>
      </c>
      <c r="AE180">
        <v>25.7378</v>
      </c>
      <c r="AM180">
        <v>3801685353</v>
      </c>
      <c r="AN180">
        <v>0</v>
      </c>
      <c r="AO180">
        <v>422425552</v>
      </c>
      <c r="AP180">
        <v>3801685353</v>
      </c>
      <c r="AQ180">
        <v>4224110905</v>
      </c>
      <c r="AR180">
        <v>126722845</v>
      </c>
      <c r="AS180">
        <v>0</v>
      </c>
      <c r="AT180">
        <v>14080851</v>
      </c>
      <c r="AU180">
        <v>126722845</v>
      </c>
      <c r="AV180">
        <v>140803696</v>
      </c>
      <c r="AW180">
        <v>13.233499999999999</v>
      </c>
      <c r="AX180">
        <v>2.6672699999999998</v>
      </c>
      <c r="AY180">
        <v>2848.09</v>
      </c>
      <c r="AZ180">
        <v>1877.73</v>
      </c>
      <c r="BA180">
        <v>1213</v>
      </c>
      <c r="BB180">
        <v>280</v>
      </c>
      <c r="BC180" t="str">
        <f t="shared" si="4"/>
        <v>u=10%, k=2x10^6</v>
      </c>
      <c r="BD180">
        <f t="shared" si="5"/>
        <v>0</v>
      </c>
    </row>
    <row r="181" spans="1:56">
      <c r="A181" t="s">
        <v>265</v>
      </c>
      <c r="B181" t="s">
        <v>68</v>
      </c>
      <c r="D181" t="s">
        <v>65</v>
      </c>
      <c r="E181" t="s">
        <v>60</v>
      </c>
      <c r="F181" t="s">
        <v>61</v>
      </c>
      <c r="G181">
        <v>30000</v>
      </c>
      <c r="H181">
        <v>5</v>
      </c>
      <c r="I181">
        <v>5</v>
      </c>
      <c r="J181">
        <v>0</v>
      </c>
      <c r="K181">
        <v>1</v>
      </c>
      <c r="L181">
        <v>2000000</v>
      </c>
      <c r="M181">
        <v>190</v>
      </c>
      <c r="N181">
        <v>190</v>
      </c>
      <c r="O181">
        <v>190</v>
      </c>
      <c r="P181">
        <v>0</v>
      </c>
      <c r="Q181" t="s">
        <v>62</v>
      </c>
      <c r="R181">
        <v>999954389695</v>
      </c>
      <c r="S181">
        <v>1000275</v>
      </c>
      <c r="T181">
        <v>999954389695</v>
      </c>
      <c r="U181">
        <v>1000275</v>
      </c>
      <c r="V181" t="s">
        <v>75</v>
      </c>
      <c r="W181">
        <v>48</v>
      </c>
      <c r="X181">
        <v>1000274</v>
      </c>
      <c r="Y181">
        <v>1000275</v>
      </c>
      <c r="Z181">
        <v>2000549</v>
      </c>
      <c r="AA181">
        <v>1000275</v>
      </c>
      <c r="AB181">
        <v>2</v>
      </c>
      <c r="AC181">
        <v>1</v>
      </c>
      <c r="AD181">
        <v>1.5</v>
      </c>
      <c r="AE181">
        <v>26.208400000000001</v>
      </c>
      <c r="AM181">
        <v>5066229128</v>
      </c>
      <c r="AN181">
        <v>0</v>
      </c>
      <c r="AO181">
        <v>562922130</v>
      </c>
      <c r="AP181">
        <v>5066229128</v>
      </c>
      <c r="AQ181">
        <v>5629151258</v>
      </c>
      <c r="AR181">
        <v>168874304</v>
      </c>
      <c r="AS181">
        <v>0</v>
      </c>
      <c r="AT181">
        <v>18764071</v>
      </c>
      <c r="AU181">
        <v>168874304</v>
      </c>
      <c r="AV181">
        <v>187638375</v>
      </c>
      <c r="AW181">
        <v>13.758699999999999</v>
      </c>
      <c r="AX181">
        <v>2.7021199999999999</v>
      </c>
      <c r="AY181">
        <v>2819.21</v>
      </c>
      <c r="AZ181">
        <v>1848.46</v>
      </c>
      <c r="BA181">
        <v>1235</v>
      </c>
      <c r="BB181">
        <v>314</v>
      </c>
      <c r="BC181" t="str">
        <f t="shared" si="4"/>
        <v>u=10%, k=2x10^6</v>
      </c>
      <c r="BD181">
        <f t="shared" si="5"/>
        <v>0</v>
      </c>
    </row>
    <row r="182" spans="1:56">
      <c r="A182" t="s">
        <v>266</v>
      </c>
      <c r="B182" t="s">
        <v>64</v>
      </c>
      <c r="C182">
        <v>72</v>
      </c>
      <c r="D182" t="s">
        <v>65</v>
      </c>
      <c r="E182" t="s">
        <v>60</v>
      </c>
      <c r="F182" t="s">
        <v>61</v>
      </c>
      <c r="G182">
        <v>30000</v>
      </c>
      <c r="H182">
        <v>5</v>
      </c>
      <c r="I182">
        <v>5</v>
      </c>
      <c r="J182">
        <v>0</v>
      </c>
      <c r="K182">
        <v>1</v>
      </c>
      <c r="L182">
        <v>20000000</v>
      </c>
      <c r="M182">
        <v>24</v>
      </c>
      <c r="N182">
        <v>24</v>
      </c>
      <c r="O182">
        <v>24</v>
      </c>
      <c r="P182">
        <v>0</v>
      </c>
      <c r="Q182" t="s">
        <v>62</v>
      </c>
      <c r="R182">
        <v>99984438079315</v>
      </c>
      <c r="S182">
        <v>9998108</v>
      </c>
      <c r="T182">
        <v>99984438079315</v>
      </c>
      <c r="U182">
        <v>9998108</v>
      </c>
      <c r="V182" t="s">
        <v>75</v>
      </c>
      <c r="W182">
        <v>7</v>
      </c>
      <c r="X182">
        <v>1625273</v>
      </c>
      <c r="Y182">
        <v>11439991</v>
      </c>
      <c r="Z182">
        <v>13065264</v>
      </c>
      <c r="AA182">
        <v>9998108</v>
      </c>
      <c r="AB182">
        <v>8.0388099999999998</v>
      </c>
      <c r="AC182">
        <v>0.87396099999999999</v>
      </c>
      <c r="AD182">
        <v>1.7652399999999999</v>
      </c>
      <c r="AE182">
        <v>4</v>
      </c>
      <c r="AM182">
        <v>765037093</v>
      </c>
      <c r="AN182">
        <v>0</v>
      </c>
      <c r="AO182">
        <v>85000786</v>
      </c>
      <c r="AP182">
        <v>765037093</v>
      </c>
      <c r="AQ182">
        <v>850037879</v>
      </c>
      <c r="AR182">
        <v>25501236</v>
      </c>
      <c r="AS182">
        <v>0</v>
      </c>
      <c r="AT182">
        <v>2833359</v>
      </c>
      <c r="AU182">
        <v>25501236</v>
      </c>
      <c r="AV182">
        <v>28334595</v>
      </c>
      <c r="AW182">
        <v>18.480799999999999</v>
      </c>
      <c r="AX182">
        <v>7.3427699999999998</v>
      </c>
      <c r="AY182">
        <v>2340.1999999999998</v>
      </c>
      <c r="AZ182">
        <v>1489.52</v>
      </c>
      <c r="BA182">
        <v>2445</v>
      </c>
      <c r="BB182">
        <v>152</v>
      </c>
      <c r="BC182" t="str">
        <f t="shared" si="4"/>
        <v>u=10%, k=2x10^7</v>
      </c>
      <c r="BD182">
        <f t="shared" si="5"/>
        <v>0</v>
      </c>
    </row>
    <row r="183" spans="1:56">
      <c r="A183" t="s">
        <v>267</v>
      </c>
      <c r="B183" t="s">
        <v>64</v>
      </c>
      <c r="C183">
        <v>72</v>
      </c>
      <c r="D183" t="s">
        <v>65</v>
      </c>
      <c r="E183" t="s">
        <v>60</v>
      </c>
      <c r="F183" t="s">
        <v>61</v>
      </c>
      <c r="G183">
        <v>30000</v>
      </c>
      <c r="H183">
        <v>5</v>
      </c>
      <c r="I183">
        <v>5</v>
      </c>
      <c r="J183">
        <v>0</v>
      </c>
      <c r="K183">
        <v>1</v>
      </c>
      <c r="L183">
        <v>20000000</v>
      </c>
      <c r="M183">
        <v>48</v>
      </c>
      <c r="N183">
        <v>48</v>
      </c>
      <c r="O183">
        <v>48</v>
      </c>
      <c r="P183">
        <v>0</v>
      </c>
      <c r="Q183" t="s">
        <v>62</v>
      </c>
      <c r="R183">
        <v>99940835223668</v>
      </c>
      <c r="S183">
        <v>9995912</v>
      </c>
      <c r="T183">
        <v>99940835223668</v>
      </c>
      <c r="U183">
        <v>9995912</v>
      </c>
      <c r="V183" t="s">
        <v>75</v>
      </c>
      <c r="W183">
        <v>7</v>
      </c>
      <c r="X183">
        <v>1866946</v>
      </c>
      <c r="Y183">
        <v>11959778</v>
      </c>
      <c r="Z183">
        <v>13826724</v>
      </c>
      <c r="AA183">
        <v>9995912</v>
      </c>
      <c r="AB183">
        <v>7.4060699999999997</v>
      </c>
      <c r="AC183">
        <v>0.83579400000000004</v>
      </c>
      <c r="AD183">
        <v>1.7229399999999999</v>
      </c>
      <c r="AE183">
        <v>4.0465499999999999</v>
      </c>
      <c r="AM183">
        <v>1342097277</v>
      </c>
      <c r="AN183">
        <v>0</v>
      </c>
      <c r="AO183">
        <v>149118500</v>
      </c>
      <c r="AP183">
        <v>1342097277</v>
      </c>
      <c r="AQ183">
        <v>1491215777</v>
      </c>
      <c r="AR183">
        <v>44736575</v>
      </c>
      <c r="AS183">
        <v>0</v>
      </c>
      <c r="AT183">
        <v>4970616</v>
      </c>
      <c r="AU183">
        <v>44736575</v>
      </c>
      <c r="AV183">
        <v>49707192</v>
      </c>
      <c r="AW183">
        <v>18.715900000000001</v>
      </c>
      <c r="AX183">
        <v>7.5188600000000001</v>
      </c>
      <c r="AY183">
        <v>2662.7</v>
      </c>
      <c r="AZ183">
        <v>1828.17</v>
      </c>
      <c r="BA183">
        <v>2491</v>
      </c>
      <c r="BB183">
        <v>181</v>
      </c>
      <c r="BC183" t="str">
        <f t="shared" si="4"/>
        <v>u=10%, k=2x10^7</v>
      </c>
      <c r="BD183">
        <f t="shared" si="5"/>
        <v>0</v>
      </c>
    </row>
    <row r="184" spans="1:56">
      <c r="A184" t="s">
        <v>268</v>
      </c>
      <c r="B184" t="s">
        <v>64</v>
      </c>
      <c r="C184">
        <v>72</v>
      </c>
      <c r="D184" t="s">
        <v>65</v>
      </c>
      <c r="E184" t="s">
        <v>60</v>
      </c>
      <c r="F184" t="s">
        <v>61</v>
      </c>
      <c r="G184">
        <v>30000</v>
      </c>
      <c r="H184">
        <v>5</v>
      </c>
      <c r="I184">
        <v>5</v>
      </c>
      <c r="J184">
        <v>0</v>
      </c>
      <c r="K184">
        <v>1</v>
      </c>
      <c r="L184">
        <v>20000000</v>
      </c>
      <c r="M184">
        <v>96</v>
      </c>
      <c r="N184">
        <v>96</v>
      </c>
      <c r="O184">
        <v>96</v>
      </c>
      <c r="P184">
        <v>0</v>
      </c>
      <c r="Q184" t="s">
        <v>62</v>
      </c>
      <c r="R184">
        <v>99981893170973</v>
      </c>
      <c r="S184">
        <v>9998813</v>
      </c>
      <c r="T184">
        <v>99981893170973</v>
      </c>
      <c r="U184">
        <v>9998813</v>
      </c>
      <c r="V184" t="s">
        <v>75</v>
      </c>
      <c r="W184">
        <v>7</v>
      </c>
      <c r="X184">
        <v>1732694</v>
      </c>
      <c r="Y184">
        <v>11657928</v>
      </c>
      <c r="Z184">
        <v>13390622</v>
      </c>
      <c r="AA184">
        <v>9998813</v>
      </c>
      <c r="AB184">
        <v>7.7282099999999998</v>
      </c>
      <c r="AC184">
        <v>0.857684</v>
      </c>
      <c r="AD184">
        <v>1.7466999999999999</v>
      </c>
      <c r="AE184">
        <v>4.0213900000000002</v>
      </c>
      <c r="AM184">
        <v>2659050670</v>
      </c>
      <c r="AN184">
        <v>0</v>
      </c>
      <c r="AO184">
        <v>295485501</v>
      </c>
      <c r="AP184">
        <v>2659050670</v>
      </c>
      <c r="AQ184">
        <v>2954536171</v>
      </c>
      <c r="AR184">
        <v>88635022</v>
      </c>
      <c r="AS184">
        <v>0</v>
      </c>
      <c r="AT184">
        <v>9849516</v>
      </c>
      <c r="AU184">
        <v>88635022</v>
      </c>
      <c r="AV184">
        <v>98484539</v>
      </c>
      <c r="AW184">
        <v>18.9786</v>
      </c>
      <c r="AX184">
        <v>7.9823599999999999</v>
      </c>
      <c r="AY184">
        <v>2678.07</v>
      </c>
      <c r="AZ184">
        <v>1789.31</v>
      </c>
      <c r="BA184">
        <v>2606</v>
      </c>
      <c r="BB184">
        <v>237</v>
      </c>
      <c r="BC184" t="str">
        <f t="shared" si="4"/>
        <v>u=10%, k=2x10^7</v>
      </c>
      <c r="BD184">
        <f t="shared" si="5"/>
        <v>0</v>
      </c>
    </row>
    <row r="185" spans="1:56">
      <c r="A185" t="s">
        <v>269</v>
      </c>
      <c r="B185" t="s">
        <v>64</v>
      </c>
      <c r="C185">
        <v>72</v>
      </c>
      <c r="D185" t="s">
        <v>65</v>
      </c>
      <c r="E185" t="s">
        <v>60</v>
      </c>
      <c r="F185" t="s">
        <v>61</v>
      </c>
      <c r="G185">
        <v>30000</v>
      </c>
      <c r="H185">
        <v>5</v>
      </c>
      <c r="I185">
        <v>5</v>
      </c>
      <c r="J185">
        <v>0</v>
      </c>
      <c r="K185">
        <v>1</v>
      </c>
      <c r="L185">
        <v>20000000</v>
      </c>
      <c r="M185">
        <v>144</v>
      </c>
      <c r="N185">
        <v>144</v>
      </c>
      <c r="O185">
        <v>144</v>
      </c>
      <c r="P185">
        <v>0</v>
      </c>
      <c r="Q185" t="s">
        <v>62</v>
      </c>
      <c r="R185">
        <v>100030267196926</v>
      </c>
      <c r="S185">
        <v>10000110</v>
      </c>
      <c r="T185">
        <v>100030267196926</v>
      </c>
      <c r="U185">
        <v>10000110</v>
      </c>
      <c r="V185" t="s">
        <v>75</v>
      </c>
      <c r="W185">
        <v>7</v>
      </c>
      <c r="X185">
        <v>1795250</v>
      </c>
      <c r="Y185">
        <v>11789884</v>
      </c>
      <c r="Z185">
        <v>13585134</v>
      </c>
      <c r="AA185">
        <v>10000110</v>
      </c>
      <c r="AB185">
        <v>7.5672699999999997</v>
      </c>
      <c r="AC185">
        <v>0.848194</v>
      </c>
      <c r="AD185">
        <v>1.73611</v>
      </c>
      <c r="AE185">
        <v>4.0339099999999997</v>
      </c>
      <c r="AM185">
        <v>3878615350</v>
      </c>
      <c r="AN185">
        <v>0</v>
      </c>
      <c r="AO185">
        <v>430953098</v>
      </c>
      <c r="AP185">
        <v>3878615350</v>
      </c>
      <c r="AQ185">
        <v>4309568448</v>
      </c>
      <c r="AR185">
        <v>129287178</v>
      </c>
      <c r="AS185">
        <v>0</v>
      </c>
      <c r="AT185">
        <v>14365103</v>
      </c>
      <c r="AU185">
        <v>129287178</v>
      </c>
      <c r="AV185">
        <v>143652281</v>
      </c>
      <c r="AW185">
        <v>19.075700000000001</v>
      </c>
      <c r="AX185">
        <v>8.2861100000000008</v>
      </c>
      <c r="AY185">
        <v>2745.11</v>
      </c>
      <c r="AZ185">
        <v>1839.81</v>
      </c>
      <c r="BA185">
        <v>2770</v>
      </c>
      <c r="BB185">
        <v>377</v>
      </c>
      <c r="BC185" t="str">
        <f t="shared" si="4"/>
        <v>u=10%, k=2x10^7</v>
      </c>
      <c r="BD185">
        <f t="shared" si="5"/>
        <v>0</v>
      </c>
    </row>
    <row r="186" spans="1:56">
      <c r="A186" t="s">
        <v>270</v>
      </c>
      <c r="B186" t="s">
        <v>64</v>
      </c>
      <c r="C186">
        <v>72</v>
      </c>
      <c r="D186" t="s">
        <v>65</v>
      </c>
      <c r="E186" t="s">
        <v>60</v>
      </c>
      <c r="F186" t="s">
        <v>61</v>
      </c>
      <c r="G186">
        <v>30000</v>
      </c>
      <c r="H186">
        <v>5</v>
      </c>
      <c r="I186">
        <v>5</v>
      </c>
      <c r="J186">
        <v>0</v>
      </c>
      <c r="K186">
        <v>1</v>
      </c>
      <c r="L186">
        <v>20000000</v>
      </c>
      <c r="M186">
        <v>190</v>
      </c>
      <c r="N186">
        <v>190</v>
      </c>
      <c r="O186">
        <v>190</v>
      </c>
      <c r="P186">
        <v>0</v>
      </c>
      <c r="Q186" t="s">
        <v>62</v>
      </c>
      <c r="R186">
        <v>99989770084437</v>
      </c>
      <c r="S186">
        <v>10000351</v>
      </c>
      <c r="T186">
        <v>99989770084437</v>
      </c>
      <c r="U186">
        <v>10000351</v>
      </c>
      <c r="V186" t="s">
        <v>75</v>
      </c>
      <c r="W186">
        <v>7</v>
      </c>
      <c r="X186">
        <v>1642698</v>
      </c>
      <c r="Y186">
        <v>11476840</v>
      </c>
      <c r="Z186">
        <v>13119538</v>
      </c>
      <c r="AA186">
        <v>10000351</v>
      </c>
      <c r="AB186">
        <v>7.98658</v>
      </c>
      <c r="AC186">
        <v>0.87135099999999999</v>
      </c>
      <c r="AD186">
        <v>1.7622500000000001</v>
      </c>
      <c r="AE186">
        <v>4.0033799999999999</v>
      </c>
      <c r="AM186">
        <v>4904824317</v>
      </c>
      <c r="AN186">
        <v>0</v>
      </c>
      <c r="AO186">
        <v>544974299</v>
      </c>
      <c r="AP186">
        <v>4904824317</v>
      </c>
      <c r="AQ186">
        <v>5449798616</v>
      </c>
      <c r="AR186">
        <v>163494143</v>
      </c>
      <c r="AS186">
        <v>0</v>
      </c>
      <c r="AT186">
        <v>18165809</v>
      </c>
      <c r="AU186">
        <v>163494143</v>
      </c>
      <c r="AV186">
        <v>181659953</v>
      </c>
      <c r="AW186">
        <v>19.2593</v>
      </c>
      <c r="AX186">
        <v>8.5625</v>
      </c>
      <c r="AY186">
        <v>2854.45</v>
      </c>
      <c r="AZ186">
        <v>1929.76</v>
      </c>
      <c r="BA186">
        <v>2871</v>
      </c>
      <c r="BB186">
        <v>463</v>
      </c>
      <c r="BC186" t="str">
        <f t="shared" si="4"/>
        <v>u=10%, k=2x10^7</v>
      </c>
      <c r="BD186">
        <f t="shared" si="5"/>
        <v>0</v>
      </c>
    </row>
    <row r="187" spans="1:56">
      <c r="A187" t="s">
        <v>271</v>
      </c>
      <c r="B187" t="s">
        <v>66</v>
      </c>
      <c r="C187">
        <v>208</v>
      </c>
      <c r="D187" t="s">
        <v>65</v>
      </c>
      <c r="E187" t="s">
        <v>60</v>
      </c>
      <c r="F187" t="s">
        <v>61</v>
      </c>
      <c r="G187">
        <v>30000</v>
      </c>
      <c r="H187">
        <v>5</v>
      </c>
      <c r="I187">
        <v>5</v>
      </c>
      <c r="J187">
        <v>0</v>
      </c>
      <c r="K187">
        <v>1</v>
      </c>
      <c r="L187">
        <v>20000000</v>
      </c>
      <c r="M187">
        <v>24</v>
      </c>
      <c r="N187">
        <v>24</v>
      </c>
      <c r="O187">
        <v>24</v>
      </c>
      <c r="P187">
        <v>0</v>
      </c>
      <c r="Q187" t="s">
        <v>62</v>
      </c>
      <c r="R187">
        <v>99995241618739</v>
      </c>
      <c r="S187">
        <v>10000142</v>
      </c>
      <c r="T187">
        <v>99995241618739</v>
      </c>
      <c r="U187">
        <v>10000142</v>
      </c>
      <c r="V187" t="s">
        <v>75</v>
      </c>
      <c r="W187">
        <v>9</v>
      </c>
      <c r="X187">
        <v>258023</v>
      </c>
      <c r="Y187">
        <v>1766713</v>
      </c>
      <c r="Z187">
        <v>2024736</v>
      </c>
      <c r="AA187">
        <v>10000142</v>
      </c>
      <c r="AB187">
        <v>7.8471099999999998</v>
      </c>
      <c r="AC187">
        <v>5.66031</v>
      </c>
      <c r="AD187">
        <v>5.9389900000000004</v>
      </c>
      <c r="AE187">
        <v>8</v>
      </c>
      <c r="AM187">
        <v>758650375</v>
      </c>
      <c r="AN187">
        <v>0</v>
      </c>
      <c r="AO187">
        <v>84291457</v>
      </c>
      <c r="AP187">
        <v>758650375</v>
      </c>
      <c r="AQ187">
        <v>842941832</v>
      </c>
      <c r="AR187">
        <v>25288345</v>
      </c>
      <c r="AS187">
        <v>0</v>
      </c>
      <c r="AT187">
        <v>2809715</v>
      </c>
      <c r="AU187">
        <v>25288345</v>
      </c>
      <c r="AV187">
        <v>28098061</v>
      </c>
      <c r="AW187">
        <v>17.911899999999999</v>
      </c>
      <c r="AX187">
        <v>5.6853199999999999</v>
      </c>
      <c r="AY187">
        <v>2382.02</v>
      </c>
      <c r="AZ187">
        <v>1373.66</v>
      </c>
      <c r="BA187">
        <v>1525</v>
      </c>
      <c r="BB187">
        <v>830</v>
      </c>
      <c r="BC187" t="str">
        <f t="shared" si="4"/>
        <v>u=10%, k=2x10^7</v>
      </c>
      <c r="BD187">
        <f t="shared" si="5"/>
        <v>0</v>
      </c>
    </row>
    <row r="188" spans="1:56">
      <c r="A188" t="s">
        <v>272</v>
      </c>
      <c r="B188" t="s">
        <v>66</v>
      </c>
      <c r="C188">
        <v>208</v>
      </c>
      <c r="D188" t="s">
        <v>65</v>
      </c>
      <c r="E188" t="s">
        <v>60</v>
      </c>
      <c r="F188" t="s">
        <v>61</v>
      </c>
      <c r="G188">
        <v>30000</v>
      </c>
      <c r="H188">
        <v>5</v>
      </c>
      <c r="I188">
        <v>5</v>
      </c>
      <c r="J188">
        <v>0</v>
      </c>
      <c r="K188">
        <v>1</v>
      </c>
      <c r="L188">
        <v>20000000</v>
      </c>
      <c r="M188">
        <v>48</v>
      </c>
      <c r="N188">
        <v>48</v>
      </c>
      <c r="O188">
        <v>48</v>
      </c>
      <c r="P188">
        <v>0</v>
      </c>
      <c r="Q188" t="s">
        <v>62</v>
      </c>
      <c r="R188">
        <v>99971642815374</v>
      </c>
      <c r="S188">
        <v>9996798</v>
      </c>
      <c r="T188">
        <v>99971642815374</v>
      </c>
      <c r="U188">
        <v>9996798</v>
      </c>
      <c r="V188" t="s">
        <v>75</v>
      </c>
      <c r="W188">
        <v>9</v>
      </c>
      <c r="X188">
        <v>274337</v>
      </c>
      <c r="Y188">
        <v>1864977</v>
      </c>
      <c r="Z188">
        <v>2139314</v>
      </c>
      <c r="AA188">
        <v>9996798</v>
      </c>
      <c r="AB188">
        <v>7.7981199999999999</v>
      </c>
      <c r="AC188">
        <v>5.3602800000000004</v>
      </c>
      <c r="AD188">
        <v>5.6729000000000003</v>
      </c>
      <c r="AE188">
        <v>8</v>
      </c>
      <c r="AM188">
        <v>1382417580</v>
      </c>
      <c r="AN188">
        <v>0</v>
      </c>
      <c r="AO188">
        <v>153607498</v>
      </c>
      <c r="AP188">
        <v>1382417580</v>
      </c>
      <c r="AQ188">
        <v>1536025078</v>
      </c>
      <c r="AR188">
        <v>46080586</v>
      </c>
      <c r="AS188">
        <v>0</v>
      </c>
      <c r="AT188">
        <v>5120249</v>
      </c>
      <c r="AU188">
        <v>46080586</v>
      </c>
      <c r="AV188">
        <v>51200835</v>
      </c>
      <c r="AW188">
        <v>18.12</v>
      </c>
      <c r="AX188">
        <v>5.8616299999999999</v>
      </c>
      <c r="AY188">
        <v>2613.4299999999998</v>
      </c>
      <c r="AZ188">
        <v>1740.54</v>
      </c>
      <c r="BA188">
        <v>1600</v>
      </c>
      <c r="BB188">
        <v>754</v>
      </c>
      <c r="BC188" t="str">
        <f t="shared" si="4"/>
        <v>u=10%, k=2x10^7</v>
      </c>
      <c r="BD188">
        <f t="shared" si="5"/>
        <v>0</v>
      </c>
    </row>
    <row r="189" spans="1:56">
      <c r="A189" t="s">
        <v>273</v>
      </c>
      <c r="B189" t="s">
        <v>66</v>
      </c>
      <c r="C189">
        <v>208</v>
      </c>
      <c r="D189" t="s">
        <v>65</v>
      </c>
      <c r="E189" t="s">
        <v>60</v>
      </c>
      <c r="F189" t="s">
        <v>61</v>
      </c>
      <c r="G189">
        <v>30000</v>
      </c>
      <c r="H189">
        <v>5</v>
      </c>
      <c r="I189">
        <v>5</v>
      </c>
      <c r="J189">
        <v>0</v>
      </c>
      <c r="K189">
        <v>1</v>
      </c>
      <c r="L189">
        <v>20000000</v>
      </c>
      <c r="M189">
        <v>96</v>
      </c>
      <c r="N189">
        <v>96</v>
      </c>
      <c r="O189">
        <v>96</v>
      </c>
      <c r="P189">
        <v>0</v>
      </c>
      <c r="Q189" t="s">
        <v>62</v>
      </c>
      <c r="R189">
        <v>100023067297574</v>
      </c>
      <c r="S189">
        <v>10003357</v>
      </c>
      <c r="T189">
        <v>100023067297574</v>
      </c>
      <c r="U189">
        <v>10003357</v>
      </c>
      <c r="V189" t="s">
        <v>75</v>
      </c>
      <c r="W189">
        <v>9</v>
      </c>
      <c r="X189">
        <v>294332</v>
      </c>
      <c r="Y189">
        <v>1948675</v>
      </c>
      <c r="Z189">
        <v>2243007</v>
      </c>
      <c r="AA189">
        <v>10003357</v>
      </c>
      <c r="AB189">
        <v>7.6206699999999996</v>
      </c>
      <c r="AC189">
        <v>5.1334099999999996</v>
      </c>
      <c r="AD189">
        <v>5.4598000000000004</v>
      </c>
      <c r="AE189">
        <v>8</v>
      </c>
      <c r="AM189">
        <v>2818517320</v>
      </c>
      <c r="AN189">
        <v>0</v>
      </c>
      <c r="AO189">
        <v>313134849</v>
      </c>
      <c r="AP189">
        <v>2818517320</v>
      </c>
      <c r="AQ189">
        <v>3131652169</v>
      </c>
      <c r="AR189">
        <v>93950577</v>
      </c>
      <c r="AS189">
        <v>0</v>
      </c>
      <c r="AT189">
        <v>10437828</v>
      </c>
      <c r="AU189">
        <v>93950577</v>
      </c>
      <c r="AV189">
        <v>104388405</v>
      </c>
      <c r="AW189">
        <v>18.517700000000001</v>
      </c>
      <c r="AX189">
        <v>6.1800699999999997</v>
      </c>
      <c r="AY189">
        <v>2554.15</v>
      </c>
      <c r="AZ189">
        <v>1634.47</v>
      </c>
      <c r="BA189">
        <v>1721</v>
      </c>
      <c r="BB189">
        <v>896</v>
      </c>
      <c r="BC189" t="str">
        <f t="shared" si="4"/>
        <v>u=10%, k=2x10^7</v>
      </c>
      <c r="BD189">
        <f t="shared" si="5"/>
        <v>0</v>
      </c>
    </row>
    <row r="190" spans="1:56">
      <c r="A190" t="s">
        <v>274</v>
      </c>
      <c r="B190" t="s">
        <v>66</v>
      </c>
      <c r="C190">
        <v>208</v>
      </c>
      <c r="D190" t="s">
        <v>65</v>
      </c>
      <c r="E190" t="s">
        <v>60</v>
      </c>
      <c r="F190" t="s">
        <v>61</v>
      </c>
      <c r="G190">
        <v>30000</v>
      </c>
      <c r="H190">
        <v>5</v>
      </c>
      <c r="I190">
        <v>5</v>
      </c>
      <c r="J190">
        <v>0</v>
      </c>
      <c r="K190">
        <v>1</v>
      </c>
      <c r="L190">
        <v>20000000</v>
      </c>
      <c r="M190">
        <v>144</v>
      </c>
      <c r="N190">
        <v>144</v>
      </c>
      <c r="O190">
        <v>144</v>
      </c>
      <c r="P190">
        <v>0</v>
      </c>
      <c r="Q190" t="s">
        <v>62</v>
      </c>
      <c r="R190">
        <v>100049706871131</v>
      </c>
      <c r="S190">
        <v>10005182</v>
      </c>
      <c r="T190">
        <v>100049706871131</v>
      </c>
      <c r="U190">
        <v>10005182</v>
      </c>
      <c r="V190" t="s">
        <v>75</v>
      </c>
      <c r="W190">
        <v>9</v>
      </c>
      <c r="X190">
        <v>303703</v>
      </c>
      <c r="Y190">
        <v>1963872</v>
      </c>
      <c r="Z190">
        <v>2267575</v>
      </c>
      <c r="AA190">
        <v>10005182</v>
      </c>
      <c r="AB190">
        <v>7.4664200000000003</v>
      </c>
      <c r="AC190">
        <v>5.0946199999999999</v>
      </c>
      <c r="AD190">
        <v>5.41228</v>
      </c>
      <c r="AE190">
        <v>8</v>
      </c>
      <c r="AM190">
        <v>4160507120</v>
      </c>
      <c r="AN190">
        <v>0</v>
      </c>
      <c r="AO190">
        <v>462280533</v>
      </c>
      <c r="AP190">
        <v>4160507120</v>
      </c>
      <c r="AQ190">
        <v>4622787653</v>
      </c>
      <c r="AR190">
        <v>138683570</v>
      </c>
      <c r="AS190">
        <v>0</v>
      </c>
      <c r="AT190">
        <v>15409351</v>
      </c>
      <c r="AU190">
        <v>138683570</v>
      </c>
      <c r="AV190">
        <v>154092921</v>
      </c>
      <c r="AW190">
        <v>18.697199999999999</v>
      </c>
      <c r="AX190">
        <v>6.4290000000000003</v>
      </c>
      <c r="AY190">
        <v>2589.5100000000002</v>
      </c>
      <c r="AZ190">
        <v>1655.51</v>
      </c>
      <c r="BA190">
        <v>1763</v>
      </c>
      <c r="BB190">
        <v>850</v>
      </c>
      <c r="BC190" t="str">
        <f t="shared" si="4"/>
        <v>u=10%, k=2x10^7</v>
      </c>
      <c r="BD190">
        <f t="shared" si="5"/>
        <v>0</v>
      </c>
    </row>
    <row r="191" spans="1:56">
      <c r="A191" t="s">
        <v>275</v>
      </c>
      <c r="B191" t="s">
        <v>66</v>
      </c>
      <c r="C191">
        <v>208</v>
      </c>
      <c r="D191" t="s">
        <v>65</v>
      </c>
      <c r="E191" t="s">
        <v>60</v>
      </c>
      <c r="F191" t="s">
        <v>61</v>
      </c>
      <c r="G191">
        <v>30000</v>
      </c>
      <c r="H191">
        <v>5</v>
      </c>
      <c r="I191">
        <v>5</v>
      </c>
      <c r="J191">
        <v>0</v>
      </c>
      <c r="K191">
        <v>1</v>
      </c>
      <c r="L191">
        <v>20000000</v>
      </c>
      <c r="M191">
        <v>190</v>
      </c>
      <c r="N191">
        <v>190</v>
      </c>
      <c r="O191">
        <v>190</v>
      </c>
      <c r="P191">
        <v>0</v>
      </c>
      <c r="Q191" t="s">
        <v>62</v>
      </c>
      <c r="R191">
        <v>100001223591859</v>
      </c>
      <c r="S191">
        <v>9997623</v>
      </c>
      <c r="T191">
        <v>100001223591859</v>
      </c>
      <c r="U191">
        <v>9997623</v>
      </c>
      <c r="V191" t="s">
        <v>75</v>
      </c>
      <c r="W191">
        <v>9</v>
      </c>
      <c r="X191">
        <v>310150</v>
      </c>
      <c r="Y191">
        <v>1966253</v>
      </c>
      <c r="Z191">
        <v>2276403</v>
      </c>
      <c r="AA191">
        <v>9997623</v>
      </c>
      <c r="AB191">
        <v>7.3396800000000004</v>
      </c>
      <c r="AC191">
        <v>5.0846099999999996</v>
      </c>
      <c r="AD191">
        <v>5.3918499999999998</v>
      </c>
      <c r="AE191">
        <v>8</v>
      </c>
      <c r="AM191">
        <v>5411048718</v>
      </c>
      <c r="AN191">
        <v>0</v>
      </c>
      <c r="AO191">
        <v>601192972</v>
      </c>
      <c r="AP191">
        <v>5411048718</v>
      </c>
      <c r="AQ191">
        <v>6012241690</v>
      </c>
      <c r="AR191">
        <v>180368290</v>
      </c>
      <c r="AS191">
        <v>0</v>
      </c>
      <c r="AT191">
        <v>20039765</v>
      </c>
      <c r="AU191">
        <v>180368290</v>
      </c>
      <c r="AV191">
        <v>200408056</v>
      </c>
      <c r="AW191">
        <v>18.900600000000001</v>
      </c>
      <c r="AX191">
        <v>6.5991999999999997</v>
      </c>
      <c r="AY191">
        <v>2627.25</v>
      </c>
      <c r="AZ191">
        <v>1674.39</v>
      </c>
      <c r="BA191">
        <v>1862</v>
      </c>
      <c r="BB191">
        <v>908</v>
      </c>
      <c r="BC191" t="str">
        <f t="shared" si="4"/>
        <v>u=10%, k=2x10^7</v>
      </c>
      <c r="BD191">
        <f t="shared" si="5"/>
        <v>0</v>
      </c>
    </row>
    <row r="192" spans="1:56">
      <c r="A192" t="s">
        <v>276</v>
      </c>
      <c r="B192" t="s">
        <v>67</v>
      </c>
      <c r="D192" t="s">
        <v>65</v>
      </c>
      <c r="E192" t="s">
        <v>60</v>
      </c>
      <c r="F192" t="s">
        <v>61</v>
      </c>
      <c r="G192">
        <v>30000</v>
      </c>
      <c r="H192">
        <v>5</v>
      </c>
      <c r="I192">
        <v>5</v>
      </c>
      <c r="J192">
        <v>0</v>
      </c>
      <c r="K192">
        <v>1</v>
      </c>
      <c r="L192">
        <v>20000000</v>
      </c>
      <c r="M192">
        <v>24</v>
      </c>
      <c r="N192">
        <v>24</v>
      </c>
      <c r="O192">
        <v>24</v>
      </c>
      <c r="P192">
        <v>0</v>
      </c>
      <c r="Q192" t="s">
        <v>62</v>
      </c>
      <c r="R192">
        <v>99973246352565</v>
      </c>
      <c r="S192">
        <v>9999225</v>
      </c>
      <c r="T192">
        <v>99973246352565</v>
      </c>
      <c r="U192">
        <v>9999225</v>
      </c>
      <c r="V192" t="s">
        <v>75</v>
      </c>
      <c r="W192">
        <v>29</v>
      </c>
      <c r="X192">
        <v>6706825</v>
      </c>
      <c r="Y192">
        <v>5080017</v>
      </c>
      <c r="Z192">
        <v>11786842</v>
      </c>
      <c r="AA192">
        <v>9999225</v>
      </c>
      <c r="AB192">
        <v>1.7574399999999999</v>
      </c>
      <c r="AC192">
        <v>1.96834</v>
      </c>
      <c r="AD192">
        <v>1.8483400000000001</v>
      </c>
      <c r="AE192">
        <v>23.186499999999999</v>
      </c>
      <c r="AM192">
        <v>360252545</v>
      </c>
      <c r="AN192">
        <v>0</v>
      </c>
      <c r="AO192">
        <v>40024707</v>
      </c>
      <c r="AP192">
        <v>360252545</v>
      </c>
      <c r="AQ192">
        <v>400277252</v>
      </c>
      <c r="AR192">
        <v>12008418</v>
      </c>
      <c r="AS192">
        <v>0</v>
      </c>
      <c r="AT192">
        <v>1334156</v>
      </c>
      <c r="AU192">
        <v>12008418</v>
      </c>
      <c r="AV192">
        <v>13342575</v>
      </c>
      <c r="AW192">
        <v>28.3688</v>
      </c>
      <c r="AX192">
        <v>9.7572600000000005</v>
      </c>
      <c r="AY192">
        <v>5017.33</v>
      </c>
      <c r="AZ192">
        <v>3761.72</v>
      </c>
      <c r="BA192">
        <v>1831</v>
      </c>
      <c r="BB192">
        <v>1455</v>
      </c>
      <c r="BC192" t="str">
        <f t="shared" si="4"/>
        <v>u=10%, k=2x10^7</v>
      </c>
      <c r="BD192">
        <f t="shared" si="5"/>
        <v>0</v>
      </c>
    </row>
    <row r="193" spans="1:56">
      <c r="A193" t="s">
        <v>277</v>
      </c>
      <c r="B193" t="s">
        <v>67</v>
      </c>
      <c r="D193" t="s">
        <v>65</v>
      </c>
      <c r="E193" t="s">
        <v>60</v>
      </c>
      <c r="F193" t="s">
        <v>61</v>
      </c>
      <c r="G193">
        <v>30000</v>
      </c>
      <c r="H193">
        <v>5</v>
      </c>
      <c r="I193">
        <v>5</v>
      </c>
      <c r="J193">
        <v>0</v>
      </c>
      <c r="K193">
        <v>1</v>
      </c>
      <c r="L193">
        <v>20000000</v>
      </c>
      <c r="M193">
        <v>48</v>
      </c>
      <c r="N193">
        <v>48</v>
      </c>
      <c r="O193">
        <v>48</v>
      </c>
      <c r="P193">
        <v>0</v>
      </c>
      <c r="Q193" t="s">
        <v>62</v>
      </c>
      <c r="R193">
        <v>100027330443218</v>
      </c>
      <c r="S193">
        <v>10003321</v>
      </c>
      <c r="T193">
        <v>100027330443218</v>
      </c>
      <c r="U193">
        <v>10003321</v>
      </c>
      <c r="V193" t="s">
        <v>75</v>
      </c>
      <c r="W193">
        <v>29</v>
      </c>
      <c r="X193">
        <v>6835672</v>
      </c>
      <c r="Y193">
        <v>5183814</v>
      </c>
      <c r="Z193">
        <v>12019486</v>
      </c>
      <c r="AA193">
        <v>10003321</v>
      </c>
      <c r="AB193">
        <v>1.7583500000000001</v>
      </c>
      <c r="AC193">
        <v>1.9297200000000001</v>
      </c>
      <c r="AD193">
        <v>1.83226</v>
      </c>
      <c r="AE193">
        <v>23.245899999999999</v>
      </c>
      <c r="AM193">
        <v>680295022</v>
      </c>
      <c r="AN193">
        <v>0</v>
      </c>
      <c r="AO193">
        <v>75599088</v>
      </c>
      <c r="AP193">
        <v>680295022</v>
      </c>
      <c r="AQ193">
        <v>755894110</v>
      </c>
      <c r="AR193">
        <v>22676500</v>
      </c>
      <c r="AS193">
        <v>0</v>
      </c>
      <c r="AT193">
        <v>2519969</v>
      </c>
      <c r="AU193">
        <v>22676500</v>
      </c>
      <c r="AV193">
        <v>25196470</v>
      </c>
      <c r="AW193">
        <v>29.163799999999998</v>
      </c>
      <c r="AX193">
        <v>9.8518399999999993</v>
      </c>
      <c r="AY193">
        <v>5312.82</v>
      </c>
      <c r="AZ193">
        <v>4043.45</v>
      </c>
      <c r="BA193">
        <v>1853</v>
      </c>
      <c r="BB193">
        <v>1032</v>
      </c>
      <c r="BC193" t="str">
        <f t="shared" si="4"/>
        <v>u=10%, k=2x10^7</v>
      </c>
      <c r="BD193">
        <f t="shared" si="5"/>
        <v>0</v>
      </c>
    </row>
    <row r="194" spans="1:56">
      <c r="A194" t="s">
        <v>278</v>
      </c>
      <c r="B194" t="s">
        <v>67</v>
      </c>
      <c r="D194" t="s">
        <v>65</v>
      </c>
      <c r="E194" t="s">
        <v>60</v>
      </c>
      <c r="F194" t="s">
        <v>61</v>
      </c>
      <c r="G194">
        <v>30000</v>
      </c>
      <c r="H194">
        <v>5</v>
      </c>
      <c r="I194">
        <v>5</v>
      </c>
      <c r="J194">
        <v>0</v>
      </c>
      <c r="K194">
        <v>1</v>
      </c>
      <c r="L194">
        <v>20000000</v>
      </c>
      <c r="M194">
        <v>96</v>
      </c>
      <c r="N194">
        <v>96</v>
      </c>
      <c r="O194">
        <v>96</v>
      </c>
      <c r="P194">
        <v>0</v>
      </c>
      <c r="Q194" t="s">
        <v>62</v>
      </c>
      <c r="R194">
        <v>99946637204097</v>
      </c>
      <c r="S194">
        <v>9996723</v>
      </c>
      <c r="T194">
        <v>99946637204097</v>
      </c>
      <c r="U194">
        <v>9996723</v>
      </c>
      <c r="V194" t="s">
        <v>75</v>
      </c>
      <c r="W194">
        <v>29</v>
      </c>
      <c r="X194">
        <v>6856846</v>
      </c>
      <c r="Y194">
        <v>5201528</v>
      </c>
      <c r="Z194">
        <v>12058374</v>
      </c>
      <c r="AA194">
        <v>9996723</v>
      </c>
      <c r="AB194">
        <v>1.7585900000000001</v>
      </c>
      <c r="AC194">
        <v>1.92188</v>
      </c>
      <c r="AD194">
        <v>1.8290299999999999</v>
      </c>
      <c r="AE194">
        <v>23.251899999999999</v>
      </c>
      <c r="AM194">
        <v>1442328494</v>
      </c>
      <c r="AN194">
        <v>0</v>
      </c>
      <c r="AO194">
        <v>160268824</v>
      </c>
      <c r="AP194">
        <v>1442328494</v>
      </c>
      <c r="AQ194">
        <v>1602597318</v>
      </c>
      <c r="AR194">
        <v>48077616</v>
      </c>
      <c r="AS194">
        <v>0</v>
      </c>
      <c r="AT194">
        <v>5342294</v>
      </c>
      <c r="AU194">
        <v>48077616</v>
      </c>
      <c r="AV194">
        <v>53419910</v>
      </c>
      <c r="AW194">
        <v>29.738900000000001</v>
      </c>
      <c r="AX194">
        <v>10.704599999999999</v>
      </c>
      <c r="AY194">
        <v>5005.72</v>
      </c>
      <c r="AZ194">
        <v>3647.59</v>
      </c>
      <c r="BA194">
        <v>1881</v>
      </c>
      <c r="BB194">
        <v>781</v>
      </c>
      <c r="BC194" t="str">
        <f t="shared" si="4"/>
        <v>u=10%, k=2x10^7</v>
      </c>
      <c r="BD194">
        <f t="shared" si="5"/>
        <v>0</v>
      </c>
    </row>
    <row r="195" spans="1:56">
      <c r="A195" t="s">
        <v>279</v>
      </c>
      <c r="B195" t="s">
        <v>67</v>
      </c>
      <c r="D195" t="s">
        <v>65</v>
      </c>
      <c r="E195" t="s">
        <v>60</v>
      </c>
      <c r="F195" t="s">
        <v>61</v>
      </c>
      <c r="G195">
        <v>30000</v>
      </c>
      <c r="H195">
        <v>5</v>
      </c>
      <c r="I195">
        <v>5</v>
      </c>
      <c r="J195">
        <v>0</v>
      </c>
      <c r="K195">
        <v>1</v>
      </c>
      <c r="L195">
        <v>20000000</v>
      </c>
      <c r="M195">
        <v>144</v>
      </c>
      <c r="N195">
        <v>144</v>
      </c>
      <c r="O195">
        <v>144</v>
      </c>
      <c r="P195">
        <v>0</v>
      </c>
      <c r="Q195" t="s">
        <v>62</v>
      </c>
      <c r="R195">
        <v>99970080697525</v>
      </c>
      <c r="S195">
        <v>9997214</v>
      </c>
      <c r="T195">
        <v>99970080697525</v>
      </c>
      <c r="U195">
        <v>9997214</v>
      </c>
      <c r="V195" t="s">
        <v>75</v>
      </c>
      <c r="W195">
        <v>29</v>
      </c>
      <c r="X195">
        <v>6857264</v>
      </c>
      <c r="Y195">
        <v>5201947</v>
      </c>
      <c r="Z195">
        <v>12059211</v>
      </c>
      <c r="AA195">
        <v>9997214</v>
      </c>
      <c r="AB195">
        <v>1.7585999999999999</v>
      </c>
      <c r="AC195">
        <v>1.9218200000000001</v>
      </c>
      <c r="AD195">
        <v>1.82901</v>
      </c>
      <c r="AE195">
        <v>23.293800000000001</v>
      </c>
      <c r="AM195">
        <v>2163579357</v>
      </c>
      <c r="AN195">
        <v>0</v>
      </c>
      <c r="AO195">
        <v>240396624</v>
      </c>
      <c r="AP195">
        <v>2163579357</v>
      </c>
      <c r="AQ195">
        <v>2403975981</v>
      </c>
      <c r="AR195">
        <v>72119311</v>
      </c>
      <c r="AS195">
        <v>0</v>
      </c>
      <c r="AT195">
        <v>8013220</v>
      </c>
      <c r="AU195">
        <v>72119311</v>
      </c>
      <c r="AV195">
        <v>80132532</v>
      </c>
      <c r="AW195">
        <v>30.137899999999998</v>
      </c>
      <c r="AX195">
        <v>10.9725</v>
      </c>
      <c r="AY195">
        <v>4995.04</v>
      </c>
      <c r="AZ195">
        <v>3629.82</v>
      </c>
      <c r="BA195">
        <v>1906</v>
      </c>
      <c r="BB195">
        <v>459</v>
      </c>
      <c r="BC195" t="str">
        <f t="shared" ref="BC195:BC258" si="6">"u="&amp;(H195+I195)&amp;"%, k=2x10^"&amp;LOG10(L195/2)</f>
        <v>u=10%, k=2x10^7</v>
      </c>
      <c r="BD195">
        <f t="shared" ref="BD195:BD258" si="7">IF(AH195="",0,LEFT(AH195,IF(ISNUMBER(FIND(" ",AH195)),FIND(" ",AH195)-1,LEN(AH195))))</f>
        <v>0</v>
      </c>
    </row>
    <row r="196" spans="1:56">
      <c r="A196" t="s">
        <v>280</v>
      </c>
      <c r="B196" t="s">
        <v>67</v>
      </c>
      <c r="D196" t="s">
        <v>65</v>
      </c>
      <c r="E196" t="s">
        <v>60</v>
      </c>
      <c r="F196" t="s">
        <v>61</v>
      </c>
      <c r="G196">
        <v>30000</v>
      </c>
      <c r="H196">
        <v>5</v>
      </c>
      <c r="I196">
        <v>5</v>
      </c>
      <c r="J196">
        <v>0</v>
      </c>
      <c r="K196">
        <v>1</v>
      </c>
      <c r="L196">
        <v>20000000</v>
      </c>
      <c r="M196">
        <v>190</v>
      </c>
      <c r="N196">
        <v>190</v>
      </c>
      <c r="O196">
        <v>190</v>
      </c>
      <c r="P196">
        <v>0</v>
      </c>
      <c r="Q196" t="s">
        <v>62</v>
      </c>
      <c r="R196">
        <v>99999334409956</v>
      </c>
      <c r="S196">
        <v>9999086</v>
      </c>
      <c r="T196">
        <v>99999334409956</v>
      </c>
      <c r="U196">
        <v>9999086</v>
      </c>
      <c r="V196" t="s">
        <v>75</v>
      </c>
      <c r="W196">
        <v>29</v>
      </c>
      <c r="X196">
        <v>6859064</v>
      </c>
      <c r="Y196">
        <v>5203372</v>
      </c>
      <c r="Z196">
        <v>12062436</v>
      </c>
      <c r="AA196">
        <v>9999086</v>
      </c>
      <c r="AB196">
        <v>1.75861</v>
      </c>
      <c r="AC196">
        <v>1.9216599999999999</v>
      </c>
      <c r="AD196">
        <v>1.82894</v>
      </c>
      <c r="AE196">
        <v>23.297599999999999</v>
      </c>
      <c r="AM196">
        <v>2881875580</v>
      </c>
      <c r="AN196">
        <v>0</v>
      </c>
      <c r="AO196">
        <v>320208800</v>
      </c>
      <c r="AP196">
        <v>2881875580</v>
      </c>
      <c r="AQ196">
        <v>3202084380</v>
      </c>
      <c r="AR196">
        <v>96062519</v>
      </c>
      <c r="AS196">
        <v>0</v>
      </c>
      <c r="AT196">
        <v>10673626</v>
      </c>
      <c r="AU196">
        <v>96062519</v>
      </c>
      <c r="AV196">
        <v>106736146</v>
      </c>
      <c r="AW196">
        <v>29.9282</v>
      </c>
      <c r="AX196">
        <v>11.1349</v>
      </c>
      <c r="AY196">
        <v>4950.46</v>
      </c>
      <c r="AZ196">
        <v>3578.93</v>
      </c>
      <c r="BA196">
        <v>1933</v>
      </c>
      <c r="BB196">
        <v>461</v>
      </c>
      <c r="BC196" t="str">
        <f t="shared" si="6"/>
        <v>u=10%, k=2x10^7</v>
      </c>
      <c r="BD196">
        <f t="shared" si="7"/>
        <v>0</v>
      </c>
    </row>
    <row r="197" spans="1:56">
      <c r="A197" t="s">
        <v>281</v>
      </c>
      <c r="B197" t="s">
        <v>68</v>
      </c>
      <c r="D197" t="s">
        <v>65</v>
      </c>
      <c r="E197" t="s">
        <v>60</v>
      </c>
      <c r="F197" t="s">
        <v>61</v>
      </c>
      <c r="G197">
        <v>30000</v>
      </c>
      <c r="H197">
        <v>5</v>
      </c>
      <c r="I197">
        <v>5</v>
      </c>
      <c r="J197">
        <v>0</v>
      </c>
      <c r="K197">
        <v>1</v>
      </c>
      <c r="L197">
        <v>20000000</v>
      </c>
      <c r="M197">
        <v>24</v>
      </c>
      <c r="N197">
        <v>24</v>
      </c>
      <c r="O197">
        <v>24</v>
      </c>
      <c r="P197">
        <v>0</v>
      </c>
      <c r="Q197" t="s">
        <v>62</v>
      </c>
      <c r="R197">
        <v>100014762528868</v>
      </c>
      <c r="S197">
        <v>10001529</v>
      </c>
      <c r="T197">
        <v>100014762528868</v>
      </c>
      <c r="U197">
        <v>10001529</v>
      </c>
      <c r="V197" t="s">
        <v>75</v>
      </c>
      <c r="W197">
        <v>64</v>
      </c>
      <c r="X197">
        <v>10001528</v>
      </c>
      <c r="Y197">
        <v>10001529</v>
      </c>
      <c r="Z197">
        <v>20003057</v>
      </c>
      <c r="AA197">
        <v>10001529</v>
      </c>
      <c r="AB197">
        <v>2</v>
      </c>
      <c r="AC197">
        <v>1</v>
      </c>
      <c r="AD197">
        <v>1.5</v>
      </c>
      <c r="AE197">
        <v>32.409500000000001</v>
      </c>
      <c r="AM197">
        <v>293392893</v>
      </c>
      <c r="AN197">
        <v>0</v>
      </c>
      <c r="AO197">
        <v>32603781</v>
      </c>
      <c r="AP197">
        <v>293392893</v>
      </c>
      <c r="AQ197">
        <v>325996674</v>
      </c>
      <c r="AR197">
        <v>9779763</v>
      </c>
      <c r="AS197">
        <v>0</v>
      </c>
      <c r="AT197">
        <v>1086792</v>
      </c>
      <c r="AU197">
        <v>9779763</v>
      </c>
      <c r="AV197">
        <v>10866555</v>
      </c>
      <c r="AW197">
        <v>25.027799999999999</v>
      </c>
      <c r="AX197">
        <v>9.1471099999999996</v>
      </c>
      <c r="AY197">
        <v>6161.62</v>
      </c>
      <c r="AZ197">
        <v>4757.5200000000004</v>
      </c>
      <c r="BA197">
        <v>1724</v>
      </c>
      <c r="BB197">
        <v>1497</v>
      </c>
      <c r="BC197" t="str">
        <f t="shared" si="6"/>
        <v>u=10%, k=2x10^7</v>
      </c>
      <c r="BD197">
        <f t="shared" si="7"/>
        <v>0</v>
      </c>
    </row>
    <row r="198" spans="1:56">
      <c r="A198" t="s">
        <v>282</v>
      </c>
      <c r="B198" t="s">
        <v>68</v>
      </c>
      <c r="D198" t="s">
        <v>65</v>
      </c>
      <c r="E198" t="s">
        <v>60</v>
      </c>
      <c r="F198" t="s">
        <v>61</v>
      </c>
      <c r="G198">
        <v>30000</v>
      </c>
      <c r="H198">
        <v>5</v>
      </c>
      <c r="I198">
        <v>5</v>
      </c>
      <c r="J198">
        <v>0</v>
      </c>
      <c r="K198">
        <v>1</v>
      </c>
      <c r="L198">
        <v>20000000</v>
      </c>
      <c r="M198">
        <v>48</v>
      </c>
      <c r="N198">
        <v>48</v>
      </c>
      <c r="O198">
        <v>48</v>
      </c>
      <c r="P198">
        <v>0</v>
      </c>
      <c r="Q198" t="s">
        <v>62</v>
      </c>
      <c r="R198">
        <v>99944435017199</v>
      </c>
      <c r="S198">
        <v>9994628</v>
      </c>
      <c r="T198">
        <v>99944435017199</v>
      </c>
      <c r="U198">
        <v>9994628</v>
      </c>
      <c r="V198" t="s">
        <v>75</v>
      </c>
      <c r="W198">
        <v>63</v>
      </c>
      <c r="X198">
        <v>9994627</v>
      </c>
      <c r="Y198">
        <v>9994628</v>
      </c>
      <c r="Z198">
        <v>19989255</v>
      </c>
      <c r="AA198">
        <v>9994628</v>
      </c>
      <c r="AB198">
        <v>2</v>
      </c>
      <c r="AC198">
        <v>1</v>
      </c>
      <c r="AD198">
        <v>1.5</v>
      </c>
      <c r="AE198">
        <v>32.664299999999997</v>
      </c>
      <c r="AM198">
        <v>560888195</v>
      </c>
      <c r="AN198">
        <v>0</v>
      </c>
      <c r="AO198">
        <v>62299419</v>
      </c>
      <c r="AP198">
        <v>560888195</v>
      </c>
      <c r="AQ198">
        <v>623187614</v>
      </c>
      <c r="AR198">
        <v>18696273</v>
      </c>
      <c r="AS198">
        <v>0</v>
      </c>
      <c r="AT198">
        <v>2076647</v>
      </c>
      <c r="AU198">
        <v>18696273</v>
      </c>
      <c r="AV198">
        <v>20772920</v>
      </c>
      <c r="AW198">
        <v>25.0639</v>
      </c>
      <c r="AX198">
        <v>9.1479499999999998</v>
      </c>
      <c r="AY198">
        <v>6445.49</v>
      </c>
      <c r="AZ198">
        <v>5412.4</v>
      </c>
      <c r="BA198">
        <v>1736</v>
      </c>
      <c r="BB198">
        <v>1063</v>
      </c>
      <c r="BC198" t="str">
        <f t="shared" si="6"/>
        <v>u=10%, k=2x10^7</v>
      </c>
      <c r="BD198">
        <f t="shared" si="7"/>
        <v>0</v>
      </c>
    </row>
    <row r="199" spans="1:56">
      <c r="A199" t="s">
        <v>283</v>
      </c>
      <c r="B199" t="s">
        <v>68</v>
      </c>
      <c r="D199" t="s">
        <v>65</v>
      </c>
      <c r="E199" t="s">
        <v>60</v>
      </c>
      <c r="F199" t="s">
        <v>61</v>
      </c>
      <c r="G199">
        <v>30000</v>
      </c>
      <c r="H199">
        <v>5</v>
      </c>
      <c r="I199">
        <v>5</v>
      </c>
      <c r="J199">
        <v>0</v>
      </c>
      <c r="K199">
        <v>1</v>
      </c>
      <c r="L199">
        <v>20000000</v>
      </c>
      <c r="M199">
        <v>96</v>
      </c>
      <c r="N199">
        <v>96</v>
      </c>
      <c r="O199">
        <v>96</v>
      </c>
      <c r="P199">
        <v>0</v>
      </c>
      <c r="Q199" t="s">
        <v>62</v>
      </c>
      <c r="R199">
        <v>99989161022153</v>
      </c>
      <c r="S199">
        <v>9999028</v>
      </c>
      <c r="T199">
        <v>99989161022153</v>
      </c>
      <c r="U199">
        <v>9999028</v>
      </c>
      <c r="V199" t="s">
        <v>75</v>
      </c>
      <c r="W199">
        <v>60</v>
      </c>
      <c r="X199">
        <v>9999027</v>
      </c>
      <c r="Y199">
        <v>9999028</v>
      </c>
      <c r="Z199">
        <v>19998055</v>
      </c>
      <c r="AA199">
        <v>9999028</v>
      </c>
      <c r="AB199">
        <v>2</v>
      </c>
      <c r="AC199">
        <v>1</v>
      </c>
      <c r="AD199">
        <v>1.5</v>
      </c>
      <c r="AE199">
        <v>31.706</v>
      </c>
      <c r="AM199">
        <v>1248126251</v>
      </c>
      <c r="AN199">
        <v>0</v>
      </c>
      <c r="AO199">
        <v>138678882</v>
      </c>
      <c r="AP199">
        <v>1248126251</v>
      </c>
      <c r="AQ199">
        <v>1386805133</v>
      </c>
      <c r="AR199">
        <v>41604208</v>
      </c>
      <c r="AS199">
        <v>0</v>
      </c>
      <c r="AT199">
        <v>4622629</v>
      </c>
      <c r="AU199">
        <v>41604208</v>
      </c>
      <c r="AV199">
        <v>46226837</v>
      </c>
      <c r="AW199">
        <v>25.789300000000001</v>
      </c>
      <c r="AX199">
        <v>10.097899999999999</v>
      </c>
      <c r="AY199">
        <v>5786.63</v>
      </c>
      <c r="AZ199">
        <v>4738.47</v>
      </c>
      <c r="BA199">
        <v>1773</v>
      </c>
      <c r="BB199">
        <v>721</v>
      </c>
      <c r="BC199" t="str">
        <f t="shared" si="6"/>
        <v>u=10%, k=2x10^7</v>
      </c>
      <c r="BD199">
        <f t="shared" si="7"/>
        <v>0</v>
      </c>
    </row>
    <row r="200" spans="1:56">
      <c r="A200" t="s">
        <v>284</v>
      </c>
      <c r="B200" t="s">
        <v>68</v>
      </c>
      <c r="D200" t="s">
        <v>65</v>
      </c>
      <c r="E200" t="s">
        <v>60</v>
      </c>
      <c r="F200" t="s">
        <v>61</v>
      </c>
      <c r="G200">
        <v>30000</v>
      </c>
      <c r="H200">
        <v>5</v>
      </c>
      <c r="I200">
        <v>5</v>
      </c>
      <c r="J200">
        <v>0</v>
      </c>
      <c r="K200">
        <v>1</v>
      </c>
      <c r="L200">
        <v>20000000</v>
      </c>
      <c r="M200">
        <v>144</v>
      </c>
      <c r="N200">
        <v>144</v>
      </c>
      <c r="O200">
        <v>144</v>
      </c>
      <c r="P200">
        <v>0</v>
      </c>
      <c r="Q200" t="s">
        <v>62</v>
      </c>
      <c r="R200">
        <v>99963749468221</v>
      </c>
      <c r="S200">
        <v>9998026</v>
      </c>
      <c r="T200">
        <v>99963749468221</v>
      </c>
      <c r="U200">
        <v>9998026</v>
      </c>
      <c r="V200" t="s">
        <v>75</v>
      </c>
      <c r="W200">
        <v>64</v>
      </c>
      <c r="X200">
        <v>9998025</v>
      </c>
      <c r="Y200">
        <v>9998026</v>
      </c>
      <c r="Z200">
        <v>19996051</v>
      </c>
      <c r="AA200">
        <v>9998026</v>
      </c>
      <c r="AB200">
        <v>2</v>
      </c>
      <c r="AC200">
        <v>1</v>
      </c>
      <c r="AD200">
        <v>1.5</v>
      </c>
      <c r="AE200">
        <v>31.9117</v>
      </c>
      <c r="AM200">
        <v>1901347932</v>
      </c>
      <c r="AN200">
        <v>0</v>
      </c>
      <c r="AO200">
        <v>211240661</v>
      </c>
      <c r="AP200">
        <v>1901347932</v>
      </c>
      <c r="AQ200">
        <v>2112588593</v>
      </c>
      <c r="AR200">
        <v>63378264</v>
      </c>
      <c r="AS200">
        <v>0</v>
      </c>
      <c r="AT200">
        <v>7041355</v>
      </c>
      <c r="AU200">
        <v>63378264</v>
      </c>
      <c r="AV200">
        <v>70419619</v>
      </c>
      <c r="AW200">
        <v>25.941700000000001</v>
      </c>
      <c r="AX200">
        <v>10.312799999999999</v>
      </c>
      <c r="AY200">
        <v>5694.81</v>
      </c>
      <c r="AZ200">
        <v>4640.32</v>
      </c>
      <c r="BA200">
        <v>1815</v>
      </c>
      <c r="BB200">
        <v>434</v>
      </c>
      <c r="BC200" t="str">
        <f t="shared" si="6"/>
        <v>u=10%, k=2x10^7</v>
      </c>
      <c r="BD200">
        <f t="shared" si="7"/>
        <v>0</v>
      </c>
    </row>
    <row r="201" spans="1:56">
      <c r="A201" t="s">
        <v>285</v>
      </c>
      <c r="B201" t="s">
        <v>68</v>
      </c>
      <c r="D201" t="s">
        <v>65</v>
      </c>
      <c r="E201" t="s">
        <v>60</v>
      </c>
      <c r="F201" t="s">
        <v>61</v>
      </c>
      <c r="G201">
        <v>30000</v>
      </c>
      <c r="H201">
        <v>5</v>
      </c>
      <c r="I201">
        <v>5</v>
      </c>
      <c r="J201">
        <v>0</v>
      </c>
      <c r="K201">
        <v>1</v>
      </c>
      <c r="L201">
        <v>20000000</v>
      </c>
      <c r="M201">
        <v>190</v>
      </c>
      <c r="N201">
        <v>190</v>
      </c>
      <c r="O201">
        <v>190</v>
      </c>
      <c r="P201">
        <v>0</v>
      </c>
      <c r="Q201" t="s">
        <v>62</v>
      </c>
      <c r="R201">
        <v>99990498499748</v>
      </c>
      <c r="S201">
        <v>10000483</v>
      </c>
      <c r="T201">
        <v>99990498499748</v>
      </c>
      <c r="U201">
        <v>10000483</v>
      </c>
      <c r="V201" t="s">
        <v>75</v>
      </c>
      <c r="W201">
        <v>58</v>
      </c>
      <c r="X201">
        <v>10000482</v>
      </c>
      <c r="Y201">
        <v>10000483</v>
      </c>
      <c r="Z201">
        <v>20000965</v>
      </c>
      <c r="AA201">
        <v>10000483</v>
      </c>
      <c r="AB201">
        <v>2</v>
      </c>
      <c r="AC201">
        <v>1</v>
      </c>
      <c r="AD201">
        <v>1.5</v>
      </c>
      <c r="AE201">
        <v>30.674199999999999</v>
      </c>
      <c r="AM201">
        <v>2542319966</v>
      </c>
      <c r="AN201">
        <v>0</v>
      </c>
      <c r="AO201">
        <v>282471381</v>
      </c>
      <c r="AP201">
        <v>2542319966</v>
      </c>
      <c r="AQ201">
        <v>2824791347</v>
      </c>
      <c r="AR201">
        <v>84743998</v>
      </c>
      <c r="AS201">
        <v>0</v>
      </c>
      <c r="AT201">
        <v>9415712</v>
      </c>
      <c r="AU201">
        <v>84743998</v>
      </c>
      <c r="AV201">
        <v>94159711</v>
      </c>
      <c r="AW201">
        <v>25.915800000000001</v>
      </c>
      <c r="AX201">
        <v>10.4336</v>
      </c>
      <c r="AY201">
        <v>5618.29</v>
      </c>
      <c r="AZ201">
        <v>4567.96</v>
      </c>
      <c r="BA201">
        <v>1869</v>
      </c>
      <c r="BB201">
        <v>431</v>
      </c>
      <c r="BC201" t="str">
        <f t="shared" si="6"/>
        <v>u=10%, k=2x10^7</v>
      </c>
      <c r="BD201">
        <f t="shared" si="7"/>
        <v>0</v>
      </c>
    </row>
    <row r="202" spans="1:56">
      <c r="A202" t="s">
        <v>286</v>
      </c>
      <c r="B202" t="s">
        <v>64</v>
      </c>
      <c r="C202">
        <v>72</v>
      </c>
      <c r="D202" t="s">
        <v>65</v>
      </c>
      <c r="E202" t="s">
        <v>60</v>
      </c>
      <c r="F202" t="s">
        <v>61</v>
      </c>
      <c r="G202">
        <v>30000</v>
      </c>
      <c r="H202">
        <v>5</v>
      </c>
      <c r="I202">
        <v>5</v>
      </c>
      <c r="J202">
        <v>0</v>
      </c>
      <c r="K202">
        <v>1</v>
      </c>
      <c r="L202">
        <v>200000000</v>
      </c>
      <c r="M202">
        <v>24</v>
      </c>
      <c r="N202">
        <v>24</v>
      </c>
      <c r="O202">
        <v>24</v>
      </c>
      <c r="P202">
        <v>0</v>
      </c>
      <c r="Q202" t="s">
        <v>62</v>
      </c>
      <c r="R202">
        <v>1.00004401406685E+16</v>
      </c>
      <c r="S202">
        <v>100005537</v>
      </c>
      <c r="T202">
        <v>1.00004401406685E+16</v>
      </c>
      <c r="U202">
        <v>100005537</v>
      </c>
      <c r="V202" t="s">
        <v>75</v>
      </c>
      <c r="W202">
        <v>7</v>
      </c>
      <c r="X202">
        <v>14708651</v>
      </c>
      <c r="Y202">
        <v>117707407</v>
      </c>
      <c r="Z202">
        <v>132416058</v>
      </c>
      <c r="AA202">
        <v>100005537</v>
      </c>
      <c r="AB202">
        <v>9.0025999999999993</v>
      </c>
      <c r="AC202">
        <v>0.84961100000000001</v>
      </c>
      <c r="AD202">
        <v>1.7552399999999999</v>
      </c>
      <c r="AE202">
        <v>4.0770900000000001</v>
      </c>
      <c r="AM202">
        <v>670187987</v>
      </c>
      <c r="AN202">
        <v>0</v>
      </c>
      <c r="AO202">
        <v>74464018</v>
      </c>
      <c r="AP202">
        <v>670187987</v>
      </c>
      <c r="AQ202">
        <v>744652005</v>
      </c>
      <c r="AR202">
        <v>22339599</v>
      </c>
      <c r="AS202">
        <v>0</v>
      </c>
      <c r="AT202">
        <v>2482133</v>
      </c>
      <c r="AU202">
        <v>22339599</v>
      </c>
      <c r="AV202">
        <v>24821733</v>
      </c>
      <c r="AW202">
        <v>20.643799999999999</v>
      </c>
      <c r="AX202">
        <v>9.2942</v>
      </c>
      <c r="AY202">
        <v>2670.6</v>
      </c>
      <c r="AZ202">
        <v>1983.68</v>
      </c>
      <c r="BA202">
        <v>9443</v>
      </c>
      <c r="BB202">
        <v>1529</v>
      </c>
      <c r="BC202" t="str">
        <f t="shared" si="6"/>
        <v>u=10%, k=2x10^8</v>
      </c>
      <c r="BD202">
        <f t="shared" si="7"/>
        <v>0</v>
      </c>
    </row>
    <row r="203" spans="1:56">
      <c r="A203" t="s">
        <v>287</v>
      </c>
      <c r="B203" t="s">
        <v>64</v>
      </c>
      <c r="C203">
        <v>72</v>
      </c>
      <c r="D203" t="s">
        <v>65</v>
      </c>
      <c r="E203" t="s">
        <v>60</v>
      </c>
      <c r="F203" t="s">
        <v>61</v>
      </c>
      <c r="G203">
        <v>30000</v>
      </c>
      <c r="H203">
        <v>5</v>
      </c>
      <c r="I203">
        <v>5</v>
      </c>
      <c r="J203">
        <v>0</v>
      </c>
      <c r="K203">
        <v>1</v>
      </c>
      <c r="L203">
        <v>200000000</v>
      </c>
      <c r="M203">
        <v>48</v>
      </c>
      <c r="N203">
        <v>48</v>
      </c>
      <c r="O203">
        <v>48</v>
      </c>
      <c r="P203">
        <v>0</v>
      </c>
      <c r="Q203" t="s">
        <v>62</v>
      </c>
      <c r="R203">
        <v>9999579645343490</v>
      </c>
      <c r="S203">
        <v>99990129</v>
      </c>
      <c r="T203">
        <v>9999579645343490</v>
      </c>
      <c r="U203">
        <v>99990129</v>
      </c>
      <c r="V203" t="s">
        <v>75</v>
      </c>
      <c r="W203">
        <v>7</v>
      </c>
      <c r="X203">
        <v>14728096</v>
      </c>
      <c r="Y203">
        <v>117733897</v>
      </c>
      <c r="Z203">
        <v>132461993</v>
      </c>
      <c r="AA203">
        <v>99990129</v>
      </c>
      <c r="AB203">
        <v>8.9938300000000009</v>
      </c>
      <c r="AC203">
        <v>0.84928899999999996</v>
      </c>
      <c r="AD203">
        <v>1.7548600000000001</v>
      </c>
      <c r="AE203">
        <v>4.0775800000000002</v>
      </c>
      <c r="AM203">
        <v>1124158919</v>
      </c>
      <c r="AN203">
        <v>0</v>
      </c>
      <c r="AO203">
        <v>124896651</v>
      </c>
      <c r="AP203">
        <v>1124158919</v>
      </c>
      <c r="AQ203">
        <v>1249055570</v>
      </c>
      <c r="AR203">
        <v>37471963</v>
      </c>
      <c r="AS203">
        <v>0</v>
      </c>
      <c r="AT203">
        <v>4163221</v>
      </c>
      <c r="AU203">
        <v>37471963</v>
      </c>
      <c r="AV203">
        <v>41635185</v>
      </c>
      <c r="AW203">
        <v>21.3354</v>
      </c>
      <c r="AX203">
        <v>9.7174600000000009</v>
      </c>
      <c r="AY203">
        <v>3166.85</v>
      </c>
      <c r="AZ203">
        <v>2367.09</v>
      </c>
      <c r="BA203">
        <v>13466</v>
      </c>
      <c r="BB203">
        <v>1273</v>
      </c>
      <c r="BC203" t="str">
        <f t="shared" si="6"/>
        <v>u=10%, k=2x10^8</v>
      </c>
      <c r="BD203">
        <f t="shared" si="7"/>
        <v>0</v>
      </c>
    </row>
    <row r="204" spans="1:56">
      <c r="A204" t="s">
        <v>288</v>
      </c>
      <c r="B204" t="s">
        <v>64</v>
      </c>
      <c r="C204">
        <v>72</v>
      </c>
      <c r="D204" t="s">
        <v>65</v>
      </c>
      <c r="E204" t="s">
        <v>60</v>
      </c>
      <c r="F204" t="s">
        <v>61</v>
      </c>
      <c r="G204">
        <v>30000</v>
      </c>
      <c r="H204">
        <v>5</v>
      </c>
      <c r="I204">
        <v>5</v>
      </c>
      <c r="J204">
        <v>0</v>
      </c>
      <c r="K204">
        <v>1</v>
      </c>
      <c r="L204">
        <v>200000000</v>
      </c>
      <c r="M204">
        <v>96</v>
      </c>
      <c r="N204">
        <v>96</v>
      </c>
      <c r="O204">
        <v>96</v>
      </c>
      <c r="P204">
        <v>0</v>
      </c>
      <c r="Q204" t="s">
        <v>62</v>
      </c>
      <c r="R204">
        <v>1.00007040113362E+16</v>
      </c>
      <c r="S204">
        <v>100003844</v>
      </c>
      <c r="T204">
        <v>1.00007040113362E+16</v>
      </c>
      <c r="U204">
        <v>100003844</v>
      </c>
      <c r="V204" t="s">
        <v>75</v>
      </c>
      <c r="W204">
        <v>7</v>
      </c>
      <c r="X204">
        <v>14902730</v>
      </c>
      <c r="Y204">
        <v>118191137</v>
      </c>
      <c r="Z204">
        <v>133093867</v>
      </c>
      <c r="AA204">
        <v>100003844</v>
      </c>
      <c r="AB204">
        <v>8.9308399999999999</v>
      </c>
      <c r="AC204">
        <v>0.84611999999999998</v>
      </c>
      <c r="AD204">
        <v>1.7513799999999999</v>
      </c>
      <c r="AE204">
        <v>4.0807399999999996</v>
      </c>
      <c r="AM204">
        <v>2124248175</v>
      </c>
      <c r="AN204">
        <v>0</v>
      </c>
      <c r="AO204">
        <v>236027535</v>
      </c>
      <c r="AP204">
        <v>2124248175</v>
      </c>
      <c r="AQ204">
        <v>2360275710</v>
      </c>
      <c r="AR204">
        <v>70808272</v>
      </c>
      <c r="AS204">
        <v>0</v>
      </c>
      <c r="AT204">
        <v>7867584</v>
      </c>
      <c r="AU204">
        <v>70808272</v>
      </c>
      <c r="AV204">
        <v>78675857</v>
      </c>
      <c r="AW204">
        <v>21.819900000000001</v>
      </c>
      <c r="AX204">
        <v>10.6371</v>
      </c>
      <c r="AY204">
        <v>3257.14</v>
      </c>
      <c r="AZ204">
        <v>2402.4699999999998</v>
      </c>
      <c r="BA204">
        <v>13207</v>
      </c>
      <c r="BB204">
        <v>1046</v>
      </c>
      <c r="BC204" t="str">
        <f t="shared" si="6"/>
        <v>u=10%, k=2x10^8</v>
      </c>
      <c r="BD204">
        <f t="shared" si="7"/>
        <v>0</v>
      </c>
    </row>
    <row r="205" spans="1:56">
      <c r="A205" t="s">
        <v>289</v>
      </c>
      <c r="B205" t="s">
        <v>64</v>
      </c>
      <c r="C205">
        <v>72</v>
      </c>
      <c r="D205" t="s">
        <v>65</v>
      </c>
      <c r="E205" t="s">
        <v>60</v>
      </c>
      <c r="F205" t="s">
        <v>61</v>
      </c>
      <c r="G205">
        <v>30000</v>
      </c>
      <c r="H205">
        <v>5</v>
      </c>
      <c r="I205">
        <v>5</v>
      </c>
      <c r="J205">
        <v>0</v>
      </c>
      <c r="K205">
        <v>1</v>
      </c>
      <c r="L205">
        <v>200000000</v>
      </c>
      <c r="M205">
        <v>144</v>
      </c>
      <c r="N205">
        <v>144</v>
      </c>
      <c r="O205">
        <v>144</v>
      </c>
      <c r="P205">
        <v>0</v>
      </c>
      <c r="Q205" t="s">
        <v>62</v>
      </c>
      <c r="R205">
        <v>9999738348265700</v>
      </c>
      <c r="S205">
        <v>99997397</v>
      </c>
      <c r="T205">
        <v>9999738348265700</v>
      </c>
      <c r="U205">
        <v>99997397</v>
      </c>
      <c r="V205" t="s">
        <v>75</v>
      </c>
      <c r="W205">
        <v>7</v>
      </c>
      <c r="X205">
        <v>14727497</v>
      </c>
      <c r="Y205">
        <v>117793939</v>
      </c>
      <c r="Z205">
        <v>132521436</v>
      </c>
      <c r="AA205">
        <v>99997397</v>
      </c>
      <c r="AB205">
        <v>8.9982299999999995</v>
      </c>
      <c r="AC205">
        <v>0.84891799999999995</v>
      </c>
      <c r="AD205">
        <v>1.75458</v>
      </c>
      <c r="AE205">
        <v>4.07613</v>
      </c>
      <c r="AM205">
        <v>3059726873</v>
      </c>
      <c r="AN205">
        <v>0</v>
      </c>
      <c r="AO205">
        <v>339959299</v>
      </c>
      <c r="AP205">
        <v>3059726873</v>
      </c>
      <c r="AQ205">
        <v>3399686172</v>
      </c>
      <c r="AR205">
        <v>101990895</v>
      </c>
      <c r="AS205">
        <v>0</v>
      </c>
      <c r="AT205">
        <v>11331976</v>
      </c>
      <c r="AU205">
        <v>101990895</v>
      </c>
      <c r="AV205">
        <v>113322872</v>
      </c>
      <c r="AW205">
        <v>21.979199999999999</v>
      </c>
      <c r="AX205">
        <v>11.0008</v>
      </c>
      <c r="AY205">
        <v>3327.13</v>
      </c>
      <c r="AZ205">
        <v>2465.5300000000002</v>
      </c>
      <c r="BA205">
        <v>14042</v>
      </c>
      <c r="BB205">
        <v>1075</v>
      </c>
      <c r="BC205" t="str">
        <f t="shared" si="6"/>
        <v>u=10%, k=2x10^8</v>
      </c>
      <c r="BD205">
        <f t="shared" si="7"/>
        <v>0</v>
      </c>
    </row>
    <row r="206" spans="1:56">
      <c r="A206" t="s">
        <v>290</v>
      </c>
      <c r="B206" t="s">
        <v>64</v>
      </c>
      <c r="C206">
        <v>72</v>
      </c>
      <c r="D206" t="s">
        <v>65</v>
      </c>
      <c r="E206" t="s">
        <v>60</v>
      </c>
      <c r="F206" t="s">
        <v>61</v>
      </c>
      <c r="G206">
        <v>30000</v>
      </c>
      <c r="H206">
        <v>5</v>
      </c>
      <c r="I206">
        <v>5</v>
      </c>
      <c r="J206">
        <v>0</v>
      </c>
      <c r="K206">
        <v>1</v>
      </c>
      <c r="L206">
        <v>200000000</v>
      </c>
      <c r="M206">
        <v>190</v>
      </c>
      <c r="N206">
        <v>190</v>
      </c>
      <c r="O206">
        <v>190</v>
      </c>
      <c r="P206">
        <v>0</v>
      </c>
      <c r="Q206" t="s">
        <v>62</v>
      </c>
      <c r="R206">
        <v>9999194203323920</v>
      </c>
      <c r="S206">
        <v>99991558</v>
      </c>
      <c r="T206">
        <v>9999194203323920</v>
      </c>
      <c r="U206">
        <v>99991558</v>
      </c>
      <c r="V206" t="s">
        <v>75</v>
      </c>
      <c r="W206">
        <v>7</v>
      </c>
      <c r="X206">
        <v>14718658</v>
      </c>
      <c r="Y206">
        <v>117719729</v>
      </c>
      <c r="Z206">
        <v>132438387</v>
      </c>
      <c r="AA206">
        <v>99991558</v>
      </c>
      <c r="AB206">
        <v>8.9979899999999997</v>
      </c>
      <c r="AC206">
        <v>0.84940400000000005</v>
      </c>
      <c r="AD206">
        <v>1.7549999999999999</v>
      </c>
      <c r="AE206">
        <v>4.0773299999999999</v>
      </c>
      <c r="AM206">
        <v>3822205301</v>
      </c>
      <c r="AN206">
        <v>0</v>
      </c>
      <c r="AO206">
        <v>424691924</v>
      </c>
      <c r="AP206">
        <v>3822205301</v>
      </c>
      <c r="AQ206">
        <v>4246897225</v>
      </c>
      <c r="AR206">
        <v>127406843</v>
      </c>
      <c r="AS206">
        <v>0</v>
      </c>
      <c r="AT206">
        <v>14156397</v>
      </c>
      <c r="AU206">
        <v>127406843</v>
      </c>
      <c r="AV206">
        <v>141563240</v>
      </c>
      <c r="AW206">
        <v>22.249500000000001</v>
      </c>
      <c r="AX206">
        <v>11.283799999999999</v>
      </c>
      <c r="AY206">
        <v>3461.27</v>
      </c>
      <c r="AZ206">
        <v>2580.65</v>
      </c>
      <c r="BA206">
        <v>14282</v>
      </c>
      <c r="BB206">
        <v>1076</v>
      </c>
      <c r="BC206" t="str">
        <f t="shared" si="6"/>
        <v>u=10%, k=2x10^8</v>
      </c>
      <c r="BD206">
        <f t="shared" si="7"/>
        <v>0</v>
      </c>
    </row>
    <row r="207" spans="1:56">
      <c r="A207" t="s">
        <v>291</v>
      </c>
      <c r="B207" t="s">
        <v>66</v>
      </c>
      <c r="C207">
        <v>208</v>
      </c>
      <c r="D207" t="s">
        <v>65</v>
      </c>
      <c r="E207" t="s">
        <v>60</v>
      </c>
      <c r="F207" t="s">
        <v>61</v>
      </c>
      <c r="G207">
        <v>30000</v>
      </c>
      <c r="H207">
        <v>5</v>
      </c>
      <c r="I207">
        <v>5</v>
      </c>
      <c r="J207">
        <v>0</v>
      </c>
      <c r="K207">
        <v>1</v>
      </c>
      <c r="L207">
        <v>200000000</v>
      </c>
      <c r="M207">
        <v>24</v>
      </c>
      <c r="N207">
        <v>24</v>
      </c>
      <c r="O207">
        <v>24</v>
      </c>
      <c r="P207">
        <v>0</v>
      </c>
      <c r="Q207" t="s">
        <v>62</v>
      </c>
      <c r="R207">
        <v>9999547189724690</v>
      </c>
      <c r="S207">
        <v>99997871</v>
      </c>
      <c r="T207">
        <v>9999547189724690</v>
      </c>
      <c r="U207">
        <v>99997871</v>
      </c>
      <c r="V207" t="s">
        <v>75</v>
      </c>
      <c r="W207">
        <v>10</v>
      </c>
      <c r="X207">
        <v>2018400</v>
      </c>
      <c r="Y207">
        <v>13882109</v>
      </c>
      <c r="Z207">
        <v>15900509</v>
      </c>
      <c r="AA207">
        <v>99997871</v>
      </c>
      <c r="AB207">
        <v>7.8777799999999996</v>
      </c>
      <c r="AC207">
        <v>7.20336</v>
      </c>
      <c r="AD207">
        <v>7.2889699999999999</v>
      </c>
      <c r="AE207">
        <v>9</v>
      </c>
      <c r="AM207">
        <v>523227451</v>
      </c>
      <c r="AN207">
        <v>0</v>
      </c>
      <c r="AO207">
        <v>58129666</v>
      </c>
      <c r="AP207">
        <v>523227451</v>
      </c>
      <c r="AQ207">
        <v>581357117</v>
      </c>
      <c r="AR207">
        <v>17440915</v>
      </c>
      <c r="AS207">
        <v>0</v>
      </c>
      <c r="AT207">
        <v>1937655</v>
      </c>
      <c r="AU207">
        <v>17440915</v>
      </c>
      <c r="AV207">
        <v>19378570</v>
      </c>
      <c r="AW207">
        <v>24.388300000000001</v>
      </c>
      <c r="AX207">
        <v>10.0025</v>
      </c>
      <c r="AY207">
        <v>3452.83</v>
      </c>
      <c r="AZ207">
        <v>2352.34</v>
      </c>
      <c r="BA207">
        <v>4581</v>
      </c>
      <c r="BB207">
        <v>9581</v>
      </c>
      <c r="BC207" t="str">
        <f t="shared" si="6"/>
        <v>u=10%, k=2x10^8</v>
      </c>
      <c r="BD207">
        <f t="shared" si="7"/>
        <v>0</v>
      </c>
    </row>
    <row r="208" spans="1:56">
      <c r="A208" t="s">
        <v>292</v>
      </c>
      <c r="B208" t="s">
        <v>66</v>
      </c>
      <c r="C208">
        <v>208</v>
      </c>
      <c r="D208" t="s">
        <v>65</v>
      </c>
      <c r="E208" t="s">
        <v>60</v>
      </c>
      <c r="F208" t="s">
        <v>61</v>
      </c>
      <c r="G208">
        <v>30000</v>
      </c>
      <c r="H208">
        <v>5</v>
      </c>
      <c r="I208">
        <v>5</v>
      </c>
      <c r="J208">
        <v>0</v>
      </c>
      <c r="K208">
        <v>1</v>
      </c>
      <c r="L208">
        <v>200000000</v>
      </c>
      <c r="M208">
        <v>48</v>
      </c>
      <c r="N208">
        <v>48</v>
      </c>
      <c r="O208">
        <v>48</v>
      </c>
      <c r="P208">
        <v>0</v>
      </c>
      <c r="Q208" t="s">
        <v>62</v>
      </c>
      <c r="R208">
        <v>9999625809679830</v>
      </c>
      <c r="S208">
        <v>99996107</v>
      </c>
      <c r="T208">
        <v>9999625809679830</v>
      </c>
      <c r="U208">
        <v>99996107</v>
      </c>
      <c r="V208" t="s">
        <v>75</v>
      </c>
      <c r="W208">
        <v>10</v>
      </c>
      <c r="X208">
        <v>2102624</v>
      </c>
      <c r="Y208">
        <v>14465784</v>
      </c>
      <c r="Z208">
        <v>16568408</v>
      </c>
      <c r="AA208">
        <v>99996107</v>
      </c>
      <c r="AB208">
        <v>7.8798700000000004</v>
      </c>
      <c r="AC208">
        <v>6.9126000000000003</v>
      </c>
      <c r="AD208">
        <v>7.0353500000000002</v>
      </c>
      <c r="AE208">
        <v>9</v>
      </c>
      <c r="AM208">
        <v>976782563</v>
      </c>
      <c r="AN208">
        <v>0</v>
      </c>
      <c r="AO208">
        <v>108531855</v>
      </c>
      <c r="AP208">
        <v>976782563</v>
      </c>
      <c r="AQ208">
        <v>1085314418</v>
      </c>
      <c r="AR208">
        <v>32559418</v>
      </c>
      <c r="AS208">
        <v>0</v>
      </c>
      <c r="AT208">
        <v>3617728</v>
      </c>
      <c r="AU208">
        <v>32559418</v>
      </c>
      <c r="AV208">
        <v>36177147</v>
      </c>
      <c r="AW208">
        <v>24.4072</v>
      </c>
      <c r="AX208">
        <v>10.0047</v>
      </c>
      <c r="AY208">
        <v>3698.3</v>
      </c>
      <c r="AZ208">
        <v>2777.48</v>
      </c>
      <c r="BA208">
        <v>4812</v>
      </c>
      <c r="BB208">
        <v>6541</v>
      </c>
      <c r="BC208" t="str">
        <f t="shared" si="6"/>
        <v>u=10%, k=2x10^8</v>
      </c>
      <c r="BD208">
        <f t="shared" si="7"/>
        <v>0</v>
      </c>
    </row>
    <row r="209" spans="1:56">
      <c r="A209" t="s">
        <v>293</v>
      </c>
      <c r="B209" t="s">
        <v>66</v>
      </c>
      <c r="C209">
        <v>208</v>
      </c>
      <c r="D209" t="s">
        <v>65</v>
      </c>
      <c r="E209" t="s">
        <v>60</v>
      </c>
      <c r="F209" t="s">
        <v>61</v>
      </c>
      <c r="G209">
        <v>30000</v>
      </c>
      <c r="H209">
        <v>5</v>
      </c>
      <c r="I209">
        <v>5</v>
      </c>
      <c r="J209">
        <v>0</v>
      </c>
      <c r="K209">
        <v>1</v>
      </c>
      <c r="L209">
        <v>200000000</v>
      </c>
      <c r="M209">
        <v>96</v>
      </c>
      <c r="N209">
        <v>96</v>
      </c>
      <c r="O209">
        <v>96</v>
      </c>
      <c r="P209">
        <v>0</v>
      </c>
      <c r="Q209" t="s">
        <v>62</v>
      </c>
      <c r="R209">
        <v>9998624961851740</v>
      </c>
      <c r="S209">
        <v>99995601</v>
      </c>
      <c r="T209">
        <v>9998624961851740</v>
      </c>
      <c r="U209">
        <v>99995601</v>
      </c>
      <c r="V209" t="s">
        <v>75</v>
      </c>
      <c r="W209">
        <v>10</v>
      </c>
      <c r="X209">
        <v>2240463</v>
      </c>
      <c r="Y209">
        <v>15409828</v>
      </c>
      <c r="Z209">
        <v>17650291</v>
      </c>
      <c r="AA209">
        <v>99995601</v>
      </c>
      <c r="AB209">
        <v>7.8779700000000004</v>
      </c>
      <c r="AC209">
        <v>6.4890800000000004</v>
      </c>
      <c r="AD209">
        <v>6.6653799999999999</v>
      </c>
      <c r="AE209">
        <v>9</v>
      </c>
      <c r="AM209">
        <v>2029081173</v>
      </c>
      <c r="AN209">
        <v>0</v>
      </c>
      <c r="AO209">
        <v>225439319</v>
      </c>
      <c r="AP209">
        <v>2029081173</v>
      </c>
      <c r="AQ209">
        <v>2254520492</v>
      </c>
      <c r="AR209">
        <v>67636039</v>
      </c>
      <c r="AS209">
        <v>0</v>
      </c>
      <c r="AT209">
        <v>7514643</v>
      </c>
      <c r="AU209">
        <v>67636039</v>
      </c>
      <c r="AV209">
        <v>75150683</v>
      </c>
      <c r="AW209">
        <v>24.515499999999999</v>
      </c>
      <c r="AX209">
        <v>10.454499999999999</v>
      </c>
      <c r="AY209">
        <v>3556.56</v>
      </c>
      <c r="AZ209">
        <v>2600.25</v>
      </c>
      <c r="BA209">
        <v>5318</v>
      </c>
      <c r="BB209">
        <v>6303</v>
      </c>
      <c r="BC209" t="str">
        <f t="shared" si="6"/>
        <v>u=10%, k=2x10^8</v>
      </c>
      <c r="BD209">
        <f t="shared" si="7"/>
        <v>0</v>
      </c>
    </row>
    <row r="210" spans="1:56">
      <c r="A210" t="s">
        <v>294</v>
      </c>
      <c r="B210" t="s">
        <v>66</v>
      </c>
      <c r="C210">
        <v>208</v>
      </c>
      <c r="D210" t="s">
        <v>65</v>
      </c>
      <c r="E210" t="s">
        <v>60</v>
      </c>
      <c r="F210" t="s">
        <v>61</v>
      </c>
      <c r="G210">
        <v>30000</v>
      </c>
      <c r="H210">
        <v>5</v>
      </c>
      <c r="I210">
        <v>5</v>
      </c>
      <c r="J210">
        <v>0</v>
      </c>
      <c r="K210">
        <v>1</v>
      </c>
      <c r="L210">
        <v>200000000</v>
      </c>
      <c r="M210">
        <v>144</v>
      </c>
      <c r="N210">
        <v>144</v>
      </c>
      <c r="O210">
        <v>144</v>
      </c>
      <c r="P210">
        <v>0</v>
      </c>
      <c r="Q210" t="s">
        <v>62</v>
      </c>
      <c r="R210">
        <v>1.00010501217156E+16</v>
      </c>
      <c r="S210">
        <v>100009784</v>
      </c>
      <c r="T210">
        <v>1.00010501217156E+16</v>
      </c>
      <c r="U210">
        <v>100009784</v>
      </c>
      <c r="V210" t="s">
        <v>75</v>
      </c>
      <c r="W210">
        <v>10</v>
      </c>
      <c r="X210">
        <v>2329991</v>
      </c>
      <c r="Y210">
        <v>16021282</v>
      </c>
      <c r="Z210">
        <v>18351273</v>
      </c>
      <c r="AA210">
        <v>100009784</v>
      </c>
      <c r="AB210">
        <v>7.8761099999999997</v>
      </c>
      <c r="AC210">
        <v>6.2423099999999998</v>
      </c>
      <c r="AD210">
        <v>6.4497499999999999</v>
      </c>
      <c r="AE210">
        <v>9</v>
      </c>
      <c r="AM210">
        <v>2991316957</v>
      </c>
      <c r="AN210">
        <v>0</v>
      </c>
      <c r="AO210">
        <v>332367343</v>
      </c>
      <c r="AP210">
        <v>2991316957</v>
      </c>
      <c r="AQ210">
        <v>3323684300</v>
      </c>
      <c r="AR210">
        <v>99710565</v>
      </c>
      <c r="AS210">
        <v>0</v>
      </c>
      <c r="AT210">
        <v>11078911</v>
      </c>
      <c r="AU210">
        <v>99710565</v>
      </c>
      <c r="AV210">
        <v>110789476</v>
      </c>
      <c r="AW210">
        <v>24.724499999999999</v>
      </c>
      <c r="AX210">
        <v>10.768599999999999</v>
      </c>
      <c r="AY210">
        <v>3610.61</v>
      </c>
      <c r="AZ210">
        <v>2635.39</v>
      </c>
      <c r="BA210">
        <v>5539</v>
      </c>
      <c r="BB210">
        <v>6018</v>
      </c>
      <c r="BC210" t="str">
        <f t="shared" si="6"/>
        <v>u=10%, k=2x10^8</v>
      </c>
      <c r="BD210">
        <f t="shared" si="7"/>
        <v>0</v>
      </c>
    </row>
    <row r="211" spans="1:56">
      <c r="A211" t="s">
        <v>295</v>
      </c>
      <c r="B211" t="s">
        <v>66</v>
      </c>
      <c r="C211">
        <v>208</v>
      </c>
      <c r="D211" t="s">
        <v>65</v>
      </c>
      <c r="E211" t="s">
        <v>60</v>
      </c>
      <c r="F211" t="s">
        <v>61</v>
      </c>
      <c r="G211">
        <v>30000</v>
      </c>
      <c r="H211">
        <v>5</v>
      </c>
      <c r="I211">
        <v>5</v>
      </c>
      <c r="J211">
        <v>0</v>
      </c>
      <c r="K211">
        <v>1</v>
      </c>
      <c r="L211">
        <v>200000000</v>
      </c>
      <c r="M211">
        <v>190</v>
      </c>
      <c r="N211">
        <v>190</v>
      </c>
      <c r="O211">
        <v>190</v>
      </c>
      <c r="P211">
        <v>0</v>
      </c>
      <c r="Q211" t="s">
        <v>62</v>
      </c>
      <c r="R211">
        <v>1.00011837329173E+16</v>
      </c>
      <c r="S211">
        <v>100008094</v>
      </c>
      <c r="T211">
        <v>1.00011837329173E+16</v>
      </c>
      <c r="U211">
        <v>100008094</v>
      </c>
      <c r="V211" t="s">
        <v>75</v>
      </c>
      <c r="W211">
        <v>10</v>
      </c>
      <c r="X211">
        <v>2396026</v>
      </c>
      <c r="Y211">
        <v>16463846</v>
      </c>
      <c r="Z211">
        <v>18859872</v>
      </c>
      <c r="AA211">
        <v>100008094</v>
      </c>
      <c r="AB211">
        <v>7.8713100000000003</v>
      </c>
      <c r="AC211">
        <v>6.0744100000000003</v>
      </c>
      <c r="AD211">
        <v>6.3026900000000001</v>
      </c>
      <c r="AE211">
        <v>9</v>
      </c>
      <c r="AM211">
        <v>3873408122</v>
      </c>
      <c r="AN211">
        <v>0</v>
      </c>
      <c r="AO211">
        <v>430403768</v>
      </c>
      <c r="AP211">
        <v>3873408122</v>
      </c>
      <c r="AQ211">
        <v>4303811890</v>
      </c>
      <c r="AR211">
        <v>129113604</v>
      </c>
      <c r="AS211">
        <v>0</v>
      </c>
      <c r="AT211">
        <v>14346792</v>
      </c>
      <c r="AU211">
        <v>129113604</v>
      </c>
      <c r="AV211">
        <v>143460396</v>
      </c>
      <c r="AW211">
        <v>24.952400000000001</v>
      </c>
      <c r="AX211">
        <v>11.1289</v>
      </c>
      <c r="AY211">
        <v>3681.49</v>
      </c>
      <c r="AZ211">
        <v>2692.55</v>
      </c>
      <c r="BA211">
        <v>6330</v>
      </c>
      <c r="BB211">
        <v>6077</v>
      </c>
      <c r="BC211" t="str">
        <f t="shared" si="6"/>
        <v>u=10%, k=2x10^8</v>
      </c>
      <c r="BD211">
        <f t="shared" si="7"/>
        <v>0</v>
      </c>
    </row>
    <row r="212" spans="1:56">
      <c r="A212" t="s">
        <v>296</v>
      </c>
      <c r="B212" t="s">
        <v>67</v>
      </c>
      <c r="D212" t="s">
        <v>65</v>
      </c>
      <c r="E212" t="s">
        <v>60</v>
      </c>
      <c r="F212" t="s">
        <v>61</v>
      </c>
      <c r="G212">
        <v>30000</v>
      </c>
      <c r="H212">
        <v>5</v>
      </c>
      <c r="I212">
        <v>5</v>
      </c>
      <c r="J212">
        <v>0</v>
      </c>
      <c r="K212">
        <v>1</v>
      </c>
      <c r="L212">
        <v>200000000</v>
      </c>
      <c r="M212">
        <v>24</v>
      </c>
      <c r="N212">
        <v>24</v>
      </c>
      <c r="O212">
        <v>24</v>
      </c>
      <c r="P212">
        <v>0</v>
      </c>
      <c r="Q212" t="s">
        <v>62</v>
      </c>
      <c r="R212">
        <v>1.00005890413902E+16</v>
      </c>
      <c r="S212">
        <v>100002731</v>
      </c>
      <c r="T212">
        <v>1.00005890413902E+16</v>
      </c>
      <c r="U212">
        <v>100002731</v>
      </c>
      <c r="V212" t="s">
        <v>75</v>
      </c>
      <c r="W212">
        <v>33</v>
      </c>
      <c r="X212">
        <v>58522107</v>
      </c>
      <c r="Y212">
        <v>44001314</v>
      </c>
      <c r="Z212">
        <v>102523421</v>
      </c>
      <c r="AA212">
        <v>100002731</v>
      </c>
      <c r="AB212">
        <v>1.7518800000000001</v>
      </c>
      <c r="AC212">
        <v>2.2727200000000001</v>
      </c>
      <c r="AD212">
        <v>1.9754100000000001</v>
      </c>
      <c r="AE212">
        <v>26.134499999999999</v>
      </c>
      <c r="AM212">
        <v>227425000</v>
      </c>
      <c r="AN212">
        <v>0</v>
      </c>
      <c r="AO212">
        <v>25260911</v>
      </c>
      <c r="AP212">
        <v>227425000</v>
      </c>
      <c r="AQ212">
        <v>252685911</v>
      </c>
      <c r="AR212">
        <v>7580833</v>
      </c>
      <c r="AS212">
        <v>0</v>
      </c>
      <c r="AT212">
        <v>842030</v>
      </c>
      <c r="AU212">
        <v>7580833</v>
      </c>
      <c r="AV212">
        <v>8422863</v>
      </c>
      <c r="AW212">
        <v>40.279200000000003</v>
      </c>
      <c r="AX212">
        <v>17.917300000000001</v>
      </c>
      <c r="AY212">
        <v>7946.99</v>
      </c>
      <c r="AZ212">
        <v>6563.25</v>
      </c>
      <c r="BA212">
        <v>7690</v>
      </c>
      <c r="BB212">
        <v>17180</v>
      </c>
      <c r="BC212" t="str">
        <f t="shared" si="6"/>
        <v>u=10%, k=2x10^8</v>
      </c>
      <c r="BD212">
        <f t="shared" si="7"/>
        <v>0</v>
      </c>
    </row>
    <row r="213" spans="1:56">
      <c r="A213" t="s">
        <v>297</v>
      </c>
      <c r="B213" t="s">
        <v>67</v>
      </c>
      <c r="D213" t="s">
        <v>65</v>
      </c>
      <c r="E213" t="s">
        <v>60</v>
      </c>
      <c r="F213" t="s">
        <v>61</v>
      </c>
      <c r="G213">
        <v>30000</v>
      </c>
      <c r="H213">
        <v>5</v>
      </c>
      <c r="I213">
        <v>5</v>
      </c>
      <c r="J213">
        <v>0</v>
      </c>
      <c r="K213">
        <v>1</v>
      </c>
      <c r="L213">
        <v>200000000</v>
      </c>
      <c r="M213">
        <v>48</v>
      </c>
      <c r="N213">
        <v>48</v>
      </c>
      <c r="O213">
        <v>48</v>
      </c>
      <c r="P213">
        <v>0</v>
      </c>
      <c r="Q213" t="s">
        <v>62</v>
      </c>
      <c r="R213">
        <v>1.00003413435961E+16</v>
      </c>
      <c r="S213">
        <v>100004523</v>
      </c>
      <c r="T213">
        <v>1.00003413435961E+16</v>
      </c>
      <c r="U213">
        <v>100004523</v>
      </c>
      <c r="V213" t="s">
        <v>75</v>
      </c>
      <c r="W213">
        <v>33</v>
      </c>
      <c r="X213">
        <v>59622578</v>
      </c>
      <c r="Y213">
        <v>44900992</v>
      </c>
      <c r="Z213">
        <v>104523570</v>
      </c>
      <c r="AA213">
        <v>100004523</v>
      </c>
      <c r="AB213">
        <v>1.75309</v>
      </c>
      <c r="AC213">
        <v>2.22722</v>
      </c>
      <c r="AD213">
        <v>1.9567699999999999</v>
      </c>
      <c r="AE213">
        <v>26.2454</v>
      </c>
      <c r="AM213">
        <v>433185534</v>
      </c>
      <c r="AN213">
        <v>0</v>
      </c>
      <c r="AO213">
        <v>48127393</v>
      </c>
      <c r="AP213">
        <v>433185534</v>
      </c>
      <c r="AQ213">
        <v>481312927</v>
      </c>
      <c r="AR213">
        <v>14439517</v>
      </c>
      <c r="AS213">
        <v>0</v>
      </c>
      <c r="AT213">
        <v>1604246</v>
      </c>
      <c r="AU213">
        <v>14439517</v>
      </c>
      <c r="AV213">
        <v>16043764</v>
      </c>
      <c r="AW213">
        <v>41.029800000000002</v>
      </c>
      <c r="AX213">
        <v>17.9876</v>
      </c>
      <c r="AY213">
        <v>8342.24</v>
      </c>
      <c r="AZ213">
        <v>6971.14</v>
      </c>
      <c r="BA213">
        <v>7827</v>
      </c>
      <c r="BB213">
        <v>9255</v>
      </c>
      <c r="BC213" t="str">
        <f t="shared" si="6"/>
        <v>u=10%, k=2x10^8</v>
      </c>
      <c r="BD213">
        <f t="shared" si="7"/>
        <v>0</v>
      </c>
    </row>
    <row r="214" spans="1:56">
      <c r="A214" t="s">
        <v>298</v>
      </c>
      <c r="B214" t="s">
        <v>67</v>
      </c>
      <c r="D214" t="s">
        <v>65</v>
      </c>
      <c r="E214" t="s">
        <v>60</v>
      </c>
      <c r="F214" t="s">
        <v>61</v>
      </c>
      <c r="G214">
        <v>30000</v>
      </c>
      <c r="H214">
        <v>5</v>
      </c>
      <c r="I214">
        <v>5</v>
      </c>
      <c r="J214">
        <v>0</v>
      </c>
      <c r="K214">
        <v>1</v>
      </c>
      <c r="L214">
        <v>200000000</v>
      </c>
      <c r="M214">
        <v>96</v>
      </c>
      <c r="N214">
        <v>96</v>
      </c>
      <c r="O214">
        <v>96</v>
      </c>
      <c r="P214">
        <v>0</v>
      </c>
      <c r="Q214" t="s">
        <v>62</v>
      </c>
      <c r="R214">
        <v>9998862736547940</v>
      </c>
      <c r="S214">
        <v>99998773</v>
      </c>
      <c r="T214">
        <v>9998862736547940</v>
      </c>
      <c r="U214">
        <v>99998773</v>
      </c>
      <c r="V214" t="s">
        <v>75</v>
      </c>
      <c r="W214">
        <v>33</v>
      </c>
      <c r="X214">
        <v>61799692</v>
      </c>
      <c r="Y214">
        <v>46651572</v>
      </c>
      <c r="Z214">
        <v>108451264</v>
      </c>
      <c r="AA214">
        <v>99998773</v>
      </c>
      <c r="AB214">
        <v>1.75488</v>
      </c>
      <c r="AC214">
        <v>2.1435200000000001</v>
      </c>
      <c r="AD214">
        <v>1.9220600000000001</v>
      </c>
      <c r="AE214">
        <v>26.285799999999998</v>
      </c>
      <c r="AM214">
        <v>924263978</v>
      </c>
      <c r="AN214">
        <v>0</v>
      </c>
      <c r="AO214">
        <v>102699987</v>
      </c>
      <c r="AP214">
        <v>924263978</v>
      </c>
      <c r="AQ214">
        <v>1026963965</v>
      </c>
      <c r="AR214">
        <v>30808799</v>
      </c>
      <c r="AS214">
        <v>0</v>
      </c>
      <c r="AT214">
        <v>3423332</v>
      </c>
      <c r="AU214">
        <v>30808799</v>
      </c>
      <c r="AV214">
        <v>34232132</v>
      </c>
      <c r="AW214">
        <v>41.249200000000002</v>
      </c>
      <c r="AX214">
        <v>19.690799999999999</v>
      </c>
      <c r="AY214">
        <v>7810.95</v>
      </c>
      <c r="AZ214">
        <v>6384.77</v>
      </c>
      <c r="BA214">
        <v>8094</v>
      </c>
      <c r="BB214">
        <v>4726</v>
      </c>
      <c r="BC214" t="str">
        <f t="shared" si="6"/>
        <v>u=10%, k=2x10^8</v>
      </c>
      <c r="BD214">
        <f t="shared" si="7"/>
        <v>0</v>
      </c>
    </row>
    <row r="215" spans="1:56">
      <c r="A215" t="s">
        <v>299</v>
      </c>
      <c r="B215" t="s">
        <v>67</v>
      </c>
      <c r="D215" t="s">
        <v>65</v>
      </c>
      <c r="E215" t="s">
        <v>60</v>
      </c>
      <c r="F215" t="s">
        <v>61</v>
      </c>
      <c r="G215">
        <v>30000</v>
      </c>
      <c r="H215">
        <v>5</v>
      </c>
      <c r="I215">
        <v>5</v>
      </c>
      <c r="J215">
        <v>0</v>
      </c>
      <c r="K215">
        <v>1</v>
      </c>
      <c r="L215">
        <v>200000000</v>
      </c>
      <c r="M215">
        <v>144</v>
      </c>
      <c r="N215">
        <v>144</v>
      </c>
      <c r="O215">
        <v>144</v>
      </c>
      <c r="P215">
        <v>0</v>
      </c>
      <c r="Q215" t="s">
        <v>62</v>
      </c>
      <c r="R215">
        <v>1.00004052268041E+16</v>
      </c>
      <c r="S215">
        <v>100000444</v>
      </c>
      <c r="T215">
        <v>1.00004052268041E+16</v>
      </c>
      <c r="U215">
        <v>100000444</v>
      </c>
      <c r="V215" t="s">
        <v>75</v>
      </c>
      <c r="W215">
        <v>33</v>
      </c>
      <c r="X215">
        <v>63365861</v>
      </c>
      <c r="Y215">
        <v>47887913</v>
      </c>
      <c r="Z215">
        <v>111253774</v>
      </c>
      <c r="AA215">
        <v>100000444</v>
      </c>
      <c r="AB215">
        <v>1.7557400000000001</v>
      </c>
      <c r="AC215">
        <v>2.0882200000000002</v>
      </c>
      <c r="AD215">
        <v>1.8988499999999999</v>
      </c>
      <c r="AE215">
        <v>26.370999999999999</v>
      </c>
      <c r="AM215">
        <v>1388594220</v>
      </c>
      <c r="AN215">
        <v>0</v>
      </c>
      <c r="AO215">
        <v>154278161</v>
      </c>
      <c r="AP215">
        <v>1388594220</v>
      </c>
      <c r="AQ215">
        <v>1542872381</v>
      </c>
      <c r="AR215">
        <v>46286474</v>
      </c>
      <c r="AS215">
        <v>0</v>
      </c>
      <c r="AT215">
        <v>5142605</v>
      </c>
      <c r="AU215">
        <v>46286474</v>
      </c>
      <c r="AV215">
        <v>51429079</v>
      </c>
      <c r="AW215">
        <v>41.706000000000003</v>
      </c>
      <c r="AX215">
        <v>20.043099999999999</v>
      </c>
      <c r="AY215">
        <v>7796.1</v>
      </c>
      <c r="AZ215">
        <v>6348.54</v>
      </c>
      <c r="BA215">
        <v>8289</v>
      </c>
      <c r="BB215">
        <v>3113</v>
      </c>
      <c r="BC215" t="str">
        <f t="shared" si="6"/>
        <v>u=10%, k=2x10^8</v>
      </c>
      <c r="BD215">
        <f t="shared" si="7"/>
        <v>0</v>
      </c>
    </row>
    <row r="216" spans="1:56">
      <c r="A216" t="s">
        <v>300</v>
      </c>
      <c r="B216" t="s">
        <v>67</v>
      </c>
      <c r="D216" t="s">
        <v>65</v>
      </c>
      <c r="E216" t="s">
        <v>60</v>
      </c>
      <c r="F216" t="s">
        <v>61</v>
      </c>
      <c r="G216">
        <v>30000</v>
      </c>
      <c r="H216">
        <v>5</v>
      </c>
      <c r="I216">
        <v>5</v>
      </c>
      <c r="J216">
        <v>0</v>
      </c>
      <c r="K216">
        <v>1</v>
      </c>
      <c r="L216">
        <v>200000000</v>
      </c>
      <c r="M216">
        <v>190</v>
      </c>
      <c r="N216">
        <v>190</v>
      </c>
      <c r="O216">
        <v>190</v>
      </c>
      <c r="P216">
        <v>0</v>
      </c>
      <c r="Q216" t="s">
        <v>62</v>
      </c>
      <c r="R216">
        <v>9999769689870560</v>
      </c>
      <c r="S216">
        <v>100003622</v>
      </c>
      <c r="T216">
        <v>9999769689870560</v>
      </c>
      <c r="U216">
        <v>100003622</v>
      </c>
      <c r="V216" t="s">
        <v>75</v>
      </c>
      <c r="W216">
        <v>33</v>
      </c>
      <c r="X216">
        <v>64535650</v>
      </c>
      <c r="Y216">
        <v>48814614</v>
      </c>
      <c r="Z216">
        <v>113350264</v>
      </c>
      <c r="AA216">
        <v>100003622</v>
      </c>
      <c r="AB216">
        <v>1.7564</v>
      </c>
      <c r="AC216">
        <v>2.0486399999999998</v>
      </c>
      <c r="AD216">
        <v>1.88225</v>
      </c>
      <c r="AE216">
        <v>26.443899999999999</v>
      </c>
      <c r="AM216">
        <v>1838045840</v>
      </c>
      <c r="AN216">
        <v>0</v>
      </c>
      <c r="AO216">
        <v>204228738</v>
      </c>
      <c r="AP216">
        <v>1838045840</v>
      </c>
      <c r="AQ216">
        <v>2042274578</v>
      </c>
      <c r="AR216">
        <v>61268194</v>
      </c>
      <c r="AS216">
        <v>0</v>
      </c>
      <c r="AT216">
        <v>6807624</v>
      </c>
      <c r="AU216">
        <v>61268194</v>
      </c>
      <c r="AV216">
        <v>68075819</v>
      </c>
      <c r="AW216">
        <v>41.771299999999997</v>
      </c>
      <c r="AX216">
        <v>20.268599999999999</v>
      </c>
      <c r="AY216">
        <v>7769.81</v>
      </c>
      <c r="AZ216">
        <v>6315.27</v>
      </c>
      <c r="BA216">
        <v>8440</v>
      </c>
      <c r="BB216">
        <v>2779</v>
      </c>
      <c r="BC216" t="str">
        <f t="shared" si="6"/>
        <v>u=10%, k=2x10^8</v>
      </c>
      <c r="BD216">
        <f t="shared" si="7"/>
        <v>0</v>
      </c>
    </row>
    <row r="217" spans="1:56">
      <c r="A217" t="s">
        <v>301</v>
      </c>
      <c r="B217" t="s">
        <v>68</v>
      </c>
      <c r="D217" t="s">
        <v>65</v>
      </c>
      <c r="E217" t="s">
        <v>60</v>
      </c>
      <c r="F217" t="s">
        <v>61</v>
      </c>
      <c r="G217">
        <v>30000</v>
      </c>
      <c r="H217">
        <v>5</v>
      </c>
      <c r="I217">
        <v>5</v>
      </c>
      <c r="J217">
        <v>0</v>
      </c>
      <c r="K217">
        <v>1</v>
      </c>
      <c r="L217">
        <v>200000000</v>
      </c>
      <c r="M217">
        <v>24</v>
      </c>
      <c r="N217">
        <v>24</v>
      </c>
      <c r="O217">
        <v>24</v>
      </c>
      <c r="P217">
        <v>0</v>
      </c>
      <c r="Q217" t="s">
        <v>62</v>
      </c>
      <c r="R217">
        <v>9999498616020350</v>
      </c>
      <c r="S217">
        <v>100001984</v>
      </c>
      <c r="T217">
        <v>9999498616020350</v>
      </c>
      <c r="U217">
        <v>100001984</v>
      </c>
      <c r="V217" t="s">
        <v>75</v>
      </c>
      <c r="W217">
        <v>69</v>
      </c>
      <c r="X217">
        <v>100001983</v>
      </c>
      <c r="Y217">
        <v>100001984</v>
      </c>
      <c r="Z217">
        <v>200003967</v>
      </c>
      <c r="AA217">
        <v>100001984</v>
      </c>
      <c r="AB217">
        <v>2</v>
      </c>
      <c r="AC217">
        <v>1</v>
      </c>
      <c r="AD217">
        <v>1.5</v>
      </c>
      <c r="AE217">
        <v>35.2211</v>
      </c>
      <c r="AM217">
        <v>182899310</v>
      </c>
      <c r="AN217">
        <v>0</v>
      </c>
      <c r="AO217">
        <v>20332507</v>
      </c>
      <c r="AP217">
        <v>182899310</v>
      </c>
      <c r="AQ217">
        <v>203231817</v>
      </c>
      <c r="AR217">
        <v>6096643</v>
      </c>
      <c r="AS217">
        <v>0</v>
      </c>
      <c r="AT217">
        <v>677750</v>
      </c>
      <c r="AU217">
        <v>6096643</v>
      </c>
      <c r="AV217">
        <v>6774393</v>
      </c>
      <c r="AW217">
        <v>37.948500000000003</v>
      </c>
      <c r="AX217">
        <v>17.154399999999999</v>
      </c>
      <c r="AY217">
        <v>9883.1</v>
      </c>
      <c r="AZ217">
        <v>8167.12</v>
      </c>
      <c r="BA217">
        <v>7531</v>
      </c>
      <c r="BB217">
        <v>18934</v>
      </c>
      <c r="BC217" t="str">
        <f t="shared" si="6"/>
        <v>u=10%, k=2x10^8</v>
      </c>
      <c r="BD217">
        <f t="shared" si="7"/>
        <v>0</v>
      </c>
    </row>
    <row r="218" spans="1:56">
      <c r="A218" t="s">
        <v>302</v>
      </c>
      <c r="B218" t="s">
        <v>68</v>
      </c>
      <c r="D218" t="s">
        <v>65</v>
      </c>
      <c r="E218" t="s">
        <v>60</v>
      </c>
      <c r="F218" t="s">
        <v>61</v>
      </c>
      <c r="G218">
        <v>30000</v>
      </c>
      <c r="H218">
        <v>5</v>
      </c>
      <c r="I218">
        <v>5</v>
      </c>
      <c r="J218">
        <v>0</v>
      </c>
      <c r="K218">
        <v>1</v>
      </c>
      <c r="L218">
        <v>200000000</v>
      </c>
      <c r="M218">
        <v>48</v>
      </c>
      <c r="N218">
        <v>48</v>
      </c>
      <c r="O218">
        <v>48</v>
      </c>
      <c r="P218">
        <v>0</v>
      </c>
      <c r="Q218" t="s">
        <v>62</v>
      </c>
      <c r="R218">
        <v>9999702962575040</v>
      </c>
      <c r="S218">
        <v>100002482</v>
      </c>
      <c r="T218">
        <v>9999702962575040</v>
      </c>
      <c r="U218">
        <v>100002482</v>
      </c>
      <c r="V218" t="s">
        <v>75</v>
      </c>
      <c r="W218">
        <v>71</v>
      </c>
      <c r="X218">
        <v>100002481</v>
      </c>
      <c r="Y218">
        <v>100002482</v>
      </c>
      <c r="Z218">
        <v>200004963</v>
      </c>
      <c r="AA218">
        <v>100002482</v>
      </c>
      <c r="AB218">
        <v>2</v>
      </c>
      <c r="AC218">
        <v>1</v>
      </c>
      <c r="AD218">
        <v>1.5</v>
      </c>
      <c r="AE218">
        <v>36.474600000000002</v>
      </c>
      <c r="AM218">
        <v>355080116</v>
      </c>
      <c r="AN218">
        <v>0</v>
      </c>
      <c r="AO218">
        <v>39448698</v>
      </c>
      <c r="AP218">
        <v>355080116</v>
      </c>
      <c r="AQ218">
        <v>394528814</v>
      </c>
      <c r="AR218">
        <v>11836003</v>
      </c>
      <c r="AS218">
        <v>0</v>
      </c>
      <c r="AT218">
        <v>1314956</v>
      </c>
      <c r="AU218">
        <v>11836003</v>
      </c>
      <c r="AV218">
        <v>13150960</v>
      </c>
      <c r="AW218">
        <v>37.754899999999999</v>
      </c>
      <c r="AX218">
        <v>17.104299999999999</v>
      </c>
      <c r="AY218">
        <v>10181</v>
      </c>
      <c r="AZ218">
        <v>9049.43</v>
      </c>
      <c r="BA218">
        <v>7543</v>
      </c>
      <c r="BB218">
        <v>9981</v>
      </c>
      <c r="BC218" t="str">
        <f t="shared" si="6"/>
        <v>u=10%, k=2x10^8</v>
      </c>
      <c r="BD218">
        <f t="shared" si="7"/>
        <v>0</v>
      </c>
    </row>
    <row r="219" spans="1:56">
      <c r="A219" t="s">
        <v>303</v>
      </c>
      <c r="B219" t="s">
        <v>68</v>
      </c>
      <c r="D219" t="s">
        <v>65</v>
      </c>
      <c r="E219" t="s">
        <v>60</v>
      </c>
      <c r="F219" t="s">
        <v>61</v>
      </c>
      <c r="G219">
        <v>30000</v>
      </c>
      <c r="H219">
        <v>5</v>
      </c>
      <c r="I219">
        <v>5</v>
      </c>
      <c r="J219">
        <v>0</v>
      </c>
      <c r="K219">
        <v>1</v>
      </c>
      <c r="L219">
        <v>200000000</v>
      </c>
      <c r="M219">
        <v>96</v>
      </c>
      <c r="N219">
        <v>96</v>
      </c>
      <c r="O219">
        <v>96</v>
      </c>
      <c r="P219">
        <v>0</v>
      </c>
      <c r="Q219" t="s">
        <v>62</v>
      </c>
      <c r="R219">
        <v>9999984322900100</v>
      </c>
      <c r="S219">
        <v>99999159</v>
      </c>
      <c r="T219">
        <v>9999984322900100</v>
      </c>
      <c r="U219">
        <v>99999159</v>
      </c>
      <c r="V219" t="s">
        <v>75</v>
      </c>
      <c r="W219">
        <v>70</v>
      </c>
      <c r="X219">
        <v>99999158</v>
      </c>
      <c r="Y219">
        <v>99999159</v>
      </c>
      <c r="Z219">
        <v>199998317</v>
      </c>
      <c r="AA219">
        <v>99999159</v>
      </c>
      <c r="AB219">
        <v>2</v>
      </c>
      <c r="AC219">
        <v>1</v>
      </c>
      <c r="AD219">
        <v>1.5</v>
      </c>
      <c r="AE219">
        <v>35.497700000000002</v>
      </c>
      <c r="AM219">
        <v>773492999</v>
      </c>
      <c r="AN219">
        <v>0</v>
      </c>
      <c r="AO219">
        <v>85945016</v>
      </c>
      <c r="AP219">
        <v>773492999</v>
      </c>
      <c r="AQ219">
        <v>859438015</v>
      </c>
      <c r="AR219">
        <v>25783099</v>
      </c>
      <c r="AS219">
        <v>0</v>
      </c>
      <c r="AT219">
        <v>2864833</v>
      </c>
      <c r="AU219">
        <v>25783099</v>
      </c>
      <c r="AV219">
        <v>28647933</v>
      </c>
      <c r="AW219">
        <v>38.588900000000002</v>
      </c>
      <c r="AX219">
        <v>19.009399999999999</v>
      </c>
      <c r="AY219">
        <v>9336.7999999999993</v>
      </c>
      <c r="AZ219">
        <v>8151.69</v>
      </c>
      <c r="BA219">
        <v>7572</v>
      </c>
      <c r="BB219">
        <v>4800</v>
      </c>
      <c r="BC219" t="str">
        <f t="shared" si="6"/>
        <v>u=10%, k=2x10^8</v>
      </c>
      <c r="BD219">
        <f t="shared" si="7"/>
        <v>0</v>
      </c>
    </row>
    <row r="220" spans="1:56">
      <c r="A220" t="s">
        <v>304</v>
      </c>
      <c r="B220" t="s">
        <v>68</v>
      </c>
      <c r="D220" t="s">
        <v>65</v>
      </c>
      <c r="E220" t="s">
        <v>60</v>
      </c>
      <c r="F220" t="s">
        <v>61</v>
      </c>
      <c r="G220">
        <v>30000</v>
      </c>
      <c r="H220">
        <v>5</v>
      </c>
      <c r="I220">
        <v>5</v>
      </c>
      <c r="J220">
        <v>0</v>
      </c>
      <c r="K220">
        <v>1</v>
      </c>
      <c r="L220">
        <v>200000000</v>
      </c>
      <c r="M220">
        <v>144</v>
      </c>
      <c r="N220">
        <v>144</v>
      </c>
      <c r="O220">
        <v>144</v>
      </c>
      <c r="P220">
        <v>0</v>
      </c>
      <c r="Q220" t="s">
        <v>62</v>
      </c>
      <c r="R220">
        <v>1.00006049304734E+16</v>
      </c>
      <c r="S220">
        <v>100001946</v>
      </c>
      <c r="T220">
        <v>1.00006049304734E+16</v>
      </c>
      <c r="U220">
        <v>100001946</v>
      </c>
      <c r="V220" t="s">
        <v>75</v>
      </c>
      <c r="W220">
        <v>71</v>
      </c>
      <c r="X220">
        <v>100001945</v>
      </c>
      <c r="Y220">
        <v>100001946</v>
      </c>
      <c r="Z220">
        <v>200003891</v>
      </c>
      <c r="AA220">
        <v>100001946</v>
      </c>
      <c r="AB220">
        <v>2</v>
      </c>
      <c r="AC220">
        <v>1</v>
      </c>
      <c r="AD220">
        <v>1.5</v>
      </c>
      <c r="AE220">
        <v>35.7714</v>
      </c>
      <c r="AM220">
        <v>1177955768</v>
      </c>
      <c r="AN220">
        <v>0</v>
      </c>
      <c r="AO220">
        <v>130866317</v>
      </c>
      <c r="AP220">
        <v>1177955768</v>
      </c>
      <c r="AQ220">
        <v>1308822085</v>
      </c>
      <c r="AR220">
        <v>39265192</v>
      </c>
      <c r="AS220">
        <v>0</v>
      </c>
      <c r="AT220">
        <v>4362210</v>
      </c>
      <c r="AU220">
        <v>39265192</v>
      </c>
      <c r="AV220">
        <v>43627402</v>
      </c>
      <c r="AW220">
        <v>38.786700000000003</v>
      </c>
      <c r="AX220">
        <v>19.378799999999998</v>
      </c>
      <c r="AY220">
        <v>9194.81</v>
      </c>
      <c r="AZ220">
        <v>8010.39</v>
      </c>
      <c r="BA220">
        <v>7608</v>
      </c>
      <c r="BB220">
        <v>3135</v>
      </c>
      <c r="BC220" t="str">
        <f t="shared" si="6"/>
        <v>u=10%, k=2x10^8</v>
      </c>
      <c r="BD220">
        <f t="shared" si="7"/>
        <v>0</v>
      </c>
    </row>
    <row r="221" spans="1:56">
      <c r="A221" t="s">
        <v>305</v>
      </c>
      <c r="B221" t="s">
        <v>68</v>
      </c>
      <c r="D221" t="s">
        <v>65</v>
      </c>
      <c r="E221" t="s">
        <v>60</v>
      </c>
      <c r="F221" t="s">
        <v>61</v>
      </c>
      <c r="G221">
        <v>30000</v>
      </c>
      <c r="H221">
        <v>5</v>
      </c>
      <c r="I221">
        <v>5</v>
      </c>
      <c r="J221">
        <v>0</v>
      </c>
      <c r="K221">
        <v>1</v>
      </c>
      <c r="L221">
        <v>200000000</v>
      </c>
      <c r="M221">
        <v>190</v>
      </c>
      <c r="N221">
        <v>190</v>
      </c>
      <c r="O221">
        <v>190</v>
      </c>
      <c r="P221">
        <v>0</v>
      </c>
      <c r="Q221" t="s">
        <v>62</v>
      </c>
      <c r="R221">
        <v>9999833648557440</v>
      </c>
      <c r="S221">
        <v>99998534</v>
      </c>
      <c r="T221">
        <v>9999833648557440</v>
      </c>
      <c r="U221">
        <v>99998534</v>
      </c>
      <c r="V221" t="s">
        <v>75</v>
      </c>
      <c r="W221">
        <v>67</v>
      </c>
      <c r="X221">
        <v>99998533</v>
      </c>
      <c r="Y221">
        <v>99998534</v>
      </c>
      <c r="Z221">
        <v>199997067</v>
      </c>
      <c r="AA221">
        <v>99998534</v>
      </c>
      <c r="AB221">
        <v>2</v>
      </c>
      <c r="AC221">
        <v>1</v>
      </c>
      <c r="AD221">
        <v>1.5</v>
      </c>
      <c r="AE221">
        <v>35.333599999999997</v>
      </c>
      <c r="AM221">
        <v>1565574242</v>
      </c>
      <c r="AN221">
        <v>0</v>
      </c>
      <c r="AO221">
        <v>173947338</v>
      </c>
      <c r="AP221">
        <v>1565574242</v>
      </c>
      <c r="AQ221">
        <v>1739521580</v>
      </c>
      <c r="AR221">
        <v>52185808</v>
      </c>
      <c r="AS221">
        <v>0</v>
      </c>
      <c r="AT221">
        <v>5798244</v>
      </c>
      <c r="AU221">
        <v>52185808</v>
      </c>
      <c r="AV221">
        <v>57984052</v>
      </c>
      <c r="AW221">
        <v>38.979900000000001</v>
      </c>
      <c r="AX221">
        <v>19.635300000000001</v>
      </c>
      <c r="AY221">
        <v>9126.2900000000009</v>
      </c>
      <c r="AZ221">
        <v>7932.9</v>
      </c>
      <c r="BA221">
        <v>7654</v>
      </c>
      <c r="BB221">
        <v>2860</v>
      </c>
      <c r="BC221" t="str">
        <f t="shared" si="6"/>
        <v>u=10%, k=2x10^8</v>
      </c>
      <c r="BD221">
        <f t="shared" si="7"/>
        <v>0</v>
      </c>
    </row>
    <row r="222" spans="1:56">
      <c r="A222" t="s">
        <v>306</v>
      </c>
      <c r="B222" t="s">
        <v>64</v>
      </c>
      <c r="C222">
        <v>72</v>
      </c>
      <c r="D222" t="s">
        <v>65</v>
      </c>
      <c r="E222" t="s">
        <v>60</v>
      </c>
      <c r="F222" t="s">
        <v>61</v>
      </c>
      <c r="G222">
        <v>30000</v>
      </c>
      <c r="H222">
        <v>5</v>
      </c>
      <c r="I222">
        <v>5</v>
      </c>
      <c r="J222">
        <v>0</v>
      </c>
      <c r="K222">
        <v>1</v>
      </c>
      <c r="L222">
        <v>2000000000</v>
      </c>
      <c r="M222">
        <v>24</v>
      </c>
      <c r="N222">
        <v>24</v>
      </c>
      <c r="O222">
        <v>24</v>
      </c>
      <c r="P222">
        <v>0</v>
      </c>
      <c r="Q222" t="s">
        <v>62</v>
      </c>
      <c r="R222">
        <v>9.9999389005645798E+17</v>
      </c>
      <c r="S222">
        <v>999995459</v>
      </c>
      <c r="T222">
        <v>9.9999389005645798E+17</v>
      </c>
      <c r="U222">
        <v>999995459</v>
      </c>
      <c r="V222" t="s">
        <v>75</v>
      </c>
      <c r="W222">
        <v>7</v>
      </c>
      <c r="X222">
        <v>97096101</v>
      </c>
      <c r="Y222">
        <v>1104248260</v>
      </c>
      <c r="Z222">
        <v>1201344361</v>
      </c>
      <c r="AA222">
        <v>999995459</v>
      </c>
      <c r="AB222">
        <v>12.3727</v>
      </c>
      <c r="AC222">
        <v>0.90558899999999998</v>
      </c>
      <c r="AD222">
        <v>1.8324</v>
      </c>
      <c r="AE222">
        <v>4.0257199999999997</v>
      </c>
      <c r="AM222">
        <v>480297982</v>
      </c>
      <c r="AN222">
        <v>0</v>
      </c>
      <c r="AO222">
        <v>53364165</v>
      </c>
      <c r="AP222">
        <v>480297982</v>
      </c>
      <c r="AQ222">
        <v>533662147</v>
      </c>
      <c r="AR222">
        <v>16009932</v>
      </c>
      <c r="AS222">
        <v>0</v>
      </c>
      <c r="AT222">
        <v>1778805</v>
      </c>
      <c r="AU222">
        <v>16009932</v>
      </c>
      <c r="AV222">
        <v>17788738</v>
      </c>
      <c r="AW222">
        <v>22.7942</v>
      </c>
      <c r="AX222">
        <v>13.406599999999999</v>
      </c>
      <c r="AY222">
        <v>3753.32</v>
      </c>
      <c r="AZ222">
        <v>3001.96</v>
      </c>
      <c r="BA222">
        <v>60561</v>
      </c>
      <c r="BB222">
        <v>16131</v>
      </c>
      <c r="BC222" t="str">
        <f t="shared" si="6"/>
        <v>u=10%, k=2x10^9</v>
      </c>
      <c r="BD222">
        <f t="shared" si="7"/>
        <v>0</v>
      </c>
    </row>
    <row r="223" spans="1:56">
      <c r="A223" t="s">
        <v>307</v>
      </c>
      <c r="B223" t="s">
        <v>64</v>
      </c>
      <c r="C223">
        <v>72</v>
      </c>
      <c r="D223" t="s">
        <v>65</v>
      </c>
      <c r="E223" t="s">
        <v>60</v>
      </c>
      <c r="F223" t="s">
        <v>61</v>
      </c>
      <c r="G223">
        <v>30000</v>
      </c>
      <c r="H223">
        <v>5</v>
      </c>
      <c r="I223">
        <v>5</v>
      </c>
      <c r="J223">
        <v>0</v>
      </c>
      <c r="K223">
        <v>1</v>
      </c>
      <c r="L223">
        <v>2000000000</v>
      </c>
      <c r="M223">
        <v>48</v>
      </c>
      <c r="N223">
        <v>48</v>
      </c>
      <c r="O223">
        <v>48</v>
      </c>
      <c r="P223">
        <v>0</v>
      </c>
      <c r="Q223" t="s">
        <v>62</v>
      </c>
      <c r="R223">
        <v>9.9998538077231398E+17</v>
      </c>
      <c r="S223">
        <v>999990962</v>
      </c>
      <c r="T223">
        <v>9.9998538077231398E+17</v>
      </c>
      <c r="U223">
        <v>999990962</v>
      </c>
      <c r="V223" t="s">
        <v>75</v>
      </c>
      <c r="W223">
        <v>7</v>
      </c>
      <c r="X223">
        <v>105814504</v>
      </c>
      <c r="Y223">
        <v>1122091794</v>
      </c>
      <c r="Z223">
        <v>1227906298</v>
      </c>
      <c r="AA223">
        <v>999990962</v>
      </c>
      <c r="AB223">
        <v>11.6043</v>
      </c>
      <c r="AC223">
        <v>0.891185</v>
      </c>
      <c r="AD223">
        <v>1.8143899999999999</v>
      </c>
      <c r="AE223">
        <v>4.0439600000000002</v>
      </c>
      <c r="AM223">
        <v>865280564</v>
      </c>
      <c r="AN223">
        <v>0</v>
      </c>
      <c r="AO223">
        <v>96141271</v>
      </c>
      <c r="AP223">
        <v>865280564</v>
      </c>
      <c r="AQ223">
        <v>961421835</v>
      </c>
      <c r="AR223">
        <v>28842685</v>
      </c>
      <c r="AS223">
        <v>0</v>
      </c>
      <c r="AT223">
        <v>3204709</v>
      </c>
      <c r="AU223">
        <v>28842685</v>
      </c>
      <c r="AV223">
        <v>32047394</v>
      </c>
      <c r="AW223">
        <v>22.897600000000001</v>
      </c>
      <c r="AX223">
        <v>13.5283</v>
      </c>
      <c r="AY223">
        <v>4165.6499999999996</v>
      </c>
      <c r="AZ223">
        <v>3471.16</v>
      </c>
      <c r="BA223">
        <v>61731</v>
      </c>
      <c r="BB223">
        <v>11971</v>
      </c>
      <c r="BC223" t="str">
        <f t="shared" si="6"/>
        <v>u=10%, k=2x10^9</v>
      </c>
      <c r="BD223">
        <f t="shared" si="7"/>
        <v>0</v>
      </c>
    </row>
    <row r="224" spans="1:56">
      <c r="A224" t="s">
        <v>308</v>
      </c>
      <c r="B224" t="s">
        <v>64</v>
      </c>
      <c r="C224">
        <v>72</v>
      </c>
      <c r="D224" t="s">
        <v>65</v>
      </c>
      <c r="E224" t="s">
        <v>60</v>
      </c>
      <c r="F224" t="s">
        <v>61</v>
      </c>
      <c r="G224">
        <v>30000</v>
      </c>
      <c r="H224">
        <v>5</v>
      </c>
      <c r="I224">
        <v>5</v>
      </c>
      <c r="J224">
        <v>0</v>
      </c>
      <c r="K224">
        <v>1</v>
      </c>
      <c r="L224">
        <v>2000000000</v>
      </c>
      <c r="M224">
        <v>96</v>
      </c>
      <c r="N224">
        <v>96</v>
      </c>
      <c r="O224">
        <v>96</v>
      </c>
      <c r="P224">
        <v>0</v>
      </c>
      <c r="Q224" t="s">
        <v>62</v>
      </c>
      <c r="R224">
        <v>9.9999833653391603E+17</v>
      </c>
      <c r="S224">
        <v>1000011101</v>
      </c>
      <c r="T224">
        <v>9.9999833653391603E+17</v>
      </c>
      <c r="U224">
        <v>1000011101</v>
      </c>
      <c r="V224" t="s">
        <v>75</v>
      </c>
      <c r="W224">
        <v>7</v>
      </c>
      <c r="X224">
        <v>121113928</v>
      </c>
      <c r="Y224">
        <v>1154434775</v>
      </c>
      <c r="Z224">
        <v>1275548703</v>
      </c>
      <c r="AA224">
        <v>1000011101</v>
      </c>
      <c r="AB224">
        <v>10.5318</v>
      </c>
      <c r="AC224">
        <v>0.86623399999999995</v>
      </c>
      <c r="AD224">
        <v>1.78399</v>
      </c>
      <c r="AE224">
        <v>4.077</v>
      </c>
      <c r="AM224">
        <v>1857031840</v>
      </c>
      <c r="AN224">
        <v>0</v>
      </c>
      <c r="AO224">
        <v>206325344</v>
      </c>
      <c r="AP224">
        <v>1857031840</v>
      </c>
      <c r="AQ224">
        <v>2063357184</v>
      </c>
      <c r="AR224">
        <v>61901061</v>
      </c>
      <c r="AS224">
        <v>0</v>
      </c>
      <c r="AT224">
        <v>6877511</v>
      </c>
      <c r="AU224">
        <v>61901061</v>
      </c>
      <c r="AV224">
        <v>68778572</v>
      </c>
      <c r="AW224">
        <v>23.1539</v>
      </c>
      <c r="AX224">
        <v>14.325799999999999</v>
      </c>
      <c r="AY224">
        <v>3879.54</v>
      </c>
      <c r="AZ224">
        <v>3132.66</v>
      </c>
      <c r="BA224">
        <v>64253</v>
      </c>
      <c r="BB224">
        <v>9697</v>
      </c>
      <c r="BC224" t="str">
        <f t="shared" si="6"/>
        <v>u=10%, k=2x10^9</v>
      </c>
      <c r="BD224">
        <f t="shared" si="7"/>
        <v>0</v>
      </c>
    </row>
    <row r="225" spans="1:56">
      <c r="A225" t="s">
        <v>309</v>
      </c>
      <c r="B225" t="s">
        <v>64</v>
      </c>
      <c r="C225">
        <v>72</v>
      </c>
      <c r="D225" t="s">
        <v>65</v>
      </c>
      <c r="E225" t="s">
        <v>60</v>
      </c>
      <c r="F225" t="s">
        <v>61</v>
      </c>
      <c r="G225">
        <v>30000</v>
      </c>
      <c r="H225">
        <v>5</v>
      </c>
      <c r="I225">
        <v>5</v>
      </c>
      <c r="J225">
        <v>0</v>
      </c>
      <c r="K225">
        <v>1</v>
      </c>
      <c r="L225">
        <v>2000000000</v>
      </c>
      <c r="M225">
        <v>144</v>
      </c>
      <c r="N225">
        <v>144</v>
      </c>
      <c r="O225">
        <v>144</v>
      </c>
      <c r="P225">
        <v>0</v>
      </c>
      <c r="Q225" t="s">
        <v>62</v>
      </c>
      <c r="R225">
        <v>1.00004020147019E+18</v>
      </c>
      <c r="S225">
        <v>1000013129</v>
      </c>
      <c r="T225">
        <v>1.00004020147019E+18</v>
      </c>
      <c r="U225">
        <v>1000013129</v>
      </c>
      <c r="V225" t="s">
        <v>75</v>
      </c>
      <c r="W225">
        <v>7</v>
      </c>
      <c r="X225">
        <v>127271077</v>
      </c>
      <c r="Y225">
        <v>1168414680</v>
      </c>
      <c r="Z225">
        <v>1295685757</v>
      </c>
      <c r="AA225">
        <v>1000013129</v>
      </c>
      <c r="AB225">
        <v>10.1805</v>
      </c>
      <c r="AC225">
        <v>0.85587199999999997</v>
      </c>
      <c r="AD225">
        <v>1.7718</v>
      </c>
      <c r="AE225">
        <v>4.0909000000000004</v>
      </c>
      <c r="AM225">
        <v>2737348716</v>
      </c>
      <c r="AN225">
        <v>0</v>
      </c>
      <c r="AO225">
        <v>304162457</v>
      </c>
      <c r="AP225">
        <v>2737348716</v>
      </c>
      <c r="AQ225">
        <v>3041511173</v>
      </c>
      <c r="AR225">
        <v>91244957</v>
      </c>
      <c r="AS225">
        <v>0</v>
      </c>
      <c r="AT225">
        <v>10138748</v>
      </c>
      <c r="AU225">
        <v>91244957</v>
      </c>
      <c r="AV225">
        <v>101383705</v>
      </c>
      <c r="AW225">
        <v>23.319400000000002</v>
      </c>
      <c r="AX225">
        <v>14.6843</v>
      </c>
      <c r="AY225">
        <v>3947.84</v>
      </c>
      <c r="AZ225">
        <v>3189.99</v>
      </c>
      <c r="BA225">
        <v>66107</v>
      </c>
      <c r="BB225">
        <v>9196</v>
      </c>
      <c r="BC225" t="str">
        <f t="shared" si="6"/>
        <v>u=10%, k=2x10^9</v>
      </c>
      <c r="BD225">
        <f t="shared" si="7"/>
        <v>0</v>
      </c>
    </row>
    <row r="226" spans="1:56">
      <c r="A226" t="s">
        <v>310</v>
      </c>
      <c r="B226" t="s">
        <v>64</v>
      </c>
      <c r="C226">
        <v>72</v>
      </c>
      <c r="D226" t="s">
        <v>65</v>
      </c>
      <c r="E226" t="s">
        <v>60</v>
      </c>
      <c r="F226" t="s">
        <v>61</v>
      </c>
      <c r="G226">
        <v>30000</v>
      </c>
      <c r="H226">
        <v>5</v>
      </c>
      <c r="I226">
        <v>5</v>
      </c>
      <c r="J226">
        <v>0</v>
      </c>
      <c r="K226">
        <v>1</v>
      </c>
      <c r="L226">
        <v>2000000000</v>
      </c>
      <c r="M226">
        <v>190</v>
      </c>
      <c r="N226">
        <v>190</v>
      </c>
      <c r="O226">
        <v>190</v>
      </c>
      <c r="P226">
        <v>0</v>
      </c>
      <c r="Q226" t="s">
        <v>62</v>
      </c>
      <c r="R226">
        <v>1.00001455276365E+18</v>
      </c>
      <c r="S226">
        <v>1000018598</v>
      </c>
      <c r="T226">
        <v>1.00001455276365E+18</v>
      </c>
      <c r="U226">
        <v>1000018598</v>
      </c>
      <c r="V226" t="s">
        <v>75</v>
      </c>
      <c r="W226">
        <v>7</v>
      </c>
      <c r="X226">
        <v>127029041</v>
      </c>
      <c r="Y226">
        <v>1168847943</v>
      </c>
      <c r="Z226">
        <v>1295876984</v>
      </c>
      <c r="AA226">
        <v>1000018598</v>
      </c>
      <c r="AB226">
        <v>10.2014</v>
      </c>
      <c r="AC226">
        <v>0.85555899999999996</v>
      </c>
      <c r="AD226">
        <v>1.77169</v>
      </c>
      <c r="AE226">
        <v>4.0909000000000004</v>
      </c>
      <c r="AM226">
        <v>3498662202</v>
      </c>
      <c r="AN226">
        <v>0</v>
      </c>
      <c r="AO226">
        <v>388782103</v>
      </c>
      <c r="AP226">
        <v>3498662202</v>
      </c>
      <c r="AQ226">
        <v>3887444305</v>
      </c>
      <c r="AR226">
        <v>116622073</v>
      </c>
      <c r="AS226">
        <v>0</v>
      </c>
      <c r="AT226">
        <v>12959403</v>
      </c>
      <c r="AU226">
        <v>116622073</v>
      </c>
      <c r="AV226">
        <v>129581476</v>
      </c>
      <c r="AW226">
        <v>23.561399999999999</v>
      </c>
      <c r="AX226">
        <v>14.9519</v>
      </c>
      <c r="AY226">
        <v>4074.9</v>
      </c>
      <c r="AZ226">
        <v>3294.36</v>
      </c>
      <c r="BA226">
        <v>67114</v>
      </c>
      <c r="BB226">
        <v>9133</v>
      </c>
      <c r="BC226" t="str">
        <f t="shared" si="6"/>
        <v>u=10%, k=2x10^9</v>
      </c>
      <c r="BD226">
        <f t="shared" si="7"/>
        <v>0</v>
      </c>
    </row>
    <row r="227" spans="1:56">
      <c r="A227" t="s">
        <v>311</v>
      </c>
      <c r="B227" t="s">
        <v>66</v>
      </c>
      <c r="C227">
        <v>208</v>
      </c>
      <c r="D227" t="s">
        <v>65</v>
      </c>
      <c r="E227" t="s">
        <v>60</v>
      </c>
      <c r="F227" t="s">
        <v>61</v>
      </c>
      <c r="G227">
        <v>30000</v>
      </c>
      <c r="H227">
        <v>5</v>
      </c>
      <c r="I227">
        <v>5</v>
      </c>
      <c r="J227">
        <v>0</v>
      </c>
      <c r="K227">
        <v>1</v>
      </c>
      <c r="L227">
        <v>2000000000</v>
      </c>
      <c r="M227">
        <v>24</v>
      </c>
      <c r="N227">
        <v>24</v>
      </c>
      <c r="O227">
        <v>24</v>
      </c>
      <c r="P227">
        <v>0</v>
      </c>
      <c r="Q227" t="s">
        <v>62</v>
      </c>
      <c r="R227">
        <v>9.9999734011999104E+17</v>
      </c>
      <c r="S227">
        <v>1000000166</v>
      </c>
      <c r="T227">
        <v>9.9999734011999104E+17</v>
      </c>
      <c r="U227">
        <v>1000000166</v>
      </c>
      <c r="V227" t="s">
        <v>75</v>
      </c>
      <c r="W227">
        <v>12</v>
      </c>
      <c r="X227">
        <v>18686808</v>
      </c>
      <c r="Y227">
        <v>128583721</v>
      </c>
      <c r="Z227">
        <v>147270529</v>
      </c>
      <c r="AA227">
        <v>1000000166</v>
      </c>
      <c r="AB227">
        <v>7.8809899999999997</v>
      </c>
      <c r="AC227">
        <v>7.7770400000000004</v>
      </c>
      <c r="AD227">
        <v>7.7902300000000002</v>
      </c>
      <c r="AE227">
        <v>11</v>
      </c>
      <c r="AM227">
        <v>300205679</v>
      </c>
      <c r="AN227">
        <v>0</v>
      </c>
      <c r="AO227">
        <v>33360365</v>
      </c>
      <c r="AP227">
        <v>300205679</v>
      </c>
      <c r="AQ227">
        <v>333566044</v>
      </c>
      <c r="AR227">
        <v>10006855</v>
      </c>
      <c r="AS227">
        <v>0</v>
      </c>
      <c r="AT227">
        <v>1112012</v>
      </c>
      <c r="AU227">
        <v>10006855</v>
      </c>
      <c r="AV227">
        <v>11118868</v>
      </c>
      <c r="AW227">
        <v>31.117699999999999</v>
      </c>
      <c r="AX227">
        <v>16.973800000000001</v>
      </c>
      <c r="AY227">
        <v>6018.13</v>
      </c>
      <c r="AZ227">
        <v>4774.04</v>
      </c>
      <c r="BA227">
        <v>33502</v>
      </c>
      <c r="BB227">
        <v>154385</v>
      </c>
      <c r="BC227" t="str">
        <f t="shared" si="6"/>
        <v>u=10%, k=2x10^9</v>
      </c>
      <c r="BD227">
        <f t="shared" si="7"/>
        <v>0</v>
      </c>
    </row>
    <row r="228" spans="1:56">
      <c r="A228" t="s">
        <v>312</v>
      </c>
      <c r="B228" t="s">
        <v>66</v>
      </c>
      <c r="C228">
        <v>208</v>
      </c>
      <c r="D228" t="s">
        <v>65</v>
      </c>
      <c r="E228" t="s">
        <v>60</v>
      </c>
      <c r="F228" t="s">
        <v>61</v>
      </c>
      <c r="G228">
        <v>30000</v>
      </c>
      <c r="H228">
        <v>5</v>
      </c>
      <c r="I228">
        <v>5</v>
      </c>
      <c r="J228">
        <v>0</v>
      </c>
      <c r="K228">
        <v>1</v>
      </c>
      <c r="L228">
        <v>2000000000</v>
      </c>
      <c r="M228">
        <v>48</v>
      </c>
      <c r="N228">
        <v>48</v>
      </c>
      <c r="O228">
        <v>48</v>
      </c>
      <c r="P228">
        <v>0</v>
      </c>
      <c r="Q228" t="s">
        <v>62</v>
      </c>
      <c r="R228">
        <v>1.00001007061733E+18</v>
      </c>
      <c r="S228">
        <v>999999213</v>
      </c>
      <c r="T228">
        <v>1.00001007061733E+18</v>
      </c>
      <c r="U228">
        <v>999999213</v>
      </c>
      <c r="V228" t="s">
        <v>75</v>
      </c>
      <c r="W228">
        <v>12</v>
      </c>
      <c r="X228">
        <v>18810463</v>
      </c>
      <c r="Y228">
        <v>129434841</v>
      </c>
      <c r="Z228">
        <v>148245304</v>
      </c>
      <c r="AA228">
        <v>999999213</v>
      </c>
      <c r="AB228">
        <v>7.8810000000000002</v>
      </c>
      <c r="AC228">
        <v>7.7258899999999997</v>
      </c>
      <c r="AD228">
        <v>7.7455699999999998</v>
      </c>
      <c r="AE228">
        <v>11</v>
      </c>
      <c r="AM228">
        <v>573005167</v>
      </c>
      <c r="AN228">
        <v>0</v>
      </c>
      <c r="AO228">
        <v>63670064</v>
      </c>
      <c r="AP228">
        <v>573005167</v>
      </c>
      <c r="AQ228">
        <v>636675231</v>
      </c>
      <c r="AR228">
        <v>19100172</v>
      </c>
      <c r="AS228">
        <v>0</v>
      </c>
      <c r="AT228">
        <v>2122335</v>
      </c>
      <c r="AU228">
        <v>19100172</v>
      </c>
      <c r="AV228">
        <v>21222507</v>
      </c>
      <c r="AW228">
        <v>31.0943</v>
      </c>
      <c r="AX228">
        <v>16.857600000000001</v>
      </c>
      <c r="AY228">
        <v>6304.96</v>
      </c>
      <c r="AZ228">
        <v>5340.76</v>
      </c>
      <c r="BA228">
        <v>33830</v>
      </c>
      <c r="BB228">
        <v>94632</v>
      </c>
      <c r="BC228" t="str">
        <f t="shared" si="6"/>
        <v>u=10%, k=2x10^9</v>
      </c>
      <c r="BD228">
        <f t="shared" si="7"/>
        <v>0</v>
      </c>
    </row>
    <row r="229" spans="1:56">
      <c r="A229" t="s">
        <v>313</v>
      </c>
      <c r="B229" t="s">
        <v>66</v>
      </c>
      <c r="C229">
        <v>208</v>
      </c>
      <c r="D229" t="s">
        <v>65</v>
      </c>
      <c r="E229" t="s">
        <v>60</v>
      </c>
      <c r="F229" t="s">
        <v>61</v>
      </c>
      <c r="G229">
        <v>30000</v>
      </c>
      <c r="H229">
        <v>5</v>
      </c>
      <c r="I229">
        <v>5</v>
      </c>
      <c r="J229">
        <v>0</v>
      </c>
      <c r="K229">
        <v>1</v>
      </c>
      <c r="L229">
        <v>2000000000</v>
      </c>
      <c r="M229">
        <v>96</v>
      </c>
      <c r="N229">
        <v>96</v>
      </c>
      <c r="O229">
        <v>96</v>
      </c>
      <c r="P229">
        <v>0</v>
      </c>
      <c r="Q229" t="s">
        <v>62</v>
      </c>
      <c r="R229">
        <v>1.00000663062849E+18</v>
      </c>
      <c r="S229">
        <v>999999772</v>
      </c>
      <c r="T229">
        <v>1.00000663062849E+18</v>
      </c>
      <c r="U229">
        <v>999999772</v>
      </c>
      <c r="V229" t="s">
        <v>75</v>
      </c>
      <c r="W229">
        <v>12</v>
      </c>
      <c r="X229">
        <v>19097197</v>
      </c>
      <c r="Y229">
        <v>131388802</v>
      </c>
      <c r="Z229">
        <v>150485999</v>
      </c>
      <c r="AA229">
        <v>999999772</v>
      </c>
      <c r="AB229">
        <v>7.88</v>
      </c>
      <c r="AC229">
        <v>7.6109999999999998</v>
      </c>
      <c r="AD229">
        <v>7.64513</v>
      </c>
      <c r="AE229">
        <v>11</v>
      </c>
      <c r="AM229">
        <v>1286966524</v>
      </c>
      <c r="AN229">
        <v>0</v>
      </c>
      <c r="AO229">
        <v>143010432</v>
      </c>
      <c r="AP229">
        <v>1286966524</v>
      </c>
      <c r="AQ229">
        <v>1429976956</v>
      </c>
      <c r="AR229">
        <v>42898884</v>
      </c>
      <c r="AS229">
        <v>0</v>
      </c>
      <c r="AT229">
        <v>4767014</v>
      </c>
      <c r="AU229">
        <v>42898884</v>
      </c>
      <c r="AV229">
        <v>47665898</v>
      </c>
      <c r="AW229">
        <v>31.279599999999999</v>
      </c>
      <c r="AX229">
        <v>17.956</v>
      </c>
      <c r="AY229">
        <v>5606.78</v>
      </c>
      <c r="AZ229">
        <v>4589.24</v>
      </c>
      <c r="BA229">
        <v>34547</v>
      </c>
      <c r="BB229">
        <v>71561</v>
      </c>
      <c r="BC229" t="str">
        <f t="shared" si="6"/>
        <v>u=10%, k=2x10^9</v>
      </c>
      <c r="BD229">
        <f t="shared" si="7"/>
        <v>0</v>
      </c>
    </row>
    <row r="230" spans="1:56">
      <c r="A230" t="s">
        <v>314</v>
      </c>
      <c r="B230" t="s">
        <v>66</v>
      </c>
      <c r="C230">
        <v>208</v>
      </c>
      <c r="D230" t="s">
        <v>65</v>
      </c>
      <c r="E230" t="s">
        <v>60</v>
      </c>
      <c r="F230" t="s">
        <v>61</v>
      </c>
      <c r="G230">
        <v>30000</v>
      </c>
      <c r="H230">
        <v>5</v>
      </c>
      <c r="I230">
        <v>5</v>
      </c>
      <c r="J230">
        <v>0</v>
      </c>
      <c r="K230">
        <v>1</v>
      </c>
      <c r="L230">
        <v>2000000000</v>
      </c>
      <c r="M230">
        <v>144</v>
      </c>
      <c r="N230">
        <v>144</v>
      </c>
      <c r="O230">
        <v>144</v>
      </c>
      <c r="P230">
        <v>0</v>
      </c>
      <c r="Q230" t="s">
        <v>62</v>
      </c>
      <c r="R230">
        <v>1.00000027379081E+18</v>
      </c>
      <c r="S230">
        <v>999994224</v>
      </c>
      <c r="T230">
        <v>1.00000027379081E+18</v>
      </c>
      <c r="U230">
        <v>999994224</v>
      </c>
      <c r="V230" t="s">
        <v>75</v>
      </c>
      <c r="W230">
        <v>12</v>
      </c>
      <c r="X230">
        <v>19313004</v>
      </c>
      <c r="Y230">
        <v>132895002</v>
      </c>
      <c r="Z230">
        <v>152208006</v>
      </c>
      <c r="AA230">
        <v>999994224</v>
      </c>
      <c r="AB230">
        <v>7.8811200000000001</v>
      </c>
      <c r="AC230">
        <v>7.5246899999999997</v>
      </c>
      <c r="AD230">
        <v>7.5699199999999998</v>
      </c>
      <c r="AE230">
        <v>11</v>
      </c>
      <c r="AM230">
        <v>1923404534</v>
      </c>
      <c r="AN230">
        <v>0</v>
      </c>
      <c r="AO230">
        <v>213717674</v>
      </c>
      <c r="AP230">
        <v>1923404534</v>
      </c>
      <c r="AQ230">
        <v>2137122208</v>
      </c>
      <c r="AR230">
        <v>64113484</v>
      </c>
      <c r="AS230">
        <v>0</v>
      </c>
      <c r="AT230">
        <v>7123922</v>
      </c>
      <c r="AU230">
        <v>64113484</v>
      </c>
      <c r="AV230">
        <v>71237406</v>
      </c>
      <c r="AW230">
        <v>31.498799999999999</v>
      </c>
      <c r="AX230">
        <v>18.191700000000001</v>
      </c>
      <c r="AY230">
        <v>5625.13</v>
      </c>
      <c r="AZ230">
        <v>4598.0600000000004</v>
      </c>
      <c r="BA230">
        <v>35246</v>
      </c>
      <c r="BB230">
        <v>64566</v>
      </c>
      <c r="BC230" t="str">
        <f t="shared" si="6"/>
        <v>u=10%, k=2x10^9</v>
      </c>
      <c r="BD230">
        <f t="shared" si="7"/>
        <v>0</v>
      </c>
    </row>
    <row r="231" spans="1:56">
      <c r="A231" t="s">
        <v>315</v>
      </c>
      <c r="B231" t="s">
        <v>66</v>
      </c>
      <c r="C231">
        <v>208</v>
      </c>
      <c r="D231" t="s">
        <v>65</v>
      </c>
      <c r="E231" t="s">
        <v>60</v>
      </c>
      <c r="F231" t="s">
        <v>61</v>
      </c>
      <c r="G231">
        <v>30000</v>
      </c>
      <c r="H231">
        <v>5</v>
      </c>
      <c r="I231">
        <v>5</v>
      </c>
      <c r="J231">
        <v>0</v>
      </c>
      <c r="K231">
        <v>1</v>
      </c>
      <c r="L231">
        <v>2000000000</v>
      </c>
      <c r="M231">
        <v>190</v>
      </c>
      <c r="N231">
        <v>190</v>
      </c>
      <c r="O231">
        <v>190</v>
      </c>
      <c r="P231">
        <v>0</v>
      </c>
      <c r="Q231" t="s">
        <v>62</v>
      </c>
      <c r="R231">
        <v>1.0000081347667599E+18</v>
      </c>
      <c r="S231">
        <v>1000022328</v>
      </c>
      <c r="T231">
        <v>1.0000081347667599E+18</v>
      </c>
      <c r="U231">
        <v>1000022328</v>
      </c>
      <c r="V231" t="s">
        <v>75</v>
      </c>
      <c r="W231">
        <v>12</v>
      </c>
      <c r="X231">
        <v>19499260</v>
      </c>
      <c r="Y231">
        <v>134183145</v>
      </c>
      <c r="Z231">
        <v>153682405</v>
      </c>
      <c r="AA231">
        <v>1000022328</v>
      </c>
      <c r="AB231">
        <v>7.8814500000000001</v>
      </c>
      <c r="AC231">
        <v>7.4526700000000003</v>
      </c>
      <c r="AD231">
        <v>7.5070699999999997</v>
      </c>
      <c r="AE231">
        <v>11</v>
      </c>
      <c r="AM231">
        <v>2528731320</v>
      </c>
      <c r="AN231">
        <v>0</v>
      </c>
      <c r="AO231">
        <v>280985778</v>
      </c>
      <c r="AP231">
        <v>2528731320</v>
      </c>
      <c r="AQ231">
        <v>2809717098</v>
      </c>
      <c r="AR231">
        <v>84291044</v>
      </c>
      <c r="AS231">
        <v>0</v>
      </c>
      <c r="AT231">
        <v>9366192</v>
      </c>
      <c r="AU231">
        <v>84291044</v>
      </c>
      <c r="AV231">
        <v>93657236</v>
      </c>
      <c r="AW231">
        <v>31.644300000000001</v>
      </c>
      <c r="AX231">
        <v>18.322299999999998</v>
      </c>
      <c r="AY231">
        <v>5643.64</v>
      </c>
      <c r="AZ231">
        <v>4607.24</v>
      </c>
      <c r="BA231">
        <v>36111</v>
      </c>
      <c r="BB231">
        <v>61252</v>
      </c>
      <c r="BC231" t="str">
        <f t="shared" si="6"/>
        <v>u=10%, k=2x10^9</v>
      </c>
      <c r="BD231">
        <f t="shared" si="7"/>
        <v>0</v>
      </c>
    </row>
    <row r="232" spans="1:56">
      <c r="A232" t="s">
        <v>316</v>
      </c>
      <c r="B232" t="s">
        <v>67</v>
      </c>
      <c r="D232" t="s">
        <v>65</v>
      </c>
      <c r="E232" t="s">
        <v>60</v>
      </c>
      <c r="F232" t="s">
        <v>61</v>
      </c>
      <c r="G232">
        <v>30000</v>
      </c>
      <c r="H232">
        <v>5</v>
      </c>
      <c r="I232">
        <v>5</v>
      </c>
      <c r="J232">
        <v>0</v>
      </c>
      <c r="K232">
        <v>1</v>
      </c>
      <c r="L232">
        <v>2000000000</v>
      </c>
      <c r="M232">
        <v>24</v>
      </c>
      <c r="N232">
        <v>24</v>
      </c>
      <c r="O232">
        <v>24</v>
      </c>
      <c r="P232">
        <v>0</v>
      </c>
      <c r="Q232" t="s">
        <v>62</v>
      </c>
      <c r="R232">
        <v>1.00000100608453E+18</v>
      </c>
      <c r="S232">
        <v>1000002007</v>
      </c>
      <c r="T232">
        <v>1.00000100608453E+18</v>
      </c>
      <c r="U232">
        <v>1000002007</v>
      </c>
      <c r="V232" t="s">
        <v>75</v>
      </c>
      <c r="W232">
        <v>37</v>
      </c>
      <c r="X232">
        <v>572341181</v>
      </c>
      <c r="Y232">
        <v>429331674</v>
      </c>
      <c r="Z232">
        <v>1001672855</v>
      </c>
      <c r="AA232">
        <v>1000002007</v>
      </c>
      <c r="AB232">
        <v>1.75013</v>
      </c>
      <c r="AC232">
        <v>2.3292099999999998</v>
      </c>
      <c r="AD232">
        <v>1.9983299999999999</v>
      </c>
      <c r="AE232">
        <v>29.427499999999998</v>
      </c>
      <c r="AM232">
        <v>140908694</v>
      </c>
      <c r="AN232">
        <v>0</v>
      </c>
      <c r="AO232">
        <v>15658992</v>
      </c>
      <c r="AP232">
        <v>140908694</v>
      </c>
      <c r="AQ232">
        <v>156567686</v>
      </c>
      <c r="AR232">
        <v>4696956</v>
      </c>
      <c r="AS232">
        <v>0</v>
      </c>
      <c r="AT232">
        <v>521966</v>
      </c>
      <c r="AU232">
        <v>4696956</v>
      </c>
      <c r="AV232">
        <v>5218922</v>
      </c>
      <c r="AW232">
        <v>54.677</v>
      </c>
      <c r="AX232">
        <v>29.29</v>
      </c>
      <c r="AY232">
        <v>12827.3</v>
      </c>
      <c r="AZ232">
        <v>11286</v>
      </c>
      <c r="BA232">
        <v>65752</v>
      </c>
      <c r="BB232">
        <v>273418</v>
      </c>
      <c r="BC232" t="str">
        <f t="shared" si="6"/>
        <v>u=10%, k=2x10^9</v>
      </c>
      <c r="BD232">
        <f t="shared" si="7"/>
        <v>0</v>
      </c>
    </row>
    <row r="233" spans="1:56">
      <c r="A233" t="s">
        <v>317</v>
      </c>
      <c r="B233" t="s">
        <v>67</v>
      </c>
      <c r="D233" t="s">
        <v>65</v>
      </c>
      <c r="E233" t="s">
        <v>60</v>
      </c>
      <c r="F233" t="s">
        <v>61</v>
      </c>
      <c r="G233">
        <v>30000</v>
      </c>
      <c r="H233">
        <v>5</v>
      </c>
      <c r="I233">
        <v>5</v>
      </c>
      <c r="J233">
        <v>0</v>
      </c>
      <c r="K233">
        <v>1</v>
      </c>
      <c r="L233">
        <v>2000000000</v>
      </c>
      <c r="M233">
        <v>48</v>
      </c>
      <c r="N233">
        <v>48</v>
      </c>
      <c r="O233">
        <v>48</v>
      </c>
      <c r="P233">
        <v>0</v>
      </c>
      <c r="Q233" t="s">
        <v>62</v>
      </c>
      <c r="R233">
        <v>1.0000088497544399E+18</v>
      </c>
      <c r="S233">
        <v>1000002720</v>
      </c>
      <c r="T233">
        <v>1.0000088497544399E+18</v>
      </c>
      <c r="U233">
        <v>1000002720</v>
      </c>
      <c r="V233" t="s">
        <v>75</v>
      </c>
      <c r="W233">
        <v>37</v>
      </c>
      <c r="X233">
        <v>573191126</v>
      </c>
      <c r="Y233">
        <v>430038274</v>
      </c>
      <c r="Z233">
        <v>1003229400</v>
      </c>
      <c r="AA233">
        <v>1000002720</v>
      </c>
      <c r="AB233">
        <v>1.7502500000000001</v>
      </c>
      <c r="AC233">
        <v>2.32538</v>
      </c>
      <c r="AD233">
        <v>1.99678</v>
      </c>
      <c r="AE233">
        <v>29.4361</v>
      </c>
      <c r="AM233">
        <v>273095317</v>
      </c>
      <c r="AN233">
        <v>0</v>
      </c>
      <c r="AO233">
        <v>30346163</v>
      </c>
      <c r="AP233">
        <v>273095317</v>
      </c>
      <c r="AQ233">
        <v>303441480</v>
      </c>
      <c r="AR233">
        <v>9103177</v>
      </c>
      <c r="AS233">
        <v>0</v>
      </c>
      <c r="AT233">
        <v>1011538</v>
      </c>
      <c r="AU233">
        <v>9103177</v>
      </c>
      <c r="AV233">
        <v>10114716</v>
      </c>
      <c r="AW233">
        <v>55.43</v>
      </c>
      <c r="AX233">
        <v>29.362300000000001</v>
      </c>
      <c r="AY233">
        <v>13234.8</v>
      </c>
      <c r="AZ233">
        <v>11782.4</v>
      </c>
      <c r="BA233">
        <v>65861</v>
      </c>
      <c r="BB233">
        <v>143296</v>
      </c>
      <c r="BC233" t="str">
        <f t="shared" si="6"/>
        <v>u=10%, k=2x10^9</v>
      </c>
      <c r="BD233">
        <f t="shared" si="7"/>
        <v>0</v>
      </c>
    </row>
    <row r="234" spans="1:56">
      <c r="A234" t="s">
        <v>318</v>
      </c>
      <c r="B234" t="s">
        <v>67</v>
      </c>
      <c r="D234" t="s">
        <v>65</v>
      </c>
      <c r="E234" t="s">
        <v>60</v>
      </c>
      <c r="F234" t="s">
        <v>61</v>
      </c>
      <c r="G234">
        <v>30000</v>
      </c>
      <c r="H234">
        <v>5</v>
      </c>
      <c r="I234">
        <v>5</v>
      </c>
      <c r="J234">
        <v>0</v>
      </c>
      <c r="K234">
        <v>1</v>
      </c>
      <c r="L234">
        <v>2000000000</v>
      </c>
      <c r="M234">
        <v>96</v>
      </c>
      <c r="N234">
        <v>96</v>
      </c>
      <c r="O234">
        <v>96</v>
      </c>
      <c r="P234">
        <v>0</v>
      </c>
      <c r="Q234" t="s">
        <v>62</v>
      </c>
      <c r="R234">
        <v>9.9998239664801306E+17</v>
      </c>
      <c r="S234">
        <v>1000007408</v>
      </c>
      <c r="T234">
        <v>9.9998239664801306E+17</v>
      </c>
      <c r="U234">
        <v>1000007408</v>
      </c>
      <c r="V234" t="s">
        <v>75</v>
      </c>
      <c r="W234">
        <v>37</v>
      </c>
      <c r="X234">
        <v>575311869</v>
      </c>
      <c r="Y234">
        <v>431810357</v>
      </c>
      <c r="Z234">
        <v>1007122226</v>
      </c>
      <c r="AA234">
        <v>1000007408</v>
      </c>
      <c r="AB234">
        <v>1.75057</v>
      </c>
      <c r="AC234">
        <v>2.3158500000000002</v>
      </c>
      <c r="AD234">
        <v>1.9929399999999999</v>
      </c>
      <c r="AE234">
        <v>29.4709</v>
      </c>
      <c r="AM234">
        <v>609090038</v>
      </c>
      <c r="AN234">
        <v>0</v>
      </c>
      <c r="AO234">
        <v>67673241</v>
      </c>
      <c r="AP234">
        <v>609090038</v>
      </c>
      <c r="AQ234">
        <v>676763279</v>
      </c>
      <c r="AR234">
        <v>20303001</v>
      </c>
      <c r="AS234">
        <v>0</v>
      </c>
      <c r="AT234">
        <v>2255774</v>
      </c>
      <c r="AU234">
        <v>20303001</v>
      </c>
      <c r="AV234">
        <v>22558775</v>
      </c>
      <c r="AW234">
        <v>55.753100000000003</v>
      </c>
      <c r="AX234">
        <v>31.472799999999999</v>
      </c>
      <c r="AY234">
        <v>11856.3</v>
      </c>
      <c r="AZ234">
        <v>10327.200000000001</v>
      </c>
      <c r="BA234">
        <v>66126</v>
      </c>
      <c r="BB234">
        <v>63598</v>
      </c>
      <c r="BC234" t="str">
        <f t="shared" si="6"/>
        <v>u=10%, k=2x10^9</v>
      </c>
      <c r="BD234">
        <f t="shared" si="7"/>
        <v>0</v>
      </c>
    </row>
    <row r="235" spans="1:56">
      <c r="A235" t="s">
        <v>319</v>
      </c>
      <c r="B235" t="s">
        <v>67</v>
      </c>
      <c r="D235" t="s">
        <v>65</v>
      </c>
      <c r="E235" t="s">
        <v>60</v>
      </c>
      <c r="F235" t="s">
        <v>61</v>
      </c>
      <c r="G235">
        <v>30000</v>
      </c>
      <c r="H235">
        <v>5</v>
      </c>
      <c r="I235">
        <v>5</v>
      </c>
      <c r="J235">
        <v>0</v>
      </c>
      <c r="K235">
        <v>1</v>
      </c>
      <c r="L235">
        <v>2000000000</v>
      </c>
      <c r="M235">
        <v>144</v>
      </c>
      <c r="N235">
        <v>144</v>
      </c>
      <c r="O235">
        <v>144</v>
      </c>
      <c r="P235">
        <v>0</v>
      </c>
      <c r="Q235" t="s">
        <v>62</v>
      </c>
      <c r="R235">
        <v>1.00000841375163E+18</v>
      </c>
      <c r="S235">
        <v>1000000849</v>
      </c>
      <c r="T235">
        <v>1.00000841375163E+18</v>
      </c>
      <c r="U235">
        <v>1000000849</v>
      </c>
      <c r="V235" t="s">
        <v>75</v>
      </c>
      <c r="W235">
        <v>36</v>
      </c>
      <c r="X235">
        <v>577201613</v>
      </c>
      <c r="Y235">
        <v>433381619</v>
      </c>
      <c r="Z235">
        <v>1010583232</v>
      </c>
      <c r="AA235">
        <v>1000000849</v>
      </c>
      <c r="AB235">
        <v>1.7508300000000001</v>
      </c>
      <c r="AC235">
        <v>2.3074400000000002</v>
      </c>
      <c r="AD235">
        <v>1.98953</v>
      </c>
      <c r="AE235">
        <v>29.4437</v>
      </c>
      <c r="AM235">
        <v>913988978</v>
      </c>
      <c r="AN235">
        <v>0</v>
      </c>
      <c r="AO235">
        <v>101548230</v>
      </c>
      <c r="AP235">
        <v>913988978</v>
      </c>
      <c r="AQ235">
        <v>1015537208</v>
      </c>
      <c r="AR235">
        <v>30466299</v>
      </c>
      <c r="AS235">
        <v>0</v>
      </c>
      <c r="AT235">
        <v>3384941</v>
      </c>
      <c r="AU235">
        <v>30466299</v>
      </c>
      <c r="AV235">
        <v>33851240</v>
      </c>
      <c r="AW235">
        <v>55.990499999999997</v>
      </c>
      <c r="AX235">
        <v>31.709299999999999</v>
      </c>
      <c r="AY235">
        <v>11847.9</v>
      </c>
      <c r="AZ235">
        <v>10306</v>
      </c>
      <c r="BA235">
        <v>66364</v>
      </c>
      <c r="BB235">
        <v>42759</v>
      </c>
      <c r="BC235" t="str">
        <f t="shared" si="6"/>
        <v>u=10%, k=2x10^9</v>
      </c>
      <c r="BD235">
        <f t="shared" si="7"/>
        <v>0</v>
      </c>
    </row>
    <row r="236" spans="1:56">
      <c r="A236" t="s">
        <v>320</v>
      </c>
      <c r="B236" t="s">
        <v>67</v>
      </c>
      <c r="D236" t="s">
        <v>65</v>
      </c>
      <c r="E236" t="s">
        <v>60</v>
      </c>
      <c r="F236" t="s">
        <v>61</v>
      </c>
      <c r="G236">
        <v>30000</v>
      </c>
      <c r="H236">
        <v>5</v>
      </c>
      <c r="I236">
        <v>5</v>
      </c>
      <c r="J236">
        <v>0</v>
      </c>
      <c r="K236">
        <v>1</v>
      </c>
      <c r="L236">
        <v>2000000000</v>
      </c>
      <c r="M236">
        <v>190</v>
      </c>
      <c r="N236">
        <v>190</v>
      </c>
      <c r="O236">
        <v>190</v>
      </c>
      <c r="P236">
        <v>0</v>
      </c>
      <c r="Q236" t="s">
        <v>62</v>
      </c>
      <c r="R236">
        <v>9.9998766628925696E+17</v>
      </c>
      <c r="S236">
        <v>1000002054</v>
      </c>
      <c r="T236">
        <v>9.9998766628925696E+17</v>
      </c>
      <c r="U236">
        <v>1000002054</v>
      </c>
      <c r="V236" t="s">
        <v>75</v>
      </c>
      <c r="W236">
        <v>37</v>
      </c>
      <c r="X236">
        <v>578975773</v>
      </c>
      <c r="Y236">
        <v>434872609</v>
      </c>
      <c r="Z236">
        <v>1013848382</v>
      </c>
      <c r="AA236">
        <v>1000002054</v>
      </c>
      <c r="AB236">
        <v>1.7511099999999999</v>
      </c>
      <c r="AC236">
        <v>2.2995299999999999</v>
      </c>
      <c r="AD236">
        <v>1.98634</v>
      </c>
      <c r="AE236">
        <v>29.467400000000001</v>
      </c>
      <c r="AM236">
        <v>1207111380</v>
      </c>
      <c r="AN236">
        <v>0</v>
      </c>
      <c r="AO236">
        <v>134111704</v>
      </c>
      <c r="AP236">
        <v>1207111380</v>
      </c>
      <c r="AQ236">
        <v>1341223084</v>
      </c>
      <c r="AR236">
        <v>40237046</v>
      </c>
      <c r="AS236">
        <v>0</v>
      </c>
      <c r="AT236">
        <v>4470390</v>
      </c>
      <c r="AU236">
        <v>40237046</v>
      </c>
      <c r="AV236">
        <v>44707436</v>
      </c>
      <c r="AW236">
        <v>56.095500000000001</v>
      </c>
      <c r="AX236">
        <v>31.8688</v>
      </c>
      <c r="AY236">
        <v>11836</v>
      </c>
      <c r="AZ236">
        <v>10280.4</v>
      </c>
      <c r="BA236">
        <v>66586</v>
      </c>
      <c r="BB236">
        <v>32921</v>
      </c>
      <c r="BC236" t="str">
        <f t="shared" si="6"/>
        <v>u=10%, k=2x10^9</v>
      </c>
      <c r="BD236">
        <f t="shared" si="7"/>
        <v>0</v>
      </c>
    </row>
    <row r="237" spans="1:56">
      <c r="A237" t="s">
        <v>321</v>
      </c>
      <c r="B237" t="s">
        <v>68</v>
      </c>
      <c r="D237" t="s">
        <v>65</v>
      </c>
      <c r="E237" t="s">
        <v>60</v>
      </c>
      <c r="F237" t="s">
        <v>61</v>
      </c>
      <c r="G237">
        <v>30000</v>
      </c>
      <c r="H237">
        <v>5</v>
      </c>
      <c r="I237">
        <v>5</v>
      </c>
      <c r="J237">
        <v>0</v>
      </c>
      <c r="K237">
        <v>1</v>
      </c>
      <c r="L237">
        <v>2000000000</v>
      </c>
      <c r="M237">
        <v>24</v>
      </c>
      <c r="N237">
        <v>24</v>
      </c>
      <c r="O237">
        <v>24</v>
      </c>
      <c r="P237">
        <v>0</v>
      </c>
      <c r="Q237" t="s">
        <v>62</v>
      </c>
      <c r="R237">
        <v>1.0000130881348E+18</v>
      </c>
      <c r="S237">
        <v>1000004804</v>
      </c>
      <c r="T237">
        <v>1.0000130881348E+18</v>
      </c>
      <c r="U237">
        <v>1000004804</v>
      </c>
      <c r="V237" t="s">
        <v>75</v>
      </c>
      <c r="W237">
        <v>79</v>
      </c>
      <c r="X237">
        <v>1000004803</v>
      </c>
      <c r="Y237">
        <v>1000004804</v>
      </c>
      <c r="Z237">
        <v>2000009607</v>
      </c>
      <c r="AA237">
        <v>1000004804</v>
      </c>
      <c r="AB237">
        <v>2</v>
      </c>
      <c r="AC237">
        <v>1</v>
      </c>
      <c r="AD237">
        <v>1.5</v>
      </c>
      <c r="AE237">
        <v>40.062600000000003</v>
      </c>
      <c r="AM237">
        <v>115205264</v>
      </c>
      <c r="AN237">
        <v>0</v>
      </c>
      <c r="AO237">
        <v>12804486</v>
      </c>
      <c r="AP237">
        <v>115205264</v>
      </c>
      <c r="AQ237">
        <v>128009750</v>
      </c>
      <c r="AR237">
        <v>3840175</v>
      </c>
      <c r="AS237">
        <v>0</v>
      </c>
      <c r="AT237">
        <v>426816</v>
      </c>
      <c r="AU237">
        <v>3840175</v>
      </c>
      <c r="AV237">
        <v>4266991</v>
      </c>
      <c r="AW237">
        <v>53.809600000000003</v>
      </c>
      <c r="AX237">
        <v>28.914300000000001</v>
      </c>
      <c r="AY237">
        <v>15689.4</v>
      </c>
      <c r="AZ237">
        <v>13680.3</v>
      </c>
      <c r="BA237">
        <v>65647</v>
      </c>
      <c r="BB237">
        <v>299562</v>
      </c>
      <c r="BC237" t="str">
        <f t="shared" si="6"/>
        <v>u=10%, k=2x10^9</v>
      </c>
      <c r="BD237">
        <f t="shared" si="7"/>
        <v>0</v>
      </c>
    </row>
    <row r="238" spans="1:56">
      <c r="A238" t="s">
        <v>322</v>
      </c>
      <c r="B238" t="s">
        <v>68</v>
      </c>
      <c r="D238" t="s">
        <v>65</v>
      </c>
      <c r="E238" t="s">
        <v>60</v>
      </c>
      <c r="F238" t="s">
        <v>61</v>
      </c>
      <c r="G238">
        <v>30000</v>
      </c>
      <c r="H238">
        <v>5</v>
      </c>
      <c r="I238">
        <v>5</v>
      </c>
      <c r="J238">
        <v>0</v>
      </c>
      <c r="K238">
        <v>1</v>
      </c>
      <c r="L238">
        <v>2000000000</v>
      </c>
      <c r="M238">
        <v>48</v>
      </c>
      <c r="N238">
        <v>48</v>
      </c>
      <c r="O238">
        <v>48</v>
      </c>
      <c r="P238">
        <v>0</v>
      </c>
      <c r="Q238" t="s">
        <v>62</v>
      </c>
      <c r="R238">
        <v>9.9999072283840998E+17</v>
      </c>
      <c r="S238">
        <v>999996940</v>
      </c>
      <c r="T238">
        <v>9.9999072283840998E+17</v>
      </c>
      <c r="U238">
        <v>999996940</v>
      </c>
      <c r="V238" t="s">
        <v>75</v>
      </c>
      <c r="W238">
        <v>83</v>
      </c>
      <c r="X238">
        <v>999996939</v>
      </c>
      <c r="Y238">
        <v>999996940</v>
      </c>
      <c r="Z238">
        <v>1999993879</v>
      </c>
      <c r="AA238">
        <v>999996940</v>
      </c>
      <c r="AB238">
        <v>2</v>
      </c>
      <c r="AC238">
        <v>1</v>
      </c>
      <c r="AD238">
        <v>1.5</v>
      </c>
      <c r="AE238">
        <v>41.745600000000003</v>
      </c>
      <c r="AM238">
        <v>225707694</v>
      </c>
      <c r="AN238">
        <v>0</v>
      </c>
      <c r="AO238">
        <v>25077942</v>
      </c>
      <c r="AP238">
        <v>225707694</v>
      </c>
      <c r="AQ238">
        <v>250785636</v>
      </c>
      <c r="AR238">
        <v>7523589</v>
      </c>
      <c r="AS238">
        <v>0</v>
      </c>
      <c r="AT238">
        <v>835931</v>
      </c>
      <c r="AU238">
        <v>7523589</v>
      </c>
      <c r="AV238">
        <v>8359521</v>
      </c>
      <c r="AW238">
        <v>53.607799999999997</v>
      </c>
      <c r="AX238">
        <v>28.8827</v>
      </c>
      <c r="AY238">
        <v>16017.4</v>
      </c>
      <c r="AZ238">
        <v>14827.4</v>
      </c>
      <c r="BA238">
        <v>65657</v>
      </c>
      <c r="BB238">
        <v>153684</v>
      </c>
      <c r="BC238" t="str">
        <f t="shared" si="6"/>
        <v>u=10%, k=2x10^9</v>
      </c>
      <c r="BD238">
        <f t="shared" si="7"/>
        <v>0</v>
      </c>
    </row>
    <row r="239" spans="1:56">
      <c r="A239" t="s">
        <v>323</v>
      </c>
      <c r="B239" t="s">
        <v>68</v>
      </c>
      <c r="D239" t="s">
        <v>65</v>
      </c>
      <c r="E239" t="s">
        <v>60</v>
      </c>
      <c r="F239" t="s">
        <v>61</v>
      </c>
      <c r="G239">
        <v>30000</v>
      </c>
      <c r="H239">
        <v>5</v>
      </c>
      <c r="I239">
        <v>5</v>
      </c>
      <c r="J239">
        <v>0</v>
      </c>
      <c r="K239">
        <v>1</v>
      </c>
      <c r="L239">
        <v>2000000000</v>
      </c>
      <c r="M239">
        <v>96</v>
      </c>
      <c r="N239">
        <v>96</v>
      </c>
      <c r="O239">
        <v>96</v>
      </c>
      <c r="P239">
        <v>0</v>
      </c>
      <c r="Q239" t="s">
        <v>62</v>
      </c>
      <c r="R239">
        <v>9.9998645093478605E+17</v>
      </c>
      <c r="S239">
        <v>999999195</v>
      </c>
      <c r="T239">
        <v>9.9998645093478605E+17</v>
      </c>
      <c r="U239">
        <v>999999195</v>
      </c>
      <c r="V239" t="s">
        <v>75</v>
      </c>
      <c r="W239">
        <v>83</v>
      </c>
      <c r="X239">
        <v>999999194</v>
      </c>
      <c r="Y239">
        <v>999999195</v>
      </c>
      <c r="Z239">
        <v>1999998389</v>
      </c>
      <c r="AA239">
        <v>999999195</v>
      </c>
      <c r="AB239">
        <v>2</v>
      </c>
      <c r="AC239">
        <v>1</v>
      </c>
      <c r="AD239">
        <v>1.5</v>
      </c>
      <c r="AE239">
        <v>41.686799999999998</v>
      </c>
      <c r="AM239">
        <v>508208108</v>
      </c>
      <c r="AN239">
        <v>0</v>
      </c>
      <c r="AO239">
        <v>56465136</v>
      </c>
      <c r="AP239">
        <v>508208108</v>
      </c>
      <c r="AQ239">
        <v>564673244</v>
      </c>
      <c r="AR239">
        <v>16940270</v>
      </c>
      <c r="AS239">
        <v>0</v>
      </c>
      <c r="AT239">
        <v>1882171</v>
      </c>
      <c r="AU239">
        <v>16940270</v>
      </c>
      <c r="AV239">
        <v>18822441</v>
      </c>
      <c r="AW239">
        <v>54.231699999999996</v>
      </c>
      <c r="AX239">
        <v>31.471499999999999</v>
      </c>
      <c r="AY239">
        <v>14212.7</v>
      </c>
      <c r="AZ239">
        <v>12933.5</v>
      </c>
      <c r="BA239">
        <v>65682</v>
      </c>
      <c r="BB239">
        <v>66415</v>
      </c>
      <c r="BC239" t="str">
        <f t="shared" si="6"/>
        <v>u=10%, k=2x10^9</v>
      </c>
      <c r="BD239">
        <f t="shared" si="7"/>
        <v>0</v>
      </c>
    </row>
    <row r="240" spans="1:56">
      <c r="A240" t="s">
        <v>324</v>
      </c>
      <c r="B240" t="s">
        <v>68</v>
      </c>
      <c r="D240" t="s">
        <v>65</v>
      </c>
      <c r="E240" t="s">
        <v>60</v>
      </c>
      <c r="F240" t="s">
        <v>61</v>
      </c>
      <c r="G240">
        <v>30000</v>
      </c>
      <c r="H240">
        <v>5</v>
      </c>
      <c r="I240">
        <v>5</v>
      </c>
      <c r="J240">
        <v>0</v>
      </c>
      <c r="K240">
        <v>1</v>
      </c>
      <c r="L240">
        <v>2000000000</v>
      </c>
      <c r="M240">
        <v>144</v>
      </c>
      <c r="N240">
        <v>144</v>
      </c>
      <c r="O240">
        <v>144</v>
      </c>
      <c r="P240">
        <v>0</v>
      </c>
      <c r="Q240" t="s">
        <v>62</v>
      </c>
      <c r="R240">
        <v>1.00000509670354E+18</v>
      </c>
      <c r="S240">
        <v>1000003912</v>
      </c>
      <c r="T240">
        <v>1.00000509670354E+18</v>
      </c>
      <c r="U240">
        <v>1000003912</v>
      </c>
      <c r="V240" t="s">
        <v>75</v>
      </c>
      <c r="W240">
        <v>79</v>
      </c>
      <c r="X240">
        <v>1000003911</v>
      </c>
      <c r="Y240">
        <v>1000003912</v>
      </c>
      <c r="Z240">
        <v>2000007823</v>
      </c>
      <c r="AA240">
        <v>1000003912</v>
      </c>
      <c r="AB240">
        <v>2</v>
      </c>
      <c r="AC240">
        <v>1</v>
      </c>
      <c r="AD240">
        <v>1.5</v>
      </c>
      <c r="AE240">
        <v>39.7074</v>
      </c>
      <c r="AM240">
        <v>768691572</v>
      </c>
      <c r="AN240">
        <v>0</v>
      </c>
      <c r="AO240">
        <v>85397921</v>
      </c>
      <c r="AP240">
        <v>768691572</v>
      </c>
      <c r="AQ240">
        <v>854089493</v>
      </c>
      <c r="AR240">
        <v>25623052</v>
      </c>
      <c r="AS240">
        <v>0</v>
      </c>
      <c r="AT240">
        <v>2846597</v>
      </c>
      <c r="AU240">
        <v>25623052</v>
      </c>
      <c r="AV240">
        <v>28469649</v>
      </c>
      <c r="AW240">
        <v>54.438099999999999</v>
      </c>
      <c r="AX240">
        <v>31.667999999999999</v>
      </c>
      <c r="AY240">
        <v>14091.6</v>
      </c>
      <c r="AZ240">
        <v>12799.5</v>
      </c>
      <c r="BA240">
        <v>65707</v>
      </c>
      <c r="BB240">
        <v>44219</v>
      </c>
      <c r="BC240" t="str">
        <f t="shared" si="6"/>
        <v>u=10%, k=2x10^9</v>
      </c>
      <c r="BD240">
        <f t="shared" si="7"/>
        <v>0</v>
      </c>
    </row>
    <row r="241" spans="1:56">
      <c r="A241" t="s">
        <v>325</v>
      </c>
      <c r="B241" t="s">
        <v>68</v>
      </c>
      <c r="D241" t="s">
        <v>65</v>
      </c>
      <c r="E241" t="s">
        <v>60</v>
      </c>
      <c r="F241" t="s">
        <v>61</v>
      </c>
      <c r="G241">
        <v>30000</v>
      </c>
      <c r="H241">
        <v>5</v>
      </c>
      <c r="I241">
        <v>5</v>
      </c>
      <c r="J241">
        <v>0</v>
      </c>
      <c r="K241">
        <v>1</v>
      </c>
      <c r="L241">
        <v>2000000000</v>
      </c>
      <c r="M241">
        <v>190</v>
      </c>
      <c r="N241">
        <v>190</v>
      </c>
      <c r="O241">
        <v>190</v>
      </c>
      <c r="P241">
        <v>0</v>
      </c>
      <c r="Q241" t="s">
        <v>62</v>
      </c>
      <c r="R241">
        <v>9.9999180992031795E+17</v>
      </c>
      <c r="S241">
        <v>1000006719</v>
      </c>
      <c r="T241">
        <v>9.9999180992031795E+17</v>
      </c>
      <c r="U241">
        <v>1000006719</v>
      </c>
      <c r="V241" t="s">
        <v>75</v>
      </c>
      <c r="W241">
        <v>82</v>
      </c>
      <c r="X241">
        <v>1000006718</v>
      </c>
      <c r="Y241">
        <v>1000006719</v>
      </c>
      <c r="Z241">
        <v>2000013437</v>
      </c>
      <c r="AA241">
        <v>1000006719</v>
      </c>
      <c r="AB241">
        <v>2</v>
      </c>
      <c r="AC241">
        <v>1</v>
      </c>
      <c r="AD241">
        <v>1.5</v>
      </c>
      <c r="AE241">
        <v>40.919199999999996</v>
      </c>
      <c r="AM241">
        <v>1018993416</v>
      </c>
      <c r="AN241">
        <v>0</v>
      </c>
      <c r="AO241">
        <v>113218626</v>
      </c>
      <c r="AP241">
        <v>1018993416</v>
      </c>
      <c r="AQ241">
        <v>1132212042</v>
      </c>
      <c r="AR241">
        <v>33966447</v>
      </c>
      <c r="AS241">
        <v>0</v>
      </c>
      <c r="AT241">
        <v>3773954</v>
      </c>
      <c r="AU241">
        <v>33966447</v>
      </c>
      <c r="AV241">
        <v>37740401</v>
      </c>
      <c r="AW241">
        <v>54.456800000000001</v>
      </c>
      <c r="AX241">
        <v>31.842300000000002</v>
      </c>
      <c r="AY241">
        <v>14023.8</v>
      </c>
      <c r="AZ241">
        <v>12714.5</v>
      </c>
      <c r="BA241">
        <v>65747</v>
      </c>
      <c r="BB241">
        <v>33775</v>
      </c>
      <c r="BC241" t="str">
        <f t="shared" si="6"/>
        <v>u=10%, k=2x10^9</v>
      </c>
      <c r="BD241">
        <f t="shared" si="7"/>
        <v>0</v>
      </c>
    </row>
    <row r="242" spans="1:56">
      <c r="A242" t="s">
        <v>326</v>
      </c>
      <c r="B242" t="s">
        <v>64</v>
      </c>
      <c r="C242">
        <v>72</v>
      </c>
      <c r="D242" t="s">
        <v>65</v>
      </c>
      <c r="E242" t="s">
        <v>60</v>
      </c>
      <c r="F242" t="s">
        <v>61</v>
      </c>
      <c r="G242">
        <v>30000</v>
      </c>
      <c r="H242">
        <v>20</v>
      </c>
      <c r="I242">
        <v>20</v>
      </c>
      <c r="J242">
        <v>0</v>
      </c>
      <c r="K242">
        <v>1</v>
      </c>
      <c r="L242">
        <v>2000000</v>
      </c>
      <c r="M242">
        <v>24</v>
      </c>
      <c r="N242">
        <v>24</v>
      </c>
      <c r="O242">
        <v>24</v>
      </c>
      <c r="P242">
        <v>0</v>
      </c>
      <c r="Q242" t="s">
        <v>62</v>
      </c>
      <c r="R242">
        <v>1000606399492</v>
      </c>
      <c r="S242">
        <v>999573</v>
      </c>
      <c r="T242">
        <v>1000606399492</v>
      </c>
      <c r="U242">
        <v>999573</v>
      </c>
      <c r="V242" t="s">
        <v>75</v>
      </c>
      <c r="W242">
        <v>6</v>
      </c>
      <c r="X242">
        <v>34586</v>
      </c>
      <c r="Y242">
        <v>1034699</v>
      </c>
      <c r="Z242">
        <v>1069285</v>
      </c>
      <c r="AA242">
        <v>999573</v>
      </c>
      <c r="AB242">
        <v>30.916699999999999</v>
      </c>
      <c r="AC242">
        <v>0.96605200000000002</v>
      </c>
      <c r="AD242">
        <v>1.9348099999999999</v>
      </c>
      <c r="AE242">
        <v>3.00318</v>
      </c>
      <c r="AM242">
        <v>782170538</v>
      </c>
      <c r="AN242">
        <v>0</v>
      </c>
      <c r="AO242">
        <v>521408160</v>
      </c>
      <c r="AP242">
        <v>782170538</v>
      </c>
      <c r="AQ242">
        <v>1303578698</v>
      </c>
      <c r="AR242">
        <v>26072351</v>
      </c>
      <c r="AS242">
        <v>0</v>
      </c>
      <c r="AT242">
        <v>17380272</v>
      </c>
      <c r="AU242">
        <v>26072351</v>
      </c>
      <c r="AV242">
        <v>43452623</v>
      </c>
      <c r="AW242">
        <v>15.751300000000001</v>
      </c>
      <c r="AX242">
        <v>1.0663800000000001</v>
      </c>
      <c r="AY242">
        <v>1538.33</v>
      </c>
      <c r="AZ242">
        <v>617.60699999999997</v>
      </c>
      <c r="BA242">
        <v>1214</v>
      </c>
      <c r="BB242">
        <v>27</v>
      </c>
      <c r="BC242" t="str">
        <f t="shared" si="6"/>
        <v>u=40%, k=2x10^6</v>
      </c>
      <c r="BD242">
        <f t="shared" si="7"/>
        <v>0</v>
      </c>
    </row>
    <row r="243" spans="1:56">
      <c r="A243" t="s">
        <v>327</v>
      </c>
      <c r="B243" t="s">
        <v>64</v>
      </c>
      <c r="C243">
        <v>72</v>
      </c>
      <c r="D243" t="s">
        <v>65</v>
      </c>
      <c r="E243" t="s">
        <v>60</v>
      </c>
      <c r="F243" t="s">
        <v>61</v>
      </c>
      <c r="G243">
        <v>30000</v>
      </c>
      <c r="H243">
        <v>20</v>
      </c>
      <c r="I243">
        <v>20</v>
      </c>
      <c r="J243">
        <v>0</v>
      </c>
      <c r="K243">
        <v>1</v>
      </c>
      <c r="L243">
        <v>2000000</v>
      </c>
      <c r="M243">
        <v>48</v>
      </c>
      <c r="N243">
        <v>48</v>
      </c>
      <c r="O243">
        <v>48</v>
      </c>
      <c r="P243">
        <v>0</v>
      </c>
      <c r="Q243" t="s">
        <v>62</v>
      </c>
      <c r="R243">
        <v>999939193324</v>
      </c>
      <c r="S243">
        <v>1000040</v>
      </c>
      <c r="T243">
        <v>999939193324</v>
      </c>
      <c r="U243">
        <v>1000040</v>
      </c>
      <c r="V243" t="s">
        <v>75</v>
      </c>
      <c r="W243">
        <v>6</v>
      </c>
      <c r="X243">
        <v>57997</v>
      </c>
      <c r="Y243">
        <v>1084167</v>
      </c>
      <c r="Z243">
        <v>1142164</v>
      </c>
      <c r="AA243">
        <v>1000040</v>
      </c>
      <c r="AB243">
        <v>19.6935</v>
      </c>
      <c r="AC243">
        <v>0.922404</v>
      </c>
      <c r="AD243">
        <v>1.87557</v>
      </c>
      <c r="AE243">
        <v>3.05403</v>
      </c>
      <c r="AM243">
        <v>1122572915</v>
      </c>
      <c r="AN243">
        <v>0</v>
      </c>
      <c r="AO243">
        <v>748392730</v>
      </c>
      <c r="AP243">
        <v>1122572915</v>
      </c>
      <c r="AQ243">
        <v>1870965645</v>
      </c>
      <c r="AR243">
        <v>37419097</v>
      </c>
      <c r="AS243">
        <v>0</v>
      </c>
      <c r="AT243">
        <v>24946424</v>
      </c>
      <c r="AU243">
        <v>37419097</v>
      </c>
      <c r="AV243">
        <v>62365521</v>
      </c>
      <c r="AW243">
        <v>16.204599999999999</v>
      </c>
      <c r="AX243">
        <v>1.53213</v>
      </c>
      <c r="AY243">
        <v>2097.94</v>
      </c>
      <c r="AZ243">
        <v>998.08600000000001</v>
      </c>
      <c r="BA243">
        <v>1266</v>
      </c>
      <c r="BB243">
        <v>70</v>
      </c>
      <c r="BC243" t="str">
        <f t="shared" si="6"/>
        <v>u=40%, k=2x10^6</v>
      </c>
      <c r="BD243">
        <f t="shared" si="7"/>
        <v>0</v>
      </c>
    </row>
    <row r="244" spans="1:56">
      <c r="A244" t="s">
        <v>328</v>
      </c>
      <c r="B244" t="s">
        <v>64</v>
      </c>
      <c r="C244">
        <v>72</v>
      </c>
      <c r="D244" t="s">
        <v>65</v>
      </c>
      <c r="E244" t="s">
        <v>60</v>
      </c>
      <c r="F244" t="s">
        <v>61</v>
      </c>
      <c r="G244">
        <v>30000</v>
      </c>
      <c r="H244">
        <v>20</v>
      </c>
      <c r="I244">
        <v>20</v>
      </c>
      <c r="J244">
        <v>0</v>
      </c>
      <c r="K244">
        <v>1</v>
      </c>
      <c r="L244">
        <v>2000000</v>
      </c>
      <c r="M244">
        <v>96</v>
      </c>
      <c r="N244">
        <v>96</v>
      </c>
      <c r="O244">
        <v>96</v>
      </c>
      <c r="P244">
        <v>0</v>
      </c>
      <c r="Q244" t="s">
        <v>62</v>
      </c>
      <c r="R244">
        <v>998462932085</v>
      </c>
      <c r="S244">
        <v>998640</v>
      </c>
      <c r="T244">
        <v>998462932085</v>
      </c>
      <c r="U244">
        <v>998640</v>
      </c>
      <c r="V244" t="s">
        <v>75</v>
      </c>
      <c r="W244">
        <v>6</v>
      </c>
      <c r="X244">
        <v>53654</v>
      </c>
      <c r="Y244">
        <v>1072784</v>
      </c>
      <c r="Z244">
        <v>1126438</v>
      </c>
      <c r="AA244">
        <v>998640</v>
      </c>
      <c r="AB244">
        <v>20.994499999999999</v>
      </c>
      <c r="AC244">
        <v>0.93088599999999999</v>
      </c>
      <c r="AD244">
        <v>1.8865499999999999</v>
      </c>
      <c r="AE244">
        <v>3.0432399999999999</v>
      </c>
      <c r="AM244">
        <v>1373609497</v>
      </c>
      <c r="AN244">
        <v>0</v>
      </c>
      <c r="AO244">
        <v>915737827</v>
      </c>
      <c r="AP244">
        <v>1373609497</v>
      </c>
      <c r="AQ244">
        <v>2289347324</v>
      </c>
      <c r="AR244">
        <v>45786983</v>
      </c>
      <c r="AS244">
        <v>0</v>
      </c>
      <c r="AT244">
        <v>30524594</v>
      </c>
      <c r="AU244">
        <v>45786983</v>
      </c>
      <c r="AV244">
        <v>76311577</v>
      </c>
      <c r="AW244">
        <v>19.519200000000001</v>
      </c>
      <c r="AX244">
        <v>6.1505099999999997</v>
      </c>
      <c r="AY244">
        <v>3500.85</v>
      </c>
      <c r="AZ244">
        <v>2355.2399999999998</v>
      </c>
      <c r="BA244">
        <v>1384</v>
      </c>
      <c r="BB244">
        <v>159</v>
      </c>
      <c r="BC244" t="str">
        <f t="shared" si="6"/>
        <v>u=40%, k=2x10^6</v>
      </c>
      <c r="BD244">
        <f t="shared" si="7"/>
        <v>0</v>
      </c>
    </row>
    <row r="245" spans="1:56">
      <c r="A245" t="s">
        <v>329</v>
      </c>
      <c r="B245" t="s">
        <v>64</v>
      </c>
      <c r="C245">
        <v>72</v>
      </c>
      <c r="D245" t="s">
        <v>65</v>
      </c>
      <c r="E245" t="s">
        <v>60</v>
      </c>
      <c r="F245" t="s">
        <v>61</v>
      </c>
      <c r="G245">
        <v>30000</v>
      </c>
      <c r="H245">
        <v>20</v>
      </c>
      <c r="I245">
        <v>20</v>
      </c>
      <c r="J245">
        <v>0</v>
      </c>
      <c r="K245">
        <v>1</v>
      </c>
      <c r="L245">
        <v>2000000</v>
      </c>
      <c r="M245">
        <v>144</v>
      </c>
      <c r="N245">
        <v>144</v>
      </c>
      <c r="O245">
        <v>144</v>
      </c>
      <c r="P245">
        <v>0</v>
      </c>
      <c r="Q245" t="s">
        <v>62</v>
      </c>
      <c r="R245">
        <v>1000186051785</v>
      </c>
      <c r="S245">
        <v>1000409</v>
      </c>
      <c r="T245">
        <v>1000186051785</v>
      </c>
      <c r="U245">
        <v>1000409</v>
      </c>
      <c r="V245" t="s">
        <v>75</v>
      </c>
      <c r="W245">
        <v>6</v>
      </c>
      <c r="X245">
        <v>52446</v>
      </c>
      <c r="Y245">
        <v>1071395</v>
      </c>
      <c r="Z245">
        <v>1123841</v>
      </c>
      <c r="AA245">
        <v>1000409</v>
      </c>
      <c r="AB245">
        <v>21.4285</v>
      </c>
      <c r="AC245">
        <v>0.93374400000000002</v>
      </c>
      <c r="AD245">
        <v>1.8901699999999999</v>
      </c>
      <c r="AE245">
        <v>3.0403799999999999</v>
      </c>
      <c r="AM245">
        <v>1514610291</v>
      </c>
      <c r="AN245">
        <v>0</v>
      </c>
      <c r="AO245">
        <v>1009745195</v>
      </c>
      <c r="AP245">
        <v>1514610291</v>
      </c>
      <c r="AQ245">
        <v>2524355486</v>
      </c>
      <c r="AR245">
        <v>50487009</v>
      </c>
      <c r="AS245">
        <v>0</v>
      </c>
      <c r="AT245">
        <v>33658173</v>
      </c>
      <c r="AU245">
        <v>50487009</v>
      </c>
      <c r="AV245">
        <v>84145182</v>
      </c>
      <c r="AW245">
        <v>24.418700000000001</v>
      </c>
      <c r="AX245">
        <v>10.6447</v>
      </c>
      <c r="AY245">
        <v>4762.8100000000004</v>
      </c>
      <c r="AZ245">
        <v>3473.5</v>
      </c>
      <c r="BA245">
        <v>1578</v>
      </c>
      <c r="BB245">
        <v>254</v>
      </c>
      <c r="BC245" t="str">
        <f t="shared" si="6"/>
        <v>u=40%, k=2x10^6</v>
      </c>
      <c r="BD245">
        <f t="shared" si="7"/>
        <v>0</v>
      </c>
    </row>
    <row r="246" spans="1:56">
      <c r="A246" t="s">
        <v>330</v>
      </c>
      <c r="B246" t="s">
        <v>64</v>
      </c>
      <c r="C246">
        <v>72</v>
      </c>
      <c r="D246" t="s">
        <v>65</v>
      </c>
      <c r="E246" t="s">
        <v>60</v>
      </c>
      <c r="F246" t="s">
        <v>61</v>
      </c>
      <c r="G246">
        <v>30000</v>
      </c>
      <c r="H246">
        <v>20</v>
      </c>
      <c r="I246">
        <v>20</v>
      </c>
      <c r="J246">
        <v>0</v>
      </c>
      <c r="K246">
        <v>1</v>
      </c>
      <c r="L246">
        <v>2000000</v>
      </c>
      <c r="M246">
        <v>190</v>
      </c>
      <c r="N246">
        <v>190</v>
      </c>
      <c r="O246">
        <v>190</v>
      </c>
      <c r="P246">
        <v>0</v>
      </c>
      <c r="Q246" t="s">
        <v>62</v>
      </c>
      <c r="R246">
        <v>999982522472</v>
      </c>
      <c r="S246">
        <v>1000466</v>
      </c>
      <c r="T246">
        <v>999982522472</v>
      </c>
      <c r="U246">
        <v>1000466</v>
      </c>
      <c r="V246" t="s">
        <v>75</v>
      </c>
      <c r="W246">
        <v>6</v>
      </c>
      <c r="X246">
        <v>53830</v>
      </c>
      <c r="Y246">
        <v>1074771</v>
      </c>
      <c r="Z246">
        <v>1128601</v>
      </c>
      <c r="AA246">
        <v>1000466</v>
      </c>
      <c r="AB246">
        <v>20.966000000000001</v>
      </c>
      <c r="AC246">
        <v>0.93086400000000002</v>
      </c>
      <c r="AD246">
        <v>1.8864700000000001</v>
      </c>
      <c r="AE246">
        <v>3.0434800000000002</v>
      </c>
      <c r="AM246">
        <v>1732750100</v>
      </c>
      <c r="AN246">
        <v>0</v>
      </c>
      <c r="AO246">
        <v>1155175554</v>
      </c>
      <c r="AP246">
        <v>1732750100</v>
      </c>
      <c r="AQ246">
        <v>2887925654</v>
      </c>
      <c r="AR246">
        <v>57758336</v>
      </c>
      <c r="AS246">
        <v>0</v>
      </c>
      <c r="AT246">
        <v>38505851</v>
      </c>
      <c r="AU246">
        <v>57758336</v>
      </c>
      <c r="AV246">
        <v>96264188</v>
      </c>
      <c r="AW246">
        <v>25.0594</v>
      </c>
      <c r="AX246">
        <v>11.960599999999999</v>
      </c>
      <c r="AY246">
        <v>5484.09</v>
      </c>
      <c r="AZ246">
        <v>4201.26</v>
      </c>
      <c r="BA246">
        <v>1754</v>
      </c>
      <c r="BB246">
        <v>238</v>
      </c>
      <c r="BC246" t="str">
        <f t="shared" si="6"/>
        <v>u=40%, k=2x10^6</v>
      </c>
      <c r="BD246">
        <f t="shared" si="7"/>
        <v>0</v>
      </c>
    </row>
    <row r="247" spans="1:56">
      <c r="A247" t="s">
        <v>331</v>
      </c>
      <c r="B247" t="s">
        <v>66</v>
      </c>
      <c r="C247">
        <v>208</v>
      </c>
      <c r="D247" t="s">
        <v>65</v>
      </c>
      <c r="E247" t="s">
        <v>60</v>
      </c>
      <c r="F247" t="s">
        <v>61</v>
      </c>
      <c r="G247">
        <v>30000</v>
      </c>
      <c r="H247">
        <v>20</v>
      </c>
      <c r="I247">
        <v>20</v>
      </c>
      <c r="J247">
        <v>0</v>
      </c>
      <c r="K247">
        <v>1</v>
      </c>
      <c r="L247">
        <v>2000000</v>
      </c>
      <c r="M247">
        <v>24</v>
      </c>
      <c r="N247">
        <v>24</v>
      </c>
      <c r="O247">
        <v>24</v>
      </c>
      <c r="P247">
        <v>0</v>
      </c>
      <c r="Q247" t="s">
        <v>62</v>
      </c>
      <c r="R247">
        <v>1000612075678</v>
      </c>
      <c r="S247">
        <v>1000147</v>
      </c>
      <c r="T247">
        <v>1000612075678</v>
      </c>
      <c r="U247">
        <v>1000147</v>
      </c>
      <c r="V247" t="s">
        <v>75</v>
      </c>
      <c r="W247">
        <v>8</v>
      </c>
      <c r="X247">
        <v>34821</v>
      </c>
      <c r="Y247">
        <v>194846</v>
      </c>
      <c r="Z247">
        <v>229667</v>
      </c>
      <c r="AA247">
        <v>1000147</v>
      </c>
      <c r="AB247">
        <v>6.59565</v>
      </c>
      <c r="AC247">
        <v>5.1330099999999996</v>
      </c>
      <c r="AD247">
        <v>5.3547700000000003</v>
      </c>
      <c r="AE247">
        <v>7</v>
      </c>
      <c r="AM247">
        <v>854290840</v>
      </c>
      <c r="AN247">
        <v>0</v>
      </c>
      <c r="AO247">
        <v>569569782</v>
      </c>
      <c r="AP247">
        <v>854290840</v>
      </c>
      <c r="AQ247">
        <v>1423860622</v>
      </c>
      <c r="AR247">
        <v>28476361</v>
      </c>
      <c r="AS247">
        <v>0</v>
      </c>
      <c r="AT247">
        <v>18985659</v>
      </c>
      <c r="AU247">
        <v>28476361</v>
      </c>
      <c r="AV247">
        <v>47462020</v>
      </c>
      <c r="AW247">
        <v>11.8201</v>
      </c>
      <c r="AX247">
        <v>1.1245099999999999</v>
      </c>
      <c r="AY247">
        <v>1410.08</v>
      </c>
      <c r="AZ247">
        <v>502.69400000000002</v>
      </c>
      <c r="BA247">
        <v>1140</v>
      </c>
      <c r="BB247">
        <v>162</v>
      </c>
      <c r="BC247" t="str">
        <f t="shared" si="6"/>
        <v>u=40%, k=2x10^6</v>
      </c>
      <c r="BD247">
        <f t="shared" si="7"/>
        <v>0</v>
      </c>
    </row>
    <row r="248" spans="1:56">
      <c r="A248" t="s">
        <v>332</v>
      </c>
      <c r="B248" t="s">
        <v>66</v>
      </c>
      <c r="C248">
        <v>208</v>
      </c>
      <c r="D248" t="s">
        <v>65</v>
      </c>
      <c r="E248" t="s">
        <v>60</v>
      </c>
      <c r="F248" t="s">
        <v>61</v>
      </c>
      <c r="G248">
        <v>30000</v>
      </c>
      <c r="H248">
        <v>20</v>
      </c>
      <c r="I248">
        <v>20</v>
      </c>
      <c r="J248">
        <v>0</v>
      </c>
      <c r="K248">
        <v>1</v>
      </c>
      <c r="L248">
        <v>2000000</v>
      </c>
      <c r="M248">
        <v>48</v>
      </c>
      <c r="N248">
        <v>48</v>
      </c>
      <c r="O248">
        <v>48</v>
      </c>
      <c r="P248">
        <v>0</v>
      </c>
      <c r="Q248" t="s">
        <v>62</v>
      </c>
      <c r="R248">
        <v>1000717141580</v>
      </c>
      <c r="S248">
        <v>1000499</v>
      </c>
      <c r="T248">
        <v>1000717141580</v>
      </c>
      <c r="U248">
        <v>1000499</v>
      </c>
      <c r="V248" t="s">
        <v>75</v>
      </c>
      <c r="W248">
        <v>8</v>
      </c>
      <c r="X248">
        <v>35243</v>
      </c>
      <c r="Y248">
        <v>194745</v>
      </c>
      <c r="Z248">
        <v>229988</v>
      </c>
      <c r="AA248">
        <v>1000499</v>
      </c>
      <c r="AB248">
        <v>6.5257800000000001</v>
      </c>
      <c r="AC248">
        <v>5.13748</v>
      </c>
      <c r="AD248">
        <v>5.3502200000000002</v>
      </c>
      <c r="AE248">
        <v>7</v>
      </c>
      <c r="AM248">
        <v>1314456514</v>
      </c>
      <c r="AN248">
        <v>0</v>
      </c>
      <c r="AO248">
        <v>876287488</v>
      </c>
      <c r="AP248">
        <v>1314456514</v>
      </c>
      <c r="AQ248">
        <v>2190744002</v>
      </c>
      <c r="AR248">
        <v>43815217</v>
      </c>
      <c r="AS248">
        <v>0</v>
      </c>
      <c r="AT248">
        <v>29209582</v>
      </c>
      <c r="AU248">
        <v>43815217</v>
      </c>
      <c r="AV248">
        <v>73024800</v>
      </c>
      <c r="AW248">
        <v>12.4724</v>
      </c>
      <c r="AX248">
        <v>1.39497</v>
      </c>
      <c r="AY248">
        <v>1778.79</v>
      </c>
      <c r="AZ248">
        <v>788.16200000000003</v>
      </c>
      <c r="BA248">
        <v>1164</v>
      </c>
      <c r="BB248">
        <v>190</v>
      </c>
      <c r="BC248" t="str">
        <f t="shared" si="6"/>
        <v>u=40%, k=2x10^6</v>
      </c>
      <c r="BD248">
        <f t="shared" si="7"/>
        <v>0</v>
      </c>
    </row>
    <row r="249" spans="1:56">
      <c r="A249" t="s">
        <v>333</v>
      </c>
      <c r="B249" t="s">
        <v>66</v>
      </c>
      <c r="C249">
        <v>208</v>
      </c>
      <c r="D249" t="s">
        <v>65</v>
      </c>
      <c r="E249" t="s">
        <v>60</v>
      </c>
      <c r="F249" t="s">
        <v>61</v>
      </c>
      <c r="G249">
        <v>30000</v>
      </c>
      <c r="H249">
        <v>20</v>
      </c>
      <c r="I249">
        <v>20</v>
      </c>
      <c r="J249">
        <v>0</v>
      </c>
      <c r="K249">
        <v>1</v>
      </c>
      <c r="L249">
        <v>2000000</v>
      </c>
      <c r="M249">
        <v>96</v>
      </c>
      <c r="N249">
        <v>96</v>
      </c>
      <c r="O249">
        <v>96</v>
      </c>
      <c r="P249">
        <v>0</v>
      </c>
      <c r="Q249" t="s">
        <v>62</v>
      </c>
      <c r="R249">
        <v>999505826623</v>
      </c>
      <c r="S249">
        <v>999916</v>
      </c>
      <c r="T249">
        <v>999505826623</v>
      </c>
      <c r="U249">
        <v>999916</v>
      </c>
      <c r="V249" t="s">
        <v>75</v>
      </c>
      <c r="W249">
        <v>8</v>
      </c>
      <c r="X249">
        <v>35792</v>
      </c>
      <c r="Y249">
        <v>194697</v>
      </c>
      <c r="Z249">
        <v>230489</v>
      </c>
      <c r="AA249">
        <v>999916</v>
      </c>
      <c r="AB249">
        <v>6.4396800000000001</v>
      </c>
      <c r="AC249">
        <v>5.1357499999999998</v>
      </c>
      <c r="AD249">
        <v>5.3382399999999999</v>
      </c>
      <c r="AE249">
        <v>7</v>
      </c>
      <c r="AM249">
        <v>2058714528</v>
      </c>
      <c r="AN249">
        <v>0</v>
      </c>
      <c r="AO249">
        <v>1372468370</v>
      </c>
      <c r="AP249">
        <v>2058714528</v>
      </c>
      <c r="AQ249">
        <v>3431182898</v>
      </c>
      <c r="AR249">
        <v>68623817</v>
      </c>
      <c r="AS249">
        <v>0</v>
      </c>
      <c r="AT249">
        <v>45748945</v>
      </c>
      <c r="AU249">
        <v>68623817</v>
      </c>
      <c r="AV249">
        <v>114372763</v>
      </c>
      <c r="AW249">
        <v>13.86</v>
      </c>
      <c r="AX249">
        <v>3.7254900000000002</v>
      </c>
      <c r="AY249">
        <v>2330.91</v>
      </c>
      <c r="AZ249">
        <v>1216.76</v>
      </c>
      <c r="BA249">
        <v>1216</v>
      </c>
      <c r="BB249">
        <v>329</v>
      </c>
      <c r="BC249" t="str">
        <f t="shared" si="6"/>
        <v>u=40%, k=2x10^6</v>
      </c>
      <c r="BD249">
        <f t="shared" si="7"/>
        <v>0</v>
      </c>
    </row>
    <row r="250" spans="1:56">
      <c r="A250" t="s">
        <v>334</v>
      </c>
      <c r="B250" t="s">
        <v>66</v>
      </c>
      <c r="C250">
        <v>208</v>
      </c>
      <c r="D250" t="s">
        <v>65</v>
      </c>
      <c r="E250" t="s">
        <v>60</v>
      </c>
      <c r="F250" t="s">
        <v>61</v>
      </c>
      <c r="G250">
        <v>30000</v>
      </c>
      <c r="H250">
        <v>20</v>
      </c>
      <c r="I250">
        <v>20</v>
      </c>
      <c r="J250">
        <v>0</v>
      </c>
      <c r="K250">
        <v>1</v>
      </c>
      <c r="L250">
        <v>2000000</v>
      </c>
      <c r="M250">
        <v>144</v>
      </c>
      <c r="N250">
        <v>144</v>
      </c>
      <c r="O250">
        <v>144</v>
      </c>
      <c r="P250">
        <v>0</v>
      </c>
      <c r="Q250" t="s">
        <v>62</v>
      </c>
      <c r="R250">
        <v>999789558925</v>
      </c>
      <c r="S250">
        <v>999987</v>
      </c>
      <c r="T250">
        <v>999789558925</v>
      </c>
      <c r="U250">
        <v>999987</v>
      </c>
      <c r="V250" t="s">
        <v>75</v>
      </c>
      <c r="W250">
        <v>8</v>
      </c>
      <c r="X250">
        <v>35948</v>
      </c>
      <c r="Y250">
        <v>194999</v>
      </c>
      <c r="Z250">
        <v>230947</v>
      </c>
      <c r="AA250">
        <v>999987</v>
      </c>
      <c r="AB250">
        <v>6.4244700000000003</v>
      </c>
      <c r="AC250">
        <v>5.1281600000000003</v>
      </c>
      <c r="AD250">
        <v>5.3299399999999997</v>
      </c>
      <c r="AE250">
        <v>7</v>
      </c>
      <c r="AM250">
        <v>2568924853</v>
      </c>
      <c r="AN250">
        <v>0</v>
      </c>
      <c r="AO250">
        <v>1712686963</v>
      </c>
      <c r="AP250">
        <v>2568924853</v>
      </c>
      <c r="AQ250">
        <v>4281611816</v>
      </c>
      <c r="AR250">
        <v>85630828</v>
      </c>
      <c r="AS250">
        <v>0</v>
      </c>
      <c r="AT250">
        <v>57089565</v>
      </c>
      <c r="AU250">
        <v>85630828</v>
      </c>
      <c r="AV250">
        <v>142720393</v>
      </c>
      <c r="AW250">
        <v>15.010199999999999</v>
      </c>
      <c r="AX250">
        <v>4.9848800000000004</v>
      </c>
      <c r="AY250">
        <v>2793</v>
      </c>
      <c r="AZ250">
        <v>1447.24</v>
      </c>
      <c r="BA250">
        <v>1231</v>
      </c>
      <c r="BB250">
        <v>325</v>
      </c>
      <c r="BC250" t="str">
        <f t="shared" si="6"/>
        <v>u=40%, k=2x10^6</v>
      </c>
      <c r="BD250">
        <f t="shared" si="7"/>
        <v>0</v>
      </c>
    </row>
    <row r="251" spans="1:56">
      <c r="A251" t="s">
        <v>335</v>
      </c>
      <c r="B251" t="s">
        <v>66</v>
      </c>
      <c r="C251">
        <v>208</v>
      </c>
      <c r="D251" t="s">
        <v>65</v>
      </c>
      <c r="E251" t="s">
        <v>60</v>
      </c>
      <c r="F251" t="s">
        <v>61</v>
      </c>
      <c r="G251">
        <v>30000</v>
      </c>
      <c r="H251">
        <v>20</v>
      </c>
      <c r="I251">
        <v>20</v>
      </c>
      <c r="J251">
        <v>0</v>
      </c>
      <c r="K251">
        <v>1</v>
      </c>
      <c r="L251">
        <v>2000000</v>
      </c>
      <c r="M251">
        <v>190</v>
      </c>
      <c r="N251">
        <v>190</v>
      </c>
      <c r="O251">
        <v>190</v>
      </c>
      <c r="P251">
        <v>0</v>
      </c>
      <c r="Q251" t="s">
        <v>62</v>
      </c>
      <c r="R251">
        <v>1000990144385</v>
      </c>
      <c r="S251">
        <v>1000799</v>
      </c>
      <c r="T251">
        <v>1000990144385</v>
      </c>
      <c r="U251">
        <v>1000799</v>
      </c>
      <c r="V251" t="s">
        <v>75</v>
      </c>
      <c r="W251">
        <v>8</v>
      </c>
      <c r="X251">
        <v>35814</v>
      </c>
      <c r="Y251">
        <v>194975</v>
      </c>
      <c r="Z251">
        <v>230789</v>
      </c>
      <c r="AA251">
        <v>1000799</v>
      </c>
      <c r="AB251">
        <v>6.4440999999999997</v>
      </c>
      <c r="AC251">
        <v>5.1329599999999997</v>
      </c>
      <c r="AD251">
        <v>5.3364200000000004</v>
      </c>
      <c r="AE251">
        <v>7</v>
      </c>
      <c r="AM251">
        <v>2207199171</v>
      </c>
      <c r="AN251">
        <v>0</v>
      </c>
      <c r="AO251">
        <v>1471488197</v>
      </c>
      <c r="AP251">
        <v>2207199171</v>
      </c>
      <c r="AQ251">
        <v>3678687368</v>
      </c>
      <c r="AR251">
        <v>73573305</v>
      </c>
      <c r="AS251">
        <v>0</v>
      </c>
      <c r="AT251">
        <v>49049606</v>
      </c>
      <c r="AU251">
        <v>73573305</v>
      </c>
      <c r="AV251">
        <v>122622912</v>
      </c>
      <c r="AW251">
        <v>16.125599999999999</v>
      </c>
      <c r="AX251">
        <v>5.8830299999999998</v>
      </c>
      <c r="AY251">
        <v>3894.27</v>
      </c>
      <c r="AZ251">
        <v>1694.25</v>
      </c>
      <c r="BA251">
        <v>1278</v>
      </c>
      <c r="BB251">
        <v>280</v>
      </c>
      <c r="BC251" t="str">
        <f t="shared" si="6"/>
        <v>u=40%, k=2x10^6</v>
      </c>
      <c r="BD251">
        <f t="shared" si="7"/>
        <v>0</v>
      </c>
    </row>
    <row r="252" spans="1:56">
      <c r="A252" t="s">
        <v>336</v>
      </c>
      <c r="B252" t="s">
        <v>67</v>
      </c>
      <c r="D252" t="s">
        <v>65</v>
      </c>
      <c r="E252" t="s">
        <v>60</v>
      </c>
      <c r="F252" t="s">
        <v>61</v>
      </c>
      <c r="G252">
        <v>30000</v>
      </c>
      <c r="H252">
        <v>20</v>
      </c>
      <c r="I252">
        <v>20</v>
      </c>
      <c r="J252">
        <v>0</v>
      </c>
      <c r="K252">
        <v>1</v>
      </c>
      <c r="L252">
        <v>2000000</v>
      </c>
      <c r="M252">
        <v>24</v>
      </c>
      <c r="N252">
        <v>24</v>
      </c>
      <c r="O252">
        <v>24</v>
      </c>
      <c r="P252">
        <v>0</v>
      </c>
      <c r="Q252" t="s">
        <v>62</v>
      </c>
      <c r="R252">
        <v>999284356082</v>
      </c>
      <c r="S252">
        <v>999867</v>
      </c>
      <c r="T252">
        <v>999284356082</v>
      </c>
      <c r="U252">
        <v>999867</v>
      </c>
      <c r="V252" t="s">
        <v>75</v>
      </c>
      <c r="W252">
        <v>25</v>
      </c>
      <c r="X252">
        <v>685913</v>
      </c>
      <c r="Y252">
        <v>520620</v>
      </c>
      <c r="Z252">
        <v>1206533</v>
      </c>
      <c r="AA252">
        <v>999867</v>
      </c>
      <c r="AB252">
        <v>1.75902</v>
      </c>
      <c r="AC252">
        <v>1.9205300000000001</v>
      </c>
      <c r="AD252">
        <v>1.8287100000000001</v>
      </c>
      <c r="AE252">
        <v>19.823699999999999</v>
      </c>
      <c r="AM252">
        <v>434388129</v>
      </c>
      <c r="AN252">
        <v>0</v>
      </c>
      <c r="AO252">
        <v>289615417</v>
      </c>
      <c r="AP252">
        <v>434388129</v>
      </c>
      <c r="AQ252">
        <v>724003546</v>
      </c>
      <c r="AR252">
        <v>14479604</v>
      </c>
      <c r="AS252">
        <v>0</v>
      </c>
      <c r="AT252">
        <v>9653847</v>
      </c>
      <c r="AU252">
        <v>14479604</v>
      </c>
      <c r="AV252">
        <v>24133451</v>
      </c>
      <c r="AW252">
        <v>17.9633</v>
      </c>
      <c r="AX252">
        <v>3.1863199999999998</v>
      </c>
      <c r="AY252">
        <v>2773.69</v>
      </c>
      <c r="AZ252">
        <v>1509.44</v>
      </c>
      <c r="BA252">
        <v>1178</v>
      </c>
      <c r="BB252">
        <v>193</v>
      </c>
      <c r="BC252" t="str">
        <f t="shared" si="6"/>
        <v>u=40%, k=2x10^6</v>
      </c>
      <c r="BD252">
        <f t="shared" si="7"/>
        <v>0</v>
      </c>
    </row>
    <row r="253" spans="1:56">
      <c r="A253" t="s">
        <v>337</v>
      </c>
      <c r="B253" t="s">
        <v>67</v>
      </c>
      <c r="D253" t="s">
        <v>65</v>
      </c>
      <c r="E253" t="s">
        <v>60</v>
      </c>
      <c r="F253" t="s">
        <v>61</v>
      </c>
      <c r="G253">
        <v>30000</v>
      </c>
      <c r="H253">
        <v>20</v>
      </c>
      <c r="I253">
        <v>20</v>
      </c>
      <c r="J253">
        <v>0</v>
      </c>
      <c r="K253">
        <v>1</v>
      </c>
      <c r="L253">
        <v>2000000</v>
      </c>
      <c r="M253">
        <v>48</v>
      </c>
      <c r="N253">
        <v>48</v>
      </c>
      <c r="O253">
        <v>48</v>
      </c>
      <c r="P253">
        <v>0</v>
      </c>
      <c r="Q253" t="s">
        <v>62</v>
      </c>
      <c r="R253">
        <v>1001086202775</v>
      </c>
      <c r="S253">
        <v>1000701</v>
      </c>
      <c r="T253">
        <v>1001086202775</v>
      </c>
      <c r="U253">
        <v>1000701</v>
      </c>
      <c r="V253" t="s">
        <v>75</v>
      </c>
      <c r="W253">
        <v>25</v>
      </c>
      <c r="X253">
        <v>686201</v>
      </c>
      <c r="Y253">
        <v>520160</v>
      </c>
      <c r="Z253">
        <v>1206361</v>
      </c>
      <c r="AA253">
        <v>1000701</v>
      </c>
      <c r="AB253">
        <v>1.75803</v>
      </c>
      <c r="AC253">
        <v>1.9238299999999999</v>
      </c>
      <c r="AD253">
        <v>1.82952</v>
      </c>
      <c r="AE253">
        <v>19.8581</v>
      </c>
      <c r="AM253">
        <v>752895202</v>
      </c>
      <c r="AN253">
        <v>0</v>
      </c>
      <c r="AO253">
        <v>501927910</v>
      </c>
      <c r="AP253">
        <v>752895202</v>
      </c>
      <c r="AQ253">
        <v>1254823112</v>
      </c>
      <c r="AR253">
        <v>25096506</v>
      </c>
      <c r="AS253">
        <v>0</v>
      </c>
      <c r="AT253">
        <v>16730930</v>
      </c>
      <c r="AU253">
        <v>25096506</v>
      </c>
      <c r="AV253">
        <v>41827437</v>
      </c>
      <c r="AW253">
        <v>18.901700000000002</v>
      </c>
      <c r="AX253">
        <v>3.31257</v>
      </c>
      <c r="AY253">
        <v>3187.42</v>
      </c>
      <c r="AZ253">
        <v>1802.71</v>
      </c>
      <c r="BA253">
        <v>1198</v>
      </c>
      <c r="BB253">
        <v>193</v>
      </c>
      <c r="BC253" t="str">
        <f t="shared" si="6"/>
        <v>u=40%, k=2x10^6</v>
      </c>
      <c r="BD253">
        <f t="shared" si="7"/>
        <v>0</v>
      </c>
    </row>
    <row r="254" spans="1:56">
      <c r="A254" t="s">
        <v>338</v>
      </c>
      <c r="B254" t="s">
        <v>67</v>
      </c>
      <c r="D254" t="s">
        <v>65</v>
      </c>
      <c r="E254" t="s">
        <v>60</v>
      </c>
      <c r="F254" t="s">
        <v>61</v>
      </c>
      <c r="G254">
        <v>30000</v>
      </c>
      <c r="H254">
        <v>20</v>
      </c>
      <c r="I254">
        <v>20</v>
      </c>
      <c r="J254">
        <v>0</v>
      </c>
      <c r="K254">
        <v>1</v>
      </c>
      <c r="L254">
        <v>2000000</v>
      </c>
      <c r="M254">
        <v>96</v>
      </c>
      <c r="N254">
        <v>96</v>
      </c>
      <c r="O254">
        <v>96</v>
      </c>
      <c r="P254">
        <v>0</v>
      </c>
      <c r="Q254" t="s">
        <v>62</v>
      </c>
      <c r="R254">
        <v>1000859864909</v>
      </c>
      <c r="S254">
        <v>1000106</v>
      </c>
      <c r="T254">
        <v>1000859864909</v>
      </c>
      <c r="U254">
        <v>1000106</v>
      </c>
      <c r="V254" t="s">
        <v>75</v>
      </c>
      <c r="W254">
        <v>25</v>
      </c>
      <c r="X254">
        <v>686337</v>
      </c>
      <c r="Y254">
        <v>520565</v>
      </c>
      <c r="Z254">
        <v>1206902</v>
      </c>
      <c r="AA254">
        <v>1000106</v>
      </c>
      <c r="AB254">
        <v>1.75847</v>
      </c>
      <c r="AC254">
        <v>1.92119</v>
      </c>
      <c r="AD254">
        <v>1.82866</v>
      </c>
      <c r="AE254">
        <v>19.8063</v>
      </c>
      <c r="AM254">
        <v>1412046260</v>
      </c>
      <c r="AN254">
        <v>0</v>
      </c>
      <c r="AO254">
        <v>941335960</v>
      </c>
      <c r="AP254">
        <v>1412046260</v>
      </c>
      <c r="AQ254">
        <v>2353382220</v>
      </c>
      <c r="AR254">
        <v>47068208</v>
      </c>
      <c r="AS254">
        <v>0</v>
      </c>
      <c r="AT254">
        <v>31377865</v>
      </c>
      <c r="AU254">
        <v>47068208</v>
      </c>
      <c r="AV254">
        <v>78446074</v>
      </c>
      <c r="AW254">
        <v>19.9314</v>
      </c>
      <c r="AX254">
        <v>4.0448500000000003</v>
      </c>
      <c r="AY254">
        <v>3395.71</v>
      </c>
      <c r="AZ254">
        <v>1967.02</v>
      </c>
      <c r="BA254">
        <v>1228</v>
      </c>
      <c r="BB254">
        <v>443</v>
      </c>
      <c r="BC254" t="str">
        <f t="shared" si="6"/>
        <v>u=40%, k=2x10^6</v>
      </c>
      <c r="BD254">
        <f t="shared" si="7"/>
        <v>0</v>
      </c>
    </row>
    <row r="255" spans="1:56">
      <c r="A255" t="s">
        <v>339</v>
      </c>
      <c r="B255" t="s">
        <v>67</v>
      </c>
      <c r="D255" t="s">
        <v>65</v>
      </c>
      <c r="E255" t="s">
        <v>60</v>
      </c>
      <c r="F255" t="s">
        <v>61</v>
      </c>
      <c r="G255">
        <v>30000</v>
      </c>
      <c r="H255">
        <v>20</v>
      </c>
      <c r="I255">
        <v>20</v>
      </c>
      <c r="J255">
        <v>0</v>
      </c>
      <c r="K255">
        <v>1</v>
      </c>
      <c r="L255">
        <v>2000000</v>
      </c>
      <c r="M255">
        <v>144</v>
      </c>
      <c r="N255">
        <v>144</v>
      </c>
      <c r="O255">
        <v>144</v>
      </c>
      <c r="P255">
        <v>0</v>
      </c>
      <c r="Q255" t="s">
        <v>62</v>
      </c>
      <c r="R255">
        <v>1000129182971</v>
      </c>
      <c r="S255">
        <v>999961</v>
      </c>
      <c r="T255">
        <v>1000129182971</v>
      </c>
      <c r="U255">
        <v>999961</v>
      </c>
      <c r="V255" t="s">
        <v>75</v>
      </c>
      <c r="W255">
        <v>25</v>
      </c>
      <c r="X255">
        <v>685543</v>
      </c>
      <c r="Y255">
        <v>520324</v>
      </c>
      <c r="Z255">
        <v>1205867</v>
      </c>
      <c r="AA255">
        <v>999961</v>
      </c>
      <c r="AB255">
        <v>1.7589999999999999</v>
      </c>
      <c r="AC255">
        <v>1.9218</v>
      </c>
      <c r="AD255">
        <v>1.82925</v>
      </c>
      <c r="AE255">
        <v>19.853200000000001</v>
      </c>
      <c r="AM255">
        <v>2035544663</v>
      </c>
      <c r="AN255">
        <v>0</v>
      </c>
      <c r="AO255">
        <v>1357010506</v>
      </c>
      <c r="AP255">
        <v>2035544663</v>
      </c>
      <c r="AQ255">
        <v>3392555169</v>
      </c>
      <c r="AR255">
        <v>67851488</v>
      </c>
      <c r="AS255">
        <v>0</v>
      </c>
      <c r="AT255">
        <v>45233683</v>
      </c>
      <c r="AU255">
        <v>67851488</v>
      </c>
      <c r="AV255">
        <v>113085172</v>
      </c>
      <c r="AW255">
        <v>20.834399999999999</v>
      </c>
      <c r="AX255">
        <v>4.4764900000000001</v>
      </c>
      <c r="AY255">
        <v>3506.84</v>
      </c>
      <c r="AZ255">
        <v>2050.4699999999998</v>
      </c>
      <c r="BA255">
        <v>1244</v>
      </c>
      <c r="BB255">
        <v>368</v>
      </c>
      <c r="BC255" t="str">
        <f t="shared" si="6"/>
        <v>u=40%, k=2x10^6</v>
      </c>
      <c r="BD255">
        <f t="shared" si="7"/>
        <v>0</v>
      </c>
    </row>
    <row r="256" spans="1:56">
      <c r="A256" t="s">
        <v>340</v>
      </c>
      <c r="B256" t="s">
        <v>67</v>
      </c>
      <c r="D256" t="s">
        <v>65</v>
      </c>
      <c r="E256" t="s">
        <v>60</v>
      </c>
      <c r="F256" t="s">
        <v>61</v>
      </c>
      <c r="G256">
        <v>30000</v>
      </c>
      <c r="H256">
        <v>20</v>
      </c>
      <c r="I256">
        <v>20</v>
      </c>
      <c r="J256">
        <v>0</v>
      </c>
      <c r="K256">
        <v>1</v>
      </c>
      <c r="L256">
        <v>2000000</v>
      </c>
      <c r="M256">
        <v>190</v>
      </c>
      <c r="N256">
        <v>190</v>
      </c>
      <c r="O256">
        <v>190</v>
      </c>
      <c r="P256">
        <v>0</v>
      </c>
      <c r="Q256" t="s">
        <v>62</v>
      </c>
      <c r="R256">
        <v>1000752090829</v>
      </c>
      <c r="S256">
        <v>1001048</v>
      </c>
      <c r="T256">
        <v>1000752090829</v>
      </c>
      <c r="U256">
        <v>1001048</v>
      </c>
      <c r="V256" t="s">
        <v>75</v>
      </c>
      <c r="W256">
        <v>25</v>
      </c>
      <c r="X256">
        <v>686235</v>
      </c>
      <c r="Y256">
        <v>520924</v>
      </c>
      <c r="Z256">
        <v>1207159</v>
      </c>
      <c r="AA256">
        <v>1001048</v>
      </c>
      <c r="AB256">
        <v>1.7591000000000001</v>
      </c>
      <c r="AC256">
        <v>1.9216800000000001</v>
      </c>
      <c r="AD256">
        <v>1.8292600000000001</v>
      </c>
      <c r="AE256">
        <v>19.819199999999999</v>
      </c>
      <c r="AM256">
        <v>2562838746</v>
      </c>
      <c r="AN256">
        <v>0</v>
      </c>
      <c r="AO256">
        <v>1708546625</v>
      </c>
      <c r="AP256">
        <v>2562838746</v>
      </c>
      <c r="AQ256">
        <v>4271385371</v>
      </c>
      <c r="AR256">
        <v>85427958</v>
      </c>
      <c r="AS256">
        <v>0</v>
      </c>
      <c r="AT256">
        <v>56951554</v>
      </c>
      <c r="AU256">
        <v>85427958</v>
      </c>
      <c r="AV256">
        <v>142379512</v>
      </c>
      <c r="AW256">
        <v>21.860199999999999</v>
      </c>
      <c r="AX256">
        <v>4.9237599999999997</v>
      </c>
      <c r="AY256">
        <v>3672.99</v>
      </c>
      <c r="AZ256">
        <v>2140.98</v>
      </c>
      <c r="BA256">
        <v>1258</v>
      </c>
      <c r="BB256">
        <v>378</v>
      </c>
      <c r="BC256" t="str">
        <f t="shared" si="6"/>
        <v>u=40%, k=2x10^6</v>
      </c>
      <c r="BD256">
        <f t="shared" si="7"/>
        <v>0</v>
      </c>
    </row>
    <row r="257" spans="1:56">
      <c r="A257" t="s">
        <v>341</v>
      </c>
      <c r="B257" t="s">
        <v>68</v>
      </c>
      <c r="D257" t="s">
        <v>65</v>
      </c>
      <c r="E257" t="s">
        <v>60</v>
      </c>
      <c r="F257" t="s">
        <v>61</v>
      </c>
      <c r="G257">
        <v>30000</v>
      </c>
      <c r="H257">
        <v>20</v>
      </c>
      <c r="I257">
        <v>20</v>
      </c>
      <c r="J257">
        <v>0</v>
      </c>
      <c r="K257">
        <v>1</v>
      </c>
      <c r="L257">
        <v>2000000</v>
      </c>
      <c r="M257">
        <v>24</v>
      </c>
      <c r="N257">
        <v>24</v>
      </c>
      <c r="O257">
        <v>24</v>
      </c>
      <c r="P257">
        <v>0</v>
      </c>
      <c r="Q257" t="s">
        <v>62</v>
      </c>
      <c r="R257">
        <v>999577880951</v>
      </c>
      <c r="S257">
        <v>999573</v>
      </c>
      <c r="T257">
        <v>999577880951</v>
      </c>
      <c r="U257">
        <v>999573</v>
      </c>
      <c r="V257" t="s">
        <v>75</v>
      </c>
      <c r="W257">
        <v>48</v>
      </c>
      <c r="X257">
        <v>999572</v>
      </c>
      <c r="Y257">
        <v>999573</v>
      </c>
      <c r="Z257">
        <v>1999145</v>
      </c>
      <c r="AA257">
        <v>999573</v>
      </c>
      <c r="AB257">
        <v>2</v>
      </c>
      <c r="AC257">
        <v>1</v>
      </c>
      <c r="AD257">
        <v>1.5</v>
      </c>
      <c r="AE257">
        <v>25.135200000000001</v>
      </c>
      <c r="AM257">
        <v>415597547</v>
      </c>
      <c r="AN257">
        <v>0</v>
      </c>
      <c r="AO257">
        <v>277086049</v>
      </c>
      <c r="AP257">
        <v>415597547</v>
      </c>
      <c r="AQ257">
        <v>692683596</v>
      </c>
      <c r="AR257">
        <v>13853251</v>
      </c>
      <c r="AS257">
        <v>0</v>
      </c>
      <c r="AT257">
        <v>9236201</v>
      </c>
      <c r="AU257">
        <v>13853251</v>
      </c>
      <c r="AV257">
        <v>23089453</v>
      </c>
      <c r="AW257">
        <v>13.0517</v>
      </c>
      <c r="AX257">
        <v>2.3633000000000002</v>
      </c>
      <c r="AY257">
        <v>2899.45</v>
      </c>
      <c r="AZ257">
        <v>1871.55</v>
      </c>
      <c r="BA257">
        <v>1175</v>
      </c>
      <c r="BB257">
        <v>181</v>
      </c>
      <c r="BC257" t="str">
        <f t="shared" si="6"/>
        <v>u=40%, k=2x10^6</v>
      </c>
      <c r="BD257">
        <f t="shared" si="7"/>
        <v>0</v>
      </c>
    </row>
    <row r="258" spans="1:56">
      <c r="A258" t="s">
        <v>342</v>
      </c>
      <c r="B258" t="s">
        <v>68</v>
      </c>
      <c r="D258" t="s">
        <v>65</v>
      </c>
      <c r="E258" t="s">
        <v>60</v>
      </c>
      <c r="F258" t="s">
        <v>61</v>
      </c>
      <c r="G258">
        <v>30000</v>
      </c>
      <c r="H258">
        <v>20</v>
      </c>
      <c r="I258">
        <v>20</v>
      </c>
      <c r="J258">
        <v>0</v>
      </c>
      <c r="K258">
        <v>1</v>
      </c>
      <c r="L258">
        <v>2000000</v>
      </c>
      <c r="M258">
        <v>48</v>
      </c>
      <c r="N258">
        <v>48</v>
      </c>
      <c r="O258">
        <v>48</v>
      </c>
      <c r="P258">
        <v>0</v>
      </c>
      <c r="Q258" t="s">
        <v>62</v>
      </c>
      <c r="R258">
        <v>1000093963021</v>
      </c>
      <c r="S258">
        <v>1000218</v>
      </c>
      <c r="T258">
        <v>1000093963021</v>
      </c>
      <c r="U258">
        <v>1000218</v>
      </c>
      <c r="V258" t="s">
        <v>75</v>
      </c>
      <c r="W258">
        <v>45</v>
      </c>
      <c r="X258">
        <v>1000217</v>
      </c>
      <c r="Y258">
        <v>1000218</v>
      </c>
      <c r="Z258">
        <v>2000435</v>
      </c>
      <c r="AA258">
        <v>1000218</v>
      </c>
      <c r="AB258">
        <v>2</v>
      </c>
      <c r="AC258">
        <v>1</v>
      </c>
      <c r="AD258">
        <v>1.5</v>
      </c>
      <c r="AE258">
        <v>25.689900000000002</v>
      </c>
      <c r="AM258">
        <v>740962831</v>
      </c>
      <c r="AN258">
        <v>0</v>
      </c>
      <c r="AO258">
        <v>493969082</v>
      </c>
      <c r="AP258">
        <v>740962831</v>
      </c>
      <c r="AQ258">
        <v>1234931913</v>
      </c>
      <c r="AR258">
        <v>24698761</v>
      </c>
      <c r="AS258">
        <v>0</v>
      </c>
      <c r="AT258">
        <v>16465636</v>
      </c>
      <c r="AU258">
        <v>24698761</v>
      </c>
      <c r="AV258">
        <v>41164397</v>
      </c>
      <c r="AW258">
        <v>13.4231</v>
      </c>
      <c r="AX258">
        <v>2.4190900000000002</v>
      </c>
      <c r="AY258">
        <v>3251.51</v>
      </c>
      <c r="AZ258">
        <v>2180.98</v>
      </c>
      <c r="BA258">
        <v>1197</v>
      </c>
      <c r="BB258">
        <v>227</v>
      </c>
      <c r="BC258" t="str">
        <f t="shared" si="6"/>
        <v>u=40%, k=2x10^6</v>
      </c>
      <c r="BD258">
        <f t="shared" si="7"/>
        <v>0</v>
      </c>
    </row>
    <row r="259" spans="1:56">
      <c r="A259" t="s">
        <v>343</v>
      </c>
      <c r="B259" t="s">
        <v>68</v>
      </c>
      <c r="D259" t="s">
        <v>65</v>
      </c>
      <c r="E259" t="s">
        <v>60</v>
      </c>
      <c r="F259" t="s">
        <v>61</v>
      </c>
      <c r="G259">
        <v>30000</v>
      </c>
      <c r="H259">
        <v>20</v>
      </c>
      <c r="I259">
        <v>20</v>
      </c>
      <c r="J259">
        <v>0</v>
      </c>
      <c r="K259">
        <v>1</v>
      </c>
      <c r="L259">
        <v>2000000</v>
      </c>
      <c r="M259">
        <v>96</v>
      </c>
      <c r="N259">
        <v>96</v>
      </c>
      <c r="O259">
        <v>96</v>
      </c>
      <c r="P259">
        <v>0</v>
      </c>
      <c r="Q259" t="s">
        <v>62</v>
      </c>
      <c r="R259">
        <v>1001062230159</v>
      </c>
      <c r="S259">
        <v>1000334</v>
      </c>
      <c r="T259">
        <v>1001062230159</v>
      </c>
      <c r="U259">
        <v>1000334</v>
      </c>
      <c r="V259" t="s">
        <v>75</v>
      </c>
      <c r="W259">
        <v>48</v>
      </c>
      <c r="X259">
        <v>1000333</v>
      </c>
      <c r="Y259">
        <v>1000334</v>
      </c>
      <c r="Z259">
        <v>2000667</v>
      </c>
      <c r="AA259">
        <v>1000334</v>
      </c>
      <c r="AB259">
        <v>2</v>
      </c>
      <c r="AC259">
        <v>1</v>
      </c>
      <c r="AD259">
        <v>1.5</v>
      </c>
      <c r="AE259">
        <v>25.342099999999999</v>
      </c>
      <c r="AM259">
        <v>1436319066</v>
      </c>
      <c r="AN259">
        <v>0</v>
      </c>
      <c r="AO259">
        <v>957586423</v>
      </c>
      <c r="AP259">
        <v>1436319066</v>
      </c>
      <c r="AQ259">
        <v>2393905489</v>
      </c>
      <c r="AR259">
        <v>47877302</v>
      </c>
      <c r="AS259">
        <v>0</v>
      </c>
      <c r="AT259">
        <v>31919547</v>
      </c>
      <c r="AU259">
        <v>47877302</v>
      </c>
      <c r="AV259">
        <v>79796849</v>
      </c>
      <c r="AW259">
        <v>14.860900000000001</v>
      </c>
      <c r="AX259">
        <v>3.20966</v>
      </c>
      <c r="AY259">
        <v>3350.68</v>
      </c>
      <c r="AZ259">
        <v>2167.59</v>
      </c>
      <c r="BA259">
        <v>1203</v>
      </c>
      <c r="BB259">
        <v>259</v>
      </c>
      <c r="BC259" t="str">
        <f t="shared" ref="BC259:BC322" si="8">"u="&amp;(H259+I259)&amp;"%, k=2x10^"&amp;LOG10(L259/2)</f>
        <v>u=40%, k=2x10^6</v>
      </c>
      <c r="BD259">
        <f t="shared" ref="BD259:BD322" si="9">IF(AH259="",0,LEFT(AH259,IF(ISNUMBER(FIND(" ",AH259)),FIND(" ",AH259)-1,LEN(AH259))))</f>
        <v>0</v>
      </c>
    </row>
    <row r="260" spans="1:56">
      <c r="A260" t="s">
        <v>344</v>
      </c>
      <c r="B260" t="s">
        <v>68</v>
      </c>
      <c r="D260" t="s">
        <v>65</v>
      </c>
      <c r="E260" t="s">
        <v>60</v>
      </c>
      <c r="F260" t="s">
        <v>61</v>
      </c>
      <c r="G260">
        <v>30000</v>
      </c>
      <c r="H260">
        <v>20</v>
      </c>
      <c r="I260">
        <v>20</v>
      </c>
      <c r="J260">
        <v>0</v>
      </c>
      <c r="K260">
        <v>1</v>
      </c>
      <c r="L260">
        <v>2000000</v>
      </c>
      <c r="M260">
        <v>144</v>
      </c>
      <c r="N260">
        <v>144</v>
      </c>
      <c r="O260">
        <v>144</v>
      </c>
      <c r="P260">
        <v>0</v>
      </c>
      <c r="Q260" t="s">
        <v>62</v>
      </c>
      <c r="R260">
        <v>999505204175</v>
      </c>
      <c r="S260">
        <v>999393</v>
      </c>
      <c r="T260">
        <v>999505204175</v>
      </c>
      <c r="U260">
        <v>999393</v>
      </c>
      <c r="V260" t="s">
        <v>75</v>
      </c>
      <c r="W260">
        <v>45</v>
      </c>
      <c r="X260">
        <v>999392</v>
      </c>
      <c r="Y260">
        <v>999393</v>
      </c>
      <c r="Z260">
        <v>1998785</v>
      </c>
      <c r="AA260">
        <v>999393</v>
      </c>
      <c r="AB260">
        <v>2</v>
      </c>
      <c r="AC260">
        <v>1</v>
      </c>
      <c r="AD260">
        <v>1.5</v>
      </c>
      <c r="AE260">
        <v>25.804600000000001</v>
      </c>
      <c r="AM260">
        <v>1921601895</v>
      </c>
      <c r="AN260">
        <v>0</v>
      </c>
      <c r="AO260">
        <v>1281026452</v>
      </c>
      <c r="AP260">
        <v>1921601895</v>
      </c>
      <c r="AQ260">
        <v>3202628347</v>
      </c>
      <c r="AR260">
        <v>64053396</v>
      </c>
      <c r="AS260">
        <v>0</v>
      </c>
      <c r="AT260">
        <v>42700881</v>
      </c>
      <c r="AU260">
        <v>64053396</v>
      </c>
      <c r="AV260">
        <v>106754278</v>
      </c>
      <c r="AW260">
        <v>15.9201</v>
      </c>
      <c r="AX260">
        <v>3.95404</v>
      </c>
      <c r="AY260">
        <v>3750.85</v>
      </c>
      <c r="AZ260">
        <v>2281.56</v>
      </c>
      <c r="BA260">
        <v>1227</v>
      </c>
      <c r="BB260">
        <v>307</v>
      </c>
      <c r="BC260" t="str">
        <f t="shared" si="8"/>
        <v>u=40%, k=2x10^6</v>
      </c>
      <c r="BD260">
        <f t="shared" si="9"/>
        <v>0</v>
      </c>
    </row>
    <row r="261" spans="1:56">
      <c r="A261" t="s">
        <v>345</v>
      </c>
      <c r="B261" t="s">
        <v>68</v>
      </c>
      <c r="D261" t="s">
        <v>65</v>
      </c>
      <c r="E261" t="s">
        <v>60</v>
      </c>
      <c r="F261" t="s">
        <v>61</v>
      </c>
      <c r="G261">
        <v>30000</v>
      </c>
      <c r="H261">
        <v>20</v>
      </c>
      <c r="I261">
        <v>20</v>
      </c>
      <c r="J261">
        <v>0</v>
      </c>
      <c r="K261">
        <v>1</v>
      </c>
      <c r="L261">
        <v>2000000</v>
      </c>
      <c r="M261">
        <v>190</v>
      </c>
      <c r="N261">
        <v>190</v>
      </c>
      <c r="O261">
        <v>190</v>
      </c>
      <c r="P261">
        <v>0</v>
      </c>
      <c r="Q261" t="s">
        <v>62</v>
      </c>
      <c r="R261">
        <v>1000040123246</v>
      </c>
      <c r="S261">
        <v>999800</v>
      </c>
      <c r="T261">
        <v>1000040123246</v>
      </c>
      <c r="U261">
        <v>999800</v>
      </c>
      <c r="V261" t="s">
        <v>75</v>
      </c>
      <c r="W261">
        <v>44</v>
      </c>
      <c r="X261">
        <v>999799</v>
      </c>
      <c r="Y261">
        <v>999800</v>
      </c>
      <c r="Z261">
        <v>1999599</v>
      </c>
      <c r="AA261">
        <v>999800</v>
      </c>
      <c r="AB261">
        <v>2</v>
      </c>
      <c r="AC261">
        <v>1</v>
      </c>
      <c r="AD261">
        <v>1.5</v>
      </c>
      <c r="AE261">
        <v>25.541499999999999</v>
      </c>
      <c r="AM261">
        <v>2226139683</v>
      </c>
      <c r="AN261">
        <v>0</v>
      </c>
      <c r="AO261">
        <v>1484092907</v>
      </c>
      <c r="AP261">
        <v>2226139683</v>
      </c>
      <c r="AQ261">
        <v>3710232590</v>
      </c>
      <c r="AR261">
        <v>74204656</v>
      </c>
      <c r="AS261">
        <v>0</v>
      </c>
      <c r="AT261">
        <v>49469763</v>
      </c>
      <c r="AU261">
        <v>74204656</v>
      </c>
      <c r="AV261">
        <v>123674419</v>
      </c>
      <c r="AW261">
        <v>16.7376</v>
      </c>
      <c r="AX261">
        <v>4.3405899999999997</v>
      </c>
      <c r="AY261">
        <v>4251.05</v>
      </c>
      <c r="AZ261">
        <v>2412.98</v>
      </c>
      <c r="BA261">
        <v>1222</v>
      </c>
      <c r="BB261">
        <v>263</v>
      </c>
      <c r="BC261" t="str">
        <f t="shared" si="8"/>
        <v>u=40%, k=2x10^6</v>
      </c>
      <c r="BD261">
        <f t="shared" si="9"/>
        <v>0</v>
      </c>
    </row>
    <row r="262" spans="1:56">
      <c r="A262" t="s">
        <v>346</v>
      </c>
      <c r="B262" t="s">
        <v>64</v>
      </c>
      <c r="C262">
        <v>72</v>
      </c>
      <c r="D262" t="s">
        <v>65</v>
      </c>
      <c r="E262" t="s">
        <v>60</v>
      </c>
      <c r="F262" t="s">
        <v>61</v>
      </c>
      <c r="G262">
        <v>30000</v>
      </c>
      <c r="H262">
        <v>20</v>
      </c>
      <c r="I262">
        <v>20</v>
      </c>
      <c r="J262">
        <v>0</v>
      </c>
      <c r="K262">
        <v>1</v>
      </c>
      <c r="L262">
        <v>20000000</v>
      </c>
      <c r="M262">
        <v>24</v>
      </c>
      <c r="N262">
        <v>24</v>
      </c>
      <c r="O262">
        <v>24</v>
      </c>
      <c r="P262">
        <v>0</v>
      </c>
      <c r="Q262" t="s">
        <v>62</v>
      </c>
      <c r="R262">
        <v>99999514067863</v>
      </c>
      <c r="S262">
        <v>9998527</v>
      </c>
      <c r="T262">
        <v>99999514067863</v>
      </c>
      <c r="U262">
        <v>9998527</v>
      </c>
      <c r="V262" t="s">
        <v>75</v>
      </c>
      <c r="W262">
        <v>7</v>
      </c>
      <c r="X262">
        <v>1876074</v>
      </c>
      <c r="Y262">
        <v>11960744</v>
      </c>
      <c r="Z262">
        <v>13836818</v>
      </c>
      <c r="AA262">
        <v>9998527</v>
      </c>
      <c r="AB262">
        <v>7.3754099999999996</v>
      </c>
      <c r="AC262">
        <v>0.83594500000000005</v>
      </c>
      <c r="AD262">
        <v>1.7225999999999999</v>
      </c>
      <c r="AE262">
        <v>4.05016</v>
      </c>
      <c r="AM262">
        <v>362944515</v>
      </c>
      <c r="AN262">
        <v>0</v>
      </c>
      <c r="AO262">
        <v>241921365</v>
      </c>
      <c r="AP262">
        <v>362944515</v>
      </c>
      <c r="AQ262">
        <v>604865880</v>
      </c>
      <c r="AR262">
        <v>12098150</v>
      </c>
      <c r="AS262">
        <v>0</v>
      </c>
      <c r="AT262">
        <v>8064045</v>
      </c>
      <c r="AU262">
        <v>12098150</v>
      </c>
      <c r="AV262">
        <v>20162196</v>
      </c>
      <c r="AW262">
        <v>26.008500000000002</v>
      </c>
      <c r="AX262">
        <v>11.179</v>
      </c>
      <c r="AY262">
        <v>3291.43</v>
      </c>
      <c r="AZ262">
        <v>2141.79</v>
      </c>
      <c r="BA262">
        <v>2450</v>
      </c>
      <c r="BB262">
        <v>154</v>
      </c>
      <c r="BC262" t="str">
        <f t="shared" si="8"/>
        <v>u=40%, k=2x10^7</v>
      </c>
      <c r="BD262">
        <f t="shared" si="9"/>
        <v>0</v>
      </c>
    </row>
    <row r="263" spans="1:56">
      <c r="A263" t="s">
        <v>347</v>
      </c>
      <c r="B263" t="s">
        <v>64</v>
      </c>
      <c r="C263">
        <v>72</v>
      </c>
      <c r="D263" t="s">
        <v>65</v>
      </c>
      <c r="E263" t="s">
        <v>60</v>
      </c>
      <c r="F263" t="s">
        <v>61</v>
      </c>
      <c r="G263">
        <v>30000</v>
      </c>
      <c r="H263">
        <v>20</v>
      </c>
      <c r="I263">
        <v>20</v>
      </c>
      <c r="J263">
        <v>0</v>
      </c>
      <c r="K263">
        <v>1</v>
      </c>
      <c r="L263">
        <v>20000000</v>
      </c>
      <c r="M263">
        <v>48</v>
      </c>
      <c r="N263">
        <v>48</v>
      </c>
      <c r="O263">
        <v>48</v>
      </c>
      <c r="P263">
        <v>0</v>
      </c>
      <c r="Q263" t="s">
        <v>62</v>
      </c>
      <c r="R263">
        <v>100004955668159</v>
      </c>
      <c r="S263">
        <v>10003069</v>
      </c>
      <c r="T263">
        <v>100004955668159</v>
      </c>
      <c r="U263">
        <v>10003069</v>
      </c>
      <c r="V263" t="s">
        <v>75</v>
      </c>
      <c r="W263">
        <v>7</v>
      </c>
      <c r="X263">
        <v>1901048</v>
      </c>
      <c r="Y263">
        <v>12032297</v>
      </c>
      <c r="Z263">
        <v>13933345</v>
      </c>
      <c r="AA263">
        <v>10003069</v>
      </c>
      <c r="AB263">
        <v>7.3292999999999999</v>
      </c>
      <c r="AC263">
        <v>0.83135199999999998</v>
      </c>
      <c r="AD263">
        <v>1.7179199999999999</v>
      </c>
      <c r="AE263">
        <v>4.0543899999999997</v>
      </c>
      <c r="AM263">
        <v>590167103</v>
      </c>
      <c r="AN263">
        <v>0</v>
      </c>
      <c r="AO263">
        <v>393459571</v>
      </c>
      <c r="AP263">
        <v>590167103</v>
      </c>
      <c r="AQ263">
        <v>983626674</v>
      </c>
      <c r="AR263">
        <v>19672236</v>
      </c>
      <c r="AS263">
        <v>0</v>
      </c>
      <c r="AT263">
        <v>13115319</v>
      </c>
      <c r="AU263">
        <v>19672236</v>
      </c>
      <c r="AV263">
        <v>32787555</v>
      </c>
      <c r="AW263">
        <v>26.791599999999999</v>
      </c>
      <c r="AX263">
        <v>11.8157</v>
      </c>
      <c r="AY263">
        <v>4042.32</v>
      </c>
      <c r="AZ263">
        <v>2724.04</v>
      </c>
      <c r="BA263">
        <v>2505</v>
      </c>
      <c r="BB263">
        <v>188</v>
      </c>
      <c r="BC263" t="str">
        <f t="shared" si="8"/>
        <v>u=40%, k=2x10^7</v>
      </c>
      <c r="BD263">
        <f t="shared" si="9"/>
        <v>0</v>
      </c>
    </row>
    <row r="264" spans="1:56">
      <c r="A264" t="s">
        <v>348</v>
      </c>
      <c r="B264" t="s">
        <v>64</v>
      </c>
      <c r="C264">
        <v>72</v>
      </c>
      <c r="D264" t="s">
        <v>65</v>
      </c>
      <c r="E264" t="s">
        <v>60</v>
      </c>
      <c r="F264" t="s">
        <v>61</v>
      </c>
      <c r="G264">
        <v>30000</v>
      </c>
      <c r="H264">
        <v>20</v>
      </c>
      <c r="I264">
        <v>20</v>
      </c>
      <c r="J264">
        <v>0</v>
      </c>
      <c r="K264">
        <v>1</v>
      </c>
      <c r="L264">
        <v>20000000</v>
      </c>
      <c r="M264">
        <v>96</v>
      </c>
      <c r="N264">
        <v>96</v>
      </c>
      <c r="O264">
        <v>96</v>
      </c>
      <c r="P264">
        <v>0</v>
      </c>
      <c r="Q264" t="s">
        <v>62</v>
      </c>
      <c r="R264">
        <v>100016745647477</v>
      </c>
      <c r="S264">
        <v>10000546</v>
      </c>
      <c r="T264">
        <v>100016745647477</v>
      </c>
      <c r="U264">
        <v>10000546</v>
      </c>
      <c r="V264" t="s">
        <v>75</v>
      </c>
      <c r="W264">
        <v>7</v>
      </c>
      <c r="X264">
        <v>1860299</v>
      </c>
      <c r="Y264">
        <v>11945402</v>
      </c>
      <c r="Z264">
        <v>13805701</v>
      </c>
      <c r="AA264">
        <v>10000546</v>
      </c>
      <c r="AB264">
        <v>7.4212300000000004</v>
      </c>
      <c r="AC264">
        <v>0.83718800000000004</v>
      </c>
      <c r="AD264">
        <v>1.72438</v>
      </c>
      <c r="AE264">
        <v>4.0460900000000004</v>
      </c>
      <c r="AM264">
        <v>1033100648</v>
      </c>
      <c r="AN264">
        <v>0</v>
      </c>
      <c r="AO264">
        <v>688712172</v>
      </c>
      <c r="AP264">
        <v>1033100648</v>
      </c>
      <c r="AQ264">
        <v>1721812820</v>
      </c>
      <c r="AR264">
        <v>34436688</v>
      </c>
      <c r="AS264">
        <v>0</v>
      </c>
      <c r="AT264">
        <v>22957072</v>
      </c>
      <c r="AU264">
        <v>34436688</v>
      </c>
      <c r="AV264">
        <v>57393760</v>
      </c>
      <c r="AW264">
        <v>27.6434</v>
      </c>
      <c r="AX264">
        <v>13.6684</v>
      </c>
      <c r="AY264">
        <v>4578.84</v>
      </c>
      <c r="AZ264">
        <v>3162.63</v>
      </c>
      <c r="BA264">
        <v>2642</v>
      </c>
      <c r="BB264">
        <v>263</v>
      </c>
      <c r="BC264" t="str">
        <f t="shared" si="8"/>
        <v>u=40%, k=2x10^7</v>
      </c>
      <c r="BD264">
        <f t="shared" si="9"/>
        <v>0</v>
      </c>
    </row>
    <row r="265" spans="1:56">
      <c r="A265" t="s">
        <v>349</v>
      </c>
      <c r="B265" t="s">
        <v>64</v>
      </c>
      <c r="C265">
        <v>72</v>
      </c>
      <c r="D265" t="s">
        <v>65</v>
      </c>
      <c r="E265" t="s">
        <v>60</v>
      </c>
      <c r="F265" t="s">
        <v>61</v>
      </c>
      <c r="G265">
        <v>30000</v>
      </c>
      <c r="H265">
        <v>20</v>
      </c>
      <c r="I265">
        <v>20</v>
      </c>
      <c r="J265">
        <v>0</v>
      </c>
      <c r="K265">
        <v>1</v>
      </c>
      <c r="L265">
        <v>20000000</v>
      </c>
      <c r="M265">
        <v>144</v>
      </c>
      <c r="N265">
        <v>144</v>
      </c>
      <c r="O265">
        <v>144</v>
      </c>
      <c r="P265">
        <v>0</v>
      </c>
      <c r="Q265" t="s">
        <v>62</v>
      </c>
      <c r="R265">
        <v>99967229370440</v>
      </c>
      <c r="S265">
        <v>9996353</v>
      </c>
      <c r="T265">
        <v>99967229370440</v>
      </c>
      <c r="U265">
        <v>9996353</v>
      </c>
      <c r="V265" t="s">
        <v>75</v>
      </c>
      <c r="W265">
        <v>7</v>
      </c>
      <c r="X265">
        <v>1760418</v>
      </c>
      <c r="Y265">
        <v>11725960</v>
      </c>
      <c r="Z265">
        <v>13486378</v>
      </c>
      <c r="AA265">
        <v>9996353</v>
      </c>
      <c r="AB265">
        <v>7.6608999999999998</v>
      </c>
      <c r="AC265">
        <v>0.85249799999999998</v>
      </c>
      <c r="AD265">
        <v>1.74122</v>
      </c>
      <c r="AE265">
        <v>4.0271100000000004</v>
      </c>
      <c r="AM265">
        <v>1445439627</v>
      </c>
      <c r="AN265">
        <v>0</v>
      </c>
      <c r="AO265">
        <v>963627723</v>
      </c>
      <c r="AP265">
        <v>1445439627</v>
      </c>
      <c r="AQ265">
        <v>2409067350</v>
      </c>
      <c r="AR265">
        <v>48181320</v>
      </c>
      <c r="AS265">
        <v>0</v>
      </c>
      <c r="AT265">
        <v>32120924</v>
      </c>
      <c r="AU265">
        <v>48181320</v>
      </c>
      <c r="AV265">
        <v>80302245</v>
      </c>
      <c r="AW265">
        <v>28.028199999999998</v>
      </c>
      <c r="AX265">
        <v>14.500400000000001</v>
      </c>
      <c r="AY265">
        <v>4862.9799999999996</v>
      </c>
      <c r="AZ265">
        <v>3368.08</v>
      </c>
      <c r="BA265">
        <v>2819</v>
      </c>
      <c r="BB265">
        <v>272</v>
      </c>
      <c r="BC265" t="str">
        <f t="shared" si="8"/>
        <v>u=40%, k=2x10^7</v>
      </c>
      <c r="BD265">
        <f t="shared" si="9"/>
        <v>0</v>
      </c>
    </row>
    <row r="266" spans="1:56">
      <c r="A266" t="s">
        <v>350</v>
      </c>
      <c r="B266" t="s">
        <v>64</v>
      </c>
      <c r="C266">
        <v>72</v>
      </c>
      <c r="D266" t="s">
        <v>65</v>
      </c>
      <c r="E266" t="s">
        <v>60</v>
      </c>
      <c r="F266" t="s">
        <v>61</v>
      </c>
      <c r="G266">
        <v>30000</v>
      </c>
      <c r="H266">
        <v>20</v>
      </c>
      <c r="I266">
        <v>20</v>
      </c>
      <c r="J266">
        <v>0</v>
      </c>
      <c r="K266">
        <v>1</v>
      </c>
      <c r="L266">
        <v>20000000</v>
      </c>
      <c r="M266">
        <v>190</v>
      </c>
      <c r="N266">
        <v>190</v>
      </c>
      <c r="O266">
        <v>190</v>
      </c>
      <c r="P266">
        <v>0</v>
      </c>
      <c r="Q266" t="s">
        <v>62</v>
      </c>
      <c r="R266">
        <v>99998199829640</v>
      </c>
      <c r="S266">
        <v>9998385</v>
      </c>
      <c r="T266">
        <v>99998199829640</v>
      </c>
      <c r="U266">
        <v>9998385</v>
      </c>
      <c r="V266" t="s">
        <v>75</v>
      </c>
      <c r="W266">
        <v>7</v>
      </c>
      <c r="X266">
        <v>1899976</v>
      </c>
      <c r="Y266">
        <v>12014808</v>
      </c>
      <c r="Z266">
        <v>13914784</v>
      </c>
      <c r="AA266">
        <v>9998385</v>
      </c>
      <c r="AB266">
        <v>7.3236600000000003</v>
      </c>
      <c r="AC266">
        <v>0.83217200000000002</v>
      </c>
      <c r="AD266">
        <v>1.71854</v>
      </c>
      <c r="AE266">
        <v>4.0549299999999997</v>
      </c>
      <c r="AM266">
        <v>1743620250</v>
      </c>
      <c r="AN266">
        <v>0</v>
      </c>
      <c r="AO266">
        <v>1162436033</v>
      </c>
      <c r="AP266">
        <v>1743620250</v>
      </c>
      <c r="AQ266">
        <v>2906056283</v>
      </c>
      <c r="AR266">
        <v>58120675</v>
      </c>
      <c r="AS266">
        <v>0</v>
      </c>
      <c r="AT266">
        <v>38747867</v>
      </c>
      <c r="AU266">
        <v>58120675</v>
      </c>
      <c r="AV266">
        <v>96868542</v>
      </c>
      <c r="AW266">
        <v>28.7178</v>
      </c>
      <c r="AX266">
        <v>15.287000000000001</v>
      </c>
      <c r="AY266">
        <v>5289.51</v>
      </c>
      <c r="AZ266">
        <v>3631.44</v>
      </c>
      <c r="BA266">
        <v>2940</v>
      </c>
      <c r="BB266">
        <v>430</v>
      </c>
      <c r="BC266" t="str">
        <f t="shared" si="8"/>
        <v>u=40%, k=2x10^7</v>
      </c>
      <c r="BD266">
        <f t="shared" si="9"/>
        <v>0</v>
      </c>
    </row>
    <row r="267" spans="1:56">
      <c r="A267" t="s">
        <v>351</v>
      </c>
      <c r="B267" t="s">
        <v>66</v>
      </c>
      <c r="C267">
        <v>208</v>
      </c>
      <c r="D267" t="s">
        <v>65</v>
      </c>
      <c r="E267" t="s">
        <v>60</v>
      </c>
      <c r="F267" t="s">
        <v>61</v>
      </c>
      <c r="G267">
        <v>30000</v>
      </c>
      <c r="H267">
        <v>20</v>
      </c>
      <c r="I267">
        <v>20</v>
      </c>
      <c r="J267">
        <v>0</v>
      </c>
      <c r="K267">
        <v>1</v>
      </c>
      <c r="L267">
        <v>20000000</v>
      </c>
      <c r="M267">
        <v>24</v>
      </c>
      <c r="N267">
        <v>24</v>
      </c>
      <c r="O267">
        <v>24</v>
      </c>
      <c r="P267">
        <v>0</v>
      </c>
      <c r="Q267" t="s">
        <v>62</v>
      </c>
      <c r="R267">
        <v>100009803654018</v>
      </c>
      <c r="S267">
        <v>10002161</v>
      </c>
      <c r="T267">
        <v>100009803654018</v>
      </c>
      <c r="U267">
        <v>10002161</v>
      </c>
      <c r="V267" t="s">
        <v>75</v>
      </c>
      <c r="W267">
        <v>9</v>
      </c>
      <c r="X267">
        <v>293880</v>
      </c>
      <c r="Y267">
        <v>1947333</v>
      </c>
      <c r="Z267">
        <v>2241213</v>
      </c>
      <c r="AA267">
        <v>10002161</v>
      </c>
      <c r="AB267">
        <v>7.62629</v>
      </c>
      <c r="AC267">
        <v>5.1363399999999997</v>
      </c>
      <c r="AD267">
        <v>5.4628300000000003</v>
      </c>
      <c r="AE267">
        <v>8</v>
      </c>
      <c r="AM267">
        <v>464503903</v>
      </c>
      <c r="AN267">
        <v>0</v>
      </c>
      <c r="AO267">
        <v>309633272</v>
      </c>
      <c r="AP267">
        <v>464503903</v>
      </c>
      <c r="AQ267">
        <v>774137175</v>
      </c>
      <c r="AR267">
        <v>15483463</v>
      </c>
      <c r="AS267">
        <v>0</v>
      </c>
      <c r="AT267">
        <v>10321109</v>
      </c>
      <c r="AU267">
        <v>15483463</v>
      </c>
      <c r="AV267">
        <v>25804572</v>
      </c>
      <c r="AW267">
        <v>19.535299999999999</v>
      </c>
      <c r="AX267">
        <v>6.3970700000000003</v>
      </c>
      <c r="AY267">
        <v>2593.4</v>
      </c>
      <c r="AZ267">
        <v>1583.72</v>
      </c>
      <c r="BA267">
        <v>1577</v>
      </c>
      <c r="BB267">
        <v>865</v>
      </c>
      <c r="BC267" t="str">
        <f t="shared" si="8"/>
        <v>u=40%, k=2x10^7</v>
      </c>
      <c r="BD267">
        <f t="shared" si="9"/>
        <v>0</v>
      </c>
    </row>
    <row r="268" spans="1:56">
      <c r="A268" t="s">
        <v>352</v>
      </c>
      <c r="B268" t="s">
        <v>66</v>
      </c>
      <c r="C268">
        <v>208</v>
      </c>
      <c r="D268" t="s">
        <v>65</v>
      </c>
      <c r="E268" t="s">
        <v>60</v>
      </c>
      <c r="F268" t="s">
        <v>61</v>
      </c>
      <c r="G268">
        <v>30000</v>
      </c>
      <c r="H268">
        <v>20</v>
      </c>
      <c r="I268">
        <v>20</v>
      </c>
      <c r="J268">
        <v>0</v>
      </c>
      <c r="K268">
        <v>1</v>
      </c>
      <c r="L268">
        <v>20000000</v>
      </c>
      <c r="M268">
        <v>48</v>
      </c>
      <c r="N268">
        <v>48</v>
      </c>
      <c r="O268">
        <v>48</v>
      </c>
      <c r="P268">
        <v>0</v>
      </c>
      <c r="Q268" t="s">
        <v>62</v>
      </c>
      <c r="R268">
        <v>100021709484195</v>
      </c>
      <c r="S268">
        <v>9999151</v>
      </c>
      <c r="T268">
        <v>100021709484195</v>
      </c>
      <c r="U268">
        <v>9999151</v>
      </c>
      <c r="V268" t="s">
        <v>75</v>
      </c>
      <c r="W268">
        <v>10</v>
      </c>
      <c r="X268">
        <v>307710</v>
      </c>
      <c r="Y268">
        <v>1965749</v>
      </c>
      <c r="Z268">
        <v>2273459</v>
      </c>
      <c r="AA268">
        <v>9999151</v>
      </c>
      <c r="AB268">
        <v>7.3883200000000002</v>
      </c>
      <c r="AC268">
        <v>5.0866899999999999</v>
      </c>
      <c r="AD268">
        <v>5.3982099999999997</v>
      </c>
      <c r="AE268">
        <v>9</v>
      </c>
      <c r="AM268">
        <v>825097996</v>
      </c>
      <c r="AN268">
        <v>0</v>
      </c>
      <c r="AO268">
        <v>550031588</v>
      </c>
      <c r="AP268">
        <v>825097996</v>
      </c>
      <c r="AQ268">
        <v>1375129584</v>
      </c>
      <c r="AR268">
        <v>27503266</v>
      </c>
      <c r="AS268">
        <v>0</v>
      </c>
      <c r="AT268">
        <v>18334386</v>
      </c>
      <c r="AU268">
        <v>27503266</v>
      </c>
      <c r="AV268">
        <v>45837652</v>
      </c>
      <c r="AW268">
        <v>20.072299999999998</v>
      </c>
      <c r="AX268">
        <v>6.7672999999999996</v>
      </c>
      <c r="AY268">
        <v>2918.32</v>
      </c>
      <c r="AZ268">
        <v>1944.71</v>
      </c>
      <c r="BA268">
        <v>1695</v>
      </c>
      <c r="BB268">
        <v>751</v>
      </c>
      <c r="BC268" t="str">
        <f t="shared" si="8"/>
        <v>u=40%, k=2x10^7</v>
      </c>
      <c r="BD268">
        <f t="shared" si="9"/>
        <v>0</v>
      </c>
    </row>
    <row r="269" spans="1:56">
      <c r="A269" t="s">
        <v>353</v>
      </c>
      <c r="B269" t="s">
        <v>66</v>
      </c>
      <c r="C269">
        <v>208</v>
      </c>
      <c r="D269" t="s">
        <v>65</v>
      </c>
      <c r="E269" t="s">
        <v>60</v>
      </c>
      <c r="F269" t="s">
        <v>61</v>
      </c>
      <c r="G269">
        <v>30000</v>
      </c>
      <c r="H269">
        <v>20</v>
      </c>
      <c r="I269">
        <v>20</v>
      </c>
      <c r="J269">
        <v>0</v>
      </c>
      <c r="K269">
        <v>1</v>
      </c>
      <c r="L269">
        <v>20000000</v>
      </c>
      <c r="M269">
        <v>96</v>
      </c>
      <c r="N269">
        <v>96</v>
      </c>
      <c r="O269">
        <v>96</v>
      </c>
      <c r="P269">
        <v>0</v>
      </c>
      <c r="Q269" t="s">
        <v>62</v>
      </c>
      <c r="R269">
        <v>100051752349631</v>
      </c>
      <c r="S269">
        <v>10002173</v>
      </c>
      <c r="T269">
        <v>100051752349631</v>
      </c>
      <c r="U269">
        <v>10002173</v>
      </c>
      <c r="V269" t="s">
        <v>75</v>
      </c>
      <c r="W269">
        <v>10</v>
      </c>
      <c r="X269">
        <v>320053</v>
      </c>
      <c r="Y269">
        <v>1959507</v>
      </c>
      <c r="Z269">
        <v>2279560</v>
      </c>
      <c r="AA269">
        <v>10002173</v>
      </c>
      <c r="AB269">
        <v>7.1224499999999997</v>
      </c>
      <c r="AC269">
        <v>5.1044299999999998</v>
      </c>
      <c r="AD269">
        <v>5.3877600000000001</v>
      </c>
      <c r="AE269">
        <v>9</v>
      </c>
      <c r="AM269">
        <v>1493064591</v>
      </c>
      <c r="AN269">
        <v>0</v>
      </c>
      <c r="AO269">
        <v>995326893</v>
      </c>
      <c r="AP269">
        <v>1493064591</v>
      </c>
      <c r="AQ269">
        <v>2488391484</v>
      </c>
      <c r="AR269">
        <v>49768819</v>
      </c>
      <c r="AS269">
        <v>0</v>
      </c>
      <c r="AT269">
        <v>33177563</v>
      </c>
      <c r="AU269">
        <v>49768819</v>
      </c>
      <c r="AV269">
        <v>82946382</v>
      </c>
      <c r="AW269">
        <v>21.423500000000001</v>
      </c>
      <c r="AX269">
        <v>7.6682199999999998</v>
      </c>
      <c r="AY269">
        <v>3215.12</v>
      </c>
      <c r="AZ269">
        <v>2069.0300000000002</v>
      </c>
      <c r="BA269">
        <v>2128</v>
      </c>
      <c r="BB269">
        <v>901</v>
      </c>
      <c r="BC269" t="str">
        <f t="shared" si="8"/>
        <v>u=40%, k=2x10^7</v>
      </c>
      <c r="BD269">
        <f t="shared" si="9"/>
        <v>0</v>
      </c>
    </row>
    <row r="270" spans="1:56">
      <c r="A270" t="s">
        <v>354</v>
      </c>
      <c r="B270" t="s">
        <v>66</v>
      </c>
      <c r="C270">
        <v>208</v>
      </c>
      <c r="D270" t="s">
        <v>65</v>
      </c>
      <c r="E270" t="s">
        <v>60</v>
      </c>
      <c r="F270" t="s">
        <v>61</v>
      </c>
      <c r="G270">
        <v>30000</v>
      </c>
      <c r="H270">
        <v>20</v>
      </c>
      <c r="I270">
        <v>20</v>
      </c>
      <c r="J270">
        <v>0</v>
      </c>
      <c r="K270">
        <v>1</v>
      </c>
      <c r="L270">
        <v>20000000</v>
      </c>
      <c r="M270">
        <v>144</v>
      </c>
      <c r="N270">
        <v>144</v>
      </c>
      <c r="O270">
        <v>144</v>
      </c>
      <c r="P270">
        <v>0</v>
      </c>
      <c r="Q270" t="s">
        <v>62</v>
      </c>
      <c r="R270">
        <v>99977198529410</v>
      </c>
      <c r="S270">
        <v>9996611</v>
      </c>
      <c r="T270">
        <v>99977198529410</v>
      </c>
      <c r="U270">
        <v>9996611</v>
      </c>
      <c r="V270" t="s">
        <v>75</v>
      </c>
      <c r="W270">
        <v>9</v>
      </c>
      <c r="X270">
        <v>325187</v>
      </c>
      <c r="Y270">
        <v>1957497</v>
      </c>
      <c r="Z270">
        <v>2282684</v>
      </c>
      <c r="AA270">
        <v>9996611</v>
      </c>
      <c r="AB270">
        <v>7.0195999999999996</v>
      </c>
      <c r="AC270">
        <v>5.1068300000000004</v>
      </c>
      <c r="AD270">
        <v>5.3793199999999999</v>
      </c>
      <c r="AE270">
        <v>8</v>
      </c>
      <c r="AM270">
        <v>1944447886</v>
      </c>
      <c r="AN270">
        <v>0</v>
      </c>
      <c r="AO270">
        <v>1296354014</v>
      </c>
      <c r="AP270">
        <v>1944447886</v>
      </c>
      <c r="AQ270">
        <v>3240801900</v>
      </c>
      <c r="AR270">
        <v>64814929</v>
      </c>
      <c r="AS270">
        <v>0</v>
      </c>
      <c r="AT270">
        <v>43211800</v>
      </c>
      <c r="AU270">
        <v>64814929</v>
      </c>
      <c r="AV270">
        <v>108026730</v>
      </c>
      <c r="AW270">
        <v>22.573399999999999</v>
      </c>
      <c r="AX270">
        <v>8.64635</v>
      </c>
      <c r="AY270">
        <v>3700.39</v>
      </c>
      <c r="AZ270">
        <v>2268.87</v>
      </c>
      <c r="BA270">
        <v>2089</v>
      </c>
      <c r="BB270">
        <v>851</v>
      </c>
      <c r="BC270" t="str">
        <f t="shared" si="8"/>
        <v>u=40%, k=2x10^7</v>
      </c>
      <c r="BD270">
        <f t="shared" si="9"/>
        <v>0</v>
      </c>
    </row>
    <row r="271" spans="1:56">
      <c r="A271" t="s">
        <v>355</v>
      </c>
      <c r="B271" t="s">
        <v>66</v>
      </c>
      <c r="C271">
        <v>208</v>
      </c>
      <c r="D271" t="s">
        <v>65</v>
      </c>
      <c r="E271" t="s">
        <v>60</v>
      </c>
      <c r="F271" t="s">
        <v>61</v>
      </c>
      <c r="G271">
        <v>30000</v>
      </c>
      <c r="H271">
        <v>20</v>
      </c>
      <c r="I271">
        <v>20</v>
      </c>
      <c r="J271">
        <v>0</v>
      </c>
      <c r="K271">
        <v>1</v>
      </c>
      <c r="L271">
        <v>20000000</v>
      </c>
      <c r="M271">
        <v>190</v>
      </c>
      <c r="N271">
        <v>190</v>
      </c>
      <c r="O271">
        <v>190</v>
      </c>
      <c r="P271">
        <v>0</v>
      </c>
      <c r="Q271" t="s">
        <v>62</v>
      </c>
      <c r="R271">
        <v>100004562797364</v>
      </c>
      <c r="S271">
        <v>9999202</v>
      </c>
      <c r="T271">
        <v>100004562797364</v>
      </c>
      <c r="U271">
        <v>9999202</v>
      </c>
      <c r="V271" t="s">
        <v>75</v>
      </c>
      <c r="W271">
        <v>9</v>
      </c>
      <c r="X271">
        <v>327793</v>
      </c>
      <c r="Y271">
        <v>1955378</v>
      </c>
      <c r="Z271">
        <v>2283171</v>
      </c>
      <c r="AA271">
        <v>9999202</v>
      </c>
      <c r="AB271">
        <v>6.9652799999999999</v>
      </c>
      <c r="AC271">
        <v>5.1136900000000001</v>
      </c>
      <c r="AD271">
        <v>5.3795200000000003</v>
      </c>
      <c r="AE271">
        <v>8</v>
      </c>
      <c r="AM271">
        <v>2241353484</v>
      </c>
      <c r="AN271">
        <v>0</v>
      </c>
      <c r="AO271">
        <v>1494275203</v>
      </c>
      <c r="AP271">
        <v>2241353484</v>
      </c>
      <c r="AQ271">
        <v>3735628687</v>
      </c>
      <c r="AR271">
        <v>74711782</v>
      </c>
      <c r="AS271">
        <v>0</v>
      </c>
      <c r="AT271">
        <v>49809173</v>
      </c>
      <c r="AU271">
        <v>74711782</v>
      </c>
      <c r="AV271">
        <v>124520956</v>
      </c>
      <c r="AW271">
        <v>22.895099999999999</v>
      </c>
      <c r="AX271">
        <v>9.1054700000000004</v>
      </c>
      <c r="AY271">
        <v>4219.42</v>
      </c>
      <c r="AZ271">
        <v>2396.75</v>
      </c>
      <c r="BA271">
        <v>2182</v>
      </c>
      <c r="BB271">
        <v>920</v>
      </c>
      <c r="BC271" t="str">
        <f t="shared" si="8"/>
        <v>u=40%, k=2x10^7</v>
      </c>
      <c r="BD271">
        <f t="shared" si="9"/>
        <v>0</v>
      </c>
    </row>
    <row r="272" spans="1:56">
      <c r="A272" t="s">
        <v>356</v>
      </c>
      <c r="B272" t="s">
        <v>67</v>
      </c>
      <c r="D272" t="s">
        <v>65</v>
      </c>
      <c r="E272" t="s">
        <v>60</v>
      </c>
      <c r="F272" t="s">
        <v>61</v>
      </c>
      <c r="G272">
        <v>30000</v>
      </c>
      <c r="H272">
        <v>20</v>
      </c>
      <c r="I272">
        <v>20</v>
      </c>
      <c r="J272">
        <v>0</v>
      </c>
      <c r="K272">
        <v>1</v>
      </c>
      <c r="L272">
        <v>20000000</v>
      </c>
      <c r="M272">
        <v>24</v>
      </c>
      <c r="N272">
        <v>24</v>
      </c>
      <c r="O272">
        <v>24</v>
      </c>
      <c r="P272">
        <v>0</v>
      </c>
      <c r="Q272" t="s">
        <v>62</v>
      </c>
      <c r="R272">
        <v>100014627891197</v>
      </c>
      <c r="S272">
        <v>10000196</v>
      </c>
      <c r="T272">
        <v>100014627891197</v>
      </c>
      <c r="U272">
        <v>10000196</v>
      </c>
      <c r="V272" t="s">
        <v>75</v>
      </c>
      <c r="W272">
        <v>29</v>
      </c>
      <c r="X272">
        <v>6857463</v>
      </c>
      <c r="Y272">
        <v>5202029</v>
      </c>
      <c r="Z272">
        <v>12059492</v>
      </c>
      <c r="AA272">
        <v>10000196</v>
      </c>
      <c r="AB272">
        <v>1.7585900000000001</v>
      </c>
      <c r="AC272">
        <v>1.9223600000000001</v>
      </c>
      <c r="AD272">
        <v>1.82924</v>
      </c>
      <c r="AE272">
        <v>23.248100000000001</v>
      </c>
      <c r="AM272">
        <v>225817564</v>
      </c>
      <c r="AN272">
        <v>0</v>
      </c>
      <c r="AO272">
        <v>150585272</v>
      </c>
      <c r="AP272">
        <v>225817564</v>
      </c>
      <c r="AQ272">
        <v>376402836</v>
      </c>
      <c r="AR272">
        <v>7527252</v>
      </c>
      <c r="AS272">
        <v>0</v>
      </c>
      <c r="AT272">
        <v>5019509</v>
      </c>
      <c r="AU272">
        <v>7527252</v>
      </c>
      <c r="AV272">
        <v>12546761</v>
      </c>
      <c r="AW272">
        <v>30.009699999999999</v>
      </c>
      <c r="AX272">
        <v>10.593400000000001</v>
      </c>
      <c r="AY272">
        <v>5335.36</v>
      </c>
      <c r="AZ272">
        <v>3926.1</v>
      </c>
      <c r="BA272">
        <v>1860</v>
      </c>
      <c r="BB272">
        <v>1452</v>
      </c>
      <c r="BC272" t="str">
        <f t="shared" si="8"/>
        <v>u=40%, k=2x10^7</v>
      </c>
      <c r="BD272">
        <f t="shared" si="9"/>
        <v>0</v>
      </c>
    </row>
    <row r="273" spans="1:56">
      <c r="A273" t="s">
        <v>357</v>
      </c>
      <c r="B273" t="s">
        <v>67</v>
      </c>
      <c r="D273" t="s">
        <v>65</v>
      </c>
      <c r="E273" t="s">
        <v>60</v>
      </c>
      <c r="F273" t="s">
        <v>61</v>
      </c>
      <c r="G273">
        <v>30000</v>
      </c>
      <c r="H273">
        <v>20</v>
      </c>
      <c r="I273">
        <v>20</v>
      </c>
      <c r="J273">
        <v>0</v>
      </c>
      <c r="K273">
        <v>1</v>
      </c>
      <c r="L273">
        <v>20000000</v>
      </c>
      <c r="M273">
        <v>48</v>
      </c>
      <c r="N273">
        <v>48</v>
      </c>
      <c r="O273">
        <v>48</v>
      </c>
      <c r="P273">
        <v>0</v>
      </c>
      <c r="Q273" t="s">
        <v>62</v>
      </c>
      <c r="R273">
        <v>100044763104759</v>
      </c>
      <c r="S273">
        <v>10002422</v>
      </c>
      <c r="T273">
        <v>100044763104759</v>
      </c>
      <c r="U273">
        <v>10002422</v>
      </c>
      <c r="V273" t="s">
        <v>75</v>
      </c>
      <c r="W273">
        <v>29</v>
      </c>
      <c r="X273">
        <v>6861322</v>
      </c>
      <c r="Y273">
        <v>5204512</v>
      </c>
      <c r="Z273">
        <v>12065834</v>
      </c>
      <c r="AA273">
        <v>10002422</v>
      </c>
      <c r="AB273">
        <v>1.7585299999999999</v>
      </c>
      <c r="AC273">
        <v>1.92188</v>
      </c>
      <c r="AD273">
        <v>1.8289899999999999</v>
      </c>
      <c r="AE273">
        <v>23.259599999999999</v>
      </c>
      <c r="AM273">
        <v>424570531</v>
      </c>
      <c r="AN273">
        <v>0</v>
      </c>
      <c r="AO273">
        <v>283039470</v>
      </c>
      <c r="AP273">
        <v>424570531</v>
      </c>
      <c r="AQ273">
        <v>707610001</v>
      </c>
      <c r="AR273">
        <v>14152351</v>
      </c>
      <c r="AS273">
        <v>0</v>
      </c>
      <c r="AT273">
        <v>9434649</v>
      </c>
      <c r="AU273">
        <v>14152351</v>
      </c>
      <c r="AV273">
        <v>23587000</v>
      </c>
      <c r="AW273">
        <v>30.765999999999998</v>
      </c>
      <c r="AX273">
        <v>10.6067</v>
      </c>
      <c r="AY273">
        <v>5674.9</v>
      </c>
      <c r="AZ273">
        <v>4245.51</v>
      </c>
      <c r="BA273">
        <v>1891</v>
      </c>
      <c r="BB273">
        <v>1044</v>
      </c>
      <c r="BC273" t="str">
        <f t="shared" si="8"/>
        <v>u=40%, k=2x10^7</v>
      </c>
      <c r="BD273">
        <f t="shared" si="9"/>
        <v>0</v>
      </c>
    </row>
    <row r="274" spans="1:56">
      <c r="A274" t="s">
        <v>358</v>
      </c>
      <c r="B274" t="s">
        <v>67</v>
      </c>
      <c r="D274" t="s">
        <v>65</v>
      </c>
      <c r="E274" t="s">
        <v>60</v>
      </c>
      <c r="F274" t="s">
        <v>61</v>
      </c>
      <c r="G274">
        <v>30000</v>
      </c>
      <c r="H274">
        <v>20</v>
      </c>
      <c r="I274">
        <v>20</v>
      </c>
      <c r="J274">
        <v>0</v>
      </c>
      <c r="K274">
        <v>1</v>
      </c>
      <c r="L274">
        <v>20000000</v>
      </c>
      <c r="M274">
        <v>96</v>
      </c>
      <c r="N274">
        <v>96</v>
      </c>
      <c r="O274">
        <v>96</v>
      </c>
      <c r="P274">
        <v>0</v>
      </c>
      <c r="Q274" t="s">
        <v>62</v>
      </c>
      <c r="R274">
        <v>100006468299307</v>
      </c>
      <c r="S274">
        <v>10000089</v>
      </c>
      <c r="T274">
        <v>100006468299307</v>
      </c>
      <c r="U274">
        <v>10000089</v>
      </c>
      <c r="V274" t="s">
        <v>75</v>
      </c>
      <c r="W274">
        <v>29</v>
      </c>
      <c r="X274">
        <v>6860218</v>
      </c>
      <c r="Y274">
        <v>5203537</v>
      </c>
      <c r="Z274">
        <v>12063755</v>
      </c>
      <c r="AA274">
        <v>10000089</v>
      </c>
      <c r="AB274">
        <v>1.75851</v>
      </c>
      <c r="AC274">
        <v>1.9217900000000001</v>
      </c>
      <c r="AD274">
        <v>1.82894</v>
      </c>
      <c r="AE274">
        <v>23.2468</v>
      </c>
      <c r="AM274">
        <v>878009715</v>
      </c>
      <c r="AN274">
        <v>0</v>
      </c>
      <c r="AO274">
        <v>585371093</v>
      </c>
      <c r="AP274">
        <v>878009715</v>
      </c>
      <c r="AQ274">
        <v>1463380808</v>
      </c>
      <c r="AR274">
        <v>29266990</v>
      </c>
      <c r="AS274">
        <v>0</v>
      </c>
      <c r="AT274">
        <v>19512369</v>
      </c>
      <c r="AU274">
        <v>29266990</v>
      </c>
      <c r="AV274">
        <v>48779360</v>
      </c>
      <c r="AW274">
        <v>31.539100000000001</v>
      </c>
      <c r="AX274">
        <v>11.2293</v>
      </c>
      <c r="AY274">
        <v>5482.65</v>
      </c>
      <c r="AZ274">
        <v>4006.33</v>
      </c>
      <c r="BA274">
        <v>2051</v>
      </c>
      <c r="BB274">
        <v>782</v>
      </c>
      <c r="BC274" t="str">
        <f t="shared" si="8"/>
        <v>u=40%, k=2x10^7</v>
      </c>
      <c r="BD274">
        <f t="shared" si="9"/>
        <v>0</v>
      </c>
    </row>
    <row r="275" spans="1:56">
      <c r="A275" t="s">
        <v>359</v>
      </c>
      <c r="B275" t="s">
        <v>67</v>
      </c>
      <c r="D275" t="s">
        <v>65</v>
      </c>
      <c r="E275" t="s">
        <v>60</v>
      </c>
      <c r="F275" t="s">
        <v>61</v>
      </c>
      <c r="G275">
        <v>30000</v>
      </c>
      <c r="H275">
        <v>20</v>
      </c>
      <c r="I275">
        <v>20</v>
      </c>
      <c r="J275">
        <v>0</v>
      </c>
      <c r="K275">
        <v>1</v>
      </c>
      <c r="L275">
        <v>20000000</v>
      </c>
      <c r="M275">
        <v>144</v>
      </c>
      <c r="N275">
        <v>144</v>
      </c>
      <c r="O275">
        <v>144</v>
      </c>
      <c r="P275">
        <v>0</v>
      </c>
      <c r="Q275" t="s">
        <v>62</v>
      </c>
      <c r="R275">
        <v>100013854907288</v>
      </c>
      <c r="S275">
        <v>9999926</v>
      </c>
      <c r="T275">
        <v>100013854907288</v>
      </c>
      <c r="U275">
        <v>9999926</v>
      </c>
      <c r="V275" t="s">
        <v>75</v>
      </c>
      <c r="W275">
        <v>29</v>
      </c>
      <c r="X275">
        <v>6859470</v>
      </c>
      <c r="Y275">
        <v>5203949</v>
      </c>
      <c r="Z275">
        <v>12063419</v>
      </c>
      <c r="AA275">
        <v>9999926</v>
      </c>
      <c r="AB275">
        <v>1.75865</v>
      </c>
      <c r="AC275">
        <v>1.9216</v>
      </c>
      <c r="AD275">
        <v>1.8289500000000001</v>
      </c>
      <c r="AE275">
        <v>23.1953</v>
      </c>
      <c r="AM275">
        <v>1285289816</v>
      </c>
      <c r="AN275">
        <v>0</v>
      </c>
      <c r="AO275">
        <v>856844407</v>
      </c>
      <c r="AP275">
        <v>1285289816</v>
      </c>
      <c r="AQ275">
        <v>2142134223</v>
      </c>
      <c r="AR275">
        <v>42842993</v>
      </c>
      <c r="AS275">
        <v>0</v>
      </c>
      <c r="AT275">
        <v>28561480</v>
      </c>
      <c r="AU275">
        <v>42842993</v>
      </c>
      <c r="AV275">
        <v>71404474</v>
      </c>
      <c r="AW275">
        <v>32.218899999999998</v>
      </c>
      <c r="AX275">
        <v>11.879099999999999</v>
      </c>
      <c r="AY275">
        <v>5606.68</v>
      </c>
      <c r="AZ275">
        <v>4081.69</v>
      </c>
      <c r="BA275">
        <v>2420</v>
      </c>
      <c r="BB275">
        <v>478</v>
      </c>
      <c r="BC275" t="str">
        <f t="shared" si="8"/>
        <v>u=40%, k=2x10^7</v>
      </c>
      <c r="BD275">
        <f t="shared" si="9"/>
        <v>0</v>
      </c>
    </row>
    <row r="276" spans="1:56">
      <c r="A276" t="s">
        <v>360</v>
      </c>
      <c r="B276" t="s">
        <v>67</v>
      </c>
      <c r="D276" t="s">
        <v>65</v>
      </c>
      <c r="E276" t="s">
        <v>60</v>
      </c>
      <c r="F276" t="s">
        <v>61</v>
      </c>
      <c r="G276">
        <v>30000</v>
      </c>
      <c r="H276">
        <v>20</v>
      </c>
      <c r="I276">
        <v>20</v>
      </c>
      <c r="J276">
        <v>0</v>
      </c>
      <c r="K276">
        <v>1</v>
      </c>
      <c r="L276">
        <v>20000000</v>
      </c>
      <c r="M276">
        <v>190</v>
      </c>
      <c r="N276">
        <v>190</v>
      </c>
      <c r="O276">
        <v>190</v>
      </c>
      <c r="P276">
        <v>0</v>
      </c>
      <c r="Q276" t="s">
        <v>62</v>
      </c>
      <c r="R276">
        <v>99957759228759</v>
      </c>
      <c r="S276">
        <v>9995340</v>
      </c>
      <c r="T276">
        <v>99957759228759</v>
      </c>
      <c r="U276">
        <v>9995340</v>
      </c>
      <c r="V276" t="s">
        <v>75</v>
      </c>
      <c r="W276">
        <v>29</v>
      </c>
      <c r="X276">
        <v>6856854</v>
      </c>
      <c r="Y276">
        <v>5201475</v>
      </c>
      <c r="Z276">
        <v>12058329</v>
      </c>
      <c r="AA276">
        <v>9995340</v>
      </c>
      <c r="AB276">
        <v>1.75858</v>
      </c>
      <c r="AC276">
        <v>1.92164</v>
      </c>
      <c r="AD276">
        <v>1.8289200000000001</v>
      </c>
      <c r="AE276">
        <v>23.2166</v>
      </c>
      <c r="AM276">
        <v>1656783392</v>
      </c>
      <c r="AN276">
        <v>0</v>
      </c>
      <c r="AO276">
        <v>1104540483</v>
      </c>
      <c r="AP276">
        <v>1656783392</v>
      </c>
      <c r="AQ276">
        <v>2761323875</v>
      </c>
      <c r="AR276">
        <v>55226113</v>
      </c>
      <c r="AS276">
        <v>0</v>
      </c>
      <c r="AT276">
        <v>36818016</v>
      </c>
      <c r="AU276">
        <v>55226113</v>
      </c>
      <c r="AV276">
        <v>92044129</v>
      </c>
      <c r="AW276">
        <v>32.710099999999997</v>
      </c>
      <c r="AX276">
        <v>12.337</v>
      </c>
      <c r="AY276">
        <v>5742.84</v>
      </c>
      <c r="AZ276">
        <v>4159.82</v>
      </c>
      <c r="BA276">
        <v>2509</v>
      </c>
      <c r="BB276">
        <v>478</v>
      </c>
      <c r="BC276" t="str">
        <f t="shared" si="8"/>
        <v>u=40%, k=2x10^7</v>
      </c>
      <c r="BD276">
        <f t="shared" si="9"/>
        <v>0</v>
      </c>
    </row>
    <row r="277" spans="1:56">
      <c r="A277" t="s">
        <v>361</v>
      </c>
      <c r="B277" t="s">
        <v>68</v>
      </c>
      <c r="D277" t="s">
        <v>65</v>
      </c>
      <c r="E277" t="s">
        <v>60</v>
      </c>
      <c r="F277" t="s">
        <v>61</v>
      </c>
      <c r="G277">
        <v>30000</v>
      </c>
      <c r="H277">
        <v>20</v>
      </c>
      <c r="I277">
        <v>20</v>
      </c>
      <c r="J277">
        <v>0</v>
      </c>
      <c r="K277">
        <v>1</v>
      </c>
      <c r="L277">
        <v>20000000</v>
      </c>
      <c r="M277">
        <v>24</v>
      </c>
      <c r="N277">
        <v>24</v>
      </c>
      <c r="O277">
        <v>24</v>
      </c>
      <c r="P277">
        <v>0</v>
      </c>
      <c r="Q277" t="s">
        <v>62</v>
      </c>
      <c r="R277">
        <v>100011926588924</v>
      </c>
      <c r="S277">
        <v>10001345</v>
      </c>
      <c r="T277">
        <v>100011926588924</v>
      </c>
      <c r="U277">
        <v>10001345</v>
      </c>
      <c r="V277" t="s">
        <v>75</v>
      </c>
      <c r="W277">
        <v>57</v>
      </c>
      <c r="X277">
        <v>10001344</v>
      </c>
      <c r="Y277">
        <v>10001345</v>
      </c>
      <c r="Z277">
        <v>20002689</v>
      </c>
      <c r="AA277">
        <v>10001345</v>
      </c>
      <c r="AB277">
        <v>2</v>
      </c>
      <c r="AC277">
        <v>1</v>
      </c>
      <c r="AD277">
        <v>1.5</v>
      </c>
      <c r="AE277">
        <v>30.892900000000001</v>
      </c>
      <c r="AM277">
        <v>186882484</v>
      </c>
      <c r="AN277">
        <v>0</v>
      </c>
      <c r="AO277">
        <v>124581779</v>
      </c>
      <c r="AP277">
        <v>186882484</v>
      </c>
      <c r="AQ277">
        <v>311464263</v>
      </c>
      <c r="AR277">
        <v>6229416</v>
      </c>
      <c r="AS277">
        <v>0</v>
      </c>
      <c r="AT277">
        <v>4152725</v>
      </c>
      <c r="AU277">
        <v>6229416</v>
      </c>
      <c r="AV277">
        <v>10382142</v>
      </c>
      <c r="AW277">
        <v>26.156700000000001</v>
      </c>
      <c r="AX277">
        <v>9.8023199999999999</v>
      </c>
      <c r="AY277">
        <v>6448.56</v>
      </c>
      <c r="AZ277">
        <v>5066.6499999999996</v>
      </c>
      <c r="BA277">
        <v>1750</v>
      </c>
      <c r="BB277">
        <v>1512</v>
      </c>
      <c r="BC277" t="str">
        <f t="shared" si="8"/>
        <v>u=40%, k=2x10^7</v>
      </c>
      <c r="BD277">
        <f t="shared" si="9"/>
        <v>0</v>
      </c>
    </row>
    <row r="278" spans="1:56">
      <c r="A278" t="s">
        <v>362</v>
      </c>
      <c r="B278" t="s">
        <v>68</v>
      </c>
      <c r="D278" t="s">
        <v>65</v>
      </c>
      <c r="E278" t="s">
        <v>60</v>
      </c>
      <c r="F278" t="s">
        <v>61</v>
      </c>
      <c r="G278">
        <v>30000</v>
      </c>
      <c r="H278">
        <v>20</v>
      </c>
      <c r="I278">
        <v>20</v>
      </c>
      <c r="J278">
        <v>0</v>
      </c>
      <c r="K278">
        <v>1</v>
      </c>
      <c r="L278">
        <v>20000000</v>
      </c>
      <c r="M278">
        <v>48</v>
      </c>
      <c r="N278">
        <v>48</v>
      </c>
      <c r="O278">
        <v>48</v>
      </c>
      <c r="P278">
        <v>0</v>
      </c>
      <c r="Q278" t="s">
        <v>62</v>
      </c>
      <c r="R278">
        <v>99963189106145</v>
      </c>
      <c r="S278">
        <v>9998432</v>
      </c>
      <c r="T278">
        <v>99963189106145</v>
      </c>
      <c r="U278">
        <v>9998432</v>
      </c>
      <c r="V278" t="s">
        <v>75</v>
      </c>
      <c r="W278">
        <v>58</v>
      </c>
      <c r="X278">
        <v>9998431</v>
      </c>
      <c r="Y278">
        <v>9998432</v>
      </c>
      <c r="Z278">
        <v>19996863</v>
      </c>
      <c r="AA278">
        <v>9998432</v>
      </c>
      <c r="AB278">
        <v>2</v>
      </c>
      <c r="AC278">
        <v>1</v>
      </c>
      <c r="AD278">
        <v>1.5</v>
      </c>
      <c r="AE278">
        <v>31.202100000000002</v>
      </c>
      <c r="AM278">
        <v>361673616</v>
      </c>
      <c r="AN278">
        <v>0</v>
      </c>
      <c r="AO278">
        <v>241087456</v>
      </c>
      <c r="AP278">
        <v>361673616</v>
      </c>
      <c r="AQ278">
        <v>602761072</v>
      </c>
      <c r="AR278">
        <v>12055787</v>
      </c>
      <c r="AS278">
        <v>0</v>
      </c>
      <c r="AT278">
        <v>8036248</v>
      </c>
      <c r="AU278">
        <v>12055787</v>
      </c>
      <c r="AV278">
        <v>20092035</v>
      </c>
      <c r="AW278">
        <v>26.061699999999998</v>
      </c>
      <c r="AX278">
        <v>9.5964500000000008</v>
      </c>
      <c r="AY278">
        <v>6663.22</v>
      </c>
      <c r="AZ278">
        <v>5512.38</v>
      </c>
      <c r="BA278">
        <v>1817</v>
      </c>
      <c r="BB278">
        <v>1066</v>
      </c>
      <c r="BC278" t="str">
        <f t="shared" si="8"/>
        <v>u=40%, k=2x10^7</v>
      </c>
      <c r="BD278">
        <f t="shared" si="9"/>
        <v>0</v>
      </c>
    </row>
    <row r="279" spans="1:56">
      <c r="A279" t="s">
        <v>363</v>
      </c>
      <c r="B279" t="s">
        <v>68</v>
      </c>
      <c r="D279" t="s">
        <v>65</v>
      </c>
      <c r="E279" t="s">
        <v>60</v>
      </c>
      <c r="F279" t="s">
        <v>61</v>
      </c>
      <c r="G279">
        <v>30000</v>
      </c>
      <c r="H279">
        <v>20</v>
      </c>
      <c r="I279">
        <v>20</v>
      </c>
      <c r="J279">
        <v>0</v>
      </c>
      <c r="K279">
        <v>1</v>
      </c>
      <c r="L279">
        <v>20000000</v>
      </c>
      <c r="M279">
        <v>96</v>
      </c>
      <c r="N279">
        <v>96</v>
      </c>
      <c r="O279">
        <v>96</v>
      </c>
      <c r="P279">
        <v>0</v>
      </c>
      <c r="Q279" t="s">
        <v>62</v>
      </c>
      <c r="R279">
        <v>100029842939876</v>
      </c>
      <c r="S279">
        <v>10000941</v>
      </c>
      <c r="T279">
        <v>100029842939876</v>
      </c>
      <c r="U279">
        <v>10000941</v>
      </c>
      <c r="V279" t="s">
        <v>75</v>
      </c>
      <c r="W279">
        <v>56</v>
      </c>
      <c r="X279">
        <v>10000940</v>
      </c>
      <c r="Y279">
        <v>10000941</v>
      </c>
      <c r="Z279">
        <v>20001881</v>
      </c>
      <c r="AA279">
        <v>10000941</v>
      </c>
      <c r="AB279">
        <v>2</v>
      </c>
      <c r="AC279">
        <v>1</v>
      </c>
      <c r="AD279">
        <v>1.5</v>
      </c>
      <c r="AE279">
        <v>29.732700000000001</v>
      </c>
      <c r="AM279">
        <v>763415831</v>
      </c>
      <c r="AN279">
        <v>0</v>
      </c>
      <c r="AO279">
        <v>508963960</v>
      </c>
      <c r="AP279">
        <v>763415831</v>
      </c>
      <c r="AQ279">
        <v>1272379791</v>
      </c>
      <c r="AR279">
        <v>25447194</v>
      </c>
      <c r="AS279">
        <v>0</v>
      </c>
      <c r="AT279">
        <v>16965465</v>
      </c>
      <c r="AU279">
        <v>25447194</v>
      </c>
      <c r="AV279">
        <v>42412659</v>
      </c>
      <c r="AW279">
        <v>27.652000000000001</v>
      </c>
      <c r="AX279">
        <v>10.636799999999999</v>
      </c>
      <c r="AY279">
        <v>6307.08</v>
      </c>
      <c r="AZ279">
        <v>5062.8100000000004</v>
      </c>
      <c r="BA279">
        <v>2276</v>
      </c>
      <c r="BB279">
        <v>724</v>
      </c>
      <c r="BC279" t="str">
        <f t="shared" si="8"/>
        <v>u=40%, k=2x10^7</v>
      </c>
      <c r="BD279">
        <f t="shared" si="9"/>
        <v>0</v>
      </c>
    </row>
    <row r="280" spans="1:56">
      <c r="A280" t="s">
        <v>364</v>
      </c>
      <c r="B280" t="s">
        <v>68</v>
      </c>
      <c r="D280" t="s">
        <v>65</v>
      </c>
      <c r="E280" t="s">
        <v>60</v>
      </c>
      <c r="F280" t="s">
        <v>61</v>
      </c>
      <c r="G280">
        <v>30000</v>
      </c>
      <c r="H280">
        <v>20</v>
      </c>
      <c r="I280">
        <v>20</v>
      </c>
      <c r="J280">
        <v>0</v>
      </c>
      <c r="K280">
        <v>1</v>
      </c>
      <c r="L280">
        <v>20000000</v>
      </c>
      <c r="M280">
        <v>144</v>
      </c>
      <c r="N280">
        <v>144</v>
      </c>
      <c r="O280">
        <v>144</v>
      </c>
      <c r="P280">
        <v>0</v>
      </c>
      <c r="Q280" t="s">
        <v>62</v>
      </c>
      <c r="R280">
        <v>100029919729616</v>
      </c>
      <c r="S280">
        <v>10002002</v>
      </c>
      <c r="T280">
        <v>100029919729616</v>
      </c>
      <c r="U280">
        <v>10002002</v>
      </c>
      <c r="V280" t="s">
        <v>75</v>
      </c>
      <c r="W280">
        <v>57</v>
      </c>
      <c r="X280">
        <v>10002001</v>
      </c>
      <c r="Y280">
        <v>10002002</v>
      </c>
      <c r="Z280">
        <v>20004003</v>
      </c>
      <c r="AA280">
        <v>10002002</v>
      </c>
      <c r="AB280">
        <v>2</v>
      </c>
      <c r="AC280">
        <v>1</v>
      </c>
      <c r="AD280">
        <v>1.5</v>
      </c>
      <c r="AE280">
        <v>29.944900000000001</v>
      </c>
      <c r="AM280">
        <v>1068277826</v>
      </c>
      <c r="AN280">
        <v>0</v>
      </c>
      <c r="AO280">
        <v>712178551</v>
      </c>
      <c r="AP280">
        <v>1068277826</v>
      </c>
      <c r="AQ280">
        <v>1780456377</v>
      </c>
      <c r="AR280">
        <v>35609260</v>
      </c>
      <c r="AS280">
        <v>0</v>
      </c>
      <c r="AT280">
        <v>23739285</v>
      </c>
      <c r="AU280">
        <v>35609260</v>
      </c>
      <c r="AV280">
        <v>59348545</v>
      </c>
      <c r="AW280">
        <v>28.674600000000002</v>
      </c>
      <c r="AX280">
        <v>11.585000000000001</v>
      </c>
      <c r="AY280">
        <v>6759.94</v>
      </c>
      <c r="AZ280">
        <v>5180.54</v>
      </c>
      <c r="BA280">
        <v>2345</v>
      </c>
      <c r="BB280">
        <v>430</v>
      </c>
      <c r="BC280" t="str">
        <f t="shared" si="8"/>
        <v>u=40%, k=2x10^7</v>
      </c>
      <c r="BD280">
        <f t="shared" si="9"/>
        <v>0</v>
      </c>
    </row>
    <row r="281" spans="1:56">
      <c r="A281" t="s">
        <v>365</v>
      </c>
      <c r="B281" t="s">
        <v>68</v>
      </c>
      <c r="D281" t="s">
        <v>65</v>
      </c>
      <c r="E281" t="s">
        <v>60</v>
      </c>
      <c r="F281" t="s">
        <v>61</v>
      </c>
      <c r="G281">
        <v>30000</v>
      </c>
      <c r="H281">
        <v>20</v>
      </c>
      <c r="I281">
        <v>20</v>
      </c>
      <c r="J281">
        <v>0</v>
      </c>
      <c r="K281">
        <v>1</v>
      </c>
      <c r="L281">
        <v>20000000</v>
      </c>
      <c r="M281">
        <v>190</v>
      </c>
      <c r="N281">
        <v>190</v>
      </c>
      <c r="O281">
        <v>190</v>
      </c>
      <c r="P281">
        <v>0</v>
      </c>
      <c r="Q281" t="s">
        <v>62</v>
      </c>
      <c r="R281">
        <v>100026970483013</v>
      </c>
      <c r="S281">
        <v>10002446</v>
      </c>
      <c r="T281">
        <v>100026970483013</v>
      </c>
      <c r="U281">
        <v>10002446</v>
      </c>
      <c r="V281" t="s">
        <v>75</v>
      </c>
      <c r="W281">
        <v>53</v>
      </c>
      <c r="X281">
        <v>10002445</v>
      </c>
      <c r="Y281">
        <v>10002446</v>
      </c>
      <c r="Z281">
        <v>20004891</v>
      </c>
      <c r="AA281">
        <v>10002446</v>
      </c>
      <c r="AB281">
        <v>2</v>
      </c>
      <c r="AC281">
        <v>1</v>
      </c>
      <c r="AD281">
        <v>1.5</v>
      </c>
      <c r="AE281">
        <v>29.7532</v>
      </c>
      <c r="AM281">
        <v>1296569257</v>
      </c>
      <c r="AN281">
        <v>0</v>
      </c>
      <c r="AO281">
        <v>864453748</v>
      </c>
      <c r="AP281">
        <v>1296569257</v>
      </c>
      <c r="AQ281">
        <v>2161023005</v>
      </c>
      <c r="AR281">
        <v>43218975</v>
      </c>
      <c r="AS281">
        <v>0</v>
      </c>
      <c r="AT281">
        <v>28815124</v>
      </c>
      <c r="AU281">
        <v>43218975</v>
      </c>
      <c r="AV281">
        <v>72034100</v>
      </c>
      <c r="AW281">
        <v>29.1995</v>
      </c>
      <c r="AX281">
        <v>12.126200000000001</v>
      </c>
      <c r="AY281">
        <v>7321.9</v>
      </c>
      <c r="AZ281">
        <v>5259.18</v>
      </c>
      <c r="BA281">
        <v>2319</v>
      </c>
      <c r="BB281">
        <v>429</v>
      </c>
      <c r="BC281" t="str">
        <f t="shared" si="8"/>
        <v>u=40%, k=2x10^7</v>
      </c>
      <c r="BD281">
        <f t="shared" si="9"/>
        <v>0</v>
      </c>
    </row>
    <row r="282" spans="1:56">
      <c r="A282" t="s">
        <v>366</v>
      </c>
      <c r="B282" t="s">
        <v>64</v>
      </c>
      <c r="C282">
        <v>72</v>
      </c>
      <c r="D282" t="s">
        <v>65</v>
      </c>
      <c r="E282" t="s">
        <v>60</v>
      </c>
      <c r="F282" t="s">
        <v>61</v>
      </c>
      <c r="G282">
        <v>30000</v>
      </c>
      <c r="H282">
        <v>20</v>
      </c>
      <c r="I282">
        <v>20</v>
      </c>
      <c r="J282">
        <v>0</v>
      </c>
      <c r="K282">
        <v>1</v>
      </c>
      <c r="L282">
        <v>200000000</v>
      </c>
      <c r="M282">
        <v>24</v>
      </c>
      <c r="N282">
        <v>24</v>
      </c>
      <c r="O282">
        <v>24</v>
      </c>
      <c r="P282">
        <v>0</v>
      </c>
      <c r="Q282" t="s">
        <v>62</v>
      </c>
      <c r="R282">
        <v>9999165788148130</v>
      </c>
      <c r="S282">
        <v>99993165</v>
      </c>
      <c r="T282">
        <v>9999165788148130</v>
      </c>
      <c r="U282">
        <v>99993165</v>
      </c>
      <c r="V282" t="s">
        <v>75</v>
      </c>
      <c r="W282">
        <v>7</v>
      </c>
      <c r="X282">
        <v>11010011</v>
      </c>
      <c r="Y282">
        <v>109993180</v>
      </c>
      <c r="Z282">
        <v>121003191</v>
      </c>
      <c r="AA282">
        <v>99993165</v>
      </c>
      <c r="AB282">
        <v>10.9903</v>
      </c>
      <c r="AC282">
        <v>0.90908500000000003</v>
      </c>
      <c r="AD282">
        <v>1.82637</v>
      </c>
      <c r="AE282">
        <v>4</v>
      </c>
      <c r="AM282">
        <v>300009366</v>
      </c>
      <c r="AN282">
        <v>0</v>
      </c>
      <c r="AO282">
        <v>200003220</v>
      </c>
      <c r="AP282">
        <v>300009366</v>
      </c>
      <c r="AQ282">
        <v>500012586</v>
      </c>
      <c r="AR282">
        <v>10000312</v>
      </c>
      <c r="AS282">
        <v>0</v>
      </c>
      <c r="AT282">
        <v>6666774</v>
      </c>
      <c r="AU282">
        <v>10000312</v>
      </c>
      <c r="AV282">
        <v>16667086</v>
      </c>
      <c r="AW282">
        <v>27.924399999999999</v>
      </c>
      <c r="AX282">
        <v>13.643700000000001</v>
      </c>
      <c r="AY282">
        <v>3883.31</v>
      </c>
      <c r="AZ282">
        <v>2849.08</v>
      </c>
      <c r="BA282">
        <v>12610</v>
      </c>
      <c r="BB282">
        <v>1555</v>
      </c>
      <c r="BC282" t="str">
        <f t="shared" si="8"/>
        <v>u=40%, k=2x10^8</v>
      </c>
      <c r="BD282">
        <f t="shared" si="9"/>
        <v>0</v>
      </c>
    </row>
    <row r="283" spans="1:56">
      <c r="A283" t="s">
        <v>367</v>
      </c>
      <c r="B283" t="s">
        <v>64</v>
      </c>
      <c r="C283">
        <v>72</v>
      </c>
      <c r="D283" t="s">
        <v>65</v>
      </c>
      <c r="E283" t="s">
        <v>60</v>
      </c>
      <c r="F283" t="s">
        <v>61</v>
      </c>
      <c r="G283">
        <v>30000</v>
      </c>
      <c r="H283">
        <v>20</v>
      </c>
      <c r="I283">
        <v>20</v>
      </c>
      <c r="J283">
        <v>0</v>
      </c>
      <c r="K283">
        <v>1</v>
      </c>
      <c r="L283">
        <v>200000000</v>
      </c>
      <c r="M283">
        <v>48</v>
      </c>
      <c r="N283">
        <v>48</v>
      </c>
      <c r="O283">
        <v>48</v>
      </c>
      <c r="P283">
        <v>0</v>
      </c>
      <c r="Q283" t="s">
        <v>62</v>
      </c>
      <c r="R283">
        <v>9999986214441230</v>
      </c>
      <c r="S283">
        <v>100001179</v>
      </c>
      <c r="T283">
        <v>9999986214441230</v>
      </c>
      <c r="U283">
        <v>100001179</v>
      </c>
      <c r="V283" t="s">
        <v>75</v>
      </c>
      <c r="W283">
        <v>7</v>
      </c>
      <c r="X283">
        <v>14819308</v>
      </c>
      <c r="Y283">
        <v>117956613</v>
      </c>
      <c r="Z283">
        <v>132775921</v>
      </c>
      <c r="AA283">
        <v>100001179</v>
      </c>
      <c r="AB283">
        <v>8.9596599999999995</v>
      </c>
      <c r="AC283">
        <v>0.84777899999999995</v>
      </c>
      <c r="AD283">
        <v>1.7531600000000001</v>
      </c>
      <c r="AE283">
        <v>4.0795000000000003</v>
      </c>
      <c r="AM283">
        <v>490091663</v>
      </c>
      <c r="AN283">
        <v>0</v>
      </c>
      <c r="AO283">
        <v>326711767</v>
      </c>
      <c r="AP283">
        <v>490091663</v>
      </c>
      <c r="AQ283">
        <v>816803430</v>
      </c>
      <c r="AR283">
        <v>16336388</v>
      </c>
      <c r="AS283">
        <v>0</v>
      </c>
      <c r="AT283">
        <v>10890392</v>
      </c>
      <c r="AU283">
        <v>16336388</v>
      </c>
      <c r="AV283">
        <v>27226781</v>
      </c>
      <c r="AW283">
        <v>29.320900000000002</v>
      </c>
      <c r="AX283">
        <v>14.133800000000001</v>
      </c>
      <c r="AY283">
        <v>4704.1099999999997</v>
      </c>
      <c r="AZ283">
        <v>3475.35</v>
      </c>
      <c r="BA283">
        <v>13194</v>
      </c>
      <c r="BB283">
        <v>1284</v>
      </c>
      <c r="BC283" t="str">
        <f t="shared" si="8"/>
        <v>u=40%, k=2x10^8</v>
      </c>
      <c r="BD283">
        <f t="shared" si="9"/>
        <v>0</v>
      </c>
    </row>
    <row r="284" spans="1:56">
      <c r="A284" t="s">
        <v>368</v>
      </c>
      <c r="B284" t="s">
        <v>64</v>
      </c>
      <c r="C284">
        <v>72</v>
      </c>
      <c r="D284" t="s">
        <v>65</v>
      </c>
      <c r="E284" t="s">
        <v>60</v>
      </c>
      <c r="F284" t="s">
        <v>61</v>
      </c>
      <c r="G284">
        <v>30000</v>
      </c>
      <c r="H284">
        <v>20</v>
      </c>
      <c r="I284">
        <v>20</v>
      </c>
      <c r="J284">
        <v>0</v>
      </c>
      <c r="K284">
        <v>1</v>
      </c>
      <c r="L284">
        <v>200000000</v>
      </c>
      <c r="M284">
        <v>96</v>
      </c>
      <c r="N284">
        <v>96</v>
      </c>
      <c r="O284">
        <v>96</v>
      </c>
      <c r="P284">
        <v>0</v>
      </c>
      <c r="Q284" t="s">
        <v>62</v>
      </c>
      <c r="R284">
        <v>9999024516927680</v>
      </c>
      <c r="S284">
        <v>99991499</v>
      </c>
      <c r="T284">
        <v>9999024516927680</v>
      </c>
      <c r="U284">
        <v>99991499</v>
      </c>
      <c r="V284" t="s">
        <v>75</v>
      </c>
      <c r="W284">
        <v>7</v>
      </c>
      <c r="X284">
        <v>14268684</v>
      </c>
      <c r="Y284">
        <v>116746538</v>
      </c>
      <c r="Z284">
        <v>131015222</v>
      </c>
      <c r="AA284">
        <v>99991499</v>
      </c>
      <c r="AB284">
        <v>9.18201</v>
      </c>
      <c r="AC284">
        <v>0.85648400000000002</v>
      </c>
      <c r="AD284">
        <v>1.7632099999999999</v>
      </c>
      <c r="AE284">
        <v>4.0650199999999996</v>
      </c>
      <c r="AM284">
        <v>891437177</v>
      </c>
      <c r="AN284">
        <v>0</v>
      </c>
      <c r="AO284">
        <v>594294122</v>
      </c>
      <c r="AP284">
        <v>891437177</v>
      </c>
      <c r="AQ284">
        <v>1485731299</v>
      </c>
      <c r="AR284">
        <v>29714572</v>
      </c>
      <c r="AS284">
        <v>0</v>
      </c>
      <c r="AT284">
        <v>19809804</v>
      </c>
      <c r="AU284">
        <v>29714572</v>
      </c>
      <c r="AV284">
        <v>49524376</v>
      </c>
      <c r="AW284">
        <v>30.505099999999999</v>
      </c>
      <c r="AX284">
        <v>15.916600000000001</v>
      </c>
      <c r="AY284">
        <v>5058.17</v>
      </c>
      <c r="AZ284">
        <v>3714.85</v>
      </c>
      <c r="BA284">
        <v>13753</v>
      </c>
      <c r="BB284">
        <v>1099</v>
      </c>
      <c r="BC284" t="str">
        <f t="shared" si="8"/>
        <v>u=40%, k=2x10^8</v>
      </c>
      <c r="BD284">
        <f t="shared" si="9"/>
        <v>0</v>
      </c>
    </row>
    <row r="285" spans="1:56">
      <c r="A285" t="s">
        <v>369</v>
      </c>
      <c r="B285" t="s">
        <v>64</v>
      </c>
      <c r="C285">
        <v>72</v>
      </c>
      <c r="D285" t="s">
        <v>65</v>
      </c>
      <c r="E285" t="s">
        <v>60</v>
      </c>
      <c r="F285" t="s">
        <v>61</v>
      </c>
      <c r="G285">
        <v>30000</v>
      </c>
      <c r="H285">
        <v>20</v>
      </c>
      <c r="I285">
        <v>20</v>
      </c>
      <c r="J285">
        <v>0</v>
      </c>
      <c r="K285">
        <v>1</v>
      </c>
      <c r="L285">
        <v>200000000</v>
      </c>
      <c r="M285">
        <v>144</v>
      </c>
      <c r="N285">
        <v>144</v>
      </c>
      <c r="O285">
        <v>144</v>
      </c>
      <c r="P285">
        <v>0</v>
      </c>
      <c r="Q285" t="s">
        <v>62</v>
      </c>
      <c r="R285">
        <v>9999393560474270</v>
      </c>
      <c r="S285">
        <v>99994149</v>
      </c>
      <c r="T285">
        <v>9999393560474270</v>
      </c>
      <c r="U285">
        <v>99994149</v>
      </c>
      <c r="V285" t="s">
        <v>75</v>
      </c>
      <c r="W285">
        <v>7</v>
      </c>
      <c r="X285">
        <v>14022244</v>
      </c>
      <c r="Y285">
        <v>116182124</v>
      </c>
      <c r="Z285">
        <v>130204368</v>
      </c>
      <c r="AA285">
        <v>99994149</v>
      </c>
      <c r="AB285">
        <v>9.2855600000000003</v>
      </c>
      <c r="AC285">
        <v>0.86066699999999996</v>
      </c>
      <c r="AD285">
        <v>1.7679800000000001</v>
      </c>
      <c r="AE285">
        <v>4.0623300000000002</v>
      </c>
      <c r="AM285">
        <v>1224397489</v>
      </c>
      <c r="AN285">
        <v>0</v>
      </c>
      <c r="AO285">
        <v>816241200</v>
      </c>
      <c r="AP285">
        <v>1224397489</v>
      </c>
      <c r="AQ285">
        <v>2040638689</v>
      </c>
      <c r="AR285">
        <v>40813249</v>
      </c>
      <c r="AS285">
        <v>0</v>
      </c>
      <c r="AT285">
        <v>27208040</v>
      </c>
      <c r="AU285">
        <v>40813249</v>
      </c>
      <c r="AV285">
        <v>68021289</v>
      </c>
      <c r="AW285">
        <v>31.1157</v>
      </c>
      <c r="AX285">
        <v>16.979299999999999</v>
      </c>
      <c r="AY285">
        <v>5363.56</v>
      </c>
      <c r="AZ285">
        <v>3956.97</v>
      </c>
      <c r="BA285">
        <v>14177</v>
      </c>
      <c r="BB285">
        <v>1109</v>
      </c>
      <c r="BC285" t="str">
        <f t="shared" si="8"/>
        <v>u=40%, k=2x10^8</v>
      </c>
      <c r="BD285">
        <f t="shared" si="9"/>
        <v>0</v>
      </c>
    </row>
    <row r="286" spans="1:56">
      <c r="A286" t="s">
        <v>370</v>
      </c>
      <c r="B286" t="s">
        <v>64</v>
      </c>
      <c r="C286">
        <v>72</v>
      </c>
      <c r="D286" t="s">
        <v>65</v>
      </c>
      <c r="E286" t="s">
        <v>60</v>
      </c>
      <c r="F286" t="s">
        <v>61</v>
      </c>
      <c r="G286">
        <v>30000</v>
      </c>
      <c r="H286">
        <v>20</v>
      </c>
      <c r="I286">
        <v>20</v>
      </c>
      <c r="J286">
        <v>0</v>
      </c>
      <c r="K286">
        <v>1</v>
      </c>
      <c r="L286">
        <v>200000000</v>
      </c>
      <c r="M286">
        <v>190</v>
      </c>
      <c r="N286">
        <v>190</v>
      </c>
      <c r="O286">
        <v>190</v>
      </c>
      <c r="P286">
        <v>0</v>
      </c>
      <c r="Q286" t="s">
        <v>62</v>
      </c>
      <c r="R286">
        <v>9999831485565940</v>
      </c>
      <c r="S286">
        <v>99989179</v>
      </c>
      <c r="T286">
        <v>9999831485565940</v>
      </c>
      <c r="U286">
        <v>99989179</v>
      </c>
      <c r="V286" t="s">
        <v>75</v>
      </c>
      <c r="W286">
        <v>7</v>
      </c>
      <c r="X286">
        <v>11184610</v>
      </c>
      <c r="Y286">
        <v>110338426</v>
      </c>
      <c r="Z286">
        <v>121523036</v>
      </c>
      <c r="AA286">
        <v>99989179</v>
      </c>
      <c r="AB286">
        <v>10.8652</v>
      </c>
      <c r="AC286">
        <v>0.90620500000000004</v>
      </c>
      <c r="AD286">
        <v>1.8228</v>
      </c>
      <c r="AE286">
        <v>4.0034999999999998</v>
      </c>
      <c r="AM286">
        <v>1501174471</v>
      </c>
      <c r="AN286">
        <v>0</v>
      </c>
      <c r="AO286">
        <v>1000719258</v>
      </c>
      <c r="AP286">
        <v>1501174471</v>
      </c>
      <c r="AQ286">
        <v>2501893729</v>
      </c>
      <c r="AR286">
        <v>50039149</v>
      </c>
      <c r="AS286">
        <v>0</v>
      </c>
      <c r="AT286">
        <v>33357308</v>
      </c>
      <c r="AU286">
        <v>50039149</v>
      </c>
      <c r="AV286">
        <v>83396457</v>
      </c>
      <c r="AW286">
        <v>31.511700000000001</v>
      </c>
      <c r="AX286">
        <v>17.642499999999998</v>
      </c>
      <c r="AY286">
        <v>5688.54</v>
      </c>
      <c r="AZ286">
        <v>4209.05</v>
      </c>
      <c r="BA286">
        <v>14460</v>
      </c>
      <c r="BB286">
        <v>1130</v>
      </c>
      <c r="BC286" t="str">
        <f t="shared" si="8"/>
        <v>u=40%, k=2x10^8</v>
      </c>
      <c r="BD286">
        <f t="shared" si="9"/>
        <v>0</v>
      </c>
    </row>
    <row r="287" spans="1:56">
      <c r="A287" t="s">
        <v>371</v>
      </c>
      <c r="B287" t="s">
        <v>66</v>
      </c>
      <c r="C287">
        <v>208</v>
      </c>
      <c r="D287" t="s">
        <v>65</v>
      </c>
      <c r="E287" t="s">
        <v>60</v>
      </c>
      <c r="F287" t="s">
        <v>61</v>
      </c>
      <c r="G287">
        <v>30000</v>
      </c>
      <c r="H287">
        <v>20</v>
      </c>
      <c r="I287">
        <v>20</v>
      </c>
      <c r="J287">
        <v>0</v>
      </c>
      <c r="K287">
        <v>1</v>
      </c>
      <c r="L287">
        <v>200000000</v>
      </c>
      <c r="M287">
        <v>24</v>
      </c>
      <c r="N287">
        <v>24</v>
      </c>
      <c r="O287">
        <v>24</v>
      </c>
      <c r="P287">
        <v>0</v>
      </c>
      <c r="Q287" t="s">
        <v>62</v>
      </c>
      <c r="R287">
        <v>1.00009920232756E+16</v>
      </c>
      <c r="S287">
        <v>100004316</v>
      </c>
      <c r="T287">
        <v>1.00009920232756E+16</v>
      </c>
      <c r="U287">
        <v>100004316</v>
      </c>
      <c r="V287" t="s">
        <v>75</v>
      </c>
      <c r="W287">
        <v>10</v>
      </c>
      <c r="X287">
        <v>2223098</v>
      </c>
      <c r="Y287">
        <v>15291052</v>
      </c>
      <c r="Z287">
        <v>17514150</v>
      </c>
      <c r="AA287">
        <v>100004316</v>
      </c>
      <c r="AB287">
        <v>7.87826</v>
      </c>
      <c r="AC287">
        <v>6.5400499999999999</v>
      </c>
      <c r="AD287">
        <v>6.7099200000000003</v>
      </c>
      <c r="AE287">
        <v>9</v>
      </c>
      <c r="AM287">
        <v>315612300</v>
      </c>
      <c r="AN287">
        <v>0</v>
      </c>
      <c r="AO287">
        <v>210387268</v>
      </c>
      <c r="AP287">
        <v>315612300</v>
      </c>
      <c r="AQ287">
        <v>525999568</v>
      </c>
      <c r="AR287">
        <v>10520410</v>
      </c>
      <c r="AS287">
        <v>0</v>
      </c>
      <c r="AT287">
        <v>7012908</v>
      </c>
      <c r="AU287">
        <v>10520410</v>
      </c>
      <c r="AV287">
        <v>17533318</v>
      </c>
      <c r="AW287">
        <v>26.023900000000001</v>
      </c>
      <c r="AX287">
        <v>11.1387</v>
      </c>
      <c r="AY287">
        <v>3813.92</v>
      </c>
      <c r="AZ287">
        <v>2703.5</v>
      </c>
      <c r="BA287">
        <v>4937</v>
      </c>
      <c r="BB287">
        <v>9593</v>
      </c>
      <c r="BC287" t="str">
        <f t="shared" si="8"/>
        <v>u=40%, k=2x10^8</v>
      </c>
      <c r="BD287">
        <f t="shared" si="9"/>
        <v>0</v>
      </c>
    </row>
    <row r="288" spans="1:56">
      <c r="A288" t="s">
        <v>372</v>
      </c>
      <c r="B288" t="s">
        <v>66</v>
      </c>
      <c r="C288">
        <v>208</v>
      </c>
      <c r="D288" t="s">
        <v>65</v>
      </c>
      <c r="E288" t="s">
        <v>60</v>
      </c>
      <c r="F288" t="s">
        <v>61</v>
      </c>
      <c r="G288">
        <v>30000</v>
      </c>
      <c r="H288">
        <v>20</v>
      </c>
      <c r="I288">
        <v>20</v>
      </c>
      <c r="J288">
        <v>0</v>
      </c>
      <c r="K288">
        <v>1</v>
      </c>
      <c r="L288">
        <v>200000000</v>
      </c>
      <c r="M288">
        <v>48</v>
      </c>
      <c r="N288">
        <v>48</v>
      </c>
      <c r="O288">
        <v>48</v>
      </c>
      <c r="P288">
        <v>0</v>
      </c>
      <c r="Q288" t="s">
        <v>62</v>
      </c>
      <c r="R288">
        <v>1.00002438865676E+16</v>
      </c>
      <c r="S288">
        <v>99994476</v>
      </c>
      <c r="T288">
        <v>1.00002438865676E+16</v>
      </c>
      <c r="U288">
        <v>99994476</v>
      </c>
      <c r="V288" t="s">
        <v>75</v>
      </c>
      <c r="W288">
        <v>11</v>
      </c>
      <c r="X288">
        <v>2374113</v>
      </c>
      <c r="Y288">
        <v>16316800</v>
      </c>
      <c r="Z288">
        <v>18690913</v>
      </c>
      <c r="AA288">
        <v>99994476</v>
      </c>
      <c r="AB288">
        <v>7.8727999999999998</v>
      </c>
      <c r="AC288">
        <v>6.1283099999999999</v>
      </c>
      <c r="AD288">
        <v>6.3498999999999999</v>
      </c>
      <c r="AE288">
        <v>10</v>
      </c>
      <c r="AM288">
        <v>593274999</v>
      </c>
      <c r="AN288">
        <v>0</v>
      </c>
      <c r="AO288">
        <v>395553860</v>
      </c>
      <c r="AP288">
        <v>593274999</v>
      </c>
      <c r="AQ288">
        <v>988828859</v>
      </c>
      <c r="AR288">
        <v>19775833</v>
      </c>
      <c r="AS288">
        <v>0</v>
      </c>
      <c r="AT288">
        <v>13185128</v>
      </c>
      <c r="AU288">
        <v>19775833</v>
      </c>
      <c r="AV288">
        <v>32960961</v>
      </c>
      <c r="AW288">
        <v>26.411999999999999</v>
      </c>
      <c r="AX288">
        <v>11.132199999999999</v>
      </c>
      <c r="AY288">
        <v>4056.42</v>
      </c>
      <c r="AZ288">
        <v>3042.53</v>
      </c>
      <c r="BA288">
        <v>5454</v>
      </c>
      <c r="BB288">
        <v>6542</v>
      </c>
      <c r="BC288" t="str">
        <f t="shared" si="8"/>
        <v>u=40%, k=2x10^8</v>
      </c>
      <c r="BD288">
        <f t="shared" si="9"/>
        <v>0</v>
      </c>
    </row>
    <row r="289" spans="1:56">
      <c r="A289" t="s">
        <v>373</v>
      </c>
      <c r="B289" t="s">
        <v>66</v>
      </c>
      <c r="C289">
        <v>208</v>
      </c>
      <c r="D289" t="s">
        <v>65</v>
      </c>
      <c r="E289" t="s">
        <v>60</v>
      </c>
      <c r="F289" t="s">
        <v>61</v>
      </c>
      <c r="G289">
        <v>30000</v>
      </c>
      <c r="H289">
        <v>20</v>
      </c>
      <c r="I289">
        <v>20</v>
      </c>
      <c r="J289">
        <v>0</v>
      </c>
      <c r="K289">
        <v>1</v>
      </c>
      <c r="L289">
        <v>200000000</v>
      </c>
      <c r="M289">
        <v>96</v>
      </c>
      <c r="N289">
        <v>96</v>
      </c>
      <c r="O289">
        <v>96</v>
      </c>
      <c r="P289">
        <v>0</v>
      </c>
      <c r="Q289" t="s">
        <v>62</v>
      </c>
      <c r="R289">
        <v>1.00007098569315E+16</v>
      </c>
      <c r="S289">
        <v>100004162</v>
      </c>
      <c r="T289">
        <v>1.00007098569315E+16</v>
      </c>
      <c r="U289">
        <v>100004162</v>
      </c>
      <c r="V289" t="s">
        <v>75</v>
      </c>
      <c r="W289">
        <v>10</v>
      </c>
      <c r="X289">
        <v>2542075</v>
      </c>
      <c r="Y289">
        <v>17438689</v>
      </c>
      <c r="Z289">
        <v>19980764</v>
      </c>
      <c r="AA289">
        <v>100004162</v>
      </c>
      <c r="AB289">
        <v>7.8600199999999996</v>
      </c>
      <c r="AC289">
        <v>5.73461</v>
      </c>
      <c r="AD289">
        <v>6.00502</v>
      </c>
      <c r="AE289">
        <v>9</v>
      </c>
      <c r="AM289">
        <v>1116080888</v>
      </c>
      <c r="AN289">
        <v>0</v>
      </c>
      <c r="AO289">
        <v>744098515</v>
      </c>
      <c r="AP289">
        <v>1116080888</v>
      </c>
      <c r="AQ289">
        <v>1860179403</v>
      </c>
      <c r="AR289">
        <v>37202696</v>
      </c>
      <c r="AS289">
        <v>0</v>
      </c>
      <c r="AT289">
        <v>24803283</v>
      </c>
      <c r="AU289">
        <v>37202696</v>
      </c>
      <c r="AV289">
        <v>62005980</v>
      </c>
      <c r="AW289">
        <v>27.748699999999999</v>
      </c>
      <c r="AX289">
        <v>12.5146</v>
      </c>
      <c r="AY289">
        <v>4303.54</v>
      </c>
      <c r="AZ289">
        <v>3160.16</v>
      </c>
      <c r="BA289">
        <v>8997</v>
      </c>
      <c r="BB289">
        <v>6488</v>
      </c>
      <c r="BC289" t="str">
        <f t="shared" si="8"/>
        <v>u=40%, k=2x10^8</v>
      </c>
      <c r="BD289">
        <f t="shared" si="9"/>
        <v>0</v>
      </c>
    </row>
    <row r="290" spans="1:56">
      <c r="A290" t="s">
        <v>374</v>
      </c>
      <c r="B290" t="s">
        <v>66</v>
      </c>
      <c r="C290">
        <v>208</v>
      </c>
      <c r="D290" t="s">
        <v>65</v>
      </c>
      <c r="E290" t="s">
        <v>60</v>
      </c>
      <c r="F290" t="s">
        <v>61</v>
      </c>
      <c r="G290">
        <v>30000</v>
      </c>
      <c r="H290">
        <v>20</v>
      </c>
      <c r="I290">
        <v>20</v>
      </c>
      <c r="J290">
        <v>0</v>
      </c>
      <c r="K290">
        <v>1</v>
      </c>
      <c r="L290">
        <v>200000000</v>
      </c>
      <c r="M290">
        <v>144</v>
      </c>
      <c r="N290">
        <v>144</v>
      </c>
      <c r="O290">
        <v>144</v>
      </c>
      <c r="P290">
        <v>0</v>
      </c>
      <c r="Q290" t="s">
        <v>62</v>
      </c>
      <c r="R290">
        <v>9999254378064560</v>
      </c>
      <c r="S290">
        <v>99995380</v>
      </c>
      <c r="T290">
        <v>9999254378064560</v>
      </c>
      <c r="U290">
        <v>99995380</v>
      </c>
      <c r="V290" t="s">
        <v>75</v>
      </c>
      <c r="W290">
        <v>11</v>
      </c>
      <c r="X290">
        <v>2625661</v>
      </c>
      <c r="Y290">
        <v>17970034</v>
      </c>
      <c r="Z290">
        <v>20595695</v>
      </c>
      <c r="AA290">
        <v>99995380</v>
      </c>
      <c r="AB290">
        <v>7.8440000000000003</v>
      </c>
      <c r="AC290">
        <v>5.5645600000000002</v>
      </c>
      <c r="AD290">
        <v>5.8551599999999997</v>
      </c>
      <c r="AE290">
        <v>10</v>
      </c>
      <c r="AM290">
        <v>1501440701</v>
      </c>
      <c r="AN290">
        <v>0</v>
      </c>
      <c r="AO290">
        <v>1000940221</v>
      </c>
      <c r="AP290">
        <v>1501440701</v>
      </c>
      <c r="AQ290">
        <v>2502380922</v>
      </c>
      <c r="AR290">
        <v>50048023</v>
      </c>
      <c r="AS290">
        <v>0</v>
      </c>
      <c r="AT290">
        <v>33364674</v>
      </c>
      <c r="AU290">
        <v>50048023</v>
      </c>
      <c r="AV290">
        <v>83412697</v>
      </c>
      <c r="AW290">
        <v>28.986899999999999</v>
      </c>
      <c r="AX290">
        <v>13.3484</v>
      </c>
      <c r="AY290">
        <v>4792.67</v>
      </c>
      <c r="AZ290">
        <v>3361.31</v>
      </c>
      <c r="BA290">
        <v>9262</v>
      </c>
      <c r="BB290">
        <v>6010</v>
      </c>
      <c r="BC290" t="str">
        <f t="shared" si="8"/>
        <v>u=40%, k=2x10^8</v>
      </c>
      <c r="BD290">
        <f t="shared" si="9"/>
        <v>0</v>
      </c>
    </row>
    <row r="291" spans="1:56">
      <c r="A291" t="s">
        <v>375</v>
      </c>
      <c r="B291" t="s">
        <v>66</v>
      </c>
      <c r="C291">
        <v>208</v>
      </c>
      <c r="D291" t="s">
        <v>65</v>
      </c>
      <c r="E291" t="s">
        <v>60</v>
      </c>
      <c r="F291" t="s">
        <v>61</v>
      </c>
      <c r="G291">
        <v>30000</v>
      </c>
      <c r="H291">
        <v>20</v>
      </c>
      <c r="I291">
        <v>20</v>
      </c>
      <c r="J291">
        <v>0</v>
      </c>
      <c r="K291">
        <v>1</v>
      </c>
      <c r="L291">
        <v>200000000</v>
      </c>
      <c r="M291">
        <v>190</v>
      </c>
      <c r="N291">
        <v>190</v>
      </c>
      <c r="O291">
        <v>190</v>
      </c>
      <c r="P291">
        <v>0</v>
      </c>
      <c r="Q291" t="s">
        <v>62</v>
      </c>
      <c r="R291">
        <v>1.00010628982165E+16</v>
      </c>
      <c r="S291">
        <v>100002347</v>
      </c>
      <c r="T291">
        <v>1.00010628982165E+16</v>
      </c>
      <c r="U291">
        <v>100002347</v>
      </c>
      <c r="V291" t="s">
        <v>75</v>
      </c>
      <c r="W291">
        <v>11</v>
      </c>
      <c r="X291">
        <v>2667961</v>
      </c>
      <c r="Y291">
        <v>18226766</v>
      </c>
      <c r="Z291">
        <v>20894727</v>
      </c>
      <c r="AA291">
        <v>100002347</v>
      </c>
      <c r="AB291">
        <v>7.8317199999999998</v>
      </c>
      <c r="AC291">
        <v>5.4865700000000004</v>
      </c>
      <c r="AD291">
        <v>5.7860100000000001</v>
      </c>
      <c r="AE291">
        <v>10</v>
      </c>
      <c r="AM291">
        <v>1749300497</v>
      </c>
      <c r="AN291">
        <v>0</v>
      </c>
      <c r="AO291">
        <v>1166148626</v>
      </c>
      <c r="AP291">
        <v>1749300497</v>
      </c>
      <c r="AQ291">
        <v>2915449123</v>
      </c>
      <c r="AR291">
        <v>58310016</v>
      </c>
      <c r="AS291">
        <v>0</v>
      </c>
      <c r="AT291">
        <v>38871620</v>
      </c>
      <c r="AU291">
        <v>58310016</v>
      </c>
      <c r="AV291">
        <v>97181637</v>
      </c>
      <c r="AW291">
        <v>29.562000000000001</v>
      </c>
      <c r="AX291">
        <v>13.9445</v>
      </c>
      <c r="AY291">
        <v>5409.98</v>
      </c>
      <c r="AZ291">
        <v>3547.48</v>
      </c>
      <c r="BA291">
        <v>9773</v>
      </c>
      <c r="BB291">
        <v>6046</v>
      </c>
      <c r="BC291" t="str">
        <f t="shared" si="8"/>
        <v>u=40%, k=2x10^8</v>
      </c>
      <c r="BD291">
        <f t="shared" si="9"/>
        <v>0</v>
      </c>
    </row>
    <row r="292" spans="1:56">
      <c r="A292" t="s">
        <v>376</v>
      </c>
      <c r="B292" t="s">
        <v>67</v>
      </c>
      <c r="D292" t="s">
        <v>65</v>
      </c>
      <c r="E292" t="s">
        <v>60</v>
      </c>
      <c r="F292" t="s">
        <v>61</v>
      </c>
      <c r="G292">
        <v>30000</v>
      </c>
      <c r="H292">
        <v>20</v>
      </c>
      <c r="I292">
        <v>20</v>
      </c>
      <c r="J292">
        <v>0</v>
      </c>
      <c r="K292">
        <v>1</v>
      </c>
      <c r="L292">
        <v>200000000</v>
      </c>
      <c r="M292">
        <v>24</v>
      </c>
      <c r="N292">
        <v>24</v>
      </c>
      <c r="O292">
        <v>24</v>
      </c>
      <c r="P292">
        <v>0</v>
      </c>
      <c r="Q292" t="s">
        <v>62</v>
      </c>
      <c r="R292">
        <v>9999619023092360</v>
      </c>
      <c r="S292">
        <v>99993627</v>
      </c>
      <c r="T292">
        <v>9999619023092360</v>
      </c>
      <c r="U292">
        <v>99993627</v>
      </c>
      <c r="V292" t="s">
        <v>75</v>
      </c>
      <c r="W292">
        <v>33</v>
      </c>
      <c r="X292">
        <v>61511492</v>
      </c>
      <c r="Y292">
        <v>46419468</v>
      </c>
      <c r="Z292">
        <v>107930960</v>
      </c>
      <c r="AA292">
        <v>99993627</v>
      </c>
      <c r="AB292">
        <v>1.75465</v>
      </c>
      <c r="AC292">
        <v>2.1541299999999999</v>
      </c>
      <c r="AD292">
        <v>1.9264600000000001</v>
      </c>
      <c r="AE292">
        <v>26.328399999999998</v>
      </c>
      <c r="AM292">
        <v>144783291</v>
      </c>
      <c r="AN292">
        <v>0</v>
      </c>
      <c r="AO292">
        <v>96520674</v>
      </c>
      <c r="AP292">
        <v>144783291</v>
      </c>
      <c r="AQ292">
        <v>241303965</v>
      </c>
      <c r="AR292">
        <v>4826109</v>
      </c>
      <c r="AS292">
        <v>0</v>
      </c>
      <c r="AT292">
        <v>3217355</v>
      </c>
      <c r="AU292">
        <v>4826109</v>
      </c>
      <c r="AV292">
        <v>8043465</v>
      </c>
      <c r="AW292">
        <v>41.857799999999997</v>
      </c>
      <c r="AX292">
        <v>18.813300000000002</v>
      </c>
      <c r="AY292">
        <v>8318.3700000000008</v>
      </c>
      <c r="AZ292">
        <v>6751.19</v>
      </c>
      <c r="BA292">
        <v>8039</v>
      </c>
      <c r="BB292">
        <v>17199</v>
      </c>
      <c r="BC292" t="str">
        <f t="shared" si="8"/>
        <v>u=40%, k=2x10^8</v>
      </c>
      <c r="BD292">
        <f t="shared" si="9"/>
        <v>0</v>
      </c>
    </row>
    <row r="293" spans="1:56">
      <c r="A293" t="s">
        <v>377</v>
      </c>
      <c r="B293" t="s">
        <v>67</v>
      </c>
      <c r="D293" t="s">
        <v>65</v>
      </c>
      <c r="E293" t="s">
        <v>60</v>
      </c>
      <c r="F293" t="s">
        <v>61</v>
      </c>
      <c r="G293">
        <v>30000</v>
      </c>
      <c r="H293">
        <v>20</v>
      </c>
      <c r="I293">
        <v>20</v>
      </c>
      <c r="J293">
        <v>0</v>
      </c>
      <c r="K293">
        <v>1</v>
      </c>
      <c r="L293">
        <v>200000000</v>
      </c>
      <c r="M293">
        <v>48</v>
      </c>
      <c r="N293">
        <v>48</v>
      </c>
      <c r="O293">
        <v>48</v>
      </c>
      <c r="P293">
        <v>0</v>
      </c>
      <c r="Q293" t="s">
        <v>62</v>
      </c>
      <c r="R293">
        <v>1.00004353734226E+16</v>
      </c>
      <c r="S293">
        <v>100005663</v>
      </c>
      <c r="T293">
        <v>1.00004353734226E+16</v>
      </c>
      <c r="U293">
        <v>100005663</v>
      </c>
      <c r="V293" t="s">
        <v>75</v>
      </c>
      <c r="W293">
        <v>33</v>
      </c>
      <c r="X293">
        <v>64083037</v>
      </c>
      <c r="Y293">
        <v>48459148</v>
      </c>
      <c r="Z293">
        <v>112542185</v>
      </c>
      <c r="AA293">
        <v>100005663</v>
      </c>
      <c r="AB293">
        <v>1.7561899999999999</v>
      </c>
      <c r="AC293">
        <v>2.0637099999999999</v>
      </c>
      <c r="AD293">
        <v>1.8886099999999999</v>
      </c>
      <c r="AE293">
        <v>26.402000000000001</v>
      </c>
      <c r="AM293">
        <v>276359644</v>
      </c>
      <c r="AN293">
        <v>0</v>
      </c>
      <c r="AO293">
        <v>184225322</v>
      </c>
      <c r="AP293">
        <v>276359644</v>
      </c>
      <c r="AQ293">
        <v>460584966</v>
      </c>
      <c r="AR293">
        <v>9211988</v>
      </c>
      <c r="AS293">
        <v>0</v>
      </c>
      <c r="AT293">
        <v>6140844</v>
      </c>
      <c r="AU293">
        <v>9211988</v>
      </c>
      <c r="AV293">
        <v>15352832</v>
      </c>
      <c r="AW293">
        <v>42.458199999999998</v>
      </c>
      <c r="AX293">
        <v>18.843399999999999</v>
      </c>
      <c r="AY293">
        <v>8713.4</v>
      </c>
      <c r="AZ293">
        <v>7192.92</v>
      </c>
      <c r="BA293">
        <v>8344</v>
      </c>
      <c r="BB293">
        <v>9246</v>
      </c>
      <c r="BC293" t="str">
        <f t="shared" si="8"/>
        <v>u=40%, k=2x10^8</v>
      </c>
      <c r="BD293">
        <f t="shared" si="9"/>
        <v>0</v>
      </c>
    </row>
    <row r="294" spans="1:56">
      <c r="A294" t="s">
        <v>378</v>
      </c>
      <c r="B294" t="s">
        <v>67</v>
      </c>
      <c r="D294" t="s">
        <v>65</v>
      </c>
      <c r="E294" t="s">
        <v>60</v>
      </c>
      <c r="F294" t="s">
        <v>61</v>
      </c>
      <c r="G294">
        <v>30000</v>
      </c>
      <c r="H294">
        <v>20</v>
      </c>
      <c r="I294">
        <v>20</v>
      </c>
      <c r="J294">
        <v>0</v>
      </c>
      <c r="K294">
        <v>1</v>
      </c>
      <c r="L294">
        <v>200000000</v>
      </c>
      <c r="M294">
        <v>96</v>
      </c>
      <c r="N294">
        <v>96</v>
      </c>
      <c r="O294">
        <v>96</v>
      </c>
      <c r="P294">
        <v>0</v>
      </c>
      <c r="Q294" t="s">
        <v>62</v>
      </c>
      <c r="R294">
        <v>9999665530836020</v>
      </c>
      <c r="S294">
        <v>100002181</v>
      </c>
      <c r="T294">
        <v>9999665530836020</v>
      </c>
      <c r="U294">
        <v>100002181</v>
      </c>
      <c r="V294" t="s">
        <v>75</v>
      </c>
      <c r="W294">
        <v>33</v>
      </c>
      <c r="X294">
        <v>66945605</v>
      </c>
      <c r="Y294">
        <v>50712276</v>
      </c>
      <c r="Z294">
        <v>117657881</v>
      </c>
      <c r="AA294">
        <v>100002181</v>
      </c>
      <c r="AB294">
        <v>1.7575099999999999</v>
      </c>
      <c r="AC294">
        <v>1.9719500000000001</v>
      </c>
      <c r="AD294">
        <v>1.8499399999999999</v>
      </c>
      <c r="AE294">
        <v>26.534199999999998</v>
      </c>
      <c r="AM294">
        <v>582837707</v>
      </c>
      <c r="AN294">
        <v>0</v>
      </c>
      <c r="AO294">
        <v>388568914</v>
      </c>
      <c r="AP294">
        <v>582837707</v>
      </c>
      <c r="AQ294">
        <v>971406621</v>
      </c>
      <c r="AR294">
        <v>19427923</v>
      </c>
      <c r="AS294">
        <v>0</v>
      </c>
      <c r="AT294">
        <v>12952297</v>
      </c>
      <c r="AU294">
        <v>19427923</v>
      </c>
      <c r="AV294">
        <v>32380220</v>
      </c>
      <c r="AW294">
        <v>42.945</v>
      </c>
      <c r="AX294">
        <v>20.297499999999999</v>
      </c>
      <c r="AY294">
        <v>8254.5499999999993</v>
      </c>
      <c r="AZ294">
        <v>6681.11</v>
      </c>
      <c r="BA294">
        <v>8719</v>
      </c>
      <c r="BB294">
        <v>4708</v>
      </c>
      <c r="BC294" t="str">
        <f t="shared" si="8"/>
        <v>u=40%, k=2x10^8</v>
      </c>
      <c r="BD294">
        <f t="shared" si="9"/>
        <v>0</v>
      </c>
    </row>
    <row r="295" spans="1:56">
      <c r="A295" t="s">
        <v>379</v>
      </c>
      <c r="B295" t="s">
        <v>67</v>
      </c>
      <c r="D295" t="s">
        <v>65</v>
      </c>
      <c r="E295" t="s">
        <v>60</v>
      </c>
      <c r="F295" t="s">
        <v>61</v>
      </c>
      <c r="G295">
        <v>30000</v>
      </c>
      <c r="H295">
        <v>20</v>
      </c>
      <c r="I295">
        <v>20</v>
      </c>
      <c r="J295">
        <v>0</v>
      </c>
      <c r="K295">
        <v>1</v>
      </c>
      <c r="L295">
        <v>200000000</v>
      </c>
      <c r="M295">
        <v>144</v>
      </c>
      <c r="N295">
        <v>144</v>
      </c>
      <c r="O295">
        <v>144</v>
      </c>
      <c r="P295">
        <v>0</v>
      </c>
      <c r="Q295" t="s">
        <v>62</v>
      </c>
      <c r="R295">
        <v>1.00004958473835E+16</v>
      </c>
      <c r="S295">
        <v>100002442</v>
      </c>
      <c r="T295">
        <v>1.00004958473835E+16</v>
      </c>
      <c r="U295">
        <v>100002442</v>
      </c>
      <c r="V295" t="s">
        <v>75</v>
      </c>
      <c r="W295">
        <v>33</v>
      </c>
      <c r="X295">
        <v>67966520</v>
      </c>
      <c r="Y295">
        <v>51522736</v>
      </c>
      <c r="Z295">
        <v>119489256</v>
      </c>
      <c r="AA295">
        <v>100002442</v>
      </c>
      <c r="AB295">
        <v>1.75806</v>
      </c>
      <c r="AC295">
        <v>1.9409400000000001</v>
      </c>
      <c r="AD295">
        <v>1.8369200000000001</v>
      </c>
      <c r="AE295">
        <v>26.602499999999999</v>
      </c>
      <c r="AM295">
        <v>865217872</v>
      </c>
      <c r="AN295">
        <v>0</v>
      </c>
      <c r="AO295">
        <v>576823216</v>
      </c>
      <c r="AP295">
        <v>865217872</v>
      </c>
      <c r="AQ295">
        <v>1442041088</v>
      </c>
      <c r="AR295">
        <v>28840595</v>
      </c>
      <c r="AS295">
        <v>0</v>
      </c>
      <c r="AT295">
        <v>19227440</v>
      </c>
      <c r="AU295">
        <v>28840595</v>
      </c>
      <c r="AV295">
        <v>48068036</v>
      </c>
      <c r="AW295">
        <v>43.494900000000001</v>
      </c>
      <c r="AX295">
        <v>20.893799999999999</v>
      </c>
      <c r="AY295">
        <v>8337.4500000000007</v>
      </c>
      <c r="AZ295">
        <v>6739.93</v>
      </c>
      <c r="BA295">
        <v>9463</v>
      </c>
      <c r="BB295">
        <v>3128</v>
      </c>
      <c r="BC295" t="str">
        <f t="shared" si="8"/>
        <v>u=40%, k=2x10^8</v>
      </c>
      <c r="BD295">
        <f t="shared" si="9"/>
        <v>0</v>
      </c>
    </row>
    <row r="296" spans="1:56">
      <c r="A296" t="s">
        <v>380</v>
      </c>
      <c r="B296" t="s">
        <v>67</v>
      </c>
      <c r="D296" t="s">
        <v>65</v>
      </c>
      <c r="E296" t="s">
        <v>60</v>
      </c>
      <c r="F296" t="s">
        <v>61</v>
      </c>
      <c r="G296">
        <v>30000</v>
      </c>
      <c r="H296">
        <v>20</v>
      </c>
      <c r="I296">
        <v>20</v>
      </c>
      <c r="J296">
        <v>0</v>
      </c>
      <c r="K296">
        <v>1</v>
      </c>
      <c r="L296">
        <v>200000000</v>
      </c>
      <c r="M296">
        <v>190</v>
      </c>
      <c r="N296">
        <v>190</v>
      </c>
      <c r="O296">
        <v>190</v>
      </c>
      <c r="P296">
        <v>0</v>
      </c>
      <c r="Q296" t="s">
        <v>62</v>
      </c>
      <c r="R296">
        <v>1.00001583283099E+16</v>
      </c>
      <c r="S296">
        <v>100008196</v>
      </c>
      <c r="T296">
        <v>1.00001583283099E+16</v>
      </c>
      <c r="U296">
        <v>100008196</v>
      </c>
      <c r="V296" t="s">
        <v>75</v>
      </c>
      <c r="W296">
        <v>33</v>
      </c>
      <c r="X296">
        <v>68334934</v>
      </c>
      <c r="Y296">
        <v>51824615</v>
      </c>
      <c r="Z296">
        <v>120159549</v>
      </c>
      <c r="AA296">
        <v>100008196</v>
      </c>
      <c r="AB296">
        <v>1.7583899999999999</v>
      </c>
      <c r="AC296">
        <v>1.92974</v>
      </c>
      <c r="AD296">
        <v>1.8323</v>
      </c>
      <c r="AE296">
        <v>26.584700000000002</v>
      </c>
      <c r="AM296">
        <v>1126334249</v>
      </c>
      <c r="AN296">
        <v>0</v>
      </c>
      <c r="AO296">
        <v>750905452</v>
      </c>
      <c r="AP296">
        <v>1126334249</v>
      </c>
      <c r="AQ296">
        <v>1877239701</v>
      </c>
      <c r="AR296">
        <v>37544474</v>
      </c>
      <c r="AS296">
        <v>0</v>
      </c>
      <c r="AT296">
        <v>25030181</v>
      </c>
      <c r="AU296">
        <v>37544474</v>
      </c>
      <c r="AV296">
        <v>62574656</v>
      </c>
      <c r="AW296">
        <v>43.7896</v>
      </c>
      <c r="AX296">
        <v>21.439900000000002</v>
      </c>
      <c r="AY296">
        <v>8448.58</v>
      </c>
      <c r="AZ296">
        <v>6821.07</v>
      </c>
      <c r="BA296">
        <v>10620</v>
      </c>
      <c r="BB296">
        <v>2769</v>
      </c>
      <c r="BC296" t="str">
        <f t="shared" si="8"/>
        <v>u=40%, k=2x10^8</v>
      </c>
      <c r="BD296">
        <f t="shared" si="9"/>
        <v>0</v>
      </c>
    </row>
    <row r="297" spans="1:56">
      <c r="A297" t="s">
        <v>381</v>
      </c>
      <c r="B297" t="s">
        <v>68</v>
      </c>
      <c r="D297" t="s">
        <v>65</v>
      </c>
      <c r="E297" t="s">
        <v>60</v>
      </c>
      <c r="F297" t="s">
        <v>61</v>
      </c>
      <c r="G297">
        <v>30000</v>
      </c>
      <c r="H297">
        <v>20</v>
      </c>
      <c r="I297">
        <v>20</v>
      </c>
      <c r="J297">
        <v>0</v>
      </c>
      <c r="K297">
        <v>1</v>
      </c>
      <c r="L297">
        <v>200000000</v>
      </c>
      <c r="M297">
        <v>24</v>
      </c>
      <c r="N297">
        <v>24</v>
      </c>
      <c r="O297">
        <v>24</v>
      </c>
      <c r="P297">
        <v>0</v>
      </c>
      <c r="Q297" t="s">
        <v>62</v>
      </c>
      <c r="R297">
        <v>1.00000439454682E+16</v>
      </c>
      <c r="S297">
        <v>99997541</v>
      </c>
      <c r="T297">
        <v>1.00000439454682E+16</v>
      </c>
      <c r="U297">
        <v>99997541</v>
      </c>
      <c r="V297" t="s">
        <v>75</v>
      </c>
      <c r="W297">
        <v>74</v>
      </c>
      <c r="X297">
        <v>99997540</v>
      </c>
      <c r="Y297">
        <v>99997541</v>
      </c>
      <c r="Z297">
        <v>199995081</v>
      </c>
      <c r="AA297">
        <v>99997541</v>
      </c>
      <c r="AB297">
        <v>2</v>
      </c>
      <c r="AC297">
        <v>1</v>
      </c>
      <c r="AD297">
        <v>1.5</v>
      </c>
      <c r="AE297">
        <v>36.8294</v>
      </c>
      <c r="AM297">
        <v>118305073</v>
      </c>
      <c r="AN297">
        <v>0</v>
      </c>
      <c r="AO297">
        <v>78869140</v>
      </c>
      <c r="AP297">
        <v>118305073</v>
      </c>
      <c r="AQ297">
        <v>197174213</v>
      </c>
      <c r="AR297">
        <v>3943502</v>
      </c>
      <c r="AS297">
        <v>0</v>
      </c>
      <c r="AT297">
        <v>2628971</v>
      </c>
      <c r="AU297">
        <v>3943502</v>
      </c>
      <c r="AV297">
        <v>6572473</v>
      </c>
      <c r="AW297">
        <v>38.852800000000002</v>
      </c>
      <c r="AX297">
        <v>17.838699999999999</v>
      </c>
      <c r="AY297">
        <v>10186.6</v>
      </c>
      <c r="AZ297">
        <v>8596.08</v>
      </c>
      <c r="BA297">
        <v>7548</v>
      </c>
      <c r="BB297">
        <v>18996</v>
      </c>
      <c r="BC297" t="str">
        <f t="shared" si="8"/>
        <v>u=40%, k=2x10^8</v>
      </c>
      <c r="BD297">
        <f t="shared" si="9"/>
        <v>0</v>
      </c>
    </row>
    <row r="298" spans="1:56">
      <c r="A298" t="s">
        <v>382</v>
      </c>
      <c r="B298" t="s">
        <v>68</v>
      </c>
      <c r="D298" t="s">
        <v>65</v>
      </c>
      <c r="E298" t="s">
        <v>60</v>
      </c>
      <c r="F298" t="s">
        <v>61</v>
      </c>
      <c r="G298">
        <v>30000</v>
      </c>
      <c r="H298">
        <v>20</v>
      </c>
      <c r="I298">
        <v>20</v>
      </c>
      <c r="J298">
        <v>0</v>
      </c>
      <c r="K298">
        <v>1</v>
      </c>
      <c r="L298">
        <v>200000000</v>
      </c>
      <c r="M298">
        <v>48</v>
      </c>
      <c r="N298">
        <v>48</v>
      </c>
      <c r="O298">
        <v>48</v>
      </c>
      <c r="P298">
        <v>0</v>
      </c>
      <c r="Q298" t="s">
        <v>62</v>
      </c>
      <c r="R298">
        <v>1.00001358070117E+16</v>
      </c>
      <c r="S298">
        <v>99995995</v>
      </c>
      <c r="T298">
        <v>1.00001358070117E+16</v>
      </c>
      <c r="U298">
        <v>99995995</v>
      </c>
      <c r="V298" t="s">
        <v>75</v>
      </c>
      <c r="W298">
        <v>67</v>
      </c>
      <c r="X298">
        <v>99995994</v>
      </c>
      <c r="Y298">
        <v>99995995</v>
      </c>
      <c r="Z298">
        <v>199991989</v>
      </c>
      <c r="AA298">
        <v>99995995</v>
      </c>
      <c r="AB298">
        <v>2</v>
      </c>
      <c r="AC298">
        <v>1</v>
      </c>
      <c r="AD298">
        <v>1.5</v>
      </c>
      <c r="AE298">
        <v>35.554400000000001</v>
      </c>
      <c r="AM298">
        <v>230232378</v>
      </c>
      <c r="AN298">
        <v>0</v>
      </c>
      <c r="AO298">
        <v>153533976</v>
      </c>
      <c r="AP298">
        <v>230232378</v>
      </c>
      <c r="AQ298">
        <v>383766354</v>
      </c>
      <c r="AR298">
        <v>7674412</v>
      </c>
      <c r="AS298">
        <v>0</v>
      </c>
      <c r="AT298">
        <v>5117799</v>
      </c>
      <c r="AU298">
        <v>7674412</v>
      </c>
      <c r="AV298">
        <v>12792211</v>
      </c>
      <c r="AW298">
        <v>38.932899999999997</v>
      </c>
      <c r="AX298">
        <v>17.683700000000002</v>
      </c>
      <c r="AY298">
        <v>10466.299999999999</v>
      </c>
      <c r="AZ298">
        <v>9208.19</v>
      </c>
      <c r="BA298">
        <v>7601</v>
      </c>
      <c r="BB298">
        <v>9971</v>
      </c>
      <c r="BC298" t="str">
        <f t="shared" si="8"/>
        <v>u=40%, k=2x10^8</v>
      </c>
      <c r="BD298">
        <f t="shared" si="9"/>
        <v>0</v>
      </c>
    </row>
    <row r="299" spans="1:56">
      <c r="A299" t="s">
        <v>383</v>
      </c>
      <c r="B299" t="s">
        <v>68</v>
      </c>
      <c r="D299" t="s">
        <v>65</v>
      </c>
      <c r="E299" t="s">
        <v>60</v>
      </c>
      <c r="F299" t="s">
        <v>61</v>
      </c>
      <c r="G299">
        <v>30000</v>
      </c>
      <c r="H299">
        <v>20</v>
      </c>
      <c r="I299">
        <v>20</v>
      </c>
      <c r="J299">
        <v>0</v>
      </c>
      <c r="K299">
        <v>1</v>
      </c>
      <c r="L299">
        <v>200000000</v>
      </c>
      <c r="M299">
        <v>96</v>
      </c>
      <c r="N299">
        <v>96</v>
      </c>
      <c r="O299">
        <v>96</v>
      </c>
      <c r="P299">
        <v>0</v>
      </c>
      <c r="Q299" t="s">
        <v>62</v>
      </c>
      <c r="R299">
        <v>9997966318712440</v>
      </c>
      <c r="S299">
        <v>99990854</v>
      </c>
      <c r="T299">
        <v>9997966318712440</v>
      </c>
      <c r="U299">
        <v>99990854</v>
      </c>
      <c r="V299" t="s">
        <v>75</v>
      </c>
      <c r="W299">
        <v>69</v>
      </c>
      <c r="X299">
        <v>99990853</v>
      </c>
      <c r="Y299">
        <v>99990854</v>
      </c>
      <c r="Z299">
        <v>199981707</v>
      </c>
      <c r="AA299">
        <v>99990854</v>
      </c>
      <c r="AB299">
        <v>2</v>
      </c>
      <c r="AC299">
        <v>1</v>
      </c>
      <c r="AD299">
        <v>1.5</v>
      </c>
      <c r="AE299">
        <v>35.078099999999999</v>
      </c>
      <c r="AM299">
        <v>489724982</v>
      </c>
      <c r="AN299">
        <v>0</v>
      </c>
      <c r="AO299">
        <v>326484198</v>
      </c>
      <c r="AP299">
        <v>489724982</v>
      </c>
      <c r="AQ299">
        <v>816209180</v>
      </c>
      <c r="AR299">
        <v>16324166</v>
      </c>
      <c r="AS299">
        <v>0</v>
      </c>
      <c r="AT299">
        <v>10882806</v>
      </c>
      <c r="AU299">
        <v>16324166</v>
      </c>
      <c r="AV299">
        <v>27206972</v>
      </c>
      <c r="AW299">
        <v>40.314700000000002</v>
      </c>
      <c r="AX299">
        <v>19.953800000000001</v>
      </c>
      <c r="AY299">
        <v>9827.84</v>
      </c>
      <c r="AZ299">
        <v>8487.7199999999993</v>
      </c>
      <c r="BA299">
        <v>8508</v>
      </c>
      <c r="BB299">
        <v>4761</v>
      </c>
      <c r="BC299" t="str">
        <f t="shared" si="8"/>
        <v>u=40%, k=2x10^8</v>
      </c>
      <c r="BD299">
        <f t="shared" si="9"/>
        <v>0</v>
      </c>
    </row>
    <row r="300" spans="1:56">
      <c r="A300" t="s">
        <v>384</v>
      </c>
      <c r="B300" t="s">
        <v>68</v>
      </c>
      <c r="D300" t="s">
        <v>65</v>
      </c>
      <c r="E300" t="s">
        <v>60</v>
      </c>
      <c r="F300" t="s">
        <v>61</v>
      </c>
      <c r="G300">
        <v>30000</v>
      </c>
      <c r="H300">
        <v>20</v>
      </c>
      <c r="I300">
        <v>20</v>
      </c>
      <c r="J300">
        <v>0</v>
      </c>
      <c r="K300">
        <v>1</v>
      </c>
      <c r="L300">
        <v>200000000</v>
      </c>
      <c r="M300">
        <v>144</v>
      </c>
      <c r="N300">
        <v>144</v>
      </c>
      <c r="O300">
        <v>144</v>
      </c>
      <c r="P300">
        <v>0</v>
      </c>
      <c r="Q300" t="s">
        <v>62</v>
      </c>
      <c r="R300">
        <v>1.00002008291821E+16</v>
      </c>
      <c r="S300">
        <v>100000282</v>
      </c>
      <c r="T300">
        <v>1.00002008291821E+16</v>
      </c>
      <c r="U300">
        <v>100000282</v>
      </c>
      <c r="V300" t="s">
        <v>75</v>
      </c>
      <c r="W300">
        <v>68</v>
      </c>
      <c r="X300">
        <v>100000281</v>
      </c>
      <c r="Y300">
        <v>100000282</v>
      </c>
      <c r="Z300">
        <v>200000563</v>
      </c>
      <c r="AA300">
        <v>100000282</v>
      </c>
      <c r="AB300">
        <v>2</v>
      </c>
      <c r="AC300">
        <v>1</v>
      </c>
      <c r="AD300">
        <v>1.5</v>
      </c>
      <c r="AE300">
        <v>35.360700000000001</v>
      </c>
      <c r="AM300">
        <v>712620825</v>
      </c>
      <c r="AN300">
        <v>0</v>
      </c>
      <c r="AO300">
        <v>475071839</v>
      </c>
      <c r="AP300">
        <v>712620825</v>
      </c>
      <c r="AQ300">
        <v>1187692664</v>
      </c>
      <c r="AR300">
        <v>23754027</v>
      </c>
      <c r="AS300">
        <v>0</v>
      </c>
      <c r="AT300">
        <v>15835727</v>
      </c>
      <c r="AU300">
        <v>23754027</v>
      </c>
      <c r="AV300">
        <v>39589755</v>
      </c>
      <c r="AW300">
        <v>41.500999999999998</v>
      </c>
      <c r="AX300">
        <v>20.990100000000002</v>
      </c>
      <c r="AY300">
        <v>10125.700000000001</v>
      </c>
      <c r="AZ300">
        <v>8587.69</v>
      </c>
      <c r="BA300">
        <v>10054</v>
      </c>
      <c r="BB300">
        <v>3120</v>
      </c>
      <c r="BC300" t="str">
        <f t="shared" si="8"/>
        <v>u=40%, k=2x10^8</v>
      </c>
      <c r="BD300">
        <f t="shared" si="9"/>
        <v>0</v>
      </c>
    </row>
    <row r="301" spans="1:56">
      <c r="A301" t="s">
        <v>385</v>
      </c>
      <c r="B301" t="s">
        <v>68</v>
      </c>
      <c r="D301" t="s">
        <v>65</v>
      </c>
      <c r="E301" t="s">
        <v>60</v>
      </c>
      <c r="F301" t="s">
        <v>61</v>
      </c>
      <c r="G301">
        <v>30000</v>
      </c>
      <c r="H301">
        <v>20</v>
      </c>
      <c r="I301">
        <v>20</v>
      </c>
      <c r="J301">
        <v>0</v>
      </c>
      <c r="K301">
        <v>1</v>
      </c>
      <c r="L301">
        <v>200000000</v>
      </c>
      <c r="M301">
        <v>190</v>
      </c>
      <c r="N301">
        <v>190</v>
      </c>
      <c r="O301">
        <v>190</v>
      </c>
      <c r="P301">
        <v>0</v>
      </c>
      <c r="Q301" t="s">
        <v>62</v>
      </c>
      <c r="R301">
        <v>1.00014861369209E+16</v>
      </c>
      <c r="S301">
        <v>100014321</v>
      </c>
      <c r="T301">
        <v>1.00014861369209E+16</v>
      </c>
      <c r="U301">
        <v>100014321</v>
      </c>
      <c r="V301" t="s">
        <v>75</v>
      </c>
      <c r="W301">
        <v>68</v>
      </c>
      <c r="X301">
        <v>100014320</v>
      </c>
      <c r="Y301">
        <v>100014321</v>
      </c>
      <c r="Z301">
        <v>200028641</v>
      </c>
      <c r="AA301">
        <v>100014321</v>
      </c>
      <c r="AB301">
        <v>2</v>
      </c>
      <c r="AC301">
        <v>1</v>
      </c>
      <c r="AD301">
        <v>1.5</v>
      </c>
      <c r="AE301">
        <v>36.104100000000003</v>
      </c>
      <c r="AM301">
        <v>902949853</v>
      </c>
      <c r="AN301">
        <v>0</v>
      </c>
      <c r="AO301">
        <v>601949142</v>
      </c>
      <c r="AP301">
        <v>902949853</v>
      </c>
      <c r="AQ301">
        <v>1504898995</v>
      </c>
      <c r="AR301">
        <v>30098328</v>
      </c>
      <c r="AS301">
        <v>0</v>
      </c>
      <c r="AT301">
        <v>20064971</v>
      </c>
      <c r="AU301">
        <v>30098328</v>
      </c>
      <c r="AV301">
        <v>50163299</v>
      </c>
      <c r="AW301">
        <v>42.171799999999998</v>
      </c>
      <c r="AX301">
        <v>21.634</v>
      </c>
      <c r="AY301">
        <v>10538.1</v>
      </c>
      <c r="AZ301">
        <v>8678</v>
      </c>
      <c r="BA301">
        <v>10948</v>
      </c>
      <c r="BB301">
        <v>2813</v>
      </c>
      <c r="BC301" t="str">
        <f t="shared" si="8"/>
        <v>u=40%, k=2x10^8</v>
      </c>
      <c r="BD301">
        <f t="shared" si="9"/>
        <v>0</v>
      </c>
    </row>
    <row r="302" spans="1:56">
      <c r="A302" t="s">
        <v>386</v>
      </c>
      <c r="B302" t="s">
        <v>64</v>
      </c>
      <c r="C302">
        <v>72</v>
      </c>
      <c r="D302" t="s">
        <v>65</v>
      </c>
      <c r="E302" t="s">
        <v>60</v>
      </c>
      <c r="F302" t="s">
        <v>61</v>
      </c>
      <c r="G302">
        <v>30000</v>
      </c>
      <c r="H302">
        <v>20</v>
      </c>
      <c r="I302">
        <v>20</v>
      </c>
      <c r="J302">
        <v>0</v>
      </c>
      <c r="K302">
        <v>1</v>
      </c>
      <c r="L302">
        <v>2000000000</v>
      </c>
      <c r="M302">
        <v>24</v>
      </c>
      <c r="N302">
        <v>24</v>
      </c>
      <c r="O302">
        <v>24</v>
      </c>
      <c r="P302">
        <v>0</v>
      </c>
      <c r="Q302" t="s">
        <v>62</v>
      </c>
      <c r="R302">
        <v>9.9999902423322202E+17</v>
      </c>
      <c r="S302">
        <v>1000016007</v>
      </c>
      <c r="T302">
        <v>9.9999902423322202E+17</v>
      </c>
      <c r="U302">
        <v>1000016007</v>
      </c>
      <c r="V302" t="s">
        <v>75</v>
      </c>
      <c r="W302">
        <v>7</v>
      </c>
      <c r="X302">
        <v>119496711</v>
      </c>
      <c r="Y302">
        <v>1150911850</v>
      </c>
      <c r="Z302">
        <v>1270408561</v>
      </c>
      <c r="AA302">
        <v>1000016007</v>
      </c>
      <c r="AB302">
        <v>10.6313</v>
      </c>
      <c r="AC302">
        <v>0.86889000000000005</v>
      </c>
      <c r="AD302">
        <v>1.7871600000000001</v>
      </c>
      <c r="AE302">
        <v>4.0734199999999996</v>
      </c>
      <c r="AM302">
        <v>285093070</v>
      </c>
      <c r="AN302">
        <v>0</v>
      </c>
      <c r="AO302">
        <v>190094223</v>
      </c>
      <c r="AP302">
        <v>285093070</v>
      </c>
      <c r="AQ302">
        <v>475187293</v>
      </c>
      <c r="AR302">
        <v>9503102</v>
      </c>
      <c r="AS302">
        <v>0</v>
      </c>
      <c r="AT302">
        <v>6336474</v>
      </c>
      <c r="AU302">
        <v>9503102</v>
      </c>
      <c r="AV302">
        <v>15839576</v>
      </c>
      <c r="AW302">
        <v>25.3751</v>
      </c>
      <c r="AX302">
        <v>14.8652</v>
      </c>
      <c r="AY302">
        <v>4186.93</v>
      </c>
      <c r="AZ302">
        <v>3338.56</v>
      </c>
      <c r="BA302">
        <v>62788</v>
      </c>
      <c r="BB302">
        <v>15978</v>
      </c>
      <c r="BC302" t="str">
        <f t="shared" si="8"/>
        <v>u=40%, k=2x10^9</v>
      </c>
      <c r="BD302">
        <f t="shared" si="9"/>
        <v>0</v>
      </c>
    </row>
    <row r="303" spans="1:56">
      <c r="A303" t="s">
        <v>387</v>
      </c>
      <c r="B303" t="s">
        <v>64</v>
      </c>
      <c r="C303">
        <v>72</v>
      </c>
      <c r="D303" t="s">
        <v>65</v>
      </c>
      <c r="E303" t="s">
        <v>60</v>
      </c>
      <c r="F303" t="s">
        <v>61</v>
      </c>
      <c r="G303">
        <v>30000</v>
      </c>
      <c r="H303">
        <v>20</v>
      </c>
      <c r="I303">
        <v>20</v>
      </c>
      <c r="J303">
        <v>0</v>
      </c>
      <c r="K303">
        <v>1</v>
      </c>
      <c r="L303">
        <v>2000000000</v>
      </c>
      <c r="M303">
        <v>48</v>
      </c>
      <c r="N303">
        <v>48</v>
      </c>
      <c r="O303">
        <v>48</v>
      </c>
      <c r="P303">
        <v>0</v>
      </c>
      <c r="Q303" t="s">
        <v>62</v>
      </c>
      <c r="R303">
        <v>1.00002358787129E+18</v>
      </c>
      <c r="S303">
        <v>1000014390</v>
      </c>
      <c r="T303">
        <v>1.00002358787129E+18</v>
      </c>
      <c r="U303">
        <v>1000014390</v>
      </c>
      <c r="V303" t="s">
        <v>75</v>
      </c>
      <c r="W303">
        <v>7</v>
      </c>
      <c r="X303">
        <v>127881531</v>
      </c>
      <c r="Y303">
        <v>1169948947</v>
      </c>
      <c r="Z303">
        <v>1297830478</v>
      </c>
      <c r="AA303">
        <v>1000014390</v>
      </c>
      <c r="AB303">
        <v>10.1487</v>
      </c>
      <c r="AC303">
        <v>0.85475000000000001</v>
      </c>
      <c r="AD303">
        <v>1.7705299999999999</v>
      </c>
      <c r="AE303">
        <v>4.0923600000000002</v>
      </c>
      <c r="AM303">
        <v>489627348</v>
      </c>
      <c r="AN303">
        <v>0</v>
      </c>
      <c r="AO303">
        <v>326403345</v>
      </c>
      <c r="AP303">
        <v>489627348</v>
      </c>
      <c r="AQ303">
        <v>816030693</v>
      </c>
      <c r="AR303">
        <v>16320911</v>
      </c>
      <c r="AS303">
        <v>0</v>
      </c>
      <c r="AT303">
        <v>10880111</v>
      </c>
      <c r="AU303">
        <v>16320911</v>
      </c>
      <c r="AV303">
        <v>27201023</v>
      </c>
      <c r="AW303">
        <v>26.037600000000001</v>
      </c>
      <c r="AX303">
        <v>15.360200000000001</v>
      </c>
      <c r="AY303">
        <v>4887.88</v>
      </c>
      <c r="AZ303">
        <v>4019.16</v>
      </c>
      <c r="BA303">
        <v>64996</v>
      </c>
      <c r="BB303">
        <v>12210</v>
      </c>
      <c r="BC303" t="str">
        <f t="shared" si="8"/>
        <v>u=40%, k=2x10^9</v>
      </c>
      <c r="BD303">
        <f t="shared" si="9"/>
        <v>0</v>
      </c>
    </row>
    <row r="304" spans="1:56">
      <c r="A304" t="s">
        <v>388</v>
      </c>
      <c r="B304" t="s">
        <v>64</v>
      </c>
      <c r="C304">
        <v>72</v>
      </c>
      <c r="D304" t="s">
        <v>65</v>
      </c>
      <c r="E304" t="s">
        <v>60</v>
      </c>
      <c r="F304" t="s">
        <v>61</v>
      </c>
      <c r="G304">
        <v>30000</v>
      </c>
      <c r="H304">
        <v>20</v>
      </c>
      <c r="I304">
        <v>20</v>
      </c>
      <c r="J304">
        <v>0</v>
      </c>
      <c r="K304">
        <v>1</v>
      </c>
      <c r="L304">
        <v>2000000000</v>
      </c>
      <c r="M304">
        <v>96</v>
      </c>
      <c r="N304">
        <v>96</v>
      </c>
      <c r="O304">
        <v>96</v>
      </c>
      <c r="P304">
        <v>0</v>
      </c>
      <c r="Q304" t="s">
        <v>62</v>
      </c>
      <c r="R304">
        <v>9.9999985403162202E+17</v>
      </c>
      <c r="S304">
        <v>999992096</v>
      </c>
      <c r="T304">
        <v>9.9999985403162202E+17</v>
      </c>
      <c r="U304">
        <v>999992096</v>
      </c>
      <c r="V304" t="s">
        <v>75</v>
      </c>
      <c r="W304">
        <v>7</v>
      </c>
      <c r="X304">
        <v>84465058</v>
      </c>
      <c r="Y304">
        <v>1078796659</v>
      </c>
      <c r="Z304">
        <v>1163261717</v>
      </c>
      <c r="AA304">
        <v>999992096</v>
      </c>
      <c r="AB304">
        <v>13.7721</v>
      </c>
      <c r="AC304">
        <v>0.92695099999999997</v>
      </c>
      <c r="AD304">
        <v>1.85964</v>
      </c>
      <c r="AE304">
        <v>4</v>
      </c>
      <c r="AM304">
        <v>750025204</v>
      </c>
      <c r="AN304">
        <v>0</v>
      </c>
      <c r="AO304">
        <v>499964255</v>
      </c>
      <c r="AP304">
        <v>750025204</v>
      </c>
      <c r="AQ304">
        <v>1249989459</v>
      </c>
      <c r="AR304">
        <v>25000840</v>
      </c>
      <c r="AS304">
        <v>0</v>
      </c>
      <c r="AT304">
        <v>16665475</v>
      </c>
      <c r="AU304">
        <v>25000840</v>
      </c>
      <c r="AV304">
        <v>41666315</v>
      </c>
      <c r="AW304">
        <v>32.6496</v>
      </c>
      <c r="AX304">
        <v>20.4086</v>
      </c>
      <c r="AY304">
        <v>5634.53</v>
      </c>
      <c r="AZ304">
        <v>4469.8999999999996</v>
      </c>
      <c r="BA304">
        <v>88134</v>
      </c>
      <c r="BB304">
        <v>9696</v>
      </c>
      <c r="BC304" t="str">
        <f t="shared" si="8"/>
        <v>u=40%, k=2x10^9</v>
      </c>
      <c r="BD304">
        <f t="shared" si="9"/>
        <v>0</v>
      </c>
    </row>
    <row r="305" spans="1:56">
      <c r="A305" t="s">
        <v>389</v>
      </c>
      <c r="B305" t="s">
        <v>64</v>
      </c>
      <c r="C305">
        <v>72</v>
      </c>
      <c r="D305" t="s">
        <v>65</v>
      </c>
      <c r="E305" t="s">
        <v>60</v>
      </c>
      <c r="F305" t="s">
        <v>61</v>
      </c>
      <c r="G305">
        <v>30000</v>
      </c>
      <c r="H305">
        <v>20</v>
      </c>
      <c r="I305">
        <v>20</v>
      </c>
      <c r="J305">
        <v>0</v>
      </c>
      <c r="K305">
        <v>1</v>
      </c>
      <c r="L305">
        <v>2000000000</v>
      </c>
      <c r="M305">
        <v>144</v>
      </c>
      <c r="N305">
        <v>144</v>
      </c>
      <c r="O305">
        <v>144</v>
      </c>
      <c r="P305">
        <v>0</v>
      </c>
      <c r="Q305" t="s">
        <v>62</v>
      </c>
      <c r="R305">
        <v>9.9999272368543398E+17</v>
      </c>
      <c r="S305">
        <v>1000004059</v>
      </c>
      <c r="T305">
        <v>9.9999272368543398E+17</v>
      </c>
      <c r="U305">
        <v>1000004059</v>
      </c>
      <c r="V305" t="s">
        <v>75</v>
      </c>
      <c r="W305">
        <v>7</v>
      </c>
      <c r="X305">
        <v>127027417</v>
      </c>
      <c r="Y305">
        <v>1167812669</v>
      </c>
      <c r="Z305">
        <v>1294840086</v>
      </c>
      <c r="AA305">
        <v>1000004059</v>
      </c>
      <c r="AB305">
        <v>10.1934</v>
      </c>
      <c r="AC305">
        <v>0.85630499999999998</v>
      </c>
      <c r="AD305">
        <v>1.7723</v>
      </c>
      <c r="AE305">
        <v>4.0903400000000003</v>
      </c>
      <c r="AM305">
        <v>1196683468</v>
      </c>
      <c r="AN305">
        <v>0</v>
      </c>
      <c r="AO305">
        <v>797759560</v>
      </c>
      <c r="AP305">
        <v>1196683468</v>
      </c>
      <c r="AQ305">
        <v>1994443028</v>
      </c>
      <c r="AR305">
        <v>39889448</v>
      </c>
      <c r="AS305">
        <v>0</v>
      </c>
      <c r="AT305">
        <v>26591985</v>
      </c>
      <c r="AU305">
        <v>39889448</v>
      </c>
      <c r="AV305">
        <v>66481434</v>
      </c>
      <c r="AW305">
        <v>30.434699999999999</v>
      </c>
      <c r="AX305">
        <v>19.295100000000001</v>
      </c>
      <c r="AY305">
        <v>5415.43</v>
      </c>
      <c r="AZ305">
        <v>4314.2</v>
      </c>
      <c r="BA305">
        <v>120331</v>
      </c>
      <c r="BB305">
        <v>9508</v>
      </c>
      <c r="BC305" t="str">
        <f t="shared" si="8"/>
        <v>u=40%, k=2x10^9</v>
      </c>
      <c r="BD305">
        <f t="shared" si="9"/>
        <v>0</v>
      </c>
    </row>
    <row r="306" spans="1:56">
      <c r="A306" t="s">
        <v>390</v>
      </c>
      <c r="B306" t="s">
        <v>64</v>
      </c>
      <c r="C306">
        <v>72</v>
      </c>
      <c r="D306" t="s">
        <v>65</v>
      </c>
      <c r="E306" t="s">
        <v>60</v>
      </c>
      <c r="F306" t="s">
        <v>61</v>
      </c>
      <c r="G306">
        <v>30000</v>
      </c>
      <c r="H306">
        <v>20</v>
      </c>
      <c r="I306">
        <v>20</v>
      </c>
      <c r="J306">
        <v>0</v>
      </c>
      <c r="K306">
        <v>1</v>
      </c>
      <c r="L306">
        <v>2000000000</v>
      </c>
      <c r="M306">
        <v>190</v>
      </c>
      <c r="N306">
        <v>190</v>
      </c>
      <c r="O306">
        <v>190</v>
      </c>
      <c r="P306">
        <v>0</v>
      </c>
      <c r="Q306" t="s">
        <v>62</v>
      </c>
      <c r="R306">
        <v>1.00001692937315E+18</v>
      </c>
      <c r="S306">
        <v>1000024643</v>
      </c>
      <c r="T306">
        <v>1.00001692937315E+18</v>
      </c>
      <c r="U306">
        <v>1000024643</v>
      </c>
      <c r="V306" t="s">
        <v>75</v>
      </c>
      <c r="W306">
        <v>7</v>
      </c>
      <c r="X306">
        <v>117063930</v>
      </c>
      <c r="Y306">
        <v>1148243016</v>
      </c>
      <c r="Z306">
        <v>1265306946</v>
      </c>
      <c r="AA306">
        <v>1000024643</v>
      </c>
      <c r="AB306">
        <v>10.8087</v>
      </c>
      <c r="AC306">
        <v>0.87091700000000005</v>
      </c>
      <c r="AD306">
        <v>1.79034</v>
      </c>
      <c r="AE306">
        <v>4.0697799999999997</v>
      </c>
      <c r="AM306">
        <v>1452281505</v>
      </c>
      <c r="AN306">
        <v>0</v>
      </c>
      <c r="AO306">
        <v>968160498</v>
      </c>
      <c r="AP306">
        <v>1452281505</v>
      </c>
      <c r="AQ306">
        <v>2420442003</v>
      </c>
      <c r="AR306">
        <v>48409383</v>
      </c>
      <c r="AS306">
        <v>0</v>
      </c>
      <c r="AT306">
        <v>32272016</v>
      </c>
      <c r="AU306">
        <v>48409383</v>
      </c>
      <c r="AV306">
        <v>80681400</v>
      </c>
      <c r="AW306">
        <v>30.601299999999998</v>
      </c>
      <c r="AX306">
        <v>19.664999999999999</v>
      </c>
      <c r="AY306">
        <v>5795.07</v>
      </c>
      <c r="AZ306">
        <v>4626.7</v>
      </c>
      <c r="BA306">
        <v>120707</v>
      </c>
      <c r="BB306">
        <v>9298</v>
      </c>
      <c r="BC306" t="str">
        <f t="shared" si="8"/>
        <v>u=40%, k=2x10^9</v>
      </c>
      <c r="BD306">
        <f t="shared" si="9"/>
        <v>0</v>
      </c>
    </row>
    <row r="307" spans="1:56">
      <c r="A307" t="s">
        <v>391</v>
      </c>
      <c r="B307" t="s">
        <v>66</v>
      </c>
      <c r="C307">
        <v>208</v>
      </c>
      <c r="D307" t="s">
        <v>65</v>
      </c>
      <c r="E307" t="s">
        <v>60</v>
      </c>
      <c r="F307" t="s">
        <v>61</v>
      </c>
      <c r="G307">
        <v>30000</v>
      </c>
      <c r="H307">
        <v>20</v>
      </c>
      <c r="I307">
        <v>20</v>
      </c>
      <c r="J307">
        <v>0</v>
      </c>
      <c r="K307">
        <v>1</v>
      </c>
      <c r="L307">
        <v>2000000000</v>
      </c>
      <c r="M307">
        <v>24</v>
      </c>
      <c r="N307">
        <v>24</v>
      </c>
      <c r="O307">
        <v>24</v>
      </c>
      <c r="P307">
        <v>0</v>
      </c>
      <c r="Q307" t="s">
        <v>62</v>
      </c>
      <c r="R307">
        <v>9.9998976859360397E+17</v>
      </c>
      <c r="S307">
        <v>999996600</v>
      </c>
      <c r="T307">
        <v>9.9998976859360397E+17</v>
      </c>
      <c r="U307">
        <v>999996600</v>
      </c>
      <c r="V307" t="s">
        <v>75</v>
      </c>
      <c r="W307">
        <v>12</v>
      </c>
      <c r="X307">
        <v>19025245</v>
      </c>
      <c r="Y307">
        <v>130899897</v>
      </c>
      <c r="Z307">
        <v>149925142</v>
      </c>
      <c r="AA307">
        <v>999996600</v>
      </c>
      <c r="AB307">
        <v>7.8803299999999998</v>
      </c>
      <c r="AC307">
        <v>7.6394000000000002</v>
      </c>
      <c r="AD307">
        <v>7.6699700000000002</v>
      </c>
      <c r="AE307">
        <v>11</v>
      </c>
      <c r="AM307">
        <v>182803429</v>
      </c>
      <c r="AN307">
        <v>0</v>
      </c>
      <c r="AO307">
        <v>121862623</v>
      </c>
      <c r="AP307">
        <v>182803429</v>
      </c>
      <c r="AQ307">
        <v>304666052</v>
      </c>
      <c r="AR307">
        <v>6093447</v>
      </c>
      <c r="AS307">
        <v>0</v>
      </c>
      <c r="AT307">
        <v>4062087</v>
      </c>
      <c r="AU307">
        <v>6093447</v>
      </c>
      <c r="AV307">
        <v>10155535</v>
      </c>
      <c r="AW307">
        <v>32.913600000000002</v>
      </c>
      <c r="AX307">
        <v>18.491199999999999</v>
      </c>
      <c r="AY307">
        <v>6583.85</v>
      </c>
      <c r="AZ307">
        <v>5340.11</v>
      </c>
      <c r="BA307">
        <v>34087</v>
      </c>
      <c r="BB307">
        <v>154431</v>
      </c>
      <c r="BC307" t="str">
        <f t="shared" si="8"/>
        <v>u=40%, k=2x10^9</v>
      </c>
      <c r="BD307">
        <f t="shared" si="9"/>
        <v>0</v>
      </c>
    </row>
    <row r="308" spans="1:56">
      <c r="A308" t="s">
        <v>392</v>
      </c>
      <c r="B308" t="s">
        <v>66</v>
      </c>
      <c r="C308">
        <v>208</v>
      </c>
      <c r="D308" t="s">
        <v>65</v>
      </c>
      <c r="E308" t="s">
        <v>60</v>
      </c>
      <c r="F308" t="s">
        <v>61</v>
      </c>
      <c r="G308">
        <v>30000</v>
      </c>
      <c r="H308">
        <v>20</v>
      </c>
      <c r="I308">
        <v>20</v>
      </c>
      <c r="J308">
        <v>0</v>
      </c>
      <c r="K308">
        <v>1</v>
      </c>
      <c r="L308">
        <v>2000000000</v>
      </c>
      <c r="M308">
        <v>48</v>
      </c>
      <c r="N308">
        <v>48</v>
      </c>
      <c r="O308">
        <v>48</v>
      </c>
      <c r="P308">
        <v>0</v>
      </c>
      <c r="Q308" t="s">
        <v>62</v>
      </c>
      <c r="R308">
        <v>1.00003383726245E+18</v>
      </c>
      <c r="S308">
        <v>1000020225</v>
      </c>
      <c r="T308">
        <v>1.00003383726245E+18</v>
      </c>
      <c r="U308">
        <v>1000020225</v>
      </c>
      <c r="V308" t="s">
        <v>75</v>
      </c>
      <c r="W308">
        <v>12</v>
      </c>
      <c r="X308">
        <v>19377459</v>
      </c>
      <c r="Y308">
        <v>133348228</v>
      </c>
      <c r="Z308">
        <v>152725687</v>
      </c>
      <c r="AA308">
        <v>1000020225</v>
      </c>
      <c r="AB308">
        <v>7.8816199999999998</v>
      </c>
      <c r="AC308">
        <v>7.4993100000000004</v>
      </c>
      <c r="AD308">
        <v>7.5478199999999998</v>
      </c>
      <c r="AE308">
        <v>11</v>
      </c>
      <c r="AM308">
        <v>355023269</v>
      </c>
      <c r="AN308">
        <v>0</v>
      </c>
      <c r="AO308">
        <v>236684816</v>
      </c>
      <c r="AP308">
        <v>355023269</v>
      </c>
      <c r="AQ308">
        <v>591708085</v>
      </c>
      <c r="AR308">
        <v>11834108</v>
      </c>
      <c r="AS308">
        <v>0</v>
      </c>
      <c r="AT308">
        <v>7889493</v>
      </c>
      <c r="AU308">
        <v>11834108</v>
      </c>
      <c r="AV308">
        <v>19723602</v>
      </c>
      <c r="AW308">
        <v>32.959800000000001</v>
      </c>
      <c r="AX308">
        <v>18.101700000000001</v>
      </c>
      <c r="AY308">
        <v>6777.35</v>
      </c>
      <c r="AZ308">
        <v>5710.95</v>
      </c>
      <c r="BA308">
        <v>35022</v>
      </c>
      <c r="BB308">
        <v>94524</v>
      </c>
      <c r="BC308" t="str">
        <f t="shared" si="8"/>
        <v>u=40%, k=2x10^9</v>
      </c>
      <c r="BD308">
        <f t="shared" si="9"/>
        <v>0</v>
      </c>
    </row>
    <row r="309" spans="1:56">
      <c r="A309" t="s">
        <v>393</v>
      </c>
      <c r="B309" t="s">
        <v>66</v>
      </c>
      <c r="C309">
        <v>208</v>
      </c>
      <c r="D309" t="s">
        <v>65</v>
      </c>
      <c r="E309" t="s">
        <v>60</v>
      </c>
      <c r="F309" t="s">
        <v>61</v>
      </c>
      <c r="G309">
        <v>30000</v>
      </c>
      <c r="H309">
        <v>20</v>
      </c>
      <c r="I309">
        <v>20</v>
      </c>
      <c r="J309">
        <v>0</v>
      </c>
      <c r="K309">
        <v>1</v>
      </c>
      <c r="L309">
        <v>2000000000</v>
      </c>
      <c r="M309">
        <v>96</v>
      </c>
      <c r="N309">
        <v>96</v>
      </c>
      <c r="O309">
        <v>96</v>
      </c>
      <c r="P309">
        <v>0</v>
      </c>
      <c r="Q309" t="s">
        <v>62</v>
      </c>
      <c r="R309">
        <v>1.00003129418834E+18</v>
      </c>
      <c r="S309">
        <v>1000023711</v>
      </c>
      <c r="T309">
        <v>1.00003129418834E+18</v>
      </c>
      <c r="U309">
        <v>1000023711</v>
      </c>
      <c r="V309" t="s">
        <v>75</v>
      </c>
      <c r="W309">
        <v>12</v>
      </c>
      <c r="X309">
        <v>20018875</v>
      </c>
      <c r="Y309">
        <v>137761899</v>
      </c>
      <c r="Z309">
        <v>157780774</v>
      </c>
      <c r="AA309">
        <v>1000023711</v>
      </c>
      <c r="AB309">
        <v>7.8815999999999997</v>
      </c>
      <c r="AC309">
        <v>7.2590700000000004</v>
      </c>
      <c r="AD309">
        <v>7.3380599999999996</v>
      </c>
      <c r="AE309">
        <v>11</v>
      </c>
      <c r="AM309">
        <v>755057405</v>
      </c>
      <c r="AN309">
        <v>0</v>
      </c>
      <c r="AO309">
        <v>503380257</v>
      </c>
      <c r="AP309">
        <v>755057405</v>
      </c>
      <c r="AQ309">
        <v>1258437662</v>
      </c>
      <c r="AR309">
        <v>25168580</v>
      </c>
      <c r="AS309">
        <v>0</v>
      </c>
      <c r="AT309">
        <v>16779341</v>
      </c>
      <c r="AU309">
        <v>25168580</v>
      </c>
      <c r="AV309">
        <v>41947922</v>
      </c>
      <c r="AW309">
        <v>34.987900000000003</v>
      </c>
      <c r="AX309">
        <v>19.703499999999998</v>
      </c>
      <c r="AY309">
        <v>6338.28</v>
      </c>
      <c r="AZ309">
        <v>5140.62</v>
      </c>
      <c r="BA309">
        <v>47434</v>
      </c>
      <c r="BB309">
        <v>73081</v>
      </c>
      <c r="BC309" t="str">
        <f t="shared" si="8"/>
        <v>u=40%, k=2x10^9</v>
      </c>
      <c r="BD309">
        <f t="shared" si="9"/>
        <v>0</v>
      </c>
    </row>
    <row r="310" spans="1:56">
      <c r="A310" t="s">
        <v>394</v>
      </c>
      <c r="B310" t="s">
        <v>66</v>
      </c>
      <c r="C310">
        <v>208</v>
      </c>
      <c r="D310" t="s">
        <v>65</v>
      </c>
      <c r="E310" t="s">
        <v>60</v>
      </c>
      <c r="F310" t="s">
        <v>61</v>
      </c>
      <c r="G310">
        <v>30000</v>
      </c>
      <c r="H310">
        <v>20</v>
      </c>
      <c r="I310">
        <v>20</v>
      </c>
      <c r="J310">
        <v>0</v>
      </c>
      <c r="K310">
        <v>1</v>
      </c>
      <c r="L310">
        <v>2000000000</v>
      </c>
      <c r="M310">
        <v>144</v>
      </c>
      <c r="N310">
        <v>144</v>
      </c>
      <c r="O310">
        <v>144</v>
      </c>
      <c r="P310">
        <v>0</v>
      </c>
      <c r="Q310" t="s">
        <v>62</v>
      </c>
      <c r="R310">
        <v>1.00000067651233E+18</v>
      </c>
      <c r="S310">
        <v>999996438</v>
      </c>
      <c r="T310">
        <v>1.00000067651233E+18</v>
      </c>
      <c r="U310">
        <v>999996438</v>
      </c>
      <c r="V310" t="s">
        <v>75</v>
      </c>
      <c r="W310">
        <v>12</v>
      </c>
      <c r="X310">
        <v>20409008</v>
      </c>
      <c r="Y310">
        <v>140430166</v>
      </c>
      <c r="Z310">
        <v>160839174</v>
      </c>
      <c r="AA310">
        <v>999996438</v>
      </c>
      <c r="AB310">
        <v>7.8807900000000002</v>
      </c>
      <c r="AC310">
        <v>7.1209499999999997</v>
      </c>
      <c r="AD310">
        <v>7.2173699999999998</v>
      </c>
      <c r="AE310">
        <v>11</v>
      </c>
      <c r="AM310">
        <v>1054783432</v>
      </c>
      <c r="AN310">
        <v>0</v>
      </c>
      <c r="AO310">
        <v>703213143</v>
      </c>
      <c r="AP310">
        <v>1054783432</v>
      </c>
      <c r="AQ310">
        <v>1757996575</v>
      </c>
      <c r="AR310">
        <v>35159447</v>
      </c>
      <c r="AS310">
        <v>0</v>
      </c>
      <c r="AT310">
        <v>23440438</v>
      </c>
      <c r="AU310">
        <v>35159447</v>
      </c>
      <c r="AV310">
        <v>58599885</v>
      </c>
      <c r="AW310">
        <v>36.589300000000001</v>
      </c>
      <c r="AX310">
        <v>20.691400000000002</v>
      </c>
      <c r="AY310">
        <v>6777.11</v>
      </c>
      <c r="AZ310">
        <v>5390.34</v>
      </c>
      <c r="BA310">
        <v>58483</v>
      </c>
      <c r="BB310">
        <v>65819</v>
      </c>
      <c r="BC310" t="str">
        <f t="shared" si="8"/>
        <v>u=40%, k=2x10^9</v>
      </c>
      <c r="BD310">
        <f t="shared" si="9"/>
        <v>0</v>
      </c>
    </row>
    <row r="311" spans="1:56">
      <c r="A311" t="s">
        <v>395</v>
      </c>
      <c r="B311" t="s">
        <v>66</v>
      </c>
      <c r="C311">
        <v>208</v>
      </c>
      <c r="D311" t="s">
        <v>65</v>
      </c>
      <c r="E311" t="s">
        <v>60</v>
      </c>
      <c r="F311" t="s">
        <v>61</v>
      </c>
      <c r="G311">
        <v>30000</v>
      </c>
      <c r="H311">
        <v>20</v>
      </c>
      <c r="I311">
        <v>20</v>
      </c>
      <c r="J311">
        <v>0</v>
      </c>
      <c r="K311">
        <v>1</v>
      </c>
      <c r="L311">
        <v>2000000000</v>
      </c>
      <c r="M311">
        <v>190</v>
      </c>
      <c r="N311">
        <v>190</v>
      </c>
      <c r="O311">
        <v>190</v>
      </c>
      <c r="P311">
        <v>0</v>
      </c>
      <c r="Q311" t="s">
        <v>62</v>
      </c>
      <c r="R311">
        <v>9.9996327685332902E+17</v>
      </c>
      <c r="S311">
        <v>999975479</v>
      </c>
      <c r="T311">
        <v>9.9996327685332902E+17</v>
      </c>
      <c r="U311">
        <v>999975479</v>
      </c>
      <c r="V311" t="s">
        <v>75</v>
      </c>
      <c r="W311">
        <v>12</v>
      </c>
      <c r="X311">
        <v>20678616</v>
      </c>
      <c r="Y311">
        <v>142286324</v>
      </c>
      <c r="Z311">
        <v>162964940</v>
      </c>
      <c r="AA311">
        <v>999975479</v>
      </c>
      <c r="AB311">
        <v>7.8808400000000001</v>
      </c>
      <c r="AC311">
        <v>7.0279100000000003</v>
      </c>
      <c r="AD311">
        <v>7.1361400000000001</v>
      </c>
      <c r="AE311">
        <v>11</v>
      </c>
      <c r="AM311">
        <v>1291954128</v>
      </c>
      <c r="AN311">
        <v>0</v>
      </c>
      <c r="AO311">
        <v>861306650</v>
      </c>
      <c r="AP311">
        <v>1291954128</v>
      </c>
      <c r="AQ311">
        <v>2153260778</v>
      </c>
      <c r="AR311">
        <v>43065137</v>
      </c>
      <c r="AS311">
        <v>0</v>
      </c>
      <c r="AT311">
        <v>28710221</v>
      </c>
      <c r="AU311">
        <v>43065137</v>
      </c>
      <c r="AV311">
        <v>71775359</v>
      </c>
      <c r="AW311">
        <v>37.335900000000002</v>
      </c>
      <c r="AX311">
        <v>21.346</v>
      </c>
      <c r="AY311">
        <v>7236.09</v>
      </c>
      <c r="AZ311">
        <v>5564.75</v>
      </c>
      <c r="BA311">
        <v>62986</v>
      </c>
      <c r="BB311">
        <v>61605</v>
      </c>
      <c r="BC311" t="str">
        <f t="shared" si="8"/>
        <v>u=40%, k=2x10^9</v>
      </c>
      <c r="BD311">
        <f t="shared" si="9"/>
        <v>0</v>
      </c>
    </row>
    <row r="312" spans="1:56">
      <c r="A312" t="s">
        <v>396</v>
      </c>
      <c r="B312" t="s">
        <v>67</v>
      </c>
      <c r="D312" t="s">
        <v>65</v>
      </c>
      <c r="E312" t="s">
        <v>60</v>
      </c>
      <c r="F312" t="s">
        <v>61</v>
      </c>
      <c r="G312">
        <v>30000</v>
      </c>
      <c r="H312">
        <v>20</v>
      </c>
      <c r="I312">
        <v>20</v>
      </c>
      <c r="J312">
        <v>0</v>
      </c>
      <c r="K312">
        <v>1</v>
      </c>
      <c r="L312">
        <v>2000000000</v>
      </c>
      <c r="M312">
        <v>24</v>
      </c>
      <c r="N312">
        <v>24</v>
      </c>
      <c r="O312">
        <v>24</v>
      </c>
      <c r="P312">
        <v>0</v>
      </c>
      <c r="Q312" t="s">
        <v>62</v>
      </c>
      <c r="R312">
        <v>9.9999712766858202E+17</v>
      </c>
      <c r="S312">
        <v>1000000344</v>
      </c>
      <c r="T312">
        <v>9.9999712766858202E+17</v>
      </c>
      <c r="U312">
        <v>1000000344</v>
      </c>
      <c r="V312" t="s">
        <v>75</v>
      </c>
      <c r="W312">
        <v>37</v>
      </c>
      <c r="X312">
        <v>574900079</v>
      </c>
      <c r="Y312">
        <v>431472501</v>
      </c>
      <c r="Z312">
        <v>1006372580</v>
      </c>
      <c r="AA312">
        <v>1000000344</v>
      </c>
      <c r="AB312">
        <v>1.7505200000000001</v>
      </c>
      <c r="AC312">
        <v>2.31765</v>
      </c>
      <c r="AD312">
        <v>1.9936700000000001</v>
      </c>
      <c r="AE312">
        <v>29.5444</v>
      </c>
      <c r="AM312">
        <v>90695817</v>
      </c>
      <c r="AN312">
        <v>0</v>
      </c>
      <c r="AO312">
        <v>60459421</v>
      </c>
      <c r="AP312">
        <v>90695817</v>
      </c>
      <c r="AQ312">
        <v>151155238</v>
      </c>
      <c r="AR312">
        <v>3023193</v>
      </c>
      <c r="AS312">
        <v>0</v>
      </c>
      <c r="AT312">
        <v>2015314</v>
      </c>
      <c r="AU312">
        <v>3023193</v>
      </c>
      <c r="AV312">
        <v>5038507</v>
      </c>
      <c r="AW312">
        <v>56.558100000000003</v>
      </c>
      <c r="AX312">
        <v>30.451899999999998</v>
      </c>
      <c r="AY312">
        <v>13281.3</v>
      </c>
      <c r="AZ312">
        <v>11551.9</v>
      </c>
      <c r="BA312">
        <v>66056</v>
      </c>
      <c r="BB312">
        <v>272761</v>
      </c>
      <c r="BC312" t="str">
        <f t="shared" si="8"/>
        <v>u=40%, k=2x10^9</v>
      </c>
      <c r="BD312">
        <f t="shared" si="9"/>
        <v>0</v>
      </c>
    </row>
    <row r="313" spans="1:56">
      <c r="A313" t="s">
        <v>397</v>
      </c>
      <c r="B313" t="s">
        <v>67</v>
      </c>
      <c r="D313" t="s">
        <v>65</v>
      </c>
      <c r="E313" t="s">
        <v>60</v>
      </c>
      <c r="F313" t="s">
        <v>61</v>
      </c>
      <c r="G313">
        <v>30000</v>
      </c>
      <c r="H313">
        <v>20</v>
      </c>
      <c r="I313">
        <v>20</v>
      </c>
      <c r="J313">
        <v>0</v>
      </c>
      <c r="K313">
        <v>1</v>
      </c>
      <c r="L313">
        <v>2000000000</v>
      </c>
      <c r="M313">
        <v>48</v>
      </c>
      <c r="N313">
        <v>48</v>
      </c>
      <c r="O313">
        <v>48</v>
      </c>
      <c r="P313">
        <v>0</v>
      </c>
      <c r="Q313" t="s">
        <v>62</v>
      </c>
      <c r="R313">
        <v>1.00000817235048E+18</v>
      </c>
      <c r="S313">
        <v>1000002000</v>
      </c>
      <c r="T313">
        <v>1.00000817235048E+18</v>
      </c>
      <c r="U313">
        <v>1000002000</v>
      </c>
      <c r="V313" t="s">
        <v>75</v>
      </c>
      <c r="W313">
        <v>37</v>
      </c>
      <c r="X313">
        <v>578031608</v>
      </c>
      <c r="Y313">
        <v>434068807</v>
      </c>
      <c r="Z313">
        <v>1012100415</v>
      </c>
      <c r="AA313">
        <v>1000002000</v>
      </c>
      <c r="AB313">
        <v>1.7509399999999999</v>
      </c>
      <c r="AC313">
        <v>2.3037899999999998</v>
      </c>
      <c r="AD313">
        <v>1.9880500000000001</v>
      </c>
      <c r="AE313">
        <v>29.465499999999999</v>
      </c>
      <c r="AM313">
        <v>174900035</v>
      </c>
      <c r="AN313">
        <v>0</v>
      </c>
      <c r="AO313">
        <v>116584550</v>
      </c>
      <c r="AP313">
        <v>174900035</v>
      </c>
      <c r="AQ313">
        <v>291484585</v>
      </c>
      <c r="AR313">
        <v>5830001</v>
      </c>
      <c r="AS313">
        <v>0</v>
      </c>
      <c r="AT313">
        <v>3886151</v>
      </c>
      <c r="AU313">
        <v>5830001</v>
      </c>
      <c r="AV313">
        <v>9716152</v>
      </c>
      <c r="AW313">
        <v>56.9602</v>
      </c>
      <c r="AX313">
        <v>30.427900000000001</v>
      </c>
      <c r="AY313">
        <v>13770.5</v>
      </c>
      <c r="AZ313">
        <v>12148.9</v>
      </c>
      <c r="BA313">
        <v>66432</v>
      </c>
      <c r="BB313">
        <v>143262</v>
      </c>
      <c r="BC313" t="str">
        <f t="shared" si="8"/>
        <v>u=40%, k=2x10^9</v>
      </c>
      <c r="BD313">
        <f t="shared" si="9"/>
        <v>0</v>
      </c>
    </row>
    <row r="314" spans="1:56">
      <c r="A314" t="s">
        <v>398</v>
      </c>
      <c r="B314" t="s">
        <v>67</v>
      </c>
      <c r="D314" t="s">
        <v>65</v>
      </c>
      <c r="E314" t="s">
        <v>60</v>
      </c>
      <c r="F314" t="s">
        <v>61</v>
      </c>
      <c r="G314">
        <v>30000</v>
      </c>
      <c r="H314">
        <v>20</v>
      </c>
      <c r="I314">
        <v>20</v>
      </c>
      <c r="J314">
        <v>0</v>
      </c>
      <c r="K314">
        <v>1</v>
      </c>
      <c r="L314">
        <v>2000000000</v>
      </c>
      <c r="M314">
        <v>96</v>
      </c>
      <c r="N314">
        <v>96</v>
      </c>
      <c r="O314">
        <v>96</v>
      </c>
      <c r="P314">
        <v>0</v>
      </c>
      <c r="Q314" t="s">
        <v>62</v>
      </c>
      <c r="R314">
        <v>1.00000281355355E+18</v>
      </c>
      <c r="S314">
        <v>999989464</v>
      </c>
      <c r="T314">
        <v>1.00000281355355E+18</v>
      </c>
      <c r="U314">
        <v>999989464</v>
      </c>
      <c r="V314" t="s">
        <v>75</v>
      </c>
      <c r="W314">
        <v>37</v>
      </c>
      <c r="X314">
        <v>585665726</v>
      </c>
      <c r="Y314">
        <v>440363213</v>
      </c>
      <c r="Z314">
        <v>1026028939</v>
      </c>
      <c r="AA314">
        <v>999989464</v>
      </c>
      <c r="AB314">
        <v>1.7519</v>
      </c>
      <c r="AC314">
        <v>2.2708300000000001</v>
      </c>
      <c r="AD314">
        <v>1.97462</v>
      </c>
      <c r="AE314">
        <v>29.495699999999999</v>
      </c>
      <c r="AM314">
        <v>391228518</v>
      </c>
      <c r="AN314">
        <v>0</v>
      </c>
      <c r="AO314">
        <v>260800893</v>
      </c>
      <c r="AP314">
        <v>391228518</v>
      </c>
      <c r="AQ314">
        <v>652029411</v>
      </c>
      <c r="AR314">
        <v>13040950</v>
      </c>
      <c r="AS314">
        <v>0</v>
      </c>
      <c r="AT314">
        <v>8693363</v>
      </c>
      <c r="AU314">
        <v>13040950</v>
      </c>
      <c r="AV314">
        <v>21734313</v>
      </c>
      <c r="AW314">
        <v>57.351700000000001</v>
      </c>
      <c r="AX314">
        <v>32.405999999999999</v>
      </c>
      <c r="AY314">
        <v>12298.7</v>
      </c>
      <c r="AZ314">
        <v>10623</v>
      </c>
      <c r="BA314">
        <v>67349</v>
      </c>
      <c r="BB314">
        <v>63602</v>
      </c>
      <c r="BC314" t="str">
        <f t="shared" si="8"/>
        <v>u=40%, k=2x10^9</v>
      </c>
      <c r="BD314">
        <f t="shared" si="9"/>
        <v>0</v>
      </c>
    </row>
    <row r="315" spans="1:56">
      <c r="A315" t="s">
        <v>399</v>
      </c>
      <c r="B315" t="s">
        <v>67</v>
      </c>
      <c r="D315" t="s">
        <v>65</v>
      </c>
      <c r="E315" t="s">
        <v>60</v>
      </c>
      <c r="F315" t="s">
        <v>61</v>
      </c>
      <c r="G315">
        <v>30000</v>
      </c>
      <c r="H315">
        <v>20</v>
      </c>
      <c r="I315">
        <v>20</v>
      </c>
      <c r="J315">
        <v>0</v>
      </c>
      <c r="K315">
        <v>1</v>
      </c>
      <c r="L315">
        <v>2000000000</v>
      </c>
      <c r="M315">
        <v>144</v>
      </c>
      <c r="N315">
        <v>144</v>
      </c>
      <c r="O315">
        <v>144</v>
      </c>
      <c r="P315">
        <v>0</v>
      </c>
      <c r="Q315" t="s">
        <v>62</v>
      </c>
      <c r="R315">
        <v>1.0000053925001E+18</v>
      </c>
      <c r="S315">
        <v>999993107</v>
      </c>
      <c r="T315">
        <v>1.0000053925001E+18</v>
      </c>
      <c r="U315">
        <v>999993107</v>
      </c>
      <c r="V315" t="s">
        <v>75</v>
      </c>
      <c r="W315">
        <v>37</v>
      </c>
      <c r="X315">
        <v>592025339</v>
      </c>
      <c r="Y315">
        <v>445577683</v>
      </c>
      <c r="Z315">
        <v>1037603022</v>
      </c>
      <c r="AA315">
        <v>999993107</v>
      </c>
      <c r="AB315">
        <v>1.7526299999999999</v>
      </c>
      <c r="AC315">
        <v>2.2442600000000001</v>
      </c>
      <c r="AD315">
        <v>1.9637500000000001</v>
      </c>
      <c r="AE315">
        <v>29.6097</v>
      </c>
      <c r="AM315">
        <v>585309542</v>
      </c>
      <c r="AN315">
        <v>0</v>
      </c>
      <c r="AO315">
        <v>390158982</v>
      </c>
      <c r="AP315">
        <v>585309542</v>
      </c>
      <c r="AQ315">
        <v>975468524</v>
      </c>
      <c r="AR315">
        <v>19510318</v>
      </c>
      <c r="AS315">
        <v>0</v>
      </c>
      <c r="AT315">
        <v>13005299</v>
      </c>
      <c r="AU315">
        <v>19510318</v>
      </c>
      <c r="AV315">
        <v>32515617</v>
      </c>
      <c r="AW315">
        <v>58.011000000000003</v>
      </c>
      <c r="AX315">
        <v>32.708100000000002</v>
      </c>
      <c r="AY315">
        <v>12325.2</v>
      </c>
      <c r="AZ315">
        <v>10632.7</v>
      </c>
      <c r="BA315">
        <v>68264</v>
      </c>
      <c r="BB315">
        <v>42763</v>
      </c>
      <c r="BC315" t="str">
        <f t="shared" si="8"/>
        <v>u=40%, k=2x10^9</v>
      </c>
      <c r="BD315">
        <f t="shared" si="9"/>
        <v>0</v>
      </c>
    </row>
    <row r="316" spans="1:56">
      <c r="A316" t="s">
        <v>400</v>
      </c>
      <c r="B316" t="s">
        <v>67</v>
      </c>
      <c r="D316" t="s">
        <v>65</v>
      </c>
      <c r="E316" t="s">
        <v>60</v>
      </c>
      <c r="F316" t="s">
        <v>61</v>
      </c>
      <c r="G316">
        <v>30000</v>
      </c>
      <c r="H316">
        <v>20</v>
      </c>
      <c r="I316">
        <v>20</v>
      </c>
      <c r="J316">
        <v>0</v>
      </c>
      <c r="K316">
        <v>1</v>
      </c>
      <c r="L316">
        <v>2000000000</v>
      </c>
      <c r="M316">
        <v>190</v>
      </c>
      <c r="N316">
        <v>190</v>
      </c>
      <c r="O316">
        <v>190</v>
      </c>
      <c r="P316">
        <v>0</v>
      </c>
      <c r="Q316" t="s">
        <v>62</v>
      </c>
      <c r="R316">
        <v>9.9998420461712397E+17</v>
      </c>
      <c r="S316">
        <v>999985269</v>
      </c>
      <c r="T316">
        <v>9.9998420461712397E+17</v>
      </c>
      <c r="U316">
        <v>999985269</v>
      </c>
      <c r="V316" t="s">
        <v>75</v>
      </c>
      <c r="W316">
        <v>37</v>
      </c>
      <c r="X316">
        <v>597648324</v>
      </c>
      <c r="Y316">
        <v>450162767</v>
      </c>
      <c r="Z316">
        <v>1047811091</v>
      </c>
      <c r="AA316">
        <v>999985269</v>
      </c>
      <c r="AB316">
        <v>1.75322</v>
      </c>
      <c r="AC316">
        <v>2.22139</v>
      </c>
      <c r="AD316">
        <v>1.9543600000000001</v>
      </c>
      <c r="AE316">
        <v>29.583400000000001</v>
      </c>
      <c r="AM316">
        <v>768042754</v>
      </c>
      <c r="AN316">
        <v>0</v>
      </c>
      <c r="AO316">
        <v>511995000</v>
      </c>
      <c r="AP316">
        <v>768042754</v>
      </c>
      <c r="AQ316">
        <v>1280037754</v>
      </c>
      <c r="AR316">
        <v>25601425</v>
      </c>
      <c r="AS316">
        <v>0</v>
      </c>
      <c r="AT316">
        <v>17066500</v>
      </c>
      <c r="AU316">
        <v>25601425</v>
      </c>
      <c r="AV316">
        <v>42667925</v>
      </c>
      <c r="AW316">
        <v>58.657800000000002</v>
      </c>
      <c r="AX316">
        <v>32.977600000000002</v>
      </c>
      <c r="AY316">
        <v>12391.2</v>
      </c>
      <c r="AZ316">
        <v>10678.5</v>
      </c>
      <c r="BA316">
        <v>69539</v>
      </c>
      <c r="BB316">
        <v>33001</v>
      </c>
      <c r="BC316" t="str">
        <f t="shared" si="8"/>
        <v>u=40%, k=2x10^9</v>
      </c>
      <c r="BD316">
        <f t="shared" si="9"/>
        <v>0</v>
      </c>
    </row>
    <row r="317" spans="1:56">
      <c r="A317" t="s">
        <v>401</v>
      </c>
      <c r="B317" t="s">
        <v>68</v>
      </c>
      <c r="D317" t="s">
        <v>65</v>
      </c>
      <c r="E317" t="s">
        <v>60</v>
      </c>
      <c r="F317" t="s">
        <v>61</v>
      </c>
      <c r="G317">
        <v>30000</v>
      </c>
      <c r="H317">
        <v>20</v>
      </c>
      <c r="I317">
        <v>20</v>
      </c>
      <c r="J317">
        <v>0</v>
      </c>
      <c r="K317">
        <v>1</v>
      </c>
      <c r="L317">
        <v>2000000000</v>
      </c>
      <c r="M317">
        <v>24</v>
      </c>
      <c r="N317">
        <v>24</v>
      </c>
      <c r="O317">
        <v>24</v>
      </c>
      <c r="P317">
        <v>0</v>
      </c>
      <c r="Q317" t="s">
        <v>62</v>
      </c>
      <c r="R317">
        <v>1.00000869520394E+18</v>
      </c>
      <c r="S317">
        <v>999986052</v>
      </c>
      <c r="T317">
        <v>1.00000869520394E+18</v>
      </c>
      <c r="U317">
        <v>999986052</v>
      </c>
      <c r="V317" t="s">
        <v>75</v>
      </c>
      <c r="W317">
        <v>81</v>
      </c>
      <c r="X317">
        <v>999986051</v>
      </c>
      <c r="Y317">
        <v>999986052</v>
      </c>
      <c r="Z317">
        <v>1999972103</v>
      </c>
      <c r="AA317">
        <v>999986052</v>
      </c>
      <c r="AB317">
        <v>2</v>
      </c>
      <c r="AC317">
        <v>1</v>
      </c>
      <c r="AD317">
        <v>1.5</v>
      </c>
      <c r="AE317">
        <v>40.557299999999998</v>
      </c>
      <c r="AM317">
        <v>75290872</v>
      </c>
      <c r="AN317">
        <v>0</v>
      </c>
      <c r="AO317">
        <v>50206278</v>
      </c>
      <c r="AP317">
        <v>75290872</v>
      </c>
      <c r="AQ317">
        <v>125497150</v>
      </c>
      <c r="AR317">
        <v>2509695</v>
      </c>
      <c r="AS317">
        <v>0</v>
      </c>
      <c r="AT317">
        <v>1673542</v>
      </c>
      <c r="AU317">
        <v>2509695</v>
      </c>
      <c r="AV317">
        <v>4183238</v>
      </c>
      <c r="AW317">
        <v>54.532299999999999</v>
      </c>
      <c r="AX317">
        <v>29.579799999999999</v>
      </c>
      <c r="AY317">
        <v>16005.6</v>
      </c>
      <c r="AZ317">
        <v>14140.8</v>
      </c>
      <c r="BA317">
        <v>65658</v>
      </c>
      <c r="BB317">
        <v>299332</v>
      </c>
      <c r="BC317" t="str">
        <f t="shared" si="8"/>
        <v>u=40%, k=2x10^9</v>
      </c>
      <c r="BD317">
        <f t="shared" si="9"/>
        <v>0</v>
      </c>
    </row>
    <row r="318" spans="1:56">
      <c r="A318" t="s">
        <v>402</v>
      </c>
      <c r="B318" t="s">
        <v>68</v>
      </c>
      <c r="D318" t="s">
        <v>65</v>
      </c>
      <c r="E318" t="s">
        <v>60</v>
      </c>
      <c r="F318" t="s">
        <v>61</v>
      </c>
      <c r="G318">
        <v>30000</v>
      </c>
      <c r="H318">
        <v>20</v>
      </c>
      <c r="I318">
        <v>20</v>
      </c>
      <c r="J318">
        <v>0</v>
      </c>
      <c r="K318">
        <v>1</v>
      </c>
      <c r="L318">
        <v>2000000000</v>
      </c>
      <c r="M318">
        <v>48</v>
      </c>
      <c r="N318">
        <v>48</v>
      </c>
      <c r="O318">
        <v>48</v>
      </c>
      <c r="P318">
        <v>0</v>
      </c>
      <c r="Q318" t="s">
        <v>62</v>
      </c>
      <c r="R318">
        <v>1.00000197856391E+18</v>
      </c>
      <c r="S318">
        <v>1000001948</v>
      </c>
      <c r="T318">
        <v>1.00000197856391E+18</v>
      </c>
      <c r="U318">
        <v>1000001948</v>
      </c>
      <c r="V318" t="s">
        <v>75</v>
      </c>
      <c r="W318">
        <v>78</v>
      </c>
      <c r="X318">
        <v>1000001947</v>
      </c>
      <c r="Y318">
        <v>1000001948</v>
      </c>
      <c r="Z318">
        <v>2000003895</v>
      </c>
      <c r="AA318">
        <v>1000001948</v>
      </c>
      <c r="AB318">
        <v>2</v>
      </c>
      <c r="AC318">
        <v>1</v>
      </c>
      <c r="AD318">
        <v>1.5</v>
      </c>
      <c r="AE318">
        <v>40.0306</v>
      </c>
      <c r="AM318">
        <v>147652751</v>
      </c>
      <c r="AN318">
        <v>0</v>
      </c>
      <c r="AO318">
        <v>98424794</v>
      </c>
      <c r="AP318">
        <v>147652751</v>
      </c>
      <c r="AQ318">
        <v>246077545</v>
      </c>
      <c r="AR318">
        <v>4921758</v>
      </c>
      <c r="AS318">
        <v>0</v>
      </c>
      <c r="AT318">
        <v>3280826</v>
      </c>
      <c r="AU318">
        <v>4921758</v>
      </c>
      <c r="AV318">
        <v>8202584</v>
      </c>
      <c r="AW318">
        <v>54.535699999999999</v>
      </c>
      <c r="AX318">
        <v>29.451899999999998</v>
      </c>
      <c r="AY318">
        <v>16323</v>
      </c>
      <c r="AZ318">
        <v>14996.7</v>
      </c>
      <c r="BA318">
        <v>65695</v>
      </c>
      <c r="BB318">
        <v>153330</v>
      </c>
      <c r="BC318" t="str">
        <f t="shared" si="8"/>
        <v>u=40%, k=2x10^9</v>
      </c>
      <c r="BD318">
        <f t="shared" si="9"/>
        <v>0</v>
      </c>
    </row>
    <row r="319" spans="1:56">
      <c r="A319" t="s">
        <v>403</v>
      </c>
      <c r="B319" t="s">
        <v>68</v>
      </c>
      <c r="D319" t="s">
        <v>65</v>
      </c>
      <c r="E319" t="s">
        <v>60</v>
      </c>
      <c r="F319" t="s">
        <v>61</v>
      </c>
      <c r="G319">
        <v>30000</v>
      </c>
      <c r="H319">
        <v>20</v>
      </c>
      <c r="I319">
        <v>20</v>
      </c>
      <c r="J319">
        <v>0</v>
      </c>
      <c r="K319">
        <v>1</v>
      </c>
      <c r="L319">
        <v>2000000000</v>
      </c>
      <c r="M319">
        <v>96</v>
      </c>
      <c r="N319">
        <v>96</v>
      </c>
      <c r="O319">
        <v>96</v>
      </c>
      <c r="P319">
        <v>0</v>
      </c>
      <c r="Q319" t="s">
        <v>62</v>
      </c>
      <c r="R319">
        <v>1.0000080104157E+18</v>
      </c>
      <c r="S319">
        <v>1000018133</v>
      </c>
      <c r="T319">
        <v>1.0000080104157E+18</v>
      </c>
      <c r="U319">
        <v>1000018133</v>
      </c>
      <c r="V319" t="s">
        <v>75</v>
      </c>
      <c r="W319">
        <v>79</v>
      </c>
      <c r="X319">
        <v>1000018132</v>
      </c>
      <c r="Y319">
        <v>1000018133</v>
      </c>
      <c r="Z319">
        <v>2000036265</v>
      </c>
      <c r="AA319">
        <v>1000018133</v>
      </c>
      <c r="AB319">
        <v>2</v>
      </c>
      <c r="AC319">
        <v>1</v>
      </c>
      <c r="AD319">
        <v>1.5</v>
      </c>
      <c r="AE319">
        <v>41.055</v>
      </c>
      <c r="AM319">
        <v>328974407</v>
      </c>
      <c r="AN319">
        <v>0</v>
      </c>
      <c r="AO319">
        <v>219306033</v>
      </c>
      <c r="AP319">
        <v>328974407</v>
      </c>
      <c r="AQ319">
        <v>548280440</v>
      </c>
      <c r="AR319">
        <v>10965813</v>
      </c>
      <c r="AS319">
        <v>0</v>
      </c>
      <c r="AT319">
        <v>7310201</v>
      </c>
      <c r="AU319">
        <v>10965813</v>
      </c>
      <c r="AV319">
        <v>18276014</v>
      </c>
      <c r="AW319">
        <v>55.982500000000002</v>
      </c>
      <c r="AX319">
        <v>32.312399999999997</v>
      </c>
      <c r="AY319">
        <v>14634</v>
      </c>
      <c r="AZ319">
        <v>13186.4</v>
      </c>
      <c r="BA319">
        <v>66394</v>
      </c>
      <c r="BB319">
        <v>66405</v>
      </c>
      <c r="BC319" t="str">
        <f t="shared" si="8"/>
        <v>u=40%, k=2x10^9</v>
      </c>
      <c r="BD319">
        <f t="shared" si="9"/>
        <v>0</v>
      </c>
    </row>
    <row r="320" spans="1:56">
      <c r="A320" t="s">
        <v>404</v>
      </c>
      <c r="B320" t="s">
        <v>68</v>
      </c>
      <c r="D320" t="s">
        <v>65</v>
      </c>
      <c r="E320" t="s">
        <v>60</v>
      </c>
      <c r="F320" t="s">
        <v>61</v>
      </c>
      <c r="G320">
        <v>30000</v>
      </c>
      <c r="H320">
        <v>20</v>
      </c>
      <c r="I320">
        <v>20</v>
      </c>
      <c r="J320">
        <v>0</v>
      </c>
      <c r="K320">
        <v>1</v>
      </c>
      <c r="L320">
        <v>2000000000</v>
      </c>
      <c r="M320">
        <v>144</v>
      </c>
      <c r="N320">
        <v>144</v>
      </c>
      <c r="O320">
        <v>144</v>
      </c>
      <c r="P320">
        <v>0</v>
      </c>
      <c r="Q320" t="s">
        <v>62</v>
      </c>
      <c r="R320">
        <v>1.0000145485500401E+18</v>
      </c>
      <c r="S320">
        <v>1000007421</v>
      </c>
      <c r="T320">
        <v>1.0000145485500401E+18</v>
      </c>
      <c r="U320">
        <v>1000007421</v>
      </c>
      <c r="V320" t="s">
        <v>75</v>
      </c>
      <c r="W320">
        <v>80</v>
      </c>
      <c r="X320">
        <v>1000007420</v>
      </c>
      <c r="Y320">
        <v>1000007421</v>
      </c>
      <c r="Z320">
        <v>2000014841</v>
      </c>
      <c r="AA320">
        <v>1000007421</v>
      </c>
      <c r="AB320">
        <v>2</v>
      </c>
      <c r="AC320">
        <v>1</v>
      </c>
      <c r="AD320">
        <v>1.5</v>
      </c>
      <c r="AE320">
        <v>41.348999999999997</v>
      </c>
      <c r="AM320">
        <v>482736019</v>
      </c>
      <c r="AN320">
        <v>0</v>
      </c>
      <c r="AO320">
        <v>321858736</v>
      </c>
      <c r="AP320">
        <v>482736019</v>
      </c>
      <c r="AQ320">
        <v>804594755</v>
      </c>
      <c r="AR320">
        <v>16091200</v>
      </c>
      <c r="AS320">
        <v>0</v>
      </c>
      <c r="AT320">
        <v>10728624</v>
      </c>
      <c r="AU320">
        <v>16091200</v>
      </c>
      <c r="AV320">
        <v>26819825</v>
      </c>
      <c r="AW320">
        <v>56.873100000000001</v>
      </c>
      <c r="AX320">
        <v>33.004899999999999</v>
      </c>
      <c r="AY320">
        <v>14949.5</v>
      </c>
      <c r="AZ320">
        <v>13177.4</v>
      </c>
      <c r="BA320">
        <v>67966</v>
      </c>
      <c r="BB320">
        <v>44202</v>
      </c>
      <c r="BC320" t="str">
        <f t="shared" si="8"/>
        <v>u=40%, k=2x10^9</v>
      </c>
      <c r="BD320">
        <f t="shared" si="9"/>
        <v>0</v>
      </c>
    </row>
    <row r="321" spans="1:56">
      <c r="A321" t="s">
        <v>405</v>
      </c>
      <c r="B321" t="s">
        <v>68</v>
      </c>
      <c r="D321" t="s">
        <v>65</v>
      </c>
      <c r="E321" t="s">
        <v>60</v>
      </c>
      <c r="F321" t="s">
        <v>61</v>
      </c>
      <c r="G321">
        <v>30000</v>
      </c>
      <c r="H321">
        <v>20</v>
      </c>
      <c r="I321">
        <v>20</v>
      </c>
      <c r="J321">
        <v>0</v>
      </c>
      <c r="K321">
        <v>1</v>
      </c>
      <c r="L321">
        <v>2000000000</v>
      </c>
      <c r="M321">
        <v>190</v>
      </c>
      <c r="N321">
        <v>190</v>
      </c>
      <c r="O321">
        <v>190</v>
      </c>
      <c r="P321">
        <v>0</v>
      </c>
      <c r="Q321" t="s">
        <v>62</v>
      </c>
      <c r="R321">
        <v>9.9999858857738995E+17</v>
      </c>
      <c r="S321">
        <v>999986267</v>
      </c>
      <c r="T321">
        <v>9.9999858857738995E+17</v>
      </c>
      <c r="U321">
        <v>999986267</v>
      </c>
      <c r="V321" t="s">
        <v>75</v>
      </c>
      <c r="W321">
        <v>79</v>
      </c>
      <c r="X321">
        <v>999986266</v>
      </c>
      <c r="Y321">
        <v>999986267</v>
      </c>
      <c r="Z321">
        <v>1999972533</v>
      </c>
      <c r="AA321">
        <v>999986267</v>
      </c>
      <c r="AB321">
        <v>2</v>
      </c>
      <c r="AC321">
        <v>1</v>
      </c>
      <c r="AD321">
        <v>1.5</v>
      </c>
      <c r="AE321">
        <v>40.5458</v>
      </c>
      <c r="AM321">
        <v>613954755</v>
      </c>
      <c r="AN321">
        <v>0</v>
      </c>
      <c r="AO321">
        <v>409336235</v>
      </c>
      <c r="AP321">
        <v>613954755</v>
      </c>
      <c r="AQ321">
        <v>1023290990</v>
      </c>
      <c r="AR321">
        <v>20465158</v>
      </c>
      <c r="AS321">
        <v>0</v>
      </c>
      <c r="AT321">
        <v>13644541</v>
      </c>
      <c r="AU321">
        <v>20465158</v>
      </c>
      <c r="AV321">
        <v>34109699</v>
      </c>
      <c r="AW321">
        <v>57.229100000000003</v>
      </c>
      <c r="AX321">
        <v>33.3857</v>
      </c>
      <c r="AY321">
        <v>15493.7</v>
      </c>
      <c r="AZ321">
        <v>13192.2</v>
      </c>
      <c r="BA321">
        <v>69307</v>
      </c>
      <c r="BB321">
        <v>33716</v>
      </c>
      <c r="BC321" t="str">
        <f t="shared" si="8"/>
        <v>u=40%, k=2x10^9</v>
      </c>
      <c r="BD321">
        <f t="shared" si="9"/>
        <v>0</v>
      </c>
    </row>
    <row r="322" spans="1:56">
      <c r="A322" t="s">
        <v>406</v>
      </c>
      <c r="B322" t="s">
        <v>64</v>
      </c>
      <c r="C322">
        <v>72</v>
      </c>
      <c r="D322" t="s">
        <v>65</v>
      </c>
      <c r="E322" t="s">
        <v>60</v>
      </c>
      <c r="F322" t="s">
        <v>61</v>
      </c>
      <c r="G322">
        <v>30000</v>
      </c>
      <c r="H322">
        <v>0</v>
      </c>
      <c r="I322">
        <v>0</v>
      </c>
      <c r="J322">
        <v>0</v>
      </c>
      <c r="K322">
        <v>1</v>
      </c>
      <c r="L322">
        <v>2000000</v>
      </c>
      <c r="M322">
        <v>24</v>
      </c>
      <c r="N322">
        <v>24</v>
      </c>
      <c r="O322">
        <v>24</v>
      </c>
      <c r="P322">
        <v>0</v>
      </c>
      <c r="Q322" t="s">
        <v>62</v>
      </c>
      <c r="R322">
        <v>999493081056</v>
      </c>
      <c r="S322">
        <v>1000001</v>
      </c>
      <c r="T322">
        <v>999493081056</v>
      </c>
      <c r="U322">
        <v>1000001</v>
      </c>
      <c r="V322" t="s">
        <v>75</v>
      </c>
      <c r="W322">
        <v>5</v>
      </c>
      <c r="X322">
        <v>33035</v>
      </c>
      <c r="Y322">
        <v>1032033</v>
      </c>
      <c r="Z322">
        <v>1065068</v>
      </c>
      <c r="AA322">
        <v>1000001</v>
      </c>
      <c r="AB322">
        <v>32.240600000000001</v>
      </c>
      <c r="AC322">
        <v>0.96896199999999999</v>
      </c>
      <c r="AD322">
        <v>1.9389099999999999</v>
      </c>
      <c r="AE322">
        <v>3</v>
      </c>
      <c r="AM322">
        <v>2628523497</v>
      </c>
      <c r="AN322">
        <v>0</v>
      </c>
      <c r="AO322">
        <v>0</v>
      </c>
      <c r="AP322">
        <v>2628523497</v>
      </c>
      <c r="AQ322">
        <v>2628523497</v>
      </c>
      <c r="AR322">
        <v>87617449</v>
      </c>
      <c r="AS322">
        <v>0</v>
      </c>
      <c r="AT322">
        <v>0</v>
      </c>
      <c r="AU322">
        <v>87617449</v>
      </c>
      <c r="AV322">
        <v>87617449</v>
      </c>
      <c r="AW322">
        <v>7.7935600000000003</v>
      </c>
      <c r="AX322">
        <v>2.16469E-2</v>
      </c>
      <c r="AY322">
        <v>763.76400000000001</v>
      </c>
      <c r="AZ322">
        <v>235.173</v>
      </c>
      <c r="BA322">
        <v>1124</v>
      </c>
      <c r="BB322">
        <v>26</v>
      </c>
      <c r="BC322" t="str">
        <f t="shared" si="8"/>
        <v>u=0%, k=2x10^6</v>
      </c>
      <c r="BD322">
        <f t="shared" si="9"/>
        <v>0</v>
      </c>
    </row>
    <row r="323" spans="1:56">
      <c r="A323" t="s">
        <v>407</v>
      </c>
      <c r="B323" t="s">
        <v>64</v>
      </c>
      <c r="C323">
        <v>72</v>
      </c>
      <c r="D323" t="s">
        <v>65</v>
      </c>
      <c r="E323" t="s">
        <v>60</v>
      </c>
      <c r="F323" t="s">
        <v>61</v>
      </c>
      <c r="G323">
        <v>30000</v>
      </c>
      <c r="H323">
        <v>0</v>
      </c>
      <c r="I323">
        <v>0</v>
      </c>
      <c r="J323">
        <v>0</v>
      </c>
      <c r="K323">
        <v>1</v>
      </c>
      <c r="L323">
        <v>2000000</v>
      </c>
      <c r="M323">
        <v>48</v>
      </c>
      <c r="N323">
        <v>48</v>
      </c>
      <c r="O323">
        <v>48</v>
      </c>
      <c r="P323">
        <v>0</v>
      </c>
      <c r="Q323" t="s">
        <v>62</v>
      </c>
      <c r="R323">
        <v>1000271197640</v>
      </c>
      <c r="S323">
        <v>1000001</v>
      </c>
      <c r="T323">
        <v>1000271197640</v>
      </c>
      <c r="U323">
        <v>1000001</v>
      </c>
      <c r="V323" t="s">
        <v>75</v>
      </c>
      <c r="W323">
        <v>5</v>
      </c>
      <c r="X323">
        <v>33035</v>
      </c>
      <c r="Y323">
        <v>1032033</v>
      </c>
      <c r="Z323">
        <v>1065068</v>
      </c>
      <c r="AA323">
        <v>1000001</v>
      </c>
      <c r="AB323">
        <v>32.240600000000001</v>
      </c>
      <c r="AC323">
        <v>0.96896199999999999</v>
      </c>
      <c r="AD323">
        <v>1.9389099999999999</v>
      </c>
      <c r="AE323">
        <v>3</v>
      </c>
      <c r="AM323">
        <v>3988974016</v>
      </c>
      <c r="AN323">
        <v>0</v>
      </c>
      <c r="AO323">
        <v>0</v>
      </c>
      <c r="AP323">
        <v>3988974016</v>
      </c>
      <c r="AQ323">
        <v>3988974016</v>
      </c>
      <c r="AR323">
        <v>132965800</v>
      </c>
      <c r="AS323">
        <v>0</v>
      </c>
      <c r="AT323">
        <v>0</v>
      </c>
      <c r="AU323">
        <v>132965800</v>
      </c>
      <c r="AV323">
        <v>132965800</v>
      </c>
      <c r="AW323">
        <v>7.6991899999999998</v>
      </c>
      <c r="AX323">
        <v>2.3427199999999999E-2</v>
      </c>
      <c r="AY323">
        <v>1000.66</v>
      </c>
      <c r="AZ323">
        <v>323.20499999999998</v>
      </c>
      <c r="BA323">
        <v>1134</v>
      </c>
      <c r="BB323">
        <v>32</v>
      </c>
      <c r="BC323" t="str">
        <f t="shared" ref="BC323:BC386" si="10">"u="&amp;(H323+I323)&amp;"%, k=2x10^"&amp;LOG10(L323/2)</f>
        <v>u=0%, k=2x10^6</v>
      </c>
      <c r="BD323">
        <f t="shared" ref="BD323:BD386" si="11">IF(AH323="",0,LEFT(AH323,IF(ISNUMBER(FIND(" ",AH323)),FIND(" ",AH323)-1,LEN(AH323))))</f>
        <v>0</v>
      </c>
    </row>
    <row r="324" spans="1:56">
      <c r="A324" t="s">
        <v>408</v>
      </c>
      <c r="B324" t="s">
        <v>64</v>
      </c>
      <c r="C324">
        <v>72</v>
      </c>
      <c r="D324" t="s">
        <v>65</v>
      </c>
      <c r="E324" t="s">
        <v>60</v>
      </c>
      <c r="F324" t="s">
        <v>61</v>
      </c>
      <c r="G324">
        <v>30000</v>
      </c>
      <c r="H324">
        <v>0</v>
      </c>
      <c r="I324">
        <v>0</v>
      </c>
      <c r="J324">
        <v>0</v>
      </c>
      <c r="K324">
        <v>1</v>
      </c>
      <c r="L324">
        <v>2000000</v>
      </c>
      <c r="M324">
        <v>96</v>
      </c>
      <c r="N324">
        <v>96</v>
      </c>
      <c r="O324">
        <v>96</v>
      </c>
      <c r="P324">
        <v>0</v>
      </c>
      <c r="Q324" t="s">
        <v>62</v>
      </c>
      <c r="R324">
        <v>999666818113</v>
      </c>
      <c r="S324">
        <v>1000001</v>
      </c>
      <c r="T324">
        <v>999666818113</v>
      </c>
      <c r="U324">
        <v>1000001</v>
      </c>
      <c r="V324" t="s">
        <v>75</v>
      </c>
      <c r="W324">
        <v>5</v>
      </c>
      <c r="X324">
        <v>33035</v>
      </c>
      <c r="Y324">
        <v>1032033</v>
      </c>
      <c r="Z324">
        <v>1065068</v>
      </c>
      <c r="AA324">
        <v>1000001</v>
      </c>
      <c r="AB324">
        <v>32.240600000000001</v>
      </c>
      <c r="AC324">
        <v>0.96896199999999999</v>
      </c>
      <c r="AD324">
        <v>1.9389099999999999</v>
      </c>
      <c r="AE324">
        <v>3</v>
      </c>
      <c r="AM324">
        <v>7760650283</v>
      </c>
      <c r="AN324">
        <v>0</v>
      </c>
      <c r="AO324">
        <v>0</v>
      </c>
      <c r="AP324">
        <v>7760650283</v>
      </c>
      <c r="AQ324">
        <v>7760650283</v>
      </c>
      <c r="AR324">
        <v>258688342</v>
      </c>
      <c r="AS324">
        <v>0</v>
      </c>
      <c r="AT324">
        <v>0</v>
      </c>
      <c r="AU324">
        <v>258688342</v>
      </c>
      <c r="AV324">
        <v>258688342</v>
      </c>
      <c r="AW324">
        <v>7.8421200000000004</v>
      </c>
      <c r="AX324">
        <v>5.75472E-2</v>
      </c>
      <c r="AY324">
        <v>1026.99</v>
      </c>
      <c r="AZ324">
        <v>314.77300000000002</v>
      </c>
      <c r="BA324">
        <v>1162</v>
      </c>
      <c r="BB324">
        <v>149</v>
      </c>
      <c r="BC324" t="str">
        <f t="shared" si="10"/>
        <v>u=0%, k=2x10^6</v>
      </c>
      <c r="BD324">
        <f t="shared" si="11"/>
        <v>0</v>
      </c>
    </row>
    <row r="325" spans="1:56">
      <c r="A325" t="s">
        <v>409</v>
      </c>
      <c r="B325" t="s">
        <v>64</v>
      </c>
      <c r="C325">
        <v>72</v>
      </c>
      <c r="D325" t="s">
        <v>65</v>
      </c>
      <c r="E325" t="s">
        <v>60</v>
      </c>
      <c r="F325" t="s">
        <v>61</v>
      </c>
      <c r="G325">
        <v>30000</v>
      </c>
      <c r="H325">
        <v>0</v>
      </c>
      <c r="I325">
        <v>0</v>
      </c>
      <c r="J325">
        <v>0</v>
      </c>
      <c r="K325">
        <v>1</v>
      </c>
      <c r="L325">
        <v>2000000</v>
      </c>
      <c r="M325">
        <v>144</v>
      </c>
      <c r="N325">
        <v>144</v>
      </c>
      <c r="O325">
        <v>144</v>
      </c>
      <c r="P325">
        <v>0</v>
      </c>
      <c r="Q325" t="s">
        <v>62</v>
      </c>
      <c r="R325">
        <v>1000365471775</v>
      </c>
      <c r="S325">
        <v>1000001</v>
      </c>
      <c r="T325">
        <v>1000365471775</v>
      </c>
      <c r="U325">
        <v>1000001</v>
      </c>
      <c r="V325" t="s">
        <v>75</v>
      </c>
      <c r="W325">
        <v>5</v>
      </c>
      <c r="X325">
        <v>33035</v>
      </c>
      <c r="Y325">
        <v>1032033</v>
      </c>
      <c r="Z325">
        <v>1065068</v>
      </c>
      <c r="AA325">
        <v>1000001</v>
      </c>
      <c r="AB325">
        <v>32.240600000000001</v>
      </c>
      <c r="AC325">
        <v>0.96896199999999999</v>
      </c>
      <c r="AD325">
        <v>1.9389099999999999</v>
      </c>
      <c r="AE325">
        <v>3</v>
      </c>
      <c r="AM325">
        <v>10987589831</v>
      </c>
      <c r="AN325">
        <v>0</v>
      </c>
      <c r="AO325">
        <v>0</v>
      </c>
      <c r="AP325">
        <v>10987589831</v>
      </c>
      <c r="AQ325">
        <v>10987589831</v>
      </c>
      <c r="AR325">
        <v>366252994</v>
      </c>
      <c r="AS325">
        <v>0</v>
      </c>
      <c r="AT325">
        <v>0</v>
      </c>
      <c r="AU325">
        <v>366252994</v>
      </c>
      <c r="AV325">
        <v>366252994</v>
      </c>
      <c r="AW325">
        <v>8.2905999999999995</v>
      </c>
      <c r="AX325">
        <v>8.1192299999999995E-2</v>
      </c>
      <c r="AY325">
        <v>1082.58</v>
      </c>
      <c r="AZ325">
        <v>355.95600000000002</v>
      </c>
      <c r="BA325">
        <v>1187</v>
      </c>
      <c r="BB325">
        <v>298</v>
      </c>
      <c r="BC325" t="str">
        <f t="shared" si="10"/>
        <v>u=0%, k=2x10^6</v>
      </c>
      <c r="BD325">
        <f t="shared" si="11"/>
        <v>0</v>
      </c>
    </row>
    <row r="326" spans="1:56">
      <c r="A326" t="s">
        <v>410</v>
      </c>
      <c r="B326" t="s">
        <v>64</v>
      </c>
      <c r="C326">
        <v>72</v>
      </c>
      <c r="D326" t="s">
        <v>65</v>
      </c>
      <c r="E326" t="s">
        <v>60</v>
      </c>
      <c r="F326" t="s">
        <v>61</v>
      </c>
      <c r="G326">
        <v>30000</v>
      </c>
      <c r="H326">
        <v>0</v>
      </c>
      <c r="I326">
        <v>0</v>
      </c>
      <c r="J326">
        <v>0</v>
      </c>
      <c r="K326">
        <v>1</v>
      </c>
      <c r="L326">
        <v>2000000</v>
      </c>
      <c r="M326">
        <v>190</v>
      </c>
      <c r="N326">
        <v>190</v>
      </c>
      <c r="O326">
        <v>190</v>
      </c>
      <c r="P326">
        <v>0</v>
      </c>
      <c r="Q326" t="s">
        <v>62</v>
      </c>
      <c r="R326">
        <v>1000272249453</v>
      </c>
      <c r="S326">
        <v>1000001</v>
      </c>
      <c r="T326">
        <v>1000272249453</v>
      </c>
      <c r="U326">
        <v>1000001</v>
      </c>
      <c r="V326" t="s">
        <v>75</v>
      </c>
      <c r="W326">
        <v>5</v>
      </c>
      <c r="X326">
        <v>33035</v>
      </c>
      <c r="Y326">
        <v>1032033</v>
      </c>
      <c r="Z326">
        <v>1065068</v>
      </c>
      <c r="AA326">
        <v>1000001</v>
      </c>
      <c r="AB326">
        <v>32.240600000000001</v>
      </c>
      <c r="AC326">
        <v>0.96896199999999999</v>
      </c>
      <c r="AD326">
        <v>1.9389099999999999</v>
      </c>
      <c r="AE326">
        <v>3</v>
      </c>
      <c r="AM326">
        <v>14599812851</v>
      </c>
      <c r="AN326">
        <v>0</v>
      </c>
      <c r="AO326">
        <v>0</v>
      </c>
      <c r="AP326">
        <v>14599812851</v>
      </c>
      <c r="AQ326">
        <v>14599812851</v>
      </c>
      <c r="AR326">
        <v>486660428</v>
      </c>
      <c r="AS326">
        <v>0</v>
      </c>
      <c r="AT326">
        <v>0</v>
      </c>
      <c r="AU326">
        <v>486660428</v>
      </c>
      <c r="AV326">
        <v>486660428</v>
      </c>
      <c r="AW326">
        <v>8.4811200000000007</v>
      </c>
      <c r="AX326">
        <v>8.4410100000000002E-2</v>
      </c>
      <c r="AY326">
        <v>1071.28</v>
      </c>
      <c r="AZ326">
        <v>339.79700000000003</v>
      </c>
      <c r="BA326">
        <v>1217</v>
      </c>
      <c r="BB326">
        <v>281</v>
      </c>
      <c r="BC326" t="str">
        <f t="shared" si="10"/>
        <v>u=0%, k=2x10^6</v>
      </c>
      <c r="BD326">
        <f t="shared" si="11"/>
        <v>0</v>
      </c>
    </row>
    <row r="327" spans="1:56">
      <c r="A327" t="s">
        <v>411</v>
      </c>
      <c r="B327" t="s">
        <v>66</v>
      </c>
      <c r="C327">
        <v>208</v>
      </c>
      <c r="D327" t="s">
        <v>65</v>
      </c>
      <c r="E327" t="s">
        <v>60</v>
      </c>
      <c r="F327" t="s">
        <v>61</v>
      </c>
      <c r="G327">
        <v>30000</v>
      </c>
      <c r="H327">
        <v>0</v>
      </c>
      <c r="I327">
        <v>0</v>
      </c>
      <c r="J327">
        <v>0</v>
      </c>
      <c r="K327">
        <v>1</v>
      </c>
      <c r="L327">
        <v>2000000</v>
      </c>
      <c r="M327">
        <v>24</v>
      </c>
      <c r="N327">
        <v>24</v>
      </c>
      <c r="O327">
        <v>24</v>
      </c>
      <c r="P327">
        <v>0</v>
      </c>
      <c r="Q327" t="s">
        <v>62</v>
      </c>
      <c r="R327">
        <v>1000402598834</v>
      </c>
      <c r="S327">
        <v>1000000</v>
      </c>
      <c r="T327">
        <v>1000402598834</v>
      </c>
      <c r="U327">
        <v>1000000</v>
      </c>
      <c r="V327" t="s">
        <v>75</v>
      </c>
      <c r="W327">
        <v>8</v>
      </c>
      <c r="X327">
        <v>18570</v>
      </c>
      <c r="Y327">
        <v>127567</v>
      </c>
      <c r="Z327">
        <v>146137</v>
      </c>
      <c r="AA327">
        <v>1000000</v>
      </c>
      <c r="AB327">
        <v>7.8695199999999996</v>
      </c>
      <c r="AC327">
        <v>7.8390199999999997</v>
      </c>
      <c r="AD327">
        <v>7.8428899999999997</v>
      </c>
      <c r="AE327">
        <v>7</v>
      </c>
      <c r="AM327">
        <v>2063260992</v>
      </c>
      <c r="AN327">
        <v>0</v>
      </c>
      <c r="AO327">
        <v>0</v>
      </c>
      <c r="AP327">
        <v>2063260992</v>
      </c>
      <c r="AQ327">
        <v>2063260992</v>
      </c>
      <c r="AR327">
        <v>68775366</v>
      </c>
      <c r="AS327">
        <v>0</v>
      </c>
      <c r="AT327">
        <v>0</v>
      </c>
      <c r="AU327">
        <v>68775366</v>
      </c>
      <c r="AV327">
        <v>68775366</v>
      </c>
      <c r="AW327">
        <v>8.5693099999999998</v>
      </c>
      <c r="AX327">
        <v>0.27436300000000002</v>
      </c>
      <c r="AY327">
        <v>973.32299999999998</v>
      </c>
      <c r="AZ327">
        <v>230.27600000000001</v>
      </c>
      <c r="BA327">
        <v>1102</v>
      </c>
      <c r="BB327">
        <v>156</v>
      </c>
      <c r="BC327" t="str">
        <f t="shared" si="10"/>
        <v>u=0%, k=2x10^6</v>
      </c>
      <c r="BD327">
        <f t="shared" si="11"/>
        <v>0</v>
      </c>
    </row>
    <row r="328" spans="1:56">
      <c r="A328" t="s">
        <v>412</v>
      </c>
      <c r="B328" t="s">
        <v>66</v>
      </c>
      <c r="C328">
        <v>208</v>
      </c>
      <c r="D328" t="s">
        <v>65</v>
      </c>
      <c r="E328" t="s">
        <v>60</v>
      </c>
      <c r="F328" t="s">
        <v>61</v>
      </c>
      <c r="G328">
        <v>30000</v>
      </c>
      <c r="H328">
        <v>0</v>
      </c>
      <c r="I328">
        <v>0</v>
      </c>
      <c r="J328">
        <v>0</v>
      </c>
      <c r="K328">
        <v>1</v>
      </c>
      <c r="L328">
        <v>2000000</v>
      </c>
      <c r="M328">
        <v>48</v>
      </c>
      <c r="N328">
        <v>48</v>
      </c>
      <c r="O328">
        <v>48</v>
      </c>
      <c r="P328">
        <v>0</v>
      </c>
      <c r="Q328" t="s">
        <v>62</v>
      </c>
      <c r="R328">
        <v>1000287599665</v>
      </c>
      <c r="S328">
        <v>1000000</v>
      </c>
      <c r="T328">
        <v>1000287599665</v>
      </c>
      <c r="U328">
        <v>1000000</v>
      </c>
      <c r="V328" t="s">
        <v>75</v>
      </c>
      <c r="W328">
        <v>8</v>
      </c>
      <c r="X328">
        <v>18489</v>
      </c>
      <c r="Y328">
        <v>127528</v>
      </c>
      <c r="Z328">
        <v>146017</v>
      </c>
      <c r="AA328">
        <v>1000000</v>
      </c>
      <c r="AB328">
        <v>7.8975099999999996</v>
      </c>
      <c r="AC328">
        <v>7.8414200000000003</v>
      </c>
      <c r="AD328">
        <v>7.8485199999999997</v>
      </c>
      <c r="AE328">
        <v>7</v>
      </c>
      <c r="AM328">
        <v>3182900720</v>
      </c>
      <c r="AN328">
        <v>0</v>
      </c>
      <c r="AO328">
        <v>0</v>
      </c>
      <c r="AP328">
        <v>3182900720</v>
      </c>
      <c r="AQ328">
        <v>3182900720</v>
      </c>
      <c r="AR328">
        <v>106096690</v>
      </c>
      <c r="AS328">
        <v>0</v>
      </c>
      <c r="AT328">
        <v>0</v>
      </c>
      <c r="AU328">
        <v>106096690</v>
      </c>
      <c r="AV328">
        <v>106096690</v>
      </c>
      <c r="AW328">
        <v>8.4899100000000001</v>
      </c>
      <c r="AX328">
        <v>0.25938600000000001</v>
      </c>
      <c r="AY328">
        <v>1219.97</v>
      </c>
      <c r="AZ328">
        <v>387.53199999999998</v>
      </c>
      <c r="BA328">
        <v>1111</v>
      </c>
      <c r="BB328">
        <v>202</v>
      </c>
      <c r="BC328" t="str">
        <f t="shared" si="10"/>
        <v>u=0%, k=2x10^6</v>
      </c>
      <c r="BD328">
        <f t="shared" si="11"/>
        <v>0</v>
      </c>
    </row>
    <row r="329" spans="1:56">
      <c r="A329" t="s">
        <v>413</v>
      </c>
      <c r="B329" t="s">
        <v>66</v>
      </c>
      <c r="C329">
        <v>208</v>
      </c>
      <c r="D329" t="s">
        <v>65</v>
      </c>
      <c r="E329" t="s">
        <v>60</v>
      </c>
      <c r="F329" t="s">
        <v>61</v>
      </c>
      <c r="G329">
        <v>30000</v>
      </c>
      <c r="H329">
        <v>0</v>
      </c>
      <c r="I329">
        <v>0</v>
      </c>
      <c r="J329">
        <v>0</v>
      </c>
      <c r="K329">
        <v>1</v>
      </c>
      <c r="L329">
        <v>2000000</v>
      </c>
      <c r="M329">
        <v>96</v>
      </c>
      <c r="N329">
        <v>96</v>
      </c>
      <c r="O329">
        <v>96</v>
      </c>
      <c r="P329">
        <v>0</v>
      </c>
      <c r="Q329" t="s">
        <v>62</v>
      </c>
      <c r="R329">
        <v>1000014903181</v>
      </c>
      <c r="S329">
        <v>1000000</v>
      </c>
      <c r="T329">
        <v>1000014903181</v>
      </c>
      <c r="U329">
        <v>1000000</v>
      </c>
      <c r="V329" t="s">
        <v>75</v>
      </c>
      <c r="W329">
        <v>8</v>
      </c>
      <c r="X329">
        <v>18518</v>
      </c>
      <c r="Y329">
        <v>127540</v>
      </c>
      <c r="Z329">
        <v>146058</v>
      </c>
      <c r="AA329">
        <v>1000000</v>
      </c>
      <c r="AB329">
        <v>7.8873499999999996</v>
      </c>
      <c r="AC329">
        <v>7.8406799999999999</v>
      </c>
      <c r="AD329">
        <v>7.8465999999999996</v>
      </c>
      <c r="AE329">
        <v>7</v>
      </c>
      <c r="AM329">
        <v>6354598635</v>
      </c>
      <c r="AN329">
        <v>0</v>
      </c>
      <c r="AO329">
        <v>0</v>
      </c>
      <c r="AP329">
        <v>6354598635</v>
      </c>
      <c r="AQ329">
        <v>6354598635</v>
      </c>
      <c r="AR329">
        <v>211819954</v>
      </c>
      <c r="AS329">
        <v>0</v>
      </c>
      <c r="AT329">
        <v>0</v>
      </c>
      <c r="AU329">
        <v>211819954</v>
      </c>
      <c r="AV329">
        <v>211819954</v>
      </c>
      <c r="AW329">
        <v>8.6026399999999992</v>
      </c>
      <c r="AX329">
        <v>0.31840499999999999</v>
      </c>
      <c r="AY329">
        <v>1231.49</v>
      </c>
      <c r="AZ329">
        <v>373.38099999999997</v>
      </c>
      <c r="BA329">
        <v>1126</v>
      </c>
      <c r="BB329">
        <v>349</v>
      </c>
      <c r="BC329" t="str">
        <f t="shared" si="10"/>
        <v>u=0%, k=2x10^6</v>
      </c>
      <c r="BD329">
        <f t="shared" si="11"/>
        <v>0</v>
      </c>
    </row>
    <row r="330" spans="1:56">
      <c r="A330" t="s">
        <v>414</v>
      </c>
      <c r="B330" t="s">
        <v>66</v>
      </c>
      <c r="C330">
        <v>208</v>
      </c>
      <c r="D330" t="s">
        <v>65</v>
      </c>
      <c r="E330" t="s">
        <v>60</v>
      </c>
      <c r="F330" t="s">
        <v>61</v>
      </c>
      <c r="G330">
        <v>30000</v>
      </c>
      <c r="H330">
        <v>0</v>
      </c>
      <c r="I330">
        <v>0</v>
      </c>
      <c r="J330">
        <v>0</v>
      </c>
      <c r="K330">
        <v>1</v>
      </c>
      <c r="L330">
        <v>2000000</v>
      </c>
      <c r="M330">
        <v>144</v>
      </c>
      <c r="N330">
        <v>144</v>
      </c>
      <c r="O330">
        <v>144</v>
      </c>
      <c r="P330">
        <v>0</v>
      </c>
      <c r="Q330" t="s">
        <v>62</v>
      </c>
      <c r="R330">
        <v>1000691087704</v>
      </c>
      <c r="S330">
        <v>1000000</v>
      </c>
      <c r="T330">
        <v>1000691087704</v>
      </c>
      <c r="U330">
        <v>1000000</v>
      </c>
      <c r="V330" t="s">
        <v>75</v>
      </c>
      <c r="W330">
        <v>8</v>
      </c>
      <c r="X330">
        <v>18556</v>
      </c>
      <c r="Y330">
        <v>127579</v>
      </c>
      <c r="Z330">
        <v>146135</v>
      </c>
      <c r="AA330">
        <v>1000000</v>
      </c>
      <c r="AB330">
        <v>7.8753500000000001</v>
      </c>
      <c r="AC330">
        <v>7.8382800000000001</v>
      </c>
      <c r="AD330">
        <v>7.8429900000000004</v>
      </c>
      <c r="AE330">
        <v>7</v>
      </c>
      <c r="AM330">
        <v>9409930673</v>
      </c>
      <c r="AN330">
        <v>0</v>
      </c>
      <c r="AO330">
        <v>0</v>
      </c>
      <c r="AP330">
        <v>9409930673</v>
      </c>
      <c r="AQ330">
        <v>9409930673</v>
      </c>
      <c r="AR330">
        <v>313664355</v>
      </c>
      <c r="AS330">
        <v>0</v>
      </c>
      <c r="AT330">
        <v>0</v>
      </c>
      <c r="AU330">
        <v>313664355</v>
      </c>
      <c r="AV330">
        <v>313664355</v>
      </c>
      <c r="AW330">
        <v>8.6322100000000006</v>
      </c>
      <c r="AX330">
        <v>0.36287199999999997</v>
      </c>
      <c r="AY330">
        <v>1223.6300000000001</v>
      </c>
      <c r="AZ330">
        <v>360.22800000000001</v>
      </c>
      <c r="BA330">
        <v>1143</v>
      </c>
      <c r="BB330">
        <v>311</v>
      </c>
      <c r="BC330" t="str">
        <f t="shared" si="10"/>
        <v>u=0%, k=2x10^6</v>
      </c>
      <c r="BD330">
        <f t="shared" si="11"/>
        <v>0</v>
      </c>
    </row>
    <row r="331" spans="1:56">
      <c r="A331" t="s">
        <v>415</v>
      </c>
      <c r="B331" t="s">
        <v>66</v>
      </c>
      <c r="C331">
        <v>208</v>
      </c>
      <c r="D331" t="s">
        <v>65</v>
      </c>
      <c r="E331" t="s">
        <v>60</v>
      </c>
      <c r="F331" t="s">
        <v>61</v>
      </c>
      <c r="G331">
        <v>30000</v>
      </c>
      <c r="H331">
        <v>0</v>
      </c>
      <c r="I331">
        <v>0</v>
      </c>
      <c r="J331">
        <v>0</v>
      </c>
      <c r="K331">
        <v>1</v>
      </c>
      <c r="L331">
        <v>2000000</v>
      </c>
      <c r="M331">
        <v>190</v>
      </c>
      <c r="N331">
        <v>190</v>
      </c>
      <c r="O331">
        <v>190</v>
      </c>
      <c r="P331">
        <v>0</v>
      </c>
      <c r="Q331" t="s">
        <v>62</v>
      </c>
      <c r="R331">
        <v>999870386346</v>
      </c>
      <c r="S331">
        <v>1000000</v>
      </c>
      <c r="T331">
        <v>999870386346</v>
      </c>
      <c r="U331">
        <v>1000000</v>
      </c>
      <c r="V331" t="s">
        <v>75</v>
      </c>
      <c r="W331">
        <v>8</v>
      </c>
      <c r="X331">
        <v>18536</v>
      </c>
      <c r="Y331">
        <v>127598</v>
      </c>
      <c r="Z331">
        <v>146134</v>
      </c>
      <c r="AA331">
        <v>1000000</v>
      </c>
      <c r="AB331">
        <v>7.8837900000000003</v>
      </c>
      <c r="AC331">
        <v>7.83711</v>
      </c>
      <c r="AD331">
        <v>7.8430299999999997</v>
      </c>
      <c r="AE331">
        <v>7</v>
      </c>
      <c r="AM331">
        <v>12421912809</v>
      </c>
      <c r="AN331">
        <v>0</v>
      </c>
      <c r="AO331">
        <v>0</v>
      </c>
      <c r="AP331">
        <v>12421912809</v>
      </c>
      <c r="AQ331">
        <v>12421912809</v>
      </c>
      <c r="AR331">
        <v>414063760</v>
      </c>
      <c r="AS331">
        <v>0</v>
      </c>
      <c r="AT331">
        <v>0</v>
      </c>
      <c r="AU331">
        <v>414063760</v>
      </c>
      <c r="AV331">
        <v>414063760</v>
      </c>
      <c r="AW331">
        <v>8.6493599999999997</v>
      </c>
      <c r="AX331">
        <v>0.37666100000000002</v>
      </c>
      <c r="AY331">
        <v>1226.82</v>
      </c>
      <c r="AZ331">
        <v>360.69</v>
      </c>
      <c r="BA331">
        <v>1156</v>
      </c>
      <c r="BB331">
        <v>321</v>
      </c>
      <c r="BC331" t="str">
        <f t="shared" si="10"/>
        <v>u=0%, k=2x10^6</v>
      </c>
      <c r="BD331">
        <f t="shared" si="11"/>
        <v>0</v>
      </c>
    </row>
    <row r="332" spans="1:56">
      <c r="A332" t="s">
        <v>416</v>
      </c>
      <c r="B332" t="s">
        <v>67</v>
      </c>
      <c r="D332" t="s">
        <v>65</v>
      </c>
      <c r="E332" t="s">
        <v>60</v>
      </c>
      <c r="F332" t="s">
        <v>61</v>
      </c>
      <c r="G332">
        <v>30000</v>
      </c>
      <c r="H332">
        <v>0</v>
      </c>
      <c r="I332">
        <v>0</v>
      </c>
      <c r="J332">
        <v>0</v>
      </c>
      <c r="K332">
        <v>1</v>
      </c>
      <c r="L332">
        <v>2000000</v>
      </c>
      <c r="M332">
        <v>24</v>
      </c>
      <c r="N332">
        <v>24</v>
      </c>
      <c r="O332">
        <v>24</v>
      </c>
      <c r="P332">
        <v>0</v>
      </c>
      <c r="Q332" t="s">
        <v>62</v>
      </c>
      <c r="R332">
        <v>1000218715048</v>
      </c>
      <c r="S332">
        <v>1000000</v>
      </c>
      <c r="T332">
        <v>1000218715048</v>
      </c>
      <c r="U332">
        <v>1000000</v>
      </c>
      <c r="V332" t="s">
        <v>75</v>
      </c>
      <c r="W332">
        <v>25</v>
      </c>
      <c r="X332">
        <v>571715</v>
      </c>
      <c r="Y332">
        <v>428286</v>
      </c>
      <c r="Z332">
        <v>1000001</v>
      </c>
      <c r="AA332">
        <v>1000000</v>
      </c>
      <c r="AB332">
        <v>1.7491300000000001</v>
      </c>
      <c r="AC332">
        <v>2.3348900000000001</v>
      </c>
      <c r="AD332">
        <v>2</v>
      </c>
      <c r="AE332">
        <v>19.283300000000001</v>
      </c>
      <c r="AM332">
        <v>927569232</v>
      </c>
      <c r="AN332">
        <v>0</v>
      </c>
      <c r="AO332">
        <v>0</v>
      </c>
      <c r="AP332">
        <v>927569232</v>
      </c>
      <c r="AQ332">
        <v>927569232</v>
      </c>
      <c r="AR332">
        <v>30918974</v>
      </c>
      <c r="AS332">
        <v>0</v>
      </c>
      <c r="AT332">
        <v>0</v>
      </c>
      <c r="AU332">
        <v>30918974</v>
      </c>
      <c r="AV332">
        <v>30918974</v>
      </c>
      <c r="AW332">
        <v>14.6897</v>
      </c>
      <c r="AX332">
        <v>1.8373900000000001</v>
      </c>
      <c r="AY332">
        <v>2165.2800000000002</v>
      </c>
      <c r="AZ332">
        <v>1104.28</v>
      </c>
      <c r="BA332">
        <v>1132</v>
      </c>
      <c r="BB332">
        <v>194</v>
      </c>
      <c r="BC332" t="str">
        <f t="shared" si="10"/>
        <v>u=0%, k=2x10^6</v>
      </c>
      <c r="BD332">
        <f t="shared" si="11"/>
        <v>0</v>
      </c>
    </row>
    <row r="333" spans="1:56">
      <c r="A333" t="s">
        <v>417</v>
      </c>
      <c r="B333" t="s">
        <v>67</v>
      </c>
      <c r="D333" t="s">
        <v>65</v>
      </c>
      <c r="E333" t="s">
        <v>60</v>
      </c>
      <c r="F333" t="s">
        <v>61</v>
      </c>
      <c r="G333">
        <v>30000</v>
      </c>
      <c r="H333">
        <v>0</v>
      </c>
      <c r="I333">
        <v>0</v>
      </c>
      <c r="J333">
        <v>0</v>
      </c>
      <c r="K333">
        <v>1</v>
      </c>
      <c r="L333">
        <v>2000000</v>
      </c>
      <c r="M333">
        <v>48</v>
      </c>
      <c r="N333">
        <v>48</v>
      </c>
      <c r="O333">
        <v>48</v>
      </c>
      <c r="P333">
        <v>0</v>
      </c>
      <c r="Q333" t="s">
        <v>62</v>
      </c>
      <c r="R333">
        <v>999957381960</v>
      </c>
      <c r="S333">
        <v>1000000</v>
      </c>
      <c r="T333">
        <v>999957381960</v>
      </c>
      <c r="U333">
        <v>1000000</v>
      </c>
      <c r="V333" t="s">
        <v>75</v>
      </c>
      <c r="W333">
        <v>25</v>
      </c>
      <c r="X333">
        <v>571611</v>
      </c>
      <c r="Y333">
        <v>428390</v>
      </c>
      <c r="Z333">
        <v>1000001</v>
      </c>
      <c r="AA333">
        <v>1000000</v>
      </c>
      <c r="AB333">
        <v>1.7494400000000001</v>
      </c>
      <c r="AC333">
        <v>2.33432</v>
      </c>
      <c r="AD333">
        <v>2</v>
      </c>
      <c r="AE333">
        <v>19.317299999999999</v>
      </c>
      <c r="AM333">
        <v>1639180301</v>
      </c>
      <c r="AN333">
        <v>0</v>
      </c>
      <c r="AO333">
        <v>0</v>
      </c>
      <c r="AP333">
        <v>1639180301</v>
      </c>
      <c r="AQ333">
        <v>1639180301</v>
      </c>
      <c r="AR333">
        <v>54639343</v>
      </c>
      <c r="AS333">
        <v>0</v>
      </c>
      <c r="AT333">
        <v>0</v>
      </c>
      <c r="AU333">
        <v>54639343</v>
      </c>
      <c r="AV333">
        <v>54639343</v>
      </c>
      <c r="AW333">
        <v>15.699400000000001</v>
      </c>
      <c r="AX333">
        <v>1.85947</v>
      </c>
      <c r="AY333">
        <v>2444.88</v>
      </c>
      <c r="AZ333">
        <v>1270.47</v>
      </c>
      <c r="BA333">
        <v>1137</v>
      </c>
      <c r="BB333">
        <v>311</v>
      </c>
      <c r="BC333" t="str">
        <f t="shared" si="10"/>
        <v>u=0%, k=2x10^6</v>
      </c>
      <c r="BD333">
        <f t="shared" si="11"/>
        <v>0</v>
      </c>
    </row>
    <row r="334" spans="1:56">
      <c r="A334" t="s">
        <v>418</v>
      </c>
      <c r="B334" t="s">
        <v>67</v>
      </c>
      <c r="D334" t="s">
        <v>65</v>
      </c>
      <c r="E334" t="s">
        <v>60</v>
      </c>
      <c r="F334" t="s">
        <v>61</v>
      </c>
      <c r="G334">
        <v>30000</v>
      </c>
      <c r="H334">
        <v>0</v>
      </c>
      <c r="I334">
        <v>0</v>
      </c>
      <c r="J334">
        <v>0</v>
      </c>
      <c r="K334">
        <v>1</v>
      </c>
      <c r="L334">
        <v>2000000</v>
      </c>
      <c r="M334">
        <v>96</v>
      </c>
      <c r="N334">
        <v>96</v>
      </c>
      <c r="O334">
        <v>96</v>
      </c>
      <c r="P334">
        <v>0</v>
      </c>
      <c r="Q334" t="s">
        <v>62</v>
      </c>
      <c r="R334">
        <v>1000212913951</v>
      </c>
      <c r="S334">
        <v>1000000</v>
      </c>
      <c r="T334">
        <v>1000212913951</v>
      </c>
      <c r="U334">
        <v>1000000</v>
      </c>
      <c r="V334" t="s">
        <v>75</v>
      </c>
      <c r="W334">
        <v>25</v>
      </c>
      <c r="X334">
        <v>571362</v>
      </c>
      <c r="Y334">
        <v>428639</v>
      </c>
      <c r="Z334">
        <v>1000001</v>
      </c>
      <c r="AA334">
        <v>1000000</v>
      </c>
      <c r="AB334">
        <v>1.75021</v>
      </c>
      <c r="AC334">
        <v>2.33297</v>
      </c>
      <c r="AD334">
        <v>2</v>
      </c>
      <c r="AE334">
        <v>19.3385</v>
      </c>
      <c r="AM334">
        <v>3397941388</v>
      </c>
      <c r="AN334">
        <v>0</v>
      </c>
      <c r="AO334">
        <v>0</v>
      </c>
      <c r="AP334">
        <v>3397941388</v>
      </c>
      <c r="AQ334">
        <v>3397941388</v>
      </c>
      <c r="AR334">
        <v>113264712</v>
      </c>
      <c r="AS334">
        <v>0</v>
      </c>
      <c r="AT334">
        <v>0</v>
      </c>
      <c r="AU334">
        <v>113264712</v>
      </c>
      <c r="AV334">
        <v>113264712</v>
      </c>
      <c r="AW334">
        <v>15.794</v>
      </c>
      <c r="AX334">
        <v>2.1085099999999999</v>
      </c>
      <c r="AY334">
        <v>2334.6999999999998</v>
      </c>
      <c r="AZ334">
        <v>1112.6099999999999</v>
      </c>
      <c r="BA334">
        <v>1146</v>
      </c>
      <c r="BB334">
        <v>353</v>
      </c>
      <c r="BC334" t="str">
        <f t="shared" si="10"/>
        <v>u=0%, k=2x10^6</v>
      </c>
      <c r="BD334">
        <f t="shared" si="11"/>
        <v>0</v>
      </c>
    </row>
    <row r="335" spans="1:56">
      <c r="A335" t="s">
        <v>419</v>
      </c>
      <c r="B335" t="s">
        <v>67</v>
      </c>
      <c r="D335" t="s">
        <v>65</v>
      </c>
      <c r="E335" t="s">
        <v>60</v>
      </c>
      <c r="F335" t="s">
        <v>61</v>
      </c>
      <c r="G335">
        <v>30000</v>
      </c>
      <c r="H335">
        <v>0</v>
      </c>
      <c r="I335">
        <v>0</v>
      </c>
      <c r="J335">
        <v>0</v>
      </c>
      <c r="K335">
        <v>1</v>
      </c>
      <c r="L335">
        <v>2000000</v>
      </c>
      <c r="M335">
        <v>144</v>
      </c>
      <c r="N335">
        <v>144</v>
      </c>
      <c r="O335">
        <v>144</v>
      </c>
      <c r="P335">
        <v>0</v>
      </c>
      <c r="Q335" t="s">
        <v>62</v>
      </c>
      <c r="R335">
        <v>1000714232340</v>
      </c>
      <c r="S335">
        <v>1000000</v>
      </c>
      <c r="T335">
        <v>1000714232340</v>
      </c>
      <c r="U335">
        <v>1000000</v>
      </c>
      <c r="V335" t="s">
        <v>75</v>
      </c>
      <c r="W335">
        <v>25</v>
      </c>
      <c r="X335">
        <v>571463</v>
      </c>
      <c r="Y335">
        <v>428538</v>
      </c>
      <c r="Z335">
        <v>1000001</v>
      </c>
      <c r="AA335">
        <v>1000000</v>
      </c>
      <c r="AB335">
        <v>1.7499</v>
      </c>
      <c r="AC335">
        <v>2.33352</v>
      </c>
      <c r="AD335">
        <v>2</v>
      </c>
      <c r="AE335">
        <v>19.311299999999999</v>
      </c>
      <c r="AM335">
        <v>5062800332</v>
      </c>
      <c r="AN335">
        <v>0</v>
      </c>
      <c r="AO335">
        <v>0</v>
      </c>
      <c r="AP335">
        <v>5062800332</v>
      </c>
      <c r="AQ335">
        <v>5062800332</v>
      </c>
      <c r="AR335">
        <v>168760011</v>
      </c>
      <c r="AS335">
        <v>0</v>
      </c>
      <c r="AT335">
        <v>0</v>
      </c>
      <c r="AU335">
        <v>168760011</v>
      </c>
      <c r="AV335">
        <v>168760011</v>
      </c>
      <c r="AW335">
        <v>15.7973</v>
      </c>
      <c r="AX335">
        <v>2.1196799999999998</v>
      </c>
      <c r="AY335">
        <v>2314.9</v>
      </c>
      <c r="AZ335">
        <v>1082.6400000000001</v>
      </c>
      <c r="BA335">
        <v>1156</v>
      </c>
      <c r="BB335">
        <v>378</v>
      </c>
      <c r="BC335" t="str">
        <f t="shared" si="10"/>
        <v>u=0%, k=2x10^6</v>
      </c>
      <c r="BD335">
        <f t="shared" si="11"/>
        <v>0</v>
      </c>
    </row>
    <row r="336" spans="1:56">
      <c r="A336" t="s">
        <v>420</v>
      </c>
      <c r="B336" t="s">
        <v>67</v>
      </c>
      <c r="D336" t="s">
        <v>65</v>
      </c>
      <c r="E336" t="s">
        <v>60</v>
      </c>
      <c r="F336" t="s">
        <v>61</v>
      </c>
      <c r="G336">
        <v>30000</v>
      </c>
      <c r="H336">
        <v>0</v>
      </c>
      <c r="I336">
        <v>0</v>
      </c>
      <c r="J336">
        <v>0</v>
      </c>
      <c r="K336">
        <v>1</v>
      </c>
      <c r="L336">
        <v>2000000</v>
      </c>
      <c r="M336">
        <v>190</v>
      </c>
      <c r="N336">
        <v>190</v>
      </c>
      <c r="O336">
        <v>190</v>
      </c>
      <c r="P336">
        <v>0</v>
      </c>
      <c r="Q336" t="s">
        <v>62</v>
      </c>
      <c r="R336">
        <v>999800765479</v>
      </c>
      <c r="S336">
        <v>1000000</v>
      </c>
      <c r="T336">
        <v>999800765479</v>
      </c>
      <c r="U336">
        <v>1000000</v>
      </c>
      <c r="V336" t="s">
        <v>75</v>
      </c>
      <c r="W336">
        <v>25</v>
      </c>
      <c r="X336">
        <v>571304</v>
      </c>
      <c r="Y336">
        <v>428697</v>
      </c>
      <c r="Z336">
        <v>1000001</v>
      </c>
      <c r="AA336">
        <v>1000000</v>
      </c>
      <c r="AB336">
        <v>1.75038</v>
      </c>
      <c r="AC336">
        <v>2.3326500000000001</v>
      </c>
      <c r="AD336">
        <v>2</v>
      </c>
      <c r="AE336">
        <v>19.3216</v>
      </c>
      <c r="AM336">
        <v>6720665734</v>
      </c>
      <c r="AN336">
        <v>0</v>
      </c>
      <c r="AO336">
        <v>0</v>
      </c>
      <c r="AP336">
        <v>6720665734</v>
      </c>
      <c r="AQ336">
        <v>6720665734</v>
      </c>
      <c r="AR336">
        <v>224022191</v>
      </c>
      <c r="AS336">
        <v>0</v>
      </c>
      <c r="AT336">
        <v>0</v>
      </c>
      <c r="AU336">
        <v>224022191</v>
      </c>
      <c r="AV336">
        <v>224022191</v>
      </c>
      <c r="AW336">
        <v>15.703099999999999</v>
      </c>
      <c r="AX336">
        <v>2.1135199999999998</v>
      </c>
      <c r="AY336">
        <v>2296.5100000000002</v>
      </c>
      <c r="AZ336">
        <v>1049.1199999999999</v>
      </c>
      <c r="BA336">
        <v>1166</v>
      </c>
      <c r="BB336">
        <v>285</v>
      </c>
      <c r="BC336" t="str">
        <f t="shared" si="10"/>
        <v>u=0%, k=2x10^6</v>
      </c>
      <c r="BD336">
        <f t="shared" si="11"/>
        <v>0</v>
      </c>
    </row>
    <row r="337" spans="1:56">
      <c r="A337" t="s">
        <v>421</v>
      </c>
      <c r="B337" t="s">
        <v>68</v>
      </c>
      <c r="D337" t="s">
        <v>65</v>
      </c>
      <c r="E337" t="s">
        <v>60</v>
      </c>
      <c r="F337" t="s">
        <v>61</v>
      </c>
      <c r="G337">
        <v>30000</v>
      </c>
      <c r="H337">
        <v>0</v>
      </c>
      <c r="I337">
        <v>0</v>
      </c>
      <c r="J337">
        <v>0</v>
      </c>
      <c r="K337">
        <v>1</v>
      </c>
      <c r="L337">
        <v>2000000</v>
      </c>
      <c r="M337">
        <v>24</v>
      </c>
      <c r="N337">
        <v>24</v>
      </c>
      <c r="O337">
        <v>24</v>
      </c>
      <c r="P337">
        <v>0</v>
      </c>
      <c r="Q337" t="s">
        <v>62</v>
      </c>
      <c r="R337">
        <v>999853327245</v>
      </c>
      <c r="S337">
        <v>1000000</v>
      </c>
      <c r="T337">
        <v>999853327245</v>
      </c>
      <c r="U337">
        <v>1000000</v>
      </c>
      <c r="V337" t="s">
        <v>75</v>
      </c>
      <c r="W337">
        <v>50</v>
      </c>
      <c r="X337">
        <v>999999</v>
      </c>
      <c r="Y337">
        <v>1000000</v>
      </c>
      <c r="Z337">
        <v>1999999</v>
      </c>
      <c r="AA337">
        <v>1000000</v>
      </c>
      <c r="AB337">
        <v>2</v>
      </c>
      <c r="AC337">
        <v>1</v>
      </c>
      <c r="AD337">
        <v>1.5</v>
      </c>
      <c r="AE337">
        <v>26.383099999999999</v>
      </c>
      <c r="AM337">
        <v>815282709</v>
      </c>
      <c r="AN337">
        <v>0</v>
      </c>
      <c r="AO337">
        <v>0</v>
      </c>
      <c r="AP337">
        <v>815282709</v>
      </c>
      <c r="AQ337">
        <v>815282709</v>
      </c>
      <c r="AR337">
        <v>27176090</v>
      </c>
      <c r="AS337">
        <v>0</v>
      </c>
      <c r="AT337">
        <v>0</v>
      </c>
      <c r="AU337">
        <v>27176090</v>
      </c>
      <c r="AV337">
        <v>27176090</v>
      </c>
      <c r="AW337">
        <v>11.7843</v>
      </c>
      <c r="AX337">
        <v>1.56457</v>
      </c>
      <c r="AY337">
        <v>2463.79</v>
      </c>
      <c r="AZ337">
        <v>1476</v>
      </c>
      <c r="BA337">
        <v>1133</v>
      </c>
      <c r="BB337">
        <v>173</v>
      </c>
      <c r="BC337" t="str">
        <f t="shared" si="10"/>
        <v>u=0%, k=2x10^6</v>
      </c>
      <c r="BD337">
        <f t="shared" si="11"/>
        <v>0</v>
      </c>
    </row>
    <row r="338" spans="1:56">
      <c r="A338" t="s">
        <v>422</v>
      </c>
      <c r="B338" t="s">
        <v>68</v>
      </c>
      <c r="D338" t="s">
        <v>65</v>
      </c>
      <c r="E338" t="s">
        <v>60</v>
      </c>
      <c r="F338" t="s">
        <v>61</v>
      </c>
      <c r="G338">
        <v>30000</v>
      </c>
      <c r="H338">
        <v>0</v>
      </c>
      <c r="I338">
        <v>0</v>
      </c>
      <c r="J338">
        <v>0</v>
      </c>
      <c r="K338">
        <v>1</v>
      </c>
      <c r="L338">
        <v>2000000</v>
      </c>
      <c r="M338">
        <v>48</v>
      </c>
      <c r="N338">
        <v>48</v>
      </c>
      <c r="O338">
        <v>48</v>
      </c>
      <c r="P338">
        <v>0</v>
      </c>
      <c r="Q338" t="s">
        <v>62</v>
      </c>
      <c r="R338">
        <v>999676844134</v>
      </c>
      <c r="S338">
        <v>1000000</v>
      </c>
      <c r="T338">
        <v>999676844134</v>
      </c>
      <c r="U338">
        <v>1000000</v>
      </c>
      <c r="V338" t="s">
        <v>75</v>
      </c>
      <c r="W338">
        <v>50</v>
      </c>
      <c r="X338">
        <v>999999</v>
      </c>
      <c r="Y338">
        <v>1000000</v>
      </c>
      <c r="Z338">
        <v>1999999</v>
      </c>
      <c r="AA338">
        <v>1000000</v>
      </c>
      <c r="AB338">
        <v>2</v>
      </c>
      <c r="AC338">
        <v>1</v>
      </c>
      <c r="AD338">
        <v>1.5</v>
      </c>
      <c r="AE338">
        <v>26.702500000000001</v>
      </c>
      <c r="AM338">
        <v>1479304242</v>
      </c>
      <c r="AN338">
        <v>0</v>
      </c>
      <c r="AO338">
        <v>0</v>
      </c>
      <c r="AP338">
        <v>1479304242</v>
      </c>
      <c r="AQ338">
        <v>1479304242</v>
      </c>
      <c r="AR338">
        <v>49310141</v>
      </c>
      <c r="AS338">
        <v>0</v>
      </c>
      <c r="AT338">
        <v>0</v>
      </c>
      <c r="AU338">
        <v>49310141</v>
      </c>
      <c r="AV338">
        <v>49310141</v>
      </c>
      <c r="AW338">
        <v>11.7273</v>
      </c>
      <c r="AX338">
        <v>1.5562199999999999</v>
      </c>
      <c r="AY338">
        <v>2714.7</v>
      </c>
      <c r="AZ338">
        <v>1798.75</v>
      </c>
      <c r="BA338">
        <v>1137</v>
      </c>
      <c r="BB338">
        <v>192</v>
      </c>
      <c r="BC338" t="str">
        <f t="shared" si="10"/>
        <v>u=0%, k=2x10^6</v>
      </c>
      <c r="BD338">
        <f t="shared" si="11"/>
        <v>0</v>
      </c>
    </row>
    <row r="339" spans="1:56">
      <c r="A339" t="s">
        <v>423</v>
      </c>
      <c r="B339" t="s">
        <v>68</v>
      </c>
      <c r="D339" t="s">
        <v>65</v>
      </c>
      <c r="E339" t="s">
        <v>60</v>
      </c>
      <c r="F339" t="s">
        <v>61</v>
      </c>
      <c r="G339">
        <v>30000</v>
      </c>
      <c r="H339">
        <v>0</v>
      </c>
      <c r="I339">
        <v>0</v>
      </c>
      <c r="J339">
        <v>0</v>
      </c>
      <c r="K339">
        <v>1</v>
      </c>
      <c r="L339">
        <v>2000000</v>
      </c>
      <c r="M339">
        <v>96</v>
      </c>
      <c r="N339">
        <v>96</v>
      </c>
      <c r="O339">
        <v>96</v>
      </c>
      <c r="P339">
        <v>0</v>
      </c>
      <c r="Q339" t="s">
        <v>62</v>
      </c>
      <c r="R339">
        <v>999722480228</v>
      </c>
      <c r="S339">
        <v>1000000</v>
      </c>
      <c r="T339">
        <v>999722480228</v>
      </c>
      <c r="U339">
        <v>1000000</v>
      </c>
      <c r="V339" t="s">
        <v>75</v>
      </c>
      <c r="W339">
        <v>48</v>
      </c>
      <c r="X339">
        <v>999999</v>
      </c>
      <c r="Y339">
        <v>1000000</v>
      </c>
      <c r="Z339">
        <v>1999999</v>
      </c>
      <c r="AA339">
        <v>1000000</v>
      </c>
      <c r="AB339">
        <v>2</v>
      </c>
      <c r="AC339">
        <v>1</v>
      </c>
      <c r="AD339">
        <v>1.5</v>
      </c>
      <c r="AE339">
        <v>26.4498</v>
      </c>
      <c r="AM339">
        <v>3203847219</v>
      </c>
      <c r="AN339">
        <v>0</v>
      </c>
      <c r="AO339">
        <v>0</v>
      </c>
      <c r="AP339">
        <v>3203847219</v>
      </c>
      <c r="AQ339">
        <v>3203847219</v>
      </c>
      <c r="AR339">
        <v>106794907</v>
      </c>
      <c r="AS339">
        <v>0</v>
      </c>
      <c r="AT339">
        <v>0</v>
      </c>
      <c r="AU339">
        <v>106794907</v>
      </c>
      <c r="AV339">
        <v>106794907</v>
      </c>
      <c r="AW339">
        <v>11.978400000000001</v>
      </c>
      <c r="AX339">
        <v>1.7647699999999999</v>
      </c>
      <c r="AY339">
        <v>2502.9899999999998</v>
      </c>
      <c r="AZ339">
        <v>1568.13</v>
      </c>
      <c r="BA339">
        <v>1146</v>
      </c>
      <c r="BB339">
        <v>276</v>
      </c>
      <c r="BC339" t="str">
        <f t="shared" si="10"/>
        <v>u=0%, k=2x10^6</v>
      </c>
      <c r="BD339">
        <f t="shared" si="11"/>
        <v>0</v>
      </c>
    </row>
    <row r="340" spans="1:56">
      <c r="A340" t="s">
        <v>424</v>
      </c>
      <c r="B340" t="s">
        <v>68</v>
      </c>
      <c r="D340" t="s">
        <v>65</v>
      </c>
      <c r="E340" t="s">
        <v>60</v>
      </c>
      <c r="F340" t="s">
        <v>61</v>
      </c>
      <c r="G340">
        <v>30000</v>
      </c>
      <c r="H340">
        <v>0</v>
      </c>
      <c r="I340">
        <v>0</v>
      </c>
      <c r="J340">
        <v>0</v>
      </c>
      <c r="K340">
        <v>1</v>
      </c>
      <c r="L340">
        <v>2000000</v>
      </c>
      <c r="M340">
        <v>144</v>
      </c>
      <c r="N340">
        <v>144</v>
      </c>
      <c r="O340">
        <v>144</v>
      </c>
      <c r="P340">
        <v>0</v>
      </c>
      <c r="Q340" t="s">
        <v>62</v>
      </c>
      <c r="R340">
        <v>999748275627</v>
      </c>
      <c r="S340">
        <v>1000000</v>
      </c>
      <c r="T340">
        <v>999748275627</v>
      </c>
      <c r="U340">
        <v>1000000</v>
      </c>
      <c r="V340" t="s">
        <v>75</v>
      </c>
      <c r="W340">
        <v>51</v>
      </c>
      <c r="X340">
        <v>999999</v>
      </c>
      <c r="Y340">
        <v>1000000</v>
      </c>
      <c r="Z340">
        <v>1999999</v>
      </c>
      <c r="AA340">
        <v>1000000</v>
      </c>
      <c r="AB340">
        <v>2</v>
      </c>
      <c r="AC340">
        <v>1</v>
      </c>
      <c r="AD340">
        <v>1.5</v>
      </c>
      <c r="AE340">
        <v>26.881799999999998</v>
      </c>
      <c r="AM340">
        <v>4880956003</v>
      </c>
      <c r="AN340">
        <v>0</v>
      </c>
      <c r="AO340">
        <v>0</v>
      </c>
      <c r="AP340">
        <v>4880956003</v>
      </c>
      <c r="AQ340">
        <v>4880956003</v>
      </c>
      <c r="AR340">
        <v>162698533</v>
      </c>
      <c r="AS340">
        <v>0</v>
      </c>
      <c r="AT340">
        <v>0</v>
      </c>
      <c r="AU340">
        <v>162698533</v>
      </c>
      <c r="AV340">
        <v>162698533</v>
      </c>
      <c r="AW340">
        <v>11.8226</v>
      </c>
      <c r="AX340">
        <v>1.7851600000000001</v>
      </c>
      <c r="AY340">
        <v>2464.25</v>
      </c>
      <c r="AZ340">
        <v>1522.56</v>
      </c>
      <c r="BA340">
        <v>1157</v>
      </c>
      <c r="BB340">
        <v>330</v>
      </c>
      <c r="BC340" t="str">
        <f t="shared" si="10"/>
        <v>u=0%, k=2x10^6</v>
      </c>
      <c r="BD340">
        <f t="shared" si="11"/>
        <v>0</v>
      </c>
    </row>
    <row r="341" spans="1:56">
      <c r="A341" t="s">
        <v>425</v>
      </c>
      <c r="B341" t="s">
        <v>68</v>
      </c>
      <c r="D341" t="s">
        <v>65</v>
      </c>
      <c r="E341" t="s">
        <v>60</v>
      </c>
      <c r="F341" t="s">
        <v>61</v>
      </c>
      <c r="G341">
        <v>30000</v>
      </c>
      <c r="H341">
        <v>0</v>
      </c>
      <c r="I341">
        <v>0</v>
      </c>
      <c r="J341">
        <v>0</v>
      </c>
      <c r="K341">
        <v>1</v>
      </c>
      <c r="L341">
        <v>2000000</v>
      </c>
      <c r="M341">
        <v>190</v>
      </c>
      <c r="N341">
        <v>190</v>
      </c>
      <c r="O341">
        <v>190</v>
      </c>
      <c r="P341">
        <v>0</v>
      </c>
      <c r="Q341" t="s">
        <v>62</v>
      </c>
      <c r="R341">
        <v>1000774418406</v>
      </c>
      <c r="S341">
        <v>1000000</v>
      </c>
      <c r="T341">
        <v>1000774418406</v>
      </c>
      <c r="U341">
        <v>1000000</v>
      </c>
      <c r="V341" t="s">
        <v>75</v>
      </c>
      <c r="W341">
        <v>52</v>
      </c>
      <c r="X341">
        <v>999999</v>
      </c>
      <c r="Y341">
        <v>1000000</v>
      </c>
      <c r="Z341">
        <v>1999999</v>
      </c>
      <c r="AA341">
        <v>1000000</v>
      </c>
      <c r="AB341">
        <v>2</v>
      </c>
      <c r="AC341">
        <v>1</v>
      </c>
      <c r="AD341">
        <v>1.5</v>
      </c>
      <c r="AE341">
        <v>26.561499999999999</v>
      </c>
      <c r="AM341">
        <v>6513627536</v>
      </c>
      <c r="AN341">
        <v>0</v>
      </c>
      <c r="AO341">
        <v>0</v>
      </c>
      <c r="AP341">
        <v>6513627536</v>
      </c>
      <c r="AQ341">
        <v>6513627536</v>
      </c>
      <c r="AR341">
        <v>217120917</v>
      </c>
      <c r="AS341">
        <v>0</v>
      </c>
      <c r="AT341">
        <v>0</v>
      </c>
      <c r="AU341">
        <v>217120917</v>
      </c>
      <c r="AV341">
        <v>217120917</v>
      </c>
      <c r="AW341">
        <v>11.8438</v>
      </c>
      <c r="AX341">
        <v>1.80141</v>
      </c>
      <c r="AY341">
        <v>2436.65</v>
      </c>
      <c r="AZ341">
        <v>1485.11</v>
      </c>
      <c r="BA341">
        <v>1167</v>
      </c>
      <c r="BB341">
        <v>305</v>
      </c>
      <c r="BC341" t="str">
        <f t="shared" si="10"/>
        <v>u=0%, k=2x10^6</v>
      </c>
      <c r="BD341">
        <f t="shared" si="11"/>
        <v>0</v>
      </c>
    </row>
    <row r="342" spans="1:56">
      <c r="A342" t="s">
        <v>426</v>
      </c>
      <c r="B342" t="s">
        <v>64</v>
      </c>
      <c r="C342">
        <v>72</v>
      </c>
      <c r="D342" t="s">
        <v>65</v>
      </c>
      <c r="E342" t="s">
        <v>60</v>
      </c>
      <c r="F342" t="s">
        <v>61</v>
      </c>
      <c r="G342">
        <v>30000</v>
      </c>
      <c r="H342">
        <v>0</v>
      </c>
      <c r="I342">
        <v>0</v>
      </c>
      <c r="J342">
        <v>0</v>
      </c>
      <c r="K342">
        <v>1</v>
      </c>
      <c r="L342">
        <v>20000000</v>
      </c>
      <c r="M342">
        <v>24</v>
      </c>
      <c r="N342">
        <v>24</v>
      </c>
      <c r="O342">
        <v>24</v>
      </c>
      <c r="P342">
        <v>0</v>
      </c>
      <c r="Q342" t="s">
        <v>62</v>
      </c>
      <c r="R342">
        <v>100009026200370</v>
      </c>
      <c r="S342">
        <v>10000001</v>
      </c>
      <c r="T342">
        <v>100009026200370</v>
      </c>
      <c r="U342">
        <v>10000001</v>
      </c>
      <c r="V342" t="s">
        <v>75</v>
      </c>
      <c r="W342">
        <v>6</v>
      </c>
      <c r="X342">
        <v>1625784</v>
      </c>
      <c r="Y342">
        <v>11442329</v>
      </c>
      <c r="Z342">
        <v>13068113</v>
      </c>
      <c r="AA342">
        <v>10000001</v>
      </c>
      <c r="AB342">
        <v>8.0380400000000005</v>
      </c>
      <c r="AC342">
        <v>0.87394799999999995</v>
      </c>
      <c r="AD342">
        <v>1.76522</v>
      </c>
      <c r="AE342">
        <v>4</v>
      </c>
      <c r="AM342">
        <v>1122844559</v>
      </c>
      <c r="AN342">
        <v>0</v>
      </c>
      <c r="AO342">
        <v>0</v>
      </c>
      <c r="AP342">
        <v>1122844559</v>
      </c>
      <c r="AQ342">
        <v>1122844559</v>
      </c>
      <c r="AR342">
        <v>37428151</v>
      </c>
      <c r="AS342">
        <v>0</v>
      </c>
      <c r="AT342">
        <v>0</v>
      </c>
      <c r="AU342">
        <v>37428151</v>
      </c>
      <c r="AV342">
        <v>37428151</v>
      </c>
      <c r="AW342">
        <v>15.488</v>
      </c>
      <c r="AX342">
        <v>5.5758099999999997</v>
      </c>
      <c r="AY342">
        <v>1788.64</v>
      </c>
      <c r="AZ342">
        <v>1134.1400000000001</v>
      </c>
      <c r="BA342">
        <v>1704</v>
      </c>
      <c r="BB342">
        <v>153</v>
      </c>
      <c r="BC342" t="str">
        <f t="shared" si="10"/>
        <v>u=0%, k=2x10^7</v>
      </c>
      <c r="BD342">
        <f t="shared" si="11"/>
        <v>0</v>
      </c>
    </row>
    <row r="343" spans="1:56">
      <c r="A343" t="s">
        <v>427</v>
      </c>
      <c r="B343" t="s">
        <v>64</v>
      </c>
      <c r="C343">
        <v>72</v>
      </c>
      <c r="D343" t="s">
        <v>65</v>
      </c>
      <c r="E343" t="s">
        <v>60</v>
      </c>
      <c r="F343" t="s">
        <v>61</v>
      </c>
      <c r="G343">
        <v>30000</v>
      </c>
      <c r="H343">
        <v>0</v>
      </c>
      <c r="I343">
        <v>0</v>
      </c>
      <c r="J343">
        <v>0</v>
      </c>
      <c r="K343">
        <v>1</v>
      </c>
      <c r="L343">
        <v>20000000</v>
      </c>
      <c r="M343">
        <v>48</v>
      </c>
      <c r="N343">
        <v>48</v>
      </c>
      <c r="O343">
        <v>48</v>
      </c>
      <c r="P343">
        <v>0</v>
      </c>
      <c r="Q343" t="s">
        <v>62</v>
      </c>
      <c r="R343">
        <v>100017783569718</v>
      </c>
      <c r="S343">
        <v>10000001</v>
      </c>
      <c r="T343">
        <v>100017783569718</v>
      </c>
      <c r="U343">
        <v>10000001</v>
      </c>
      <c r="V343" t="s">
        <v>75</v>
      </c>
      <c r="W343">
        <v>6</v>
      </c>
      <c r="X343">
        <v>1625784</v>
      </c>
      <c r="Y343">
        <v>11442329</v>
      </c>
      <c r="Z343">
        <v>13068113</v>
      </c>
      <c r="AA343">
        <v>10000001</v>
      </c>
      <c r="AB343">
        <v>8.0380400000000005</v>
      </c>
      <c r="AC343">
        <v>0.87394799999999995</v>
      </c>
      <c r="AD343">
        <v>1.76522</v>
      </c>
      <c r="AE343">
        <v>4</v>
      </c>
      <c r="AM343">
        <v>1964990667</v>
      </c>
      <c r="AN343">
        <v>0</v>
      </c>
      <c r="AO343">
        <v>0</v>
      </c>
      <c r="AP343">
        <v>1964990667</v>
      </c>
      <c r="AQ343">
        <v>1964990667</v>
      </c>
      <c r="AR343">
        <v>65499688</v>
      </c>
      <c r="AS343">
        <v>0</v>
      </c>
      <c r="AT343">
        <v>0</v>
      </c>
      <c r="AU343">
        <v>65499688</v>
      </c>
      <c r="AV343">
        <v>65499688</v>
      </c>
      <c r="AW343">
        <v>15.2529</v>
      </c>
      <c r="AX343">
        <v>5.6771599999999998</v>
      </c>
      <c r="AY343">
        <v>2042.77</v>
      </c>
      <c r="AZ343">
        <v>1377.1</v>
      </c>
      <c r="BA343">
        <v>1724</v>
      </c>
      <c r="BB343">
        <v>170</v>
      </c>
      <c r="BC343" t="str">
        <f t="shared" si="10"/>
        <v>u=0%, k=2x10^7</v>
      </c>
      <c r="BD343">
        <f t="shared" si="11"/>
        <v>0</v>
      </c>
    </row>
    <row r="344" spans="1:56">
      <c r="A344" t="s">
        <v>428</v>
      </c>
      <c r="B344" t="s">
        <v>64</v>
      </c>
      <c r="C344">
        <v>72</v>
      </c>
      <c r="D344" t="s">
        <v>65</v>
      </c>
      <c r="E344" t="s">
        <v>60</v>
      </c>
      <c r="F344" t="s">
        <v>61</v>
      </c>
      <c r="G344">
        <v>30000</v>
      </c>
      <c r="H344">
        <v>0</v>
      </c>
      <c r="I344">
        <v>0</v>
      </c>
      <c r="J344">
        <v>0</v>
      </c>
      <c r="K344">
        <v>1</v>
      </c>
      <c r="L344">
        <v>20000000</v>
      </c>
      <c r="M344">
        <v>96</v>
      </c>
      <c r="N344">
        <v>96</v>
      </c>
      <c r="O344">
        <v>96</v>
      </c>
      <c r="P344">
        <v>0</v>
      </c>
      <c r="Q344" t="s">
        <v>62</v>
      </c>
      <c r="R344">
        <v>99980558163854</v>
      </c>
      <c r="S344">
        <v>10000001</v>
      </c>
      <c r="T344">
        <v>99980558163854</v>
      </c>
      <c r="U344">
        <v>10000001</v>
      </c>
      <c r="V344" t="s">
        <v>75</v>
      </c>
      <c r="W344">
        <v>6</v>
      </c>
      <c r="X344">
        <v>1625784</v>
      </c>
      <c r="Y344">
        <v>11442329</v>
      </c>
      <c r="Z344">
        <v>13068113</v>
      </c>
      <c r="AA344">
        <v>10000001</v>
      </c>
      <c r="AB344">
        <v>8.0380400000000005</v>
      </c>
      <c r="AC344">
        <v>0.87394799999999995</v>
      </c>
      <c r="AD344">
        <v>1.76522</v>
      </c>
      <c r="AE344">
        <v>4</v>
      </c>
      <c r="AM344">
        <v>4350678299</v>
      </c>
      <c r="AN344">
        <v>0</v>
      </c>
      <c r="AO344">
        <v>0</v>
      </c>
      <c r="AP344">
        <v>4350678299</v>
      </c>
      <c r="AQ344">
        <v>4350678299</v>
      </c>
      <c r="AR344">
        <v>145022609</v>
      </c>
      <c r="AS344">
        <v>0</v>
      </c>
      <c r="AT344">
        <v>0</v>
      </c>
      <c r="AU344">
        <v>145022609</v>
      </c>
      <c r="AV344">
        <v>145022609</v>
      </c>
      <c r="AW344">
        <v>15.3215</v>
      </c>
      <c r="AX344">
        <v>6.14696</v>
      </c>
      <c r="AY344">
        <v>1835.43</v>
      </c>
      <c r="AZ344">
        <v>1087.81</v>
      </c>
      <c r="BA344">
        <v>1763</v>
      </c>
      <c r="BB344">
        <v>248</v>
      </c>
      <c r="BC344" t="str">
        <f t="shared" si="10"/>
        <v>u=0%, k=2x10^7</v>
      </c>
      <c r="BD344">
        <f t="shared" si="11"/>
        <v>0</v>
      </c>
    </row>
    <row r="345" spans="1:56">
      <c r="A345" t="s">
        <v>429</v>
      </c>
      <c r="B345" t="s">
        <v>64</v>
      </c>
      <c r="C345">
        <v>72</v>
      </c>
      <c r="D345" t="s">
        <v>65</v>
      </c>
      <c r="E345" t="s">
        <v>60</v>
      </c>
      <c r="F345" t="s">
        <v>61</v>
      </c>
      <c r="G345">
        <v>30000</v>
      </c>
      <c r="H345">
        <v>0</v>
      </c>
      <c r="I345">
        <v>0</v>
      </c>
      <c r="J345">
        <v>0</v>
      </c>
      <c r="K345">
        <v>1</v>
      </c>
      <c r="L345">
        <v>20000000</v>
      </c>
      <c r="M345">
        <v>144</v>
      </c>
      <c r="N345">
        <v>144</v>
      </c>
      <c r="O345">
        <v>144</v>
      </c>
      <c r="P345">
        <v>0</v>
      </c>
      <c r="Q345" t="s">
        <v>62</v>
      </c>
      <c r="R345">
        <v>100009010822965</v>
      </c>
      <c r="S345">
        <v>10000001</v>
      </c>
      <c r="T345">
        <v>100009010822965</v>
      </c>
      <c r="U345">
        <v>10000001</v>
      </c>
      <c r="V345" t="s">
        <v>75</v>
      </c>
      <c r="W345">
        <v>6</v>
      </c>
      <c r="X345">
        <v>1625784</v>
      </c>
      <c r="Y345">
        <v>11442329</v>
      </c>
      <c r="Z345">
        <v>13068113</v>
      </c>
      <c r="AA345">
        <v>10000001</v>
      </c>
      <c r="AB345">
        <v>8.0380400000000005</v>
      </c>
      <c r="AC345">
        <v>0.87394799999999995</v>
      </c>
      <c r="AD345">
        <v>1.76522</v>
      </c>
      <c r="AE345">
        <v>4</v>
      </c>
      <c r="AM345">
        <v>6357387118</v>
      </c>
      <c r="AN345">
        <v>0</v>
      </c>
      <c r="AO345">
        <v>0</v>
      </c>
      <c r="AP345">
        <v>6357387118</v>
      </c>
      <c r="AQ345">
        <v>6357387118</v>
      </c>
      <c r="AR345">
        <v>211912903</v>
      </c>
      <c r="AS345">
        <v>0</v>
      </c>
      <c r="AT345">
        <v>0</v>
      </c>
      <c r="AU345">
        <v>211912903</v>
      </c>
      <c r="AV345">
        <v>211912903</v>
      </c>
      <c r="AW345">
        <v>15.3629</v>
      </c>
      <c r="AX345">
        <v>6.2107400000000004</v>
      </c>
      <c r="AY345">
        <v>1882.98</v>
      </c>
      <c r="AZ345">
        <v>1124.26</v>
      </c>
      <c r="BA345">
        <v>1814</v>
      </c>
      <c r="BB345">
        <v>369</v>
      </c>
      <c r="BC345" t="str">
        <f t="shared" si="10"/>
        <v>u=0%, k=2x10^7</v>
      </c>
      <c r="BD345">
        <f t="shared" si="11"/>
        <v>0</v>
      </c>
    </row>
    <row r="346" spans="1:56">
      <c r="A346" t="s">
        <v>430</v>
      </c>
      <c r="B346" t="s">
        <v>64</v>
      </c>
      <c r="C346">
        <v>72</v>
      </c>
      <c r="D346" t="s">
        <v>65</v>
      </c>
      <c r="E346" t="s">
        <v>60</v>
      </c>
      <c r="F346" t="s">
        <v>61</v>
      </c>
      <c r="G346">
        <v>30000</v>
      </c>
      <c r="H346">
        <v>0</v>
      </c>
      <c r="I346">
        <v>0</v>
      </c>
      <c r="J346">
        <v>0</v>
      </c>
      <c r="K346">
        <v>1</v>
      </c>
      <c r="L346">
        <v>20000000</v>
      </c>
      <c r="M346">
        <v>190</v>
      </c>
      <c r="N346">
        <v>190</v>
      </c>
      <c r="O346">
        <v>190</v>
      </c>
      <c r="P346">
        <v>0</v>
      </c>
      <c r="Q346" t="s">
        <v>62</v>
      </c>
      <c r="R346">
        <v>100001398822781</v>
      </c>
      <c r="S346">
        <v>10000001</v>
      </c>
      <c r="T346">
        <v>100001398822781</v>
      </c>
      <c r="U346">
        <v>10000001</v>
      </c>
      <c r="V346" t="s">
        <v>75</v>
      </c>
      <c r="W346">
        <v>6</v>
      </c>
      <c r="X346">
        <v>1625784</v>
      </c>
      <c r="Y346">
        <v>11442329</v>
      </c>
      <c r="Z346">
        <v>13068113</v>
      </c>
      <c r="AA346">
        <v>10000001</v>
      </c>
      <c r="AB346">
        <v>8.0380400000000005</v>
      </c>
      <c r="AC346">
        <v>0.87394799999999995</v>
      </c>
      <c r="AD346">
        <v>1.76522</v>
      </c>
      <c r="AE346">
        <v>4</v>
      </c>
      <c r="AM346">
        <v>8378525575</v>
      </c>
      <c r="AN346">
        <v>0</v>
      </c>
      <c r="AO346">
        <v>0</v>
      </c>
      <c r="AP346">
        <v>8378525575</v>
      </c>
      <c r="AQ346">
        <v>8378525575</v>
      </c>
      <c r="AR346">
        <v>279284185</v>
      </c>
      <c r="AS346">
        <v>0</v>
      </c>
      <c r="AT346">
        <v>0</v>
      </c>
      <c r="AU346">
        <v>279284185</v>
      </c>
      <c r="AV346">
        <v>279284185</v>
      </c>
      <c r="AW346">
        <v>15.4015</v>
      </c>
      <c r="AX346">
        <v>6.2445000000000004</v>
      </c>
      <c r="AY346">
        <v>1882.83</v>
      </c>
      <c r="AZ346">
        <v>1115.3800000000001</v>
      </c>
      <c r="BA346">
        <v>1847</v>
      </c>
      <c r="BB346">
        <v>379</v>
      </c>
      <c r="BC346" t="str">
        <f t="shared" si="10"/>
        <v>u=0%, k=2x10^7</v>
      </c>
      <c r="BD346">
        <f t="shared" si="11"/>
        <v>0</v>
      </c>
    </row>
    <row r="347" spans="1:56">
      <c r="A347" t="s">
        <v>431</v>
      </c>
      <c r="B347" t="s">
        <v>66</v>
      </c>
      <c r="C347">
        <v>208</v>
      </c>
      <c r="D347" t="s">
        <v>65</v>
      </c>
      <c r="E347" t="s">
        <v>60</v>
      </c>
      <c r="F347" t="s">
        <v>61</v>
      </c>
      <c r="G347">
        <v>30000</v>
      </c>
      <c r="H347">
        <v>0</v>
      </c>
      <c r="I347">
        <v>0</v>
      </c>
      <c r="J347">
        <v>0</v>
      </c>
      <c r="K347">
        <v>1</v>
      </c>
      <c r="L347">
        <v>20000000</v>
      </c>
      <c r="M347">
        <v>24</v>
      </c>
      <c r="N347">
        <v>24</v>
      </c>
      <c r="O347">
        <v>24</v>
      </c>
      <c r="P347">
        <v>0</v>
      </c>
      <c r="Q347" t="s">
        <v>62</v>
      </c>
      <c r="R347">
        <v>100005305548679</v>
      </c>
      <c r="S347">
        <v>10000000</v>
      </c>
      <c r="T347">
        <v>100005305548679</v>
      </c>
      <c r="U347">
        <v>10000000</v>
      </c>
      <c r="V347" t="s">
        <v>75</v>
      </c>
      <c r="W347">
        <v>9</v>
      </c>
      <c r="X347">
        <v>185575</v>
      </c>
      <c r="Y347">
        <v>1275832</v>
      </c>
      <c r="Z347">
        <v>1461407</v>
      </c>
      <c r="AA347">
        <v>10000000</v>
      </c>
      <c r="AB347">
        <v>7.8750200000000001</v>
      </c>
      <c r="AC347">
        <v>7.8380200000000002</v>
      </c>
      <c r="AD347">
        <v>7.8427199999999999</v>
      </c>
      <c r="AE347">
        <v>8</v>
      </c>
      <c r="AM347">
        <v>940124738</v>
      </c>
      <c r="AN347">
        <v>0</v>
      </c>
      <c r="AO347">
        <v>0</v>
      </c>
      <c r="AP347">
        <v>940124738</v>
      </c>
      <c r="AQ347">
        <v>940124738</v>
      </c>
      <c r="AR347">
        <v>31337491</v>
      </c>
      <c r="AS347">
        <v>0</v>
      </c>
      <c r="AT347">
        <v>0</v>
      </c>
      <c r="AU347">
        <v>31337491</v>
      </c>
      <c r="AV347">
        <v>31337491</v>
      </c>
      <c r="AW347">
        <v>16.382400000000001</v>
      </c>
      <c r="AX347">
        <v>4.7545400000000004</v>
      </c>
      <c r="AY347">
        <v>2136.38</v>
      </c>
      <c r="AZ347">
        <v>1121.92</v>
      </c>
      <c r="BA347">
        <v>1401</v>
      </c>
      <c r="BB347">
        <v>832</v>
      </c>
      <c r="BC347" t="str">
        <f t="shared" si="10"/>
        <v>u=0%, k=2x10^7</v>
      </c>
      <c r="BD347">
        <f t="shared" si="11"/>
        <v>0</v>
      </c>
    </row>
    <row r="348" spans="1:56">
      <c r="A348" t="s">
        <v>432</v>
      </c>
      <c r="B348" t="s">
        <v>66</v>
      </c>
      <c r="C348">
        <v>208</v>
      </c>
      <c r="D348" t="s">
        <v>65</v>
      </c>
      <c r="E348" t="s">
        <v>60</v>
      </c>
      <c r="F348" t="s">
        <v>61</v>
      </c>
      <c r="G348">
        <v>30000</v>
      </c>
      <c r="H348">
        <v>0</v>
      </c>
      <c r="I348">
        <v>0</v>
      </c>
      <c r="J348">
        <v>0</v>
      </c>
      <c r="K348">
        <v>1</v>
      </c>
      <c r="L348">
        <v>20000000</v>
      </c>
      <c r="M348">
        <v>48</v>
      </c>
      <c r="N348">
        <v>48</v>
      </c>
      <c r="O348">
        <v>48</v>
      </c>
      <c r="P348">
        <v>0</v>
      </c>
      <c r="Q348" t="s">
        <v>62</v>
      </c>
      <c r="R348">
        <v>100010784151281</v>
      </c>
      <c r="S348">
        <v>10000000</v>
      </c>
      <c r="T348">
        <v>100010784151281</v>
      </c>
      <c r="U348">
        <v>10000000</v>
      </c>
      <c r="V348" t="s">
        <v>75</v>
      </c>
      <c r="W348">
        <v>9</v>
      </c>
      <c r="X348">
        <v>185396</v>
      </c>
      <c r="Y348">
        <v>1276136</v>
      </c>
      <c r="Z348">
        <v>1461532</v>
      </c>
      <c r="AA348">
        <v>10000000</v>
      </c>
      <c r="AB348">
        <v>7.8833000000000002</v>
      </c>
      <c r="AC348">
        <v>7.8361599999999996</v>
      </c>
      <c r="AD348">
        <v>7.8421399999999997</v>
      </c>
      <c r="AE348">
        <v>8</v>
      </c>
      <c r="AM348">
        <v>1721166582</v>
      </c>
      <c r="AN348">
        <v>0</v>
      </c>
      <c r="AO348">
        <v>0</v>
      </c>
      <c r="AP348">
        <v>1721166582</v>
      </c>
      <c r="AQ348">
        <v>1721166582</v>
      </c>
      <c r="AR348">
        <v>57372219</v>
      </c>
      <c r="AS348">
        <v>0</v>
      </c>
      <c r="AT348">
        <v>0</v>
      </c>
      <c r="AU348">
        <v>57372219</v>
      </c>
      <c r="AV348">
        <v>57372219</v>
      </c>
      <c r="AW348">
        <v>16.461099999999998</v>
      </c>
      <c r="AX348">
        <v>4.8147000000000002</v>
      </c>
      <c r="AY348">
        <v>2332.75</v>
      </c>
      <c r="AZ348">
        <v>1474.83</v>
      </c>
      <c r="BA348">
        <v>1451</v>
      </c>
      <c r="BB348">
        <v>769</v>
      </c>
      <c r="BC348" t="str">
        <f t="shared" si="10"/>
        <v>u=0%, k=2x10^7</v>
      </c>
      <c r="BD348">
        <f t="shared" si="11"/>
        <v>0</v>
      </c>
    </row>
    <row r="349" spans="1:56">
      <c r="A349" t="s">
        <v>433</v>
      </c>
      <c r="B349" t="s">
        <v>66</v>
      </c>
      <c r="C349">
        <v>208</v>
      </c>
      <c r="D349" t="s">
        <v>65</v>
      </c>
      <c r="E349" t="s">
        <v>60</v>
      </c>
      <c r="F349" t="s">
        <v>61</v>
      </c>
      <c r="G349">
        <v>30000</v>
      </c>
      <c r="H349">
        <v>0</v>
      </c>
      <c r="I349">
        <v>0</v>
      </c>
      <c r="J349">
        <v>0</v>
      </c>
      <c r="K349">
        <v>1</v>
      </c>
      <c r="L349">
        <v>20000000</v>
      </c>
      <c r="M349">
        <v>96</v>
      </c>
      <c r="N349">
        <v>96</v>
      </c>
      <c r="O349">
        <v>96</v>
      </c>
      <c r="P349">
        <v>0</v>
      </c>
      <c r="Q349" t="s">
        <v>62</v>
      </c>
      <c r="R349">
        <v>99982330933025</v>
      </c>
      <c r="S349">
        <v>10000000</v>
      </c>
      <c r="T349">
        <v>99982330933025</v>
      </c>
      <c r="U349">
        <v>10000000</v>
      </c>
      <c r="V349" t="s">
        <v>75</v>
      </c>
      <c r="W349">
        <v>9</v>
      </c>
      <c r="X349">
        <v>185167</v>
      </c>
      <c r="Y349">
        <v>1275692</v>
      </c>
      <c r="Z349">
        <v>1460859</v>
      </c>
      <c r="AA349">
        <v>10000000</v>
      </c>
      <c r="AB349">
        <v>7.8894099999999998</v>
      </c>
      <c r="AC349">
        <v>7.8388799999999996</v>
      </c>
      <c r="AD349">
        <v>7.8452900000000003</v>
      </c>
      <c r="AE349">
        <v>8</v>
      </c>
      <c r="AM349">
        <v>3734692181</v>
      </c>
      <c r="AN349">
        <v>0</v>
      </c>
      <c r="AO349">
        <v>0</v>
      </c>
      <c r="AP349">
        <v>3734692181</v>
      </c>
      <c r="AQ349">
        <v>3734692181</v>
      </c>
      <c r="AR349">
        <v>124489739</v>
      </c>
      <c r="AS349">
        <v>0</v>
      </c>
      <c r="AT349">
        <v>0</v>
      </c>
      <c r="AU349">
        <v>124489739</v>
      </c>
      <c r="AV349">
        <v>124489739</v>
      </c>
      <c r="AW349">
        <v>16.506</v>
      </c>
      <c r="AX349">
        <v>5.48942</v>
      </c>
      <c r="AY349">
        <v>2138.35</v>
      </c>
      <c r="AZ349">
        <v>1250.99</v>
      </c>
      <c r="BA349">
        <v>1533</v>
      </c>
      <c r="BB349">
        <v>945</v>
      </c>
      <c r="BC349" t="str">
        <f t="shared" si="10"/>
        <v>u=0%, k=2x10^7</v>
      </c>
      <c r="BD349">
        <f t="shared" si="11"/>
        <v>0</v>
      </c>
    </row>
    <row r="350" spans="1:56">
      <c r="A350" t="s">
        <v>434</v>
      </c>
      <c r="B350" t="s">
        <v>66</v>
      </c>
      <c r="C350">
        <v>208</v>
      </c>
      <c r="D350" t="s">
        <v>65</v>
      </c>
      <c r="E350" t="s">
        <v>60</v>
      </c>
      <c r="F350" t="s">
        <v>61</v>
      </c>
      <c r="G350">
        <v>30000</v>
      </c>
      <c r="H350">
        <v>0</v>
      </c>
      <c r="I350">
        <v>0</v>
      </c>
      <c r="J350">
        <v>0</v>
      </c>
      <c r="K350">
        <v>1</v>
      </c>
      <c r="L350">
        <v>20000000</v>
      </c>
      <c r="M350">
        <v>144</v>
      </c>
      <c r="N350">
        <v>144</v>
      </c>
      <c r="O350">
        <v>144</v>
      </c>
      <c r="P350">
        <v>0</v>
      </c>
      <c r="Q350" t="s">
        <v>62</v>
      </c>
      <c r="R350">
        <v>100025544813993</v>
      </c>
      <c r="S350">
        <v>10000000</v>
      </c>
      <c r="T350">
        <v>100025544813993</v>
      </c>
      <c r="U350">
        <v>10000000</v>
      </c>
      <c r="V350" t="s">
        <v>75</v>
      </c>
      <c r="W350">
        <v>9</v>
      </c>
      <c r="X350">
        <v>185243</v>
      </c>
      <c r="Y350">
        <v>1275870</v>
      </c>
      <c r="Z350">
        <v>1461113</v>
      </c>
      <c r="AA350">
        <v>10000000</v>
      </c>
      <c r="AB350">
        <v>7.8875500000000001</v>
      </c>
      <c r="AC350">
        <v>7.83779</v>
      </c>
      <c r="AD350">
        <v>7.8441000000000001</v>
      </c>
      <c r="AE350">
        <v>8</v>
      </c>
      <c r="AM350">
        <v>5531819427</v>
      </c>
      <c r="AN350">
        <v>0</v>
      </c>
      <c r="AO350">
        <v>0</v>
      </c>
      <c r="AP350">
        <v>5531819427</v>
      </c>
      <c r="AQ350">
        <v>5531819427</v>
      </c>
      <c r="AR350">
        <v>184393980</v>
      </c>
      <c r="AS350">
        <v>0</v>
      </c>
      <c r="AT350">
        <v>0</v>
      </c>
      <c r="AU350">
        <v>184393980</v>
      </c>
      <c r="AV350">
        <v>184393980</v>
      </c>
      <c r="AW350">
        <v>16.527799999999999</v>
      </c>
      <c r="AX350">
        <v>5.5548900000000003</v>
      </c>
      <c r="AY350">
        <v>2162.4</v>
      </c>
      <c r="AZ350">
        <v>1262.1400000000001</v>
      </c>
      <c r="BA350">
        <v>1548</v>
      </c>
      <c r="BB350">
        <v>811</v>
      </c>
      <c r="BC350" t="str">
        <f t="shared" si="10"/>
        <v>u=0%, k=2x10^7</v>
      </c>
      <c r="BD350">
        <f t="shared" si="11"/>
        <v>0</v>
      </c>
    </row>
    <row r="351" spans="1:56">
      <c r="A351" t="s">
        <v>435</v>
      </c>
      <c r="B351" t="s">
        <v>66</v>
      </c>
      <c r="C351">
        <v>208</v>
      </c>
      <c r="D351" t="s">
        <v>65</v>
      </c>
      <c r="E351" t="s">
        <v>60</v>
      </c>
      <c r="F351" t="s">
        <v>61</v>
      </c>
      <c r="G351">
        <v>30000</v>
      </c>
      <c r="H351">
        <v>0</v>
      </c>
      <c r="I351">
        <v>0</v>
      </c>
      <c r="J351">
        <v>0</v>
      </c>
      <c r="K351">
        <v>1</v>
      </c>
      <c r="L351">
        <v>20000000</v>
      </c>
      <c r="M351">
        <v>190</v>
      </c>
      <c r="N351">
        <v>190</v>
      </c>
      <c r="O351">
        <v>190</v>
      </c>
      <c r="P351">
        <v>0</v>
      </c>
      <c r="Q351" t="s">
        <v>62</v>
      </c>
      <c r="R351">
        <v>100006529580780</v>
      </c>
      <c r="S351">
        <v>10000000</v>
      </c>
      <c r="T351">
        <v>100006529580780</v>
      </c>
      <c r="U351">
        <v>10000000</v>
      </c>
      <c r="V351" t="s">
        <v>75</v>
      </c>
      <c r="W351">
        <v>9</v>
      </c>
      <c r="X351">
        <v>185149</v>
      </c>
      <c r="Y351">
        <v>1276091</v>
      </c>
      <c r="Z351">
        <v>1461240</v>
      </c>
      <c r="AA351">
        <v>10000000</v>
      </c>
      <c r="AB351">
        <v>7.8922400000000001</v>
      </c>
      <c r="AC351">
        <v>7.83643</v>
      </c>
      <c r="AD351">
        <v>7.8434999999999997</v>
      </c>
      <c r="AE351">
        <v>8</v>
      </c>
      <c r="AM351">
        <v>7273166974</v>
      </c>
      <c r="AN351">
        <v>0</v>
      </c>
      <c r="AO351">
        <v>0</v>
      </c>
      <c r="AP351">
        <v>7273166974</v>
      </c>
      <c r="AQ351">
        <v>7273166974</v>
      </c>
      <c r="AR351">
        <v>242438899</v>
      </c>
      <c r="AS351">
        <v>0</v>
      </c>
      <c r="AT351">
        <v>0</v>
      </c>
      <c r="AU351">
        <v>242438899</v>
      </c>
      <c r="AV351">
        <v>242438899</v>
      </c>
      <c r="AW351">
        <v>16.689</v>
      </c>
      <c r="AX351">
        <v>5.6193600000000004</v>
      </c>
      <c r="AY351">
        <v>2164.89</v>
      </c>
      <c r="AZ351">
        <v>1258.44</v>
      </c>
      <c r="BA351">
        <v>1619</v>
      </c>
      <c r="BB351">
        <v>956</v>
      </c>
      <c r="BC351" t="str">
        <f t="shared" si="10"/>
        <v>u=0%, k=2x10^7</v>
      </c>
      <c r="BD351">
        <f t="shared" si="11"/>
        <v>0</v>
      </c>
    </row>
    <row r="352" spans="1:56">
      <c r="A352" t="s">
        <v>436</v>
      </c>
      <c r="B352" t="s">
        <v>67</v>
      </c>
      <c r="D352" t="s">
        <v>65</v>
      </c>
      <c r="E352" t="s">
        <v>60</v>
      </c>
      <c r="F352" t="s">
        <v>61</v>
      </c>
      <c r="G352">
        <v>30000</v>
      </c>
      <c r="H352">
        <v>0</v>
      </c>
      <c r="I352">
        <v>0</v>
      </c>
      <c r="J352">
        <v>0</v>
      </c>
      <c r="K352">
        <v>1</v>
      </c>
      <c r="L352">
        <v>20000000</v>
      </c>
      <c r="M352">
        <v>24</v>
      </c>
      <c r="N352">
        <v>24</v>
      </c>
      <c r="O352">
        <v>24</v>
      </c>
      <c r="P352">
        <v>0</v>
      </c>
      <c r="Q352" t="s">
        <v>62</v>
      </c>
      <c r="R352">
        <v>99991445170723</v>
      </c>
      <c r="S352">
        <v>10000000</v>
      </c>
      <c r="T352">
        <v>99991445170723</v>
      </c>
      <c r="U352">
        <v>10000000</v>
      </c>
      <c r="V352" t="s">
        <v>75</v>
      </c>
      <c r="W352">
        <v>29</v>
      </c>
      <c r="X352">
        <v>5714015</v>
      </c>
      <c r="Y352">
        <v>4285986</v>
      </c>
      <c r="Z352">
        <v>10000001</v>
      </c>
      <c r="AA352">
        <v>10000000</v>
      </c>
      <c r="AB352">
        <v>1.7500800000000001</v>
      </c>
      <c r="AC352">
        <v>2.3331900000000001</v>
      </c>
      <c r="AD352">
        <v>2</v>
      </c>
      <c r="AE352">
        <v>22.734400000000001</v>
      </c>
      <c r="AM352">
        <v>420836735</v>
      </c>
      <c r="AN352">
        <v>0</v>
      </c>
      <c r="AO352">
        <v>0</v>
      </c>
      <c r="AP352">
        <v>420836735</v>
      </c>
      <c r="AQ352">
        <v>420836735</v>
      </c>
      <c r="AR352">
        <v>14027891</v>
      </c>
      <c r="AS352">
        <v>0</v>
      </c>
      <c r="AT352">
        <v>0</v>
      </c>
      <c r="AU352">
        <v>14027891</v>
      </c>
      <c r="AV352">
        <v>14027891</v>
      </c>
      <c r="AW352">
        <v>27.247800000000002</v>
      </c>
      <c r="AX352">
        <v>9.2516700000000007</v>
      </c>
      <c r="AY352">
        <v>4773.1400000000003</v>
      </c>
      <c r="AZ352">
        <v>3602</v>
      </c>
      <c r="BA352">
        <v>1716</v>
      </c>
      <c r="BB352">
        <v>1456</v>
      </c>
      <c r="BC352" t="str">
        <f t="shared" si="10"/>
        <v>u=0%, k=2x10^7</v>
      </c>
      <c r="BD352">
        <f t="shared" si="11"/>
        <v>0</v>
      </c>
    </row>
    <row r="353" spans="1:56">
      <c r="A353" t="s">
        <v>437</v>
      </c>
      <c r="B353" t="s">
        <v>67</v>
      </c>
      <c r="D353" t="s">
        <v>65</v>
      </c>
      <c r="E353" t="s">
        <v>60</v>
      </c>
      <c r="F353" t="s">
        <v>61</v>
      </c>
      <c r="G353">
        <v>30000</v>
      </c>
      <c r="H353">
        <v>0</v>
      </c>
      <c r="I353">
        <v>0</v>
      </c>
      <c r="J353">
        <v>0</v>
      </c>
      <c r="K353">
        <v>1</v>
      </c>
      <c r="L353">
        <v>20000000</v>
      </c>
      <c r="M353">
        <v>48</v>
      </c>
      <c r="N353">
        <v>48</v>
      </c>
      <c r="O353">
        <v>48</v>
      </c>
      <c r="P353">
        <v>0</v>
      </c>
      <c r="Q353" t="s">
        <v>62</v>
      </c>
      <c r="R353">
        <v>99990901915839</v>
      </c>
      <c r="S353">
        <v>10000000</v>
      </c>
      <c r="T353">
        <v>99990901915839</v>
      </c>
      <c r="U353">
        <v>10000000</v>
      </c>
      <c r="V353" t="s">
        <v>75</v>
      </c>
      <c r="W353">
        <v>29</v>
      </c>
      <c r="X353">
        <v>5713985</v>
      </c>
      <c r="Y353">
        <v>4286016</v>
      </c>
      <c r="Z353">
        <v>10000001</v>
      </c>
      <c r="AA353">
        <v>10000000</v>
      </c>
      <c r="AB353">
        <v>1.7500899999999999</v>
      </c>
      <c r="AC353">
        <v>2.33317</v>
      </c>
      <c r="AD353">
        <v>2</v>
      </c>
      <c r="AE353">
        <v>22.726400000000002</v>
      </c>
      <c r="AM353">
        <v>789057666</v>
      </c>
      <c r="AN353">
        <v>0</v>
      </c>
      <c r="AO353">
        <v>0</v>
      </c>
      <c r="AP353">
        <v>789057666</v>
      </c>
      <c r="AQ353">
        <v>789057666</v>
      </c>
      <c r="AR353">
        <v>26301922</v>
      </c>
      <c r="AS353">
        <v>0</v>
      </c>
      <c r="AT353">
        <v>0</v>
      </c>
      <c r="AU353">
        <v>26301922</v>
      </c>
      <c r="AV353">
        <v>26301922</v>
      </c>
      <c r="AW353">
        <v>28.2441</v>
      </c>
      <c r="AX353">
        <v>9.3229199999999999</v>
      </c>
      <c r="AY353">
        <v>5089.82</v>
      </c>
      <c r="AZ353">
        <v>3876.61</v>
      </c>
      <c r="BA353">
        <v>1720</v>
      </c>
      <c r="BB353">
        <v>1027</v>
      </c>
      <c r="BC353" t="str">
        <f t="shared" si="10"/>
        <v>u=0%, k=2x10^7</v>
      </c>
      <c r="BD353">
        <f t="shared" si="11"/>
        <v>0</v>
      </c>
    </row>
    <row r="354" spans="1:56">
      <c r="A354" t="s">
        <v>438</v>
      </c>
      <c r="B354" t="s">
        <v>67</v>
      </c>
      <c r="D354" t="s">
        <v>65</v>
      </c>
      <c r="E354" t="s">
        <v>60</v>
      </c>
      <c r="F354" t="s">
        <v>61</v>
      </c>
      <c r="G354">
        <v>30000</v>
      </c>
      <c r="H354">
        <v>0</v>
      </c>
      <c r="I354">
        <v>0</v>
      </c>
      <c r="J354">
        <v>0</v>
      </c>
      <c r="K354">
        <v>1</v>
      </c>
      <c r="L354">
        <v>20000000</v>
      </c>
      <c r="M354">
        <v>96</v>
      </c>
      <c r="N354">
        <v>96</v>
      </c>
      <c r="O354">
        <v>96</v>
      </c>
      <c r="P354">
        <v>0</v>
      </c>
      <c r="Q354" t="s">
        <v>62</v>
      </c>
      <c r="R354">
        <v>100005126134894</v>
      </c>
      <c r="S354">
        <v>10000000</v>
      </c>
      <c r="T354">
        <v>100005126134894</v>
      </c>
      <c r="U354">
        <v>10000000</v>
      </c>
      <c r="V354" t="s">
        <v>75</v>
      </c>
      <c r="W354">
        <v>29</v>
      </c>
      <c r="X354">
        <v>5715044</v>
      </c>
      <c r="Y354">
        <v>4284957</v>
      </c>
      <c r="Z354">
        <v>10000001</v>
      </c>
      <c r="AA354">
        <v>10000000</v>
      </c>
      <c r="AB354">
        <v>1.74977</v>
      </c>
      <c r="AC354">
        <v>2.3337500000000002</v>
      </c>
      <c r="AD354">
        <v>2</v>
      </c>
      <c r="AE354">
        <v>22.668600000000001</v>
      </c>
      <c r="AM354">
        <v>1770755830</v>
      </c>
      <c r="AN354">
        <v>0</v>
      </c>
      <c r="AO354">
        <v>0</v>
      </c>
      <c r="AP354">
        <v>1770755830</v>
      </c>
      <c r="AQ354">
        <v>1770755830</v>
      </c>
      <c r="AR354">
        <v>59025194</v>
      </c>
      <c r="AS354">
        <v>0</v>
      </c>
      <c r="AT354">
        <v>0</v>
      </c>
      <c r="AU354">
        <v>59025194</v>
      </c>
      <c r="AV354">
        <v>59025194</v>
      </c>
      <c r="AW354">
        <v>28.3398</v>
      </c>
      <c r="AX354">
        <v>10.6485</v>
      </c>
      <c r="AY354">
        <v>4527.08</v>
      </c>
      <c r="AZ354">
        <v>3211.59</v>
      </c>
      <c r="BA354">
        <v>1735</v>
      </c>
      <c r="BB354">
        <v>799</v>
      </c>
      <c r="BC354" t="str">
        <f t="shared" si="10"/>
        <v>u=0%, k=2x10^7</v>
      </c>
      <c r="BD354">
        <f t="shared" si="11"/>
        <v>0</v>
      </c>
    </row>
    <row r="355" spans="1:56">
      <c r="A355" t="s">
        <v>439</v>
      </c>
      <c r="B355" t="s">
        <v>67</v>
      </c>
      <c r="D355" t="s">
        <v>65</v>
      </c>
      <c r="E355" t="s">
        <v>60</v>
      </c>
      <c r="F355" t="s">
        <v>61</v>
      </c>
      <c r="G355">
        <v>30000</v>
      </c>
      <c r="H355">
        <v>0</v>
      </c>
      <c r="I355">
        <v>0</v>
      </c>
      <c r="J355">
        <v>0</v>
      </c>
      <c r="K355">
        <v>1</v>
      </c>
      <c r="L355">
        <v>20000000</v>
      </c>
      <c r="M355">
        <v>144</v>
      </c>
      <c r="N355">
        <v>144</v>
      </c>
      <c r="O355">
        <v>144</v>
      </c>
      <c r="P355">
        <v>0</v>
      </c>
      <c r="Q355" t="s">
        <v>62</v>
      </c>
      <c r="R355">
        <v>99997353846733</v>
      </c>
      <c r="S355">
        <v>10000000</v>
      </c>
      <c r="T355">
        <v>99997353846733</v>
      </c>
      <c r="U355">
        <v>10000000</v>
      </c>
      <c r="V355" t="s">
        <v>75</v>
      </c>
      <c r="W355">
        <v>29</v>
      </c>
      <c r="X355">
        <v>5714608</v>
      </c>
      <c r="Y355">
        <v>4285393</v>
      </c>
      <c r="Z355">
        <v>10000001</v>
      </c>
      <c r="AA355">
        <v>10000000</v>
      </c>
      <c r="AB355">
        <v>1.7499</v>
      </c>
      <c r="AC355">
        <v>2.33351</v>
      </c>
      <c r="AD355">
        <v>2</v>
      </c>
      <c r="AE355">
        <v>22.749500000000001</v>
      </c>
      <c r="AM355">
        <v>2660810033</v>
      </c>
      <c r="AN355">
        <v>0</v>
      </c>
      <c r="AO355">
        <v>0</v>
      </c>
      <c r="AP355">
        <v>2660810033</v>
      </c>
      <c r="AQ355">
        <v>2660810033</v>
      </c>
      <c r="AR355">
        <v>88693667</v>
      </c>
      <c r="AS355">
        <v>0</v>
      </c>
      <c r="AT355">
        <v>0</v>
      </c>
      <c r="AU355">
        <v>88693667</v>
      </c>
      <c r="AV355">
        <v>88693667</v>
      </c>
      <c r="AW355">
        <v>28.591999999999999</v>
      </c>
      <c r="AX355">
        <v>10.7448</v>
      </c>
      <c r="AY355">
        <v>4515.2299999999996</v>
      </c>
      <c r="AZ355">
        <v>3184.2</v>
      </c>
      <c r="BA355">
        <v>1745</v>
      </c>
      <c r="BB355">
        <v>474</v>
      </c>
      <c r="BC355" t="str">
        <f t="shared" si="10"/>
        <v>u=0%, k=2x10^7</v>
      </c>
      <c r="BD355">
        <f t="shared" si="11"/>
        <v>0</v>
      </c>
    </row>
    <row r="356" spans="1:56">
      <c r="A356" t="s">
        <v>440</v>
      </c>
      <c r="B356" t="s">
        <v>67</v>
      </c>
      <c r="D356" t="s">
        <v>65</v>
      </c>
      <c r="E356" t="s">
        <v>60</v>
      </c>
      <c r="F356" t="s">
        <v>61</v>
      </c>
      <c r="G356">
        <v>30000</v>
      </c>
      <c r="H356">
        <v>0</v>
      </c>
      <c r="I356">
        <v>0</v>
      </c>
      <c r="J356">
        <v>0</v>
      </c>
      <c r="K356">
        <v>1</v>
      </c>
      <c r="L356">
        <v>20000000</v>
      </c>
      <c r="M356">
        <v>190</v>
      </c>
      <c r="N356">
        <v>190</v>
      </c>
      <c r="O356">
        <v>190</v>
      </c>
      <c r="P356">
        <v>0</v>
      </c>
      <c r="Q356" t="s">
        <v>62</v>
      </c>
      <c r="R356">
        <v>99990879078847</v>
      </c>
      <c r="S356">
        <v>10000000</v>
      </c>
      <c r="T356">
        <v>99990879078847</v>
      </c>
      <c r="U356">
        <v>10000000</v>
      </c>
      <c r="V356" t="s">
        <v>75</v>
      </c>
      <c r="W356">
        <v>29</v>
      </c>
      <c r="X356">
        <v>5714336</v>
      </c>
      <c r="Y356">
        <v>4285665</v>
      </c>
      <c r="Z356">
        <v>10000001</v>
      </c>
      <c r="AA356">
        <v>10000000</v>
      </c>
      <c r="AB356">
        <v>1.7499800000000001</v>
      </c>
      <c r="AC356">
        <v>2.3333599999999999</v>
      </c>
      <c r="AD356">
        <v>2</v>
      </c>
      <c r="AE356">
        <v>22.6877</v>
      </c>
      <c r="AM356">
        <v>3532819262</v>
      </c>
      <c r="AN356">
        <v>0</v>
      </c>
      <c r="AO356">
        <v>0</v>
      </c>
      <c r="AP356">
        <v>3532819262</v>
      </c>
      <c r="AQ356">
        <v>3532819262</v>
      </c>
      <c r="AR356">
        <v>117760642</v>
      </c>
      <c r="AS356">
        <v>0</v>
      </c>
      <c r="AT356">
        <v>0</v>
      </c>
      <c r="AU356">
        <v>117760642</v>
      </c>
      <c r="AV356">
        <v>117760642</v>
      </c>
      <c r="AW356">
        <v>28.455300000000001</v>
      </c>
      <c r="AX356">
        <v>10.789300000000001</v>
      </c>
      <c r="AY356">
        <v>4478.6000000000004</v>
      </c>
      <c r="AZ356">
        <v>3150.5</v>
      </c>
      <c r="BA356">
        <v>1755</v>
      </c>
      <c r="BB356">
        <v>474</v>
      </c>
      <c r="BC356" t="str">
        <f t="shared" si="10"/>
        <v>u=0%, k=2x10^7</v>
      </c>
      <c r="BD356">
        <f t="shared" si="11"/>
        <v>0</v>
      </c>
    </row>
    <row r="357" spans="1:56">
      <c r="A357" t="s">
        <v>441</v>
      </c>
      <c r="B357" t="s">
        <v>68</v>
      </c>
      <c r="D357" t="s">
        <v>65</v>
      </c>
      <c r="E357" t="s">
        <v>60</v>
      </c>
      <c r="F357" t="s">
        <v>61</v>
      </c>
      <c r="G357">
        <v>30000</v>
      </c>
      <c r="H357">
        <v>0</v>
      </c>
      <c r="I357">
        <v>0</v>
      </c>
      <c r="J357">
        <v>0</v>
      </c>
      <c r="K357">
        <v>1</v>
      </c>
      <c r="L357">
        <v>20000000</v>
      </c>
      <c r="M357">
        <v>24</v>
      </c>
      <c r="N357">
        <v>24</v>
      </c>
      <c r="O357">
        <v>24</v>
      </c>
      <c r="P357">
        <v>0</v>
      </c>
      <c r="Q357" t="s">
        <v>62</v>
      </c>
      <c r="R357">
        <v>99983541974415</v>
      </c>
      <c r="S357">
        <v>10000000</v>
      </c>
      <c r="T357">
        <v>99983541974415</v>
      </c>
      <c r="U357">
        <v>10000000</v>
      </c>
      <c r="V357" t="s">
        <v>75</v>
      </c>
      <c r="W357">
        <v>59</v>
      </c>
      <c r="X357">
        <v>9999999</v>
      </c>
      <c r="Y357">
        <v>10000000</v>
      </c>
      <c r="Z357">
        <v>19999999</v>
      </c>
      <c r="AA357">
        <v>10000000</v>
      </c>
      <c r="AB357">
        <v>2</v>
      </c>
      <c r="AC357">
        <v>1</v>
      </c>
      <c r="AD357">
        <v>1.5</v>
      </c>
      <c r="AE357">
        <v>31.635999999999999</v>
      </c>
      <c r="AM357">
        <v>340059290</v>
      </c>
      <c r="AN357">
        <v>0</v>
      </c>
      <c r="AO357">
        <v>0</v>
      </c>
      <c r="AP357">
        <v>340059290</v>
      </c>
      <c r="AQ357">
        <v>340059290</v>
      </c>
      <c r="AR357">
        <v>11335309</v>
      </c>
      <c r="AS357">
        <v>0</v>
      </c>
      <c r="AT357">
        <v>0</v>
      </c>
      <c r="AU357">
        <v>11335309</v>
      </c>
      <c r="AV357">
        <v>11335309</v>
      </c>
      <c r="AW357">
        <v>24.088699999999999</v>
      </c>
      <c r="AX357">
        <v>8.6028400000000005</v>
      </c>
      <c r="AY357">
        <v>5907.21</v>
      </c>
      <c r="AZ357">
        <v>4414.2700000000004</v>
      </c>
      <c r="BA357">
        <v>1716</v>
      </c>
      <c r="BB357">
        <v>1498</v>
      </c>
      <c r="BC357" t="str">
        <f t="shared" si="10"/>
        <v>u=0%, k=2x10^7</v>
      </c>
      <c r="BD357">
        <f t="shared" si="11"/>
        <v>0</v>
      </c>
    </row>
    <row r="358" spans="1:56">
      <c r="A358" t="s">
        <v>442</v>
      </c>
      <c r="B358" t="s">
        <v>68</v>
      </c>
      <c r="D358" t="s">
        <v>65</v>
      </c>
      <c r="E358" t="s">
        <v>60</v>
      </c>
      <c r="F358" t="s">
        <v>61</v>
      </c>
      <c r="G358">
        <v>30000</v>
      </c>
      <c r="H358">
        <v>0</v>
      </c>
      <c r="I358">
        <v>0</v>
      </c>
      <c r="J358">
        <v>0</v>
      </c>
      <c r="K358">
        <v>1</v>
      </c>
      <c r="L358">
        <v>20000000</v>
      </c>
      <c r="M358">
        <v>48</v>
      </c>
      <c r="N358">
        <v>48</v>
      </c>
      <c r="O358">
        <v>48</v>
      </c>
      <c r="P358">
        <v>0</v>
      </c>
      <c r="Q358" t="s">
        <v>62</v>
      </c>
      <c r="R358">
        <v>100001278360379</v>
      </c>
      <c r="S358">
        <v>10000000</v>
      </c>
      <c r="T358">
        <v>100001278360379</v>
      </c>
      <c r="U358">
        <v>10000000</v>
      </c>
      <c r="V358" t="s">
        <v>75</v>
      </c>
      <c r="W358">
        <v>60</v>
      </c>
      <c r="X358">
        <v>9999999</v>
      </c>
      <c r="Y358">
        <v>10000000</v>
      </c>
      <c r="Z358">
        <v>19999999</v>
      </c>
      <c r="AA358">
        <v>10000000</v>
      </c>
      <c r="AB358">
        <v>2</v>
      </c>
      <c r="AC358">
        <v>1</v>
      </c>
      <c r="AD358">
        <v>1.5</v>
      </c>
      <c r="AE358">
        <v>31.197700000000001</v>
      </c>
      <c r="AM358">
        <v>651600111</v>
      </c>
      <c r="AN358">
        <v>0</v>
      </c>
      <c r="AO358">
        <v>0</v>
      </c>
      <c r="AP358">
        <v>651600111</v>
      </c>
      <c r="AQ358">
        <v>651600111</v>
      </c>
      <c r="AR358">
        <v>21720003</v>
      </c>
      <c r="AS358">
        <v>0</v>
      </c>
      <c r="AT358">
        <v>0</v>
      </c>
      <c r="AU358">
        <v>21720003</v>
      </c>
      <c r="AV358">
        <v>21720003</v>
      </c>
      <c r="AW358">
        <v>24.065100000000001</v>
      </c>
      <c r="AX358">
        <v>8.6355900000000005</v>
      </c>
      <c r="AY358">
        <v>6164.51</v>
      </c>
      <c r="AZ358">
        <v>5147</v>
      </c>
      <c r="BA358">
        <v>1721</v>
      </c>
      <c r="BB358">
        <v>1052</v>
      </c>
      <c r="BC358" t="str">
        <f t="shared" si="10"/>
        <v>u=0%, k=2x10^7</v>
      </c>
      <c r="BD358">
        <f t="shared" si="11"/>
        <v>0</v>
      </c>
    </row>
    <row r="359" spans="1:56">
      <c r="A359" t="s">
        <v>443</v>
      </c>
      <c r="B359" t="s">
        <v>68</v>
      </c>
      <c r="D359" t="s">
        <v>65</v>
      </c>
      <c r="E359" t="s">
        <v>60</v>
      </c>
      <c r="F359" t="s">
        <v>61</v>
      </c>
      <c r="G359">
        <v>30000</v>
      </c>
      <c r="H359">
        <v>0</v>
      </c>
      <c r="I359">
        <v>0</v>
      </c>
      <c r="J359">
        <v>0</v>
      </c>
      <c r="K359">
        <v>1</v>
      </c>
      <c r="L359">
        <v>20000000</v>
      </c>
      <c r="M359">
        <v>96</v>
      </c>
      <c r="N359">
        <v>96</v>
      </c>
      <c r="O359">
        <v>96</v>
      </c>
      <c r="P359">
        <v>0</v>
      </c>
      <c r="Q359" t="s">
        <v>62</v>
      </c>
      <c r="R359">
        <v>99992184485813</v>
      </c>
      <c r="S359">
        <v>10000000</v>
      </c>
      <c r="T359">
        <v>99992184485813</v>
      </c>
      <c r="U359">
        <v>10000000</v>
      </c>
      <c r="V359" t="s">
        <v>75</v>
      </c>
      <c r="W359">
        <v>58</v>
      </c>
      <c r="X359">
        <v>9999999</v>
      </c>
      <c r="Y359">
        <v>10000000</v>
      </c>
      <c r="Z359">
        <v>19999999</v>
      </c>
      <c r="AA359">
        <v>10000000</v>
      </c>
      <c r="AB359">
        <v>2</v>
      </c>
      <c r="AC359">
        <v>1</v>
      </c>
      <c r="AD359">
        <v>1.5</v>
      </c>
      <c r="AE359">
        <v>30.8767</v>
      </c>
      <c r="AM359">
        <v>1515617412</v>
      </c>
      <c r="AN359">
        <v>0</v>
      </c>
      <c r="AO359">
        <v>0</v>
      </c>
      <c r="AP359">
        <v>1515617412</v>
      </c>
      <c r="AQ359">
        <v>1515617412</v>
      </c>
      <c r="AR359">
        <v>50520580</v>
      </c>
      <c r="AS359">
        <v>0</v>
      </c>
      <c r="AT359">
        <v>0</v>
      </c>
      <c r="AU359">
        <v>50520580</v>
      </c>
      <c r="AV359">
        <v>50520580</v>
      </c>
      <c r="AW359">
        <v>24.695</v>
      </c>
      <c r="AX359">
        <v>9.9477200000000003</v>
      </c>
      <c r="AY359">
        <v>5291.98</v>
      </c>
      <c r="AZ359">
        <v>4290.3900000000003</v>
      </c>
      <c r="BA359">
        <v>1735</v>
      </c>
      <c r="BB359">
        <v>724</v>
      </c>
      <c r="BC359" t="str">
        <f t="shared" si="10"/>
        <v>u=0%, k=2x10^7</v>
      </c>
      <c r="BD359">
        <f t="shared" si="11"/>
        <v>0</v>
      </c>
    </row>
    <row r="360" spans="1:56">
      <c r="A360" t="s">
        <v>444</v>
      </c>
      <c r="B360" t="s">
        <v>68</v>
      </c>
      <c r="D360" t="s">
        <v>65</v>
      </c>
      <c r="E360" t="s">
        <v>60</v>
      </c>
      <c r="F360" t="s">
        <v>61</v>
      </c>
      <c r="G360">
        <v>30000</v>
      </c>
      <c r="H360">
        <v>0</v>
      </c>
      <c r="I360">
        <v>0</v>
      </c>
      <c r="J360">
        <v>0</v>
      </c>
      <c r="K360">
        <v>1</v>
      </c>
      <c r="L360">
        <v>20000000</v>
      </c>
      <c r="M360">
        <v>144</v>
      </c>
      <c r="N360">
        <v>144</v>
      </c>
      <c r="O360">
        <v>144</v>
      </c>
      <c r="P360">
        <v>0</v>
      </c>
      <c r="Q360" t="s">
        <v>62</v>
      </c>
      <c r="R360">
        <v>99997707367507</v>
      </c>
      <c r="S360">
        <v>10000000</v>
      </c>
      <c r="T360">
        <v>99997707367507</v>
      </c>
      <c r="U360">
        <v>10000000</v>
      </c>
      <c r="V360" t="s">
        <v>75</v>
      </c>
      <c r="W360">
        <v>62</v>
      </c>
      <c r="X360">
        <v>9999999</v>
      </c>
      <c r="Y360">
        <v>10000000</v>
      </c>
      <c r="Z360">
        <v>19999999</v>
      </c>
      <c r="AA360">
        <v>10000000</v>
      </c>
      <c r="AB360">
        <v>2</v>
      </c>
      <c r="AC360">
        <v>1</v>
      </c>
      <c r="AD360">
        <v>1.5</v>
      </c>
      <c r="AE360">
        <v>30.529299999999999</v>
      </c>
      <c r="AM360">
        <v>2312265446</v>
      </c>
      <c r="AN360">
        <v>0</v>
      </c>
      <c r="AO360">
        <v>0</v>
      </c>
      <c r="AP360">
        <v>2312265446</v>
      </c>
      <c r="AQ360">
        <v>2312265446</v>
      </c>
      <c r="AR360">
        <v>77075514</v>
      </c>
      <c r="AS360">
        <v>0</v>
      </c>
      <c r="AT360">
        <v>0</v>
      </c>
      <c r="AU360">
        <v>77075514</v>
      </c>
      <c r="AV360">
        <v>77075514</v>
      </c>
      <c r="AW360">
        <v>24.700500000000002</v>
      </c>
      <c r="AX360">
        <v>10.0481</v>
      </c>
      <c r="AY360">
        <v>5201.54</v>
      </c>
      <c r="AZ360">
        <v>4205.4799999999996</v>
      </c>
      <c r="BA360">
        <v>1744</v>
      </c>
      <c r="BB360">
        <v>442</v>
      </c>
      <c r="BC360" t="str">
        <f t="shared" si="10"/>
        <v>u=0%, k=2x10^7</v>
      </c>
      <c r="BD360">
        <f t="shared" si="11"/>
        <v>0</v>
      </c>
    </row>
    <row r="361" spans="1:56">
      <c r="A361" t="s">
        <v>445</v>
      </c>
      <c r="B361" t="s">
        <v>68</v>
      </c>
      <c r="D361" t="s">
        <v>65</v>
      </c>
      <c r="E361" t="s">
        <v>60</v>
      </c>
      <c r="F361" t="s">
        <v>61</v>
      </c>
      <c r="G361">
        <v>30000</v>
      </c>
      <c r="H361">
        <v>0</v>
      </c>
      <c r="I361">
        <v>0</v>
      </c>
      <c r="J361">
        <v>0</v>
      </c>
      <c r="K361">
        <v>1</v>
      </c>
      <c r="L361">
        <v>20000000</v>
      </c>
      <c r="M361">
        <v>190</v>
      </c>
      <c r="N361">
        <v>190</v>
      </c>
      <c r="O361">
        <v>190</v>
      </c>
      <c r="P361">
        <v>0</v>
      </c>
      <c r="Q361" t="s">
        <v>62</v>
      </c>
      <c r="R361">
        <v>100029504275213</v>
      </c>
      <c r="S361">
        <v>10000000</v>
      </c>
      <c r="T361">
        <v>100029504275213</v>
      </c>
      <c r="U361">
        <v>10000000</v>
      </c>
      <c r="V361" t="s">
        <v>75</v>
      </c>
      <c r="W361">
        <v>57</v>
      </c>
      <c r="X361">
        <v>9999999</v>
      </c>
      <c r="Y361">
        <v>10000000</v>
      </c>
      <c r="Z361">
        <v>19999999</v>
      </c>
      <c r="AA361">
        <v>10000000</v>
      </c>
      <c r="AB361">
        <v>2</v>
      </c>
      <c r="AC361">
        <v>1</v>
      </c>
      <c r="AD361">
        <v>1.5</v>
      </c>
      <c r="AE361">
        <v>31.152699999999999</v>
      </c>
      <c r="AM361">
        <v>3081005947</v>
      </c>
      <c r="AN361">
        <v>0</v>
      </c>
      <c r="AO361">
        <v>0</v>
      </c>
      <c r="AP361">
        <v>3081005947</v>
      </c>
      <c r="AQ361">
        <v>3081005947</v>
      </c>
      <c r="AR361">
        <v>102700198</v>
      </c>
      <c r="AS361">
        <v>0</v>
      </c>
      <c r="AT361">
        <v>0</v>
      </c>
      <c r="AU361">
        <v>102700198</v>
      </c>
      <c r="AV361">
        <v>102700198</v>
      </c>
      <c r="AW361">
        <v>24.761500000000002</v>
      </c>
      <c r="AX361">
        <v>10.0892</v>
      </c>
      <c r="AY361">
        <v>5149.82</v>
      </c>
      <c r="AZ361">
        <v>4149.25</v>
      </c>
      <c r="BA361">
        <v>1754</v>
      </c>
      <c r="BB361">
        <v>449</v>
      </c>
      <c r="BC361" t="str">
        <f t="shared" si="10"/>
        <v>u=0%, k=2x10^7</v>
      </c>
      <c r="BD361">
        <f t="shared" si="11"/>
        <v>0</v>
      </c>
    </row>
    <row r="362" spans="1:56">
      <c r="A362" t="s">
        <v>446</v>
      </c>
      <c r="B362" t="s">
        <v>64</v>
      </c>
      <c r="C362">
        <v>72</v>
      </c>
      <c r="D362" t="s">
        <v>65</v>
      </c>
      <c r="E362" t="s">
        <v>60</v>
      </c>
      <c r="F362" t="s">
        <v>61</v>
      </c>
      <c r="G362">
        <v>30000</v>
      </c>
      <c r="H362">
        <v>0</v>
      </c>
      <c r="I362">
        <v>0</v>
      </c>
      <c r="J362">
        <v>0</v>
      </c>
      <c r="K362">
        <v>1</v>
      </c>
      <c r="L362">
        <v>200000000</v>
      </c>
      <c r="M362">
        <v>24</v>
      </c>
      <c r="N362">
        <v>24</v>
      </c>
      <c r="O362">
        <v>24</v>
      </c>
      <c r="P362">
        <v>0</v>
      </c>
      <c r="Q362" t="s">
        <v>62</v>
      </c>
      <c r="R362">
        <v>1.0000578934779E+16</v>
      </c>
      <c r="S362">
        <v>100000001</v>
      </c>
      <c r="T362">
        <v>1.0000578934779E+16</v>
      </c>
      <c r="U362">
        <v>100000001</v>
      </c>
      <c r="V362" t="s">
        <v>75</v>
      </c>
      <c r="W362">
        <v>6</v>
      </c>
      <c r="X362">
        <v>11011103</v>
      </c>
      <c r="Y362">
        <v>110001001</v>
      </c>
      <c r="Z362">
        <v>121012104</v>
      </c>
      <c r="AA362">
        <v>100000001</v>
      </c>
      <c r="AB362">
        <v>10.99</v>
      </c>
      <c r="AC362">
        <v>0.90908299999999997</v>
      </c>
      <c r="AD362">
        <v>1.82636</v>
      </c>
      <c r="AE362">
        <v>4</v>
      </c>
      <c r="AM362">
        <v>879250171</v>
      </c>
      <c r="AN362">
        <v>0</v>
      </c>
      <c r="AO362">
        <v>0</v>
      </c>
      <c r="AP362">
        <v>879250171</v>
      </c>
      <c r="AQ362">
        <v>879250171</v>
      </c>
      <c r="AR362">
        <v>29308339</v>
      </c>
      <c r="AS362">
        <v>0</v>
      </c>
      <c r="AT362">
        <v>0</v>
      </c>
      <c r="AU362">
        <v>29308339</v>
      </c>
      <c r="AV362">
        <v>29308339</v>
      </c>
      <c r="AW362">
        <v>18.57</v>
      </c>
      <c r="AX362">
        <v>8.0689399999999996</v>
      </c>
      <c r="AY362">
        <v>2284.0300000000002</v>
      </c>
      <c r="AZ362">
        <v>1703.87</v>
      </c>
      <c r="BA362">
        <v>7054</v>
      </c>
      <c r="BB362">
        <v>1551</v>
      </c>
      <c r="BC362" t="str">
        <f t="shared" si="10"/>
        <v>u=0%, k=2x10^8</v>
      </c>
      <c r="BD362">
        <f t="shared" si="11"/>
        <v>0</v>
      </c>
    </row>
    <row r="363" spans="1:56">
      <c r="A363" t="s">
        <v>447</v>
      </c>
      <c r="B363" t="s">
        <v>64</v>
      </c>
      <c r="C363">
        <v>72</v>
      </c>
      <c r="D363" t="s">
        <v>65</v>
      </c>
      <c r="E363" t="s">
        <v>60</v>
      </c>
      <c r="F363" t="s">
        <v>61</v>
      </c>
      <c r="G363">
        <v>30000</v>
      </c>
      <c r="H363">
        <v>0</v>
      </c>
      <c r="I363">
        <v>0</v>
      </c>
      <c r="J363">
        <v>0</v>
      </c>
      <c r="K363">
        <v>1</v>
      </c>
      <c r="L363">
        <v>200000000</v>
      </c>
      <c r="M363">
        <v>48</v>
      </c>
      <c r="N363">
        <v>48</v>
      </c>
      <c r="O363">
        <v>48</v>
      </c>
      <c r="P363">
        <v>0</v>
      </c>
      <c r="Q363" t="s">
        <v>62</v>
      </c>
      <c r="R363">
        <v>1.00000558713245E+16</v>
      </c>
      <c r="S363">
        <v>100000001</v>
      </c>
      <c r="T363">
        <v>1.00000558713245E+16</v>
      </c>
      <c r="U363">
        <v>100000001</v>
      </c>
      <c r="V363" t="s">
        <v>75</v>
      </c>
      <c r="W363">
        <v>6</v>
      </c>
      <c r="X363">
        <v>11011103</v>
      </c>
      <c r="Y363">
        <v>110001001</v>
      </c>
      <c r="Z363">
        <v>121012104</v>
      </c>
      <c r="AA363">
        <v>100000001</v>
      </c>
      <c r="AB363">
        <v>10.99</v>
      </c>
      <c r="AC363">
        <v>0.90908299999999997</v>
      </c>
      <c r="AD363">
        <v>1.82636</v>
      </c>
      <c r="AE363">
        <v>4</v>
      </c>
      <c r="AM363">
        <v>1566704576</v>
      </c>
      <c r="AN363">
        <v>0</v>
      </c>
      <c r="AO363">
        <v>0</v>
      </c>
      <c r="AP363">
        <v>1566704576</v>
      </c>
      <c r="AQ363">
        <v>1566704576</v>
      </c>
      <c r="AR363">
        <v>52223485</v>
      </c>
      <c r="AS363">
        <v>0</v>
      </c>
      <c r="AT363">
        <v>0</v>
      </c>
      <c r="AU363">
        <v>52223485</v>
      </c>
      <c r="AV363">
        <v>52223485</v>
      </c>
      <c r="AW363">
        <v>18.586200000000002</v>
      </c>
      <c r="AX363">
        <v>8.0440000000000005</v>
      </c>
      <c r="AY363">
        <v>2560.7600000000002</v>
      </c>
      <c r="AZ363">
        <v>1885.37</v>
      </c>
      <c r="BA363">
        <v>7095</v>
      </c>
      <c r="BB363">
        <v>1268</v>
      </c>
      <c r="BC363" t="str">
        <f t="shared" si="10"/>
        <v>u=0%, k=2x10^8</v>
      </c>
      <c r="BD363">
        <f t="shared" si="11"/>
        <v>0</v>
      </c>
    </row>
    <row r="364" spans="1:56">
      <c r="A364" t="s">
        <v>448</v>
      </c>
      <c r="B364" t="s">
        <v>64</v>
      </c>
      <c r="C364">
        <v>72</v>
      </c>
      <c r="D364" t="s">
        <v>65</v>
      </c>
      <c r="E364" t="s">
        <v>60</v>
      </c>
      <c r="F364" t="s">
        <v>61</v>
      </c>
      <c r="G364">
        <v>30000</v>
      </c>
      <c r="H364">
        <v>0</v>
      </c>
      <c r="I364">
        <v>0</v>
      </c>
      <c r="J364">
        <v>0</v>
      </c>
      <c r="K364">
        <v>1</v>
      </c>
      <c r="L364">
        <v>200000000</v>
      </c>
      <c r="M364">
        <v>96</v>
      </c>
      <c r="N364">
        <v>96</v>
      </c>
      <c r="O364">
        <v>96</v>
      </c>
      <c r="P364">
        <v>0</v>
      </c>
      <c r="Q364" t="s">
        <v>62</v>
      </c>
      <c r="R364">
        <v>1.00004283952765E+16</v>
      </c>
      <c r="S364">
        <v>100000001</v>
      </c>
      <c r="T364">
        <v>1.00004283952765E+16</v>
      </c>
      <c r="U364">
        <v>100000001</v>
      </c>
      <c r="V364" t="s">
        <v>75</v>
      </c>
      <c r="W364">
        <v>6</v>
      </c>
      <c r="X364">
        <v>11011103</v>
      </c>
      <c r="Y364">
        <v>110001001</v>
      </c>
      <c r="Z364">
        <v>121012104</v>
      </c>
      <c r="AA364">
        <v>100000001</v>
      </c>
      <c r="AB364">
        <v>10.99</v>
      </c>
      <c r="AC364">
        <v>0.90908299999999997</v>
      </c>
      <c r="AD364">
        <v>1.82636</v>
      </c>
      <c r="AE364">
        <v>4</v>
      </c>
      <c r="AM364">
        <v>3166596545</v>
      </c>
      <c r="AN364">
        <v>0</v>
      </c>
      <c r="AO364">
        <v>0</v>
      </c>
      <c r="AP364">
        <v>3166596545</v>
      </c>
      <c r="AQ364">
        <v>3166596545</v>
      </c>
      <c r="AR364">
        <v>105553218</v>
      </c>
      <c r="AS364">
        <v>0</v>
      </c>
      <c r="AT364">
        <v>0</v>
      </c>
      <c r="AU364">
        <v>105553218</v>
      </c>
      <c r="AV364">
        <v>105553218</v>
      </c>
      <c r="AW364">
        <v>18.770099999999999</v>
      </c>
      <c r="AX364">
        <v>8.8570799999999998</v>
      </c>
      <c r="AY364">
        <v>2531.44</v>
      </c>
      <c r="AZ364">
        <v>1791.56</v>
      </c>
      <c r="BA364">
        <v>7182</v>
      </c>
      <c r="BB364">
        <v>1070</v>
      </c>
      <c r="BC364" t="str">
        <f t="shared" si="10"/>
        <v>u=0%, k=2x10^8</v>
      </c>
      <c r="BD364">
        <f t="shared" si="11"/>
        <v>0</v>
      </c>
    </row>
    <row r="365" spans="1:56">
      <c r="A365" t="s">
        <v>449</v>
      </c>
      <c r="B365" t="s">
        <v>64</v>
      </c>
      <c r="C365">
        <v>72</v>
      </c>
      <c r="D365" t="s">
        <v>65</v>
      </c>
      <c r="E365" t="s">
        <v>60</v>
      </c>
      <c r="F365" t="s">
        <v>61</v>
      </c>
      <c r="G365">
        <v>30000</v>
      </c>
      <c r="H365">
        <v>0</v>
      </c>
      <c r="I365">
        <v>0</v>
      </c>
      <c r="J365">
        <v>0</v>
      </c>
      <c r="K365">
        <v>1</v>
      </c>
      <c r="L365">
        <v>200000000</v>
      </c>
      <c r="M365">
        <v>144</v>
      </c>
      <c r="N365">
        <v>144</v>
      </c>
      <c r="O365">
        <v>144</v>
      </c>
      <c r="P365">
        <v>0</v>
      </c>
      <c r="Q365" t="s">
        <v>62</v>
      </c>
      <c r="R365">
        <v>1.00006182168268E+16</v>
      </c>
      <c r="S365">
        <v>100000001</v>
      </c>
      <c r="T365">
        <v>1.00006182168268E+16</v>
      </c>
      <c r="U365">
        <v>100000001</v>
      </c>
      <c r="V365" t="s">
        <v>75</v>
      </c>
      <c r="W365">
        <v>6</v>
      </c>
      <c r="X365">
        <v>11011103</v>
      </c>
      <c r="Y365">
        <v>110001001</v>
      </c>
      <c r="Z365">
        <v>121012104</v>
      </c>
      <c r="AA365">
        <v>100000001</v>
      </c>
      <c r="AB365">
        <v>10.99</v>
      </c>
      <c r="AC365">
        <v>0.90908299999999997</v>
      </c>
      <c r="AD365">
        <v>1.82636</v>
      </c>
      <c r="AE365">
        <v>4</v>
      </c>
      <c r="AM365">
        <v>4720551836</v>
      </c>
      <c r="AN365">
        <v>0</v>
      </c>
      <c r="AO365">
        <v>0</v>
      </c>
      <c r="AP365">
        <v>4720551836</v>
      </c>
      <c r="AQ365">
        <v>4720551836</v>
      </c>
      <c r="AR365">
        <v>157351727</v>
      </c>
      <c r="AS365">
        <v>0</v>
      </c>
      <c r="AT365">
        <v>0</v>
      </c>
      <c r="AU365">
        <v>157351727</v>
      </c>
      <c r="AV365">
        <v>157351727</v>
      </c>
      <c r="AW365">
        <v>18.641500000000001</v>
      </c>
      <c r="AX365">
        <v>9.1069099999999992</v>
      </c>
      <c r="AY365">
        <v>2542.06</v>
      </c>
      <c r="AZ365">
        <v>1795.93</v>
      </c>
      <c r="BA365">
        <v>7287</v>
      </c>
      <c r="BB365">
        <v>1020</v>
      </c>
      <c r="BC365" t="str">
        <f t="shared" si="10"/>
        <v>u=0%, k=2x10^8</v>
      </c>
      <c r="BD365">
        <f t="shared" si="11"/>
        <v>0</v>
      </c>
    </row>
    <row r="366" spans="1:56">
      <c r="A366" t="s">
        <v>450</v>
      </c>
      <c r="B366" t="s">
        <v>64</v>
      </c>
      <c r="C366">
        <v>72</v>
      </c>
      <c r="D366" t="s">
        <v>65</v>
      </c>
      <c r="E366" t="s">
        <v>60</v>
      </c>
      <c r="F366" t="s">
        <v>61</v>
      </c>
      <c r="G366">
        <v>30000</v>
      </c>
      <c r="H366">
        <v>0</v>
      </c>
      <c r="I366">
        <v>0</v>
      </c>
      <c r="J366">
        <v>0</v>
      </c>
      <c r="K366">
        <v>1</v>
      </c>
      <c r="L366">
        <v>200000000</v>
      </c>
      <c r="M366">
        <v>190</v>
      </c>
      <c r="N366">
        <v>190</v>
      </c>
      <c r="O366">
        <v>190</v>
      </c>
      <c r="P366">
        <v>0</v>
      </c>
      <c r="Q366" t="s">
        <v>62</v>
      </c>
      <c r="R366">
        <v>9999671984485860</v>
      </c>
      <c r="S366">
        <v>100000001</v>
      </c>
      <c r="T366">
        <v>9999671984485860</v>
      </c>
      <c r="U366">
        <v>100000001</v>
      </c>
      <c r="V366" t="s">
        <v>75</v>
      </c>
      <c r="W366">
        <v>6</v>
      </c>
      <c r="X366">
        <v>11011103</v>
      </c>
      <c r="Y366">
        <v>110001001</v>
      </c>
      <c r="Z366">
        <v>121012104</v>
      </c>
      <c r="AA366">
        <v>100000001</v>
      </c>
      <c r="AB366">
        <v>10.99</v>
      </c>
      <c r="AC366">
        <v>0.90908299999999997</v>
      </c>
      <c r="AD366">
        <v>1.82636</v>
      </c>
      <c r="AE366">
        <v>4</v>
      </c>
      <c r="AM366">
        <v>6175962777</v>
      </c>
      <c r="AN366">
        <v>0</v>
      </c>
      <c r="AO366">
        <v>0</v>
      </c>
      <c r="AP366">
        <v>6175962777</v>
      </c>
      <c r="AQ366">
        <v>6175962777</v>
      </c>
      <c r="AR366">
        <v>205865425</v>
      </c>
      <c r="AS366">
        <v>0</v>
      </c>
      <c r="AT366">
        <v>0</v>
      </c>
      <c r="AU366">
        <v>205865425</v>
      </c>
      <c r="AV366">
        <v>205865425</v>
      </c>
      <c r="AW366">
        <v>18.816099999999999</v>
      </c>
      <c r="AX366">
        <v>9.2428100000000004</v>
      </c>
      <c r="AY366">
        <v>2563.9499999999998</v>
      </c>
      <c r="AZ366">
        <v>1807.06</v>
      </c>
      <c r="BA366">
        <v>7354</v>
      </c>
      <c r="BB366">
        <v>1119</v>
      </c>
      <c r="BC366" t="str">
        <f t="shared" si="10"/>
        <v>u=0%, k=2x10^8</v>
      </c>
      <c r="BD366">
        <f t="shared" si="11"/>
        <v>0</v>
      </c>
    </row>
    <row r="367" spans="1:56">
      <c r="A367" t="s">
        <v>451</v>
      </c>
      <c r="B367" t="s">
        <v>66</v>
      </c>
      <c r="C367">
        <v>208</v>
      </c>
      <c r="D367" t="s">
        <v>65</v>
      </c>
      <c r="E367" t="s">
        <v>60</v>
      </c>
      <c r="F367" t="s">
        <v>61</v>
      </c>
      <c r="G367">
        <v>30000</v>
      </c>
      <c r="H367">
        <v>0</v>
      </c>
      <c r="I367">
        <v>0</v>
      </c>
      <c r="J367">
        <v>0</v>
      </c>
      <c r="K367">
        <v>1</v>
      </c>
      <c r="L367">
        <v>200000000</v>
      </c>
      <c r="M367">
        <v>24</v>
      </c>
      <c r="N367">
        <v>24</v>
      </c>
      <c r="O367">
        <v>24</v>
      </c>
      <c r="P367">
        <v>0</v>
      </c>
      <c r="Q367" t="s">
        <v>62</v>
      </c>
      <c r="R367">
        <v>9999769282609570</v>
      </c>
      <c r="S367">
        <v>100000000</v>
      </c>
      <c r="T367">
        <v>9999769282609570</v>
      </c>
      <c r="U367">
        <v>100000000</v>
      </c>
      <c r="V367" t="s">
        <v>75</v>
      </c>
      <c r="W367">
        <v>10</v>
      </c>
      <c r="X367">
        <v>1853737</v>
      </c>
      <c r="Y367">
        <v>12756437</v>
      </c>
      <c r="Z367">
        <v>14610174</v>
      </c>
      <c r="AA367">
        <v>100000000</v>
      </c>
      <c r="AB367">
        <v>7.8814700000000002</v>
      </c>
      <c r="AC367">
        <v>7.8391799999999998</v>
      </c>
      <c r="AD367">
        <v>7.8445499999999999</v>
      </c>
      <c r="AE367">
        <v>9</v>
      </c>
      <c r="AM367">
        <v>606066338</v>
      </c>
      <c r="AN367">
        <v>0</v>
      </c>
      <c r="AO367">
        <v>0</v>
      </c>
      <c r="AP367">
        <v>606066338</v>
      </c>
      <c r="AQ367">
        <v>606066338</v>
      </c>
      <c r="AR367">
        <v>20202211</v>
      </c>
      <c r="AS367">
        <v>0</v>
      </c>
      <c r="AT367">
        <v>0</v>
      </c>
      <c r="AU367">
        <v>20202211</v>
      </c>
      <c r="AV367">
        <v>20202211</v>
      </c>
      <c r="AW367">
        <v>23.5595</v>
      </c>
      <c r="AX367">
        <v>9.4336000000000002</v>
      </c>
      <c r="AY367">
        <v>3313.76</v>
      </c>
      <c r="AZ367">
        <v>2213.63</v>
      </c>
      <c r="BA367">
        <v>4297</v>
      </c>
      <c r="BB367">
        <v>9581</v>
      </c>
      <c r="BC367" t="str">
        <f t="shared" si="10"/>
        <v>u=0%, k=2x10^8</v>
      </c>
      <c r="BD367">
        <f t="shared" si="11"/>
        <v>0</v>
      </c>
    </row>
    <row r="368" spans="1:56">
      <c r="A368" t="s">
        <v>452</v>
      </c>
      <c r="B368" t="s">
        <v>66</v>
      </c>
      <c r="C368">
        <v>208</v>
      </c>
      <c r="D368" t="s">
        <v>65</v>
      </c>
      <c r="E368" t="s">
        <v>60</v>
      </c>
      <c r="F368" t="s">
        <v>61</v>
      </c>
      <c r="G368">
        <v>30000</v>
      </c>
      <c r="H368">
        <v>0</v>
      </c>
      <c r="I368">
        <v>0</v>
      </c>
      <c r="J368">
        <v>0</v>
      </c>
      <c r="K368">
        <v>1</v>
      </c>
      <c r="L368">
        <v>200000000</v>
      </c>
      <c r="M368">
        <v>48</v>
      </c>
      <c r="N368">
        <v>48</v>
      </c>
      <c r="O368">
        <v>48</v>
      </c>
      <c r="P368">
        <v>0</v>
      </c>
      <c r="Q368" t="s">
        <v>62</v>
      </c>
      <c r="R368">
        <v>1.00006038477618E+16</v>
      </c>
      <c r="S368">
        <v>100000000</v>
      </c>
      <c r="T368">
        <v>1.00006038477618E+16</v>
      </c>
      <c r="U368">
        <v>100000000</v>
      </c>
      <c r="V368" t="s">
        <v>75</v>
      </c>
      <c r="W368">
        <v>10</v>
      </c>
      <c r="X368">
        <v>1854287</v>
      </c>
      <c r="Y368">
        <v>12757299</v>
      </c>
      <c r="Z368">
        <v>14611586</v>
      </c>
      <c r="AA368">
        <v>100000000</v>
      </c>
      <c r="AB368">
        <v>7.8798899999999996</v>
      </c>
      <c r="AC368">
        <v>7.8386500000000003</v>
      </c>
      <c r="AD368">
        <v>7.8438800000000004</v>
      </c>
      <c r="AE368">
        <v>9</v>
      </c>
      <c r="AM368">
        <v>1142212129</v>
      </c>
      <c r="AN368">
        <v>0</v>
      </c>
      <c r="AO368">
        <v>0</v>
      </c>
      <c r="AP368">
        <v>1142212129</v>
      </c>
      <c r="AQ368">
        <v>1142212129</v>
      </c>
      <c r="AR368">
        <v>38073737</v>
      </c>
      <c r="AS368">
        <v>0</v>
      </c>
      <c r="AT368">
        <v>0</v>
      </c>
      <c r="AU368">
        <v>38073737</v>
      </c>
      <c r="AV368">
        <v>38073737</v>
      </c>
      <c r="AW368">
        <v>23.544699999999999</v>
      </c>
      <c r="AX368">
        <v>9.4687099999999997</v>
      </c>
      <c r="AY368">
        <v>3515.76</v>
      </c>
      <c r="AZ368">
        <v>2627.12</v>
      </c>
      <c r="BA368">
        <v>4383</v>
      </c>
      <c r="BB368">
        <v>6547</v>
      </c>
      <c r="BC368" t="str">
        <f t="shared" si="10"/>
        <v>u=0%, k=2x10^8</v>
      </c>
      <c r="BD368">
        <f t="shared" si="11"/>
        <v>0</v>
      </c>
    </row>
    <row r="369" spans="1:56">
      <c r="A369" t="s">
        <v>453</v>
      </c>
      <c r="B369" t="s">
        <v>66</v>
      </c>
      <c r="C369">
        <v>208</v>
      </c>
      <c r="D369" t="s">
        <v>65</v>
      </c>
      <c r="E369" t="s">
        <v>60</v>
      </c>
      <c r="F369" t="s">
        <v>61</v>
      </c>
      <c r="G369">
        <v>30000</v>
      </c>
      <c r="H369">
        <v>0</v>
      </c>
      <c r="I369">
        <v>0</v>
      </c>
      <c r="J369">
        <v>0</v>
      </c>
      <c r="K369">
        <v>1</v>
      </c>
      <c r="L369">
        <v>200000000</v>
      </c>
      <c r="M369">
        <v>96</v>
      </c>
      <c r="N369">
        <v>96</v>
      </c>
      <c r="O369">
        <v>96</v>
      </c>
      <c r="P369">
        <v>0</v>
      </c>
      <c r="Q369" t="s">
        <v>62</v>
      </c>
      <c r="R369">
        <v>1.00001177994952E+16</v>
      </c>
      <c r="S369">
        <v>100000000</v>
      </c>
      <c r="T369">
        <v>1.00001177994952E+16</v>
      </c>
      <c r="U369">
        <v>100000000</v>
      </c>
      <c r="V369" t="s">
        <v>75</v>
      </c>
      <c r="W369">
        <v>10</v>
      </c>
      <c r="X369">
        <v>1853688</v>
      </c>
      <c r="Y369">
        <v>12757684</v>
      </c>
      <c r="Z369">
        <v>14611372</v>
      </c>
      <c r="AA369">
        <v>100000000</v>
      </c>
      <c r="AB369">
        <v>7.8823299999999996</v>
      </c>
      <c r="AC369">
        <v>7.8384099999999997</v>
      </c>
      <c r="AD369">
        <v>7.8439800000000002</v>
      </c>
      <c r="AE369">
        <v>9</v>
      </c>
      <c r="AM369">
        <v>2426133323</v>
      </c>
      <c r="AN369">
        <v>0</v>
      </c>
      <c r="AO369">
        <v>0</v>
      </c>
      <c r="AP369">
        <v>2426133323</v>
      </c>
      <c r="AQ369">
        <v>2426133323</v>
      </c>
      <c r="AR369">
        <v>80871110</v>
      </c>
      <c r="AS369">
        <v>0</v>
      </c>
      <c r="AT369">
        <v>0</v>
      </c>
      <c r="AU369">
        <v>80871110</v>
      </c>
      <c r="AV369">
        <v>80871110</v>
      </c>
      <c r="AW369">
        <v>23.430099999999999</v>
      </c>
      <c r="AX369">
        <v>10.286199999999999</v>
      </c>
      <c r="AY369">
        <v>3303.9</v>
      </c>
      <c r="AZ369">
        <v>2348.0500000000002</v>
      </c>
      <c r="BA369">
        <v>4615</v>
      </c>
      <c r="BB369">
        <v>6271</v>
      </c>
      <c r="BC369" t="str">
        <f t="shared" si="10"/>
        <v>u=0%, k=2x10^8</v>
      </c>
      <c r="BD369">
        <f t="shared" si="11"/>
        <v>0</v>
      </c>
    </row>
    <row r="370" spans="1:56">
      <c r="A370" t="s">
        <v>454</v>
      </c>
      <c r="B370" t="s">
        <v>66</v>
      </c>
      <c r="C370">
        <v>208</v>
      </c>
      <c r="D370" t="s">
        <v>65</v>
      </c>
      <c r="E370" t="s">
        <v>60</v>
      </c>
      <c r="F370" t="s">
        <v>61</v>
      </c>
      <c r="G370">
        <v>30000</v>
      </c>
      <c r="H370">
        <v>0</v>
      </c>
      <c r="I370">
        <v>0</v>
      </c>
      <c r="J370">
        <v>0</v>
      </c>
      <c r="K370">
        <v>1</v>
      </c>
      <c r="L370">
        <v>200000000</v>
      </c>
      <c r="M370">
        <v>144</v>
      </c>
      <c r="N370">
        <v>144</v>
      </c>
      <c r="O370">
        <v>144</v>
      </c>
      <c r="P370">
        <v>0</v>
      </c>
      <c r="Q370" t="s">
        <v>62</v>
      </c>
      <c r="R370">
        <v>1.00007049845185E+16</v>
      </c>
      <c r="S370">
        <v>100000000</v>
      </c>
      <c r="T370">
        <v>1.00007049845185E+16</v>
      </c>
      <c r="U370">
        <v>100000000</v>
      </c>
      <c r="V370" t="s">
        <v>75</v>
      </c>
      <c r="W370">
        <v>10</v>
      </c>
      <c r="X370">
        <v>1854429</v>
      </c>
      <c r="Y370">
        <v>12758171</v>
      </c>
      <c r="Z370">
        <v>14612600</v>
      </c>
      <c r="AA370">
        <v>100000000</v>
      </c>
      <c r="AB370">
        <v>7.8798399999999997</v>
      </c>
      <c r="AC370">
        <v>7.8381100000000004</v>
      </c>
      <c r="AD370">
        <v>7.8434100000000004</v>
      </c>
      <c r="AE370">
        <v>9</v>
      </c>
      <c r="AM370">
        <v>3656178507</v>
      </c>
      <c r="AN370">
        <v>0</v>
      </c>
      <c r="AO370">
        <v>0</v>
      </c>
      <c r="AP370">
        <v>3656178507</v>
      </c>
      <c r="AQ370">
        <v>3656178507</v>
      </c>
      <c r="AR370">
        <v>121872616</v>
      </c>
      <c r="AS370">
        <v>0</v>
      </c>
      <c r="AT370">
        <v>0</v>
      </c>
      <c r="AU370">
        <v>121872616</v>
      </c>
      <c r="AV370">
        <v>121872616</v>
      </c>
      <c r="AW370">
        <v>23.554099999999998</v>
      </c>
      <c r="AX370">
        <v>10.546900000000001</v>
      </c>
      <c r="AY370">
        <v>3283.85</v>
      </c>
      <c r="AZ370">
        <v>2320.71</v>
      </c>
      <c r="BA370">
        <v>4723</v>
      </c>
      <c r="BB370">
        <v>6043</v>
      </c>
      <c r="BC370" t="str">
        <f t="shared" si="10"/>
        <v>u=0%, k=2x10^8</v>
      </c>
      <c r="BD370">
        <f t="shared" si="11"/>
        <v>0</v>
      </c>
    </row>
    <row r="371" spans="1:56">
      <c r="A371" t="s">
        <v>455</v>
      </c>
      <c r="B371" t="s">
        <v>66</v>
      </c>
      <c r="C371">
        <v>208</v>
      </c>
      <c r="D371" t="s">
        <v>65</v>
      </c>
      <c r="E371" t="s">
        <v>60</v>
      </c>
      <c r="F371" t="s">
        <v>61</v>
      </c>
      <c r="G371">
        <v>30000</v>
      </c>
      <c r="H371">
        <v>0</v>
      </c>
      <c r="I371">
        <v>0</v>
      </c>
      <c r="J371">
        <v>0</v>
      </c>
      <c r="K371">
        <v>1</v>
      </c>
      <c r="L371">
        <v>200000000</v>
      </c>
      <c r="M371">
        <v>190</v>
      </c>
      <c r="N371">
        <v>190</v>
      </c>
      <c r="O371">
        <v>190</v>
      </c>
      <c r="P371">
        <v>0</v>
      </c>
      <c r="Q371" t="s">
        <v>62</v>
      </c>
      <c r="R371">
        <v>9999974429040690</v>
      </c>
      <c r="S371">
        <v>100000000</v>
      </c>
      <c r="T371">
        <v>9999974429040690</v>
      </c>
      <c r="U371">
        <v>100000000</v>
      </c>
      <c r="V371" t="s">
        <v>75</v>
      </c>
      <c r="W371">
        <v>10</v>
      </c>
      <c r="X371">
        <v>1853960</v>
      </c>
      <c r="Y371">
        <v>12758176</v>
      </c>
      <c r="Z371">
        <v>14612136</v>
      </c>
      <c r="AA371">
        <v>100000000</v>
      </c>
      <c r="AB371">
        <v>7.8815799999999996</v>
      </c>
      <c r="AC371">
        <v>7.8381100000000004</v>
      </c>
      <c r="AD371">
        <v>7.8436300000000001</v>
      </c>
      <c r="AE371">
        <v>9</v>
      </c>
      <c r="AM371">
        <v>4778411542</v>
      </c>
      <c r="AN371">
        <v>0</v>
      </c>
      <c r="AO371">
        <v>0</v>
      </c>
      <c r="AP371">
        <v>4778411542</v>
      </c>
      <c r="AQ371">
        <v>4778411542</v>
      </c>
      <c r="AR371">
        <v>159280384</v>
      </c>
      <c r="AS371">
        <v>0</v>
      </c>
      <c r="AT371">
        <v>0</v>
      </c>
      <c r="AU371">
        <v>159280384</v>
      </c>
      <c r="AV371">
        <v>159280384</v>
      </c>
      <c r="AW371">
        <v>23.595300000000002</v>
      </c>
      <c r="AX371">
        <v>10.8543</v>
      </c>
      <c r="AY371">
        <v>3310.63</v>
      </c>
      <c r="AZ371">
        <v>2340.54</v>
      </c>
      <c r="BA371">
        <v>5119</v>
      </c>
      <c r="BB371">
        <v>6065</v>
      </c>
      <c r="BC371" t="str">
        <f t="shared" si="10"/>
        <v>u=0%, k=2x10^8</v>
      </c>
      <c r="BD371">
        <f t="shared" si="11"/>
        <v>0</v>
      </c>
    </row>
    <row r="372" spans="1:56">
      <c r="A372" t="s">
        <v>456</v>
      </c>
      <c r="B372" t="s">
        <v>67</v>
      </c>
      <c r="D372" t="s">
        <v>65</v>
      </c>
      <c r="E372" t="s">
        <v>60</v>
      </c>
      <c r="F372" t="s">
        <v>61</v>
      </c>
      <c r="G372">
        <v>30000</v>
      </c>
      <c r="H372">
        <v>0</v>
      </c>
      <c r="I372">
        <v>0</v>
      </c>
      <c r="J372">
        <v>0</v>
      </c>
      <c r="K372">
        <v>1</v>
      </c>
      <c r="L372">
        <v>200000000</v>
      </c>
      <c r="M372">
        <v>24</v>
      </c>
      <c r="N372">
        <v>24</v>
      </c>
      <c r="O372">
        <v>24</v>
      </c>
      <c r="P372">
        <v>0</v>
      </c>
      <c r="Q372" t="s">
        <v>62</v>
      </c>
      <c r="R372">
        <v>1.00003015087795E+16</v>
      </c>
      <c r="S372">
        <v>100000000</v>
      </c>
      <c r="T372">
        <v>1.00003015087795E+16</v>
      </c>
      <c r="U372">
        <v>100000000</v>
      </c>
      <c r="V372" t="s">
        <v>75</v>
      </c>
      <c r="W372">
        <v>33</v>
      </c>
      <c r="X372">
        <v>57143088</v>
      </c>
      <c r="Y372">
        <v>42856913</v>
      </c>
      <c r="Z372">
        <v>100000001</v>
      </c>
      <c r="AA372">
        <v>100000000</v>
      </c>
      <c r="AB372">
        <v>1.7499899999999999</v>
      </c>
      <c r="AC372">
        <v>2.3333499999999998</v>
      </c>
      <c r="AD372">
        <v>2</v>
      </c>
      <c r="AE372">
        <v>26.0441</v>
      </c>
      <c r="AM372">
        <v>257744277</v>
      </c>
      <c r="AN372">
        <v>0</v>
      </c>
      <c r="AO372">
        <v>0</v>
      </c>
      <c r="AP372">
        <v>257744277</v>
      </c>
      <c r="AQ372">
        <v>257744277</v>
      </c>
      <c r="AR372">
        <v>8591475</v>
      </c>
      <c r="AS372">
        <v>0</v>
      </c>
      <c r="AT372">
        <v>0</v>
      </c>
      <c r="AU372">
        <v>8591475</v>
      </c>
      <c r="AV372">
        <v>8591475</v>
      </c>
      <c r="AW372">
        <v>39.578800000000001</v>
      </c>
      <c r="AX372">
        <v>17.561699999999998</v>
      </c>
      <c r="AY372">
        <v>7793.39</v>
      </c>
      <c r="AZ372">
        <v>6469.77</v>
      </c>
      <c r="BA372">
        <v>7527</v>
      </c>
      <c r="BB372">
        <v>17211</v>
      </c>
      <c r="BC372" t="str">
        <f t="shared" si="10"/>
        <v>u=0%, k=2x10^8</v>
      </c>
      <c r="BD372">
        <f t="shared" si="11"/>
        <v>0</v>
      </c>
    </row>
    <row r="373" spans="1:56">
      <c r="A373" t="s">
        <v>457</v>
      </c>
      <c r="B373" t="s">
        <v>67</v>
      </c>
      <c r="D373" t="s">
        <v>65</v>
      </c>
      <c r="E373" t="s">
        <v>60</v>
      </c>
      <c r="F373" t="s">
        <v>61</v>
      </c>
      <c r="G373">
        <v>30000</v>
      </c>
      <c r="H373">
        <v>0</v>
      </c>
      <c r="I373">
        <v>0</v>
      </c>
      <c r="J373">
        <v>0</v>
      </c>
      <c r="K373">
        <v>1</v>
      </c>
      <c r="L373">
        <v>200000000</v>
      </c>
      <c r="M373">
        <v>48</v>
      </c>
      <c r="N373">
        <v>48</v>
      </c>
      <c r="O373">
        <v>48</v>
      </c>
      <c r="P373">
        <v>0</v>
      </c>
      <c r="Q373" t="s">
        <v>62</v>
      </c>
      <c r="R373">
        <v>9999235605558220</v>
      </c>
      <c r="S373">
        <v>100000000</v>
      </c>
      <c r="T373">
        <v>9999235605558220</v>
      </c>
      <c r="U373">
        <v>100000000</v>
      </c>
      <c r="V373" t="s">
        <v>75</v>
      </c>
      <c r="W373">
        <v>33</v>
      </c>
      <c r="X373">
        <v>57143151</v>
      </c>
      <c r="Y373">
        <v>42856850</v>
      </c>
      <c r="Z373">
        <v>100000001</v>
      </c>
      <c r="AA373">
        <v>100000000</v>
      </c>
      <c r="AB373">
        <v>1.7499899999999999</v>
      </c>
      <c r="AC373">
        <v>2.3333499999999998</v>
      </c>
      <c r="AD373">
        <v>2</v>
      </c>
      <c r="AE373">
        <v>26.051300000000001</v>
      </c>
      <c r="AM373">
        <v>493253240</v>
      </c>
      <c r="AN373">
        <v>0</v>
      </c>
      <c r="AO373">
        <v>0</v>
      </c>
      <c r="AP373">
        <v>493253240</v>
      </c>
      <c r="AQ373">
        <v>493253240</v>
      </c>
      <c r="AR373">
        <v>16441774</v>
      </c>
      <c r="AS373">
        <v>0</v>
      </c>
      <c r="AT373">
        <v>0</v>
      </c>
      <c r="AU373">
        <v>16441774</v>
      </c>
      <c r="AV373">
        <v>16441774</v>
      </c>
      <c r="AW373">
        <v>40.275500000000001</v>
      </c>
      <c r="AX373">
        <v>17.631499999999999</v>
      </c>
      <c r="AY373">
        <v>8142.49</v>
      </c>
      <c r="AZ373">
        <v>6833.75</v>
      </c>
      <c r="BA373">
        <v>7533</v>
      </c>
      <c r="BB373">
        <v>9264</v>
      </c>
      <c r="BC373" t="str">
        <f t="shared" si="10"/>
        <v>u=0%, k=2x10^8</v>
      </c>
      <c r="BD373">
        <f t="shared" si="11"/>
        <v>0</v>
      </c>
    </row>
    <row r="374" spans="1:56">
      <c r="A374" t="s">
        <v>458</v>
      </c>
      <c r="B374" t="s">
        <v>67</v>
      </c>
      <c r="D374" t="s">
        <v>65</v>
      </c>
      <c r="E374" t="s">
        <v>60</v>
      </c>
      <c r="F374" t="s">
        <v>61</v>
      </c>
      <c r="G374">
        <v>30000</v>
      </c>
      <c r="H374">
        <v>0</v>
      </c>
      <c r="I374">
        <v>0</v>
      </c>
      <c r="J374">
        <v>0</v>
      </c>
      <c r="K374">
        <v>1</v>
      </c>
      <c r="L374">
        <v>200000000</v>
      </c>
      <c r="M374">
        <v>96</v>
      </c>
      <c r="N374">
        <v>96</v>
      </c>
      <c r="O374">
        <v>96</v>
      </c>
      <c r="P374">
        <v>0</v>
      </c>
      <c r="Q374" t="s">
        <v>62</v>
      </c>
      <c r="R374">
        <v>9999982569350870</v>
      </c>
      <c r="S374">
        <v>100000000</v>
      </c>
      <c r="T374">
        <v>9999982569350870</v>
      </c>
      <c r="U374">
        <v>100000000</v>
      </c>
      <c r="V374" t="s">
        <v>75</v>
      </c>
      <c r="W374">
        <v>33</v>
      </c>
      <c r="X374">
        <v>57138994</v>
      </c>
      <c r="Y374">
        <v>42861007</v>
      </c>
      <c r="Z374">
        <v>100000001</v>
      </c>
      <c r="AA374">
        <v>100000000</v>
      </c>
      <c r="AB374">
        <v>1.7501199999999999</v>
      </c>
      <c r="AC374">
        <v>2.3331200000000001</v>
      </c>
      <c r="AD374">
        <v>2</v>
      </c>
      <c r="AE374">
        <v>26.058299999999999</v>
      </c>
      <c r="AM374">
        <v>1055220160</v>
      </c>
      <c r="AN374">
        <v>0</v>
      </c>
      <c r="AO374">
        <v>0</v>
      </c>
      <c r="AP374">
        <v>1055220160</v>
      </c>
      <c r="AQ374">
        <v>1055220160</v>
      </c>
      <c r="AR374">
        <v>35174005</v>
      </c>
      <c r="AS374">
        <v>0</v>
      </c>
      <c r="AT374">
        <v>0</v>
      </c>
      <c r="AU374">
        <v>35174005</v>
      </c>
      <c r="AV374">
        <v>35174005</v>
      </c>
      <c r="AW374">
        <v>40.607799999999997</v>
      </c>
      <c r="AX374">
        <v>19.516500000000001</v>
      </c>
      <c r="AY374">
        <v>7600.64</v>
      </c>
      <c r="AZ374">
        <v>6188.64</v>
      </c>
      <c r="BA374">
        <v>7548</v>
      </c>
      <c r="BB374">
        <v>4705</v>
      </c>
      <c r="BC374" t="str">
        <f t="shared" si="10"/>
        <v>u=0%, k=2x10^8</v>
      </c>
      <c r="BD374">
        <f t="shared" si="11"/>
        <v>0</v>
      </c>
    </row>
    <row r="375" spans="1:56">
      <c r="A375" t="s">
        <v>459</v>
      </c>
      <c r="B375" t="s">
        <v>67</v>
      </c>
      <c r="D375" t="s">
        <v>65</v>
      </c>
      <c r="E375" t="s">
        <v>60</v>
      </c>
      <c r="F375" t="s">
        <v>61</v>
      </c>
      <c r="G375">
        <v>30000</v>
      </c>
      <c r="H375">
        <v>0</v>
      </c>
      <c r="I375">
        <v>0</v>
      </c>
      <c r="J375">
        <v>0</v>
      </c>
      <c r="K375">
        <v>1</v>
      </c>
      <c r="L375">
        <v>200000000</v>
      </c>
      <c r="M375">
        <v>144</v>
      </c>
      <c r="N375">
        <v>144</v>
      </c>
      <c r="O375">
        <v>144</v>
      </c>
      <c r="P375">
        <v>0</v>
      </c>
      <c r="Q375" t="s">
        <v>62</v>
      </c>
      <c r="R375">
        <v>9999655802471710</v>
      </c>
      <c r="S375">
        <v>100000000</v>
      </c>
      <c r="T375">
        <v>9999655802471710</v>
      </c>
      <c r="U375">
        <v>100000000</v>
      </c>
      <c r="V375" t="s">
        <v>75</v>
      </c>
      <c r="W375">
        <v>33</v>
      </c>
      <c r="X375">
        <v>57141650</v>
      </c>
      <c r="Y375">
        <v>42858351</v>
      </c>
      <c r="Z375">
        <v>100000001</v>
      </c>
      <c r="AA375">
        <v>100000000</v>
      </c>
      <c r="AB375">
        <v>1.75004</v>
      </c>
      <c r="AC375">
        <v>2.3332700000000002</v>
      </c>
      <c r="AD375">
        <v>2</v>
      </c>
      <c r="AE375">
        <v>26.0318</v>
      </c>
      <c r="AM375">
        <v>1590087996</v>
      </c>
      <c r="AN375">
        <v>0</v>
      </c>
      <c r="AO375">
        <v>0</v>
      </c>
      <c r="AP375">
        <v>1590087996</v>
      </c>
      <c r="AQ375">
        <v>1590087996</v>
      </c>
      <c r="AR375">
        <v>53002933</v>
      </c>
      <c r="AS375">
        <v>0</v>
      </c>
      <c r="AT375">
        <v>0</v>
      </c>
      <c r="AU375">
        <v>53002933</v>
      </c>
      <c r="AV375">
        <v>53002933</v>
      </c>
      <c r="AW375">
        <v>41.560099999999998</v>
      </c>
      <c r="AX375">
        <v>19.871200000000002</v>
      </c>
      <c r="AY375">
        <v>7563.24</v>
      </c>
      <c r="AZ375">
        <v>6139.81</v>
      </c>
      <c r="BA375">
        <v>7561</v>
      </c>
      <c r="BB375">
        <v>3143</v>
      </c>
      <c r="BC375" t="str">
        <f t="shared" si="10"/>
        <v>u=0%, k=2x10^8</v>
      </c>
      <c r="BD375">
        <f t="shared" si="11"/>
        <v>0</v>
      </c>
    </row>
    <row r="376" spans="1:56">
      <c r="A376" t="s">
        <v>460</v>
      </c>
      <c r="B376" t="s">
        <v>67</v>
      </c>
      <c r="D376" t="s">
        <v>65</v>
      </c>
      <c r="E376" t="s">
        <v>60</v>
      </c>
      <c r="F376" t="s">
        <v>61</v>
      </c>
      <c r="G376">
        <v>30000</v>
      </c>
      <c r="H376">
        <v>0</v>
      </c>
      <c r="I376">
        <v>0</v>
      </c>
      <c r="J376">
        <v>0</v>
      </c>
      <c r="K376">
        <v>1</v>
      </c>
      <c r="L376">
        <v>200000000</v>
      </c>
      <c r="M376">
        <v>190</v>
      </c>
      <c r="N376">
        <v>190</v>
      </c>
      <c r="O376">
        <v>190</v>
      </c>
      <c r="P376">
        <v>0</v>
      </c>
      <c r="Q376" t="s">
        <v>62</v>
      </c>
      <c r="R376">
        <v>9999664145360370</v>
      </c>
      <c r="S376">
        <v>100000000</v>
      </c>
      <c r="T376">
        <v>9999664145360370</v>
      </c>
      <c r="U376">
        <v>100000000</v>
      </c>
      <c r="V376" t="s">
        <v>75</v>
      </c>
      <c r="W376">
        <v>33</v>
      </c>
      <c r="X376">
        <v>57144825</v>
      </c>
      <c r="Y376">
        <v>42855176</v>
      </c>
      <c r="Z376">
        <v>100000001</v>
      </c>
      <c r="AA376">
        <v>100000000</v>
      </c>
      <c r="AB376">
        <v>1.7499400000000001</v>
      </c>
      <c r="AC376">
        <v>2.33344</v>
      </c>
      <c r="AD376">
        <v>2</v>
      </c>
      <c r="AE376">
        <v>26.0806</v>
      </c>
      <c r="AM376">
        <v>2126370761</v>
      </c>
      <c r="AN376">
        <v>0</v>
      </c>
      <c r="AO376">
        <v>0</v>
      </c>
      <c r="AP376">
        <v>2126370761</v>
      </c>
      <c r="AQ376">
        <v>2126370761</v>
      </c>
      <c r="AR376">
        <v>70879025</v>
      </c>
      <c r="AS376">
        <v>0</v>
      </c>
      <c r="AT376">
        <v>0</v>
      </c>
      <c r="AU376">
        <v>70879025</v>
      </c>
      <c r="AV376">
        <v>70879025</v>
      </c>
      <c r="AW376">
        <v>40.776299999999999</v>
      </c>
      <c r="AX376">
        <v>20.087499999999999</v>
      </c>
      <c r="AY376">
        <v>7461.4</v>
      </c>
      <c r="AZ376">
        <v>6025.31</v>
      </c>
      <c r="BA376">
        <v>7575</v>
      </c>
      <c r="BB376">
        <v>2762</v>
      </c>
      <c r="BC376" t="str">
        <f t="shared" si="10"/>
        <v>u=0%, k=2x10^8</v>
      </c>
      <c r="BD376">
        <f t="shared" si="11"/>
        <v>0</v>
      </c>
    </row>
    <row r="377" spans="1:56">
      <c r="A377" t="s">
        <v>461</v>
      </c>
      <c r="B377" t="s">
        <v>68</v>
      </c>
      <c r="D377" t="s">
        <v>65</v>
      </c>
      <c r="E377" t="s">
        <v>60</v>
      </c>
      <c r="F377" t="s">
        <v>61</v>
      </c>
      <c r="G377">
        <v>30000</v>
      </c>
      <c r="H377">
        <v>0</v>
      </c>
      <c r="I377">
        <v>0</v>
      </c>
      <c r="J377">
        <v>0</v>
      </c>
      <c r="K377">
        <v>1</v>
      </c>
      <c r="L377">
        <v>200000000</v>
      </c>
      <c r="M377">
        <v>24</v>
      </c>
      <c r="N377">
        <v>24</v>
      </c>
      <c r="O377">
        <v>24</v>
      </c>
      <c r="P377">
        <v>0</v>
      </c>
      <c r="Q377" t="s">
        <v>62</v>
      </c>
      <c r="R377">
        <v>1.00004463072738E+16</v>
      </c>
      <c r="S377">
        <v>100000000</v>
      </c>
      <c r="T377">
        <v>1.00004463072738E+16</v>
      </c>
      <c r="U377">
        <v>100000000</v>
      </c>
      <c r="V377" t="s">
        <v>75</v>
      </c>
      <c r="W377">
        <v>68</v>
      </c>
      <c r="X377">
        <v>99999999</v>
      </c>
      <c r="Y377">
        <v>100000000</v>
      </c>
      <c r="Z377">
        <v>199999999</v>
      </c>
      <c r="AA377">
        <v>100000000</v>
      </c>
      <c r="AB377">
        <v>2</v>
      </c>
      <c r="AC377">
        <v>1</v>
      </c>
      <c r="AD377">
        <v>1.5</v>
      </c>
      <c r="AE377">
        <v>35.8001</v>
      </c>
      <c r="AM377">
        <v>205771605</v>
      </c>
      <c r="AN377">
        <v>0</v>
      </c>
      <c r="AO377">
        <v>0</v>
      </c>
      <c r="AP377">
        <v>205771605</v>
      </c>
      <c r="AQ377">
        <v>205771605</v>
      </c>
      <c r="AR377">
        <v>6859053</v>
      </c>
      <c r="AS377">
        <v>0</v>
      </c>
      <c r="AT377">
        <v>0</v>
      </c>
      <c r="AU377">
        <v>6859053</v>
      </c>
      <c r="AV377">
        <v>6859053</v>
      </c>
      <c r="AW377">
        <v>37.512500000000003</v>
      </c>
      <c r="AX377">
        <v>16.910599999999999</v>
      </c>
      <c r="AY377">
        <v>9762.15</v>
      </c>
      <c r="AZ377">
        <v>8003.31</v>
      </c>
      <c r="BA377">
        <v>7526</v>
      </c>
      <c r="BB377">
        <v>18946</v>
      </c>
      <c r="BC377" t="str">
        <f t="shared" si="10"/>
        <v>u=0%, k=2x10^8</v>
      </c>
      <c r="BD377">
        <f t="shared" si="11"/>
        <v>0</v>
      </c>
    </row>
    <row r="378" spans="1:56">
      <c r="A378" t="s">
        <v>462</v>
      </c>
      <c r="B378" t="s">
        <v>68</v>
      </c>
      <c r="D378" t="s">
        <v>65</v>
      </c>
      <c r="E378" t="s">
        <v>60</v>
      </c>
      <c r="F378" t="s">
        <v>61</v>
      </c>
      <c r="G378">
        <v>30000</v>
      </c>
      <c r="H378">
        <v>0</v>
      </c>
      <c r="I378">
        <v>0</v>
      </c>
      <c r="J378">
        <v>0</v>
      </c>
      <c r="K378">
        <v>1</v>
      </c>
      <c r="L378">
        <v>200000000</v>
      </c>
      <c r="M378">
        <v>48</v>
      </c>
      <c r="N378">
        <v>48</v>
      </c>
      <c r="O378">
        <v>48</v>
      </c>
      <c r="P378">
        <v>0</v>
      </c>
      <c r="Q378" t="s">
        <v>62</v>
      </c>
      <c r="R378">
        <v>1.00003993737068E+16</v>
      </c>
      <c r="S378">
        <v>100000000</v>
      </c>
      <c r="T378">
        <v>1.00003993737068E+16</v>
      </c>
      <c r="U378">
        <v>100000000</v>
      </c>
      <c r="V378" t="s">
        <v>75</v>
      </c>
      <c r="W378">
        <v>67</v>
      </c>
      <c r="X378">
        <v>99999999</v>
      </c>
      <c r="Y378">
        <v>100000000</v>
      </c>
      <c r="Z378">
        <v>199999999</v>
      </c>
      <c r="AA378">
        <v>100000000</v>
      </c>
      <c r="AB378">
        <v>2</v>
      </c>
      <c r="AC378">
        <v>1</v>
      </c>
      <c r="AD378">
        <v>1.5</v>
      </c>
      <c r="AE378">
        <v>35.566800000000001</v>
      </c>
      <c r="AM378">
        <v>400445061</v>
      </c>
      <c r="AN378">
        <v>0</v>
      </c>
      <c r="AO378">
        <v>0</v>
      </c>
      <c r="AP378">
        <v>400445061</v>
      </c>
      <c r="AQ378">
        <v>400445061</v>
      </c>
      <c r="AR378">
        <v>13348168</v>
      </c>
      <c r="AS378">
        <v>0</v>
      </c>
      <c r="AT378">
        <v>0</v>
      </c>
      <c r="AU378">
        <v>13348168</v>
      </c>
      <c r="AV378">
        <v>13348168</v>
      </c>
      <c r="AW378">
        <v>37.386800000000001</v>
      </c>
      <c r="AX378">
        <v>16.8752</v>
      </c>
      <c r="AY378">
        <v>10030.6</v>
      </c>
      <c r="AZ378">
        <v>8944.4599999999991</v>
      </c>
      <c r="BA378">
        <v>7533</v>
      </c>
      <c r="BB378">
        <v>9931</v>
      </c>
      <c r="BC378" t="str">
        <f t="shared" si="10"/>
        <v>u=0%, k=2x10^8</v>
      </c>
      <c r="BD378">
        <f t="shared" si="11"/>
        <v>0</v>
      </c>
    </row>
    <row r="379" spans="1:56">
      <c r="A379" t="s">
        <v>463</v>
      </c>
      <c r="B379" t="s">
        <v>68</v>
      </c>
      <c r="D379" t="s">
        <v>65</v>
      </c>
      <c r="E379" t="s">
        <v>60</v>
      </c>
      <c r="F379" t="s">
        <v>61</v>
      </c>
      <c r="G379">
        <v>30000</v>
      </c>
      <c r="H379">
        <v>0</v>
      </c>
      <c r="I379">
        <v>0</v>
      </c>
      <c r="J379">
        <v>0</v>
      </c>
      <c r="K379">
        <v>1</v>
      </c>
      <c r="L379">
        <v>200000000</v>
      </c>
      <c r="M379">
        <v>96</v>
      </c>
      <c r="N379">
        <v>96</v>
      </c>
      <c r="O379">
        <v>96</v>
      </c>
      <c r="P379">
        <v>0</v>
      </c>
      <c r="Q379" t="s">
        <v>62</v>
      </c>
      <c r="R379">
        <v>9999184081201840</v>
      </c>
      <c r="S379">
        <v>100000000</v>
      </c>
      <c r="T379">
        <v>9999184081201840</v>
      </c>
      <c r="U379">
        <v>100000000</v>
      </c>
      <c r="V379" t="s">
        <v>75</v>
      </c>
      <c r="W379">
        <v>72</v>
      </c>
      <c r="X379">
        <v>99999999</v>
      </c>
      <c r="Y379">
        <v>100000000</v>
      </c>
      <c r="Z379">
        <v>199999999</v>
      </c>
      <c r="AA379">
        <v>100000000</v>
      </c>
      <c r="AB379">
        <v>2</v>
      </c>
      <c r="AC379">
        <v>1</v>
      </c>
      <c r="AD379">
        <v>1.5</v>
      </c>
      <c r="AE379">
        <v>36.106299999999997</v>
      </c>
      <c r="AM379">
        <v>875042144</v>
      </c>
      <c r="AN379">
        <v>0</v>
      </c>
      <c r="AO379">
        <v>0</v>
      </c>
      <c r="AP379">
        <v>875042144</v>
      </c>
      <c r="AQ379">
        <v>875042144</v>
      </c>
      <c r="AR379">
        <v>29168071</v>
      </c>
      <c r="AS379">
        <v>0</v>
      </c>
      <c r="AT379">
        <v>0</v>
      </c>
      <c r="AU379">
        <v>29168071</v>
      </c>
      <c r="AV379">
        <v>29168071</v>
      </c>
      <c r="AW379">
        <v>38.088000000000001</v>
      </c>
      <c r="AX379">
        <v>18.757300000000001</v>
      </c>
      <c r="AY379">
        <v>9169.51</v>
      </c>
      <c r="AZ379">
        <v>8023.93</v>
      </c>
      <c r="BA379">
        <v>7547</v>
      </c>
      <c r="BB379">
        <v>4743</v>
      </c>
      <c r="BC379" t="str">
        <f t="shared" si="10"/>
        <v>u=0%, k=2x10^8</v>
      </c>
      <c r="BD379">
        <f t="shared" si="11"/>
        <v>0</v>
      </c>
    </row>
    <row r="380" spans="1:56">
      <c r="A380" t="s">
        <v>464</v>
      </c>
      <c r="B380" t="s">
        <v>68</v>
      </c>
      <c r="D380" t="s">
        <v>65</v>
      </c>
      <c r="E380" t="s">
        <v>60</v>
      </c>
      <c r="F380" t="s">
        <v>61</v>
      </c>
      <c r="G380">
        <v>30000</v>
      </c>
      <c r="H380">
        <v>0</v>
      </c>
      <c r="I380">
        <v>0</v>
      </c>
      <c r="J380">
        <v>0</v>
      </c>
      <c r="K380">
        <v>1</v>
      </c>
      <c r="L380">
        <v>200000000</v>
      </c>
      <c r="M380">
        <v>144</v>
      </c>
      <c r="N380">
        <v>144</v>
      </c>
      <c r="O380">
        <v>144</v>
      </c>
      <c r="P380">
        <v>0</v>
      </c>
      <c r="Q380" t="s">
        <v>62</v>
      </c>
      <c r="R380">
        <v>9999811988303540</v>
      </c>
      <c r="S380">
        <v>100000000</v>
      </c>
      <c r="T380">
        <v>9999811988303540</v>
      </c>
      <c r="U380">
        <v>100000000</v>
      </c>
      <c r="V380" t="s">
        <v>75</v>
      </c>
      <c r="W380">
        <v>69</v>
      </c>
      <c r="X380">
        <v>99999999</v>
      </c>
      <c r="Y380">
        <v>100000000</v>
      </c>
      <c r="Z380">
        <v>199999999</v>
      </c>
      <c r="AA380">
        <v>100000000</v>
      </c>
      <c r="AB380">
        <v>2</v>
      </c>
      <c r="AC380">
        <v>1</v>
      </c>
      <c r="AD380">
        <v>1.5</v>
      </c>
      <c r="AE380">
        <v>36.325499999999998</v>
      </c>
      <c r="AM380">
        <v>1338521902</v>
      </c>
      <c r="AN380">
        <v>0</v>
      </c>
      <c r="AO380">
        <v>0</v>
      </c>
      <c r="AP380">
        <v>1338521902</v>
      </c>
      <c r="AQ380">
        <v>1338521902</v>
      </c>
      <c r="AR380">
        <v>44617396</v>
      </c>
      <c r="AS380">
        <v>0</v>
      </c>
      <c r="AT380">
        <v>0</v>
      </c>
      <c r="AU380">
        <v>44617396</v>
      </c>
      <c r="AV380">
        <v>44617396</v>
      </c>
      <c r="AW380">
        <v>38.1648</v>
      </c>
      <c r="AX380">
        <v>19.1036</v>
      </c>
      <c r="AY380">
        <v>8989.34</v>
      </c>
      <c r="AZ380">
        <v>7842.21</v>
      </c>
      <c r="BA380">
        <v>7560</v>
      </c>
      <c r="BB380">
        <v>3117</v>
      </c>
      <c r="BC380" t="str">
        <f t="shared" si="10"/>
        <v>u=0%, k=2x10^8</v>
      </c>
      <c r="BD380">
        <f t="shared" si="11"/>
        <v>0</v>
      </c>
    </row>
    <row r="381" spans="1:56">
      <c r="A381" t="s">
        <v>465</v>
      </c>
      <c r="B381" t="s">
        <v>68</v>
      </c>
      <c r="D381" t="s">
        <v>65</v>
      </c>
      <c r="E381" t="s">
        <v>60</v>
      </c>
      <c r="F381" t="s">
        <v>61</v>
      </c>
      <c r="G381">
        <v>30000</v>
      </c>
      <c r="H381">
        <v>0</v>
      </c>
      <c r="I381">
        <v>0</v>
      </c>
      <c r="J381">
        <v>0</v>
      </c>
      <c r="K381">
        <v>1</v>
      </c>
      <c r="L381">
        <v>200000000</v>
      </c>
      <c r="M381">
        <v>190</v>
      </c>
      <c r="N381">
        <v>190</v>
      </c>
      <c r="O381">
        <v>190</v>
      </c>
      <c r="P381">
        <v>0</v>
      </c>
      <c r="Q381" t="s">
        <v>62</v>
      </c>
      <c r="R381">
        <v>1.00000262747402E+16</v>
      </c>
      <c r="S381">
        <v>100000000</v>
      </c>
      <c r="T381">
        <v>1.00000262747402E+16</v>
      </c>
      <c r="U381">
        <v>100000000</v>
      </c>
      <c r="V381" t="s">
        <v>75</v>
      </c>
      <c r="W381">
        <v>72</v>
      </c>
      <c r="X381">
        <v>99999999</v>
      </c>
      <c r="Y381">
        <v>100000000</v>
      </c>
      <c r="Z381">
        <v>199999999</v>
      </c>
      <c r="AA381">
        <v>100000000</v>
      </c>
      <c r="AB381">
        <v>2</v>
      </c>
      <c r="AC381">
        <v>1</v>
      </c>
      <c r="AD381">
        <v>1.5</v>
      </c>
      <c r="AE381">
        <v>35.982900000000001</v>
      </c>
      <c r="AM381">
        <v>1788857771</v>
      </c>
      <c r="AN381">
        <v>0</v>
      </c>
      <c r="AO381">
        <v>0</v>
      </c>
      <c r="AP381">
        <v>1788857771</v>
      </c>
      <c r="AQ381">
        <v>1788857771</v>
      </c>
      <c r="AR381">
        <v>59628592</v>
      </c>
      <c r="AS381">
        <v>0</v>
      </c>
      <c r="AT381">
        <v>0</v>
      </c>
      <c r="AU381">
        <v>59628592</v>
      </c>
      <c r="AV381">
        <v>59628592</v>
      </c>
      <c r="AW381">
        <v>38.154200000000003</v>
      </c>
      <c r="AX381">
        <v>19.275400000000001</v>
      </c>
      <c r="AY381">
        <v>8873.57</v>
      </c>
      <c r="AZ381">
        <v>7716.71</v>
      </c>
      <c r="BA381">
        <v>7573</v>
      </c>
      <c r="BB381">
        <v>2845</v>
      </c>
      <c r="BC381" t="str">
        <f t="shared" si="10"/>
        <v>u=0%, k=2x10^8</v>
      </c>
      <c r="BD381">
        <f t="shared" si="11"/>
        <v>0</v>
      </c>
    </row>
    <row r="382" spans="1:56">
      <c r="A382" t="s">
        <v>466</v>
      </c>
      <c r="B382" t="s">
        <v>64</v>
      </c>
      <c r="C382">
        <v>72</v>
      </c>
      <c r="D382" t="s">
        <v>65</v>
      </c>
      <c r="E382" t="s">
        <v>60</v>
      </c>
      <c r="F382" t="s">
        <v>61</v>
      </c>
      <c r="G382">
        <v>30000</v>
      </c>
      <c r="H382">
        <v>0</v>
      </c>
      <c r="I382">
        <v>0</v>
      </c>
      <c r="J382">
        <v>0</v>
      </c>
      <c r="K382">
        <v>1</v>
      </c>
      <c r="L382">
        <v>2000000000</v>
      </c>
      <c r="M382">
        <v>24</v>
      </c>
      <c r="N382">
        <v>24</v>
      </c>
      <c r="O382">
        <v>24</v>
      </c>
      <c r="P382">
        <v>0</v>
      </c>
      <c r="Q382" t="s">
        <v>62</v>
      </c>
      <c r="R382">
        <v>9.9999106149177702E+17</v>
      </c>
      <c r="S382">
        <v>1000000001</v>
      </c>
      <c r="T382">
        <v>9.9999106149177702E+17</v>
      </c>
      <c r="U382">
        <v>1000000001</v>
      </c>
      <c r="V382" t="s">
        <v>75</v>
      </c>
      <c r="W382">
        <v>6</v>
      </c>
      <c r="X382">
        <v>84465035</v>
      </c>
      <c r="Y382">
        <v>1078804517</v>
      </c>
      <c r="Z382">
        <v>1163269552</v>
      </c>
      <c r="AA382">
        <v>1000000001</v>
      </c>
      <c r="AB382">
        <v>13.7722</v>
      </c>
      <c r="AC382">
        <v>0.926952</v>
      </c>
      <c r="AD382">
        <v>1.85965</v>
      </c>
      <c r="AE382">
        <v>4</v>
      </c>
      <c r="AM382">
        <v>559447478</v>
      </c>
      <c r="AN382">
        <v>0</v>
      </c>
      <c r="AO382">
        <v>0</v>
      </c>
      <c r="AP382">
        <v>559447478</v>
      </c>
      <c r="AQ382">
        <v>559447478</v>
      </c>
      <c r="AR382">
        <v>18648249</v>
      </c>
      <c r="AS382">
        <v>0</v>
      </c>
      <c r="AT382">
        <v>0</v>
      </c>
      <c r="AU382">
        <v>18648249</v>
      </c>
      <c r="AV382">
        <v>18648249</v>
      </c>
      <c r="AW382">
        <v>21.891400000000001</v>
      </c>
      <c r="AX382">
        <v>12.8024</v>
      </c>
      <c r="AY382">
        <v>3586.23</v>
      </c>
      <c r="AZ382">
        <v>2870.57</v>
      </c>
      <c r="BA382">
        <v>59146</v>
      </c>
      <c r="BB382">
        <v>16131</v>
      </c>
      <c r="BC382" t="str">
        <f t="shared" si="10"/>
        <v>u=0%, k=2x10^9</v>
      </c>
      <c r="BD382">
        <f t="shared" si="11"/>
        <v>0</v>
      </c>
    </row>
    <row r="383" spans="1:56">
      <c r="A383" t="s">
        <v>467</v>
      </c>
      <c r="B383" t="s">
        <v>64</v>
      </c>
      <c r="C383">
        <v>72</v>
      </c>
      <c r="D383" t="s">
        <v>65</v>
      </c>
      <c r="E383" t="s">
        <v>60</v>
      </c>
      <c r="F383" t="s">
        <v>61</v>
      </c>
      <c r="G383">
        <v>30000</v>
      </c>
      <c r="H383">
        <v>0</v>
      </c>
      <c r="I383">
        <v>0</v>
      </c>
      <c r="J383">
        <v>0</v>
      </c>
      <c r="K383">
        <v>1</v>
      </c>
      <c r="L383">
        <v>2000000000</v>
      </c>
      <c r="M383">
        <v>48</v>
      </c>
      <c r="N383">
        <v>48</v>
      </c>
      <c r="O383">
        <v>48</v>
      </c>
      <c r="P383">
        <v>0</v>
      </c>
      <c r="Q383" t="s">
        <v>62</v>
      </c>
      <c r="R383">
        <v>9.99970202136192E+17</v>
      </c>
      <c r="S383">
        <v>1000000001</v>
      </c>
      <c r="T383">
        <v>9.99970202136192E+17</v>
      </c>
      <c r="U383">
        <v>1000000001</v>
      </c>
      <c r="V383" t="s">
        <v>75</v>
      </c>
      <c r="W383">
        <v>6</v>
      </c>
      <c r="X383">
        <v>84465035</v>
      </c>
      <c r="Y383">
        <v>1078804517</v>
      </c>
      <c r="Z383">
        <v>1163269552</v>
      </c>
      <c r="AA383">
        <v>1000000001</v>
      </c>
      <c r="AB383">
        <v>13.7722</v>
      </c>
      <c r="AC383">
        <v>0.926952</v>
      </c>
      <c r="AD383">
        <v>1.85965</v>
      </c>
      <c r="AE383">
        <v>4</v>
      </c>
      <c r="AM383">
        <v>1021923811</v>
      </c>
      <c r="AN383">
        <v>0</v>
      </c>
      <c r="AO383">
        <v>0</v>
      </c>
      <c r="AP383">
        <v>1021923811</v>
      </c>
      <c r="AQ383">
        <v>1021923811</v>
      </c>
      <c r="AR383">
        <v>34064127</v>
      </c>
      <c r="AS383">
        <v>0</v>
      </c>
      <c r="AT383">
        <v>0</v>
      </c>
      <c r="AU383">
        <v>34064127</v>
      </c>
      <c r="AV383">
        <v>34064127</v>
      </c>
      <c r="AW383">
        <v>21.846699999999998</v>
      </c>
      <c r="AX383">
        <v>12.8377</v>
      </c>
      <c r="AY383">
        <v>3928.83</v>
      </c>
      <c r="AZ383">
        <v>3278.95</v>
      </c>
      <c r="BA383">
        <v>59275</v>
      </c>
      <c r="BB383">
        <v>12194</v>
      </c>
      <c r="BC383" t="str">
        <f t="shared" si="10"/>
        <v>u=0%, k=2x10^9</v>
      </c>
      <c r="BD383">
        <f t="shared" si="11"/>
        <v>0</v>
      </c>
    </row>
    <row r="384" spans="1:56">
      <c r="A384" t="s">
        <v>468</v>
      </c>
      <c r="B384" t="s">
        <v>64</v>
      </c>
      <c r="C384">
        <v>72</v>
      </c>
      <c r="D384" t="s">
        <v>65</v>
      </c>
      <c r="E384" t="s">
        <v>60</v>
      </c>
      <c r="F384" t="s">
        <v>61</v>
      </c>
      <c r="G384">
        <v>30000</v>
      </c>
      <c r="H384">
        <v>0</v>
      </c>
      <c r="I384">
        <v>0</v>
      </c>
      <c r="J384">
        <v>0</v>
      </c>
      <c r="K384">
        <v>1</v>
      </c>
      <c r="L384">
        <v>2000000000</v>
      </c>
      <c r="M384">
        <v>96</v>
      </c>
      <c r="N384">
        <v>96</v>
      </c>
      <c r="O384">
        <v>96</v>
      </c>
      <c r="P384">
        <v>0</v>
      </c>
      <c r="Q384" t="s">
        <v>62</v>
      </c>
      <c r="R384">
        <v>1.00002704520498E+18</v>
      </c>
      <c r="S384">
        <v>1000000001</v>
      </c>
      <c r="T384">
        <v>1.00002704520498E+18</v>
      </c>
      <c r="U384">
        <v>1000000001</v>
      </c>
      <c r="V384" t="s">
        <v>75</v>
      </c>
      <c r="W384">
        <v>6</v>
      </c>
      <c r="X384">
        <v>84465035</v>
      </c>
      <c r="Y384">
        <v>1078804517</v>
      </c>
      <c r="Z384">
        <v>1163269552</v>
      </c>
      <c r="AA384">
        <v>1000000001</v>
      </c>
      <c r="AB384">
        <v>13.7722</v>
      </c>
      <c r="AC384">
        <v>0.926952</v>
      </c>
      <c r="AD384">
        <v>1.85965</v>
      </c>
      <c r="AE384">
        <v>4</v>
      </c>
      <c r="AM384">
        <v>2262547911</v>
      </c>
      <c r="AN384">
        <v>0</v>
      </c>
      <c r="AO384">
        <v>0</v>
      </c>
      <c r="AP384">
        <v>2262547911</v>
      </c>
      <c r="AQ384">
        <v>2262547911</v>
      </c>
      <c r="AR384">
        <v>75418263</v>
      </c>
      <c r="AS384">
        <v>0</v>
      </c>
      <c r="AT384">
        <v>0</v>
      </c>
      <c r="AU384">
        <v>75418263</v>
      </c>
      <c r="AV384">
        <v>75418263</v>
      </c>
      <c r="AW384">
        <v>21.905799999999999</v>
      </c>
      <c r="AX384">
        <v>13.5883</v>
      </c>
      <c r="AY384">
        <v>3544.45</v>
      </c>
      <c r="AZ384">
        <v>2827.99</v>
      </c>
      <c r="BA384">
        <v>59528</v>
      </c>
      <c r="BB384">
        <v>9973</v>
      </c>
      <c r="BC384" t="str">
        <f t="shared" si="10"/>
        <v>u=0%, k=2x10^9</v>
      </c>
      <c r="BD384">
        <f t="shared" si="11"/>
        <v>0</v>
      </c>
    </row>
    <row r="385" spans="1:56">
      <c r="A385" t="s">
        <v>469</v>
      </c>
      <c r="B385" t="s">
        <v>64</v>
      </c>
      <c r="C385">
        <v>72</v>
      </c>
      <c r="D385" t="s">
        <v>65</v>
      </c>
      <c r="E385" t="s">
        <v>60</v>
      </c>
      <c r="F385" t="s">
        <v>61</v>
      </c>
      <c r="G385">
        <v>30000</v>
      </c>
      <c r="H385">
        <v>0</v>
      </c>
      <c r="I385">
        <v>0</v>
      </c>
      <c r="J385">
        <v>0</v>
      </c>
      <c r="K385">
        <v>1</v>
      </c>
      <c r="L385">
        <v>2000000000</v>
      </c>
      <c r="M385">
        <v>144</v>
      </c>
      <c r="N385">
        <v>144</v>
      </c>
      <c r="O385">
        <v>144</v>
      </c>
      <c r="P385">
        <v>0</v>
      </c>
      <c r="Q385" t="s">
        <v>62</v>
      </c>
      <c r="R385">
        <v>1.00001431401913E+18</v>
      </c>
      <c r="S385">
        <v>1000000001</v>
      </c>
      <c r="T385">
        <v>1.00001431401913E+18</v>
      </c>
      <c r="U385">
        <v>1000000001</v>
      </c>
      <c r="V385" t="s">
        <v>75</v>
      </c>
      <c r="W385">
        <v>6</v>
      </c>
      <c r="X385">
        <v>84465035</v>
      </c>
      <c r="Y385">
        <v>1078804517</v>
      </c>
      <c r="Z385">
        <v>1163269552</v>
      </c>
      <c r="AA385">
        <v>1000000001</v>
      </c>
      <c r="AB385">
        <v>13.7722</v>
      </c>
      <c r="AC385">
        <v>0.926952</v>
      </c>
      <c r="AD385">
        <v>1.85965</v>
      </c>
      <c r="AE385">
        <v>4</v>
      </c>
      <c r="AM385">
        <v>3417642605</v>
      </c>
      <c r="AN385">
        <v>0</v>
      </c>
      <c r="AO385">
        <v>0</v>
      </c>
      <c r="AP385">
        <v>3417642605</v>
      </c>
      <c r="AQ385">
        <v>3417642605</v>
      </c>
      <c r="AR385">
        <v>113921420</v>
      </c>
      <c r="AS385">
        <v>0</v>
      </c>
      <c r="AT385">
        <v>0</v>
      </c>
      <c r="AU385">
        <v>113921420</v>
      </c>
      <c r="AV385">
        <v>113921420</v>
      </c>
      <c r="AW385">
        <v>21.916599999999999</v>
      </c>
      <c r="AX385">
        <v>13.86</v>
      </c>
      <c r="AY385">
        <v>3519.67</v>
      </c>
      <c r="AZ385">
        <v>2792.28</v>
      </c>
      <c r="BA385">
        <v>59808</v>
      </c>
      <c r="BB385">
        <v>9665</v>
      </c>
      <c r="BC385" t="str">
        <f t="shared" si="10"/>
        <v>u=0%, k=2x10^9</v>
      </c>
      <c r="BD385">
        <f t="shared" si="11"/>
        <v>0</v>
      </c>
    </row>
    <row r="386" spans="1:56">
      <c r="A386" t="s">
        <v>470</v>
      </c>
      <c r="B386" t="s">
        <v>64</v>
      </c>
      <c r="C386">
        <v>72</v>
      </c>
      <c r="D386" t="s">
        <v>65</v>
      </c>
      <c r="E386" t="s">
        <v>60</v>
      </c>
      <c r="F386" t="s">
        <v>61</v>
      </c>
      <c r="G386">
        <v>30000</v>
      </c>
      <c r="H386">
        <v>0</v>
      </c>
      <c r="I386">
        <v>0</v>
      </c>
      <c r="J386">
        <v>0</v>
      </c>
      <c r="K386">
        <v>1</v>
      </c>
      <c r="L386">
        <v>2000000000</v>
      </c>
      <c r="M386">
        <v>190</v>
      </c>
      <c r="N386">
        <v>190</v>
      </c>
      <c r="O386">
        <v>190</v>
      </c>
      <c r="P386">
        <v>0</v>
      </c>
      <c r="Q386" t="s">
        <v>62</v>
      </c>
      <c r="R386">
        <v>1.0000251182907599E+18</v>
      </c>
      <c r="S386">
        <v>1000000001</v>
      </c>
      <c r="T386">
        <v>1.0000251182907599E+18</v>
      </c>
      <c r="U386">
        <v>1000000001</v>
      </c>
      <c r="V386" t="s">
        <v>75</v>
      </c>
      <c r="W386">
        <v>6</v>
      </c>
      <c r="X386">
        <v>84465035</v>
      </c>
      <c r="Y386">
        <v>1078804517</v>
      </c>
      <c r="Z386">
        <v>1163269552</v>
      </c>
      <c r="AA386">
        <v>1000000001</v>
      </c>
      <c r="AB386">
        <v>13.7722</v>
      </c>
      <c r="AC386">
        <v>0.926952</v>
      </c>
      <c r="AD386">
        <v>1.85965</v>
      </c>
      <c r="AE386">
        <v>4</v>
      </c>
      <c r="AM386">
        <v>4459328367</v>
      </c>
      <c r="AN386">
        <v>0</v>
      </c>
      <c r="AO386">
        <v>0</v>
      </c>
      <c r="AP386">
        <v>4459328367</v>
      </c>
      <c r="AQ386">
        <v>4459328367</v>
      </c>
      <c r="AR386">
        <v>148644278</v>
      </c>
      <c r="AS386">
        <v>0</v>
      </c>
      <c r="AT386">
        <v>0</v>
      </c>
      <c r="AU386">
        <v>148644278</v>
      </c>
      <c r="AV386">
        <v>148644278</v>
      </c>
      <c r="AW386">
        <v>21.934100000000001</v>
      </c>
      <c r="AX386">
        <v>13.979699999999999</v>
      </c>
      <c r="AY386">
        <v>3558.61</v>
      </c>
      <c r="AZ386">
        <v>2816.61</v>
      </c>
      <c r="BA386">
        <v>59974</v>
      </c>
      <c r="BB386">
        <v>9062</v>
      </c>
      <c r="BC386" t="str">
        <f t="shared" si="10"/>
        <v>u=0%, k=2x10^9</v>
      </c>
      <c r="BD386">
        <f t="shared" si="11"/>
        <v>0</v>
      </c>
    </row>
    <row r="387" spans="1:56">
      <c r="A387" t="s">
        <v>471</v>
      </c>
      <c r="B387" t="s">
        <v>66</v>
      </c>
      <c r="C387">
        <v>208</v>
      </c>
      <c r="D387" t="s">
        <v>65</v>
      </c>
      <c r="E387" t="s">
        <v>60</v>
      </c>
      <c r="F387" t="s">
        <v>61</v>
      </c>
      <c r="G387">
        <v>30000</v>
      </c>
      <c r="H387">
        <v>0</v>
      </c>
      <c r="I387">
        <v>0</v>
      </c>
      <c r="J387">
        <v>0</v>
      </c>
      <c r="K387">
        <v>1</v>
      </c>
      <c r="L387">
        <v>2000000000</v>
      </c>
      <c r="M387">
        <v>24</v>
      </c>
      <c r="N387">
        <v>24</v>
      </c>
      <c r="O387">
        <v>24</v>
      </c>
      <c r="P387">
        <v>0</v>
      </c>
      <c r="Q387" t="s">
        <v>62</v>
      </c>
      <c r="R387">
        <v>1.0000048128226801E+18</v>
      </c>
      <c r="S387">
        <v>1000000000</v>
      </c>
      <c r="T387">
        <v>1.0000048128226801E+18</v>
      </c>
      <c r="U387">
        <v>1000000000</v>
      </c>
      <c r="V387" t="s">
        <v>75</v>
      </c>
      <c r="W387">
        <v>12</v>
      </c>
      <c r="X387">
        <v>18540105</v>
      </c>
      <c r="Y387">
        <v>127572452</v>
      </c>
      <c r="Z387">
        <v>146112557</v>
      </c>
      <c r="AA387">
        <v>1000000000</v>
      </c>
      <c r="AB387">
        <v>7.88089</v>
      </c>
      <c r="AC387">
        <v>7.8386800000000001</v>
      </c>
      <c r="AD387">
        <v>7.8440399999999997</v>
      </c>
      <c r="AE387">
        <v>11</v>
      </c>
      <c r="AM387">
        <v>346456903</v>
      </c>
      <c r="AN387">
        <v>0</v>
      </c>
      <c r="AO387">
        <v>0</v>
      </c>
      <c r="AP387">
        <v>346456903</v>
      </c>
      <c r="AQ387">
        <v>346456903</v>
      </c>
      <c r="AR387">
        <v>11548563</v>
      </c>
      <c r="AS387">
        <v>0</v>
      </c>
      <c r="AT387">
        <v>0</v>
      </c>
      <c r="AU387">
        <v>11548563</v>
      </c>
      <c r="AV387">
        <v>11548563</v>
      </c>
      <c r="AW387">
        <v>30.1021</v>
      </c>
      <c r="AX387">
        <v>16.372900000000001</v>
      </c>
      <c r="AY387">
        <v>5797.64</v>
      </c>
      <c r="AZ387">
        <v>4566.6000000000004</v>
      </c>
      <c r="BA387">
        <v>33247</v>
      </c>
      <c r="BB387">
        <v>154672</v>
      </c>
      <c r="BC387" t="str">
        <f t="shared" ref="BC387:BC450" si="12">"u="&amp;(H387+I387)&amp;"%, k=2x10^"&amp;LOG10(L387/2)</f>
        <v>u=0%, k=2x10^9</v>
      </c>
      <c r="BD387">
        <f t="shared" ref="BD387:BD450" si="13">IF(AH387="",0,LEFT(AH387,IF(ISNUMBER(FIND(" ",AH387)),FIND(" ",AH387)-1,LEN(AH387))))</f>
        <v>0</v>
      </c>
    </row>
    <row r="388" spans="1:56">
      <c r="A388" t="s">
        <v>472</v>
      </c>
      <c r="B388" t="s">
        <v>66</v>
      </c>
      <c r="C388">
        <v>208</v>
      </c>
      <c r="D388" t="s">
        <v>65</v>
      </c>
      <c r="E388" t="s">
        <v>60</v>
      </c>
      <c r="F388" t="s">
        <v>61</v>
      </c>
      <c r="G388">
        <v>30000</v>
      </c>
      <c r="H388">
        <v>0</v>
      </c>
      <c r="I388">
        <v>0</v>
      </c>
      <c r="J388">
        <v>0</v>
      </c>
      <c r="K388">
        <v>1</v>
      </c>
      <c r="L388">
        <v>2000000000</v>
      </c>
      <c r="M388">
        <v>48</v>
      </c>
      <c r="N388">
        <v>48</v>
      </c>
      <c r="O388">
        <v>48</v>
      </c>
      <c r="P388">
        <v>0</v>
      </c>
      <c r="Q388" t="s">
        <v>62</v>
      </c>
      <c r="R388">
        <v>9.9999114465329306E+17</v>
      </c>
      <c r="S388">
        <v>1000000000</v>
      </c>
      <c r="T388">
        <v>9.9999114465329306E+17</v>
      </c>
      <c r="U388">
        <v>1000000000</v>
      </c>
      <c r="V388" t="s">
        <v>75</v>
      </c>
      <c r="W388">
        <v>12</v>
      </c>
      <c r="X388">
        <v>18539091</v>
      </c>
      <c r="Y388">
        <v>127579873</v>
      </c>
      <c r="Z388">
        <v>146118964</v>
      </c>
      <c r="AA388">
        <v>1000000000</v>
      </c>
      <c r="AB388">
        <v>7.8816699999999997</v>
      </c>
      <c r="AC388">
        <v>7.8382300000000003</v>
      </c>
      <c r="AD388">
        <v>7.8437400000000004</v>
      </c>
      <c r="AE388">
        <v>11</v>
      </c>
      <c r="AM388">
        <v>657357489</v>
      </c>
      <c r="AN388">
        <v>0</v>
      </c>
      <c r="AO388">
        <v>0</v>
      </c>
      <c r="AP388">
        <v>657357489</v>
      </c>
      <c r="AQ388">
        <v>657357489</v>
      </c>
      <c r="AR388">
        <v>21911916</v>
      </c>
      <c r="AS388">
        <v>0</v>
      </c>
      <c r="AT388">
        <v>0</v>
      </c>
      <c r="AU388">
        <v>21911916</v>
      </c>
      <c r="AV388">
        <v>21911916</v>
      </c>
      <c r="AW388">
        <v>30.043199999999999</v>
      </c>
      <c r="AX388">
        <v>16.390599999999999</v>
      </c>
      <c r="AY388">
        <v>6109.9</v>
      </c>
      <c r="AZ388">
        <v>5180.07</v>
      </c>
      <c r="BA388">
        <v>33356</v>
      </c>
      <c r="BB388">
        <v>94544</v>
      </c>
      <c r="BC388" t="str">
        <f t="shared" si="12"/>
        <v>u=0%, k=2x10^9</v>
      </c>
      <c r="BD388">
        <f t="shared" si="13"/>
        <v>0</v>
      </c>
    </row>
    <row r="389" spans="1:56">
      <c r="A389" t="s">
        <v>473</v>
      </c>
      <c r="B389" t="s">
        <v>66</v>
      </c>
      <c r="C389">
        <v>208</v>
      </c>
      <c r="D389" t="s">
        <v>65</v>
      </c>
      <c r="E389" t="s">
        <v>60</v>
      </c>
      <c r="F389" t="s">
        <v>61</v>
      </c>
      <c r="G389">
        <v>30000</v>
      </c>
      <c r="H389">
        <v>0</v>
      </c>
      <c r="I389">
        <v>0</v>
      </c>
      <c r="J389">
        <v>0</v>
      </c>
      <c r="K389">
        <v>1</v>
      </c>
      <c r="L389">
        <v>2000000000</v>
      </c>
      <c r="M389">
        <v>96</v>
      </c>
      <c r="N389">
        <v>96</v>
      </c>
      <c r="O389">
        <v>96</v>
      </c>
      <c r="P389">
        <v>0</v>
      </c>
      <c r="Q389" t="s">
        <v>62</v>
      </c>
      <c r="R389">
        <v>9.99994135411632E+17</v>
      </c>
      <c r="S389">
        <v>1000000000</v>
      </c>
      <c r="T389">
        <v>9.99994135411632E+17</v>
      </c>
      <c r="U389">
        <v>1000000000</v>
      </c>
      <c r="V389" t="s">
        <v>75</v>
      </c>
      <c r="W389">
        <v>12</v>
      </c>
      <c r="X389">
        <v>18540561</v>
      </c>
      <c r="Y389">
        <v>127576587</v>
      </c>
      <c r="Z389">
        <v>146117148</v>
      </c>
      <c r="AA389">
        <v>1000000000</v>
      </c>
      <c r="AB389">
        <v>7.8809500000000003</v>
      </c>
      <c r="AC389">
        <v>7.8384299999999998</v>
      </c>
      <c r="AD389">
        <v>7.84382</v>
      </c>
      <c r="AE389">
        <v>11</v>
      </c>
      <c r="AM389">
        <v>1470436605</v>
      </c>
      <c r="AN389">
        <v>0</v>
      </c>
      <c r="AO389">
        <v>0</v>
      </c>
      <c r="AP389">
        <v>1470436605</v>
      </c>
      <c r="AQ389">
        <v>1470436605</v>
      </c>
      <c r="AR389">
        <v>49014553</v>
      </c>
      <c r="AS389">
        <v>0</v>
      </c>
      <c r="AT389">
        <v>0</v>
      </c>
      <c r="AU389">
        <v>49014553</v>
      </c>
      <c r="AV389">
        <v>49014553</v>
      </c>
      <c r="AW389">
        <v>30.444700000000001</v>
      </c>
      <c r="AX389">
        <v>17.509599999999999</v>
      </c>
      <c r="AY389">
        <v>5453.82</v>
      </c>
      <c r="AZ389">
        <v>4442.1099999999997</v>
      </c>
      <c r="BA389">
        <v>33583</v>
      </c>
      <c r="BB389">
        <v>72041</v>
      </c>
      <c r="BC389" t="str">
        <f t="shared" si="12"/>
        <v>u=0%, k=2x10^9</v>
      </c>
      <c r="BD389">
        <f t="shared" si="13"/>
        <v>0</v>
      </c>
    </row>
    <row r="390" spans="1:56">
      <c r="A390" t="s">
        <v>474</v>
      </c>
      <c r="B390" t="s">
        <v>66</v>
      </c>
      <c r="C390">
        <v>208</v>
      </c>
      <c r="D390" t="s">
        <v>65</v>
      </c>
      <c r="E390" t="s">
        <v>60</v>
      </c>
      <c r="F390" t="s">
        <v>61</v>
      </c>
      <c r="G390">
        <v>30000</v>
      </c>
      <c r="H390">
        <v>0</v>
      </c>
      <c r="I390">
        <v>0</v>
      </c>
      <c r="J390">
        <v>0</v>
      </c>
      <c r="K390">
        <v>1</v>
      </c>
      <c r="L390">
        <v>2000000000</v>
      </c>
      <c r="M390">
        <v>144</v>
      </c>
      <c r="N390">
        <v>144</v>
      </c>
      <c r="O390">
        <v>144</v>
      </c>
      <c r="P390">
        <v>0</v>
      </c>
      <c r="Q390" t="s">
        <v>62</v>
      </c>
      <c r="R390">
        <v>1.00003035864434E+18</v>
      </c>
      <c r="S390">
        <v>1000000000</v>
      </c>
      <c r="T390">
        <v>1.00003035864434E+18</v>
      </c>
      <c r="U390">
        <v>1000000000</v>
      </c>
      <c r="V390" t="s">
        <v>75</v>
      </c>
      <c r="W390">
        <v>12</v>
      </c>
      <c r="X390">
        <v>18537932</v>
      </c>
      <c r="Y390">
        <v>127571707</v>
      </c>
      <c r="Z390">
        <v>146109639</v>
      </c>
      <c r="AA390">
        <v>1000000000</v>
      </c>
      <c r="AB390">
        <v>7.8816600000000001</v>
      </c>
      <c r="AC390">
        <v>7.83873</v>
      </c>
      <c r="AD390">
        <v>7.8441799999999997</v>
      </c>
      <c r="AE390">
        <v>11</v>
      </c>
      <c r="AM390">
        <v>2206391991</v>
      </c>
      <c r="AN390">
        <v>0</v>
      </c>
      <c r="AO390">
        <v>0</v>
      </c>
      <c r="AP390">
        <v>2206391991</v>
      </c>
      <c r="AQ390">
        <v>2206391991</v>
      </c>
      <c r="AR390">
        <v>73546399</v>
      </c>
      <c r="AS390">
        <v>0</v>
      </c>
      <c r="AT390">
        <v>0</v>
      </c>
      <c r="AU390">
        <v>73546399</v>
      </c>
      <c r="AV390">
        <v>73546399</v>
      </c>
      <c r="AW390">
        <v>30.632100000000001</v>
      </c>
      <c r="AX390">
        <v>17.695399999999999</v>
      </c>
      <c r="AY390">
        <v>5450.19</v>
      </c>
      <c r="AZ390">
        <v>4428.67</v>
      </c>
      <c r="BA390">
        <v>33819</v>
      </c>
      <c r="BB390">
        <v>65960</v>
      </c>
      <c r="BC390" t="str">
        <f t="shared" si="12"/>
        <v>u=0%, k=2x10^9</v>
      </c>
      <c r="BD390">
        <f t="shared" si="13"/>
        <v>0</v>
      </c>
    </row>
    <row r="391" spans="1:56">
      <c r="A391" t="s">
        <v>475</v>
      </c>
      <c r="B391" t="s">
        <v>66</v>
      </c>
      <c r="C391">
        <v>208</v>
      </c>
      <c r="D391" t="s">
        <v>65</v>
      </c>
      <c r="E391" t="s">
        <v>60</v>
      </c>
      <c r="F391" t="s">
        <v>61</v>
      </c>
      <c r="G391">
        <v>30000</v>
      </c>
      <c r="H391">
        <v>0</v>
      </c>
      <c r="I391">
        <v>0</v>
      </c>
      <c r="J391">
        <v>0</v>
      </c>
      <c r="K391">
        <v>1</v>
      </c>
      <c r="L391">
        <v>2000000000</v>
      </c>
      <c r="M391">
        <v>190</v>
      </c>
      <c r="N391">
        <v>190</v>
      </c>
      <c r="O391">
        <v>190</v>
      </c>
      <c r="P391">
        <v>0</v>
      </c>
      <c r="Q391" t="s">
        <v>62</v>
      </c>
      <c r="R391">
        <v>9.9999275292317402E+17</v>
      </c>
      <c r="S391">
        <v>1000000000</v>
      </c>
      <c r="T391">
        <v>9.9999275292317402E+17</v>
      </c>
      <c r="U391">
        <v>1000000000</v>
      </c>
      <c r="V391" t="s">
        <v>75</v>
      </c>
      <c r="W391">
        <v>12</v>
      </c>
      <c r="X391">
        <v>18540022</v>
      </c>
      <c r="Y391">
        <v>127576092</v>
      </c>
      <c r="Z391">
        <v>146116114</v>
      </c>
      <c r="AA391">
        <v>1000000000</v>
      </c>
      <c r="AB391">
        <v>7.8811200000000001</v>
      </c>
      <c r="AC391">
        <v>7.8384600000000004</v>
      </c>
      <c r="AD391">
        <v>7.8438699999999999</v>
      </c>
      <c r="AE391">
        <v>11</v>
      </c>
      <c r="AM391">
        <v>2908332247</v>
      </c>
      <c r="AN391">
        <v>0</v>
      </c>
      <c r="AO391">
        <v>0</v>
      </c>
      <c r="AP391">
        <v>2908332247</v>
      </c>
      <c r="AQ391">
        <v>2908332247</v>
      </c>
      <c r="AR391">
        <v>96944408</v>
      </c>
      <c r="AS391">
        <v>0</v>
      </c>
      <c r="AT391">
        <v>0</v>
      </c>
      <c r="AU391">
        <v>96944408</v>
      </c>
      <c r="AV391">
        <v>96944408</v>
      </c>
      <c r="AW391">
        <v>30.720500000000001</v>
      </c>
      <c r="AX391">
        <v>17.845300000000002</v>
      </c>
      <c r="AY391">
        <v>5454.06</v>
      </c>
      <c r="AZ391">
        <v>4417.4399999999996</v>
      </c>
      <c r="BA391">
        <v>34082</v>
      </c>
      <c r="BB391">
        <v>61191</v>
      </c>
      <c r="BC391" t="str">
        <f t="shared" si="12"/>
        <v>u=0%, k=2x10^9</v>
      </c>
      <c r="BD391">
        <f t="shared" si="13"/>
        <v>0</v>
      </c>
    </row>
    <row r="392" spans="1:56">
      <c r="A392" t="s">
        <v>476</v>
      </c>
      <c r="B392" t="s">
        <v>67</v>
      </c>
      <c r="D392" t="s">
        <v>65</v>
      </c>
      <c r="E392" t="s">
        <v>60</v>
      </c>
      <c r="F392" t="s">
        <v>61</v>
      </c>
      <c r="G392">
        <v>30000</v>
      </c>
      <c r="H392">
        <v>0</v>
      </c>
      <c r="I392">
        <v>0</v>
      </c>
      <c r="J392">
        <v>0</v>
      </c>
      <c r="K392">
        <v>1</v>
      </c>
      <c r="L392">
        <v>2000000000</v>
      </c>
      <c r="M392">
        <v>24</v>
      </c>
      <c r="N392">
        <v>24</v>
      </c>
      <c r="O392">
        <v>24</v>
      </c>
      <c r="P392">
        <v>0</v>
      </c>
      <c r="Q392" t="s">
        <v>62</v>
      </c>
      <c r="R392">
        <v>1.00001468818184E+18</v>
      </c>
      <c r="S392">
        <v>1000000000</v>
      </c>
      <c r="T392">
        <v>1.00001468818184E+18</v>
      </c>
      <c r="U392">
        <v>1000000000</v>
      </c>
      <c r="V392" t="s">
        <v>75</v>
      </c>
      <c r="W392">
        <v>37</v>
      </c>
      <c r="X392">
        <v>571425198</v>
      </c>
      <c r="Y392">
        <v>428574803</v>
      </c>
      <c r="Z392">
        <v>1000000001</v>
      </c>
      <c r="AA392">
        <v>1000000000</v>
      </c>
      <c r="AB392">
        <v>1.7500100000000001</v>
      </c>
      <c r="AC392">
        <v>2.33331</v>
      </c>
      <c r="AD392">
        <v>2</v>
      </c>
      <c r="AE392">
        <v>29.4175</v>
      </c>
      <c r="AM392">
        <v>159568529</v>
      </c>
      <c r="AN392">
        <v>0</v>
      </c>
      <c r="AO392">
        <v>0</v>
      </c>
      <c r="AP392">
        <v>159568529</v>
      </c>
      <c r="AQ392">
        <v>159568529</v>
      </c>
      <c r="AR392">
        <v>5318950</v>
      </c>
      <c r="AS392">
        <v>0</v>
      </c>
      <c r="AT392">
        <v>0</v>
      </c>
      <c r="AU392">
        <v>5318950</v>
      </c>
      <c r="AV392">
        <v>5318950</v>
      </c>
      <c r="AW392">
        <v>53.810899999999997</v>
      </c>
      <c r="AX392">
        <v>28.873999999999999</v>
      </c>
      <c r="AY392">
        <v>12589.1</v>
      </c>
      <c r="AZ392">
        <v>11145.6</v>
      </c>
      <c r="BA392">
        <v>65644</v>
      </c>
      <c r="BB392">
        <v>273073</v>
      </c>
      <c r="BC392" t="str">
        <f t="shared" si="12"/>
        <v>u=0%, k=2x10^9</v>
      </c>
      <c r="BD392">
        <f t="shared" si="13"/>
        <v>0</v>
      </c>
    </row>
    <row r="393" spans="1:56">
      <c r="A393" t="s">
        <v>477</v>
      </c>
      <c r="B393" t="s">
        <v>67</v>
      </c>
      <c r="D393" t="s">
        <v>65</v>
      </c>
      <c r="E393" t="s">
        <v>60</v>
      </c>
      <c r="F393" t="s">
        <v>61</v>
      </c>
      <c r="G393">
        <v>30000</v>
      </c>
      <c r="H393">
        <v>0</v>
      </c>
      <c r="I393">
        <v>0</v>
      </c>
      <c r="J393">
        <v>0</v>
      </c>
      <c r="K393">
        <v>1</v>
      </c>
      <c r="L393">
        <v>2000000000</v>
      </c>
      <c r="M393">
        <v>48</v>
      </c>
      <c r="N393">
        <v>48</v>
      </c>
      <c r="O393">
        <v>48</v>
      </c>
      <c r="P393">
        <v>0</v>
      </c>
      <c r="Q393" t="s">
        <v>62</v>
      </c>
      <c r="R393">
        <v>9.9999533063697395E+17</v>
      </c>
      <c r="S393">
        <v>1000000000</v>
      </c>
      <c r="T393">
        <v>9.9999533063697395E+17</v>
      </c>
      <c r="U393">
        <v>1000000000</v>
      </c>
      <c r="V393" t="s">
        <v>75</v>
      </c>
      <c r="W393">
        <v>37</v>
      </c>
      <c r="X393">
        <v>571428474</v>
      </c>
      <c r="Y393">
        <v>428571527</v>
      </c>
      <c r="Z393">
        <v>1000000001</v>
      </c>
      <c r="AA393">
        <v>1000000000</v>
      </c>
      <c r="AB393">
        <v>1.75</v>
      </c>
      <c r="AC393">
        <v>2.3333300000000001</v>
      </c>
      <c r="AD393">
        <v>2</v>
      </c>
      <c r="AE393">
        <v>29.4251</v>
      </c>
      <c r="AM393">
        <v>307927920</v>
      </c>
      <c r="AN393">
        <v>0</v>
      </c>
      <c r="AO393">
        <v>0</v>
      </c>
      <c r="AP393">
        <v>307927920</v>
      </c>
      <c r="AQ393">
        <v>307927920</v>
      </c>
      <c r="AR393">
        <v>10264264</v>
      </c>
      <c r="AS393">
        <v>0</v>
      </c>
      <c r="AT393">
        <v>0</v>
      </c>
      <c r="AU393">
        <v>10264264</v>
      </c>
      <c r="AV393">
        <v>10264264</v>
      </c>
      <c r="AW393">
        <v>54.610500000000002</v>
      </c>
      <c r="AX393">
        <v>28.939900000000002</v>
      </c>
      <c r="AY393">
        <v>13045.2</v>
      </c>
      <c r="AZ393">
        <v>11636.1</v>
      </c>
      <c r="BA393">
        <v>65651</v>
      </c>
      <c r="BB393">
        <v>143109</v>
      </c>
      <c r="BC393" t="str">
        <f t="shared" si="12"/>
        <v>u=0%, k=2x10^9</v>
      </c>
      <c r="BD393">
        <f t="shared" si="13"/>
        <v>0</v>
      </c>
    </row>
    <row r="394" spans="1:56">
      <c r="A394" t="s">
        <v>478</v>
      </c>
      <c r="B394" t="s">
        <v>67</v>
      </c>
      <c r="D394" t="s">
        <v>65</v>
      </c>
      <c r="E394" t="s">
        <v>60</v>
      </c>
      <c r="F394" t="s">
        <v>61</v>
      </c>
      <c r="G394">
        <v>30000</v>
      </c>
      <c r="H394">
        <v>0</v>
      </c>
      <c r="I394">
        <v>0</v>
      </c>
      <c r="J394">
        <v>0</v>
      </c>
      <c r="K394">
        <v>1</v>
      </c>
      <c r="L394">
        <v>2000000000</v>
      </c>
      <c r="M394">
        <v>96</v>
      </c>
      <c r="N394">
        <v>96</v>
      </c>
      <c r="O394">
        <v>96</v>
      </c>
      <c r="P394">
        <v>0</v>
      </c>
      <c r="Q394" t="s">
        <v>62</v>
      </c>
      <c r="R394">
        <v>9.9999257804234995E+17</v>
      </c>
      <c r="S394">
        <v>1000000000</v>
      </c>
      <c r="T394">
        <v>9.9999257804234995E+17</v>
      </c>
      <c r="U394">
        <v>1000000000</v>
      </c>
      <c r="V394" t="s">
        <v>75</v>
      </c>
      <c r="W394">
        <v>37</v>
      </c>
      <c r="X394">
        <v>571432053</v>
      </c>
      <c r="Y394">
        <v>428567948</v>
      </c>
      <c r="Z394">
        <v>1000000001</v>
      </c>
      <c r="AA394">
        <v>1000000000</v>
      </c>
      <c r="AB394">
        <v>1.7499899999999999</v>
      </c>
      <c r="AC394">
        <v>2.3333499999999998</v>
      </c>
      <c r="AD394">
        <v>2</v>
      </c>
      <c r="AE394">
        <v>29.436199999999999</v>
      </c>
      <c r="AM394">
        <v>683816237</v>
      </c>
      <c r="AN394">
        <v>0</v>
      </c>
      <c r="AO394">
        <v>0</v>
      </c>
      <c r="AP394">
        <v>683816237</v>
      </c>
      <c r="AQ394">
        <v>683816237</v>
      </c>
      <c r="AR394">
        <v>22793874</v>
      </c>
      <c r="AS394">
        <v>0</v>
      </c>
      <c r="AT394">
        <v>0</v>
      </c>
      <c r="AU394">
        <v>22793874</v>
      </c>
      <c r="AV394">
        <v>22793874</v>
      </c>
      <c r="AW394">
        <v>55.025799999999997</v>
      </c>
      <c r="AX394">
        <v>31.089400000000001</v>
      </c>
      <c r="AY394">
        <v>11732.7</v>
      </c>
      <c r="AZ394">
        <v>10214</v>
      </c>
      <c r="BA394">
        <v>65666</v>
      </c>
      <c r="BB394">
        <v>63620</v>
      </c>
      <c r="BC394" t="str">
        <f t="shared" si="12"/>
        <v>u=0%, k=2x10^9</v>
      </c>
      <c r="BD394">
        <f t="shared" si="13"/>
        <v>0</v>
      </c>
    </row>
    <row r="395" spans="1:56">
      <c r="A395" t="s">
        <v>479</v>
      </c>
      <c r="B395" t="s">
        <v>67</v>
      </c>
      <c r="D395" t="s">
        <v>65</v>
      </c>
      <c r="E395" t="s">
        <v>60</v>
      </c>
      <c r="F395" t="s">
        <v>61</v>
      </c>
      <c r="G395">
        <v>30000</v>
      </c>
      <c r="H395">
        <v>0</v>
      </c>
      <c r="I395">
        <v>0</v>
      </c>
      <c r="J395">
        <v>0</v>
      </c>
      <c r="K395">
        <v>1</v>
      </c>
      <c r="L395">
        <v>2000000000</v>
      </c>
      <c r="M395">
        <v>144</v>
      </c>
      <c r="N395">
        <v>144</v>
      </c>
      <c r="O395">
        <v>144</v>
      </c>
      <c r="P395">
        <v>0</v>
      </c>
      <c r="Q395" t="s">
        <v>62</v>
      </c>
      <c r="R395">
        <v>1.00000921953519E+18</v>
      </c>
      <c r="S395">
        <v>1000000000</v>
      </c>
      <c r="T395">
        <v>1.00000921953519E+18</v>
      </c>
      <c r="U395">
        <v>1000000000</v>
      </c>
      <c r="V395" t="s">
        <v>75</v>
      </c>
      <c r="W395">
        <v>37</v>
      </c>
      <c r="X395">
        <v>571421305</v>
      </c>
      <c r="Y395">
        <v>428578696</v>
      </c>
      <c r="Z395">
        <v>1000000001</v>
      </c>
      <c r="AA395">
        <v>1000000000</v>
      </c>
      <c r="AB395">
        <v>1.7500199999999999</v>
      </c>
      <c r="AC395">
        <v>2.3332899999999999</v>
      </c>
      <c r="AD395">
        <v>2</v>
      </c>
      <c r="AE395">
        <v>29.486000000000001</v>
      </c>
      <c r="AM395">
        <v>1034899397</v>
      </c>
      <c r="AN395">
        <v>0</v>
      </c>
      <c r="AO395">
        <v>0</v>
      </c>
      <c r="AP395">
        <v>1034899397</v>
      </c>
      <c r="AQ395">
        <v>1034899397</v>
      </c>
      <c r="AR395">
        <v>34496646</v>
      </c>
      <c r="AS395">
        <v>0</v>
      </c>
      <c r="AT395">
        <v>0</v>
      </c>
      <c r="AU395">
        <v>34496646</v>
      </c>
      <c r="AV395">
        <v>34496646</v>
      </c>
      <c r="AW395">
        <v>55.030200000000001</v>
      </c>
      <c r="AX395">
        <v>31.3489</v>
      </c>
      <c r="AY395">
        <v>11626.9</v>
      </c>
      <c r="AZ395">
        <v>10118.700000000001</v>
      </c>
      <c r="BA395">
        <v>65680</v>
      </c>
      <c r="BB395">
        <v>42554</v>
      </c>
      <c r="BC395" t="str">
        <f t="shared" si="12"/>
        <v>u=0%, k=2x10^9</v>
      </c>
      <c r="BD395">
        <f t="shared" si="13"/>
        <v>0</v>
      </c>
    </row>
    <row r="396" spans="1:56">
      <c r="A396" t="s">
        <v>480</v>
      </c>
      <c r="B396" t="s">
        <v>67</v>
      </c>
      <c r="D396" t="s">
        <v>65</v>
      </c>
      <c r="E396" t="s">
        <v>60</v>
      </c>
      <c r="F396" t="s">
        <v>61</v>
      </c>
      <c r="G396">
        <v>30000</v>
      </c>
      <c r="H396">
        <v>0</v>
      </c>
      <c r="I396">
        <v>0</v>
      </c>
      <c r="J396">
        <v>0</v>
      </c>
      <c r="K396">
        <v>1</v>
      </c>
      <c r="L396">
        <v>2000000000</v>
      </c>
      <c r="M396">
        <v>190</v>
      </c>
      <c r="N396">
        <v>190</v>
      </c>
      <c r="O396">
        <v>190</v>
      </c>
      <c r="P396">
        <v>0</v>
      </c>
      <c r="Q396" t="s">
        <v>62</v>
      </c>
      <c r="R396">
        <v>9.9997492372466906E+17</v>
      </c>
      <c r="S396">
        <v>1000000000</v>
      </c>
      <c r="T396">
        <v>9.9997492372466906E+17</v>
      </c>
      <c r="U396">
        <v>1000000000</v>
      </c>
      <c r="V396" t="s">
        <v>75</v>
      </c>
      <c r="W396">
        <v>37</v>
      </c>
      <c r="X396">
        <v>571422181</v>
      </c>
      <c r="Y396">
        <v>428577820</v>
      </c>
      <c r="Z396">
        <v>1000000001</v>
      </c>
      <c r="AA396">
        <v>1000000000</v>
      </c>
      <c r="AB396">
        <v>1.7500199999999999</v>
      </c>
      <c r="AC396">
        <v>2.3332999999999999</v>
      </c>
      <c r="AD396">
        <v>2</v>
      </c>
      <c r="AE396">
        <v>29.509399999999999</v>
      </c>
      <c r="AM396">
        <v>1365139705</v>
      </c>
      <c r="AN396">
        <v>0</v>
      </c>
      <c r="AO396">
        <v>0</v>
      </c>
      <c r="AP396">
        <v>1365139705</v>
      </c>
      <c r="AQ396">
        <v>1365139705</v>
      </c>
      <c r="AR396">
        <v>45504656</v>
      </c>
      <c r="AS396">
        <v>0</v>
      </c>
      <c r="AT396">
        <v>0</v>
      </c>
      <c r="AU396">
        <v>45504656</v>
      </c>
      <c r="AV396">
        <v>45504656</v>
      </c>
      <c r="AW396">
        <v>54.9452</v>
      </c>
      <c r="AX396">
        <v>31.511600000000001</v>
      </c>
      <c r="AY396">
        <v>11629</v>
      </c>
      <c r="AZ396">
        <v>10101.1</v>
      </c>
      <c r="BA396">
        <v>65695</v>
      </c>
      <c r="BB396">
        <v>32731</v>
      </c>
      <c r="BC396" t="str">
        <f t="shared" si="12"/>
        <v>u=0%, k=2x10^9</v>
      </c>
      <c r="BD396">
        <f t="shared" si="13"/>
        <v>0</v>
      </c>
    </row>
    <row r="397" spans="1:56">
      <c r="A397" t="s">
        <v>481</v>
      </c>
      <c r="B397" t="s">
        <v>68</v>
      </c>
      <c r="D397" t="s">
        <v>65</v>
      </c>
      <c r="E397" t="s">
        <v>60</v>
      </c>
      <c r="F397" t="s">
        <v>61</v>
      </c>
      <c r="G397">
        <v>30000</v>
      </c>
      <c r="H397">
        <v>0</v>
      </c>
      <c r="I397">
        <v>0</v>
      </c>
      <c r="J397">
        <v>0</v>
      </c>
      <c r="K397">
        <v>1</v>
      </c>
      <c r="L397">
        <v>2000000000</v>
      </c>
      <c r="M397">
        <v>24</v>
      </c>
      <c r="N397">
        <v>24</v>
      </c>
      <c r="O397">
        <v>24</v>
      </c>
      <c r="P397">
        <v>0</v>
      </c>
      <c r="Q397" t="s">
        <v>62</v>
      </c>
      <c r="R397">
        <v>9.9999092778735296E+17</v>
      </c>
      <c r="S397">
        <v>1000000000</v>
      </c>
      <c r="T397">
        <v>9.9999092778735296E+17</v>
      </c>
      <c r="U397">
        <v>1000000000</v>
      </c>
      <c r="V397" t="s">
        <v>75</v>
      </c>
      <c r="W397">
        <v>79</v>
      </c>
      <c r="X397">
        <v>999999999</v>
      </c>
      <c r="Y397">
        <v>1000000000</v>
      </c>
      <c r="Z397">
        <v>1999999999</v>
      </c>
      <c r="AA397">
        <v>1000000000</v>
      </c>
      <c r="AB397">
        <v>2</v>
      </c>
      <c r="AC397">
        <v>1</v>
      </c>
      <c r="AD397">
        <v>1.5</v>
      </c>
      <c r="AE397">
        <v>40.038699999999999</v>
      </c>
      <c r="AM397">
        <v>129332860</v>
      </c>
      <c r="AN397">
        <v>0</v>
      </c>
      <c r="AO397">
        <v>0</v>
      </c>
      <c r="AP397">
        <v>129332860</v>
      </c>
      <c r="AQ397">
        <v>129332860</v>
      </c>
      <c r="AR397">
        <v>4311095</v>
      </c>
      <c r="AS397">
        <v>0</v>
      </c>
      <c r="AT397">
        <v>0</v>
      </c>
      <c r="AU397">
        <v>4311095</v>
      </c>
      <c r="AV397">
        <v>4311095</v>
      </c>
      <c r="AW397">
        <v>53.302100000000003</v>
      </c>
      <c r="AX397">
        <v>28.6403</v>
      </c>
      <c r="AY397">
        <v>15531.8</v>
      </c>
      <c r="AZ397">
        <v>13481.6</v>
      </c>
      <c r="BA397">
        <v>65644</v>
      </c>
      <c r="BB397">
        <v>299553</v>
      </c>
      <c r="BC397" t="str">
        <f t="shared" si="12"/>
        <v>u=0%, k=2x10^9</v>
      </c>
      <c r="BD397">
        <f t="shared" si="13"/>
        <v>0</v>
      </c>
    </row>
    <row r="398" spans="1:56">
      <c r="A398" t="s">
        <v>482</v>
      </c>
      <c r="B398" t="s">
        <v>68</v>
      </c>
      <c r="D398" t="s">
        <v>65</v>
      </c>
      <c r="E398" t="s">
        <v>60</v>
      </c>
      <c r="F398" t="s">
        <v>61</v>
      </c>
      <c r="G398">
        <v>30000</v>
      </c>
      <c r="H398">
        <v>0</v>
      </c>
      <c r="I398">
        <v>0</v>
      </c>
      <c r="J398">
        <v>0</v>
      </c>
      <c r="K398">
        <v>1</v>
      </c>
      <c r="L398">
        <v>2000000000</v>
      </c>
      <c r="M398">
        <v>48</v>
      </c>
      <c r="N398">
        <v>48</v>
      </c>
      <c r="O398">
        <v>48</v>
      </c>
      <c r="P398">
        <v>0</v>
      </c>
      <c r="Q398" t="s">
        <v>62</v>
      </c>
      <c r="R398">
        <v>9.9997657307463296E+17</v>
      </c>
      <c r="S398">
        <v>1000000000</v>
      </c>
      <c r="T398">
        <v>9.9997657307463296E+17</v>
      </c>
      <c r="U398">
        <v>1000000000</v>
      </c>
      <c r="V398" t="s">
        <v>75</v>
      </c>
      <c r="W398">
        <v>80</v>
      </c>
      <c r="X398">
        <v>999999999</v>
      </c>
      <c r="Y398">
        <v>1000000000</v>
      </c>
      <c r="Z398">
        <v>1999999999</v>
      </c>
      <c r="AA398">
        <v>1000000000</v>
      </c>
      <c r="AB398">
        <v>2</v>
      </c>
      <c r="AC398">
        <v>1</v>
      </c>
      <c r="AD398">
        <v>1.5</v>
      </c>
      <c r="AE398">
        <v>40.0379</v>
      </c>
      <c r="AM398">
        <v>253495699</v>
      </c>
      <c r="AN398">
        <v>0</v>
      </c>
      <c r="AO398">
        <v>0</v>
      </c>
      <c r="AP398">
        <v>253495699</v>
      </c>
      <c r="AQ398">
        <v>253495699</v>
      </c>
      <c r="AR398">
        <v>8449856</v>
      </c>
      <c r="AS398">
        <v>0</v>
      </c>
      <c r="AT398">
        <v>0</v>
      </c>
      <c r="AU398">
        <v>8449856</v>
      </c>
      <c r="AV398">
        <v>8449856</v>
      </c>
      <c r="AW398">
        <v>53.130400000000002</v>
      </c>
      <c r="AX398">
        <v>28.624500000000001</v>
      </c>
      <c r="AY398">
        <v>15846.7</v>
      </c>
      <c r="AZ398">
        <v>14713</v>
      </c>
      <c r="BA398">
        <v>65650</v>
      </c>
      <c r="BB398">
        <v>153334</v>
      </c>
      <c r="BC398" t="str">
        <f t="shared" si="12"/>
        <v>u=0%, k=2x10^9</v>
      </c>
      <c r="BD398">
        <f t="shared" si="13"/>
        <v>0</v>
      </c>
    </row>
    <row r="399" spans="1:56">
      <c r="A399" t="s">
        <v>483</v>
      </c>
      <c r="B399" t="s">
        <v>68</v>
      </c>
      <c r="D399" t="s">
        <v>65</v>
      </c>
      <c r="E399" t="s">
        <v>60</v>
      </c>
      <c r="F399" t="s">
        <v>61</v>
      </c>
      <c r="G399">
        <v>30000</v>
      </c>
      <c r="H399">
        <v>0</v>
      </c>
      <c r="I399">
        <v>0</v>
      </c>
      <c r="J399">
        <v>0</v>
      </c>
      <c r="K399">
        <v>1</v>
      </c>
      <c r="L399">
        <v>2000000000</v>
      </c>
      <c r="M399">
        <v>96</v>
      </c>
      <c r="N399">
        <v>96</v>
      </c>
      <c r="O399">
        <v>96</v>
      </c>
      <c r="P399">
        <v>0</v>
      </c>
      <c r="Q399" t="s">
        <v>62</v>
      </c>
      <c r="R399">
        <v>9.9999168663388096E+17</v>
      </c>
      <c r="S399">
        <v>1000000000</v>
      </c>
      <c r="T399">
        <v>9.9999168663388096E+17</v>
      </c>
      <c r="U399">
        <v>1000000000</v>
      </c>
      <c r="V399" t="s">
        <v>75</v>
      </c>
      <c r="W399">
        <v>80</v>
      </c>
      <c r="X399">
        <v>999999999</v>
      </c>
      <c r="Y399">
        <v>1000000000</v>
      </c>
      <c r="Z399">
        <v>1999999999</v>
      </c>
      <c r="AA399">
        <v>1000000000</v>
      </c>
      <c r="AB399">
        <v>2</v>
      </c>
      <c r="AC399">
        <v>1</v>
      </c>
      <c r="AD399">
        <v>1.5</v>
      </c>
      <c r="AE399">
        <v>40.819899999999997</v>
      </c>
      <c r="AM399">
        <v>568795466</v>
      </c>
      <c r="AN399">
        <v>0</v>
      </c>
      <c r="AO399">
        <v>0</v>
      </c>
      <c r="AP399">
        <v>568795466</v>
      </c>
      <c r="AQ399">
        <v>568795466</v>
      </c>
      <c r="AR399">
        <v>18959848</v>
      </c>
      <c r="AS399">
        <v>0</v>
      </c>
      <c r="AT399">
        <v>0</v>
      </c>
      <c r="AU399">
        <v>18959848</v>
      </c>
      <c r="AV399">
        <v>18959848</v>
      </c>
      <c r="AW399">
        <v>53.806100000000001</v>
      </c>
      <c r="AX399">
        <v>31.2212</v>
      </c>
      <c r="AY399">
        <v>14109.2</v>
      </c>
      <c r="AZ399">
        <v>12879.6</v>
      </c>
      <c r="BA399">
        <v>65666</v>
      </c>
      <c r="BB399">
        <v>66434</v>
      </c>
      <c r="BC399" t="str">
        <f t="shared" si="12"/>
        <v>u=0%, k=2x10^9</v>
      </c>
      <c r="BD399">
        <f t="shared" si="13"/>
        <v>0</v>
      </c>
    </row>
    <row r="400" spans="1:56">
      <c r="A400" t="s">
        <v>484</v>
      </c>
      <c r="B400" t="s">
        <v>68</v>
      </c>
      <c r="D400" t="s">
        <v>65</v>
      </c>
      <c r="E400" t="s">
        <v>60</v>
      </c>
      <c r="F400" t="s">
        <v>61</v>
      </c>
      <c r="G400">
        <v>30000</v>
      </c>
      <c r="H400">
        <v>0</v>
      </c>
      <c r="I400">
        <v>0</v>
      </c>
      <c r="J400">
        <v>0</v>
      </c>
      <c r="K400">
        <v>1</v>
      </c>
      <c r="L400">
        <v>2000000000</v>
      </c>
      <c r="M400">
        <v>144</v>
      </c>
      <c r="N400">
        <v>144</v>
      </c>
      <c r="O400">
        <v>144</v>
      </c>
      <c r="P400">
        <v>0</v>
      </c>
      <c r="Q400" t="s">
        <v>62</v>
      </c>
      <c r="R400">
        <v>9.9999290838871398E+17</v>
      </c>
      <c r="S400">
        <v>1000000000</v>
      </c>
      <c r="T400">
        <v>9.9999290838871398E+17</v>
      </c>
      <c r="U400">
        <v>1000000000</v>
      </c>
      <c r="V400" t="s">
        <v>75</v>
      </c>
      <c r="W400">
        <v>76</v>
      </c>
      <c r="X400">
        <v>999999999</v>
      </c>
      <c r="Y400">
        <v>1000000000</v>
      </c>
      <c r="Z400">
        <v>1999999999</v>
      </c>
      <c r="AA400">
        <v>1000000000</v>
      </c>
      <c r="AB400">
        <v>2</v>
      </c>
      <c r="AC400">
        <v>1</v>
      </c>
      <c r="AD400">
        <v>1.5</v>
      </c>
      <c r="AE400">
        <v>39.771900000000002</v>
      </c>
      <c r="AM400">
        <v>862730147</v>
      </c>
      <c r="AN400">
        <v>0</v>
      </c>
      <c r="AO400">
        <v>0</v>
      </c>
      <c r="AP400">
        <v>862730147</v>
      </c>
      <c r="AQ400">
        <v>862730147</v>
      </c>
      <c r="AR400">
        <v>28757671</v>
      </c>
      <c r="AS400">
        <v>0</v>
      </c>
      <c r="AT400">
        <v>0</v>
      </c>
      <c r="AU400">
        <v>28757671</v>
      </c>
      <c r="AV400">
        <v>28757671</v>
      </c>
      <c r="AW400">
        <v>54.2072</v>
      </c>
      <c r="AX400">
        <v>31.407599999999999</v>
      </c>
      <c r="AY400">
        <v>13950.5</v>
      </c>
      <c r="AZ400">
        <v>12715.3</v>
      </c>
      <c r="BA400">
        <v>65676</v>
      </c>
      <c r="BB400">
        <v>44142</v>
      </c>
      <c r="BC400" t="str">
        <f t="shared" si="12"/>
        <v>u=0%, k=2x10^9</v>
      </c>
      <c r="BD400">
        <f t="shared" si="13"/>
        <v>0</v>
      </c>
    </row>
    <row r="401" spans="1:56">
      <c r="A401" t="s">
        <v>485</v>
      </c>
      <c r="B401" t="s">
        <v>68</v>
      </c>
      <c r="D401" t="s">
        <v>65</v>
      </c>
      <c r="E401" t="s">
        <v>60</v>
      </c>
      <c r="F401" t="s">
        <v>61</v>
      </c>
      <c r="G401">
        <v>30000</v>
      </c>
      <c r="H401">
        <v>0</v>
      </c>
      <c r="I401">
        <v>0</v>
      </c>
      <c r="J401">
        <v>0</v>
      </c>
      <c r="K401">
        <v>1</v>
      </c>
      <c r="L401">
        <v>2000000000</v>
      </c>
      <c r="M401">
        <v>190</v>
      </c>
      <c r="N401">
        <v>190</v>
      </c>
      <c r="O401">
        <v>190</v>
      </c>
      <c r="P401">
        <v>0</v>
      </c>
      <c r="Q401" t="s">
        <v>62</v>
      </c>
      <c r="R401">
        <v>9.9999449048261798E+17</v>
      </c>
      <c r="S401">
        <v>1000000000</v>
      </c>
      <c r="T401">
        <v>9.9999449048261798E+17</v>
      </c>
      <c r="U401">
        <v>1000000000</v>
      </c>
      <c r="V401" t="s">
        <v>75</v>
      </c>
      <c r="W401">
        <v>82</v>
      </c>
      <c r="X401">
        <v>999999999</v>
      </c>
      <c r="Y401">
        <v>1000000000</v>
      </c>
      <c r="Z401">
        <v>1999999999</v>
      </c>
      <c r="AA401">
        <v>1000000000</v>
      </c>
      <c r="AB401">
        <v>2</v>
      </c>
      <c r="AC401">
        <v>1</v>
      </c>
      <c r="AD401">
        <v>1.5</v>
      </c>
      <c r="AE401">
        <v>40.209899999999998</v>
      </c>
      <c r="AM401">
        <v>1145721495</v>
      </c>
      <c r="AN401">
        <v>0</v>
      </c>
      <c r="AO401">
        <v>0</v>
      </c>
      <c r="AP401">
        <v>1145721495</v>
      </c>
      <c r="AQ401">
        <v>1145721495</v>
      </c>
      <c r="AR401">
        <v>38190716</v>
      </c>
      <c r="AS401">
        <v>0</v>
      </c>
      <c r="AT401">
        <v>0</v>
      </c>
      <c r="AU401">
        <v>38190716</v>
      </c>
      <c r="AV401">
        <v>38190716</v>
      </c>
      <c r="AW401">
        <v>54.042200000000001</v>
      </c>
      <c r="AX401">
        <v>31.558700000000002</v>
      </c>
      <c r="AY401">
        <v>13859.5</v>
      </c>
      <c r="AZ401">
        <v>12619.1</v>
      </c>
      <c r="BA401">
        <v>65690</v>
      </c>
      <c r="BB401">
        <v>33840</v>
      </c>
      <c r="BC401" t="str">
        <f t="shared" si="12"/>
        <v>u=0%, k=2x10^9</v>
      </c>
      <c r="BD401">
        <f t="shared" si="13"/>
        <v>0</v>
      </c>
    </row>
    <row r="402" spans="1:56">
      <c r="A402" t="s">
        <v>486</v>
      </c>
      <c r="B402" t="s">
        <v>64</v>
      </c>
      <c r="C402">
        <v>72</v>
      </c>
      <c r="D402" t="s">
        <v>65</v>
      </c>
      <c r="E402" t="s">
        <v>60</v>
      </c>
      <c r="F402" t="s">
        <v>61</v>
      </c>
      <c r="G402">
        <v>30000</v>
      </c>
      <c r="H402">
        <v>0.5</v>
      </c>
      <c r="I402">
        <v>0.5</v>
      </c>
      <c r="J402">
        <v>0</v>
      </c>
      <c r="K402">
        <v>1</v>
      </c>
      <c r="L402">
        <v>2000000</v>
      </c>
      <c r="M402">
        <v>24</v>
      </c>
      <c r="N402">
        <v>24</v>
      </c>
      <c r="O402">
        <v>24</v>
      </c>
      <c r="P402">
        <v>0</v>
      </c>
      <c r="Q402" t="s">
        <v>62</v>
      </c>
      <c r="R402">
        <v>998942678742</v>
      </c>
      <c r="S402">
        <v>999695</v>
      </c>
      <c r="T402">
        <v>998942678742</v>
      </c>
      <c r="U402">
        <v>999695</v>
      </c>
      <c r="V402" t="s">
        <v>75</v>
      </c>
      <c r="W402">
        <v>6</v>
      </c>
      <c r="X402">
        <v>68533</v>
      </c>
      <c r="Y402">
        <v>1106290</v>
      </c>
      <c r="Z402">
        <v>1174823</v>
      </c>
      <c r="AA402">
        <v>999695</v>
      </c>
      <c r="AB402">
        <v>17.142399999999999</v>
      </c>
      <c r="AC402">
        <v>0.90364599999999995</v>
      </c>
      <c r="AD402">
        <v>1.85093</v>
      </c>
      <c r="AE402">
        <v>3.0779700000000001</v>
      </c>
      <c r="AM402">
        <v>2368038150</v>
      </c>
      <c r="AN402">
        <v>0</v>
      </c>
      <c r="AO402">
        <v>23917327</v>
      </c>
      <c r="AP402">
        <v>2368038150</v>
      </c>
      <c r="AQ402">
        <v>2391955477</v>
      </c>
      <c r="AR402">
        <v>78934605</v>
      </c>
      <c r="AS402">
        <v>0</v>
      </c>
      <c r="AT402">
        <v>797244</v>
      </c>
      <c r="AU402">
        <v>78934605</v>
      </c>
      <c r="AV402">
        <v>79731849</v>
      </c>
      <c r="AW402">
        <v>8.5687999999999995</v>
      </c>
      <c r="AX402">
        <v>0.100809</v>
      </c>
      <c r="AY402">
        <v>839.02200000000005</v>
      </c>
      <c r="AZ402">
        <v>272.346</v>
      </c>
      <c r="BA402">
        <v>1185</v>
      </c>
      <c r="BB402">
        <v>27</v>
      </c>
      <c r="BC402" t="str">
        <f t="shared" si="12"/>
        <v>u=1%, k=2x10^6</v>
      </c>
      <c r="BD402">
        <f t="shared" si="13"/>
        <v>0</v>
      </c>
    </row>
    <row r="403" spans="1:56">
      <c r="A403" t="s">
        <v>487</v>
      </c>
      <c r="B403" t="s">
        <v>64</v>
      </c>
      <c r="C403">
        <v>72</v>
      </c>
      <c r="D403" t="s">
        <v>65</v>
      </c>
      <c r="E403" t="s">
        <v>60</v>
      </c>
      <c r="F403" t="s">
        <v>61</v>
      </c>
      <c r="G403">
        <v>30000</v>
      </c>
      <c r="H403">
        <v>0.5</v>
      </c>
      <c r="I403">
        <v>0.5</v>
      </c>
      <c r="J403">
        <v>0</v>
      </c>
      <c r="K403">
        <v>1</v>
      </c>
      <c r="L403">
        <v>2000000</v>
      </c>
      <c r="M403">
        <v>48</v>
      </c>
      <c r="N403">
        <v>48</v>
      </c>
      <c r="O403">
        <v>48</v>
      </c>
      <c r="P403">
        <v>0</v>
      </c>
      <c r="Q403" t="s">
        <v>62</v>
      </c>
      <c r="R403">
        <v>1000749254136</v>
      </c>
      <c r="S403">
        <v>1000619</v>
      </c>
      <c r="T403">
        <v>1000749254136</v>
      </c>
      <c r="U403">
        <v>1000619</v>
      </c>
      <c r="V403" t="s">
        <v>75</v>
      </c>
      <c r="W403">
        <v>6</v>
      </c>
      <c r="X403">
        <v>57987</v>
      </c>
      <c r="Y403">
        <v>1083137</v>
      </c>
      <c r="Z403">
        <v>1141124</v>
      </c>
      <c r="AA403">
        <v>1000619</v>
      </c>
      <c r="AB403">
        <v>19.678999999999998</v>
      </c>
      <c r="AC403">
        <v>0.92381599999999997</v>
      </c>
      <c r="AD403">
        <v>1.87687</v>
      </c>
      <c r="AE403">
        <v>3.0518100000000001</v>
      </c>
      <c r="AM403">
        <v>3623439000</v>
      </c>
      <c r="AN403">
        <v>0</v>
      </c>
      <c r="AO403">
        <v>36594241</v>
      </c>
      <c r="AP403">
        <v>3623439000</v>
      </c>
      <c r="AQ403">
        <v>3660033241</v>
      </c>
      <c r="AR403">
        <v>120781300</v>
      </c>
      <c r="AS403">
        <v>0</v>
      </c>
      <c r="AT403">
        <v>1219808</v>
      </c>
      <c r="AU403">
        <v>120781300</v>
      </c>
      <c r="AV403">
        <v>122001108</v>
      </c>
      <c r="AW403">
        <v>8.4525199999999998</v>
      </c>
      <c r="AX403">
        <v>0.11311499999999999</v>
      </c>
      <c r="AY403">
        <v>1090.23</v>
      </c>
      <c r="AZ403">
        <v>394.791</v>
      </c>
      <c r="BA403">
        <v>1213</v>
      </c>
      <c r="BB403">
        <v>31</v>
      </c>
      <c r="BC403" t="str">
        <f t="shared" si="12"/>
        <v>u=1%, k=2x10^6</v>
      </c>
      <c r="BD403">
        <f t="shared" si="13"/>
        <v>0</v>
      </c>
    </row>
    <row r="404" spans="1:56">
      <c r="A404" t="s">
        <v>488</v>
      </c>
      <c r="B404" t="s">
        <v>64</v>
      </c>
      <c r="C404">
        <v>72</v>
      </c>
      <c r="D404" t="s">
        <v>65</v>
      </c>
      <c r="E404" t="s">
        <v>60</v>
      </c>
      <c r="F404" t="s">
        <v>61</v>
      </c>
      <c r="G404">
        <v>30000</v>
      </c>
      <c r="H404">
        <v>0.5</v>
      </c>
      <c r="I404">
        <v>0.5</v>
      </c>
      <c r="J404">
        <v>0</v>
      </c>
      <c r="K404">
        <v>1</v>
      </c>
      <c r="L404">
        <v>2000000</v>
      </c>
      <c r="M404">
        <v>96</v>
      </c>
      <c r="N404">
        <v>96</v>
      </c>
      <c r="O404">
        <v>96</v>
      </c>
      <c r="P404">
        <v>0</v>
      </c>
      <c r="Q404" t="s">
        <v>62</v>
      </c>
      <c r="R404">
        <v>1000579408034</v>
      </c>
      <c r="S404">
        <v>1000389</v>
      </c>
      <c r="T404">
        <v>1000579408034</v>
      </c>
      <c r="U404">
        <v>1000389</v>
      </c>
      <c r="V404" t="s">
        <v>75</v>
      </c>
      <c r="W404">
        <v>6</v>
      </c>
      <c r="X404">
        <v>54106</v>
      </c>
      <c r="Y404">
        <v>1075508</v>
      </c>
      <c r="Z404">
        <v>1129614</v>
      </c>
      <c r="AA404">
        <v>1000389</v>
      </c>
      <c r="AB404">
        <v>20.877800000000001</v>
      </c>
      <c r="AC404">
        <v>0.93015499999999995</v>
      </c>
      <c r="AD404">
        <v>1.8855999999999999</v>
      </c>
      <c r="AE404">
        <v>3.0441500000000001</v>
      </c>
      <c r="AM404">
        <v>6907796279</v>
      </c>
      <c r="AN404">
        <v>0</v>
      </c>
      <c r="AO404">
        <v>69773912</v>
      </c>
      <c r="AP404">
        <v>6907796279</v>
      </c>
      <c r="AQ404">
        <v>6977570191</v>
      </c>
      <c r="AR404">
        <v>230259875</v>
      </c>
      <c r="AS404">
        <v>0</v>
      </c>
      <c r="AT404">
        <v>2325797</v>
      </c>
      <c r="AU404">
        <v>230259875</v>
      </c>
      <c r="AV404">
        <v>232585673</v>
      </c>
      <c r="AW404">
        <v>8.4759200000000003</v>
      </c>
      <c r="AX404">
        <v>0.25197199999999997</v>
      </c>
      <c r="AY404">
        <v>1145.29</v>
      </c>
      <c r="AZ404">
        <v>426.42200000000003</v>
      </c>
      <c r="BA404">
        <v>1276</v>
      </c>
      <c r="BB404">
        <v>161</v>
      </c>
      <c r="BC404" t="str">
        <f t="shared" si="12"/>
        <v>u=1%, k=2x10^6</v>
      </c>
      <c r="BD404">
        <f t="shared" si="13"/>
        <v>0</v>
      </c>
    </row>
    <row r="405" spans="1:56">
      <c r="A405" t="s">
        <v>489</v>
      </c>
      <c r="B405" t="s">
        <v>64</v>
      </c>
      <c r="C405">
        <v>72</v>
      </c>
      <c r="D405" t="s">
        <v>65</v>
      </c>
      <c r="E405" t="s">
        <v>60</v>
      </c>
      <c r="F405" t="s">
        <v>61</v>
      </c>
      <c r="G405">
        <v>30000</v>
      </c>
      <c r="H405">
        <v>0.5</v>
      </c>
      <c r="I405">
        <v>0.5</v>
      </c>
      <c r="J405">
        <v>0</v>
      </c>
      <c r="K405">
        <v>1</v>
      </c>
      <c r="L405">
        <v>2000000</v>
      </c>
      <c r="M405">
        <v>144</v>
      </c>
      <c r="N405">
        <v>144</v>
      </c>
      <c r="O405">
        <v>144</v>
      </c>
      <c r="P405">
        <v>0</v>
      </c>
      <c r="Q405" t="s">
        <v>62</v>
      </c>
      <c r="R405">
        <v>1000602491403</v>
      </c>
      <c r="S405">
        <v>1000981</v>
      </c>
      <c r="T405">
        <v>1000602491403</v>
      </c>
      <c r="U405">
        <v>1000981</v>
      </c>
      <c r="V405" t="s">
        <v>75</v>
      </c>
      <c r="W405">
        <v>6</v>
      </c>
      <c r="X405">
        <v>51068</v>
      </c>
      <c r="Y405">
        <v>1069552</v>
      </c>
      <c r="Z405">
        <v>1120620</v>
      </c>
      <c r="AA405">
        <v>1000981</v>
      </c>
      <c r="AB405">
        <v>21.9437</v>
      </c>
      <c r="AC405">
        <v>0.93588800000000005</v>
      </c>
      <c r="AD405">
        <v>1.89324</v>
      </c>
      <c r="AE405">
        <v>3.0374099999999999</v>
      </c>
      <c r="AM405">
        <v>9789235214</v>
      </c>
      <c r="AN405">
        <v>0</v>
      </c>
      <c r="AO405">
        <v>98870995</v>
      </c>
      <c r="AP405">
        <v>9789235214</v>
      </c>
      <c r="AQ405">
        <v>9888106209</v>
      </c>
      <c r="AR405">
        <v>326307840</v>
      </c>
      <c r="AS405">
        <v>0</v>
      </c>
      <c r="AT405">
        <v>3295699</v>
      </c>
      <c r="AU405">
        <v>326307840</v>
      </c>
      <c r="AV405">
        <v>329603540</v>
      </c>
      <c r="AW405">
        <v>8.5794300000000003</v>
      </c>
      <c r="AX405">
        <v>0.360871</v>
      </c>
      <c r="AY405">
        <v>1201.32</v>
      </c>
      <c r="AZ405">
        <v>471.17599999999999</v>
      </c>
      <c r="BA405">
        <v>1345</v>
      </c>
      <c r="BB405">
        <v>275</v>
      </c>
      <c r="BC405" t="str">
        <f t="shared" si="12"/>
        <v>u=1%, k=2x10^6</v>
      </c>
      <c r="BD405">
        <f t="shared" si="13"/>
        <v>0</v>
      </c>
    </row>
    <row r="406" spans="1:56">
      <c r="A406" t="s">
        <v>490</v>
      </c>
      <c r="B406" t="s">
        <v>64</v>
      </c>
      <c r="C406">
        <v>72</v>
      </c>
      <c r="D406" t="s">
        <v>65</v>
      </c>
      <c r="E406" t="s">
        <v>60</v>
      </c>
      <c r="F406" t="s">
        <v>61</v>
      </c>
      <c r="G406">
        <v>30000</v>
      </c>
      <c r="H406">
        <v>0.5</v>
      </c>
      <c r="I406">
        <v>0.5</v>
      </c>
      <c r="J406">
        <v>0</v>
      </c>
      <c r="K406">
        <v>1</v>
      </c>
      <c r="L406">
        <v>2000000</v>
      </c>
      <c r="M406">
        <v>190</v>
      </c>
      <c r="N406">
        <v>190</v>
      </c>
      <c r="O406">
        <v>190</v>
      </c>
      <c r="P406">
        <v>0</v>
      </c>
      <c r="Q406" t="s">
        <v>62</v>
      </c>
      <c r="R406">
        <v>1000013528401</v>
      </c>
      <c r="S406">
        <v>1000022</v>
      </c>
      <c r="T406">
        <v>1000013528401</v>
      </c>
      <c r="U406">
        <v>1000022</v>
      </c>
      <c r="V406" t="s">
        <v>75</v>
      </c>
      <c r="W406">
        <v>6</v>
      </c>
      <c r="X406">
        <v>57538</v>
      </c>
      <c r="Y406">
        <v>1081807</v>
      </c>
      <c r="Z406">
        <v>1139345</v>
      </c>
      <c r="AA406">
        <v>1000022</v>
      </c>
      <c r="AB406">
        <v>19.801600000000001</v>
      </c>
      <c r="AC406">
        <v>0.9244</v>
      </c>
      <c r="AD406">
        <v>1.8777200000000001</v>
      </c>
      <c r="AE406">
        <v>3.0511300000000001</v>
      </c>
      <c r="AM406">
        <v>12315483338</v>
      </c>
      <c r="AN406">
        <v>0</v>
      </c>
      <c r="AO406">
        <v>124415316</v>
      </c>
      <c r="AP406">
        <v>12315483338</v>
      </c>
      <c r="AQ406">
        <v>12439898654</v>
      </c>
      <c r="AR406">
        <v>410516111</v>
      </c>
      <c r="AS406">
        <v>0</v>
      </c>
      <c r="AT406">
        <v>4147177</v>
      </c>
      <c r="AU406">
        <v>410516111</v>
      </c>
      <c r="AV406">
        <v>414663288</v>
      </c>
      <c r="AW406">
        <v>8.6831399999999999</v>
      </c>
      <c r="AX406">
        <v>0.41703200000000001</v>
      </c>
      <c r="AY406">
        <v>1258.56</v>
      </c>
      <c r="AZ406">
        <v>520.18899999999996</v>
      </c>
      <c r="BA406">
        <v>1420</v>
      </c>
      <c r="BB406">
        <v>163</v>
      </c>
      <c r="BC406" t="str">
        <f t="shared" si="12"/>
        <v>u=1%, k=2x10^6</v>
      </c>
      <c r="BD406">
        <f t="shared" si="13"/>
        <v>0</v>
      </c>
    </row>
    <row r="407" spans="1:56">
      <c r="A407" t="s">
        <v>491</v>
      </c>
      <c r="B407" t="s">
        <v>66</v>
      </c>
      <c r="C407">
        <v>208</v>
      </c>
      <c r="D407" t="s">
        <v>65</v>
      </c>
      <c r="E407" t="s">
        <v>60</v>
      </c>
      <c r="F407" t="s">
        <v>61</v>
      </c>
      <c r="G407">
        <v>30000</v>
      </c>
      <c r="H407">
        <v>0.5</v>
      </c>
      <c r="I407">
        <v>0.5</v>
      </c>
      <c r="J407">
        <v>0</v>
      </c>
      <c r="K407">
        <v>1</v>
      </c>
      <c r="L407">
        <v>2000000</v>
      </c>
      <c r="M407">
        <v>24</v>
      </c>
      <c r="N407">
        <v>24</v>
      </c>
      <c r="O407">
        <v>24</v>
      </c>
      <c r="P407">
        <v>0</v>
      </c>
      <c r="Q407" t="s">
        <v>62</v>
      </c>
      <c r="R407">
        <v>999872012287</v>
      </c>
      <c r="S407">
        <v>999323</v>
      </c>
      <c r="T407">
        <v>999872012287</v>
      </c>
      <c r="U407">
        <v>999323</v>
      </c>
      <c r="V407" t="s">
        <v>75</v>
      </c>
      <c r="W407">
        <v>8</v>
      </c>
      <c r="X407">
        <v>27850</v>
      </c>
      <c r="Y407">
        <v>188618</v>
      </c>
      <c r="Z407">
        <v>216468</v>
      </c>
      <c r="AA407">
        <v>999323</v>
      </c>
      <c r="AB407">
        <v>7.77264</v>
      </c>
      <c r="AC407">
        <v>5.2981299999999996</v>
      </c>
      <c r="AD407">
        <v>5.6164899999999998</v>
      </c>
      <c r="AE407">
        <v>7</v>
      </c>
      <c r="AM407">
        <v>1762924095</v>
      </c>
      <c r="AN407">
        <v>0</v>
      </c>
      <c r="AO407">
        <v>17803681</v>
      </c>
      <c r="AP407">
        <v>1762924095</v>
      </c>
      <c r="AQ407">
        <v>1780727776</v>
      </c>
      <c r="AR407">
        <v>58764136</v>
      </c>
      <c r="AS407">
        <v>0</v>
      </c>
      <c r="AT407">
        <v>593456</v>
      </c>
      <c r="AU407">
        <v>58764136</v>
      </c>
      <c r="AV407">
        <v>59357592</v>
      </c>
      <c r="AW407">
        <v>9.4738299999999995</v>
      </c>
      <c r="AX407">
        <v>0.737931</v>
      </c>
      <c r="AY407">
        <v>1127.5999999999999</v>
      </c>
      <c r="AZ407">
        <v>322.85500000000002</v>
      </c>
      <c r="BA407">
        <v>1117</v>
      </c>
      <c r="BB407">
        <v>155</v>
      </c>
      <c r="BC407" t="str">
        <f t="shared" si="12"/>
        <v>u=1%, k=2x10^6</v>
      </c>
      <c r="BD407">
        <f t="shared" si="13"/>
        <v>0</v>
      </c>
    </row>
    <row r="408" spans="1:56">
      <c r="A408" t="s">
        <v>492</v>
      </c>
      <c r="B408" t="s">
        <v>66</v>
      </c>
      <c r="C408">
        <v>208</v>
      </c>
      <c r="D408" t="s">
        <v>65</v>
      </c>
      <c r="E408" t="s">
        <v>60</v>
      </c>
      <c r="F408" t="s">
        <v>61</v>
      </c>
      <c r="G408">
        <v>30000</v>
      </c>
      <c r="H408">
        <v>0.5</v>
      </c>
      <c r="I408">
        <v>0.5</v>
      </c>
      <c r="J408">
        <v>0</v>
      </c>
      <c r="K408">
        <v>1</v>
      </c>
      <c r="L408">
        <v>2000000</v>
      </c>
      <c r="M408">
        <v>48</v>
      </c>
      <c r="N408">
        <v>48</v>
      </c>
      <c r="O408">
        <v>48</v>
      </c>
      <c r="P408">
        <v>0</v>
      </c>
      <c r="Q408" t="s">
        <v>62</v>
      </c>
      <c r="R408">
        <v>1000015231800</v>
      </c>
      <c r="S408">
        <v>1000298</v>
      </c>
      <c r="T408">
        <v>1000015231800</v>
      </c>
      <c r="U408">
        <v>1000298</v>
      </c>
      <c r="V408" t="s">
        <v>75</v>
      </c>
      <c r="W408">
        <v>8</v>
      </c>
      <c r="X408">
        <v>29049</v>
      </c>
      <c r="Y408">
        <v>193653</v>
      </c>
      <c r="Z408">
        <v>222702</v>
      </c>
      <c r="AA408">
        <v>1000298</v>
      </c>
      <c r="AB408">
        <v>7.6664300000000001</v>
      </c>
      <c r="AC408">
        <v>5.1654099999999996</v>
      </c>
      <c r="AD408">
        <v>5.4916400000000003</v>
      </c>
      <c r="AE408">
        <v>7</v>
      </c>
      <c r="AM408">
        <v>2786664502</v>
      </c>
      <c r="AN408">
        <v>0</v>
      </c>
      <c r="AO408">
        <v>28149669</v>
      </c>
      <c r="AP408">
        <v>2786664502</v>
      </c>
      <c r="AQ408">
        <v>2814814171</v>
      </c>
      <c r="AR408">
        <v>92888816</v>
      </c>
      <c r="AS408">
        <v>0</v>
      </c>
      <c r="AT408">
        <v>938322</v>
      </c>
      <c r="AU408">
        <v>92888816</v>
      </c>
      <c r="AV408">
        <v>93827139</v>
      </c>
      <c r="AW408">
        <v>9.6106700000000007</v>
      </c>
      <c r="AX408">
        <v>0.81948100000000001</v>
      </c>
      <c r="AY408">
        <v>1395.2</v>
      </c>
      <c r="AZ408">
        <v>550.82600000000002</v>
      </c>
      <c r="BA408">
        <v>1131</v>
      </c>
      <c r="BB408">
        <v>200</v>
      </c>
      <c r="BC408" t="str">
        <f t="shared" si="12"/>
        <v>u=1%, k=2x10^6</v>
      </c>
      <c r="BD408">
        <f t="shared" si="13"/>
        <v>0</v>
      </c>
    </row>
    <row r="409" spans="1:56">
      <c r="A409" t="s">
        <v>493</v>
      </c>
      <c r="B409" t="s">
        <v>66</v>
      </c>
      <c r="C409">
        <v>208</v>
      </c>
      <c r="D409" t="s">
        <v>65</v>
      </c>
      <c r="E409" t="s">
        <v>60</v>
      </c>
      <c r="F409" t="s">
        <v>61</v>
      </c>
      <c r="G409">
        <v>30000</v>
      </c>
      <c r="H409">
        <v>0.5</v>
      </c>
      <c r="I409">
        <v>0.5</v>
      </c>
      <c r="J409">
        <v>0</v>
      </c>
      <c r="K409">
        <v>1</v>
      </c>
      <c r="L409">
        <v>2000000</v>
      </c>
      <c r="M409">
        <v>96</v>
      </c>
      <c r="N409">
        <v>96</v>
      </c>
      <c r="O409">
        <v>96</v>
      </c>
      <c r="P409">
        <v>0</v>
      </c>
      <c r="Q409" t="s">
        <v>62</v>
      </c>
      <c r="R409">
        <v>1000862403788</v>
      </c>
      <c r="S409">
        <v>1000535</v>
      </c>
      <c r="T409">
        <v>1000862403788</v>
      </c>
      <c r="U409">
        <v>1000535</v>
      </c>
      <c r="V409" t="s">
        <v>75</v>
      </c>
      <c r="W409">
        <v>8</v>
      </c>
      <c r="X409">
        <v>30864</v>
      </c>
      <c r="Y409">
        <v>196841</v>
      </c>
      <c r="Z409">
        <v>227705</v>
      </c>
      <c r="AA409">
        <v>1000535</v>
      </c>
      <c r="AB409">
        <v>7.3776900000000003</v>
      </c>
      <c r="AC409">
        <v>5.0829599999999999</v>
      </c>
      <c r="AD409">
        <v>5.3940000000000001</v>
      </c>
      <c r="AE409">
        <v>7</v>
      </c>
      <c r="AM409">
        <v>5482934935</v>
      </c>
      <c r="AN409">
        <v>0</v>
      </c>
      <c r="AO409">
        <v>55398520</v>
      </c>
      <c r="AP409">
        <v>5482934935</v>
      </c>
      <c r="AQ409">
        <v>5538333455</v>
      </c>
      <c r="AR409">
        <v>182764497</v>
      </c>
      <c r="AS409">
        <v>0</v>
      </c>
      <c r="AT409">
        <v>1846617</v>
      </c>
      <c r="AU409">
        <v>182764497</v>
      </c>
      <c r="AV409">
        <v>184611115</v>
      </c>
      <c r="AW409">
        <v>9.9413300000000007</v>
      </c>
      <c r="AX409">
        <v>1.1291500000000001</v>
      </c>
      <c r="AY409">
        <v>1410.04</v>
      </c>
      <c r="AZ409">
        <v>535.64099999999996</v>
      </c>
      <c r="BA409">
        <v>1148</v>
      </c>
      <c r="BB409">
        <v>313</v>
      </c>
      <c r="BC409" t="str">
        <f t="shared" si="12"/>
        <v>u=1%, k=2x10^6</v>
      </c>
      <c r="BD409">
        <f t="shared" si="13"/>
        <v>0</v>
      </c>
    </row>
    <row r="410" spans="1:56">
      <c r="A410" t="s">
        <v>494</v>
      </c>
      <c r="B410" t="s">
        <v>66</v>
      </c>
      <c r="C410">
        <v>208</v>
      </c>
      <c r="D410" t="s">
        <v>65</v>
      </c>
      <c r="E410" t="s">
        <v>60</v>
      </c>
      <c r="F410" t="s">
        <v>61</v>
      </c>
      <c r="G410">
        <v>30000</v>
      </c>
      <c r="H410">
        <v>0.5</v>
      </c>
      <c r="I410">
        <v>0.5</v>
      </c>
      <c r="J410">
        <v>0</v>
      </c>
      <c r="K410">
        <v>1</v>
      </c>
      <c r="L410">
        <v>2000000</v>
      </c>
      <c r="M410">
        <v>144</v>
      </c>
      <c r="N410">
        <v>144</v>
      </c>
      <c r="O410">
        <v>144</v>
      </c>
      <c r="P410">
        <v>0</v>
      </c>
      <c r="Q410" t="s">
        <v>62</v>
      </c>
      <c r="R410">
        <v>998500269976</v>
      </c>
      <c r="S410">
        <v>998647</v>
      </c>
      <c r="T410">
        <v>998500269976</v>
      </c>
      <c r="U410">
        <v>998647</v>
      </c>
      <c r="V410" t="s">
        <v>75</v>
      </c>
      <c r="W410">
        <v>8</v>
      </c>
      <c r="X410">
        <v>31640</v>
      </c>
      <c r="Y410">
        <v>196267</v>
      </c>
      <c r="Z410">
        <v>227907</v>
      </c>
      <c r="AA410">
        <v>998647</v>
      </c>
      <c r="AB410">
        <v>7.2031299999999998</v>
      </c>
      <c r="AC410">
        <v>5.0882100000000001</v>
      </c>
      <c r="AD410">
        <v>5.3818200000000003</v>
      </c>
      <c r="AE410">
        <v>7</v>
      </c>
      <c r="AM410">
        <v>8110112630</v>
      </c>
      <c r="AN410">
        <v>0</v>
      </c>
      <c r="AO410">
        <v>81914620</v>
      </c>
      <c r="AP410">
        <v>8110112630</v>
      </c>
      <c r="AQ410">
        <v>8192027250</v>
      </c>
      <c r="AR410">
        <v>270337087</v>
      </c>
      <c r="AS410">
        <v>0</v>
      </c>
      <c r="AT410">
        <v>2730487</v>
      </c>
      <c r="AU410">
        <v>270337087</v>
      </c>
      <c r="AV410">
        <v>273067575</v>
      </c>
      <c r="AW410">
        <v>10.0685</v>
      </c>
      <c r="AX410">
        <v>1.23759</v>
      </c>
      <c r="AY410">
        <v>1416.09</v>
      </c>
      <c r="AZ410">
        <v>537.60699999999997</v>
      </c>
      <c r="BA410">
        <v>1165</v>
      </c>
      <c r="BB410">
        <v>329</v>
      </c>
      <c r="BC410" t="str">
        <f t="shared" si="12"/>
        <v>u=1%, k=2x10^6</v>
      </c>
      <c r="BD410">
        <f t="shared" si="13"/>
        <v>0</v>
      </c>
    </row>
    <row r="411" spans="1:56">
      <c r="A411" t="s">
        <v>495</v>
      </c>
      <c r="B411" t="s">
        <v>66</v>
      </c>
      <c r="C411">
        <v>208</v>
      </c>
      <c r="D411" t="s">
        <v>65</v>
      </c>
      <c r="E411" t="s">
        <v>60</v>
      </c>
      <c r="F411" t="s">
        <v>61</v>
      </c>
      <c r="G411">
        <v>30000</v>
      </c>
      <c r="H411">
        <v>0.5</v>
      </c>
      <c r="I411">
        <v>0.5</v>
      </c>
      <c r="J411">
        <v>0</v>
      </c>
      <c r="K411">
        <v>1</v>
      </c>
      <c r="L411">
        <v>2000000</v>
      </c>
      <c r="M411">
        <v>190</v>
      </c>
      <c r="N411">
        <v>190</v>
      </c>
      <c r="O411">
        <v>190</v>
      </c>
      <c r="P411">
        <v>0</v>
      </c>
      <c r="Q411" t="s">
        <v>62</v>
      </c>
      <c r="R411">
        <v>1001506309156</v>
      </c>
      <c r="S411">
        <v>1001203</v>
      </c>
      <c r="T411">
        <v>1001506309156</v>
      </c>
      <c r="U411">
        <v>1001203</v>
      </c>
      <c r="V411" t="s">
        <v>75</v>
      </c>
      <c r="W411">
        <v>8</v>
      </c>
      <c r="X411">
        <v>32197</v>
      </c>
      <c r="Y411">
        <v>195941</v>
      </c>
      <c r="Z411">
        <v>228138</v>
      </c>
      <c r="AA411">
        <v>1001203</v>
      </c>
      <c r="AB411">
        <v>7.0856899999999996</v>
      </c>
      <c r="AC411">
        <v>5.1097200000000003</v>
      </c>
      <c r="AD411">
        <v>5.3885800000000001</v>
      </c>
      <c r="AE411">
        <v>7</v>
      </c>
      <c r="AM411">
        <v>10514818781</v>
      </c>
      <c r="AN411">
        <v>0</v>
      </c>
      <c r="AO411">
        <v>106211613</v>
      </c>
      <c r="AP411">
        <v>10514818781</v>
      </c>
      <c r="AQ411">
        <v>10621030394</v>
      </c>
      <c r="AR411">
        <v>350493959</v>
      </c>
      <c r="AS411">
        <v>0</v>
      </c>
      <c r="AT411">
        <v>3540387</v>
      </c>
      <c r="AU411">
        <v>350493959</v>
      </c>
      <c r="AV411">
        <v>354034346</v>
      </c>
      <c r="AW411">
        <v>10.392099999999999</v>
      </c>
      <c r="AX411">
        <v>1.3064100000000001</v>
      </c>
      <c r="AY411">
        <v>1441.68</v>
      </c>
      <c r="AZ411">
        <v>548.14300000000003</v>
      </c>
      <c r="BA411">
        <v>1175</v>
      </c>
      <c r="BB411">
        <v>306</v>
      </c>
      <c r="BC411" t="str">
        <f t="shared" si="12"/>
        <v>u=1%, k=2x10^6</v>
      </c>
      <c r="BD411">
        <f t="shared" si="13"/>
        <v>0</v>
      </c>
    </row>
    <row r="412" spans="1:56">
      <c r="A412" t="s">
        <v>496</v>
      </c>
      <c r="B412" t="s">
        <v>67</v>
      </c>
      <c r="D412" t="s">
        <v>65</v>
      </c>
      <c r="E412" t="s">
        <v>60</v>
      </c>
      <c r="F412" t="s">
        <v>61</v>
      </c>
      <c r="G412">
        <v>30000</v>
      </c>
      <c r="H412">
        <v>0.5</v>
      </c>
      <c r="I412">
        <v>0.5</v>
      </c>
      <c r="J412">
        <v>0</v>
      </c>
      <c r="K412">
        <v>1</v>
      </c>
      <c r="L412">
        <v>2000000</v>
      </c>
      <c r="M412">
        <v>24</v>
      </c>
      <c r="N412">
        <v>24</v>
      </c>
      <c r="O412">
        <v>24</v>
      </c>
      <c r="P412">
        <v>0</v>
      </c>
      <c r="Q412" t="s">
        <v>62</v>
      </c>
      <c r="R412">
        <v>1001109383477</v>
      </c>
      <c r="S412">
        <v>1001338</v>
      </c>
      <c r="T412">
        <v>1001109383477</v>
      </c>
      <c r="U412">
        <v>1001338</v>
      </c>
      <c r="V412" t="s">
        <v>75</v>
      </c>
      <c r="W412">
        <v>25</v>
      </c>
      <c r="X412">
        <v>683949</v>
      </c>
      <c r="Y412">
        <v>518897</v>
      </c>
      <c r="Z412">
        <v>1202846</v>
      </c>
      <c r="AA412">
        <v>1001338</v>
      </c>
      <c r="AB412">
        <v>1.75868</v>
      </c>
      <c r="AC412">
        <v>1.92974</v>
      </c>
      <c r="AD412">
        <v>1.83247</v>
      </c>
      <c r="AE412">
        <v>19.915199999999999</v>
      </c>
      <c r="AM412">
        <v>855635544</v>
      </c>
      <c r="AN412">
        <v>0</v>
      </c>
      <c r="AO412">
        <v>8646185</v>
      </c>
      <c r="AP412">
        <v>855635544</v>
      </c>
      <c r="AQ412">
        <v>864281729</v>
      </c>
      <c r="AR412">
        <v>28521184</v>
      </c>
      <c r="AS412">
        <v>0</v>
      </c>
      <c r="AT412">
        <v>288206</v>
      </c>
      <c r="AU412">
        <v>28521184</v>
      </c>
      <c r="AV412">
        <v>28809390</v>
      </c>
      <c r="AW412">
        <v>15.348599999999999</v>
      </c>
      <c r="AX412">
        <v>2.2711000000000001</v>
      </c>
      <c r="AY412">
        <v>2323.83</v>
      </c>
      <c r="AZ412">
        <v>1249.69</v>
      </c>
      <c r="BA412">
        <v>1146</v>
      </c>
      <c r="BB412">
        <v>200</v>
      </c>
      <c r="BC412" t="str">
        <f t="shared" si="12"/>
        <v>u=1%, k=2x10^6</v>
      </c>
      <c r="BD412">
        <f t="shared" si="13"/>
        <v>0</v>
      </c>
    </row>
    <row r="413" spans="1:56">
      <c r="A413" t="s">
        <v>497</v>
      </c>
      <c r="B413" t="s">
        <v>67</v>
      </c>
      <c r="D413" t="s">
        <v>65</v>
      </c>
      <c r="E413" t="s">
        <v>60</v>
      </c>
      <c r="F413" t="s">
        <v>61</v>
      </c>
      <c r="G413">
        <v>30000</v>
      </c>
      <c r="H413">
        <v>0.5</v>
      </c>
      <c r="I413">
        <v>0.5</v>
      </c>
      <c r="J413">
        <v>0</v>
      </c>
      <c r="K413">
        <v>1</v>
      </c>
      <c r="L413">
        <v>2000000</v>
      </c>
      <c r="M413">
        <v>48</v>
      </c>
      <c r="N413">
        <v>48</v>
      </c>
      <c r="O413">
        <v>48</v>
      </c>
      <c r="P413">
        <v>0</v>
      </c>
      <c r="Q413" t="s">
        <v>62</v>
      </c>
      <c r="R413">
        <v>1000053122882</v>
      </c>
      <c r="S413">
        <v>1000507</v>
      </c>
      <c r="T413">
        <v>1000053122882</v>
      </c>
      <c r="U413">
        <v>1000507</v>
      </c>
      <c r="V413" t="s">
        <v>75</v>
      </c>
      <c r="W413">
        <v>25</v>
      </c>
      <c r="X413">
        <v>686165</v>
      </c>
      <c r="Y413">
        <v>520275</v>
      </c>
      <c r="Z413">
        <v>1206440</v>
      </c>
      <c r="AA413">
        <v>1000507</v>
      </c>
      <c r="AB413">
        <v>1.75824</v>
      </c>
      <c r="AC413">
        <v>1.92303</v>
      </c>
      <c r="AD413">
        <v>1.82931</v>
      </c>
      <c r="AE413">
        <v>19.8917</v>
      </c>
      <c r="AM413">
        <v>1497574334</v>
      </c>
      <c r="AN413">
        <v>0</v>
      </c>
      <c r="AO413">
        <v>15125428</v>
      </c>
      <c r="AP413">
        <v>1497574334</v>
      </c>
      <c r="AQ413">
        <v>1512699762</v>
      </c>
      <c r="AR413">
        <v>49919144</v>
      </c>
      <c r="AS413">
        <v>0</v>
      </c>
      <c r="AT413">
        <v>504180</v>
      </c>
      <c r="AU413">
        <v>49919144</v>
      </c>
      <c r="AV413">
        <v>50423325</v>
      </c>
      <c r="AW413">
        <v>16.4131</v>
      </c>
      <c r="AX413">
        <v>2.3906499999999999</v>
      </c>
      <c r="AY413">
        <v>2640.18</v>
      </c>
      <c r="AZ413">
        <v>1453.81</v>
      </c>
      <c r="BA413">
        <v>1151</v>
      </c>
      <c r="BB413">
        <v>225</v>
      </c>
      <c r="BC413" t="str">
        <f t="shared" si="12"/>
        <v>u=1%, k=2x10^6</v>
      </c>
      <c r="BD413">
        <f t="shared" si="13"/>
        <v>0</v>
      </c>
    </row>
    <row r="414" spans="1:56">
      <c r="A414" t="s">
        <v>498</v>
      </c>
      <c r="B414" t="s">
        <v>67</v>
      </c>
      <c r="D414" t="s">
        <v>65</v>
      </c>
      <c r="E414" t="s">
        <v>60</v>
      </c>
      <c r="F414" t="s">
        <v>61</v>
      </c>
      <c r="G414">
        <v>30000</v>
      </c>
      <c r="H414">
        <v>0.5</v>
      </c>
      <c r="I414">
        <v>0.5</v>
      </c>
      <c r="J414">
        <v>0</v>
      </c>
      <c r="K414">
        <v>1</v>
      </c>
      <c r="L414">
        <v>2000000</v>
      </c>
      <c r="M414">
        <v>96</v>
      </c>
      <c r="N414">
        <v>96</v>
      </c>
      <c r="O414">
        <v>96</v>
      </c>
      <c r="P414">
        <v>0</v>
      </c>
      <c r="Q414" t="s">
        <v>62</v>
      </c>
      <c r="R414">
        <v>998979276665</v>
      </c>
      <c r="S414">
        <v>999356</v>
      </c>
      <c r="T414">
        <v>998979276665</v>
      </c>
      <c r="U414">
        <v>999356</v>
      </c>
      <c r="V414" t="s">
        <v>75</v>
      </c>
      <c r="W414">
        <v>25</v>
      </c>
      <c r="X414">
        <v>685245</v>
      </c>
      <c r="Y414">
        <v>519863</v>
      </c>
      <c r="Z414">
        <v>1205108</v>
      </c>
      <c r="AA414">
        <v>999356</v>
      </c>
      <c r="AB414">
        <v>1.75865</v>
      </c>
      <c r="AC414">
        <v>1.9223399999999999</v>
      </c>
      <c r="AD414">
        <v>1.82927</v>
      </c>
      <c r="AE414">
        <v>19.8278</v>
      </c>
      <c r="AM414">
        <v>3139356372</v>
      </c>
      <c r="AN414">
        <v>0</v>
      </c>
      <c r="AO414">
        <v>31710921</v>
      </c>
      <c r="AP414">
        <v>3139356372</v>
      </c>
      <c r="AQ414">
        <v>3171067293</v>
      </c>
      <c r="AR414">
        <v>104645212</v>
      </c>
      <c r="AS414">
        <v>0</v>
      </c>
      <c r="AT414">
        <v>1057030</v>
      </c>
      <c r="AU414">
        <v>104645212</v>
      </c>
      <c r="AV414">
        <v>105702243</v>
      </c>
      <c r="AW414">
        <v>16.666499999999999</v>
      </c>
      <c r="AX414">
        <v>2.7571500000000002</v>
      </c>
      <c r="AY414">
        <v>2515.59</v>
      </c>
      <c r="AZ414">
        <v>1295.46</v>
      </c>
      <c r="BA414">
        <v>1163</v>
      </c>
      <c r="BB414">
        <v>254</v>
      </c>
      <c r="BC414" t="str">
        <f t="shared" si="12"/>
        <v>u=1%, k=2x10^6</v>
      </c>
      <c r="BD414">
        <f t="shared" si="13"/>
        <v>0</v>
      </c>
    </row>
    <row r="415" spans="1:56">
      <c r="A415" t="s">
        <v>499</v>
      </c>
      <c r="B415" t="s">
        <v>67</v>
      </c>
      <c r="D415" t="s">
        <v>65</v>
      </c>
      <c r="E415" t="s">
        <v>60</v>
      </c>
      <c r="F415" t="s">
        <v>61</v>
      </c>
      <c r="G415">
        <v>30000</v>
      </c>
      <c r="H415">
        <v>0.5</v>
      </c>
      <c r="I415">
        <v>0.5</v>
      </c>
      <c r="J415">
        <v>0</v>
      </c>
      <c r="K415">
        <v>1</v>
      </c>
      <c r="L415">
        <v>2000000</v>
      </c>
      <c r="M415">
        <v>144</v>
      </c>
      <c r="N415">
        <v>144</v>
      </c>
      <c r="O415">
        <v>144</v>
      </c>
      <c r="P415">
        <v>0</v>
      </c>
      <c r="Q415" t="s">
        <v>62</v>
      </c>
      <c r="R415">
        <v>1001646198890</v>
      </c>
      <c r="S415">
        <v>1000843</v>
      </c>
      <c r="T415">
        <v>1001646198890</v>
      </c>
      <c r="U415">
        <v>1000843</v>
      </c>
      <c r="V415" t="s">
        <v>75</v>
      </c>
      <c r="W415">
        <v>25</v>
      </c>
      <c r="X415">
        <v>686108</v>
      </c>
      <c r="Y415">
        <v>520565</v>
      </c>
      <c r="Z415">
        <v>1206673</v>
      </c>
      <c r="AA415">
        <v>1000843</v>
      </c>
      <c r="AB415">
        <v>1.7587200000000001</v>
      </c>
      <c r="AC415">
        <v>1.9226099999999999</v>
      </c>
      <c r="AD415">
        <v>1.82942</v>
      </c>
      <c r="AE415">
        <v>19.9038</v>
      </c>
      <c r="AM415">
        <v>4684405343</v>
      </c>
      <c r="AN415">
        <v>0</v>
      </c>
      <c r="AO415">
        <v>47329678</v>
      </c>
      <c r="AP415">
        <v>4684405343</v>
      </c>
      <c r="AQ415">
        <v>4731735021</v>
      </c>
      <c r="AR415">
        <v>156146844</v>
      </c>
      <c r="AS415">
        <v>0</v>
      </c>
      <c r="AT415">
        <v>1577655</v>
      </c>
      <c r="AU415">
        <v>156146844</v>
      </c>
      <c r="AV415">
        <v>157724500</v>
      </c>
      <c r="AW415">
        <v>16.716200000000001</v>
      </c>
      <c r="AX415">
        <v>2.8467600000000002</v>
      </c>
      <c r="AY415">
        <v>2499.38</v>
      </c>
      <c r="AZ415">
        <v>1279.06</v>
      </c>
      <c r="BA415">
        <v>1176</v>
      </c>
      <c r="BB415">
        <v>356</v>
      </c>
      <c r="BC415" t="str">
        <f t="shared" si="12"/>
        <v>u=1%, k=2x10^6</v>
      </c>
      <c r="BD415">
        <f t="shared" si="13"/>
        <v>0</v>
      </c>
    </row>
    <row r="416" spans="1:56">
      <c r="A416" t="s">
        <v>500</v>
      </c>
      <c r="B416" t="s">
        <v>67</v>
      </c>
      <c r="D416" t="s">
        <v>65</v>
      </c>
      <c r="E416" t="s">
        <v>60</v>
      </c>
      <c r="F416" t="s">
        <v>61</v>
      </c>
      <c r="G416">
        <v>30000</v>
      </c>
      <c r="H416">
        <v>0.5</v>
      </c>
      <c r="I416">
        <v>0.5</v>
      </c>
      <c r="J416">
        <v>0</v>
      </c>
      <c r="K416">
        <v>1</v>
      </c>
      <c r="L416">
        <v>2000000</v>
      </c>
      <c r="M416">
        <v>190</v>
      </c>
      <c r="N416">
        <v>190</v>
      </c>
      <c r="O416">
        <v>190</v>
      </c>
      <c r="P416">
        <v>0</v>
      </c>
      <c r="Q416" t="s">
        <v>62</v>
      </c>
      <c r="R416">
        <v>999771375225</v>
      </c>
      <c r="S416">
        <v>999938</v>
      </c>
      <c r="T416">
        <v>999771375225</v>
      </c>
      <c r="U416">
        <v>999938</v>
      </c>
      <c r="V416" t="s">
        <v>75</v>
      </c>
      <c r="W416">
        <v>25</v>
      </c>
      <c r="X416">
        <v>685713</v>
      </c>
      <c r="Y416">
        <v>519968</v>
      </c>
      <c r="Z416">
        <v>1205681</v>
      </c>
      <c r="AA416">
        <v>999938</v>
      </c>
      <c r="AB416">
        <v>1.7582899999999999</v>
      </c>
      <c r="AC416">
        <v>1.9230799999999999</v>
      </c>
      <c r="AD416">
        <v>1.8293600000000001</v>
      </c>
      <c r="AE416">
        <v>19.8612</v>
      </c>
      <c r="AM416">
        <v>6158647610</v>
      </c>
      <c r="AN416">
        <v>0</v>
      </c>
      <c r="AO416">
        <v>62207580</v>
      </c>
      <c r="AP416">
        <v>6158647610</v>
      </c>
      <c r="AQ416">
        <v>6220855190</v>
      </c>
      <c r="AR416">
        <v>205288253</v>
      </c>
      <c r="AS416">
        <v>0</v>
      </c>
      <c r="AT416">
        <v>2073586</v>
      </c>
      <c r="AU416">
        <v>205288253</v>
      </c>
      <c r="AV416">
        <v>207361839</v>
      </c>
      <c r="AW416">
        <v>16.971299999999999</v>
      </c>
      <c r="AX416">
        <v>2.8992399999999998</v>
      </c>
      <c r="AY416">
        <v>2506.2800000000002</v>
      </c>
      <c r="AZ416">
        <v>1273.3499999999999</v>
      </c>
      <c r="BA416">
        <v>1187</v>
      </c>
      <c r="BB416">
        <v>349</v>
      </c>
      <c r="BC416" t="str">
        <f t="shared" si="12"/>
        <v>u=1%, k=2x10^6</v>
      </c>
      <c r="BD416">
        <f t="shared" si="13"/>
        <v>0</v>
      </c>
    </row>
    <row r="417" spans="1:56">
      <c r="A417" t="s">
        <v>501</v>
      </c>
      <c r="B417" t="s">
        <v>68</v>
      </c>
      <c r="D417" t="s">
        <v>65</v>
      </c>
      <c r="E417" t="s">
        <v>60</v>
      </c>
      <c r="F417" t="s">
        <v>61</v>
      </c>
      <c r="G417">
        <v>30000</v>
      </c>
      <c r="H417">
        <v>0.5</v>
      </c>
      <c r="I417">
        <v>0.5</v>
      </c>
      <c r="J417">
        <v>0</v>
      </c>
      <c r="K417">
        <v>1</v>
      </c>
      <c r="L417">
        <v>2000000</v>
      </c>
      <c r="M417">
        <v>24</v>
      </c>
      <c r="N417">
        <v>24</v>
      </c>
      <c r="O417">
        <v>24</v>
      </c>
      <c r="P417">
        <v>0</v>
      </c>
      <c r="Q417" t="s">
        <v>62</v>
      </c>
      <c r="R417">
        <v>999940304574</v>
      </c>
      <c r="S417">
        <v>999812</v>
      </c>
      <c r="T417">
        <v>999940304574</v>
      </c>
      <c r="U417">
        <v>999812</v>
      </c>
      <c r="V417" t="s">
        <v>75</v>
      </c>
      <c r="W417">
        <v>52</v>
      </c>
      <c r="X417">
        <v>999811</v>
      </c>
      <c r="Y417">
        <v>999812</v>
      </c>
      <c r="Z417">
        <v>1999623</v>
      </c>
      <c r="AA417">
        <v>999812</v>
      </c>
      <c r="AB417">
        <v>2</v>
      </c>
      <c r="AC417">
        <v>1</v>
      </c>
      <c r="AD417">
        <v>1.5</v>
      </c>
      <c r="AE417">
        <v>27.796099999999999</v>
      </c>
      <c r="AM417">
        <v>757293055</v>
      </c>
      <c r="AN417">
        <v>0</v>
      </c>
      <c r="AO417">
        <v>7647045</v>
      </c>
      <c r="AP417">
        <v>757293055</v>
      </c>
      <c r="AQ417">
        <v>764940100</v>
      </c>
      <c r="AR417">
        <v>25243101</v>
      </c>
      <c r="AS417">
        <v>0</v>
      </c>
      <c r="AT417">
        <v>254901</v>
      </c>
      <c r="AU417">
        <v>25243101</v>
      </c>
      <c r="AV417">
        <v>25498003</v>
      </c>
      <c r="AW417">
        <v>12.3165</v>
      </c>
      <c r="AX417">
        <v>1.7927900000000001</v>
      </c>
      <c r="AY417">
        <v>2625.93</v>
      </c>
      <c r="AZ417">
        <v>1668.77</v>
      </c>
      <c r="BA417">
        <v>1134</v>
      </c>
      <c r="BB417">
        <v>175</v>
      </c>
      <c r="BC417" t="str">
        <f t="shared" si="12"/>
        <v>u=1%, k=2x10^6</v>
      </c>
      <c r="BD417">
        <f t="shared" si="13"/>
        <v>0</v>
      </c>
    </row>
    <row r="418" spans="1:56">
      <c r="A418" t="s">
        <v>502</v>
      </c>
      <c r="B418" t="s">
        <v>68</v>
      </c>
      <c r="D418" t="s">
        <v>65</v>
      </c>
      <c r="E418" t="s">
        <v>60</v>
      </c>
      <c r="F418" t="s">
        <v>61</v>
      </c>
      <c r="G418">
        <v>30000</v>
      </c>
      <c r="H418">
        <v>0.5</v>
      </c>
      <c r="I418">
        <v>0.5</v>
      </c>
      <c r="J418">
        <v>0</v>
      </c>
      <c r="K418">
        <v>1</v>
      </c>
      <c r="L418">
        <v>2000000</v>
      </c>
      <c r="M418">
        <v>48</v>
      </c>
      <c r="N418">
        <v>48</v>
      </c>
      <c r="O418">
        <v>48</v>
      </c>
      <c r="P418">
        <v>0</v>
      </c>
      <c r="Q418" t="s">
        <v>62</v>
      </c>
      <c r="R418">
        <v>1000430064693</v>
      </c>
      <c r="S418">
        <v>1000531</v>
      </c>
      <c r="T418">
        <v>1000430064693</v>
      </c>
      <c r="U418">
        <v>1000531</v>
      </c>
      <c r="V418" t="s">
        <v>75</v>
      </c>
      <c r="W418">
        <v>51</v>
      </c>
      <c r="X418">
        <v>1000530</v>
      </c>
      <c r="Y418">
        <v>1000531</v>
      </c>
      <c r="Z418">
        <v>2001061</v>
      </c>
      <c r="AA418">
        <v>1000531</v>
      </c>
      <c r="AB418">
        <v>2</v>
      </c>
      <c r="AC418">
        <v>1</v>
      </c>
      <c r="AD418">
        <v>1.5</v>
      </c>
      <c r="AE418">
        <v>25.671399999999998</v>
      </c>
      <c r="AM418">
        <v>1376701890</v>
      </c>
      <c r="AN418">
        <v>0</v>
      </c>
      <c r="AO418">
        <v>13907740</v>
      </c>
      <c r="AP418">
        <v>1376701890</v>
      </c>
      <c r="AQ418">
        <v>1390609630</v>
      </c>
      <c r="AR418">
        <v>45890063</v>
      </c>
      <c r="AS418">
        <v>0</v>
      </c>
      <c r="AT418">
        <v>463591</v>
      </c>
      <c r="AU418">
        <v>45890063</v>
      </c>
      <c r="AV418">
        <v>46353654</v>
      </c>
      <c r="AW418">
        <v>12.123900000000001</v>
      </c>
      <c r="AX418">
        <v>1.8161700000000001</v>
      </c>
      <c r="AY418">
        <v>2887.69</v>
      </c>
      <c r="AZ418">
        <v>1998.67</v>
      </c>
      <c r="BA418">
        <v>1140</v>
      </c>
      <c r="BB418">
        <v>216</v>
      </c>
      <c r="BC418" t="str">
        <f t="shared" si="12"/>
        <v>u=1%, k=2x10^6</v>
      </c>
      <c r="BD418">
        <f t="shared" si="13"/>
        <v>0</v>
      </c>
    </row>
    <row r="419" spans="1:56">
      <c r="A419" t="s">
        <v>503</v>
      </c>
      <c r="B419" t="s">
        <v>68</v>
      </c>
      <c r="D419" t="s">
        <v>65</v>
      </c>
      <c r="E419" t="s">
        <v>60</v>
      </c>
      <c r="F419" t="s">
        <v>61</v>
      </c>
      <c r="G419">
        <v>30000</v>
      </c>
      <c r="H419">
        <v>0.5</v>
      </c>
      <c r="I419">
        <v>0.5</v>
      </c>
      <c r="J419">
        <v>0</v>
      </c>
      <c r="K419">
        <v>1</v>
      </c>
      <c r="L419">
        <v>2000000</v>
      </c>
      <c r="M419">
        <v>96</v>
      </c>
      <c r="N419">
        <v>96</v>
      </c>
      <c r="O419">
        <v>96</v>
      </c>
      <c r="P419">
        <v>0</v>
      </c>
      <c r="Q419" t="s">
        <v>62</v>
      </c>
      <c r="R419">
        <v>999960057946</v>
      </c>
      <c r="S419">
        <v>999319</v>
      </c>
      <c r="T419">
        <v>999960057946</v>
      </c>
      <c r="U419">
        <v>999319</v>
      </c>
      <c r="V419" t="s">
        <v>75</v>
      </c>
      <c r="W419">
        <v>48</v>
      </c>
      <c r="X419">
        <v>999318</v>
      </c>
      <c r="Y419">
        <v>999319</v>
      </c>
      <c r="Z419">
        <v>1998637</v>
      </c>
      <c r="AA419">
        <v>999319</v>
      </c>
      <c r="AB419">
        <v>2</v>
      </c>
      <c r="AC419">
        <v>1</v>
      </c>
      <c r="AD419">
        <v>1.5</v>
      </c>
      <c r="AE419">
        <v>25.765499999999999</v>
      </c>
      <c r="AM419">
        <v>2988351106</v>
      </c>
      <c r="AN419">
        <v>0</v>
      </c>
      <c r="AO419">
        <v>30190305</v>
      </c>
      <c r="AP419">
        <v>2988351106</v>
      </c>
      <c r="AQ419">
        <v>3018541411</v>
      </c>
      <c r="AR419">
        <v>99611703</v>
      </c>
      <c r="AS419">
        <v>0</v>
      </c>
      <c r="AT419">
        <v>1006343</v>
      </c>
      <c r="AU419">
        <v>99611703</v>
      </c>
      <c r="AV419">
        <v>100618047</v>
      </c>
      <c r="AW419">
        <v>12.2499</v>
      </c>
      <c r="AX419">
        <v>2.11551</v>
      </c>
      <c r="AY419">
        <v>2656.41</v>
      </c>
      <c r="AZ419">
        <v>1734.72</v>
      </c>
      <c r="BA419">
        <v>1153</v>
      </c>
      <c r="BB419">
        <v>283</v>
      </c>
      <c r="BC419" t="str">
        <f t="shared" si="12"/>
        <v>u=1%, k=2x10^6</v>
      </c>
      <c r="BD419">
        <f t="shared" si="13"/>
        <v>0</v>
      </c>
    </row>
    <row r="420" spans="1:56">
      <c r="A420" t="s">
        <v>504</v>
      </c>
      <c r="B420" t="s">
        <v>68</v>
      </c>
      <c r="D420" t="s">
        <v>65</v>
      </c>
      <c r="E420" t="s">
        <v>60</v>
      </c>
      <c r="F420" t="s">
        <v>61</v>
      </c>
      <c r="G420">
        <v>30000</v>
      </c>
      <c r="H420">
        <v>0.5</v>
      </c>
      <c r="I420">
        <v>0.5</v>
      </c>
      <c r="J420">
        <v>0</v>
      </c>
      <c r="K420">
        <v>1</v>
      </c>
      <c r="L420">
        <v>2000000</v>
      </c>
      <c r="M420">
        <v>144</v>
      </c>
      <c r="N420">
        <v>144</v>
      </c>
      <c r="O420">
        <v>144</v>
      </c>
      <c r="P420">
        <v>0</v>
      </c>
      <c r="Q420" t="s">
        <v>62</v>
      </c>
      <c r="R420">
        <v>1001227315212</v>
      </c>
      <c r="S420">
        <v>1000744</v>
      </c>
      <c r="T420">
        <v>1001227315212</v>
      </c>
      <c r="U420">
        <v>1000744</v>
      </c>
      <c r="V420" t="s">
        <v>75</v>
      </c>
      <c r="W420">
        <v>45</v>
      </c>
      <c r="X420">
        <v>1000743</v>
      </c>
      <c r="Y420">
        <v>1000744</v>
      </c>
      <c r="Z420">
        <v>2001487</v>
      </c>
      <c r="AA420">
        <v>1000744</v>
      </c>
      <c r="AB420">
        <v>2</v>
      </c>
      <c r="AC420">
        <v>1</v>
      </c>
      <c r="AD420">
        <v>1.5</v>
      </c>
      <c r="AE420">
        <v>25.6647</v>
      </c>
      <c r="AM420">
        <v>4557530149</v>
      </c>
      <c r="AN420">
        <v>0</v>
      </c>
      <c r="AO420">
        <v>46045329</v>
      </c>
      <c r="AP420">
        <v>4557530149</v>
      </c>
      <c r="AQ420">
        <v>4603575478</v>
      </c>
      <c r="AR420">
        <v>151917671</v>
      </c>
      <c r="AS420">
        <v>0</v>
      </c>
      <c r="AT420">
        <v>1534844</v>
      </c>
      <c r="AU420">
        <v>151917671</v>
      </c>
      <c r="AV420">
        <v>153452515</v>
      </c>
      <c r="AW420">
        <v>12.347799999999999</v>
      </c>
      <c r="AX420">
        <v>2.1897600000000002</v>
      </c>
      <c r="AY420">
        <v>2612.63</v>
      </c>
      <c r="AZ420">
        <v>1685.64</v>
      </c>
      <c r="BA420">
        <v>1166</v>
      </c>
      <c r="BB420">
        <v>246</v>
      </c>
      <c r="BC420" t="str">
        <f t="shared" si="12"/>
        <v>u=1%, k=2x10^6</v>
      </c>
      <c r="BD420">
        <f t="shared" si="13"/>
        <v>0</v>
      </c>
    </row>
    <row r="421" spans="1:56">
      <c r="A421" t="s">
        <v>505</v>
      </c>
      <c r="B421" t="s">
        <v>68</v>
      </c>
      <c r="D421" t="s">
        <v>65</v>
      </c>
      <c r="E421" t="s">
        <v>60</v>
      </c>
      <c r="F421" t="s">
        <v>61</v>
      </c>
      <c r="G421">
        <v>30000</v>
      </c>
      <c r="H421">
        <v>0.5</v>
      </c>
      <c r="I421">
        <v>0.5</v>
      </c>
      <c r="J421">
        <v>0</v>
      </c>
      <c r="K421">
        <v>1</v>
      </c>
      <c r="L421">
        <v>2000000</v>
      </c>
      <c r="M421">
        <v>190</v>
      </c>
      <c r="N421">
        <v>190</v>
      </c>
      <c r="O421">
        <v>190</v>
      </c>
      <c r="P421">
        <v>0</v>
      </c>
      <c r="Q421" t="s">
        <v>62</v>
      </c>
      <c r="R421">
        <v>999828596795</v>
      </c>
      <c r="S421">
        <v>999759</v>
      </c>
      <c r="T421">
        <v>999828596795</v>
      </c>
      <c r="U421">
        <v>999759</v>
      </c>
      <c r="V421" t="s">
        <v>75</v>
      </c>
      <c r="W421">
        <v>44</v>
      </c>
      <c r="X421">
        <v>999758</v>
      </c>
      <c r="Y421">
        <v>999759</v>
      </c>
      <c r="Z421">
        <v>1999517</v>
      </c>
      <c r="AA421">
        <v>999759</v>
      </c>
      <c r="AB421">
        <v>2</v>
      </c>
      <c r="AC421">
        <v>1</v>
      </c>
      <c r="AD421">
        <v>1.5</v>
      </c>
      <c r="AE421">
        <v>25.773800000000001</v>
      </c>
      <c r="AM421">
        <v>6018960255</v>
      </c>
      <c r="AN421">
        <v>0</v>
      </c>
      <c r="AO421">
        <v>60801478</v>
      </c>
      <c r="AP421">
        <v>6018960255</v>
      </c>
      <c r="AQ421">
        <v>6079761733</v>
      </c>
      <c r="AR421">
        <v>200632008</v>
      </c>
      <c r="AS421">
        <v>0</v>
      </c>
      <c r="AT421">
        <v>2026715</v>
      </c>
      <c r="AU421">
        <v>200632008</v>
      </c>
      <c r="AV421">
        <v>202658724</v>
      </c>
      <c r="AW421">
        <v>12.4763</v>
      </c>
      <c r="AX421">
        <v>2.2484099999999998</v>
      </c>
      <c r="AY421">
        <v>2610.1</v>
      </c>
      <c r="AZ421">
        <v>1677.2</v>
      </c>
      <c r="BA421">
        <v>1179</v>
      </c>
      <c r="BB421">
        <v>261</v>
      </c>
      <c r="BC421" t="str">
        <f t="shared" si="12"/>
        <v>u=1%, k=2x10^6</v>
      </c>
      <c r="BD421">
        <f t="shared" si="13"/>
        <v>0</v>
      </c>
    </row>
    <row r="422" spans="1:56">
      <c r="A422" t="s">
        <v>506</v>
      </c>
      <c r="B422" t="s">
        <v>64</v>
      </c>
      <c r="C422">
        <v>72</v>
      </c>
      <c r="D422" t="s">
        <v>65</v>
      </c>
      <c r="E422" t="s">
        <v>60</v>
      </c>
      <c r="F422" t="s">
        <v>61</v>
      </c>
      <c r="G422">
        <v>30000</v>
      </c>
      <c r="H422">
        <v>0.5</v>
      </c>
      <c r="I422">
        <v>0.5</v>
      </c>
      <c r="J422">
        <v>0</v>
      </c>
      <c r="K422">
        <v>1</v>
      </c>
      <c r="L422">
        <v>20000000</v>
      </c>
      <c r="M422">
        <v>24</v>
      </c>
      <c r="N422">
        <v>24</v>
      </c>
      <c r="O422">
        <v>24</v>
      </c>
      <c r="P422">
        <v>0</v>
      </c>
      <c r="Q422" t="s">
        <v>62</v>
      </c>
      <c r="R422">
        <v>99963897025936</v>
      </c>
      <c r="S422">
        <v>9997998</v>
      </c>
      <c r="T422">
        <v>99963897025936</v>
      </c>
      <c r="U422">
        <v>9997998</v>
      </c>
      <c r="V422" t="s">
        <v>75</v>
      </c>
      <c r="W422">
        <v>7</v>
      </c>
      <c r="X422">
        <v>1728720</v>
      </c>
      <c r="Y422">
        <v>11649449</v>
      </c>
      <c r="Z422">
        <v>13378169</v>
      </c>
      <c r="AA422">
        <v>9997998</v>
      </c>
      <c r="AB422">
        <v>7.7387699999999997</v>
      </c>
      <c r="AC422">
        <v>0.85823799999999995</v>
      </c>
      <c r="AD422">
        <v>1.7473399999999999</v>
      </c>
      <c r="AE422">
        <v>4.0206999999999997</v>
      </c>
      <c r="AM422">
        <v>1040303886</v>
      </c>
      <c r="AN422">
        <v>0</v>
      </c>
      <c r="AO422">
        <v>10509944</v>
      </c>
      <c r="AP422">
        <v>1040303886</v>
      </c>
      <c r="AQ422">
        <v>1050813830</v>
      </c>
      <c r="AR422">
        <v>34676796</v>
      </c>
      <c r="AS422">
        <v>0</v>
      </c>
      <c r="AT422">
        <v>350331</v>
      </c>
      <c r="AU422">
        <v>34676796</v>
      </c>
      <c r="AV422">
        <v>35027127</v>
      </c>
      <c r="AW422">
        <v>16.103400000000001</v>
      </c>
      <c r="AX422">
        <v>5.8932599999999997</v>
      </c>
      <c r="AY422">
        <v>1908.63</v>
      </c>
      <c r="AZ422">
        <v>1237.25</v>
      </c>
      <c r="BA422">
        <v>2439</v>
      </c>
      <c r="BB422">
        <v>155</v>
      </c>
      <c r="BC422" t="str">
        <f t="shared" si="12"/>
        <v>u=1%, k=2x10^7</v>
      </c>
      <c r="BD422">
        <f t="shared" si="13"/>
        <v>0</v>
      </c>
    </row>
    <row r="423" spans="1:56">
      <c r="A423" t="s">
        <v>507</v>
      </c>
      <c r="B423" t="s">
        <v>64</v>
      </c>
      <c r="C423">
        <v>72</v>
      </c>
      <c r="D423" t="s">
        <v>65</v>
      </c>
      <c r="E423" t="s">
        <v>60</v>
      </c>
      <c r="F423" t="s">
        <v>61</v>
      </c>
      <c r="G423">
        <v>30000</v>
      </c>
      <c r="H423">
        <v>0.5</v>
      </c>
      <c r="I423">
        <v>0.5</v>
      </c>
      <c r="J423">
        <v>0</v>
      </c>
      <c r="K423">
        <v>1</v>
      </c>
      <c r="L423">
        <v>20000000</v>
      </c>
      <c r="M423">
        <v>48</v>
      </c>
      <c r="N423">
        <v>48</v>
      </c>
      <c r="O423">
        <v>48</v>
      </c>
      <c r="P423">
        <v>0</v>
      </c>
      <c r="Q423" t="s">
        <v>62</v>
      </c>
      <c r="R423">
        <v>99990044527050</v>
      </c>
      <c r="S423">
        <v>9997945</v>
      </c>
      <c r="T423">
        <v>99990044527050</v>
      </c>
      <c r="U423">
        <v>9997945</v>
      </c>
      <c r="V423" t="s">
        <v>75</v>
      </c>
      <c r="W423">
        <v>7</v>
      </c>
      <c r="X423">
        <v>1904344</v>
      </c>
      <c r="Y423">
        <v>12032830</v>
      </c>
      <c r="Z423">
        <v>13937174</v>
      </c>
      <c r="AA423">
        <v>9997945</v>
      </c>
      <c r="AB423">
        <v>7.3186200000000001</v>
      </c>
      <c r="AC423">
        <v>0.83088899999999999</v>
      </c>
      <c r="AD423">
        <v>1.71736</v>
      </c>
      <c r="AE423">
        <v>4.0554699999999997</v>
      </c>
      <c r="AM423">
        <v>1813437096</v>
      </c>
      <c r="AN423">
        <v>0</v>
      </c>
      <c r="AO423">
        <v>18308429</v>
      </c>
      <c r="AP423">
        <v>1813437096</v>
      </c>
      <c r="AQ423">
        <v>1831745525</v>
      </c>
      <c r="AR423">
        <v>60447903</v>
      </c>
      <c r="AS423">
        <v>0</v>
      </c>
      <c r="AT423">
        <v>610280</v>
      </c>
      <c r="AU423">
        <v>60447903</v>
      </c>
      <c r="AV423">
        <v>61058184</v>
      </c>
      <c r="AW423">
        <v>16.068899999999999</v>
      </c>
      <c r="AX423">
        <v>5.98278</v>
      </c>
      <c r="AY423">
        <v>2184.41</v>
      </c>
      <c r="AZ423">
        <v>1499.35</v>
      </c>
      <c r="BA423">
        <v>2468</v>
      </c>
      <c r="BB423">
        <v>189</v>
      </c>
      <c r="BC423" t="str">
        <f t="shared" si="12"/>
        <v>u=1%, k=2x10^7</v>
      </c>
      <c r="BD423">
        <f t="shared" si="13"/>
        <v>0</v>
      </c>
    </row>
    <row r="424" spans="1:56">
      <c r="A424" t="s">
        <v>508</v>
      </c>
      <c r="B424" t="s">
        <v>64</v>
      </c>
      <c r="C424">
        <v>72</v>
      </c>
      <c r="D424" t="s">
        <v>65</v>
      </c>
      <c r="E424" t="s">
        <v>60</v>
      </c>
      <c r="F424" t="s">
        <v>61</v>
      </c>
      <c r="G424">
        <v>30000</v>
      </c>
      <c r="H424">
        <v>0.5</v>
      </c>
      <c r="I424">
        <v>0.5</v>
      </c>
      <c r="J424">
        <v>0</v>
      </c>
      <c r="K424">
        <v>1</v>
      </c>
      <c r="L424">
        <v>20000000</v>
      </c>
      <c r="M424">
        <v>96</v>
      </c>
      <c r="N424">
        <v>96</v>
      </c>
      <c r="O424">
        <v>96</v>
      </c>
      <c r="P424">
        <v>0</v>
      </c>
      <c r="Q424" t="s">
        <v>62</v>
      </c>
      <c r="R424">
        <v>99982440744366</v>
      </c>
      <c r="S424">
        <v>9996020</v>
      </c>
      <c r="T424">
        <v>99982440744366</v>
      </c>
      <c r="U424">
        <v>9996020</v>
      </c>
      <c r="V424" t="s">
        <v>75</v>
      </c>
      <c r="W424">
        <v>7</v>
      </c>
      <c r="X424">
        <v>1816725</v>
      </c>
      <c r="Y424">
        <v>11849081</v>
      </c>
      <c r="Z424">
        <v>13665806</v>
      </c>
      <c r="AA424">
        <v>9996020</v>
      </c>
      <c r="AB424">
        <v>7.5222199999999999</v>
      </c>
      <c r="AC424">
        <v>0.843611</v>
      </c>
      <c r="AD424">
        <v>1.73146</v>
      </c>
      <c r="AE424">
        <v>4.0374499999999998</v>
      </c>
      <c r="AM424">
        <v>3857121079</v>
      </c>
      <c r="AN424">
        <v>0</v>
      </c>
      <c r="AO424">
        <v>38960318</v>
      </c>
      <c r="AP424">
        <v>3857121079</v>
      </c>
      <c r="AQ424">
        <v>3896081397</v>
      </c>
      <c r="AR424">
        <v>128570702</v>
      </c>
      <c r="AS424">
        <v>0</v>
      </c>
      <c r="AT424">
        <v>1298677</v>
      </c>
      <c r="AU424">
        <v>128570702</v>
      </c>
      <c r="AV424">
        <v>129869379</v>
      </c>
      <c r="AW424">
        <v>16.200800000000001</v>
      </c>
      <c r="AX424">
        <v>6.4237500000000001</v>
      </c>
      <c r="AY424">
        <v>2034.85</v>
      </c>
      <c r="AZ424">
        <v>1283.82</v>
      </c>
      <c r="BA424">
        <v>2546</v>
      </c>
      <c r="BB424">
        <v>260</v>
      </c>
      <c r="BC424" t="str">
        <f t="shared" si="12"/>
        <v>u=1%, k=2x10^7</v>
      </c>
      <c r="BD424">
        <f t="shared" si="13"/>
        <v>0</v>
      </c>
    </row>
    <row r="425" spans="1:56">
      <c r="A425" t="s">
        <v>509</v>
      </c>
      <c r="B425" t="s">
        <v>64</v>
      </c>
      <c r="C425">
        <v>72</v>
      </c>
      <c r="D425" t="s">
        <v>65</v>
      </c>
      <c r="E425" t="s">
        <v>60</v>
      </c>
      <c r="F425" t="s">
        <v>61</v>
      </c>
      <c r="G425">
        <v>30000</v>
      </c>
      <c r="H425">
        <v>0.5</v>
      </c>
      <c r="I425">
        <v>0.5</v>
      </c>
      <c r="J425">
        <v>0</v>
      </c>
      <c r="K425">
        <v>1</v>
      </c>
      <c r="L425">
        <v>20000000</v>
      </c>
      <c r="M425">
        <v>144</v>
      </c>
      <c r="N425">
        <v>144</v>
      </c>
      <c r="O425">
        <v>144</v>
      </c>
      <c r="P425">
        <v>0</v>
      </c>
      <c r="Q425" t="s">
        <v>62</v>
      </c>
      <c r="R425">
        <v>100053571532746</v>
      </c>
      <c r="S425">
        <v>10004913</v>
      </c>
      <c r="T425">
        <v>100053571532746</v>
      </c>
      <c r="U425">
        <v>10004913</v>
      </c>
      <c r="V425" t="s">
        <v>75</v>
      </c>
      <c r="W425">
        <v>7</v>
      </c>
      <c r="X425">
        <v>1879079</v>
      </c>
      <c r="Y425">
        <v>11972596</v>
      </c>
      <c r="Z425">
        <v>13851675</v>
      </c>
      <c r="AA425">
        <v>10004913</v>
      </c>
      <c r="AB425">
        <v>7.3715200000000003</v>
      </c>
      <c r="AC425">
        <v>0.83565100000000003</v>
      </c>
      <c r="AD425">
        <v>1.7222900000000001</v>
      </c>
      <c r="AE425">
        <v>4.05063</v>
      </c>
      <c r="AM425">
        <v>5640890565</v>
      </c>
      <c r="AN425">
        <v>0</v>
      </c>
      <c r="AO425">
        <v>56975567</v>
      </c>
      <c r="AP425">
        <v>5640890565</v>
      </c>
      <c r="AQ425">
        <v>5697866132</v>
      </c>
      <c r="AR425">
        <v>188029685</v>
      </c>
      <c r="AS425">
        <v>0</v>
      </c>
      <c r="AT425">
        <v>1899185</v>
      </c>
      <c r="AU425">
        <v>188029685</v>
      </c>
      <c r="AV425">
        <v>189928871</v>
      </c>
      <c r="AW425">
        <v>16.287400000000002</v>
      </c>
      <c r="AX425">
        <v>6.5685799999999999</v>
      </c>
      <c r="AY425">
        <v>2085.9299999999998</v>
      </c>
      <c r="AZ425">
        <v>1315.81</v>
      </c>
      <c r="BA425">
        <v>2677</v>
      </c>
      <c r="BB425">
        <v>424</v>
      </c>
      <c r="BC425" t="str">
        <f t="shared" si="12"/>
        <v>u=1%, k=2x10^7</v>
      </c>
      <c r="BD425">
        <f t="shared" si="13"/>
        <v>0</v>
      </c>
    </row>
    <row r="426" spans="1:56">
      <c r="A426" t="s">
        <v>510</v>
      </c>
      <c r="B426" t="s">
        <v>64</v>
      </c>
      <c r="C426">
        <v>72</v>
      </c>
      <c r="D426" t="s">
        <v>65</v>
      </c>
      <c r="E426" t="s">
        <v>60</v>
      </c>
      <c r="F426" t="s">
        <v>61</v>
      </c>
      <c r="G426">
        <v>30000</v>
      </c>
      <c r="H426">
        <v>0.5</v>
      </c>
      <c r="I426">
        <v>0.5</v>
      </c>
      <c r="J426">
        <v>0</v>
      </c>
      <c r="K426">
        <v>1</v>
      </c>
      <c r="L426">
        <v>20000000</v>
      </c>
      <c r="M426">
        <v>190</v>
      </c>
      <c r="N426">
        <v>190</v>
      </c>
      <c r="O426">
        <v>190</v>
      </c>
      <c r="P426">
        <v>0</v>
      </c>
      <c r="Q426" t="s">
        <v>62</v>
      </c>
      <c r="R426">
        <v>100064071276951</v>
      </c>
      <c r="S426">
        <v>10004000</v>
      </c>
      <c r="T426">
        <v>100064071276951</v>
      </c>
      <c r="U426">
        <v>10004000</v>
      </c>
      <c r="V426" t="s">
        <v>75</v>
      </c>
      <c r="W426">
        <v>7</v>
      </c>
      <c r="X426">
        <v>1627452</v>
      </c>
      <c r="Y426">
        <v>11449759</v>
      </c>
      <c r="Z426">
        <v>13077211</v>
      </c>
      <c r="AA426">
        <v>10004000</v>
      </c>
      <c r="AB426">
        <v>8.0353899999999996</v>
      </c>
      <c r="AC426">
        <v>0.87373000000000001</v>
      </c>
      <c r="AD426">
        <v>1.7649900000000001</v>
      </c>
      <c r="AE426">
        <v>4.0003299999999999</v>
      </c>
      <c r="AM426">
        <v>7423940279</v>
      </c>
      <c r="AN426">
        <v>0</v>
      </c>
      <c r="AO426">
        <v>75020593</v>
      </c>
      <c r="AP426">
        <v>7423940279</v>
      </c>
      <c r="AQ426">
        <v>7498960872</v>
      </c>
      <c r="AR426">
        <v>247464675</v>
      </c>
      <c r="AS426">
        <v>0</v>
      </c>
      <c r="AT426">
        <v>2500686</v>
      </c>
      <c r="AU426">
        <v>247464675</v>
      </c>
      <c r="AV426">
        <v>249965362</v>
      </c>
      <c r="AW426">
        <v>16.4436</v>
      </c>
      <c r="AX426">
        <v>6.6525699999999999</v>
      </c>
      <c r="AY426">
        <v>2089.62</v>
      </c>
      <c r="AZ426">
        <v>1319.79</v>
      </c>
      <c r="BA426">
        <v>2771</v>
      </c>
      <c r="BB426">
        <v>358</v>
      </c>
      <c r="BC426" t="str">
        <f t="shared" si="12"/>
        <v>u=1%, k=2x10^7</v>
      </c>
      <c r="BD426">
        <f t="shared" si="13"/>
        <v>0</v>
      </c>
    </row>
    <row r="427" spans="1:56">
      <c r="A427" t="s">
        <v>511</v>
      </c>
      <c r="B427" t="s">
        <v>66</v>
      </c>
      <c r="C427">
        <v>208</v>
      </c>
      <c r="D427" t="s">
        <v>65</v>
      </c>
      <c r="E427" t="s">
        <v>60</v>
      </c>
      <c r="F427" t="s">
        <v>61</v>
      </c>
      <c r="G427">
        <v>30000</v>
      </c>
      <c r="H427">
        <v>0.5</v>
      </c>
      <c r="I427">
        <v>0.5</v>
      </c>
      <c r="J427">
        <v>0</v>
      </c>
      <c r="K427">
        <v>1</v>
      </c>
      <c r="L427">
        <v>20000000</v>
      </c>
      <c r="M427">
        <v>24</v>
      </c>
      <c r="N427">
        <v>24</v>
      </c>
      <c r="O427">
        <v>24</v>
      </c>
      <c r="P427">
        <v>0</v>
      </c>
      <c r="Q427" t="s">
        <v>62</v>
      </c>
      <c r="R427">
        <v>100029833199891</v>
      </c>
      <c r="S427">
        <v>10001889</v>
      </c>
      <c r="T427">
        <v>100029833199891</v>
      </c>
      <c r="U427">
        <v>10001889</v>
      </c>
      <c r="V427" t="s">
        <v>75</v>
      </c>
      <c r="W427">
        <v>9</v>
      </c>
      <c r="X427">
        <v>207373</v>
      </c>
      <c r="Y427">
        <v>1428615</v>
      </c>
      <c r="Z427">
        <v>1635988</v>
      </c>
      <c r="AA427">
        <v>10001889</v>
      </c>
      <c r="AB427">
        <v>7.8891099999999996</v>
      </c>
      <c r="AC427">
        <v>7.0011099999999997</v>
      </c>
      <c r="AD427">
        <v>7.1136699999999999</v>
      </c>
      <c r="AE427">
        <v>8</v>
      </c>
      <c r="AM427">
        <v>904242615</v>
      </c>
      <c r="AN427">
        <v>0</v>
      </c>
      <c r="AO427">
        <v>9133926</v>
      </c>
      <c r="AP427">
        <v>904242615</v>
      </c>
      <c r="AQ427">
        <v>913376541</v>
      </c>
      <c r="AR427">
        <v>30141420</v>
      </c>
      <c r="AS427">
        <v>0</v>
      </c>
      <c r="AT427">
        <v>304464</v>
      </c>
      <c r="AU427">
        <v>30141420</v>
      </c>
      <c r="AV427">
        <v>30445884</v>
      </c>
      <c r="AW427">
        <v>16.688199999999998</v>
      </c>
      <c r="AX427">
        <v>5.0414899999999996</v>
      </c>
      <c r="AY427">
        <v>2198.54</v>
      </c>
      <c r="AZ427">
        <v>1180.6300000000001</v>
      </c>
      <c r="BA427">
        <v>1442</v>
      </c>
      <c r="BB427">
        <v>841</v>
      </c>
      <c r="BC427" t="str">
        <f t="shared" si="12"/>
        <v>u=1%, k=2x10^7</v>
      </c>
      <c r="BD427">
        <f t="shared" si="13"/>
        <v>0</v>
      </c>
    </row>
    <row r="428" spans="1:56">
      <c r="A428" t="s">
        <v>512</v>
      </c>
      <c r="B428" t="s">
        <v>66</v>
      </c>
      <c r="C428">
        <v>208</v>
      </c>
      <c r="D428" t="s">
        <v>65</v>
      </c>
      <c r="E428" t="s">
        <v>60</v>
      </c>
      <c r="F428" t="s">
        <v>61</v>
      </c>
      <c r="G428">
        <v>30000</v>
      </c>
      <c r="H428">
        <v>0.5</v>
      </c>
      <c r="I428">
        <v>0.5</v>
      </c>
      <c r="J428">
        <v>0</v>
      </c>
      <c r="K428">
        <v>1</v>
      </c>
      <c r="L428">
        <v>20000000</v>
      </c>
      <c r="M428">
        <v>48</v>
      </c>
      <c r="N428">
        <v>48</v>
      </c>
      <c r="O428">
        <v>48</v>
      </c>
      <c r="P428">
        <v>0</v>
      </c>
      <c r="Q428" t="s">
        <v>62</v>
      </c>
      <c r="R428">
        <v>99987753775900</v>
      </c>
      <c r="S428">
        <v>9999187</v>
      </c>
      <c r="T428">
        <v>99987753775900</v>
      </c>
      <c r="U428">
        <v>9999187</v>
      </c>
      <c r="V428" t="s">
        <v>75</v>
      </c>
      <c r="W428">
        <v>9</v>
      </c>
      <c r="X428">
        <v>217901</v>
      </c>
      <c r="Y428">
        <v>1498296</v>
      </c>
      <c r="Z428">
        <v>1716197</v>
      </c>
      <c r="AA428">
        <v>9999187</v>
      </c>
      <c r="AB428">
        <v>7.8760399999999997</v>
      </c>
      <c r="AC428">
        <v>6.6737099999999998</v>
      </c>
      <c r="AD428">
        <v>6.8263600000000002</v>
      </c>
      <c r="AE428">
        <v>8</v>
      </c>
      <c r="AM428">
        <v>1663895658</v>
      </c>
      <c r="AN428">
        <v>0</v>
      </c>
      <c r="AO428">
        <v>16808098</v>
      </c>
      <c r="AP428">
        <v>1663895658</v>
      </c>
      <c r="AQ428">
        <v>1680703756</v>
      </c>
      <c r="AR428">
        <v>55463188</v>
      </c>
      <c r="AS428">
        <v>0</v>
      </c>
      <c r="AT428">
        <v>560269</v>
      </c>
      <c r="AU428">
        <v>55463188</v>
      </c>
      <c r="AV428">
        <v>56023458</v>
      </c>
      <c r="AW428">
        <v>16.799499999999998</v>
      </c>
      <c r="AX428">
        <v>5.1274199999999999</v>
      </c>
      <c r="AY428">
        <v>2388.71</v>
      </c>
      <c r="AZ428">
        <v>1543.36</v>
      </c>
      <c r="BA428">
        <v>1507</v>
      </c>
      <c r="BB428">
        <v>753</v>
      </c>
      <c r="BC428" t="str">
        <f t="shared" si="12"/>
        <v>u=1%, k=2x10^7</v>
      </c>
      <c r="BD428">
        <f t="shared" si="13"/>
        <v>0</v>
      </c>
    </row>
    <row r="429" spans="1:56">
      <c r="A429" t="s">
        <v>513</v>
      </c>
      <c r="B429" t="s">
        <v>66</v>
      </c>
      <c r="C429">
        <v>208</v>
      </c>
      <c r="D429" t="s">
        <v>65</v>
      </c>
      <c r="E429" t="s">
        <v>60</v>
      </c>
      <c r="F429" t="s">
        <v>61</v>
      </c>
      <c r="G429">
        <v>30000</v>
      </c>
      <c r="H429">
        <v>0.5</v>
      </c>
      <c r="I429">
        <v>0.5</v>
      </c>
      <c r="J429">
        <v>0</v>
      </c>
      <c r="K429">
        <v>1</v>
      </c>
      <c r="L429">
        <v>20000000</v>
      </c>
      <c r="M429">
        <v>96</v>
      </c>
      <c r="N429">
        <v>96</v>
      </c>
      <c r="O429">
        <v>96</v>
      </c>
      <c r="P429">
        <v>0</v>
      </c>
      <c r="Q429" t="s">
        <v>62</v>
      </c>
      <c r="R429">
        <v>99998007701899</v>
      </c>
      <c r="S429">
        <v>10000846</v>
      </c>
      <c r="T429">
        <v>99998007701899</v>
      </c>
      <c r="U429">
        <v>10000846</v>
      </c>
      <c r="V429" t="s">
        <v>75</v>
      </c>
      <c r="W429">
        <v>9</v>
      </c>
      <c r="X429">
        <v>234813</v>
      </c>
      <c r="Y429">
        <v>1613405</v>
      </c>
      <c r="Z429">
        <v>1848218</v>
      </c>
      <c r="AA429">
        <v>10000846</v>
      </c>
      <c r="AB429">
        <v>7.8710199999999997</v>
      </c>
      <c r="AC429">
        <v>6.1985999999999999</v>
      </c>
      <c r="AD429">
        <v>6.4110699999999996</v>
      </c>
      <c r="AE429">
        <v>8</v>
      </c>
      <c r="AM429">
        <v>3522572205</v>
      </c>
      <c r="AN429">
        <v>0</v>
      </c>
      <c r="AO429">
        <v>35576704</v>
      </c>
      <c r="AP429">
        <v>3522572205</v>
      </c>
      <c r="AQ429">
        <v>3558148909</v>
      </c>
      <c r="AR429">
        <v>117419073</v>
      </c>
      <c r="AS429">
        <v>0</v>
      </c>
      <c r="AT429">
        <v>1185890</v>
      </c>
      <c r="AU429">
        <v>117419073</v>
      </c>
      <c r="AV429">
        <v>118604963</v>
      </c>
      <c r="AW429">
        <v>17.159400000000002</v>
      </c>
      <c r="AX429">
        <v>5.6524000000000001</v>
      </c>
      <c r="AY429">
        <v>2245.42</v>
      </c>
      <c r="AZ429">
        <v>1358.43</v>
      </c>
      <c r="BA429">
        <v>1618</v>
      </c>
      <c r="BB429">
        <v>905</v>
      </c>
      <c r="BC429" t="str">
        <f t="shared" si="12"/>
        <v>u=1%, k=2x10^7</v>
      </c>
      <c r="BD429">
        <f t="shared" si="13"/>
        <v>0</v>
      </c>
    </row>
    <row r="430" spans="1:56">
      <c r="A430" t="s">
        <v>514</v>
      </c>
      <c r="B430" t="s">
        <v>66</v>
      </c>
      <c r="C430">
        <v>208</v>
      </c>
      <c r="D430" t="s">
        <v>65</v>
      </c>
      <c r="E430" t="s">
        <v>60</v>
      </c>
      <c r="F430" t="s">
        <v>61</v>
      </c>
      <c r="G430">
        <v>30000</v>
      </c>
      <c r="H430">
        <v>0.5</v>
      </c>
      <c r="I430">
        <v>0.5</v>
      </c>
      <c r="J430">
        <v>0</v>
      </c>
      <c r="K430">
        <v>1</v>
      </c>
      <c r="L430">
        <v>20000000</v>
      </c>
      <c r="M430">
        <v>144</v>
      </c>
      <c r="N430">
        <v>144</v>
      </c>
      <c r="O430">
        <v>144</v>
      </c>
      <c r="P430">
        <v>0</v>
      </c>
      <c r="Q430" t="s">
        <v>62</v>
      </c>
      <c r="R430">
        <v>100016995700116</v>
      </c>
      <c r="S430">
        <v>10001103</v>
      </c>
      <c r="T430">
        <v>100016995700116</v>
      </c>
      <c r="U430">
        <v>10001103</v>
      </c>
      <c r="V430" t="s">
        <v>75</v>
      </c>
      <c r="W430">
        <v>9</v>
      </c>
      <c r="X430">
        <v>244707</v>
      </c>
      <c r="Y430">
        <v>1680901</v>
      </c>
      <c r="Z430">
        <v>1925608</v>
      </c>
      <c r="AA430">
        <v>10001103</v>
      </c>
      <c r="AB430">
        <v>7.86904</v>
      </c>
      <c r="AC430">
        <v>5.9498499999999996</v>
      </c>
      <c r="AD430">
        <v>6.19374</v>
      </c>
      <c r="AE430">
        <v>8</v>
      </c>
      <c r="AM430">
        <v>5178748515</v>
      </c>
      <c r="AN430">
        <v>0</v>
      </c>
      <c r="AO430">
        <v>52318594</v>
      </c>
      <c r="AP430">
        <v>5178748515</v>
      </c>
      <c r="AQ430">
        <v>5231067109</v>
      </c>
      <c r="AR430">
        <v>172624950</v>
      </c>
      <c r="AS430">
        <v>0</v>
      </c>
      <c r="AT430">
        <v>1743953</v>
      </c>
      <c r="AU430">
        <v>172624950</v>
      </c>
      <c r="AV430">
        <v>174368903</v>
      </c>
      <c r="AW430">
        <v>17.335000000000001</v>
      </c>
      <c r="AX430">
        <v>5.8243799999999997</v>
      </c>
      <c r="AY430">
        <v>2288.85</v>
      </c>
      <c r="AZ430">
        <v>1385.36</v>
      </c>
      <c r="BA430">
        <v>1635</v>
      </c>
      <c r="BB430">
        <v>833</v>
      </c>
      <c r="BC430" t="str">
        <f t="shared" si="12"/>
        <v>u=1%, k=2x10^7</v>
      </c>
      <c r="BD430">
        <f t="shared" si="13"/>
        <v>0</v>
      </c>
    </row>
    <row r="431" spans="1:56">
      <c r="A431" t="s">
        <v>515</v>
      </c>
      <c r="B431" t="s">
        <v>66</v>
      </c>
      <c r="C431">
        <v>208</v>
      </c>
      <c r="D431" t="s">
        <v>65</v>
      </c>
      <c r="E431" t="s">
        <v>60</v>
      </c>
      <c r="F431" t="s">
        <v>61</v>
      </c>
      <c r="G431">
        <v>30000</v>
      </c>
      <c r="H431">
        <v>0.5</v>
      </c>
      <c r="I431">
        <v>0.5</v>
      </c>
      <c r="J431">
        <v>0</v>
      </c>
      <c r="K431">
        <v>1</v>
      </c>
      <c r="L431">
        <v>20000000</v>
      </c>
      <c r="M431">
        <v>190</v>
      </c>
      <c r="N431">
        <v>190</v>
      </c>
      <c r="O431">
        <v>190</v>
      </c>
      <c r="P431">
        <v>0</v>
      </c>
      <c r="Q431" t="s">
        <v>62</v>
      </c>
      <c r="R431">
        <v>100042208741008</v>
      </c>
      <c r="S431">
        <v>10003335</v>
      </c>
      <c r="T431">
        <v>100042208741008</v>
      </c>
      <c r="U431">
        <v>10003335</v>
      </c>
      <c r="V431" t="s">
        <v>75</v>
      </c>
      <c r="W431">
        <v>9</v>
      </c>
      <c r="X431">
        <v>252298</v>
      </c>
      <c r="Y431">
        <v>1730268</v>
      </c>
      <c r="Z431">
        <v>1982566</v>
      </c>
      <c r="AA431">
        <v>10003335</v>
      </c>
      <c r="AB431">
        <v>7.8580300000000003</v>
      </c>
      <c r="AC431">
        <v>5.7813800000000004</v>
      </c>
      <c r="AD431">
        <v>6.0456500000000002</v>
      </c>
      <c r="AE431">
        <v>8</v>
      </c>
      <c r="AM431">
        <v>6815322073</v>
      </c>
      <c r="AN431">
        <v>0</v>
      </c>
      <c r="AO431">
        <v>68844097</v>
      </c>
      <c r="AP431">
        <v>6815322073</v>
      </c>
      <c r="AQ431">
        <v>6884166170</v>
      </c>
      <c r="AR431">
        <v>227177402</v>
      </c>
      <c r="AS431">
        <v>0</v>
      </c>
      <c r="AT431">
        <v>2294803</v>
      </c>
      <c r="AU431">
        <v>227177402</v>
      </c>
      <c r="AV431">
        <v>229472205</v>
      </c>
      <c r="AW431">
        <v>17.482099999999999</v>
      </c>
      <c r="AX431">
        <v>5.9448400000000001</v>
      </c>
      <c r="AY431">
        <v>2289.63</v>
      </c>
      <c r="AZ431">
        <v>1377.96</v>
      </c>
      <c r="BA431">
        <v>1683</v>
      </c>
      <c r="BB431">
        <v>905</v>
      </c>
      <c r="BC431" t="str">
        <f t="shared" si="12"/>
        <v>u=1%, k=2x10^7</v>
      </c>
      <c r="BD431">
        <f t="shared" si="13"/>
        <v>0</v>
      </c>
    </row>
    <row r="432" spans="1:56">
      <c r="A432" t="s">
        <v>516</v>
      </c>
      <c r="B432" t="s">
        <v>67</v>
      </c>
      <c r="D432" t="s">
        <v>65</v>
      </c>
      <c r="E432" t="s">
        <v>60</v>
      </c>
      <c r="F432" t="s">
        <v>61</v>
      </c>
      <c r="G432">
        <v>30000</v>
      </c>
      <c r="H432">
        <v>0.5</v>
      </c>
      <c r="I432">
        <v>0.5</v>
      </c>
      <c r="J432">
        <v>0</v>
      </c>
      <c r="K432">
        <v>1</v>
      </c>
      <c r="L432">
        <v>20000000</v>
      </c>
      <c r="M432">
        <v>24</v>
      </c>
      <c r="N432">
        <v>24</v>
      </c>
      <c r="O432">
        <v>24</v>
      </c>
      <c r="P432">
        <v>0</v>
      </c>
      <c r="Q432" t="s">
        <v>62</v>
      </c>
      <c r="R432">
        <v>99987786884653</v>
      </c>
      <c r="S432">
        <v>9999781</v>
      </c>
      <c r="T432">
        <v>99987786884653</v>
      </c>
      <c r="U432">
        <v>9999781</v>
      </c>
      <c r="V432" t="s">
        <v>75</v>
      </c>
      <c r="W432">
        <v>29</v>
      </c>
      <c r="X432">
        <v>5933559</v>
      </c>
      <c r="Y432">
        <v>4465977</v>
      </c>
      <c r="Z432">
        <v>10399536</v>
      </c>
      <c r="AA432">
        <v>9999781</v>
      </c>
      <c r="AB432">
        <v>1.7526600000000001</v>
      </c>
      <c r="AC432">
        <v>2.2391000000000001</v>
      </c>
      <c r="AD432">
        <v>1.96156</v>
      </c>
      <c r="AE432">
        <v>22.789899999999999</v>
      </c>
      <c r="AM432">
        <v>413637392</v>
      </c>
      <c r="AN432">
        <v>0</v>
      </c>
      <c r="AO432">
        <v>4177233</v>
      </c>
      <c r="AP432">
        <v>413637392</v>
      </c>
      <c r="AQ432">
        <v>417814625</v>
      </c>
      <c r="AR432">
        <v>13787913</v>
      </c>
      <c r="AS432">
        <v>0</v>
      </c>
      <c r="AT432">
        <v>139241</v>
      </c>
      <c r="AU432">
        <v>13787913</v>
      </c>
      <c r="AV432">
        <v>13927154</v>
      </c>
      <c r="AW432">
        <v>27.471399999999999</v>
      </c>
      <c r="AX432">
        <v>9.3263200000000008</v>
      </c>
      <c r="AY432">
        <v>4807.04</v>
      </c>
      <c r="AZ432">
        <v>3627.55</v>
      </c>
      <c r="BA432">
        <v>1742</v>
      </c>
      <c r="BB432">
        <v>1448</v>
      </c>
      <c r="BC432" t="str">
        <f t="shared" si="12"/>
        <v>u=1%, k=2x10^7</v>
      </c>
      <c r="BD432">
        <f t="shared" si="13"/>
        <v>0</v>
      </c>
    </row>
    <row r="433" spans="1:56">
      <c r="A433" t="s">
        <v>517</v>
      </c>
      <c r="B433" t="s">
        <v>67</v>
      </c>
      <c r="D433" t="s">
        <v>65</v>
      </c>
      <c r="E433" t="s">
        <v>60</v>
      </c>
      <c r="F433" t="s">
        <v>61</v>
      </c>
      <c r="G433">
        <v>30000</v>
      </c>
      <c r="H433">
        <v>0.5</v>
      </c>
      <c r="I433">
        <v>0.5</v>
      </c>
      <c r="J433">
        <v>0</v>
      </c>
      <c r="K433">
        <v>1</v>
      </c>
      <c r="L433">
        <v>20000000</v>
      </c>
      <c r="M433">
        <v>48</v>
      </c>
      <c r="N433">
        <v>48</v>
      </c>
      <c r="O433">
        <v>48</v>
      </c>
      <c r="P433">
        <v>0</v>
      </c>
      <c r="Q433" t="s">
        <v>62</v>
      </c>
      <c r="R433">
        <v>100026535147208</v>
      </c>
      <c r="S433">
        <v>10001941</v>
      </c>
      <c r="T433">
        <v>100026535147208</v>
      </c>
      <c r="U433">
        <v>10001941</v>
      </c>
      <c r="V433" t="s">
        <v>75</v>
      </c>
      <c r="W433">
        <v>29</v>
      </c>
      <c r="X433">
        <v>6091734</v>
      </c>
      <c r="Y433">
        <v>4594085</v>
      </c>
      <c r="Z433">
        <v>10685819</v>
      </c>
      <c r="AA433">
        <v>10001941</v>
      </c>
      <c r="AB433">
        <v>1.7541500000000001</v>
      </c>
      <c r="AC433">
        <v>2.17713</v>
      </c>
      <c r="AD433">
        <v>1.9359999999999999</v>
      </c>
      <c r="AE433">
        <v>22.865600000000001</v>
      </c>
      <c r="AM433">
        <v>776268313</v>
      </c>
      <c r="AN433">
        <v>0</v>
      </c>
      <c r="AO433">
        <v>7842027</v>
      </c>
      <c r="AP433">
        <v>776268313</v>
      </c>
      <c r="AQ433">
        <v>784110340</v>
      </c>
      <c r="AR433">
        <v>25875610</v>
      </c>
      <c r="AS433">
        <v>0</v>
      </c>
      <c r="AT433">
        <v>261400</v>
      </c>
      <c r="AU433">
        <v>25875610</v>
      </c>
      <c r="AV433">
        <v>26137011</v>
      </c>
      <c r="AW433">
        <v>28.386700000000001</v>
      </c>
      <c r="AX433">
        <v>9.4293399999999998</v>
      </c>
      <c r="AY433">
        <v>5121.97</v>
      </c>
      <c r="AZ433">
        <v>3899.99</v>
      </c>
      <c r="BA433">
        <v>1766</v>
      </c>
      <c r="BB433">
        <v>1047</v>
      </c>
      <c r="BC433" t="str">
        <f t="shared" si="12"/>
        <v>u=1%, k=2x10^7</v>
      </c>
      <c r="BD433">
        <f t="shared" si="13"/>
        <v>0</v>
      </c>
    </row>
    <row r="434" spans="1:56">
      <c r="A434" t="s">
        <v>518</v>
      </c>
      <c r="B434" t="s">
        <v>67</v>
      </c>
      <c r="D434" t="s">
        <v>65</v>
      </c>
      <c r="E434" t="s">
        <v>60</v>
      </c>
      <c r="F434" t="s">
        <v>61</v>
      </c>
      <c r="G434">
        <v>30000</v>
      </c>
      <c r="H434">
        <v>0.5</v>
      </c>
      <c r="I434">
        <v>0.5</v>
      </c>
      <c r="J434">
        <v>0</v>
      </c>
      <c r="K434">
        <v>1</v>
      </c>
      <c r="L434">
        <v>20000000</v>
      </c>
      <c r="M434">
        <v>96</v>
      </c>
      <c r="N434">
        <v>96</v>
      </c>
      <c r="O434">
        <v>96</v>
      </c>
      <c r="P434">
        <v>0</v>
      </c>
      <c r="Q434" t="s">
        <v>62</v>
      </c>
      <c r="R434">
        <v>99994713452684</v>
      </c>
      <c r="S434">
        <v>10001352</v>
      </c>
      <c r="T434">
        <v>99994713452684</v>
      </c>
      <c r="U434">
        <v>10001352</v>
      </c>
      <c r="V434" t="s">
        <v>75</v>
      </c>
      <c r="W434">
        <v>29</v>
      </c>
      <c r="X434">
        <v>6381731</v>
      </c>
      <c r="Y434">
        <v>4824391</v>
      </c>
      <c r="Z434">
        <v>11206122</v>
      </c>
      <c r="AA434">
        <v>10001352</v>
      </c>
      <c r="AB434">
        <v>1.75597</v>
      </c>
      <c r="AC434">
        <v>2.07308</v>
      </c>
      <c r="AD434">
        <v>1.89249</v>
      </c>
      <c r="AE434">
        <v>23.1144</v>
      </c>
      <c r="AM434">
        <v>1703364357</v>
      </c>
      <c r="AN434">
        <v>0</v>
      </c>
      <c r="AO434">
        <v>17202597</v>
      </c>
      <c r="AP434">
        <v>1703364357</v>
      </c>
      <c r="AQ434">
        <v>1720566954</v>
      </c>
      <c r="AR434">
        <v>56778811</v>
      </c>
      <c r="AS434">
        <v>0</v>
      </c>
      <c r="AT434">
        <v>573419</v>
      </c>
      <c r="AU434">
        <v>56778811</v>
      </c>
      <c r="AV434">
        <v>57352231</v>
      </c>
      <c r="AW434">
        <v>28.994199999999999</v>
      </c>
      <c r="AX434">
        <v>10.672000000000001</v>
      </c>
      <c r="AY434">
        <v>4660.71</v>
      </c>
      <c r="AZ434">
        <v>3354.58</v>
      </c>
      <c r="BA434">
        <v>1813</v>
      </c>
      <c r="BB434">
        <v>789</v>
      </c>
      <c r="BC434" t="str">
        <f t="shared" si="12"/>
        <v>u=1%, k=2x10^7</v>
      </c>
      <c r="BD434">
        <f t="shared" si="13"/>
        <v>0</v>
      </c>
    </row>
    <row r="435" spans="1:56">
      <c r="A435" t="s">
        <v>519</v>
      </c>
      <c r="B435" t="s">
        <v>67</v>
      </c>
      <c r="D435" t="s">
        <v>65</v>
      </c>
      <c r="E435" t="s">
        <v>60</v>
      </c>
      <c r="F435" t="s">
        <v>61</v>
      </c>
      <c r="G435">
        <v>30000</v>
      </c>
      <c r="H435">
        <v>0.5</v>
      </c>
      <c r="I435">
        <v>0.5</v>
      </c>
      <c r="J435">
        <v>0</v>
      </c>
      <c r="K435">
        <v>1</v>
      </c>
      <c r="L435">
        <v>20000000</v>
      </c>
      <c r="M435">
        <v>144</v>
      </c>
      <c r="N435">
        <v>144</v>
      </c>
      <c r="O435">
        <v>144</v>
      </c>
      <c r="P435">
        <v>0</v>
      </c>
      <c r="Q435" t="s">
        <v>62</v>
      </c>
      <c r="R435">
        <v>100024781640087</v>
      </c>
      <c r="S435">
        <v>10000928</v>
      </c>
      <c r="T435">
        <v>100024781640087</v>
      </c>
      <c r="U435">
        <v>10000928</v>
      </c>
      <c r="V435" t="s">
        <v>75</v>
      </c>
      <c r="W435">
        <v>29</v>
      </c>
      <c r="X435">
        <v>6553573</v>
      </c>
      <c r="Y435">
        <v>4959195</v>
      </c>
      <c r="Z435">
        <v>11512768</v>
      </c>
      <c r="AA435">
        <v>10000928</v>
      </c>
      <c r="AB435">
        <v>1.7567200000000001</v>
      </c>
      <c r="AC435">
        <v>2.0166400000000002</v>
      </c>
      <c r="AD435">
        <v>1.8686799999999999</v>
      </c>
      <c r="AE435">
        <v>23.100100000000001</v>
      </c>
      <c r="AM435">
        <v>2568540292</v>
      </c>
      <c r="AN435">
        <v>0</v>
      </c>
      <c r="AO435">
        <v>25945322</v>
      </c>
      <c r="AP435">
        <v>2568540292</v>
      </c>
      <c r="AQ435">
        <v>2594485614</v>
      </c>
      <c r="AR435">
        <v>85618009</v>
      </c>
      <c r="AS435">
        <v>0</v>
      </c>
      <c r="AT435">
        <v>864844</v>
      </c>
      <c r="AU435">
        <v>85618009</v>
      </c>
      <c r="AV435">
        <v>86482853</v>
      </c>
      <c r="AW435">
        <v>28.982600000000001</v>
      </c>
      <c r="AX435">
        <v>10.8544</v>
      </c>
      <c r="AY435">
        <v>4627.62</v>
      </c>
      <c r="AZ435">
        <v>3298.22</v>
      </c>
      <c r="BA435">
        <v>1843</v>
      </c>
      <c r="BB435">
        <v>472</v>
      </c>
      <c r="BC435" t="str">
        <f t="shared" si="12"/>
        <v>u=1%, k=2x10^7</v>
      </c>
      <c r="BD435">
        <f t="shared" si="13"/>
        <v>0</v>
      </c>
    </row>
    <row r="436" spans="1:56">
      <c r="A436" t="s">
        <v>520</v>
      </c>
      <c r="B436" t="s">
        <v>67</v>
      </c>
      <c r="D436" t="s">
        <v>65</v>
      </c>
      <c r="E436" t="s">
        <v>60</v>
      </c>
      <c r="F436" t="s">
        <v>61</v>
      </c>
      <c r="G436">
        <v>30000</v>
      </c>
      <c r="H436">
        <v>0.5</v>
      </c>
      <c r="I436">
        <v>0.5</v>
      </c>
      <c r="J436">
        <v>0</v>
      </c>
      <c r="K436">
        <v>1</v>
      </c>
      <c r="L436">
        <v>20000000</v>
      </c>
      <c r="M436">
        <v>190</v>
      </c>
      <c r="N436">
        <v>190</v>
      </c>
      <c r="O436">
        <v>190</v>
      </c>
      <c r="P436">
        <v>0</v>
      </c>
      <c r="Q436" t="s">
        <v>62</v>
      </c>
      <c r="R436">
        <v>100015872178305</v>
      </c>
      <c r="S436">
        <v>10001970</v>
      </c>
      <c r="T436">
        <v>100015872178305</v>
      </c>
      <c r="U436">
        <v>10001970</v>
      </c>
      <c r="V436" t="s">
        <v>75</v>
      </c>
      <c r="W436">
        <v>29</v>
      </c>
      <c r="X436">
        <v>6660755</v>
      </c>
      <c r="Y436">
        <v>5044277</v>
      </c>
      <c r="Z436">
        <v>11705032</v>
      </c>
      <c r="AA436">
        <v>10001970</v>
      </c>
      <c r="AB436">
        <v>1.7573099999999999</v>
      </c>
      <c r="AC436">
        <v>1.9828399999999999</v>
      </c>
      <c r="AD436">
        <v>1.8545</v>
      </c>
      <c r="AE436">
        <v>23.155999999999999</v>
      </c>
      <c r="AM436">
        <v>3419085007</v>
      </c>
      <c r="AN436">
        <v>0</v>
      </c>
      <c r="AO436">
        <v>34544648</v>
      </c>
      <c r="AP436">
        <v>3419085007</v>
      </c>
      <c r="AQ436">
        <v>3453629655</v>
      </c>
      <c r="AR436">
        <v>113969500</v>
      </c>
      <c r="AS436">
        <v>0</v>
      </c>
      <c r="AT436">
        <v>1151488</v>
      </c>
      <c r="AU436">
        <v>113969500</v>
      </c>
      <c r="AV436">
        <v>115120988</v>
      </c>
      <c r="AW436">
        <v>28.906400000000001</v>
      </c>
      <c r="AX436">
        <v>10.957100000000001</v>
      </c>
      <c r="AY436">
        <v>4586.29</v>
      </c>
      <c r="AZ436">
        <v>3259.3</v>
      </c>
      <c r="BA436">
        <v>1865</v>
      </c>
      <c r="BB436">
        <v>474</v>
      </c>
      <c r="BC436" t="str">
        <f t="shared" si="12"/>
        <v>u=1%, k=2x10^7</v>
      </c>
      <c r="BD436">
        <f t="shared" si="13"/>
        <v>0</v>
      </c>
    </row>
    <row r="437" spans="1:56">
      <c r="A437" t="s">
        <v>521</v>
      </c>
      <c r="B437" t="s">
        <v>68</v>
      </c>
      <c r="D437" t="s">
        <v>65</v>
      </c>
      <c r="E437" t="s">
        <v>60</v>
      </c>
      <c r="F437" t="s">
        <v>61</v>
      </c>
      <c r="G437">
        <v>30000</v>
      </c>
      <c r="H437">
        <v>0.5</v>
      </c>
      <c r="I437">
        <v>0.5</v>
      </c>
      <c r="J437">
        <v>0</v>
      </c>
      <c r="K437">
        <v>1</v>
      </c>
      <c r="L437">
        <v>20000000</v>
      </c>
      <c r="M437">
        <v>24</v>
      </c>
      <c r="N437">
        <v>24</v>
      </c>
      <c r="O437">
        <v>24</v>
      </c>
      <c r="P437">
        <v>0</v>
      </c>
      <c r="Q437" t="s">
        <v>62</v>
      </c>
      <c r="R437">
        <v>99997236419149</v>
      </c>
      <c r="S437">
        <v>10000807</v>
      </c>
      <c r="T437">
        <v>99997236419149</v>
      </c>
      <c r="U437">
        <v>10000807</v>
      </c>
      <c r="V437" t="s">
        <v>75</v>
      </c>
      <c r="W437">
        <v>60</v>
      </c>
      <c r="X437">
        <v>10000806</v>
      </c>
      <c r="Y437">
        <v>10000807</v>
      </c>
      <c r="Z437">
        <v>20001613</v>
      </c>
      <c r="AA437">
        <v>10000807</v>
      </c>
      <c r="AB437">
        <v>2</v>
      </c>
      <c r="AC437">
        <v>1</v>
      </c>
      <c r="AD437">
        <v>1.5</v>
      </c>
      <c r="AE437">
        <v>32.294499999999999</v>
      </c>
      <c r="AM437">
        <v>333924841</v>
      </c>
      <c r="AN437">
        <v>0</v>
      </c>
      <c r="AO437">
        <v>3375193</v>
      </c>
      <c r="AP437">
        <v>333924841</v>
      </c>
      <c r="AQ437">
        <v>337300034</v>
      </c>
      <c r="AR437">
        <v>11130828</v>
      </c>
      <c r="AS437">
        <v>0</v>
      </c>
      <c r="AT437">
        <v>112506</v>
      </c>
      <c r="AU437">
        <v>11130828</v>
      </c>
      <c r="AV437">
        <v>11243334</v>
      </c>
      <c r="AW437">
        <v>24.263300000000001</v>
      </c>
      <c r="AX437">
        <v>8.6929099999999995</v>
      </c>
      <c r="AY437">
        <v>5955.02</v>
      </c>
      <c r="AZ437">
        <v>4515.17</v>
      </c>
      <c r="BA437">
        <v>1717</v>
      </c>
      <c r="BB437">
        <v>1510</v>
      </c>
      <c r="BC437" t="str">
        <f t="shared" si="12"/>
        <v>u=1%, k=2x10^7</v>
      </c>
      <c r="BD437">
        <f t="shared" si="13"/>
        <v>0</v>
      </c>
    </row>
    <row r="438" spans="1:56">
      <c r="A438" t="s">
        <v>522</v>
      </c>
      <c r="B438" t="s">
        <v>68</v>
      </c>
      <c r="D438" t="s">
        <v>65</v>
      </c>
      <c r="E438" t="s">
        <v>60</v>
      </c>
      <c r="F438" t="s">
        <v>61</v>
      </c>
      <c r="G438">
        <v>30000</v>
      </c>
      <c r="H438">
        <v>0.5</v>
      </c>
      <c r="I438">
        <v>0.5</v>
      </c>
      <c r="J438">
        <v>0</v>
      </c>
      <c r="K438">
        <v>1</v>
      </c>
      <c r="L438">
        <v>20000000</v>
      </c>
      <c r="M438">
        <v>48</v>
      </c>
      <c r="N438">
        <v>48</v>
      </c>
      <c r="O438">
        <v>48</v>
      </c>
      <c r="P438">
        <v>0</v>
      </c>
      <c r="Q438" t="s">
        <v>62</v>
      </c>
      <c r="R438">
        <v>99994250426463</v>
      </c>
      <c r="S438">
        <v>10000117</v>
      </c>
      <c r="T438">
        <v>99994250426463</v>
      </c>
      <c r="U438">
        <v>10000117</v>
      </c>
      <c r="V438" t="s">
        <v>75</v>
      </c>
      <c r="W438">
        <v>63</v>
      </c>
      <c r="X438">
        <v>10000116</v>
      </c>
      <c r="Y438">
        <v>10000117</v>
      </c>
      <c r="Z438">
        <v>20000233</v>
      </c>
      <c r="AA438">
        <v>10000117</v>
      </c>
      <c r="AB438">
        <v>2</v>
      </c>
      <c r="AC438">
        <v>1</v>
      </c>
      <c r="AD438">
        <v>1.5</v>
      </c>
      <c r="AE438">
        <v>32.848100000000002</v>
      </c>
      <c r="AM438">
        <v>639664105</v>
      </c>
      <c r="AN438">
        <v>0</v>
      </c>
      <c r="AO438">
        <v>6461261</v>
      </c>
      <c r="AP438">
        <v>639664105</v>
      </c>
      <c r="AQ438">
        <v>646125366</v>
      </c>
      <c r="AR438">
        <v>21322136</v>
      </c>
      <c r="AS438">
        <v>0</v>
      </c>
      <c r="AT438">
        <v>215375</v>
      </c>
      <c r="AU438">
        <v>21322136</v>
      </c>
      <c r="AV438">
        <v>21537512</v>
      </c>
      <c r="AW438">
        <v>24.2879</v>
      </c>
      <c r="AX438">
        <v>8.7340499999999999</v>
      </c>
      <c r="AY438">
        <v>6216.79</v>
      </c>
      <c r="AZ438">
        <v>5206.83</v>
      </c>
      <c r="BA438">
        <v>1722</v>
      </c>
      <c r="BB438">
        <v>1062</v>
      </c>
      <c r="BC438" t="str">
        <f t="shared" si="12"/>
        <v>u=1%, k=2x10^7</v>
      </c>
      <c r="BD438">
        <f t="shared" si="13"/>
        <v>0</v>
      </c>
    </row>
    <row r="439" spans="1:56">
      <c r="A439" t="s">
        <v>523</v>
      </c>
      <c r="B439" t="s">
        <v>68</v>
      </c>
      <c r="D439" t="s">
        <v>65</v>
      </c>
      <c r="E439" t="s">
        <v>60</v>
      </c>
      <c r="F439" t="s">
        <v>61</v>
      </c>
      <c r="G439">
        <v>30000</v>
      </c>
      <c r="H439">
        <v>0.5</v>
      </c>
      <c r="I439">
        <v>0.5</v>
      </c>
      <c r="J439">
        <v>0</v>
      </c>
      <c r="K439">
        <v>1</v>
      </c>
      <c r="L439">
        <v>20000000</v>
      </c>
      <c r="M439">
        <v>96</v>
      </c>
      <c r="N439">
        <v>96</v>
      </c>
      <c r="O439">
        <v>96</v>
      </c>
      <c r="P439">
        <v>0</v>
      </c>
      <c r="Q439" t="s">
        <v>62</v>
      </c>
      <c r="R439">
        <v>99982340887521</v>
      </c>
      <c r="S439">
        <v>9999782</v>
      </c>
      <c r="T439">
        <v>99982340887521</v>
      </c>
      <c r="U439">
        <v>9999782</v>
      </c>
      <c r="V439" t="s">
        <v>75</v>
      </c>
      <c r="W439">
        <v>62</v>
      </c>
      <c r="X439">
        <v>9999781</v>
      </c>
      <c r="Y439">
        <v>9999782</v>
      </c>
      <c r="Z439">
        <v>19999563</v>
      </c>
      <c r="AA439">
        <v>9999782</v>
      </c>
      <c r="AB439">
        <v>2</v>
      </c>
      <c r="AC439">
        <v>1</v>
      </c>
      <c r="AD439">
        <v>1.5</v>
      </c>
      <c r="AE439">
        <v>30.713799999999999</v>
      </c>
      <c r="AM439">
        <v>1460119089</v>
      </c>
      <c r="AN439">
        <v>0</v>
      </c>
      <c r="AO439">
        <v>14740768</v>
      </c>
      <c r="AP439">
        <v>1460119089</v>
      </c>
      <c r="AQ439">
        <v>1474859857</v>
      </c>
      <c r="AR439">
        <v>48670636</v>
      </c>
      <c r="AS439">
        <v>0</v>
      </c>
      <c r="AT439">
        <v>491358</v>
      </c>
      <c r="AU439">
        <v>48670636</v>
      </c>
      <c r="AV439">
        <v>49161995</v>
      </c>
      <c r="AW439">
        <v>25.0871</v>
      </c>
      <c r="AX439">
        <v>10.054</v>
      </c>
      <c r="AY439">
        <v>5438.72</v>
      </c>
      <c r="AZ439">
        <v>4426.1899999999996</v>
      </c>
      <c r="BA439">
        <v>1738</v>
      </c>
      <c r="BB439">
        <v>735</v>
      </c>
      <c r="BC439" t="str">
        <f t="shared" si="12"/>
        <v>u=1%, k=2x10^7</v>
      </c>
      <c r="BD439">
        <f t="shared" si="13"/>
        <v>0</v>
      </c>
    </row>
    <row r="440" spans="1:56">
      <c r="A440" t="s">
        <v>524</v>
      </c>
      <c r="B440" t="s">
        <v>68</v>
      </c>
      <c r="D440" t="s">
        <v>65</v>
      </c>
      <c r="E440" t="s">
        <v>60</v>
      </c>
      <c r="F440" t="s">
        <v>61</v>
      </c>
      <c r="G440">
        <v>30000</v>
      </c>
      <c r="H440">
        <v>0.5</v>
      </c>
      <c r="I440">
        <v>0.5</v>
      </c>
      <c r="J440">
        <v>0</v>
      </c>
      <c r="K440">
        <v>1</v>
      </c>
      <c r="L440">
        <v>20000000</v>
      </c>
      <c r="M440">
        <v>144</v>
      </c>
      <c r="N440">
        <v>144</v>
      </c>
      <c r="O440">
        <v>144</v>
      </c>
      <c r="P440">
        <v>0</v>
      </c>
      <c r="Q440" t="s">
        <v>62</v>
      </c>
      <c r="R440">
        <v>100021143708954</v>
      </c>
      <c r="S440">
        <v>9999505</v>
      </c>
      <c r="T440">
        <v>100021143708954</v>
      </c>
      <c r="U440">
        <v>9999505</v>
      </c>
      <c r="V440" t="s">
        <v>75</v>
      </c>
      <c r="W440">
        <v>61</v>
      </c>
      <c r="X440">
        <v>9999504</v>
      </c>
      <c r="Y440">
        <v>9999505</v>
      </c>
      <c r="Z440">
        <v>19999009</v>
      </c>
      <c r="AA440">
        <v>9999505</v>
      </c>
      <c r="AB440">
        <v>2</v>
      </c>
      <c r="AC440">
        <v>1</v>
      </c>
      <c r="AD440">
        <v>1.5</v>
      </c>
      <c r="AE440">
        <v>31.8414</v>
      </c>
      <c r="AM440">
        <v>2225149701</v>
      </c>
      <c r="AN440">
        <v>0</v>
      </c>
      <c r="AO440">
        <v>22470971</v>
      </c>
      <c r="AP440">
        <v>2225149701</v>
      </c>
      <c r="AQ440">
        <v>2247620672</v>
      </c>
      <c r="AR440">
        <v>74171656</v>
      </c>
      <c r="AS440">
        <v>0</v>
      </c>
      <c r="AT440">
        <v>749032</v>
      </c>
      <c r="AU440">
        <v>74171656</v>
      </c>
      <c r="AV440">
        <v>74920689</v>
      </c>
      <c r="AW440">
        <v>25.251300000000001</v>
      </c>
      <c r="AX440">
        <v>10.2622</v>
      </c>
      <c r="AY440">
        <v>5351.8</v>
      </c>
      <c r="AZ440">
        <v>4351.63</v>
      </c>
      <c r="BA440">
        <v>1748</v>
      </c>
      <c r="BB440">
        <v>432</v>
      </c>
      <c r="BC440" t="str">
        <f t="shared" si="12"/>
        <v>u=1%, k=2x10^7</v>
      </c>
      <c r="BD440">
        <f t="shared" si="13"/>
        <v>0</v>
      </c>
    </row>
    <row r="441" spans="1:56">
      <c r="A441" t="s">
        <v>525</v>
      </c>
      <c r="B441" t="s">
        <v>68</v>
      </c>
      <c r="D441" t="s">
        <v>65</v>
      </c>
      <c r="E441" t="s">
        <v>60</v>
      </c>
      <c r="F441" t="s">
        <v>61</v>
      </c>
      <c r="G441">
        <v>30000</v>
      </c>
      <c r="H441">
        <v>0.5</v>
      </c>
      <c r="I441">
        <v>0.5</v>
      </c>
      <c r="J441">
        <v>0</v>
      </c>
      <c r="K441">
        <v>1</v>
      </c>
      <c r="L441">
        <v>20000000</v>
      </c>
      <c r="M441">
        <v>190</v>
      </c>
      <c r="N441">
        <v>190</v>
      </c>
      <c r="O441">
        <v>190</v>
      </c>
      <c r="P441">
        <v>0</v>
      </c>
      <c r="Q441" t="s">
        <v>62</v>
      </c>
      <c r="R441">
        <v>99988381034327</v>
      </c>
      <c r="S441">
        <v>10001538</v>
      </c>
      <c r="T441">
        <v>99988381034327</v>
      </c>
      <c r="U441">
        <v>10001538</v>
      </c>
      <c r="V441" t="s">
        <v>75</v>
      </c>
      <c r="W441">
        <v>63</v>
      </c>
      <c r="X441">
        <v>10001537</v>
      </c>
      <c r="Y441">
        <v>10001538</v>
      </c>
      <c r="Z441">
        <v>20003075</v>
      </c>
      <c r="AA441">
        <v>10001538</v>
      </c>
      <c r="AB441">
        <v>2</v>
      </c>
      <c r="AC441">
        <v>1</v>
      </c>
      <c r="AD441">
        <v>1.5</v>
      </c>
      <c r="AE441">
        <v>31.914000000000001</v>
      </c>
      <c r="AM441">
        <v>2957862653</v>
      </c>
      <c r="AN441">
        <v>0</v>
      </c>
      <c r="AO441">
        <v>29879362</v>
      </c>
      <c r="AP441">
        <v>2957862653</v>
      </c>
      <c r="AQ441">
        <v>2987742015</v>
      </c>
      <c r="AR441">
        <v>98595421</v>
      </c>
      <c r="AS441">
        <v>0</v>
      </c>
      <c r="AT441">
        <v>995978</v>
      </c>
      <c r="AU441">
        <v>98595421</v>
      </c>
      <c r="AV441">
        <v>99591400</v>
      </c>
      <c r="AW441">
        <v>25.356200000000001</v>
      </c>
      <c r="AX441">
        <v>10.376099999999999</v>
      </c>
      <c r="AY441">
        <v>5309.86</v>
      </c>
      <c r="AZ441">
        <v>4307.3500000000004</v>
      </c>
      <c r="BA441">
        <v>1760</v>
      </c>
      <c r="BB441">
        <v>443</v>
      </c>
      <c r="BC441" t="str">
        <f t="shared" si="12"/>
        <v>u=1%, k=2x10^7</v>
      </c>
      <c r="BD441">
        <f t="shared" si="13"/>
        <v>0</v>
      </c>
    </row>
    <row r="442" spans="1:56">
      <c r="A442" t="s">
        <v>526</v>
      </c>
      <c r="B442" t="s">
        <v>64</v>
      </c>
      <c r="C442">
        <v>72</v>
      </c>
      <c r="D442" t="s">
        <v>65</v>
      </c>
      <c r="E442" t="s">
        <v>60</v>
      </c>
      <c r="F442" t="s">
        <v>61</v>
      </c>
      <c r="G442">
        <v>30000</v>
      </c>
      <c r="H442">
        <v>0.5</v>
      </c>
      <c r="I442">
        <v>0.5</v>
      </c>
      <c r="J442">
        <v>0</v>
      </c>
      <c r="K442">
        <v>1</v>
      </c>
      <c r="L442">
        <v>200000000</v>
      </c>
      <c r="M442">
        <v>24</v>
      </c>
      <c r="N442">
        <v>24</v>
      </c>
      <c r="O442">
        <v>24</v>
      </c>
      <c r="P442">
        <v>0</v>
      </c>
      <c r="Q442" t="s">
        <v>62</v>
      </c>
      <c r="R442">
        <v>1.00000967333226E+16</v>
      </c>
      <c r="S442">
        <v>100000117</v>
      </c>
      <c r="T442">
        <v>1.00000967333226E+16</v>
      </c>
      <c r="U442">
        <v>100000117</v>
      </c>
      <c r="V442" t="s">
        <v>75</v>
      </c>
      <c r="W442">
        <v>7</v>
      </c>
      <c r="X442">
        <v>12917380</v>
      </c>
      <c r="Y442">
        <v>113865844</v>
      </c>
      <c r="Z442">
        <v>126783224</v>
      </c>
      <c r="AA442">
        <v>100000117</v>
      </c>
      <c r="AB442">
        <v>9.8149300000000004</v>
      </c>
      <c r="AC442">
        <v>0.87822800000000001</v>
      </c>
      <c r="AD442">
        <v>1.7887500000000001</v>
      </c>
      <c r="AE442">
        <v>4.0389999999999997</v>
      </c>
      <c r="AM442">
        <v>859270632</v>
      </c>
      <c r="AN442">
        <v>0</v>
      </c>
      <c r="AO442">
        <v>8675122</v>
      </c>
      <c r="AP442">
        <v>859270632</v>
      </c>
      <c r="AQ442">
        <v>867945754</v>
      </c>
      <c r="AR442">
        <v>28642354</v>
      </c>
      <c r="AS442">
        <v>0</v>
      </c>
      <c r="AT442">
        <v>289170</v>
      </c>
      <c r="AU442">
        <v>28642354</v>
      </c>
      <c r="AV442">
        <v>28931525</v>
      </c>
      <c r="AW442">
        <v>18.7681</v>
      </c>
      <c r="AX442">
        <v>8.1884599999999992</v>
      </c>
      <c r="AY442">
        <v>2312.96</v>
      </c>
      <c r="AZ442">
        <v>1729.56</v>
      </c>
      <c r="BA442">
        <v>7281</v>
      </c>
      <c r="BB442">
        <v>1536</v>
      </c>
      <c r="BC442" t="str">
        <f t="shared" si="12"/>
        <v>u=1%, k=2x10^8</v>
      </c>
      <c r="BD442">
        <f t="shared" si="13"/>
        <v>0</v>
      </c>
    </row>
    <row r="443" spans="1:56">
      <c r="A443" t="s">
        <v>527</v>
      </c>
      <c r="B443" t="s">
        <v>64</v>
      </c>
      <c r="C443">
        <v>72</v>
      </c>
      <c r="D443" t="s">
        <v>65</v>
      </c>
      <c r="E443" t="s">
        <v>60</v>
      </c>
      <c r="F443" t="s">
        <v>61</v>
      </c>
      <c r="G443">
        <v>30000</v>
      </c>
      <c r="H443">
        <v>0.5</v>
      </c>
      <c r="I443">
        <v>0.5</v>
      </c>
      <c r="J443">
        <v>0</v>
      </c>
      <c r="K443">
        <v>1</v>
      </c>
      <c r="L443">
        <v>200000000</v>
      </c>
      <c r="M443">
        <v>48</v>
      </c>
      <c r="N443">
        <v>48</v>
      </c>
      <c r="O443">
        <v>48</v>
      </c>
      <c r="P443">
        <v>0</v>
      </c>
      <c r="Q443" t="s">
        <v>62</v>
      </c>
      <c r="R443">
        <v>9999755596089240</v>
      </c>
      <c r="S443">
        <v>99999670</v>
      </c>
      <c r="T443">
        <v>9999755596089240</v>
      </c>
      <c r="U443">
        <v>99999670</v>
      </c>
      <c r="V443" t="s">
        <v>75</v>
      </c>
      <c r="W443">
        <v>7</v>
      </c>
      <c r="X443">
        <v>13897016</v>
      </c>
      <c r="Y443">
        <v>115919381</v>
      </c>
      <c r="Z443">
        <v>129816397</v>
      </c>
      <c r="AA443">
        <v>99999670</v>
      </c>
      <c r="AB443">
        <v>9.34131</v>
      </c>
      <c r="AC443">
        <v>0.86266600000000004</v>
      </c>
      <c r="AD443">
        <v>1.7703199999999999</v>
      </c>
      <c r="AE443">
        <v>4.0596199999999998</v>
      </c>
      <c r="AM443">
        <v>1503521042</v>
      </c>
      <c r="AN443">
        <v>0</v>
      </c>
      <c r="AO443">
        <v>15184691</v>
      </c>
      <c r="AP443">
        <v>1503521042</v>
      </c>
      <c r="AQ443">
        <v>1518705733</v>
      </c>
      <c r="AR443">
        <v>50117368</v>
      </c>
      <c r="AS443">
        <v>0</v>
      </c>
      <c r="AT443">
        <v>506156</v>
      </c>
      <c r="AU443">
        <v>50117368</v>
      </c>
      <c r="AV443">
        <v>50623524</v>
      </c>
      <c r="AW443">
        <v>18.873899999999999</v>
      </c>
      <c r="AX443">
        <v>8.2714999999999996</v>
      </c>
      <c r="AY443">
        <v>2641.3</v>
      </c>
      <c r="AZ443">
        <v>1958.73</v>
      </c>
      <c r="BA443">
        <v>7479</v>
      </c>
      <c r="BB443">
        <v>1284</v>
      </c>
      <c r="BC443" t="str">
        <f t="shared" si="12"/>
        <v>u=1%, k=2x10^8</v>
      </c>
      <c r="BD443">
        <f t="shared" si="13"/>
        <v>0</v>
      </c>
    </row>
    <row r="444" spans="1:56">
      <c r="A444" t="s">
        <v>528</v>
      </c>
      <c r="B444" t="s">
        <v>64</v>
      </c>
      <c r="C444">
        <v>72</v>
      </c>
      <c r="D444" t="s">
        <v>65</v>
      </c>
      <c r="E444" t="s">
        <v>60</v>
      </c>
      <c r="F444" t="s">
        <v>61</v>
      </c>
      <c r="G444">
        <v>30000</v>
      </c>
      <c r="H444">
        <v>0.5</v>
      </c>
      <c r="I444">
        <v>0.5</v>
      </c>
      <c r="J444">
        <v>0</v>
      </c>
      <c r="K444">
        <v>1</v>
      </c>
      <c r="L444">
        <v>200000000</v>
      </c>
      <c r="M444">
        <v>96</v>
      </c>
      <c r="N444">
        <v>96</v>
      </c>
      <c r="O444">
        <v>96</v>
      </c>
      <c r="P444">
        <v>0</v>
      </c>
      <c r="Q444" t="s">
        <v>62</v>
      </c>
      <c r="R444">
        <v>1.00001941728051E+16</v>
      </c>
      <c r="S444">
        <v>100001827</v>
      </c>
      <c r="T444">
        <v>1.00001941728051E+16</v>
      </c>
      <c r="U444">
        <v>100001827</v>
      </c>
      <c r="V444" t="s">
        <v>75</v>
      </c>
      <c r="W444">
        <v>7</v>
      </c>
      <c r="X444">
        <v>14930055</v>
      </c>
      <c r="Y444">
        <v>118224884</v>
      </c>
      <c r="Z444">
        <v>133154939</v>
      </c>
      <c r="AA444">
        <v>100001827</v>
      </c>
      <c r="AB444">
        <v>8.9185800000000004</v>
      </c>
      <c r="AC444">
        <v>0.84586099999999997</v>
      </c>
      <c r="AD444">
        <v>1.75102</v>
      </c>
      <c r="AE444">
        <v>4.0818500000000002</v>
      </c>
      <c r="AM444">
        <v>3003614527</v>
      </c>
      <c r="AN444">
        <v>0</v>
      </c>
      <c r="AO444">
        <v>30341071</v>
      </c>
      <c r="AP444">
        <v>3003614527</v>
      </c>
      <c r="AQ444">
        <v>3033955598</v>
      </c>
      <c r="AR444">
        <v>100120484</v>
      </c>
      <c r="AS444">
        <v>0</v>
      </c>
      <c r="AT444">
        <v>1011369</v>
      </c>
      <c r="AU444">
        <v>100120484</v>
      </c>
      <c r="AV444">
        <v>101131853</v>
      </c>
      <c r="AW444">
        <v>19.191299999999998</v>
      </c>
      <c r="AX444">
        <v>9.1590500000000006</v>
      </c>
      <c r="AY444">
        <v>2641.87</v>
      </c>
      <c r="AZ444">
        <v>1918.92</v>
      </c>
      <c r="BA444">
        <v>7906</v>
      </c>
      <c r="BB444">
        <v>1151</v>
      </c>
      <c r="BC444" t="str">
        <f t="shared" si="12"/>
        <v>u=1%, k=2x10^8</v>
      </c>
      <c r="BD444">
        <f t="shared" si="13"/>
        <v>0</v>
      </c>
    </row>
    <row r="445" spans="1:56">
      <c r="A445" t="s">
        <v>529</v>
      </c>
      <c r="B445" t="s">
        <v>64</v>
      </c>
      <c r="C445">
        <v>72</v>
      </c>
      <c r="D445" t="s">
        <v>65</v>
      </c>
      <c r="E445" t="s">
        <v>60</v>
      </c>
      <c r="F445" t="s">
        <v>61</v>
      </c>
      <c r="G445">
        <v>30000</v>
      </c>
      <c r="H445">
        <v>0.5</v>
      </c>
      <c r="I445">
        <v>0.5</v>
      </c>
      <c r="J445">
        <v>0</v>
      </c>
      <c r="K445">
        <v>1</v>
      </c>
      <c r="L445">
        <v>200000000</v>
      </c>
      <c r="M445">
        <v>144</v>
      </c>
      <c r="N445">
        <v>144</v>
      </c>
      <c r="O445">
        <v>144</v>
      </c>
      <c r="P445">
        <v>0</v>
      </c>
      <c r="Q445" t="s">
        <v>62</v>
      </c>
      <c r="R445">
        <v>1.0000231128226E+16</v>
      </c>
      <c r="S445">
        <v>99996065</v>
      </c>
      <c r="T445">
        <v>1.0000231128226E+16</v>
      </c>
      <c r="U445">
        <v>99996065</v>
      </c>
      <c r="V445" t="s">
        <v>75</v>
      </c>
      <c r="W445">
        <v>7</v>
      </c>
      <c r="X445">
        <v>13685504</v>
      </c>
      <c r="Y445">
        <v>115522190</v>
      </c>
      <c r="Z445">
        <v>129207694</v>
      </c>
      <c r="AA445">
        <v>99996065</v>
      </c>
      <c r="AB445">
        <v>9.4412099999999999</v>
      </c>
      <c r="AC445">
        <v>0.86560000000000004</v>
      </c>
      <c r="AD445">
        <v>1.7739199999999999</v>
      </c>
      <c r="AE445">
        <v>4.0531600000000001</v>
      </c>
      <c r="AM445">
        <v>4410825110</v>
      </c>
      <c r="AN445">
        <v>0</v>
      </c>
      <c r="AO445">
        <v>44549351</v>
      </c>
      <c r="AP445">
        <v>4410825110</v>
      </c>
      <c r="AQ445">
        <v>4455374461</v>
      </c>
      <c r="AR445">
        <v>147027503</v>
      </c>
      <c r="AS445">
        <v>0</v>
      </c>
      <c r="AT445">
        <v>1484978</v>
      </c>
      <c r="AU445">
        <v>147027503</v>
      </c>
      <c r="AV445">
        <v>148512482</v>
      </c>
      <c r="AW445">
        <v>19.255099999999999</v>
      </c>
      <c r="AX445">
        <v>9.4695300000000007</v>
      </c>
      <c r="AY445">
        <v>2691.54</v>
      </c>
      <c r="AZ445">
        <v>1947.56</v>
      </c>
      <c r="BA445">
        <v>8915</v>
      </c>
      <c r="BB445">
        <v>1065</v>
      </c>
      <c r="BC445" t="str">
        <f t="shared" si="12"/>
        <v>u=1%, k=2x10^8</v>
      </c>
      <c r="BD445">
        <f t="shared" si="13"/>
        <v>0</v>
      </c>
    </row>
    <row r="446" spans="1:56">
      <c r="A446" t="s">
        <v>530</v>
      </c>
      <c r="B446" t="s">
        <v>64</v>
      </c>
      <c r="C446">
        <v>72</v>
      </c>
      <c r="D446" t="s">
        <v>65</v>
      </c>
      <c r="E446" t="s">
        <v>60</v>
      </c>
      <c r="F446" t="s">
        <v>61</v>
      </c>
      <c r="G446">
        <v>30000</v>
      </c>
      <c r="H446">
        <v>0.5</v>
      </c>
      <c r="I446">
        <v>0.5</v>
      </c>
      <c r="J446">
        <v>0</v>
      </c>
      <c r="K446">
        <v>1</v>
      </c>
      <c r="L446">
        <v>200000000</v>
      </c>
      <c r="M446">
        <v>190</v>
      </c>
      <c r="N446">
        <v>190</v>
      </c>
      <c r="O446">
        <v>190</v>
      </c>
      <c r="P446">
        <v>0</v>
      </c>
      <c r="Q446" t="s">
        <v>62</v>
      </c>
      <c r="R446">
        <v>1.00009925550785E+16</v>
      </c>
      <c r="S446">
        <v>100001770</v>
      </c>
      <c r="T446">
        <v>1.00009925550785E+16</v>
      </c>
      <c r="U446">
        <v>100001770</v>
      </c>
      <c r="V446" t="s">
        <v>75</v>
      </c>
      <c r="W446">
        <v>7</v>
      </c>
      <c r="X446">
        <v>12530386</v>
      </c>
      <c r="Y446">
        <v>113071227</v>
      </c>
      <c r="Z446">
        <v>125601613</v>
      </c>
      <c r="AA446">
        <v>100001770</v>
      </c>
      <c r="AB446">
        <v>10.0238</v>
      </c>
      <c r="AC446">
        <v>0.88441400000000003</v>
      </c>
      <c r="AD446">
        <v>1.7961800000000001</v>
      </c>
      <c r="AE446">
        <v>4.0309799999999996</v>
      </c>
      <c r="AM446">
        <v>5608804235</v>
      </c>
      <c r="AN446">
        <v>0</v>
      </c>
      <c r="AO446">
        <v>56655950</v>
      </c>
      <c r="AP446">
        <v>5608804235</v>
      </c>
      <c r="AQ446">
        <v>5665460185</v>
      </c>
      <c r="AR446">
        <v>186960141</v>
      </c>
      <c r="AS446">
        <v>0</v>
      </c>
      <c r="AT446">
        <v>1888531</v>
      </c>
      <c r="AU446">
        <v>186960141</v>
      </c>
      <c r="AV446">
        <v>188848672</v>
      </c>
      <c r="AW446">
        <v>19.498100000000001</v>
      </c>
      <c r="AX446">
        <v>9.5772499999999994</v>
      </c>
      <c r="AY446">
        <v>2744.31</v>
      </c>
      <c r="AZ446">
        <v>1990.16</v>
      </c>
      <c r="BA446">
        <v>13373</v>
      </c>
      <c r="BB446">
        <v>1206</v>
      </c>
      <c r="BC446" t="str">
        <f t="shared" si="12"/>
        <v>u=1%, k=2x10^8</v>
      </c>
      <c r="BD446">
        <f t="shared" si="13"/>
        <v>0</v>
      </c>
    </row>
    <row r="447" spans="1:56">
      <c r="A447" t="s">
        <v>531</v>
      </c>
      <c r="B447" t="s">
        <v>66</v>
      </c>
      <c r="C447">
        <v>208</v>
      </c>
      <c r="D447" t="s">
        <v>65</v>
      </c>
      <c r="E447" t="s">
        <v>60</v>
      </c>
      <c r="F447" t="s">
        <v>61</v>
      </c>
      <c r="G447">
        <v>30000</v>
      </c>
      <c r="H447">
        <v>0.5</v>
      </c>
      <c r="I447">
        <v>0.5</v>
      </c>
      <c r="J447">
        <v>0</v>
      </c>
      <c r="K447">
        <v>1</v>
      </c>
      <c r="L447">
        <v>200000000</v>
      </c>
      <c r="M447">
        <v>24</v>
      </c>
      <c r="N447">
        <v>24</v>
      </c>
      <c r="O447">
        <v>24</v>
      </c>
      <c r="P447">
        <v>0</v>
      </c>
      <c r="Q447" t="s">
        <v>62</v>
      </c>
      <c r="R447">
        <v>1.00000947066092E+16</v>
      </c>
      <c r="S447">
        <v>99999789</v>
      </c>
      <c r="T447">
        <v>1.00000947066092E+16</v>
      </c>
      <c r="U447">
        <v>99999789</v>
      </c>
      <c r="V447" t="s">
        <v>75</v>
      </c>
      <c r="W447">
        <v>10</v>
      </c>
      <c r="X447">
        <v>1880121</v>
      </c>
      <c r="Y447">
        <v>12932964</v>
      </c>
      <c r="Z447">
        <v>14813085</v>
      </c>
      <c r="AA447">
        <v>99999789</v>
      </c>
      <c r="AB447">
        <v>7.8787900000000004</v>
      </c>
      <c r="AC447">
        <v>7.7321600000000004</v>
      </c>
      <c r="AD447">
        <v>7.7507700000000002</v>
      </c>
      <c r="AE447">
        <v>9</v>
      </c>
      <c r="AM447">
        <v>595904540</v>
      </c>
      <c r="AN447">
        <v>0</v>
      </c>
      <c r="AO447">
        <v>6020037</v>
      </c>
      <c r="AP447">
        <v>595904540</v>
      </c>
      <c r="AQ447">
        <v>601924577</v>
      </c>
      <c r="AR447">
        <v>19863484</v>
      </c>
      <c r="AS447">
        <v>0</v>
      </c>
      <c r="AT447">
        <v>200667</v>
      </c>
      <c r="AU447">
        <v>19863484</v>
      </c>
      <c r="AV447">
        <v>20064152</v>
      </c>
      <c r="AW447">
        <v>23.7346</v>
      </c>
      <c r="AX447">
        <v>9.5153499999999998</v>
      </c>
      <c r="AY447">
        <v>3336.19</v>
      </c>
      <c r="AZ447">
        <v>2236.7199999999998</v>
      </c>
      <c r="BA447">
        <v>4341</v>
      </c>
      <c r="BB447">
        <v>9600</v>
      </c>
      <c r="BC447" t="str">
        <f t="shared" si="12"/>
        <v>u=1%, k=2x10^8</v>
      </c>
      <c r="BD447">
        <f t="shared" si="13"/>
        <v>0</v>
      </c>
    </row>
    <row r="448" spans="1:56">
      <c r="A448" t="s">
        <v>532</v>
      </c>
      <c r="B448" t="s">
        <v>66</v>
      </c>
      <c r="C448">
        <v>208</v>
      </c>
      <c r="D448" t="s">
        <v>65</v>
      </c>
      <c r="E448" t="s">
        <v>60</v>
      </c>
      <c r="F448" t="s">
        <v>61</v>
      </c>
      <c r="G448">
        <v>30000</v>
      </c>
      <c r="H448">
        <v>0.5</v>
      </c>
      <c r="I448">
        <v>0.5</v>
      </c>
      <c r="J448">
        <v>0</v>
      </c>
      <c r="K448">
        <v>1</v>
      </c>
      <c r="L448">
        <v>200000000</v>
      </c>
      <c r="M448">
        <v>48</v>
      </c>
      <c r="N448">
        <v>48</v>
      </c>
      <c r="O448">
        <v>48</v>
      </c>
      <c r="P448">
        <v>0</v>
      </c>
      <c r="Q448" t="s">
        <v>62</v>
      </c>
      <c r="R448">
        <v>1.00001065556888E+16</v>
      </c>
      <c r="S448">
        <v>100000937</v>
      </c>
      <c r="T448">
        <v>1.00001065556888E+16</v>
      </c>
      <c r="U448">
        <v>100000937</v>
      </c>
      <c r="V448" t="s">
        <v>75</v>
      </c>
      <c r="W448">
        <v>10</v>
      </c>
      <c r="X448">
        <v>1899111</v>
      </c>
      <c r="Y448">
        <v>13070004</v>
      </c>
      <c r="Z448">
        <v>14969115</v>
      </c>
      <c r="AA448">
        <v>100000937</v>
      </c>
      <c r="AB448">
        <v>7.8821700000000003</v>
      </c>
      <c r="AC448">
        <v>7.6511800000000001</v>
      </c>
      <c r="AD448">
        <v>7.6804800000000002</v>
      </c>
      <c r="AE448">
        <v>9</v>
      </c>
      <c r="AM448">
        <v>1122979513</v>
      </c>
      <c r="AN448">
        <v>0</v>
      </c>
      <c r="AO448">
        <v>11338887</v>
      </c>
      <c r="AP448">
        <v>1122979513</v>
      </c>
      <c r="AQ448">
        <v>1134318400</v>
      </c>
      <c r="AR448">
        <v>37432650</v>
      </c>
      <c r="AS448">
        <v>0</v>
      </c>
      <c r="AT448">
        <v>377962</v>
      </c>
      <c r="AU448">
        <v>37432650</v>
      </c>
      <c r="AV448">
        <v>37810613</v>
      </c>
      <c r="AW448">
        <v>23.7075</v>
      </c>
      <c r="AX448">
        <v>9.5657099999999993</v>
      </c>
      <c r="AY448">
        <v>3539.63</v>
      </c>
      <c r="AZ448">
        <v>2648.98</v>
      </c>
      <c r="BA448">
        <v>4461</v>
      </c>
      <c r="BB448">
        <v>6547</v>
      </c>
      <c r="BC448" t="str">
        <f t="shared" si="12"/>
        <v>u=1%, k=2x10^8</v>
      </c>
      <c r="BD448">
        <f t="shared" si="13"/>
        <v>0</v>
      </c>
    </row>
    <row r="449" spans="1:56">
      <c r="A449" t="s">
        <v>533</v>
      </c>
      <c r="B449" t="s">
        <v>66</v>
      </c>
      <c r="C449">
        <v>208</v>
      </c>
      <c r="D449" t="s">
        <v>65</v>
      </c>
      <c r="E449" t="s">
        <v>60</v>
      </c>
      <c r="F449" t="s">
        <v>61</v>
      </c>
      <c r="G449">
        <v>30000</v>
      </c>
      <c r="H449">
        <v>0.5</v>
      </c>
      <c r="I449">
        <v>0.5</v>
      </c>
      <c r="J449">
        <v>0</v>
      </c>
      <c r="K449">
        <v>1</v>
      </c>
      <c r="L449">
        <v>200000000</v>
      </c>
      <c r="M449">
        <v>96</v>
      </c>
      <c r="N449">
        <v>96</v>
      </c>
      <c r="O449">
        <v>96</v>
      </c>
      <c r="P449">
        <v>0</v>
      </c>
      <c r="Q449" t="s">
        <v>62</v>
      </c>
      <c r="R449">
        <v>9999492844480580</v>
      </c>
      <c r="S449">
        <v>99998473</v>
      </c>
      <c r="T449">
        <v>9999492844480580</v>
      </c>
      <c r="U449">
        <v>99998473</v>
      </c>
      <c r="V449" t="s">
        <v>75</v>
      </c>
      <c r="W449">
        <v>10</v>
      </c>
      <c r="X449">
        <v>1939054</v>
      </c>
      <c r="Y449">
        <v>13340389</v>
      </c>
      <c r="Z449">
        <v>15279443</v>
      </c>
      <c r="AA449">
        <v>99998473</v>
      </c>
      <c r="AB449">
        <v>7.8798399999999997</v>
      </c>
      <c r="AC449">
        <v>7.4959199999999999</v>
      </c>
      <c r="AD449">
        <v>7.5446400000000002</v>
      </c>
      <c r="AE449">
        <v>9</v>
      </c>
      <c r="AM449">
        <v>2364937702</v>
      </c>
      <c r="AN449">
        <v>0</v>
      </c>
      <c r="AO449">
        <v>23885339</v>
      </c>
      <c r="AP449">
        <v>2364937702</v>
      </c>
      <c r="AQ449">
        <v>2388823041</v>
      </c>
      <c r="AR449">
        <v>78831256</v>
      </c>
      <c r="AS449">
        <v>0</v>
      </c>
      <c r="AT449">
        <v>796177</v>
      </c>
      <c r="AU449">
        <v>78831256</v>
      </c>
      <c r="AV449">
        <v>79627434</v>
      </c>
      <c r="AW449">
        <v>23.687100000000001</v>
      </c>
      <c r="AX449">
        <v>10.3201</v>
      </c>
      <c r="AY449">
        <v>3356.28</v>
      </c>
      <c r="AZ449">
        <v>2410.25</v>
      </c>
      <c r="BA449">
        <v>4848</v>
      </c>
      <c r="BB449">
        <v>6481</v>
      </c>
      <c r="BC449" t="str">
        <f t="shared" si="12"/>
        <v>u=1%, k=2x10^8</v>
      </c>
      <c r="BD449">
        <f t="shared" si="13"/>
        <v>0</v>
      </c>
    </row>
    <row r="450" spans="1:56">
      <c r="A450" t="s">
        <v>534</v>
      </c>
      <c r="B450" t="s">
        <v>66</v>
      </c>
      <c r="C450">
        <v>208</v>
      </c>
      <c r="D450" t="s">
        <v>65</v>
      </c>
      <c r="E450" t="s">
        <v>60</v>
      </c>
      <c r="F450" t="s">
        <v>61</v>
      </c>
      <c r="G450">
        <v>30000</v>
      </c>
      <c r="H450">
        <v>0.5</v>
      </c>
      <c r="I450">
        <v>0.5</v>
      </c>
      <c r="J450">
        <v>0</v>
      </c>
      <c r="K450">
        <v>1</v>
      </c>
      <c r="L450">
        <v>200000000</v>
      </c>
      <c r="M450">
        <v>144</v>
      </c>
      <c r="N450">
        <v>144</v>
      </c>
      <c r="O450">
        <v>144</v>
      </c>
      <c r="P450">
        <v>0</v>
      </c>
      <c r="Q450" t="s">
        <v>62</v>
      </c>
      <c r="R450">
        <v>1.00010458671662E+16</v>
      </c>
      <c r="S450">
        <v>100008742</v>
      </c>
      <c r="T450">
        <v>1.00010458671662E+16</v>
      </c>
      <c r="U450">
        <v>100008742</v>
      </c>
      <c r="V450" t="s">
        <v>75</v>
      </c>
      <c r="W450">
        <v>10</v>
      </c>
      <c r="X450">
        <v>1969511</v>
      </c>
      <c r="Y450">
        <v>13553220</v>
      </c>
      <c r="Z450">
        <v>15522731</v>
      </c>
      <c r="AA450">
        <v>100008742</v>
      </c>
      <c r="AB450">
        <v>7.8815200000000001</v>
      </c>
      <c r="AC450">
        <v>7.3789699999999998</v>
      </c>
      <c r="AD450">
        <v>7.4427300000000001</v>
      </c>
      <c r="AE450">
        <v>9</v>
      </c>
      <c r="AM450">
        <v>3544317915</v>
      </c>
      <c r="AN450">
        <v>0</v>
      </c>
      <c r="AO450">
        <v>35804394</v>
      </c>
      <c r="AP450">
        <v>3544317915</v>
      </c>
      <c r="AQ450">
        <v>3580122309</v>
      </c>
      <c r="AR450">
        <v>118143930</v>
      </c>
      <c r="AS450">
        <v>0</v>
      </c>
      <c r="AT450">
        <v>1193479</v>
      </c>
      <c r="AU450">
        <v>118143930</v>
      </c>
      <c r="AV450">
        <v>119337410</v>
      </c>
      <c r="AW450">
        <v>23.733499999999999</v>
      </c>
      <c r="AX450">
        <v>10.5319</v>
      </c>
      <c r="AY450">
        <v>3351.17</v>
      </c>
      <c r="AZ450">
        <v>2394.85</v>
      </c>
      <c r="BA450">
        <v>4920</v>
      </c>
      <c r="BB450">
        <v>5994</v>
      </c>
      <c r="BC450" t="str">
        <f t="shared" si="12"/>
        <v>u=1%, k=2x10^8</v>
      </c>
      <c r="BD450">
        <f t="shared" si="13"/>
        <v>0</v>
      </c>
    </row>
    <row r="451" spans="1:56">
      <c r="A451" t="s">
        <v>535</v>
      </c>
      <c r="B451" t="s">
        <v>66</v>
      </c>
      <c r="C451">
        <v>208</v>
      </c>
      <c r="D451" t="s">
        <v>65</v>
      </c>
      <c r="E451" t="s">
        <v>60</v>
      </c>
      <c r="F451" t="s">
        <v>61</v>
      </c>
      <c r="G451">
        <v>30000</v>
      </c>
      <c r="H451">
        <v>0.5</v>
      </c>
      <c r="I451">
        <v>0.5</v>
      </c>
      <c r="J451">
        <v>0</v>
      </c>
      <c r="K451">
        <v>1</v>
      </c>
      <c r="L451">
        <v>200000000</v>
      </c>
      <c r="M451">
        <v>190</v>
      </c>
      <c r="N451">
        <v>190</v>
      </c>
      <c r="O451">
        <v>190</v>
      </c>
      <c r="P451">
        <v>0</v>
      </c>
      <c r="Q451" t="s">
        <v>62</v>
      </c>
      <c r="R451">
        <v>1.00008495154561E+16</v>
      </c>
      <c r="S451">
        <v>100003394</v>
      </c>
      <c r="T451">
        <v>1.00008495154561E+16</v>
      </c>
      <c r="U451">
        <v>100003394</v>
      </c>
      <c r="V451" t="s">
        <v>75</v>
      </c>
      <c r="W451">
        <v>10</v>
      </c>
      <c r="X451">
        <v>1994811</v>
      </c>
      <c r="Y451">
        <v>13723856</v>
      </c>
      <c r="Z451">
        <v>15718667</v>
      </c>
      <c r="AA451">
        <v>100003394</v>
      </c>
      <c r="AB451">
        <v>7.8797800000000002</v>
      </c>
      <c r="AC451">
        <v>7.2868300000000001</v>
      </c>
      <c r="AD451">
        <v>7.3620799999999997</v>
      </c>
      <c r="AE451">
        <v>9</v>
      </c>
      <c r="AM451">
        <v>4628567940</v>
      </c>
      <c r="AN451">
        <v>0</v>
      </c>
      <c r="AO451">
        <v>46751315</v>
      </c>
      <c r="AP451">
        <v>4628567940</v>
      </c>
      <c r="AQ451">
        <v>4675319255</v>
      </c>
      <c r="AR451">
        <v>154285598</v>
      </c>
      <c r="AS451">
        <v>0</v>
      </c>
      <c r="AT451">
        <v>1558377</v>
      </c>
      <c r="AU451">
        <v>154285598</v>
      </c>
      <c r="AV451">
        <v>155843975</v>
      </c>
      <c r="AW451">
        <v>23.937100000000001</v>
      </c>
      <c r="AX451">
        <v>10.8369</v>
      </c>
      <c r="AY451">
        <v>3386.43</v>
      </c>
      <c r="AZ451">
        <v>2417.5</v>
      </c>
      <c r="BA451">
        <v>5357</v>
      </c>
      <c r="BB451">
        <v>6093</v>
      </c>
      <c r="BC451" t="str">
        <f t="shared" ref="BC451:BC514" si="14">"u="&amp;(H451+I451)&amp;"%, k=2x10^"&amp;LOG10(L451/2)</f>
        <v>u=1%, k=2x10^8</v>
      </c>
      <c r="BD451">
        <f t="shared" ref="BD451:BD514" si="15">IF(AH451="",0,LEFT(AH451,IF(ISNUMBER(FIND(" ",AH451)),FIND(" ",AH451)-1,LEN(AH451))))</f>
        <v>0</v>
      </c>
    </row>
    <row r="452" spans="1:56">
      <c r="A452" t="s">
        <v>536</v>
      </c>
      <c r="B452" t="s">
        <v>67</v>
      </c>
      <c r="D452" t="s">
        <v>65</v>
      </c>
      <c r="E452" t="s">
        <v>60</v>
      </c>
      <c r="F452" t="s">
        <v>61</v>
      </c>
      <c r="G452">
        <v>30000</v>
      </c>
      <c r="H452">
        <v>0.5</v>
      </c>
      <c r="I452">
        <v>0.5</v>
      </c>
      <c r="J452">
        <v>0</v>
      </c>
      <c r="K452">
        <v>1</v>
      </c>
      <c r="L452">
        <v>200000000</v>
      </c>
      <c r="M452">
        <v>24</v>
      </c>
      <c r="N452">
        <v>24</v>
      </c>
      <c r="O452">
        <v>24</v>
      </c>
      <c r="P452">
        <v>0</v>
      </c>
      <c r="Q452" t="s">
        <v>62</v>
      </c>
      <c r="R452">
        <v>1.00002341113874E+16</v>
      </c>
      <c r="S452">
        <v>99998107</v>
      </c>
      <c r="T452">
        <v>1.00002341113874E+16</v>
      </c>
      <c r="U452">
        <v>99998107</v>
      </c>
      <c r="V452" t="s">
        <v>75</v>
      </c>
      <c r="W452">
        <v>33</v>
      </c>
      <c r="X452">
        <v>57288790</v>
      </c>
      <c r="Y452">
        <v>42983045</v>
      </c>
      <c r="Z452">
        <v>100271835</v>
      </c>
      <c r="AA452">
        <v>99998107</v>
      </c>
      <c r="AB452">
        <v>1.7502899999999999</v>
      </c>
      <c r="AC452">
        <v>2.3264499999999999</v>
      </c>
      <c r="AD452">
        <v>1.9972700000000001</v>
      </c>
      <c r="AE452">
        <v>26.084700000000002</v>
      </c>
      <c r="AM452">
        <v>253753371</v>
      </c>
      <c r="AN452">
        <v>0</v>
      </c>
      <c r="AO452">
        <v>2563161</v>
      </c>
      <c r="AP452">
        <v>253753371</v>
      </c>
      <c r="AQ452">
        <v>256316532</v>
      </c>
      <c r="AR452">
        <v>8458445</v>
      </c>
      <c r="AS452">
        <v>0</v>
      </c>
      <c r="AT452">
        <v>85438</v>
      </c>
      <c r="AU452">
        <v>8458445</v>
      </c>
      <c r="AV452">
        <v>8543884</v>
      </c>
      <c r="AW452">
        <v>39.7012</v>
      </c>
      <c r="AX452">
        <v>17.640999999999998</v>
      </c>
      <c r="AY452">
        <v>7835.66</v>
      </c>
      <c r="AZ452">
        <v>6500.79</v>
      </c>
      <c r="BA452">
        <v>7544</v>
      </c>
      <c r="BB452">
        <v>17237</v>
      </c>
      <c r="BC452" t="str">
        <f t="shared" si="14"/>
        <v>u=1%, k=2x10^8</v>
      </c>
      <c r="BD452">
        <f t="shared" si="15"/>
        <v>0</v>
      </c>
    </row>
    <row r="453" spans="1:56">
      <c r="A453" t="s">
        <v>537</v>
      </c>
      <c r="B453" t="s">
        <v>67</v>
      </c>
      <c r="D453" t="s">
        <v>65</v>
      </c>
      <c r="E453" t="s">
        <v>60</v>
      </c>
      <c r="F453" t="s">
        <v>61</v>
      </c>
      <c r="G453">
        <v>30000</v>
      </c>
      <c r="H453">
        <v>0.5</v>
      </c>
      <c r="I453">
        <v>0.5</v>
      </c>
      <c r="J453">
        <v>0</v>
      </c>
      <c r="K453">
        <v>1</v>
      </c>
      <c r="L453">
        <v>200000000</v>
      </c>
      <c r="M453">
        <v>48</v>
      </c>
      <c r="N453">
        <v>48</v>
      </c>
      <c r="O453">
        <v>48</v>
      </c>
      <c r="P453">
        <v>0</v>
      </c>
      <c r="Q453" t="s">
        <v>62</v>
      </c>
      <c r="R453">
        <v>1.00001449506517E+16</v>
      </c>
      <c r="S453">
        <v>100002190</v>
      </c>
      <c r="T453">
        <v>1.00001449506517E+16</v>
      </c>
      <c r="U453">
        <v>100002190</v>
      </c>
      <c r="V453" t="s">
        <v>75</v>
      </c>
      <c r="W453">
        <v>33</v>
      </c>
      <c r="X453">
        <v>57427687</v>
      </c>
      <c r="Y453">
        <v>43092456</v>
      </c>
      <c r="Z453">
        <v>100520143</v>
      </c>
      <c r="AA453">
        <v>100002190</v>
      </c>
      <c r="AB453">
        <v>1.75038</v>
      </c>
      <c r="AC453">
        <v>2.32064</v>
      </c>
      <c r="AD453">
        <v>1.99485</v>
      </c>
      <c r="AE453">
        <v>26.112500000000001</v>
      </c>
      <c r="AM453">
        <v>486039881</v>
      </c>
      <c r="AN453">
        <v>0</v>
      </c>
      <c r="AO453">
        <v>4906008</v>
      </c>
      <c r="AP453">
        <v>486039881</v>
      </c>
      <c r="AQ453">
        <v>490945889</v>
      </c>
      <c r="AR453">
        <v>16201329</v>
      </c>
      <c r="AS453">
        <v>0</v>
      </c>
      <c r="AT453">
        <v>163533</v>
      </c>
      <c r="AU453">
        <v>16201329</v>
      </c>
      <c r="AV453">
        <v>16364862</v>
      </c>
      <c r="AW453">
        <v>40.500300000000003</v>
      </c>
      <c r="AX453">
        <v>17.722899999999999</v>
      </c>
      <c r="AY453">
        <v>8180.91</v>
      </c>
      <c r="AZ453">
        <v>6867.16</v>
      </c>
      <c r="BA453">
        <v>7568</v>
      </c>
      <c r="BB453">
        <v>9224</v>
      </c>
      <c r="BC453" t="str">
        <f t="shared" si="14"/>
        <v>u=1%, k=2x10^8</v>
      </c>
      <c r="BD453">
        <f t="shared" si="15"/>
        <v>0</v>
      </c>
    </row>
    <row r="454" spans="1:56">
      <c r="A454" t="s">
        <v>538</v>
      </c>
      <c r="B454" t="s">
        <v>67</v>
      </c>
      <c r="D454" t="s">
        <v>65</v>
      </c>
      <c r="E454" t="s">
        <v>60</v>
      </c>
      <c r="F454" t="s">
        <v>61</v>
      </c>
      <c r="G454">
        <v>30000</v>
      </c>
      <c r="H454">
        <v>0.5</v>
      </c>
      <c r="I454">
        <v>0.5</v>
      </c>
      <c r="J454">
        <v>0</v>
      </c>
      <c r="K454">
        <v>1</v>
      </c>
      <c r="L454">
        <v>200000000</v>
      </c>
      <c r="M454">
        <v>96</v>
      </c>
      <c r="N454">
        <v>96</v>
      </c>
      <c r="O454">
        <v>96</v>
      </c>
      <c r="P454">
        <v>0</v>
      </c>
      <c r="Q454" t="s">
        <v>62</v>
      </c>
      <c r="R454">
        <v>9999906928299510</v>
      </c>
      <c r="S454">
        <v>100001355</v>
      </c>
      <c r="T454">
        <v>9999906928299510</v>
      </c>
      <c r="U454">
        <v>100001355</v>
      </c>
      <c r="V454" t="s">
        <v>75</v>
      </c>
      <c r="W454">
        <v>33</v>
      </c>
      <c r="X454">
        <v>57741363</v>
      </c>
      <c r="Y454">
        <v>43352028</v>
      </c>
      <c r="Z454">
        <v>101093391</v>
      </c>
      <c r="AA454">
        <v>100001355</v>
      </c>
      <c r="AB454">
        <v>1.7507999999999999</v>
      </c>
      <c r="AC454">
        <v>2.3067299999999999</v>
      </c>
      <c r="AD454">
        <v>1.9892000000000001</v>
      </c>
      <c r="AE454">
        <v>26.085799999999999</v>
      </c>
      <c r="AM454">
        <v>1040298273</v>
      </c>
      <c r="AN454">
        <v>0</v>
      </c>
      <c r="AO454">
        <v>10507048</v>
      </c>
      <c r="AP454">
        <v>1040298273</v>
      </c>
      <c r="AQ454">
        <v>1050805321</v>
      </c>
      <c r="AR454">
        <v>34676609</v>
      </c>
      <c r="AS454">
        <v>0</v>
      </c>
      <c r="AT454">
        <v>350234</v>
      </c>
      <c r="AU454">
        <v>34676609</v>
      </c>
      <c r="AV454">
        <v>35026844</v>
      </c>
      <c r="AW454">
        <v>41.051000000000002</v>
      </c>
      <c r="AX454">
        <v>19.5669</v>
      </c>
      <c r="AY454">
        <v>7632.84</v>
      </c>
      <c r="AZ454">
        <v>6232.22</v>
      </c>
      <c r="BA454">
        <v>7618</v>
      </c>
      <c r="BB454">
        <v>4735</v>
      </c>
      <c r="BC454" t="str">
        <f t="shared" si="14"/>
        <v>u=1%, k=2x10^8</v>
      </c>
      <c r="BD454">
        <f t="shared" si="15"/>
        <v>0</v>
      </c>
    </row>
    <row r="455" spans="1:56">
      <c r="A455" t="s">
        <v>539</v>
      </c>
      <c r="B455" t="s">
        <v>67</v>
      </c>
      <c r="D455" t="s">
        <v>65</v>
      </c>
      <c r="E455" t="s">
        <v>60</v>
      </c>
      <c r="F455" t="s">
        <v>61</v>
      </c>
      <c r="G455">
        <v>30000</v>
      </c>
      <c r="H455">
        <v>0.5</v>
      </c>
      <c r="I455">
        <v>0.5</v>
      </c>
      <c r="J455">
        <v>0</v>
      </c>
      <c r="K455">
        <v>1</v>
      </c>
      <c r="L455">
        <v>200000000</v>
      </c>
      <c r="M455">
        <v>144</v>
      </c>
      <c r="N455">
        <v>144</v>
      </c>
      <c r="O455">
        <v>144</v>
      </c>
      <c r="P455">
        <v>0</v>
      </c>
      <c r="Q455" t="s">
        <v>62</v>
      </c>
      <c r="R455">
        <v>1.00001592266193E+16</v>
      </c>
      <c r="S455">
        <v>99999460</v>
      </c>
      <c r="T455">
        <v>1.00001592266193E+16</v>
      </c>
      <c r="U455">
        <v>99999460</v>
      </c>
      <c r="V455" t="s">
        <v>75</v>
      </c>
      <c r="W455">
        <v>33</v>
      </c>
      <c r="X455">
        <v>58032648</v>
      </c>
      <c r="Y455">
        <v>43596499</v>
      </c>
      <c r="Z455">
        <v>101629147</v>
      </c>
      <c r="AA455">
        <v>99999460</v>
      </c>
      <c r="AB455">
        <v>1.7512399999999999</v>
      </c>
      <c r="AC455">
        <v>2.2937500000000002</v>
      </c>
      <c r="AD455">
        <v>1.9839599999999999</v>
      </c>
      <c r="AE455">
        <v>26.161899999999999</v>
      </c>
      <c r="AM455">
        <v>1574196259</v>
      </c>
      <c r="AN455">
        <v>0</v>
      </c>
      <c r="AO455">
        <v>15905095</v>
      </c>
      <c r="AP455">
        <v>1574196259</v>
      </c>
      <c r="AQ455">
        <v>1590101354</v>
      </c>
      <c r="AR455">
        <v>52473208</v>
      </c>
      <c r="AS455">
        <v>0</v>
      </c>
      <c r="AT455">
        <v>530169</v>
      </c>
      <c r="AU455">
        <v>52473208</v>
      </c>
      <c r="AV455">
        <v>53003378</v>
      </c>
      <c r="AW455">
        <v>41.246899999999997</v>
      </c>
      <c r="AX455">
        <v>19.915400000000002</v>
      </c>
      <c r="AY455">
        <v>7564.41</v>
      </c>
      <c r="AZ455">
        <v>6141.17</v>
      </c>
      <c r="BA455">
        <v>7667</v>
      </c>
      <c r="BB455">
        <v>3120</v>
      </c>
      <c r="BC455" t="str">
        <f t="shared" si="14"/>
        <v>u=1%, k=2x10^8</v>
      </c>
      <c r="BD455">
        <f t="shared" si="15"/>
        <v>0</v>
      </c>
    </row>
    <row r="456" spans="1:56">
      <c r="A456" t="s">
        <v>540</v>
      </c>
      <c r="B456" t="s">
        <v>67</v>
      </c>
      <c r="D456" t="s">
        <v>65</v>
      </c>
      <c r="E456" t="s">
        <v>60</v>
      </c>
      <c r="F456" t="s">
        <v>61</v>
      </c>
      <c r="G456">
        <v>30000</v>
      </c>
      <c r="H456">
        <v>0.5</v>
      </c>
      <c r="I456">
        <v>0.5</v>
      </c>
      <c r="J456">
        <v>0</v>
      </c>
      <c r="K456">
        <v>1</v>
      </c>
      <c r="L456">
        <v>200000000</v>
      </c>
      <c r="M456">
        <v>190</v>
      </c>
      <c r="N456">
        <v>190</v>
      </c>
      <c r="O456">
        <v>190</v>
      </c>
      <c r="P456">
        <v>0</v>
      </c>
      <c r="Q456" t="s">
        <v>62</v>
      </c>
      <c r="R456">
        <v>1.00000359220288E+16</v>
      </c>
      <c r="S456">
        <v>100000952</v>
      </c>
      <c r="T456">
        <v>1.00000359220288E+16</v>
      </c>
      <c r="U456">
        <v>100000952</v>
      </c>
      <c r="V456" t="s">
        <v>75</v>
      </c>
      <c r="W456">
        <v>33</v>
      </c>
      <c r="X456">
        <v>58314517</v>
      </c>
      <c r="Y456">
        <v>43822454</v>
      </c>
      <c r="Z456">
        <v>102136971</v>
      </c>
      <c r="AA456">
        <v>100000952</v>
      </c>
      <c r="AB456">
        <v>1.7514799999999999</v>
      </c>
      <c r="AC456">
        <v>2.2819600000000002</v>
      </c>
      <c r="AD456">
        <v>1.97909</v>
      </c>
      <c r="AE456">
        <v>26.117599999999999</v>
      </c>
      <c r="AM456">
        <v>2095190023</v>
      </c>
      <c r="AN456">
        <v>0</v>
      </c>
      <c r="AO456">
        <v>21164806</v>
      </c>
      <c r="AP456">
        <v>2095190023</v>
      </c>
      <c r="AQ456">
        <v>2116354829</v>
      </c>
      <c r="AR456">
        <v>69839667</v>
      </c>
      <c r="AS456">
        <v>0</v>
      </c>
      <c r="AT456">
        <v>705493</v>
      </c>
      <c r="AU456">
        <v>69839667</v>
      </c>
      <c r="AV456">
        <v>70545160</v>
      </c>
      <c r="AW456">
        <v>41.338500000000003</v>
      </c>
      <c r="AX456">
        <v>20.128699999999998</v>
      </c>
      <c r="AY456">
        <v>7497.52</v>
      </c>
      <c r="AZ456">
        <v>6079.25</v>
      </c>
      <c r="BA456">
        <v>7714</v>
      </c>
      <c r="BB456">
        <v>2769</v>
      </c>
      <c r="BC456" t="str">
        <f t="shared" si="14"/>
        <v>u=1%, k=2x10^8</v>
      </c>
      <c r="BD456">
        <f t="shared" si="15"/>
        <v>0</v>
      </c>
    </row>
    <row r="457" spans="1:56">
      <c r="A457" t="s">
        <v>541</v>
      </c>
      <c r="B457" t="s">
        <v>68</v>
      </c>
      <c r="D457" t="s">
        <v>65</v>
      </c>
      <c r="E457" t="s">
        <v>60</v>
      </c>
      <c r="F457" t="s">
        <v>61</v>
      </c>
      <c r="G457">
        <v>30000</v>
      </c>
      <c r="H457">
        <v>0.5</v>
      </c>
      <c r="I457">
        <v>0.5</v>
      </c>
      <c r="J457">
        <v>0</v>
      </c>
      <c r="K457">
        <v>1</v>
      </c>
      <c r="L457">
        <v>200000000</v>
      </c>
      <c r="M457">
        <v>24</v>
      </c>
      <c r="N457">
        <v>24</v>
      </c>
      <c r="O457">
        <v>24</v>
      </c>
      <c r="P457">
        <v>0</v>
      </c>
      <c r="Q457" t="s">
        <v>62</v>
      </c>
      <c r="R457">
        <v>1.0000129476191E+16</v>
      </c>
      <c r="S457">
        <v>99999131</v>
      </c>
      <c r="T457">
        <v>1.0000129476191E+16</v>
      </c>
      <c r="U457">
        <v>99999131</v>
      </c>
      <c r="V457" t="s">
        <v>75</v>
      </c>
      <c r="W457">
        <v>73</v>
      </c>
      <c r="X457">
        <v>99999130</v>
      </c>
      <c r="Y457">
        <v>99999131</v>
      </c>
      <c r="Z457">
        <v>199998261</v>
      </c>
      <c r="AA457">
        <v>99999131</v>
      </c>
      <c r="AB457">
        <v>2</v>
      </c>
      <c r="AC457">
        <v>1</v>
      </c>
      <c r="AD457">
        <v>1.5</v>
      </c>
      <c r="AE457">
        <v>36.234400000000001</v>
      </c>
      <c r="AM457">
        <v>203115159</v>
      </c>
      <c r="AN457">
        <v>0</v>
      </c>
      <c r="AO457">
        <v>2050487</v>
      </c>
      <c r="AP457">
        <v>203115159</v>
      </c>
      <c r="AQ457">
        <v>205165646</v>
      </c>
      <c r="AR457">
        <v>6770505</v>
      </c>
      <c r="AS457">
        <v>0</v>
      </c>
      <c r="AT457">
        <v>68349</v>
      </c>
      <c r="AU457">
        <v>6770505</v>
      </c>
      <c r="AV457">
        <v>6838854</v>
      </c>
      <c r="AW457">
        <v>37.755600000000001</v>
      </c>
      <c r="AX457">
        <v>16.953499999999998</v>
      </c>
      <c r="AY457">
        <v>9790.74</v>
      </c>
      <c r="AZ457">
        <v>8023.16</v>
      </c>
      <c r="BA457">
        <v>7527</v>
      </c>
      <c r="BB457">
        <v>18976</v>
      </c>
      <c r="BC457" t="str">
        <f t="shared" si="14"/>
        <v>u=1%, k=2x10^8</v>
      </c>
      <c r="BD457">
        <f t="shared" si="15"/>
        <v>0</v>
      </c>
    </row>
    <row r="458" spans="1:56">
      <c r="A458" t="s">
        <v>542</v>
      </c>
      <c r="B458" t="s">
        <v>68</v>
      </c>
      <c r="D458" t="s">
        <v>65</v>
      </c>
      <c r="E458" t="s">
        <v>60</v>
      </c>
      <c r="F458" t="s">
        <v>61</v>
      </c>
      <c r="G458">
        <v>30000</v>
      </c>
      <c r="H458">
        <v>0.5</v>
      </c>
      <c r="I458">
        <v>0.5</v>
      </c>
      <c r="J458">
        <v>0</v>
      </c>
      <c r="K458">
        <v>1</v>
      </c>
      <c r="L458">
        <v>200000000</v>
      </c>
      <c r="M458">
        <v>48</v>
      </c>
      <c r="N458">
        <v>48</v>
      </c>
      <c r="O458">
        <v>48</v>
      </c>
      <c r="P458">
        <v>0</v>
      </c>
      <c r="Q458" t="s">
        <v>62</v>
      </c>
      <c r="R458">
        <v>1.00008256052652E+16</v>
      </c>
      <c r="S458">
        <v>100000283</v>
      </c>
      <c r="T458">
        <v>1.00008256052652E+16</v>
      </c>
      <c r="U458">
        <v>100000283</v>
      </c>
      <c r="V458" t="s">
        <v>75</v>
      </c>
      <c r="W458">
        <v>69</v>
      </c>
      <c r="X458">
        <v>100000282</v>
      </c>
      <c r="Y458">
        <v>100000283</v>
      </c>
      <c r="Z458">
        <v>200000565</v>
      </c>
      <c r="AA458">
        <v>100000283</v>
      </c>
      <c r="AB458">
        <v>2</v>
      </c>
      <c r="AC458">
        <v>1</v>
      </c>
      <c r="AD458">
        <v>1.5</v>
      </c>
      <c r="AE458">
        <v>35.977200000000003</v>
      </c>
      <c r="AM458">
        <v>395294401</v>
      </c>
      <c r="AN458">
        <v>0</v>
      </c>
      <c r="AO458">
        <v>3994549</v>
      </c>
      <c r="AP458">
        <v>395294401</v>
      </c>
      <c r="AQ458">
        <v>399288950</v>
      </c>
      <c r="AR458">
        <v>13176480</v>
      </c>
      <c r="AS458">
        <v>0</v>
      </c>
      <c r="AT458">
        <v>133151</v>
      </c>
      <c r="AU458">
        <v>13176480</v>
      </c>
      <c r="AV458">
        <v>13309631</v>
      </c>
      <c r="AW458">
        <v>37.630299999999998</v>
      </c>
      <c r="AX458">
        <v>16.916899999999998</v>
      </c>
      <c r="AY458">
        <v>10059.4</v>
      </c>
      <c r="AZ458">
        <v>8970.83</v>
      </c>
      <c r="BA458">
        <v>7534</v>
      </c>
      <c r="BB458">
        <v>9957</v>
      </c>
      <c r="BC458" t="str">
        <f t="shared" si="14"/>
        <v>u=1%, k=2x10^8</v>
      </c>
      <c r="BD458">
        <f t="shared" si="15"/>
        <v>0</v>
      </c>
    </row>
    <row r="459" spans="1:56">
      <c r="A459" t="s">
        <v>543</v>
      </c>
      <c r="B459" t="s">
        <v>68</v>
      </c>
      <c r="D459" t="s">
        <v>65</v>
      </c>
      <c r="E459" t="s">
        <v>60</v>
      </c>
      <c r="F459" t="s">
        <v>61</v>
      </c>
      <c r="G459">
        <v>30000</v>
      </c>
      <c r="H459">
        <v>0.5</v>
      </c>
      <c r="I459">
        <v>0.5</v>
      </c>
      <c r="J459">
        <v>0</v>
      </c>
      <c r="K459">
        <v>1</v>
      </c>
      <c r="L459">
        <v>200000000</v>
      </c>
      <c r="M459">
        <v>96</v>
      </c>
      <c r="N459">
        <v>96</v>
      </c>
      <c r="O459">
        <v>96</v>
      </c>
      <c r="P459">
        <v>0</v>
      </c>
      <c r="Q459" t="s">
        <v>62</v>
      </c>
      <c r="R459">
        <v>9999994988521940</v>
      </c>
      <c r="S459">
        <v>99996741</v>
      </c>
      <c r="T459">
        <v>9999994988521940</v>
      </c>
      <c r="U459">
        <v>99996741</v>
      </c>
      <c r="V459" t="s">
        <v>75</v>
      </c>
      <c r="W459">
        <v>72</v>
      </c>
      <c r="X459">
        <v>99996740</v>
      </c>
      <c r="Y459">
        <v>99996741</v>
      </c>
      <c r="Z459">
        <v>199993481</v>
      </c>
      <c r="AA459">
        <v>99996741</v>
      </c>
      <c r="AB459">
        <v>2</v>
      </c>
      <c r="AC459">
        <v>1</v>
      </c>
      <c r="AD459">
        <v>1.5</v>
      </c>
      <c r="AE459">
        <v>36.129800000000003</v>
      </c>
      <c r="AM459">
        <v>865574998</v>
      </c>
      <c r="AN459">
        <v>0</v>
      </c>
      <c r="AO459">
        <v>8745826</v>
      </c>
      <c r="AP459">
        <v>865574998</v>
      </c>
      <c r="AQ459">
        <v>874320824</v>
      </c>
      <c r="AR459">
        <v>28852499</v>
      </c>
      <c r="AS459">
        <v>0</v>
      </c>
      <c r="AT459">
        <v>291527</v>
      </c>
      <c r="AU459">
        <v>28852499</v>
      </c>
      <c r="AV459">
        <v>29144027</v>
      </c>
      <c r="AW459">
        <v>38.074300000000001</v>
      </c>
      <c r="AX459">
        <v>18.821400000000001</v>
      </c>
      <c r="AY459">
        <v>9177.91</v>
      </c>
      <c r="AZ459">
        <v>8036.37</v>
      </c>
      <c r="BA459">
        <v>7549</v>
      </c>
      <c r="BB459">
        <v>4745</v>
      </c>
      <c r="BC459" t="str">
        <f t="shared" si="14"/>
        <v>u=1%, k=2x10^8</v>
      </c>
      <c r="BD459">
        <f t="shared" si="15"/>
        <v>0</v>
      </c>
    </row>
    <row r="460" spans="1:56">
      <c r="A460" t="s">
        <v>544</v>
      </c>
      <c r="B460" t="s">
        <v>68</v>
      </c>
      <c r="D460" t="s">
        <v>65</v>
      </c>
      <c r="E460" t="s">
        <v>60</v>
      </c>
      <c r="F460" t="s">
        <v>61</v>
      </c>
      <c r="G460">
        <v>30000</v>
      </c>
      <c r="H460">
        <v>0.5</v>
      </c>
      <c r="I460">
        <v>0.5</v>
      </c>
      <c r="J460">
        <v>0</v>
      </c>
      <c r="K460">
        <v>1</v>
      </c>
      <c r="L460">
        <v>200000000</v>
      </c>
      <c r="M460">
        <v>144</v>
      </c>
      <c r="N460">
        <v>144</v>
      </c>
      <c r="O460">
        <v>144</v>
      </c>
      <c r="P460">
        <v>0</v>
      </c>
      <c r="Q460" t="s">
        <v>62</v>
      </c>
      <c r="R460">
        <v>9999957738666400</v>
      </c>
      <c r="S460">
        <v>100000162</v>
      </c>
      <c r="T460">
        <v>9999957738666400</v>
      </c>
      <c r="U460">
        <v>100000162</v>
      </c>
      <c r="V460" t="s">
        <v>75</v>
      </c>
      <c r="W460">
        <v>70</v>
      </c>
      <c r="X460">
        <v>100000161</v>
      </c>
      <c r="Y460">
        <v>100000162</v>
      </c>
      <c r="Z460">
        <v>200000323</v>
      </c>
      <c r="AA460">
        <v>100000162</v>
      </c>
      <c r="AB460">
        <v>2</v>
      </c>
      <c r="AC460">
        <v>1</v>
      </c>
      <c r="AD460">
        <v>1.5</v>
      </c>
      <c r="AE460">
        <v>36.390500000000003</v>
      </c>
      <c r="AM460">
        <v>1318030546</v>
      </c>
      <c r="AN460">
        <v>0</v>
      </c>
      <c r="AO460">
        <v>13311737</v>
      </c>
      <c r="AP460">
        <v>1318030546</v>
      </c>
      <c r="AQ460">
        <v>1331342283</v>
      </c>
      <c r="AR460">
        <v>43934351</v>
      </c>
      <c r="AS460">
        <v>0</v>
      </c>
      <c r="AT460">
        <v>443724</v>
      </c>
      <c r="AU460">
        <v>43934351</v>
      </c>
      <c r="AV460">
        <v>44378076</v>
      </c>
      <c r="AW460">
        <v>38.274700000000003</v>
      </c>
      <c r="AX460">
        <v>19.138100000000001</v>
      </c>
      <c r="AY460">
        <v>9037.9699999999993</v>
      </c>
      <c r="AZ460">
        <v>7883.97</v>
      </c>
      <c r="BA460">
        <v>7564</v>
      </c>
      <c r="BB460">
        <v>3104</v>
      </c>
      <c r="BC460" t="str">
        <f t="shared" si="14"/>
        <v>u=1%, k=2x10^8</v>
      </c>
      <c r="BD460">
        <f t="shared" si="15"/>
        <v>0</v>
      </c>
    </row>
    <row r="461" spans="1:56">
      <c r="A461" t="s">
        <v>545</v>
      </c>
      <c r="B461" t="s">
        <v>68</v>
      </c>
      <c r="D461" t="s">
        <v>65</v>
      </c>
      <c r="E461" t="s">
        <v>60</v>
      </c>
      <c r="F461" t="s">
        <v>61</v>
      </c>
      <c r="G461">
        <v>30000</v>
      </c>
      <c r="H461">
        <v>0.5</v>
      </c>
      <c r="I461">
        <v>0.5</v>
      </c>
      <c r="J461">
        <v>0</v>
      </c>
      <c r="K461">
        <v>1</v>
      </c>
      <c r="L461">
        <v>200000000</v>
      </c>
      <c r="M461">
        <v>190</v>
      </c>
      <c r="N461">
        <v>190</v>
      </c>
      <c r="O461">
        <v>190</v>
      </c>
      <c r="P461">
        <v>0</v>
      </c>
      <c r="Q461" t="s">
        <v>62</v>
      </c>
      <c r="R461">
        <v>9999422992226180</v>
      </c>
      <c r="S461">
        <v>99997351</v>
      </c>
      <c r="T461">
        <v>9999422992226180</v>
      </c>
      <c r="U461">
        <v>99997351</v>
      </c>
      <c r="V461" t="s">
        <v>75</v>
      </c>
      <c r="W461">
        <v>78</v>
      </c>
      <c r="X461">
        <v>99997350</v>
      </c>
      <c r="Y461">
        <v>99997351</v>
      </c>
      <c r="Z461">
        <v>199994701</v>
      </c>
      <c r="AA461">
        <v>99997351</v>
      </c>
      <c r="AB461">
        <v>2</v>
      </c>
      <c r="AC461">
        <v>1</v>
      </c>
      <c r="AD461">
        <v>1.5</v>
      </c>
      <c r="AE461">
        <v>37.487499999999997</v>
      </c>
      <c r="AM461">
        <v>1760311281</v>
      </c>
      <c r="AN461">
        <v>0</v>
      </c>
      <c r="AO461">
        <v>17784708</v>
      </c>
      <c r="AP461">
        <v>1760311281</v>
      </c>
      <c r="AQ461">
        <v>1778095989</v>
      </c>
      <c r="AR461">
        <v>58677042</v>
      </c>
      <c r="AS461">
        <v>0</v>
      </c>
      <c r="AT461">
        <v>592823</v>
      </c>
      <c r="AU461">
        <v>58677042</v>
      </c>
      <c r="AV461">
        <v>59269866</v>
      </c>
      <c r="AW461">
        <v>38.367199999999997</v>
      </c>
      <c r="AX461">
        <v>19.366800000000001</v>
      </c>
      <c r="AY461">
        <v>8925.83</v>
      </c>
      <c r="AZ461">
        <v>7766.84</v>
      </c>
      <c r="BA461">
        <v>7577</v>
      </c>
      <c r="BB461">
        <v>2857</v>
      </c>
      <c r="BC461" t="str">
        <f t="shared" si="14"/>
        <v>u=1%, k=2x10^8</v>
      </c>
      <c r="BD461">
        <f t="shared" si="15"/>
        <v>0</v>
      </c>
    </row>
    <row r="462" spans="1:56">
      <c r="A462" t="s">
        <v>546</v>
      </c>
      <c r="B462" t="s">
        <v>64</v>
      </c>
      <c r="C462">
        <v>72</v>
      </c>
      <c r="D462" t="s">
        <v>65</v>
      </c>
      <c r="E462" t="s">
        <v>60</v>
      </c>
      <c r="F462" t="s">
        <v>61</v>
      </c>
      <c r="G462">
        <v>30000</v>
      </c>
      <c r="H462">
        <v>0.5</v>
      </c>
      <c r="I462">
        <v>0.5</v>
      </c>
      <c r="J462">
        <v>0</v>
      </c>
      <c r="K462">
        <v>1</v>
      </c>
      <c r="L462">
        <v>2000000000</v>
      </c>
      <c r="M462">
        <v>24</v>
      </c>
      <c r="N462">
        <v>24</v>
      </c>
      <c r="O462">
        <v>24</v>
      </c>
      <c r="P462">
        <v>0</v>
      </c>
      <c r="Q462" t="s">
        <v>62</v>
      </c>
      <c r="R462">
        <v>1.00001914302021E+18</v>
      </c>
      <c r="S462">
        <v>999997860</v>
      </c>
      <c r="T462">
        <v>1.00001914302021E+18</v>
      </c>
      <c r="U462">
        <v>999997860</v>
      </c>
      <c r="V462" t="s">
        <v>75</v>
      </c>
      <c r="W462">
        <v>7</v>
      </c>
      <c r="X462">
        <v>85849593</v>
      </c>
      <c r="Y462">
        <v>1081575452</v>
      </c>
      <c r="Z462">
        <v>1167425045</v>
      </c>
      <c r="AA462">
        <v>999997860</v>
      </c>
      <c r="AB462">
        <v>13.5985</v>
      </c>
      <c r="AC462">
        <v>0.92457500000000004</v>
      </c>
      <c r="AD462">
        <v>1.8565799999999999</v>
      </c>
      <c r="AE462">
        <v>4.0027699999999999</v>
      </c>
      <c r="AM462">
        <v>551090290</v>
      </c>
      <c r="AN462">
        <v>0</v>
      </c>
      <c r="AO462">
        <v>5568802</v>
      </c>
      <c r="AP462">
        <v>551090290</v>
      </c>
      <c r="AQ462">
        <v>556659092</v>
      </c>
      <c r="AR462">
        <v>18369676</v>
      </c>
      <c r="AS462">
        <v>0</v>
      </c>
      <c r="AT462">
        <v>185626</v>
      </c>
      <c r="AU462">
        <v>18369676</v>
      </c>
      <c r="AV462">
        <v>18555303</v>
      </c>
      <c r="AW462">
        <v>22.016400000000001</v>
      </c>
      <c r="AX462">
        <v>12.880699999999999</v>
      </c>
      <c r="AY462">
        <v>3604.08</v>
      </c>
      <c r="AZ462">
        <v>2896.78</v>
      </c>
      <c r="BA462">
        <v>59299</v>
      </c>
      <c r="BB462">
        <v>16203</v>
      </c>
      <c r="BC462" t="str">
        <f t="shared" si="14"/>
        <v>u=1%, k=2x10^9</v>
      </c>
      <c r="BD462">
        <f t="shared" si="15"/>
        <v>0</v>
      </c>
    </row>
    <row r="463" spans="1:56">
      <c r="A463" t="s">
        <v>547</v>
      </c>
      <c r="B463" t="s">
        <v>64</v>
      </c>
      <c r="C463">
        <v>72</v>
      </c>
      <c r="D463" t="s">
        <v>65</v>
      </c>
      <c r="E463" t="s">
        <v>60</v>
      </c>
      <c r="F463" t="s">
        <v>61</v>
      </c>
      <c r="G463">
        <v>30000</v>
      </c>
      <c r="H463">
        <v>0.5</v>
      </c>
      <c r="I463">
        <v>0.5</v>
      </c>
      <c r="J463">
        <v>0</v>
      </c>
      <c r="K463">
        <v>1</v>
      </c>
      <c r="L463">
        <v>2000000000</v>
      </c>
      <c r="M463">
        <v>48</v>
      </c>
      <c r="N463">
        <v>48</v>
      </c>
      <c r="O463">
        <v>48</v>
      </c>
      <c r="P463">
        <v>0</v>
      </c>
      <c r="Q463" t="s">
        <v>62</v>
      </c>
      <c r="R463">
        <v>1.00000817505934E+18</v>
      </c>
      <c r="S463">
        <v>999995799</v>
      </c>
      <c r="T463">
        <v>1.00000817505934E+18</v>
      </c>
      <c r="U463">
        <v>999995799</v>
      </c>
      <c r="V463" t="s">
        <v>75</v>
      </c>
      <c r="W463">
        <v>7</v>
      </c>
      <c r="X463">
        <v>86978062</v>
      </c>
      <c r="Y463">
        <v>1083836952</v>
      </c>
      <c r="Z463">
        <v>1170815014</v>
      </c>
      <c r="AA463">
        <v>999995799</v>
      </c>
      <c r="AB463">
        <v>13.461</v>
      </c>
      <c r="AC463">
        <v>0.92264400000000002</v>
      </c>
      <c r="AD463">
        <v>1.8541000000000001</v>
      </c>
      <c r="AE463">
        <v>4.0050400000000002</v>
      </c>
      <c r="AM463">
        <v>1003927561</v>
      </c>
      <c r="AN463">
        <v>0</v>
      </c>
      <c r="AO463">
        <v>10142925</v>
      </c>
      <c r="AP463">
        <v>1003927561</v>
      </c>
      <c r="AQ463">
        <v>1014070486</v>
      </c>
      <c r="AR463">
        <v>33464252</v>
      </c>
      <c r="AS463">
        <v>0</v>
      </c>
      <c r="AT463">
        <v>338097</v>
      </c>
      <c r="AU463">
        <v>33464252</v>
      </c>
      <c r="AV463">
        <v>33802349</v>
      </c>
      <c r="AW463">
        <v>21.959900000000001</v>
      </c>
      <c r="AX463">
        <v>12.911799999999999</v>
      </c>
      <c r="AY463">
        <v>3956.24</v>
      </c>
      <c r="AZ463">
        <v>3305.57</v>
      </c>
      <c r="BA463">
        <v>59552</v>
      </c>
      <c r="BB463">
        <v>12372</v>
      </c>
      <c r="BC463" t="str">
        <f t="shared" si="14"/>
        <v>u=1%, k=2x10^9</v>
      </c>
      <c r="BD463">
        <f t="shared" si="15"/>
        <v>0</v>
      </c>
    </row>
    <row r="464" spans="1:56">
      <c r="A464" t="s">
        <v>548</v>
      </c>
      <c r="B464" t="s">
        <v>64</v>
      </c>
      <c r="C464">
        <v>72</v>
      </c>
      <c r="D464" t="s">
        <v>65</v>
      </c>
      <c r="E464" t="s">
        <v>60</v>
      </c>
      <c r="F464" t="s">
        <v>61</v>
      </c>
      <c r="G464">
        <v>30000</v>
      </c>
      <c r="H464">
        <v>0.5</v>
      </c>
      <c r="I464">
        <v>0.5</v>
      </c>
      <c r="J464">
        <v>0</v>
      </c>
      <c r="K464">
        <v>1</v>
      </c>
      <c r="L464">
        <v>2000000000</v>
      </c>
      <c r="M464">
        <v>96</v>
      </c>
      <c r="N464">
        <v>96</v>
      </c>
      <c r="O464">
        <v>96</v>
      </c>
      <c r="P464">
        <v>0</v>
      </c>
      <c r="Q464" t="s">
        <v>62</v>
      </c>
      <c r="R464">
        <v>1.00001026332934E+18</v>
      </c>
      <c r="S464">
        <v>999997411</v>
      </c>
      <c r="T464">
        <v>1.00001026332934E+18</v>
      </c>
      <c r="U464">
        <v>999997411</v>
      </c>
      <c r="V464" t="s">
        <v>75</v>
      </c>
      <c r="W464">
        <v>7</v>
      </c>
      <c r="X464">
        <v>89955141</v>
      </c>
      <c r="Y464">
        <v>1089816840</v>
      </c>
      <c r="Z464">
        <v>1179771981</v>
      </c>
      <c r="AA464">
        <v>999997411</v>
      </c>
      <c r="AB464">
        <v>13.1151</v>
      </c>
      <c r="AC464">
        <v>0.91758300000000004</v>
      </c>
      <c r="AD464">
        <v>1.84762</v>
      </c>
      <c r="AE464">
        <v>4.0110700000000001</v>
      </c>
      <c r="AM464">
        <v>2216333809</v>
      </c>
      <c r="AN464">
        <v>0</v>
      </c>
      <c r="AO464">
        <v>22394696</v>
      </c>
      <c r="AP464">
        <v>2216333809</v>
      </c>
      <c r="AQ464">
        <v>2238728505</v>
      </c>
      <c r="AR464">
        <v>73877793</v>
      </c>
      <c r="AS464">
        <v>0</v>
      </c>
      <c r="AT464">
        <v>746489</v>
      </c>
      <c r="AU464">
        <v>73877793</v>
      </c>
      <c r="AV464">
        <v>74624283</v>
      </c>
      <c r="AW464">
        <v>22.021799999999999</v>
      </c>
      <c r="AX464">
        <v>13.6355</v>
      </c>
      <c r="AY464">
        <v>3581.87</v>
      </c>
      <c r="AZ464">
        <v>2885.11</v>
      </c>
      <c r="BA464">
        <v>60137</v>
      </c>
      <c r="BB464">
        <v>9746</v>
      </c>
      <c r="BC464" t="str">
        <f t="shared" si="14"/>
        <v>u=1%, k=2x10^9</v>
      </c>
      <c r="BD464">
        <f t="shared" si="15"/>
        <v>0</v>
      </c>
    </row>
    <row r="465" spans="1:56">
      <c r="A465" t="s">
        <v>549</v>
      </c>
      <c r="B465" t="s">
        <v>64</v>
      </c>
      <c r="C465">
        <v>72</v>
      </c>
      <c r="D465" t="s">
        <v>65</v>
      </c>
      <c r="E465" t="s">
        <v>60</v>
      </c>
      <c r="F465" t="s">
        <v>61</v>
      </c>
      <c r="G465">
        <v>30000</v>
      </c>
      <c r="H465">
        <v>0.5</v>
      </c>
      <c r="I465">
        <v>0.5</v>
      </c>
      <c r="J465">
        <v>0</v>
      </c>
      <c r="K465">
        <v>1</v>
      </c>
      <c r="L465">
        <v>2000000000</v>
      </c>
      <c r="M465">
        <v>144</v>
      </c>
      <c r="N465">
        <v>144</v>
      </c>
      <c r="O465">
        <v>144</v>
      </c>
      <c r="P465">
        <v>0</v>
      </c>
      <c r="Q465" t="s">
        <v>62</v>
      </c>
      <c r="R465">
        <v>1.0000002321533199E+18</v>
      </c>
      <c r="S465">
        <v>1000003127</v>
      </c>
      <c r="T465">
        <v>1.0000002321533199E+18</v>
      </c>
      <c r="U465">
        <v>1000003127</v>
      </c>
      <c r="V465" t="s">
        <v>75</v>
      </c>
      <c r="W465">
        <v>7</v>
      </c>
      <c r="X465">
        <v>92577823</v>
      </c>
      <c r="Y465">
        <v>1095101573</v>
      </c>
      <c r="Z465">
        <v>1187679396</v>
      </c>
      <c r="AA465">
        <v>1000003127</v>
      </c>
      <c r="AB465">
        <v>12.829000000000001</v>
      </c>
      <c r="AC465">
        <v>0.91315999999999997</v>
      </c>
      <c r="AD465">
        <v>1.84198</v>
      </c>
      <c r="AE465">
        <v>4.0164200000000001</v>
      </c>
      <c r="AM465">
        <v>3311945156</v>
      </c>
      <c r="AN465">
        <v>0</v>
      </c>
      <c r="AO465">
        <v>33458650</v>
      </c>
      <c r="AP465">
        <v>3311945156</v>
      </c>
      <c r="AQ465">
        <v>3345403806</v>
      </c>
      <c r="AR465">
        <v>110398171</v>
      </c>
      <c r="AS465">
        <v>0</v>
      </c>
      <c r="AT465">
        <v>1115288</v>
      </c>
      <c r="AU465">
        <v>110398171</v>
      </c>
      <c r="AV465">
        <v>111513460</v>
      </c>
      <c r="AW465">
        <v>22.0533</v>
      </c>
      <c r="AX465">
        <v>13.872</v>
      </c>
      <c r="AY465">
        <v>3595.55</v>
      </c>
      <c r="AZ465">
        <v>2869.36</v>
      </c>
      <c r="BA465">
        <v>60712</v>
      </c>
      <c r="BB465">
        <v>9309</v>
      </c>
      <c r="BC465" t="str">
        <f t="shared" si="14"/>
        <v>u=1%, k=2x10^9</v>
      </c>
      <c r="BD465">
        <f t="shared" si="15"/>
        <v>0</v>
      </c>
    </row>
    <row r="466" spans="1:56">
      <c r="A466" t="s">
        <v>550</v>
      </c>
      <c r="B466" t="s">
        <v>64</v>
      </c>
      <c r="C466">
        <v>72</v>
      </c>
      <c r="D466" t="s">
        <v>65</v>
      </c>
      <c r="E466" t="s">
        <v>60</v>
      </c>
      <c r="F466" t="s">
        <v>61</v>
      </c>
      <c r="G466">
        <v>30000</v>
      </c>
      <c r="H466">
        <v>0.5</v>
      </c>
      <c r="I466">
        <v>0.5</v>
      </c>
      <c r="J466">
        <v>0</v>
      </c>
      <c r="K466">
        <v>1</v>
      </c>
      <c r="L466">
        <v>2000000000</v>
      </c>
      <c r="M466">
        <v>190</v>
      </c>
      <c r="N466">
        <v>190</v>
      </c>
      <c r="O466">
        <v>190</v>
      </c>
      <c r="P466">
        <v>0</v>
      </c>
      <c r="Q466" t="s">
        <v>62</v>
      </c>
      <c r="R466">
        <v>1.00000790023557E+18</v>
      </c>
      <c r="S466">
        <v>1000001334</v>
      </c>
      <c r="T466">
        <v>1.00000790023557E+18</v>
      </c>
      <c r="U466">
        <v>1000001334</v>
      </c>
      <c r="V466" t="s">
        <v>75</v>
      </c>
      <c r="W466">
        <v>7</v>
      </c>
      <c r="X466">
        <v>94942946</v>
      </c>
      <c r="Y466">
        <v>1099883177</v>
      </c>
      <c r="Z466">
        <v>1194826123</v>
      </c>
      <c r="AA466">
        <v>1000001334</v>
      </c>
      <c r="AB466">
        <v>12.5847</v>
      </c>
      <c r="AC466">
        <v>0.90918900000000002</v>
      </c>
      <c r="AD466">
        <v>1.83694</v>
      </c>
      <c r="AE466">
        <v>4.0212700000000003</v>
      </c>
      <c r="AM466">
        <v>4329067463</v>
      </c>
      <c r="AN466">
        <v>0</v>
      </c>
      <c r="AO466">
        <v>43729345</v>
      </c>
      <c r="AP466">
        <v>4329067463</v>
      </c>
      <c r="AQ466">
        <v>4372796808</v>
      </c>
      <c r="AR466">
        <v>144302248</v>
      </c>
      <c r="AS466">
        <v>0</v>
      </c>
      <c r="AT466">
        <v>1457644</v>
      </c>
      <c r="AU466">
        <v>144302248</v>
      </c>
      <c r="AV466">
        <v>145759893</v>
      </c>
      <c r="AW466">
        <v>22.109000000000002</v>
      </c>
      <c r="AX466">
        <v>14.0144</v>
      </c>
      <c r="AY466">
        <v>3628.53</v>
      </c>
      <c r="AZ466">
        <v>2904.92</v>
      </c>
      <c r="BA466">
        <v>61147</v>
      </c>
      <c r="BB466">
        <v>9146</v>
      </c>
      <c r="BC466" t="str">
        <f t="shared" si="14"/>
        <v>u=1%, k=2x10^9</v>
      </c>
      <c r="BD466">
        <f t="shared" si="15"/>
        <v>0</v>
      </c>
    </row>
    <row r="467" spans="1:56">
      <c r="A467" t="s">
        <v>551</v>
      </c>
      <c r="B467" t="s">
        <v>66</v>
      </c>
      <c r="C467">
        <v>208</v>
      </c>
      <c r="D467" t="s">
        <v>65</v>
      </c>
      <c r="E467" t="s">
        <v>60</v>
      </c>
      <c r="F467" t="s">
        <v>61</v>
      </c>
      <c r="G467">
        <v>30000</v>
      </c>
      <c r="H467">
        <v>0.5</v>
      </c>
      <c r="I467">
        <v>0.5</v>
      </c>
      <c r="J467">
        <v>0</v>
      </c>
      <c r="K467">
        <v>1</v>
      </c>
      <c r="L467">
        <v>2000000000</v>
      </c>
      <c r="M467">
        <v>24</v>
      </c>
      <c r="N467">
        <v>24</v>
      </c>
      <c r="O467">
        <v>24</v>
      </c>
      <c r="P467">
        <v>0</v>
      </c>
      <c r="Q467" t="s">
        <v>62</v>
      </c>
      <c r="R467">
        <v>9.9996828321067802E+17</v>
      </c>
      <c r="S467">
        <v>999998891</v>
      </c>
      <c r="T467">
        <v>9.9996828321067802E+17</v>
      </c>
      <c r="U467">
        <v>999998891</v>
      </c>
      <c r="V467" t="s">
        <v>75</v>
      </c>
      <c r="W467">
        <v>11</v>
      </c>
      <c r="X467">
        <v>18554131</v>
      </c>
      <c r="Y467">
        <v>127685943</v>
      </c>
      <c r="Z467">
        <v>146240074</v>
      </c>
      <c r="AA467">
        <v>999998891</v>
      </c>
      <c r="AB467">
        <v>7.8818099999999998</v>
      </c>
      <c r="AC467">
        <v>7.8317100000000002</v>
      </c>
      <c r="AD467">
        <v>7.8380599999999996</v>
      </c>
      <c r="AE467">
        <v>10</v>
      </c>
      <c r="AM467">
        <v>342352637</v>
      </c>
      <c r="AN467">
        <v>0</v>
      </c>
      <c r="AO467">
        <v>3458609</v>
      </c>
      <c r="AP467">
        <v>342352637</v>
      </c>
      <c r="AQ467">
        <v>345811246</v>
      </c>
      <c r="AR467">
        <v>11411754</v>
      </c>
      <c r="AS467">
        <v>0</v>
      </c>
      <c r="AT467">
        <v>115286</v>
      </c>
      <c r="AU467">
        <v>11411754</v>
      </c>
      <c r="AV467">
        <v>11527041</v>
      </c>
      <c r="AW467">
        <v>30.597999999999999</v>
      </c>
      <c r="AX467">
        <v>16.4969</v>
      </c>
      <c r="AY467">
        <v>5807.76</v>
      </c>
      <c r="AZ467">
        <v>4565.16</v>
      </c>
      <c r="BA467">
        <v>33275</v>
      </c>
      <c r="BB467">
        <v>154336</v>
      </c>
      <c r="BC467" t="str">
        <f t="shared" si="14"/>
        <v>u=1%, k=2x10^9</v>
      </c>
      <c r="BD467">
        <f t="shared" si="15"/>
        <v>0</v>
      </c>
    </row>
    <row r="468" spans="1:56">
      <c r="A468" t="s">
        <v>552</v>
      </c>
      <c r="B468" t="s">
        <v>66</v>
      </c>
      <c r="C468">
        <v>208</v>
      </c>
      <c r="D468" t="s">
        <v>65</v>
      </c>
      <c r="E468" t="s">
        <v>60</v>
      </c>
      <c r="F468" t="s">
        <v>61</v>
      </c>
      <c r="G468">
        <v>30000</v>
      </c>
      <c r="H468">
        <v>0.5</v>
      </c>
      <c r="I468">
        <v>0.5</v>
      </c>
      <c r="J468">
        <v>0</v>
      </c>
      <c r="K468">
        <v>1</v>
      </c>
      <c r="L468">
        <v>2000000000</v>
      </c>
      <c r="M468">
        <v>48</v>
      </c>
      <c r="N468">
        <v>48</v>
      </c>
      <c r="O468">
        <v>48</v>
      </c>
      <c r="P468">
        <v>0</v>
      </c>
      <c r="Q468" t="s">
        <v>62</v>
      </c>
      <c r="R468">
        <v>9.9998296999185702E+17</v>
      </c>
      <c r="S468">
        <v>999999942</v>
      </c>
      <c r="T468">
        <v>9.9998296999185702E+17</v>
      </c>
      <c r="U468">
        <v>999999942</v>
      </c>
      <c r="V468" t="s">
        <v>75</v>
      </c>
      <c r="W468">
        <v>12</v>
      </c>
      <c r="X468">
        <v>18569922</v>
      </c>
      <c r="Y468">
        <v>127780732</v>
      </c>
      <c r="Z468">
        <v>146350654</v>
      </c>
      <c r="AA468">
        <v>999999942</v>
      </c>
      <c r="AB468">
        <v>7.8810599999999997</v>
      </c>
      <c r="AC468">
        <v>7.8259100000000004</v>
      </c>
      <c r="AD468">
        <v>7.8329000000000004</v>
      </c>
      <c r="AE468">
        <v>11</v>
      </c>
      <c r="AM468">
        <v>648773140</v>
      </c>
      <c r="AN468">
        <v>0</v>
      </c>
      <c r="AO468">
        <v>6549034</v>
      </c>
      <c r="AP468">
        <v>648773140</v>
      </c>
      <c r="AQ468">
        <v>655322174</v>
      </c>
      <c r="AR468">
        <v>21625771</v>
      </c>
      <c r="AS468">
        <v>0</v>
      </c>
      <c r="AT468">
        <v>218301</v>
      </c>
      <c r="AU468">
        <v>21625771</v>
      </c>
      <c r="AV468">
        <v>21844072</v>
      </c>
      <c r="AW468">
        <v>30.446100000000001</v>
      </c>
      <c r="AX468">
        <v>16.498200000000001</v>
      </c>
      <c r="AY468">
        <v>6128.19</v>
      </c>
      <c r="AZ468">
        <v>5200.32</v>
      </c>
      <c r="BA468">
        <v>33406</v>
      </c>
      <c r="BB468">
        <v>94578</v>
      </c>
      <c r="BC468" t="str">
        <f t="shared" si="14"/>
        <v>u=1%, k=2x10^9</v>
      </c>
      <c r="BD468">
        <f t="shared" si="15"/>
        <v>0</v>
      </c>
    </row>
    <row r="469" spans="1:56">
      <c r="A469" t="s">
        <v>553</v>
      </c>
      <c r="B469" t="s">
        <v>66</v>
      </c>
      <c r="C469">
        <v>208</v>
      </c>
      <c r="D469" t="s">
        <v>65</v>
      </c>
      <c r="E469" t="s">
        <v>60</v>
      </c>
      <c r="F469" t="s">
        <v>61</v>
      </c>
      <c r="G469">
        <v>30000</v>
      </c>
      <c r="H469">
        <v>0.5</v>
      </c>
      <c r="I469">
        <v>0.5</v>
      </c>
      <c r="J469">
        <v>0</v>
      </c>
      <c r="K469">
        <v>1</v>
      </c>
      <c r="L469">
        <v>2000000000</v>
      </c>
      <c r="M469">
        <v>96</v>
      </c>
      <c r="N469">
        <v>96</v>
      </c>
      <c r="O469">
        <v>96</v>
      </c>
      <c r="P469">
        <v>0</v>
      </c>
      <c r="Q469" t="s">
        <v>62</v>
      </c>
      <c r="R469">
        <v>9.9999722866059904E+17</v>
      </c>
      <c r="S469">
        <v>999999995</v>
      </c>
      <c r="T469">
        <v>9.9999722866059904E+17</v>
      </c>
      <c r="U469">
        <v>999999995</v>
      </c>
      <c r="V469" t="s">
        <v>75</v>
      </c>
      <c r="W469">
        <v>12</v>
      </c>
      <c r="X469">
        <v>18605932</v>
      </c>
      <c r="Y469">
        <v>128030504</v>
      </c>
      <c r="Z469">
        <v>146636436</v>
      </c>
      <c r="AA469">
        <v>999999995</v>
      </c>
      <c r="AB469">
        <v>7.88117</v>
      </c>
      <c r="AC469">
        <v>7.8106400000000002</v>
      </c>
      <c r="AD469">
        <v>7.8195899999999998</v>
      </c>
      <c r="AE469">
        <v>11</v>
      </c>
      <c r="AM469">
        <v>1446271110</v>
      </c>
      <c r="AN469">
        <v>0</v>
      </c>
      <c r="AO469">
        <v>14613391</v>
      </c>
      <c r="AP469">
        <v>1446271110</v>
      </c>
      <c r="AQ469">
        <v>1460884501</v>
      </c>
      <c r="AR469">
        <v>48209037</v>
      </c>
      <c r="AS469">
        <v>0</v>
      </c>
      <c r="AT469">
        <v>487113</v>
      </c>
      <c r="AU469">
        <v>48209037</v>
      </c>
      <c r="AV469">
        <v>48696150</v>
      </c>
      <c r="AW469">
        <v>30.637599999999999</v>
      </c>
      <c r="AX469">
        <v>17.537700000000001</v>
      </c>
      <c r="AY469">
        <v>5489.95</v>
      </c>
      <c r="AZ469">
        <v>4497.24</v>
      </c>
      <c r="BA469">
        <v>33703</v>
      </c>
      <c r="BB469">
        <v>71502</v>
      </c>
      <c r="BC469" t="str">
        <f t="shared" si="14"/>
        <v>u=1%, k=2x10^9</v>
      </c>
      <c r="BD469">
        <f t="shared" si="15"/>
        <v>0</v>
      </c>
    </row>
    <row r="470" spans="1:56">
      <c r="A470" t="s">
        <v>554</v>
      </c>
      <c r="B470" t="s">
        <v>66</v>
      </c>
      <c r="C470">
        <v>208</v>
      </c>
      <c r="D470" t="s">
        <v>65</v>
      </c>
      <c r="E470" t="s">
        <v>60</v>
      </c>
      <c r="F470" t="s">
        <v>61</v>
      </c>
      <c r="G470">
        <v>30000</v>
      </c>
      <c r="H470">
        <v>0.5</v>
      </c>
      <c r="I470">
        <v>0.5</v>
      </c>
      <c r="J470">
        <v>0</v>
      </c>
      <c r="K470">
        <v>1</v>
      </c>
      <c r="L470">
        <v>2000000000</v>
      </c>
      <c r="M470">
        <v>144</v>
      </c>
      <c r="N470">
        <v>144</v>
      </c>
      <c r="O470">
        <v>144</v>
      </c>
      <c r="P470">
        <v>0</v>
      </c>
      <c r="Q470" t="s">
        <v>62</v>
      </c>
      <c r="R470">
        <v>9.9999274200069299E+17</v>
      </c>
      <c r="S470">
        <v>1000001418</v>
      </c>
      <c r="T470">
        <v>9.9999274200069299E+17</v>
      </c>
      <c r="U470">
        <v>1000001418</v>
      </c>
      <c r="V470" t="s">
        <v>75</v>
      </c>
      <c r="W470">
        <v>12</v>
      </c>
      <c r="X470">
        <v>18639660</v>
      </c>
      <c r="Y470">
        <v>128259781</v>
      </c>
      <c r="Z470">
        <v>146899441</v>
      </c>
      <c r="AA470">
        <v>1000001418</v>
      </c>
      <c r="AB470">
        <v>7.8810200000000004</v>
      </c>
      <c r="AC470">
        <v>7.7966899999999999</v>
      </c>
      <c r="AD470">
        <v>7.8073899999999998</v>
      </c>
      <c r="AE470">
        <v>11</v>
      </c>
      <c r="AM470">
        <v>2182753816</v>
      </c>
      <c r="AN470">
        <v>0</v>
      </c>
      <c r="AO470">
        <v>22058331</v>
      </c>
      <c r="AP470">
        <v>2182753816</v>
      </c>
      <c r="AQ470">
        <v>2204812147</v>
      </c>
      <c r="AR470">
        <v>72758460</v>
      </c>
      <c r="AS470">
        <v>0</v>
      </c>
      <c r="AT470">
        <v>735277</v>
      </c>
      <c r="AU470">
        <v>72758460</v>
      </c>
      <c r="AV470">
        <v>73493738</v>
      </c>
      <c r="AW470">
        <v>30.889800000000001</v>
      </c>
      <c r="AX470">
        <v>17.792899999999999</v>
      </c>
      <c r="AY470">
        <v>5454.85</v>
      </c>
      <c r="AZ470">
        <v>4455.6099999999997</v>
      </c>
      <c r="BA470">
        <v>33969</v>
      </c>
      <c r="BB470">
        <v>65611</v>
      </c>
      <c r="BC470" t="str">
        <f t="shared" si="14"/>
        <v>u=1%, k=2x10^9</v>
      </c>
      <c r="BD470">
        <f t="shared" si="15"/>
        <v>0</v>
      </c>
    </row>
    <row r="471" spans="1:56">
      <c r="A471" t="s">
        <v>555</v>
      </c>
      <c r="B471" t="s">
        <v>66</v>
      </c>
      <c r="C471">
        <v>208</v>
      </c>
      <c r="D471" t="s">
        <v>65</v>
      </c>
      <c r="E471" t="s">
        <v>60</v>
      </c>
      <c r="F471" t="s">
        <v>61</v>
      </c>
      <c r="G471">
        <v>30000</v>
      </c>
      <c r="H471">
        <v>0.5</v>
      </c>
      <c r="I471">
        <v>0.5</v>
      </c>
      <c r="J471">
        <v>0</v>
      </c>
      <c r="K471">
        <v>1</v>
      </c>
      <c r="L471">
        <v>2000000000</v>
      </c>
      <c r="M471">
        <v>190</v>
      </c>
      <c r="N471">
        <v>190</v>
      </c>
      <c r="O471">
        <v>190</v>
      </c>
      <c r="P471">
        <v>0</v>
      </c>
      <c r="Q471" t="s">
        <v>62</v>
      </c>
      <c r="R471">
        <v>9.9998833573770496E+17</v>
      </c>
      <c r="S471">
        <v>999996270</v>
      </c>
      <c r="T471">
        <v>9.9998833573770496E+17</v>
      </c>
      <c r="U471">
        <v>999996270</v>
      </c>
      <c r="V471" t="s">
        <v>75</v>
      </c>
      <c r="W471">
        <v>12</v>
      </c>
      <c r="X471">
        <v>18668911</v>
      </c>
      <c r="Y471">
        <v>128463444</v>
      </c>
      <c r="Z471">
        <v>147132355</v>
      </c>
      <c r="AA471">
        <v>999996270</v>
      </c>
      <c r="AB471">
        <v>7.8811400000000003</v>
      </c>
      <c r="AC471">
        <v>7.7842900000000004</v>
      </c>
      <c r="AD471">
        <v>7.7965799999999996</v>
      </c>
      <c r="AE471">
        <v>11</v>
      </c>
      <c r="AM471">
        <v>2871843630</v>
      </c>
      <c r="AN471">
        <v>0</v>
      </c>
      <c r="AO471">
        <v>28995672</v>
      </c>
      <c r="AP471">
        <v>2871843630</v>
      </c>
      <c r="AQ471">
        <v>2900839302</v>
      </c>
      <c r="AR471">
        <v>95728121</v>
      </c>
      <c r="AS471">
        <v>0</v>
      </c>
      <c r="AT471">
        <v>966522</v>
      </c>
      <c r="AU471">
        <v>95728121</v>
      </c>
      <c r="AV471">
        <v>96694643</v>
      </c>
      <c r="AW471">
        <v>30.926400000000001</v>
      </c>
      <c r="AX471">
        <v>17.918600000000001</v>
      </c>
      <c r="AY471">
        <v>5468.88</v>
      </c>
      <c r="AZ471">
        <v>4455.25</v>
      </c>
      <c r="BA471">
        <v>34243</v>
      </c>
      <c r="BB471">
        <v>61300</v>
      </c>
      <c r="BC471" t="str">
        <f t="shared" si="14"/>
        <v>u=1%, k=2x10^9</v>
      </c>
      <c r="BD471">
        <f t="shared" si="15"/>
        <v>0</v>
      </c>
    </row>
    <row r="472" spans="1:56">
      <c r="A472" t="s">
        <v>556</v>
      </c>
      <c r="B472" t="s">
        <v>67</v>
      </c>
      <c r="D472" t="s">
        <v>65</v>
      </c>
      <c r="E472" t="s">
        <v>60</v>
      </c>
      <c r="F472" t="s">
        <v>61</v>
      </c>
      <c r="G472">
        <v>30000</v>
      </c>
      <c r="H472">
        <v>0.5</v>
      </c>
      <c r="I472">
        <v>0.5</v>
      </c>
      <c r="J472">
        <v>0</v>
      </c>
      <c r="K472">
        <v>1</v>
      </c>
      <c r="L472">
        <v>2000000000</v>
      </c>
      <c r="M472">
        <v>24</v>
      </c>
      <c r="N472">
        <v>24</v>
      </c>
      <c r="O472">
        <v>24</v>
      </c>
      <c r="P472">
        <v>0</v>
      </c>
      <c r="Q472" t="s">
        <v>62</v>
      </c>
      <c r="R472">
        <v>9.9999092156087194E+17</v>
      </c>
      <c r="S472">
        <v>999999328</v>
      </c>
      <c r="T472">
        <v>9.9999092156087194E+17</v>
      </c>
      <c r="U472">
        <v>999999328</v>
      </c>
      <c r="V472" t="s">
        <v>75</v>
      </c>
      <c r="W472">
        <v>37</v>
      </c>
      <c r="X472">
        <v>571522240</v>
      </c>
      <c r="Y472">
        <v>428647916</v>
      </c>
      <c r="Z472">
        <v>1000170156</v>
      </c>
      <c r="AA472">
        <v>999999328</v>
      </c>
      <c r="AB472">
        <v>1.7500100000000001</v>
      </c>
      <c r="AC472">
        <v>2.3329200000000001</v>
      </c>
      <c r="AD472">
        <v>1.99983</v>
      </c>
      <c r="AE472">
        <v>29.446899999999999</v>
      </c>
      <c r="AM472">
        <v>157797007</v>
      </c>
      <c r="AN472">
        <v>0</v>
      </c>
      <c r="AO472">
        <v>1593498</v>
      </c>
      <c r="AP472">
        <v>157797007</v>
      </c>
      <c r="AQ472">
        <v>159390505</v>
      </c>
      <c r="AR472">
        <v>5259900</v>
      </c>
      <c r="AS472">
        <v>0</v>
      </c>
      <c r="AT472">
        <v>53116</v>
      </c>
      <c r="AU472">
        <v>5259900</v>
      </c>
      <c r="AV472">
        <v>5313016</v>
      </c>
      <c r="AW472">
        <v>53.978099999999998</v>
      </c>
      <c r="AX472">
        <v>28.946100000000001</v>
      </c>
      <c r="AY472">
        <v>12601.9</v>
      </c>
      <c r="AZ472">
        <v>11148.8</v>
      </c>
      <c r="BA472">
        <v>65655</v>
      </c>
      <c r="BB472">
        <v>272438</v>
      </c>
      <c r="BC472" t="str">
        <f t="shared" si="14"/>
        <v>u=1%, k=2x10^9</v>
      </c>
      <c r="BD472">
        <f t="shared" si="15"/>
        <v>0</v>
      </c>
    </row>
    <row r="473" spans="1:56">
      <c r="A473" t="s">
        <v>557</v>
      </c>
      <c r="B473" t="s">
        <v>67</v>
      </c>
      <c r="D473" t="s">
        <v>65</v>
      </c>
      <c r="E473" t="s">
        <v>60</v>
      </c>
      <c r="F473" t="s">
        <v>61</v>
      </c>
      <c r="G473">
        <v>30000</v>
      </c>
      <c r="H473">
        <v>0.5</v>
      </c>
      <c r="I473">
        <v>0.5</v>
      </c>
      <c r="J473">
        <v>0</v>
      </c>
      <c r="K473">
        <v>1</v>
      </c>
      <c r="L473">
        <v>2000000000</v>
      </c>
      <c r="M473">
        <v>48</v>
      </c>
      <c r="N473">
        <v>48</v>
      </c>
      <c r="O473">
        <v>48</v>
      </c>
      <c r="P473">
        <v>0</v>
      </c>
      <c r="Q473" t="s">
        <v>62</v>
      </c>
      <c r="R473">
        <v>1.00002174295531E+18</v>
      </c>
      <c r="S473">
        <v>1000000713</v>
      </c>
      <c r="T473">
        <v>1.00002174295531E+18</v>
      </c>
      <c r="U473">
        <v>1000000713</v>
      </c>
      <c r="V473" t="s">
        <v>75</v>
      </c>
      <c r="W473">
        <v>36</v>
      </c>
      <c r="X473">
        <v>571610281</v>
      </c>
      <c r="Y473">
        <v>428719345</v>
      </c>
      <c r="Z473">
        <v>1000329626</v>
      </c>
      <c r="AA473">
        <v>1000000713</v>
      </c>
      <c r="AB473">
        <v>1.7500199999999999</v>
      </c>
      <c r="AC473">
        <v>2.3325300000000002</v>
      </c>
      <c r="AD473">
        <v>1.9996700000000001</v>
      </c>
      <c r="AE473">
        <v>29.4377</v>
      </c>
      <c r="AM473">
        <v>304358417</v>
      </c>
      <c r="AN473">
        <v>0</v>
      </c>
      <c r="AO473">
        <v>3075459</v>
      </c>
      <c r="AP473">
        <v>304358417</v>
      </c>
      <c r="AQ473">
        <v>307433876</v>
      </c>
      <c r="AR473">
        <v>10145280</v>
      </c>
      <c r="AS473">
        <v>0</v>
      </c>
      <c r="AT473">
        <v>102515</v>
      </c>
      <c r="AU473">
        <v>10145280</v>
      </c>
      <c r="AV473">
        <v>10247795</v>
      </c>
      <c r="AW473">
        <v>54.7759</v>
      </c>
      <c r="AX473">
        <v>29.054300000000001</v>
      </c>
      <c r="AY473">
        <v>13066</v>
      </c>
      <c r="AZ473">
        <v>11659.2</v>
      </c>
      <c r="BA473">
        <v>65673</v>
      </c>
      <c r="BB473">
        <v>142873</v>
      </c>
      <c r="BC473" t="str">
        <f t="shared" si="14"/>
        <v>u=1%, k=2x10^9</v>
      </c>
      <c r="BD473">
        <f t="shared" si="15"/>
        <v>0</v>
      </c>
    </row>
    <row r="474" spans="1:56">
      <c r="A474" t="s">
        <v>558</v>
      </c>
      <c r="B474" t="s">
        <v>67</v>
      </c>
      <c r="D474" t="s">
        <v>65</v>
      </c>
      <c r="E474" t="s">
        <v>60</v>
      </c>
      <c r="F474" t="s">
        <v>61</v>
      </c>
      <c r="G474">
        <v>30000</v>
      </c>
      <c r="H474">
        <v>0.5</v>
      </c>
      <c r="I474">
        <v>0.5</v>
      </c>
      <c r="J474">
        <v>0</v>
      </c>
      <c r="K474">
        <v>1</v>
      </c>
      <c r="L474">
        <v>2000000000</v>
      </c>
      <c r="M474">
        <v>96</v>
      </c>
      <c r="N474">
        <v>96</v>
      </c>
      <c r="O474">
        <v>96</v>
      </c>
      <c r="P474">
        <v>0</v>
      </c>
      <c r="Q474" t="s">
        <v>62</v>
      </c>
      <c r="R474">
        <v>1.00000273118139E+18</v>
      </c>
      <c r="S474">
        <v>999998355</v>
      </c>
      <c r="T474">
        <v>1.00000273118139E+18</v>
      </c>
      <c r="U474">
        <v>999998355</v>
      </c>
      <c r="V474" t="s">
        <v>75</v>
      </c>
      <c r="W474">
        <v>36</v>
      </c>
      <c r="X474">
        <v>571836039</v>
      </c>
      <c r="Y474">
        <v>428895980</v>
      </c>
      <c r="Z474">
        <v>1000732019</v>
      </c>
      <c r="AA474">
        <v>999998355</v>
      </c>
      <c r="AB474">
        <v>1.75003</v>
      </c>
      <c r="AC474">
        <v>2.3315600000000001</v>
      </c>
      <c r="AD474">
        <v>1.9992700000000001</v>
      </c>
      <c r="AE474">
        <v>29.417899999999999</v>
      </c>
      <c r="AM474">
        <v>677112948</v>
      </c>
      <c r="AN474">
        <v>0</v>
      </c>
      <c r="AO474">
        <v>6845237</v>
      </c>
      <c r="AP474">
        <v>677112948</v>
      </c>
      <c r="AQ474">
        <v>683958185</v>
      </c>
      <c r="AR474">
        <v>22570431</v>
      </c>
      <c r="AS474">
        <v>0</v>
      </c>
      <c r="AT474">
        <v>228174</v>
      </c>
      <c r="AU474">
        <v>22570431</v>
      </c>
      <c r="AV474">
        <v>22798606</v>
      </c>
      <c r="AW474">
        <v>55.044699999999999</v>
      </c>
      <c r="AX474">
        <v>31.168500000000002</v>
      </c>
      <c r="AY474">
        <v>11731.2</v>
      </c>
      <c r="AZ474">
        <v>10231.200000000001</v>
      </c>
      <c r="BA474">
        <v>65711</v>
      </c>
      <c r="BB474">
        <v>63611</v>
      </c>
      <c r="BC474" t="str">
        <f t="shared" si="14"/>
        <v>u=1%, k=2x10^9</v>
      </c>
      <c r="BD474">
        <f t="shared" si="15"/>
        <v>0</v>
      </c>
    </row>
    <row r="475" spans="1:56">
      <c r="A475" t="s">
        <v>559</v>
      </c>
      <c r="B475" t="s">
        <v>67</v>
      </c>
      <c r="D475" t="s">
        <v>65</v>
      </c>
      <c r="E475" t="s">
        <v>60</v>
      </c>
      <c r="F475" t="s">
        <v>61</v>
      </c>
      <c r="G475">
        <v>30000</v>
      </c>
      <c r="H475">
        <v>0.5</v>
      </c>
      <c r="I475">
        <v>0.5</v>
      </c>
      <c r="J475">
        <v>0</v>
      </c>
      <c r="K475">
        <v>1</v>
      </c>
      <c r="L475">
        <v>2000000000</v>
      </c>
      <c r="M475">
        <v>144</v>
      </c>
      <c r="N475">
        <v>144</v>
      </c>
      <c r="O475">
        <v>144</v>
      </c>
      <c r="P475">
        <v>0</v>
      </c>
      <c r="Q475" t="s">
        <v>62</v>
      </c>
      <c r="R475">
        <v>1.00000496401883E+18</v>
      </c>
      <c r="S475">
        <v>1000001582</v>
      </c>
      <c r="T475">
        <v>1.00000496401883E+18</v>
      </c>
      <c r="U475">
        <v>1000001582</v>
      </c>
      <c r="V475" t="s">
        <v>75</v>
      </c>
      <c r="W475">
        <v>37</v>
      </c>
      <c r="X475">
        <v>572028490</v>
      </c>
      <c r="Y475">
        <v>429072042</v>
      </c>
      <c r="Z475">
        <v>1001100532</v>
      </c>
      <c r="AA475">
        <v>1000001582</v>
      </c>
      <c r="AB475">
        <v>1.7500899999999999</v>
      </c>
      <c r="AC475">
        <v>2.3306100000000001</v>
      </c>
      <c r="AD475">
        <v>1.9988999999999999</v>
      </c>
      <c r="AE475">
        <v>29.439699999999998</v>
      </c>
      <c r="AM475">
        <v>1019251216</v>
      </c>
      <c r="AN475">
        <v>0</v>
      </c>
      <c r="AO475">
        <v>10288197</v>
      </c>
      <c r="AP475">
        <v>1019251216</v>
      </c>
      <c r="AQ475">
        <v>1029539413</v>
      </c>
      <c r="AR475">
        <v>33975040</v>
      </c>
      <c r="AS475">
        <v>0</v>
      </c>
      <c r="AT475">
        <v>342939</v>
      </c>
      <c r="AU475">
        <v>33975040</v>
      </c>
      <c r="AV475">
        <v>34317980</v>
      </c>
      <c r="AW475">
        <v>55.406599999999997</v>
      </c>
      <c r="AX475">
        <v>31.454799999999999</v>
      </c>
      <c r="AY475">
        <v>11688.9</v>
      </c>
      <c r="AZ475">
        <v>10174.5</v>
      </c>
      <c r="BA475">
        <v>65751</v>
      </c>
      <c r="BB475">
        <v>42673</v>
      </c>
      <c r="BC475" t="str">
        <f t="shared" si="14"/>
        <v>u=1%, k=2x10^9</v>
      </c>
      <c r="BD475">
        <f t="shared" si="15"/>
        <v>0</v>
      </c>
    </row>
    <row r="476" spans="1:56">
      <c r="A476" t="s">
        <v>560</v>
      </c>
      <c r="B476" t="s">
        <v>67</v>
      </c>
      <c r="D476" t="s">
        <v>65</v>
      </c>
      <c r="E476" t="s">
        <v>60</v>
      </c>
      <c r="F476" t="s">
        <v>61</v>
      </c>
      <c r="G476">
        <v>30000</v>
      </c>
      <c r="H476">
        <v>0.5</v>
      </c>
      <c r="I476">
        <v>0.5</v>
      </c>
      <c r="J476">
        <v>0</v>
      </c>
      <c r="K476">
        <v>1</v>
      </c>
      <c r="L476">
        <v>2000000000</v>
      </c>
      <c r="M476">
        <v>190</v>
      </c>
      <c r="N476">
        <v>190</v>
      </c>
      <c r="O476">
        <v>190</v>
      </c>
      <c r="P476">
        <v>0</v>
      </c>
      <c r="Q476" t="s">
        <v>62</v>
      </c>
      <c r="R476">
        <v>1.00001325579295E+18</v>
      </c>
      <c r="S476">
        <v>1000004000</v>
      </c>
      <c r="T476">
        <v>1.00001325579295E+18</v>
      </c>
      <c r="U476">
        <v>1000004000</v>
      </c>
      <c r="V476" t="s">
        <v>75</v>
      </c>
      <c r="W476">
        <v>37</v>
      </c>
      <c r="X476">
        <v>572220174</v>
      </c>
      <c r="Y476">
        <v>429233205</v>
      </c>
      <c r="Z476">
        <v>1001453379</v>
      </c>
      <c r="AA476">
        <v>1000004000</v>
      </c>
      <c r="AB476">
        <v>1.7501199999999999</v>
      </c>
      <c r="AC476">
        <v>2.3297500000000002</v>
      </c>
      <c r="AD476">
        <v>1.99855</v>
      </c>
      <c r="AE476">
        <v>29.4621</v>
      </c>
      <c r="AM476">
        <v>1345190808</v>
      </c>
      <c r="AN476">
        <v>0</v>
      </c>
      <c r="AO476">
        <v>13588478</v>
      </c>
      <c r="AP476">
        <v>1345190808</v>
      </c>
      <c r="AQ476">
        <v>1358779286</v>
      </c>
      <c r="AR476">
        <v>44839693</v>
      </c>
      <c r="AS476">
        <v>0</v>
      </c>
      <c r="AT476">
        <v>452949</v>
      </c>
      <c r="AU476">
        <v>44839693</v>
      </c>
      <c r="AV476">
        <v>45292642</v>
      </c>
      <c r="AW476">
        <v>55.435099999999998</v>
      </c>
      <c r="AX476">
        <v>31.6037</v>
      </c>
      <c r="AY476">
        <v>11683.5</v>
      </c>
      <c r="AZ476">
        <v>10158.700000000001</v>
      </c>
      <c r="BA476">
        <v>65785</v>
      </c>
      <c r="BB476">
        <v>32883</v>
      </c>
      <c r="BC476" t="str">
        <f t="shared" si="14"/>
        <v>u=1%, k=2x10^9</v>
      </c>
      <c r="BD476">
        <f t="shared" si="15"/>
        <v>0</v>
      </c>
    </row>
    <row r="477" spans="1:56">
      <c r="A477" t="s">
        <v>561</v>
      </c>
      <c r="B477" t="s">
        <v>68</v>
      </c>
      <c r="D477" t="s">
        <v>65</v>
      </c>
      <c r="E477" t="s">
        <v>60</v>
      </c>
      <c r="F477" t="s">
        <v>61</v>
      </c>
      <c r="G477">
        <v>30000</v>
      </c>
      <c r="H477">
        <v>0.5</v>
      </c>
      <c r="I477">
        <v>0.5</v>
      </c>
      <c r="J477">
        <v>0</v>
      </c>
      <c r="K477">
        <v>1</v>
      </c>
      <c r="L477">
        <v>2000000000</v>
      </c>
      <c r="M477">
        <v>24</v>
      </c>
      <c r="N477">
        <v>24</v>
      </c>
      <c r="O477">
        <v>24</v>
      </c>
      <c r="P477">
        <v>0</v>
      </c>
      <c r="Q477" t="s">
        <v>62</v>
      </c>
      <c r="R477">
        <v>9.9999875189483098E+17</v>
      </c>
      <c r="S477">
        <v>999999723</v>
      </c>
      <c r="T477">
        <v>9.9999875189483098E+17</v>
      </c>
      <c r="U477">
        <v>999999723</v>
      </c>
      <c r="V477" t="s">
        <v>75</v>
      </c>
      <c r="W477">
        <v>82</v>
      </c>
      <c r="X477">
        <v>999999722</v>
      </c>
      <c r="Y477">
        <v>999999723</v>
      </c>
      <c r="Z477">
        <v>1999999445</v>
      </c>
      <c r="AA477">
        <v>999999723</v>
      </c>
      <c r="AB477">
        <v>2</v>
      </c>
      <c r="AC477">
        <v>1</v>
      </c>
      <c r="AD477">
        <v>1.5</v>
      </c>
      <c r="AE477">
        <v>40.343800000000002</v>
      </c>
      <c r="AM477">
        <v>127787267</v>
      </c>
      <c r="AN477">
        <v>0</v>
      </c>
      <c r="AO477">
        <v>1290347</v>
      </c>
      <c r="AP477">
        <v>127787267</v>
      </c>
      <c r="AQ477">
        <v>129077614</v>
      </c>
      <c r="AR477">
        <v>4259575</v>
      </c>
      <c r="AS477">
        <v>0</v>
      </c>
      <c r="AT477">
        <v>43011</v>
      </c>
      <c r="AU477">
        <v>4259575</v>
      </c>
      <c r="AV477">
        <v>4302587</v>
      </c>
      <c r="AW477">
        <v>53.734900000000003</v>
      </c>
      <c r="AX477">
        <v>28.681999999999999</v>
      </c>
      <c r="AY477">
        <v>15561.1</v>
      </c>
      <c r="AZ477">
        <v>13566.5</v>
      </c>
      <c r="BA477">
        <v>65644</v>
      </c>
      <c r="BB477">
        <v>299610</v>
      </c>
      <c r="BC477" t="str">
        <f t="shared" si="14"/>
        <v>u=1%, k=2x10^9</v>
      </c>
      <c r="BD477">
        <f t="shared" si="15"/>
        <v>0</v>
      </c>
    </row>
    <row r="478" spans="1:56">
      <c r="A478" t="s">
        <v>562</v>
      </c>
      <c r="B478" t="s">
        <v>68</v>
      </c>
      <c r="D478" t="s">
        <v>65</v>
      </c>
      <c r="E478" t="s">
        <v>60</v>
      </c>
      <c r="F478" t="s">
        <v>61</v>
      </c>
      <c r="G478">
        <v>30000</v>
      </c>
      <c r="H478">
        <v>0.5</v>
      </c>
      <c r="I478">
        <v>0.5</v>
      </c>
      <c r="J478">
        <v>0</v>
      </c>
      <c r="K478">
        <v>1</v>
      </c>
      <c r="L478">
        <v>2000000000</v>
      </c>
      <c r="M478">
        <v>48</v>
      </c>
      <c r="N478">
        <v>48</v>
      </c>
      <c r="O478">
        <v>48</v>
      </c>
      <c r="P478">
        <v>0</v>
      </c>
      <c r="Q478" t="s">
        <v>62</v>
      </c>
      <c r="R478">
        <v>1.000012064322E+18</v>
      </c>
      <c r="S478">
        <v>1000001139</v>
      </c>
      <c r="T478">
        <v>1.000012064322E+18</v>
      </c>
      <c r="U478">
        <v>1000001139</v>
      </c>
      <c r="V478" t="s">
        <v>75</v>
      </c>
      <c r="W478">
        <v>83</v>
      </c>
      <c r="X478">
        <v>1000001138</v>
      </c>
      <c r="Y478">
        <v>1000001139</v>
      </c>
      <c r="Z478">
        <v>2000002277</v>
      </c>
      <c r="AA478">
        <v>1000001139</v>
      </c>
      <c r="AB478">
        <v>2</v>
      </c>
      <c r="AC478">
        <v>1</v>
      </c>
      <c r="AD478">
        <v>1.5</v>
      </c>
      <c r="AE478">
        <v>41.273699999999998</v>
      </c>
      <c r="AM478">
        <v>250265685</v>
      </c>
      <c r="AN478">
        <v>0</v>
      </c>
      <c r="AO478">
        <v>2527206</v>
      </c>
      <c r="AP478">
        <v>250265685</v>
      </c>
      <c r="AQ478">
        <v>252792891</v>
      </c>
      <c r="AR478">
        <v>8342189</v>
      </c>
      <c r="AS478">
        <v>0</v>
      </c>
      <c r="AT478">
        <v>84240</v>
      </c>
      <c r="AU478">
        <v>8342189</v>
      </c>
      <c r="AV478">
        <v>8426429</v>
      </c>
      <c r="AW478">
        <v>53.283900000000003</v>
      </c>
      <c r="AX478">
        <v>28.689900000000002</v>
      </c>
      <c r="AY478">
        <v>15890.4</v>
      </c>
      <c r="AZ478">
        <v>14753.9</v>
      </c>
      <c r="BA478">
        <v>65652</v>
      </c>
      <c r="BB478">
        <v>153348</v>
      </c>
      <c r="BC478" t="str">
        <f t="shared" si="14"/>
        <v>u=1%, k=2x10^9</v>
      </c>
      <c r="BD478">
        <f t="shared" si="15"/>
        <v>0</v>
      </c>
    </row>
    <row r="479" spans="1:56">
      <c r="A479" t="s">
        <v>563</v>
      </c>
      <c r="B479" t="s">
        <v>68</v>
      </c>
      <c r="D479" t="s">
        <v>65</v>
      </c>
      <c r="E479" t="s">
        <v>60</v>
      </c>
      <c r="F479" t="s">
        <v>61</v>
      </c>
      <c r="G479">
        <v>30000</v>
      </c>
      <c r="H479">
        <v>0.5</v>
      </c>
      <c r="I479">
        <v>0.5</v>
      </c>
      <c r="J479">
        <v>0</v>
      </c>
      <c r="K479">
        <v>1</v>
      </c>
      <c r="L479">
        <v>2000000000</v>
      </c>
      <c r="M479">
        <v>96</v>
      </c>
      <c r="N479">
        <v>96</v>
      </c>
      <c r="O479">
        <v>96</v>
      </c>
      <c r="P479">
        <v>0</v>
      </c>
      <c r="Q479" t="s">
        <v>62</v>
      </c>
      <c r="R479">
        <v>1.00000749069144E+18</v>
      </c>
      <c r="S479">
        <v>1000000927</v>
      </c>
      <c r="T479">
        <v>1.00000749069144E+18</v>
      </c>
      <c r="U479">
        <v>1000000927</v>
      </c>
      <c r="V479" t="s">
        <v>75</v>
      </c>
      <c r="W479">
        <v>81</v>
      </c>
      <c r="X479">
        <v>1000000926</v>
      </c>
      <c r="Y479">
        <v>1000000927</v>
      </c>
      <c r="Z479">
        <v>2000001853</v>
      </c>
      <c r="AA479">
        <v>1000000927</v>
      </c>
      <c r="AB479">
        <v>2</v>
      </c>
      <c r="AC479">
        <v>1</v>
      </c>
      <c r="AD479">
        <v>1.5</v>
      </c>
      <c r="AE479">
        <v>40.501100000000001</v>
      </c>
      <c r="AM479">
        <v>563771194</v>
      </c>
      <c r="AN479">
        <v>0</v>
      </c>
      <c r="AO479">
        <v>5694665</v>
      </c>
      <c r="AP479">
        <v>563771194</v>
      </c>
      <c r="AQ479">
        <v>569465859</v>
      </c>
      <c r="AR479">
        <v>18792373</v>
      </c>
      <c r="AS479">
        <v>0</v>
      </c>
      <c r="AT479">
        <v>189822</v>
      </c>
      <c r="AU479">
        <v>18792373</v>
      </c>
      <c r="AV479">
        <v>18982195</v>
      </c>
      <c r="AW479">
        <v>54.1601</v>
      </c>
      <c r="AX479">
        <v>31.293199999999999</v>
      </c>
      <c r="AY479">
        <v>14093.5</v>
      </c>
      <c r="AZ479">
        <v>12871.2</v>
      </c>
      <c r="BA479">
        <v>65667</v>
      </c>
      <c r="BB479">
        <v>66307</v>
      </c>
      <c r="BC479" t="str">
        <f t="shared" si="14"/>
        <v>u=1%, k=2x10^9</v>
      </c>
      <c r="BD479">
        <f t="shared" si="15"/>
        <v>0</v>
      </c>
    </row>
    <row r="480" spans="1:56">
      <c r="A480" t="s">
        <v>564</v>
      </c>
      <c r="B480" t="s">
        <v>68</v>
      </c>
      <c r="D480" t="s">
        <v>65</v>
      </c>
      <c r="E480" t="s">
        <v>60</v>
      </c>
      <c r="F480" t="s">
        <v>61</v>
      </c>
      <c r="G480">
        <v>30000</v>
      </c>
      <c r="H480">
        <v>0.5</v>
      </c>
      <c r="I480">
        <v>0.5</v>
      </c>
      <c r="J480">
        <v>0</v>
      </c>
      <c r="K480">
        <v>1</v>
      </c>
      <c r="L480">
        <v>2000000000</v>
      </c>
      <c r="M480">
        <v>144</v>
      </c>
      <c r="N480">
        <v>144</v>
      </c>
      <c r="O480">
        <v>144</v>
      </c>
      <c r="P480">
        <v>0</v>
      </c>
      <c r="Q480" t="s">
        <v>62</v>
      </c>
      <c r="R480">
        <v>1.00001281023544E+18</v>
      </c>
      <c r="S480">
        <v>1000003220</v>
      </c>
      <c r="T480">
        <v>1.00001281023544E+18</v>
      </c>
      <c r="U480">
        <v>1000003220</v>
      </c>
      <c r="V480" t="s">
        <v>75</v>
      </c>
      <c r="W480">
        <v>80</v>
      </c>
      <c r="X480">
        <v>1000003219</v>
      </c>
      <c r="Y480">
        <v>1000003220</v>
      </c>
      <c r="Z480">
        <v>2000006439</v>
      </c>
      <c r="AA480">
        <v>1000003220</v>
      </c>
      <c r="AB480">
        <v>2</v>
      </c>
      <c r="AC480">
        <v>1</v>
      </c>
      <c r="AD480">
        <v>1.5</v>
      </c>
      <c r="AE480">
        <v>40.831600000000002</v>
      </c>
      <c r="AM480">
        <v>853161441</v>
      </c>
      <c r="AN480">
        <v>0</v>
      </c>
      <c r="AO480">
        <v>8615464</v>
      </c>
      <c r="AP480">
        <v>853161441</v>
      </c>
      <c r="AQ480">
        <v>861776905</v>
      </c>
      <c r="AR480">
        <v>28438714</v>
      </c>
      <c r="AS480">
        <v>0</v>
      </c>
      <c r="AT480">
        <v>287182</v>
      </c>
      <c r="AU480">
        <v>28438714</v>
      </c>
      <c r="AV480">
        <v>28725896</v>
      </c>
      <c r="AW480">
        <v>54.241900000000001</v>
      </c>
      <c r="AX480">
        <v>31.495899999999999</v>
      </c>
      <c r="AY480">
        <v>13966.8</v>
      </c>
      <c r="AZ480">
        <v>12732</v>
      </c>
      <c r="BA480">
        <v>65678</v>
      </c>
      <c r="BB480">
        <v>44134</v>
      </c>
      <c r="BC480" t="str">
        <f t="shared" si="14"/>
        <v>u=1%, k=2x10^9</v>
      </c>
      <c r="BD480">
        <f t="shared" si="15"/>
        <v>0</v>
      </c>
    </row>
    <row r="481" spans="1:56">
      <c r="A481" t="s">
        <v>565</v>
      </c>
      <c r="B481" t="s">
        <v>68</v>
      </c>
      <c r="D481" t="s">
        <v>65</v>
      </c>
      <c r="E481" t="s">
        <v>60</v>
      </c>
      <c r="F481" t="s">
        <v>61</v>
      </c>
      <c r="G481">
        <v>30000</v>
      </c>
      <c r="H481">
        <v>0.5</v>
      </c>
      <c r="I481">
        <v>0.5</v>
      </c>
      <c r="J481">
        <v>0</v>
      </c>
      <c r="K481">
        <v>1</v>
      </c>
      <c r="L481">
        <v>2000000000</v>
      </c>
      <c r="M481">
        <v>190</v>
      </c>
      <c r="N481">
        <v>190</v>
      </c>
      <c r="O481">
        <v>190</v>
      </c>
      <c r="P481">
        <v>0</v>
      </c>
      <c r="Q481" t="s">
        <v>62</v>
      </c>
      <c r="R481">
        <v>1.00000523354961E+18</v>
      </c>
      <c r="S481">
        <v>1000001967</v>
      </c>
      <c r="T481">
        <v>1.00000523354961E+18</v>
      </c>
      <c r="U481">
        <v>1000001967</v>
      </c>
      <c r="V481" t="s">
        <v>75</v>
      </c>
      <c r="W481">
        <v>82</v>
      </c>
      <c r="X481">
        <v>1000001966</v>
      </c>
      <c r="Y481">
        <v>1000001967</v>
      </c>
      <c r="Z481">
        <v>2000003933</v>
      </c>
      <c r="AA481">
        <v>1000001967</v>
      </c>
      <c r="AB481">
        <v>2</v>
      </c>
      <c r="AC481">
        <v>1</v>
      </c>
      <c r="AD481">
        <v>1.5</v>
      </c>
      <c r="AE481">
        <v>41.4178</v>
      </c>
      <c r="AM481">
        <v>1130350316</v>
      </c>
      <c r="AN481">
        <v>0</v>
      </c>
      <c r="AO481">
        <v>11416195</v>
      </c>
      <c r="AP481">
        <v>1130350316</v>
      </c>
      <c r="AQ481">
        <v>1141766511</v>
      </c>
      <c r="AR481">
        <v>37678343</v>
      </c>
      <c r="AS481">
        <v>0</v>
      </c>
      <c r="AT481">
        <v>380539</v>
      </c>
      <c r="AU481">
        <v>37678343</v>
      </c>
      <c r="AV481">
        <v>38058883</v>
      </c>
      <c r="AW481">
        <v>54.148400000000002</v>
      </c>
      <c r="AX481">
        <v>31.648</v>
      </c>
      <c r="AY481">
        <v>13908.1</v>
      </c>
      <c r="AZ481">
        <v>12666.6</v>
      </c>
      <c r="BA481">
        <v>65691</v>
      </c>
      <c r="BB481">
        <v>33808</v>
      </c>
      <c r="BC481" t="str">
        <f t="shared" si="14"/>
        <v>u=1%, k=2x10^9</v>
      </c>
      <c r="BD481">
        <f t="shared" si="15"/>
        <v>0</v>
      </c>
    </row>
    <row r="482" spans="1:56">
      <c r="A482" t="s">
        <v>566</v>
      </c>
      <c r="B482" t="s">
        <v>64</v>
      </c>
      <c r="C482">
        <v>72</v>
      </c>
      <c r="D482" t="s">
        <v>65</v>
      </c>
      <c r="E482" t="s">
        <v>60</v>
      </c>
      <c r="F482" t="s">
        <v>61</v>
      </c>
      <c r="G482">
        <v>30000</v>
      </c>
      <c r="H482">
        <v>5</v>
      </c>
      <c r="I482">
        <v>5</v>
      </c>
      <c r="J482">
        <v>0</v>
      </c>
      <c r="K482">
        <v>1</v>
      </c>
      <c r="L482">
        <v>2000000</v>
      </c>
      <c r="M482">
        <v>24</v>
      </c>
      <c r="N482">
        <v>24</v>
      </c>
      <c r="O482">
        <v>24</v>
      </c>
      <c r="P482">
        <v>0</v>
      </c>
      <c r="Q482" t="s">
        <v>62</v>
      </c>
      <c r="R482">
        <v>1001734727215</v>
      </c>
      <c r="S482">
        <v>1001927</v>
      </c>
      <c r="T482">
        <v>1001734727215</v>
      </c>
      <c r="U482">
        <v>1001927</v>
      </c>
      <c r="V482" t="s">
        <v>75</v>
      </c>
      <c r="W482">
        <v>6</v>
      </c>
      <c r="X482">
        <v>73518</v>
      </c>
      <c r="Y482">
        <v>1116425</v>
      </c>
      <c r="Z482">
        <v>1189943</v>
      </c>
      <c r="AA482">
        <v>1001927</v>
      </c>
      <c r="AB482">
        <v>16.185700000000001</v>
      </c>
      <c r="AC482">
        <v>0.89744199999999996</v>
      </c>
      <c r="AD482">
        <v>1.8420000000000001</v>
      </c>
      <c r="AE482">
        <v>3.0860799999999999</v>
      </c>
      <c r="AM482">
        <v>1774517686</v>
      </c>
      <c r="AN482">
        <v>0</v>
      </c>
      <c r="AO482">
        <v>197165990</v>
      </c>
      <c r="AP482">
        <v>1774517686</v>
      </c>
      <c r="AQ482">
        <v>1971683676</v>
      </c>
      <c r="AR482">
        <v>59150589</v>
      </c>
      <c r="AS482">
        <v>0</v>
      </c>
      <c r="AT482">
        <v>6572199</v>
      </c>
      <c r="AU482">
        <v>59150589</v>
      </c>
      <c r="AV482">
        <v>65722789</v>
      </c>
      <c r="AW482">
        <v>10.164199999999999</v>
      </c>
      <c r="AX482">
        <v>0.36561100000000002</v>
      </c>
      <c r="AY482">
        <v>1017.55</v>
      </c>
      <c r="AZ482">
        <v>359.839</v>
      </c>
      <c r="BA482">
        <v>1197</v>
      </c>
      <c r="BB482">
        <v>31</v>
      </c>
      <c r="BC482" t="str">
        <f t="shared" si="14"/>
        <v>u=10%, k=2x10^6</v>
      </c>
      <c r="BD482">
        <f t="shared" si="15"/>
        <v>0</v>
      </c>
    </row>
    <row r="483" spans="1:56">
      <c r="A483" t="s">
        <v>567</v>
      </c>
      <c r="B483" t="s">
        <v>64</v>
      </c>
      <c r="C483">
        <v>72</v>
      </c>
      <c r="D483" t="s">
        <v>65</v>
      </c>
      <c r="E483" t="s">
        <v>60</v>
      </c>
      <c r="F483" t="s">
        <v>61</v>
      </c>
      <c r="G483">
        <v>30000</v>
      </c>
      <c r="H483">
        <v>5</v>
      </c>
      <c r="I483">
        <v>5</v>
      </c>
      <c r="J483">
        <v>0</v>
      </c>
      <c r="K483">
        <v>1</v>
      </c>
      <c r="L483">
        <v>2000000</v>
      </c>
      <c r="M483">
        <v>48</v>
      </c>
      <c r="N483">
        <v>48</v>
      </c>
      <c r="O483">
        <v>48</v>
      </c>
      <c r="P483">
        <v>0</v>
      </c>
      <c r="Q483" t="s">
        <v>62</v>
      </c>
      <c r="R483">
        <v>998255296648</v>
      </c>
      <c r="S483">
        <v>998629</v>
      </c>
      <c r="T483">
        <v>998255296648</v>
      </c>
      <c r="U483">
        <v>998629</v>
      </c>
      <c r="V483" t="s">
        <v>75</v>
      </c>
      <c r="W483">
        <v>6</v>
      </c>
      <c r="X483">
        <v>82268</v>
      </c>
      <c r="Y483">
        <v>1131701</v>
      </c>
      <c r="Z483">
        <v>1213969</v>
      </c>
      <c r="AA483">
        <v>998629</v>
      </c>
      <c r="AB483">
        <v>14.7563</v>
      </c>
      <c r="AC483">
        <v>0.88241400000000003</v>
      </c>
      <c r="AD483">
        <v>1.8226100000000001</v>
      </c>
      <c r="AE483">
        <v>3.1068799999999999</v>
      </c>
      <c r="AM483">
        <v>2634044703</v>
      </c>
      <c r="AN483">
        <v>0</v>
      </c>
      <c r="AO483">
        <v>292660801</v>
      </c>
      <c r="AP483">
        <v>2634044703</v>
      </c>
      <c r="AQ483">
        <v>2926705504</v>
      </c>
      <c r="AR483">
        <v>87801490</v>
      </c>
      <c r="AS483">
        <v>0</v>
      </c>
      <c r="AT483">
        <v>9755360</v>
      </c>
      <c r="AU483">
        <v>87801490</v>
      </c>
      <c r="AV483">
        <v>97556850</v>
      </c>
      <c r="AW483">
        <v>10.305300000000001</v>
      </c>
      <c r="AX483">
        <v>0.47353200000000001</v>
      </c>
      <c r="AY483">
        <v>1358.2</v>
      </c>
      <c r="AZ483">
        <v>574.26199999999994</v>
      </c>
      <c r="BA483">
        <v>1236</v>
      </c>
      <c r="BB483">
        <v>84</v>
      </c>
      <c r="BC483" t="str">
        <f t="shared" si="14"/>
        <v>u=10%, k=2x10^6</v>
      </c>
      <c r="BD483">
        <f t="shared" si="15"/>
        <v>0</v>
      </c>
    </row>
    <row r="484" spans="1:56">
      <c r="A484" t="s">
        <v>568</v>
      </c>
      <c r="B484" t="s">
        <v>64</v>
      </c>
      <c r="C484">
        <v>72</v>
      </c>
      <c r="D484" t="s">
        <v>65</v>
      </c>
      <c r="E484" t="s">
        <v>60</v>
      </c>
      <c r="F484" t="s">
        <v>61</v>
      </c>
      <c r="G484">
        <v>30000</v>
      </c>
      <c r="H484">
        <v>5</v>
      </c>
      <c r="I484">
        <v>5</v>
      </c>
      <c r="J484">
        <v>0</v>
      </c>
      <c r="K484">
        <v>1</v>
      </c>
      <c r="L484">
        <v>2000000</v>
      </c>
      <c r="M484">
        <v>96</v>
      </c>
      <c r="N484">
        <v>96</v>
      </c>
      <c r="O484">
        <v>96</v>
      </c>
      <c r="P484">
        <v>0</v>
      </c>
      <c r="Q484" t="s">
        <v>62</v>
      </c>
      <c r="R484">
        <v>1000226552540</v>
      </c>
      <c r="S484">
        <v>1000310</v>
      </c>
      <c r="T484">
        <v>1000226552540</v>
      </c>
      <c r="U484">
        <v>1000310</v>
      </c>
      <c r="V484" t="s">
        <v>75</v>
      </c>
      <c r="W484">
        <v>6</v>
      </c>
      <c r="X484">
        <v>56673</v>
      </c>
      <c r="Y484">
        <v>1081063</v>
      </c>
      <c r="Z484">
        <v>1137736</v>
      </c>
      <c r="AA484">
        <v>1000310</v>
      </c>
      <c r="AB484">
        <v>20.075500000000002</v>
      </c>
      <c r="AC484">
        <v>0.92530199999999996</v>
      </c>
      <c r="AD484">
        <v>1.87921</v>
      </c>
      <c r="AE484">
        <v>3.0502500000000001</v>
      </c>
      <c r="AM484">
        <v>4153789159</v>
      </c>
      <c r="AN484">
        <v>0</v>
      </c>
      <c r="AO484">
        <v>461522251</v>
      </c>
      <c r="AP484">
        <v>4153789159</v>
      </c>
      <c r="AQ484">
        <v>4615311410</v>
      </c>
      <c r="AR484">
        <v>138459638</v>
      </c>
      <c r="AS484">
        <v>0</v>
      </c>
      <c r="AT484">
        <v>15384075</v>
      </c>
      <c r="AU484">
        <v>138459638</v>
      </c>
      <c r="AV484">
        <v>153843713</v>
      </c>
      <c r="AW484">
        <v>11.040900000000001</v>
      </c>
      <c r="AX484">
        <v>1.63121</v>
      </c>
      <c r="AY484">
        <v>1735.26</v>
      </c>
      <c r="AZ484">
        <v>928.57399999999996</v>
      </c>
      <c r="BA484">
        <v>1335</v>
      </c>
      <c r="BB484">
        <v>99</v>
      </c>
      <c r="BC484" t="str">
        <f t="shared" si="14"/>
        <v>u=10%, k=2x10^6</v>
      </c>
      <c r="BD484">
        <f t="shared" si="15"/>
        <v>0</v>
      </c>
    </row>
    <row r="485" spans="1:56">
      <c r="A485" t="s">
        <v>569</v>
      </c>
      <c r="B485" t="s">
        <v>64</v>
      </c>
      <c r="C485">
        <v>72</v>
      </c>
      <c r="D485" t="s">
        <v>65</v>
      </c>
      <c r="E485" t="s">
        <v>60</v>
      </c>
      <c r="F485" t="s">
        <v>61</v>
      </c>
      <c r="G485">
        <v>30000</v>
      </c>
      <c r="H485">
        <v>5</v>
      </c>
      <c r="I485">
        <v>5</v>
      </c>
      <c r="J485">
        <v>0</v>
      </c>
      <c r="K485">
        <v>1</v>
      </c>
      <c r="L485">
        <v>2000000</v>
      </c>
      <c r="M485">
        <v>144</v>
      </c>
      <c r="N485">
        <v>144</v>
      </c>
      <c r="O485">
        <v>144</v>
      </c>
      <c r="P485">
        <v>0</v>
      </c>
      <c r="Q485" t="s">
        <v>62</v>
      </c>
      <c r="R485">
        <v>998588945540</v>
      </c>
      <c r="S485">
        <v>999088</v>
      </c>
      <c r="T485">
        <v>998588945540</v>
      </c>
      <c r="U485">
        <v>999088</v>
      </c>
      <c r="V485" t="s">
        <v>75</v>
      </c>
      <c r="W485">
        <v>6</v>
      </c>
      <c r="X485">
        <v>51610</v>
      </c>
      <c r="Y485">
        <v>1068943</v>
      </c>
      <c r="Z485">
        <v>1120553</v>
      </c>
      <c r="AA485">
        <v>999088</v>
      </c>
      <c r="AB485">
        <v>21.7119</v>
      </c>
      <c r="AC485">
        <v>0.93464999999999998</v>
      </c>
      <c r="AD485">
        <v>1.8915999999999999</v>
      </c>
      <c r="AE485">
        <v>3.0386799999999998</v>
      </c>
      <c r="AM485">
        <v>5325572305</v>
      </c>
      <c r="AN485">
        <v>0</v>
      </c>
      <c r="AO485">
        <v>591731560</v>
      </c>
      <c r="AP485">
        <v>5325572305</v>
      </c>
      <c r="AQ485">
        <v>5917303865</v>
      </c>
      <c r="AR485">
        <v>177519076</v>
      </c>
      <c r="AS485">
        <v>0</v>
      </c>
      <c r="AT485">
        <v>19724385</v>
      </c>
      <c r="AU485">
        <v>177519076</v>
      </c>
      <c r="AV485">
        <v>197243462</v>
      </c>
      <c r="AW485">
        <v>12.1997</v>
      </c>
      <c r="AX485">
        <v>2.7475000000000001</v>
      </c>
      <c r="AY485">
        <v>2023.18</v>
      </c>
      <c r="AZ485">
        <v>1195.43</v>
      </c>
      <c r="BA485">
        <v>1472</v>
      </c>
      <c r="BB485">
        <v>261</v>
      </c>
      <c r="BC485" t="str">
        <f t="shared" si="14"/>
        <v>u=10%, k=2x10^6</v>
      </c>
      <c r="BD485">
        <f t="shared" si="15"/>
        <v>0</v>
      </c>
    </row>
    <row r="486" spans="1:56">
      <c r="A486" t="s">
        <v>570</v>
      </c>
      <c r="B486" t="s">
        <v>64</v>
      </c>
      <c r="C486">
        <v>72</v>
      </c>
      <c r="D486" t="s">
        <v>65</v>
      </c>
      <c r="E486" t="s">
        <v>60</v>
      </c>
      <c r="F486" t="s">
        <v>61</v>
      </c>
      <c r="G486">
        <v>30000</v>
      </c>
      <c r="H486">
        <v>5</v>
      </c>
      <c r="I486">
        <v>5</v>
      </c>
      <c r="J486">
        <v>0</v>
      </c>
      <c r="K486">
        <v>1</v>
      </c>
      <c r="L486">
        <v>2000000</v>
      </c>
      <c r="M486">
        <v>190</v>
      </c>
      <c r="N486">
        <v>190</v>
      </c>
      <c r="O486">
        <v>190</v>
      </c>
      <c r="P486">
        <v>0</v>
      </c>
      <c r="Q486" t="s">
        <v>62</v>
      </c>
      <c r="R486">
        <v>999764645917</v>
      </c>
      <c r="S486">
        <v>999921</v>
      </c>
      <c r="T486">
        <v>999764645917</v>
      </c>
      <c r="U486">
        <v>999921</v>
      </c>
      <c r="V486" t="s">
        <v>75</v>
      </c>
      <c r="W486">
        <v>6</v>
      </c>
      <c r="X486">
        <v>55422</v>
      </c>
      <c r="Y486">
        <v>1077565</v>
      </c>
      <c r="Z486">
        <v>1132987</v>
      </c>
      <c r="AA486">
        <v>999921</v>
      </c>
      <c r="AB486">
        <v>20.442900000000002</v>
      </c>
      <c r="AC486">
        <v>0.92794500000000002</v>
      </c>
      <c r="AD486">
        <v>1.8825499999999999</v>
      </c>
      <c r="AE486">
        <v>3.0468799999999998</v>
      </c>
      <c r="AM486">
        <v>6462374878</v>
      </c>
      <c r="AN486">
        <v>0</v>
      </c>
      <c r="AO486">
        <v>718091023</v>
      </c>
      <c r="AP486">
        <v>6462374878</v>
      </c>
      <c r="AQ486">
        <v>7180465901</v>
      </c>
      <c r="AR486">
        <v>215412495</v>
      </c>
      <c r="AS486">
        <v>0</v>
      </c>
      <c r="AT486">
        <v>23936367</v>
      </c>
      <c r="AU486">
        <v>215412495</v>
      </c>
      <c r="AV486">
        <v>239348863</v>
      </c>
      <c r="AW486">
        <v>12.3866</v>
      </c>
      <c r="AX486">
        <v>3.1609699999999998</v>
      </c>
      <c r="AY486">
        <v>2203.11</v>
      </c>
      <c r="AZ486">
        <v>1374.42</v>
      </c>
      <c r="BA486">
        <v>1598</v>
      </c>
      <c r="BB486">
        <v>309</v>
      </c>
      <c r="BC486" t="str">
        <f t="shared" si="14"/>
        <v>u=10%, k=2x10^6</v>
      </c>
      <c r="BD486">
        <f t="shared" si="15"/>
        <v>0</v>
      </c>
    </row>
    <row r="487" spans="1:56">
      <c r="A487" t="s">
        <v>571</v>
      </c>
      <c r="B487" t="s">
        <v>66</v>
      </c>
      <c r="C487">
        <v>208</v>
      </c>
      <c r="D487" t="s">
        <v>65</v>
      </c>
      <c r="E487" t="s">
        <v>60</v>
      </c>
      <c r="F487" t="s">
        <v>61</v>
      </c>
      <c r="G487">
        <v>30000</v>
      </c>
      <c r="H487">
        <v>5</v>
      </c>
      <c r="I487">
        <v>5</v>
      </c>
      <c r="J487">
        <v>0</v>
      </c>
      <c r="K487">
        <v>1</v>
      </c>
      <c r="L487">
        <v>2000000</v>
      </c>
      <c r="M487">
        <v>24</v>
      </c>
      <c r="N487">
        <v>24</v>
      </c>
      <c r="O487">
        <v>24</v>
      </c>
      <c r="P487">
        <v>0</v>
      </c>
      <c r="Q487" t="s">
        <v>62</v>
      </c>
      <c r="R487">
        <v>999718552523</v>
      </c>
      <c r="S487">
        <v>999737</v>
      </c>
      <c r="T487">
        <v>999718552523</v>
      </c>
      <c r="U487">
        <v>999737</v>
      </c>
      <c r="V487" t="s">
        <v>75</v>
      </c>
      <c r="W487">
        <v>8</v>
      </c>
      <c r="X487">
        <v>32806</v>
      </c>
      <c r="Y487">
        <v>195362</v>
      </c>
      <c r="Z487">
        <v>228168</v>
      </c>
      <c r="AA487">
        <v>999737</v>
      </c>
      <c r="AB487">
        <v>6.9550700000000001</v>
      </c>
      <c r="AC487">
        <v>5.1173599999999997</v>
      </c>
      <c r="AD487">
        <v>5.3815799999999996</v>
      </c>
      <c r="AE487">
        <v>7</v>
      </c>
      <c r="AM487">
        <v>1442761793</v>
      </c>
      <c r="AN487">
        <v>0</v>
      </c>
      <c r="AO487">
        <v>160288749</v>
      </c>
      <c r="AP487">
        <v>1442761793</v>
      </c>
      <c r="AQ487">
        <v>1603050542</v>
      </c>
      <c r="AR487">
        <v>48092059</v>
      </c>
      <c r="AS487">
        <v>0</v>
      </c>
      <c r="AT487">
        <v>5342958</v>
      </c>
      <c r="AU487">
        <v>48092059</v>
      </c>
      <c r="AV487">
        <v>53435018</v>
      </c>
      <c r="AW487">
        <v>10.4115</v>
      </c>
      <c r="AX487">
        <v>0.99288799999999999</v>
      </c>
      <c r="AY487">
        <v>1252.53</v>
      </c>
      <c r="AZ487">
        <v>406.82499999999999</v>
      </c>
      <c r="BA487">
        <v>1125</v>
      </c>
      <c r="BB487">
        <v>159</v>
      </c>
      <c r="BC487" t="str">
        <f t="shared" si="14"/>
        <v>u=10%, k=2x10^6</v>
      </c>
      <c r="BD487">
        <f t="shared" si="15"/>
        <v>0</v>
      </c>
    </row>
    <row r="488" spans="1:56">
      <c r="A488" t="s">
        <v>572</v>
      </c>
      <c r="B488" t="s">
        <v>66</v>
      </c>
      <c r="C488">
        <v>208</v>
      </c>
      <c r="D488" t="s">
        <v>65</v>
      </c>
      <c r="E488" t="s">
        <v>60</v>
      </c>
      <c r="F488" t="s">
        <v>61</v>
      </c>
      <c r="G488">
        <v>30000</v>
      </c>
      <c r="H488">
        <v>5</v>
      </c>
      <c r="I488">
        <v>5</v>
      </c>
      <c r="J488">
        <v>0</v>
      </c>
      <c r="K488">
        <v>1</v>
      </c>
      <c r="L488">
        <v>2000000</v>
      </c>
      <c r="M488">
        <v>48</v>
      </c>
      <c r="N488">
        <v>48</v>
      </c>
      <c r="O488">
        <v>48</v>
      </c>
      <c r="P488">
        <v>0</v>
      </c>
      <c r="Q488" t="s">
        <v>62</v>
      </c>
      <c r="R488">
        <v>999119700641</v>
      </c>
      <c r="S488">
        <v>1000336</v>
      </c>
      <c r="T488">
        <v>999119700641</v>
      </c>
      <c r="U488">
        <v>1000336</v>
      </c>
      <c r="V488" t="s">
        <v>75</v>
      </c>
      <c r="W488">
        <v>8</v>
      </c>
      <c r="X488">
        <v>33642</v>
      </c>
      <c r="Y488">
        <v>195105</v>
      </c>
      <c r="Z488">
        <v>228747</v>
      </c>
      <c r="AA488">
        <v>1000336</v>
      </c>
      <c r="AB488">
        <v>6.7994500000000002</v>
      </c>
      <c r="AC488">
        <v>5.1271699999999996</v>
      </c>
      <c r="AD488">
        <v>5.3731099999999996</v>
      </c>
      <c r="AE488">
        <v>7</v>
      </c>
      <c r="AM488">
        <v>2294258930</v>
      </c>
      <c r="AN488">
        <v>0</v>
      </c>
      <c r="AO488">
        <v>254898055</v>
      </c>
      <c r="AP488">
        <v>2294258930</v>
      </c>
      <c r="AQ488">
        <v>2549156985</v>
      </c>
      <c r="AR488">
        <v>76475297</v>
      </c>
      <c r="AS488">
        <v>0</v>
      </c>
      <c r="AT488">
        <v>8496601</v>
      </c>
      <c r="AU488">
        <v>76475297</v>
      </c>
      <c r="AV488">
        <v>84971899</v>
      </c>
      <c r="AW488">
        <v>10.5656</v>
      </c>
      <c r="AX488">
        <v>1.0900300000000001</v>
      </c>
      <c r="AY488">
        <v>1537.67</v>
      </c>
      <c r="AZ488">
        <v>649.57399999999996</v>
      </c>
      <c r="BA488">
        <v>1139</v>
      </c>
      <c r="BB488">
        <v>203</v>
      </c>
      <c r="BC488" t="str">
        <f t="shared" si="14"/>
        <v>u=10%, k=2x10^6</v>
      </c>
      <c r="BD488">
        <f t="shared" si="15"/>
        <v>0</v>
      </c>
    </row>
    <row r="489" spans="1:56">
      <c r="A489" t="s">
        <v>573</v>
      </c>
      <c r="B489" t="s">
        <v>66</v>
      </c>
      <c r="C489">
        <v>208</v>
      </c>
      <c r="D489" t="s">
        <v>65</v>
      </c>
      <c r="E489" t="s">
        <v>60</v>
      </c>
      <c r="F489" t="s">
        <v>61</v>
      </c>
      <c r="G489">
        <v>30000</v>
      </c>
      <c r="H489">
        <v>5</v>
      </c>
      <c r="I489">
        <v>5</v>
      </c>
      <c r="J489">
        <v>0</v>
      </c>
      <c r="K489">
        <v>1</v>
      </c>
      <c r="L489">
        <v>2000000</v>
      </c>
      <c r="M489">
        <v>96</v>
      </c>
      <c r="N489">
        <v>96</v>
      </c>
      <c r="O489">
        <v>96</v>
      </c>
      <c r="P489">
        <v>0</v>
      </c>
      <c r="Q489" t="s">
        <v>62</v>
      </c>
      <c r="R489">
        <v>999972523496</v>
      </c>
      <c r="S489">
        <v>999930</v>
      </c>
      <c r="T489">
        <v>999972523496</v>
      </c>
      <c r="U489">
        <v>999930</v>
      </c>
      <c r="V489" t="s">
        <v>75</v>
      </c>
      <c r="W489">
        <v>8</v>
      </c>
      <c r="X489">
        <v>34515</v>
      </c>
      <c r="Y489">
        <v>195012</v>
      </c>
      <c r="Z489">
        <v>229527</v>
      </c>
      <c r="AA489">
        <v>999930</v>
      </c>
      <c r="AB489">
        <v>6.6500700000000004</v>
      </c>
      <c r="AC489">
        <v>5.1275300000000001</v>
      </c>
      <c r="AD489">
        <v>5.3564800000000004</v>
      </c>
      <c r="AE489">
        <v>7</v>
      </c>
      <c r="AM489">
        <v>4341553556</v>
      </c>
      <c r="AN489">
        <v>0</v>
      </c>
      <c r="AO489">
        <v>482383696</v>
      </c>
      <c r="AP489">
        <v>4341553556</v>
      </c>
      <c r="AQ489">
        <v>4823937252</v>
      </c>
      <c r="AR489">
        <v>144718451</v>
      </c>
      <c r="AS489">
        <v>0</v>
      </c>
      <c r="AT489">
        <v>16079456</v>
      </c>
      <c r="AU489">
        <v>144718451</v>
      </c>
      <c r="AV489">
        <v>160797908</v>
      </c>
      <c r="AW489">
        <v>11.0603</v>
      </c>
      <c r="AX489">
        <v>1.83494</v>
      </c>
      <c r="AY489">
        <v>1631.28</v>
      </c>
      <c r="AZ489">
        <v>716.83</v>
      </c>
      <c r="BA489">
        <v>1168</v>
      </c>
      <c r="BB489">
        <v>331</v>
      </c>
      <c r="BC489" t="str">
        <f t="shared" si="14"/>
        <v>u=10%, k=2x10^6</v>
      </c>
      <c r="BD489">
        <f t="shared" si="15"/>
        <v>0</v>
      </c>
    </row>
    <row r="490" spans="1:56">
      <c r="A490" t="s">
        <v>574</v>
      </c>
      <c r="B490" t="s">
        <v>66</v>
      </c>
      <c r="C490">
        <v>208</v>
      </c>
      <c r="D490" t="s">
        <v>65</v>
      </c>
      <c r="E490" t="s">
        <v>60</v>
      </c>
      <c r="F490" t="s">
        <v>61</v>
      </c>
      <c r="G490">
        <v>30000</v>
      </c>
      <c r="H490">
        <v>5</v>
      </c>
      <c r="I490">
        <v>5</v>
      </c>
      <c r="J490">
        <v>0</v>
      </c>
      <c r="K490">
        <v>1</v>
      </c>
      <c r="L490">
        <v>2000000</v>
      </c>
      <c r="M490">
        <v>144</v>
      </c>
      <c r="N490">
        <v>144</v>
      </c>
      <c r="O490">
        <v>144</v>
      </c>
      <c r="P490">
        <v>0</v>
      </c>
      <c r="Q490" t="s">
        <v>62</v>
      </c>
      <c r="R490">
        <v>998999409333</v>
      </c>
      <c r="S490">
        <v>999359</v>
      </c>
      <c r="T490">
        <v>998999409333</v>
      </c>
      <c r="U490">
        <v>999359</v>
      </c>
      <c r="V490" t="s">
        <v>75</v>
      </c>
      <c r="W490">
        <v>8</v>
      </c>
      <c r="X490">
        <v>35124</v>
      </c>
      <c r="Y490">
        <v>195017</v>
      </c>
      <c r="Z490">
        <v>230141</v>
      </c>
      <c r="AA490">
        <v>999359</v>
      </c>
      <c r="AB490">
        <v>6.5522400000000003</v>
      </c>
      <c r="AC490">
        <v>5.1244699999999996</v>
      </c>
      <c r="AD490">
        <v>5.3423800000000004</v>
      </c>
      <c r="AE490">
        <v>7</v>
      </c>
      <c r="AM490">
        <v>6288939908</v>
      </c>
      <c r="AN490">
        <v>0</v>
      </c>
      <c r="AO490">
        <v>698771978</v>
      </c>
      <c r="AP490">
        <v>6288939908</v>
      </c>
      <c r="AQ490">
        <v>6987711886</v>
      </c>
      <c r="AR490">
        <v>209631330</v>
      </c>
      <c r="AS490">
        <v>0</v>
      </c>
      <c r="AT490">
        <v>23292399</v>
      </c>
      <c r="AU490">
        <v>209631330</v>
      </c>
      <c r="AV490">
        <v>232923729</v>
      </c>
      <c r="AW490">
        <v>11.3078</v>
      </c>
      <c r="AX490">
        <v>2.1408399999999999</v>
      </c>
      <c r="AY490">
        <v>1667.14</v>
      </c>
      <c r="AZ490">
        <v>744.65</v>
      </c>
      <c r="BA490">
        <v>1191</v>
      </c>
      <c r="BB490">
        <v>326</v>
      </c>
      <c r="BC490" t="str">
        <f t="shared" si="14"/>
        <v>u=10%, k=2x10^6</v>
      </c>
      <c r="BD490">
        <f t="shared" si="15"/>
        <v>0</v>
      </c>
    </row>
    <row r="491" spans="1:56">
      <c r="A491" t="s">
        <v>575</v>
      </c>
      <c r="B491" t="s">
        <v>66</v>
      </c>
      <c r="C491">
        <v>208</v>
      </c>
      <c r="D491" t="s">
        <v>65</v>
      </c>
      <c r="E491" t="s">
        <v>60</v>
      </c>
      <c r="F491" t="s">
        <v>61</v>
      </c>
      <c r="G491">
        <v>30000</v>
      </c>
      <c r="H491">
        <v>5</v>
      </c>
      <c r="I491">
        <v>5</v>
      </c>
      <c r="J491">
        <v>0</v>
      </c>
      <c r="K491">
        <v>1</v>
      </c>
      <c r="L491">
        <v>2000000</v>
      </c>
      <c r="M491">
        <v>190</v>
      </c>
      <c r="N491">
        <v>190</v>
      </c>
      <c r="O491">
        <v>190</v>
      </c>
      <c r="P491">
        <v>0</v>
      </c>
      <c r="Q491" t="s">
        <v>62</v>
      </c>
      <c r="R491">
        <v>1000463678318</v>
      </c>
      <c r="S491">
        <v>1000061</v>
      </c>
      <c r="T491">
        <v>1000463678318</v>
      </c>
      <c r="U491">
        <v>1000061</v>
      </c>
      <c r="V491" t="s">
        <v>75</v>
      </c>
      <c r="W491">
        <v>8</v>
      </c>
      <c r="X491">
        <v>35291</v>
      </c>
      <c r="Y491">
        <v>194963</v>
      </c>
      <c r="Z491">
        <v>230254</v>
      </c>
      <c r="AA491">
        <v>1000061</v>
      </c>
      <c r="AB491">
        <v>6.5244400000000002</v>
      </c>
      <c r="AC491">
        <v>5.1294899999999997</v>
      </c>
      <c r="AD491">
        <v>5.3432899999999997</v>
      </c>
      <c r="AE491">
        <v>7</v>
      </c>
      <c r="AM491">
        <v>8098964970</v>
      </c>
      <c r="AN491">
        <v>0</v>
      </c>
      <c r="AO491">
        <v>899940457</v>
      </c>
      <c r="AP491">
        <v>8098964970</v>
      </c>
      <c r="AQ491">
        <v>8998905427</v>
      </c>
      <c r="AR491">
        <v>269965499</v>
      </c>
      <c r="AS491">
        <v>0</v>
      </c>
      <c r="AT491">
        <v>29998015</v>
      </c>
      <c r="AU491">
        <v>269965499</v>
      </c>
      <c r="AV491">
        <v>299963514</v>
      </c>
      <c r="AW491">
        <v>11.733499999999999</v>
      </c>
      <c r="AX491">
        <v>2.3733399999999998</v>
      </c>
      <c r="AY491">
        <v>1713.34</v>
      </c>
      <c r="AZ491">
        <v>781.64300000000003</v>
      </c>
      <c r="BA491">
        <v>1222</v>
      </c>
      <c r="BB491">
        <v>329</v>
      </c>
      <c r="BC491" t="str">
        <f t="shared" si="14"/>
        <v>u=10%, k=2x10^6</v>
      </c>
      <c r="BD491">
        <f t="shared" si="15"/>
        <v>0</v>
      </c>
    </row>
    <row r="492" spans="1:56">
      <c r="A492" t="s">
        <v>576</v>
      </c>
      <c r="B492" t="s">
        <v>67</v>
      </c>
      <c r="D492" t="s">
        <v>65</v>
      </c>
      <c r="E492" t="s">
        <v>60</v>
      </c>
      <c r="F492" t="s">
        <v>61</v>
      </c>
      <c r="G492">
        <v>30000</v>
      </c>
      <c r="H492">
        <v>5</v>
      </c>
      <c r="I492">
        <v>5</v>
      </c>
      <c r="J492">
        <v>0</v>
      </c>
      <c r="K492">
        <v>1</v>
      </c>
      <c r="L492">
        <v>2000000</v>
      </c>
      <c r="M492">
        <v>24</v>
      </c>
      <c r="N492">
        <v>24</v>
      </c>
      <c r="O492">
        <v>24</v>
      </c>
      <c r="P492">
        <v>0</v>
      </c>
      <c r="Q492" t="s">
        <v>62</v>
      </c>
      <c r="R492">
        <v>999166159393</v>
      </c>
      <c r="S492">
        <v>999198</v>
      </c>
      <c r="T492">
        <v>999166159393</v>
      </c>
      <c r="U492">
        <v>999198</v>
      </c>
      <c r="V492" t="s">
        <v>75</v>
      </c>
      <c r="W492">
        <v>25</v>
      </c>
      <c r="X492">
        <v>685083</v>
      </c>
      <c r="Y492">
        <v>521022</v>
      </c>
      <c r="Z492">
        <v>1206105</v>
      </c>
      <c r="AA492">
        <v>999198</v>
      </c>
      <c r="AB492">
        <v>1.7605200000000001</v>
      </c>
      <c r="AC492">
        <v>1.91777</v>
      </c>
      <c r="AD492">
        <v>1.8284499999999999</v>
      </c>
      <c r="AE492">
        <v>19.848400000000002</v>
      </c>
      <c r="AM492">
        <v>733050831</v>
      </c>
      <c r="AN492">
        <v>0</v>
      </c>
      <c r="AO492">
        <v>81444970</v>
      </c>
      <c r="AP492">
        <v>733050831</v>
      </c>
      <c r="AQ492">
        <v>814495801</v>
      </c>
      <c r="AR492">
        <v>24435027</v>
      </c>
      <c r="AS492">
        <v>0</v>
      </c>
      <c r="AT492">
        <v>2714832</v>
      </c>
      <c r="AU492">
        <v>24435027</v>
      </c>
      <c r="AV492">
        <v>27149860</v>
      </c>
      <c r="AW492">
        <v>16.228899999999999</v>
      </c>
      <c r="AX492">
        <v>2.6395900000000001</v>
      </c>
      <c r="AY492">
        <v>2465.77</v>
      </c>
      <c r="AZ492">
        <v>1365.64</v>
      </c>
      <c r="BA492">
        <v>1155</v>
      </c>
      <c r="BB492">
        <v>192</v>
      </c>
      <c r="BC492" t="str">
        <f t="shared" si="14"/>
        <v>u=10%, k=2x10^6</v>
      </c>
      <c r="BD492">
        <f t="shared" si="15"/>
        <v>0</v>
      </c>
    </row>
    <row r="493" spans="1:56">
      <c r="A493" t="s">
        <v>577</v>
      </c>
      <c r="B493" t="s">
        <v>67</v>
      </c>
      <c r="D493" t="s">
        <v>65</v>
      </c>
      <c r="E493" t="s">
        <v>60</v>
      </c>
      <c r="F493" t="s">
        <v>61</v>
      </c>
      <c r="G493">
        <v>30000</v>
      </c>
      <c r="H493">
        <v>5</v>
      </c>
      <c r="I493">
        <v>5</v>
      </c>
      <c r="J493">
        <v>0</v>
      </c>
      <c r="K493">
        <v>1</v>
      </c>
      <c r="L493">
        <v>2000000</v>
      </c>
      <c r="M493">
        <v>48</v>
      </c>
      <c r="N493">
        <v>48</v>
      </c>
      <c r="O493">
        <v>48</v>
      </c>
      <c r="P493">
        <v>0</v>
      </c>
      <c r="Q493" t="s">
        <v>62</v>
      </c>
      <c r="R493">
        <v>1000943475867</v>
      </c>
      <c r="S493">
        <v>1000314</v>
      </c>
      <c r="T493">
        <v>1000943475867</v>
      </c>
      <c r="U493">
        <v>1000314</v>
      </c>
      <c r="V493" t="s">
        <v>75</v>
      </c>
      <c r="W493">
        <v>25</v>
      </c>
      <c r="X493">
        <v>686490</v>
      </c>
      <c r="Y493">
        <v>520873</v>
      </c>
      <c r="Z493">
        <v>1207363</v>
      </c>
      <c r="AA493">
        <v>1000314</v>
      </c>
      <c r="AB493">
        <v>1.75875</v>
      </c>
      <c r="AC493">
        <v>1.9204600000000001</v>
      </c>
      <c r="AD493">
        <v>1.8285100000000001</v>
      </c>
      <c r="AE493">
        <v>19.843699999999998</v>
      </c>
      <c r="AM493">
        <v>1276462616</v>
      </c>
      <c r="AN493">
        <v>0</v>
      </c>
      <c r="AO493">
        <v>141828567</v>
      </c>
      <c r="AP493">
        <v>1276462616</v>
      </c>
      <c r="AQ493">
        <v>1418291183</v>
      </c>
      <c r="AR493">
        <v>42548753</v>
      </c>
      <c r="AS493">
        <v>0</v>
      </c>
      <c r="AT493">
        <v>4727618</v>
      </c>
      <c r="AU493">
        <v>42548753</v>
      </c>
      <c r="AV493">
        <v>47276372</v>
      </c>
      <c r="AW493">
        <v>17.2394</v>
      </c>
      <c r="AX493">
        <v>2.7620499999999999</v>
      </c>
      <c r="AY493">
        <v>2815.41</v>
      </c>
      <c r="AZ493">
        <v>1590</v>
      </c>
      <c r="BA493">
        <v>1167</v>
      </c>
      <c r="BB493">
        <v>240</v>
      </c>
      <c r="BC493" t="str">
        <f t="shared" si="14"/>
        <v>u=10%, k=2x10^6</v>
      </c>
      <c r="BD493">
        <f t="shared" si="15"/>
        <v>0</v>
      </c>
    </row>
    <row r="494" spans="1:56">
      <c r="A494" t="s">
        <v>578</v>
      </c>
      <c r="B494" t="s">
        <v>67</v>
      </c>
      <c r="D494" t="s">
        <v>65</v>
      </c>
      <c r="E494" t="s">
        <v>60</v>
      </c>
      <c r="F494" t="s">
        <v>61</v>
      </c>
      <c r="G494">
        <v>30000</v>
      </c>
      <c r="H494">
        <v>5</v>
      </c>
      <c r="I494">
        <v>5</v>
      </c>
      <c r="J494">
        <v>0</v>
      </c>
      <c r="K494">
        <v>1</v>
      </c>
      <c r="L494">
        <v>2000000</v>
      </c>
      <c r="M494">
        <v>96</v>
      </c>
      <c r="N494">
        <v>96</v>
      </c>
      <c r="O494">
        <v>96</v>
      </c>
      <c r="P494">
        <v>0</v>
      </c>
      <c r="Q494" t="s">
        <v>62</v>
      </c>
      <c r="R494">
        <v>1001592142760</v>
      </c>
      <c r="S494">
        <v>1000871</v>
      </c>
      <c r="T494">
        <v>1001592142760</v>
      </c>
      <c r="U494">
        <v>1000871</v>
      </c>
      <c r="V494" t="s">
        <v>75</v>
      </c>
      <c r="W494">
        <v>25</v>
      </c>
      <c r="X494">
        <v>686529</v>
      </c>
      <c r="Y494">
        <v>521087</v>
      </c>
      <c r="Z494">
        <v>1207616</v>
      </c>
      <c r="AA494">
        <v>1000871</v>
      </c>
      <c r="AB494">
        <v>1.75902</v>
      </c>
      <c r="AC494">
        <v>1.9207399999999999</v>
      </c>
      <c r="AD494">
        <v>1.8288</v>
      </c>
      <c r="AE494">
        <v>19.814499999999999</v>
      </c>
      <c r="AM494">
        <v>2554442765</v>
      </c>
      <c r="AN494">
        <v>0</v>
      </c>
      <c r="AO494">
        <v>283834036</v>
      </c>
      <c r="AP494">
        <v>2554442765</v>
      </c>
      <c r="AQ494">
        <v>2838276801</v>
      </c>
      <c r="AR494">
        <v>85148092</v>
      </c>
      <c r="AS494">
        <v>0</v>
      </c>
      <c r="AT494">
        <v>9461134</v>
      </c>
      <c r="AU494">
        <v>85148092</v>
      </c>
      <c r="AV494">
        <v>94609226</v>
      </c>
      <c r="AW494">
        <v>17.834900000000001</v>
      </c>
      <c r="AX494">
        <v>3.2418999999999998</v>
      </c>
      <c r="AY494">
        <v>2814.75</v>
      </c>
      <c r="AZ494">
        <v>1550.95</v>
      </c>
      <c r="BA494">
        <v>1191</v>
      </c>
      <c r="BB494">
        <v>367</v>
      </c>
      <c r="BC494" t="str">
        <f t="shared" si="14"/>
        <v>u=10%, k=2x10^6</v>
      </c>
      <c r="BD494">
        <f t="shared" si="15"/>
        <v>0</v>
      </c>
    </row>
    <row r="495" spans="1:56">
      <c r="A495" t="s">
        <v>579</v>
      </c>
      <c r="B495" t="s">
        <v>67</v>
      </c>
      <c r="D495" t="s">
        <v>65</v>
      </c>
      <c r="E495" t="s">
        <v>60</v>
      </c>
      <c r="F495" t="s">
        <v>61</v>
      </c>
      <c r="G495">
        <v>30000</v>
      </c>
      <c r="H495">
        <v>5</v>
      </c>
      <c r="I495">
        <v>5</v>
      </c>
      <c r="J495">
        <v>0</v>
      </c>
      <c r="K495">
        <v>1</v>
      </c>
      <c r="L495">
        <v>2000000</v>
      </c>
      <c r="M495">
        <v>144</v>
      </c>
      <c r="N495">
        <v>144</v>
      </c>
      <c r="O495">
        <v>144</v>
      </c>
      <c r="P495">
        <v>0</v>
      </c>
      <c r="Q495" t="s">
        <v>62</v>
      </c>
      <c r="R495">
        <v>1000548634800</v>
      </c>
      <c r="S495">
        <v>1000230</v>
      </c>
      <c r="T495">
        <v>1000548634800</v>
      </c>
      <c r="U495">
        <v>1000230</v>
      </c>
      <c r="V495" t="s">
        <v>75</v>
      </c>
      <c r="W495">
        <v>25</v>
      </c>
      <c r="X495">
        <v>686138</v>
      </c>
      <c r="Y495">
        <v>520781</v>
      </c>
      <c r="Z495">
        <v>1206919</v>
      </c>
      <c r="AA495">
        <v>1000230</v>
      </c>
      <c r="AB495">
        <v>1.7589999999999999</v>
      </c>
      <c r="AC495">
        <v>1.9206300000000001</v>
      </c>
      <c r="AD495">
        <v>1.8287500000000001</v>
      </c>
      <c r="AE495">
        <v>19.8324</v>
      </c>
      <c r="AM495">
        <v>3739762902</v>
      </c>
      <c r="AN495">
        <v>0</v>
      </c>
      <c r="AO495">
        <v>415558736</v>
      </c>
      <c r="AP495">
        <v>3739762902</v>
      </c>
      <c r="AQ495">
        <v>4155321638</v>
      </c>
      <c r="AR495">
        <v>124658763</v>
      </c>
      <c r="AS495">
        <v>0</v>
      </c>
      <c r="AT495">
        <v>13851957</v>
      </c>
      <c r="AU495">
        <v>124658763</v>
      </c>
      <c r="AV495">
        <v>138510721</v>
      </c>
      <c r="AW495">
        <v>18.2728</v>
      </c>
      <c r="AX495">
        <v>3.4255399999999998</v>
      </c>
      <c r="AY495">
        <v>2857.75</v>
      </c>
      <c r="AZ495">
        <v>1570.46</v>
      </c>
      <c r="BA495">
        <v>1212</v>
      </c>
      <c r="BB495">
        <v>256</v>
      </c>
      <c r="BC495" t="str">
        <f t="shared" si="14"/>
        <v>u=10%, k=2x10^6</v>
      </c>
      <c r="BD495">
        <f t="shared" si="15"/>
        <v>0</v>
      </c>
    </row>
    <row r="496" spans="1:56">
      <c r="A496" t="s">
        <v>580</v>
      </c>
      <c r="B496" t="s">
        <v>67</v>
      </c>
      <c r="D496" t="s">
        <v>65</v>
      </c>
      <c r="E496" t="s">
        <v>60</v>
      </c>
      <c r="F496" t="s">
        <v>61</v>
      </c>
      <c r="G496">
        <v>30000</v>
      </c>
      <c r="H496">
        <v>5</v>
      </c>
      <c r="I496">
        <v>5</v>
      </c>
      <c r="J496">
        <v>0</v>
      </c>
      <c r="K496">
        <v>1</v>
      </c>
      <c r="L496">
        <v>2000000</v>
      </c>
      <c r="M496">
        <v>190</v>
      </c>
      <c r="N496">
        <v>190</v>
      </c>
      <c r="O496">
        <v>190</v>
      </c>
      <c r="P496">
        <v>0</v>
      </c>
      <c r="Q496" t="s">
        <v>62</v>
      </c>
      <c r="R496">
        <v>999981308796</v>
      </c>
      <c r="S496">
        <v>999536</v>
      </c>
      <c r="T496">
        <v>999981308796</v>
      </c>
      <c r="U496">
        <v>999536</v>
      </c>
      <c r="V496" t="s">
        <v>75</v>
      </c>
      <c r="W496">
        <v>25</v>
      </c>
      <c r="X496">
        <v>685844</v>
      </c>
      <c r="Y496">
        <v>520546</v>
      </c>
      <c r="Z496">
        <v>1206390</v>
      </c>
      <c r="AA496">
        <v>999536</v>
      </c>
      <c r="AB496">
        <v>1.7589900000000001</v>
      </c>
      <c r="AC496">
        <v>1.9201699999999999</v>
      </c>
      <c r="AD496">
        <v>1.82853</v>
      </c>
      <c r="AE496">
        <v>19.811900000000001</v>
      </c>
      <c r="AM496">
        <v>4936711856</v>
      </c>
      <c r="AN496">
        <v>0</v>
      </c>
      <c r="AO496">
        <v>548542114</v>
      </c>
      <c r="AP496">
        <v>4936711856</v>
      </c>
      <c r="AQ496">
        <v>5485253970</v>
      </c>
      <c r="AR496">
        <v>164557061</v>
      </c>
      <c r="AS496">
        <v>0</v>
      </c>
      <c r="AT496">
        <v>18284737</v>
      </c>
      <c r="AU496">
        <v>164557061</v>
      </c>
      <c r="AV496">
        <v>182841799</v>
      </c>
      <c r="AW496">
        <v>18.9101</v>
      </c>
      <c r="AX496">
        <v>3.5333800000000002</v>
      </c>
      <c r="AY496">
        <v>2857.03</v>
      </c>
      <c r="AZ496">
        <v>1576.11</v>
      </c>
      <c r="BA496">
        <v>1232</v>
      </c>
      <c r="BB496">
        <v>382</v>
      </c>
      <c r="BC496" t="str">
        <f t="shared" si="14"/>
        <v>u=10%, k=2x10^6</v>
      </c>
      <c r="BD496">
        <f t="shared" si="15"/>
        <v>0</v>
      </c>
    </row>
    <row r="497" spans="1:56">
      <c r="A497" t="s">
        <v>581</v>
      </c>
      <c r="B497" t="s">
        <v>68</v>
      </c>
      <c r="D497" t="s">
        <v>65</v>
      </c>
      <c r="E497" t="s">
        <v>60</v>
      </c>
      <c r="F497" t="s">
        <v>61</v>
      </c>
      <c r="G497">
        <v>30000</v>
      </c>
      <c r="H497">
        <v>5</v>
      </c>
      <c r="I497">
        <v>5</v>
      </c>
      <c r="J497">
        <v>0</v>
      </c>
      <c r="K497">
        <v>1</v>
      </c>
      <c r="L497">
        <v>2000000</v>
      </c>
      <c r="M497">
        <v>24</v>
      </c>
      <c r="N497">
        <v>24</v>
      </c>
      <c r="O497">
        <v>24</v>
      </c>
      <c r="P497">
        <v>0</v>
      </c>
      <c r="Q497" t="s">
        <v>62</v>
      </c>
      <c r="R497">
        <v>999176932889</v>
      </c>
      <c r="S497">
        <v>998782</v>
      </c>
      <c r="T497">
        <v>999176932889</v>
      </c>
      <c r="U497">
        <v>998782</v>
      </c>
      <c r="V497" t="s">
        <v>75</v>
      </c>
      <c r="W497">
        <v>50</v>
      </c>
      <c r="X497">
        <v>998781</v>
      </c>
      <c r="Y497">
        <v>998782</v>
      </c>
      <c r="Z497">
        <v>1997563</v>
      </c>
      <c r="AA497">
        <v>998782</v>
      </c>
      <c r="AB497">
        <v>2</v>
      </c>
      <c r="AC497">
        <v>1</v>
      </c>
      <c r="AD497">
        <v>1.5</v>
      </c>
      <c r="AE497">
        <v>26.397500000000001</v>
      </c>
      <c r="AM497">
        <v>660713274</v>
      </c>
      <c r="AN497">
        <v>0</v>
      </c>
      <c r="AO497">
        <v>73412944</v>
      </c>
      <c r="AP497">
        <v>660713274</v>
      </c>
      <c r="AQ497">
        <v>734126218</v>
      </c>
      <c r="AR497">
        <v>22023775</v>
      </c>
      <c r="AS497">
        <v>0</v>
      </c>
      <c r="AT497">
        <v>2447098</v>
      </c>
      <c r="AU497">
        <v>22023775</v>
      </c>
      <c r="AV497">
        <v>24470873</v>
      </c>
      <c r="AW497">
        <v>12.4192</v>
      </c>
      <c r="AX497">
        <v>2.0412699999999999</v>
      </c>
      <c r="AY497">
        <v>2735.92</v>
      </c>
      <c r="AZ497">
        <v>1766.95</v>
      </c>
      <c r="BA497">
        <v>1148</v>
      </c>
      <c r="BB497">
        <v>178</v>
      </c>
      <c r="BC497" t="str">
        <f t="shared" si="14"/>
        <v>u=10%, k=2x10^6</v>
      </c>
      <c r="BD497">
        <f t="shared" si="15"/>
        <v>0</v>
      </c>
    </row>
    <row r="498" spans="1:56">
      <c r="A498" t="s">
        <v>582</v>
      </c>
      <c r="B498" t="s">
        <v>68</v>
      </c>
      <c r="D498" t="s">
        <v>65</v>
      </c>
      <c r="E498" t="s">
        <v>60</v>
      </c>
      <c r="F498" t="s">
        <v>61</v>
      </c>
      <c r="G498">
        <v>30000</v>
      </c>
      <c r="H498">
        <v>5</v>
      </c>
      <c r="I498">
        <v>5</v>
      </c>
      <c r="J498">
        <v>0</v>
      </c>
      <c r="K498">
        <v>1</v>
      </c>
      <c r="L498">
        <v>2000000</v>
      </c>
      <c r="M498">
        <v>48</v>
      </c>
      <c r="N498">
        <v>48</v>
      </c>
      <c r="O498">
        <v>48</v>
      </c>
      <c r="P498">
        <v>0</v>
      </c>
      <c r="Q498" t="s">
        <v>62</v>
      </c>
      <c r="R498">
        <v>999654766096</v>
      </c>
      <c r="S498">
        <v>999663</v>
      </c>
      <c r="T498">
        <v>999654766096</v>
      </c>
      <c r="U498">
        <v>999663</v>
      </c>
      <c r="V498" t="s">
        <v>75</v>
      </c>
      <c r="W498">
        <v>49</v>
      </c>
      <c r="X498">
        <v>999662</v>
      </c>
      <c r="Y498">
        <v>999663</v>
      </c>
      <c r="Z498">
        <v>1999325</v>
      </c>
      <c r="AA498">
        <v>999663</v>
      </c>
      <c r="AB498">
        <v>2</v>
      </c>
      <c r="AC498">
        <v>1</v>
      </c>
      <c r="AD498">
        <v>1.5</v>
      </c>
      <c r="AE498">
        <v>26.3749</v>
      </c>
      <c r="AM498">
        <v>1177968904</v>
      </c>
      <c r="AN498">
        <v>0</v>
      </c>
      <c r="AO498">
        <v>130852193</v>
      </c>
      <c r="AP498">
        <v>1177968904</v>
      </c>
      <c r="AQ498">
        <v>1308821097</v>
      </c>
      <c r="AR498">
        <v>39265630</v>
      </c>
      <c r="AS498">
        <v>0</v>
      </c>
      <c r="AT498">
        <v>4361739</v>
      </c>
      <c r="AU498">
        <v>39265630</v>
      </c>
      <c r="AV498">
        <v>43627369</v>
      </c>
      <c r="AW498">
        <v>12.4785</v>
      </c>
      <c r="AX498">
        <v>2.1389399999999998</v>
      </c>
      <c r="AY498">
        <v>3068.42</v>
      </c>
      <c r="AZ498">
        <v>2134.5100000000002</v>
      </c>
      <c r="BA498">
        <v>1162</v>
      </c>
      <c r="BB498">
        <v>195</v>
      </c>
      <c r="BC498" t="str">
        <f t="shared" si="14"/>
        <v>u=10%, k=2x10^6</v>
      </c>
      <c r="BD498">
        <f t="shared" si="15"/>
        <v>0</v>
      </c>
    </row>
    <row r="499" spans="1:56">
      <c r="A499" t="s">
        <v>583</v>
      </c>
      <c r="B499" t="s">
        <v>68</v>
      </c>
      <c r="D499" t="s">
        <v>65</v>
      </c>
      <c r="E499" t="s">
        <v>60</v>
      </c>
      <c r="F499" t="s">
        <v>61</v>
      </c>
      <c r="G499">
        <v>30000</v>
      </c>
      <c r="H499">
        <v>5</v>
      </c>
      <c r="I499">
        <v>5</v>
      </c>
      <c r="J499">
        <v>0</v>
      </c>
      <c r="K499">
        <v>1</v>
      </c>
      <c r="L499">
        <v>2000000</v>
      </c>
      <c r="M499">
        <v>96</v>
      </c>
      <c r="N499">
        <v>96</v>
      </c>
      <c r="O499">
        <v>96</v>
      </c>
      <c r="P499">
        <v>0</v>
      </c>
      <c r="Q499" t="s">
        <v>62</v>
      </c>
      <c r="R499">
        <v>999676155582</v>
      </c>
      <c r="S499">
        <v>999600</v>
      </c>
      <c r="T499">
        <v>999676155582</v>
      </c>
      <c r="U499">
        <v>999600</v>
      </c>
      <c r="V499" t="s">
        <v>75</v>
      </c>
      <c r="W499">
        <v>49</v>
      </c>
      <c r="X499">
        <v>999599</v>
      </c>
      <c r="Y499">
        <v>999600</v>
      </c>
      <c r="Z499">
        <v>1999199</v>
      </c>
      <c r="AA499">
        <v>999600</v>
      </c>
      <c r="AB499">
        <v>2</v>
      </c>
      <c r="AC499">
        <v>1</v>
      </c>
      <c r="AD499">
        <v>1.5</v>
      </c>
      <c r="AE499">
        <v>26.316400000000002</v>
      </c>
      <c r="AM499">
        <v>2529493367</v>
      </c>
      <c r="AN499">
        <v>0</v>
      </c>
      <c r="AO499">
        <v>281085065</v>
      </c>
      <c r="AP499">
        <v>2529493367</v>
      </c>
      <c r="AQ499">
        <v>2810578432</v>
      </c>
      <c r="AR499">
        <v>84316445</v>
      </c>
      <c r="AS499">
        <v>0</v>
      </c>
      <c r="AT499">
        <v>9369502</v>
      </c>
      <c r="AU499">
        <v>84316445</v>
      </c>
      <c r="AV499">
        <v>93685947</v>
      </c>
      <c r="AW499">
        <v>12.9521</v>
      </c>
      <c r="AX499">
        <v>2.56643</v>
      </c>
      <c r="AY499">
        <v>2853.13</v>
      </c>
      <c r="AZ499">
        <v>1902.55</v>
      </c>
      <c r="BA499">
        <v>1191</v>
      </c>
      <c r="BB499">
        <v>314</v>
      </c>
      <c r="BC499" t="str">
        <f t="shared" si="14"/>
        <v>u=10%, k=2x10^6</v>
      </c>
      <c r="BD499">
        <f t="shared" si="15"/>
        <v>0</v>
      </c>
    </row>
    <row r="500" spans="1:56">
      <c r="A500" t="s">
        <v>584</v>
      </c>
      <c r="B500" t="s">
        <v>68</v>
      </c>
      <c r="D500" t="s">
        <v>65</v>
      </c>
      <c r="E500" t="s">
        <v>60</v>
      </c>
      <c r="F500" t="s">
        <v>61</v>
      </c>
      <c r="G500">
        <v>30000</v>
      </c>
      <c r="H500">
        <v>5</v>
      </c>
      <c r="I500">
        <v>5</v>
      </c>
      <c r="J500">
        <v>0</v>
      </c>
      <c r="K500">
        <v>1</v>
      </c>
      <c r="L500">
        <v>2000000</v>
      </c>
      <c r="M500">
        <v>144</v>
      </c>
      <c r="N500">
        <v>144</v>
      </c>
      <c r="O500">
        <v>144</v>
      </c>
      <c r="P500">
        <v>0</v>
      </c>
      <c r="Q500" t="s">
        <v>62</v>
      </c>
      <c r="R500">
        <v>1000910103930</v>
      </c>
      <c r="S500">
        <v>1000822</v>
      </c>
      <c r="T500">
        <v>1000910103930</v>
      </c>
      <c r="U500">
        <v>1000822</v>
      </c>
      <c r="V500" t="s">
        <v>75</v>
      </c>
      <c r="W500">
        <v>47</v>
      </c>
      <c r="X500">
        <v>1000821</v>
      </c>
      <c r="Y500">
        <v>1000822</v>
      </c>
      <c r="Z500">
        <v>2001643</v>
      </c>
      <c r="AA500">
        <v>1000822</v>
      </c>
      <c r="AB500">
        <v>2</v>
      </c>
      <c r="AC500">
        <v>1</v>
      </c>
      <c r="AD500">
        <v>1.5</v>
      </c>
      <c r="AE500">
        <v>26.122299999999999</v>
      </c>
      <c r="AM500">
        <v>3816456349</v>
      </c>
      <c r="AN500">
        <v>0</v>
      </c>
      <c r="AO500">
        <v>424066012</v>
      </c>
      <c r="AP500">
        <v>3816456349</v>
      </c>
      <c r="AQ500">
        <v>4240522361</v>
      </c>
      <c r="AR500">
        <v>127215211</v>
      </c>
      <c r="AS500">
        <v>0</v>
      </c>
      <c r="AT500">
        <v>14135533</v>
      </c>
      <c r="AU500">
        <v>127215211</v>
      </c>
      <c r="AV500">
        <v>141350745</v>
      </c>
      <c r="AW500">
        <v>13.297000000000001</v>
      </c>
      <c r="AX500">
        <v>2.6570200000000002</v>
      </c>
      <c r="AY500">
        <v>2837.29</v>
      </c>
      <c r="AZ500">
        <v>1873.86</v>
      </c>
      <c r="BA500">
        <v>1213</v>
      </c>
      <c r="BB500">
        <v>321</v>
      </c>
      <c r="BC500" t="str">
        <f t="shared" si="14"/>
        <v>u=10%, k=2x10^6</v>
      </c>
      <c r="BD500">
        <f t="shared" si="15"/>
        <v>0</v>
      </c>
    </row>
    <row r="501" spans="1:56">
      <c r="A501" t="s">
        <v>585</v>
      </c>
      <c r="B501" t="s">
        <v>68</v>
      </c>
      <c r="D501" t="s">
        <v>65</v>
      </c>
      <c r="E501" t="s">
        <v>60</v>
      </c>
      <c r="F501" t="s">
        <v>61</v>
      </c>
      <c r="G501">
        <v>30000</v>
      </c>
      <c r="H501">
        <v>5</v>
      </c>
      <c r="I501">
        <v>5</v>
      </c>
      <c r="J501">
        <v>0</v>
      </c>
      <c r="K501">
        <v>1</v>
      </c>
      <c r="L501">
        <v>2000000</v>
      </c>
      <c r="M501">
        <v>190</v>
      </c>
      <c r="N501">
        <v>190</v>
      </c>
      <c r="O501">
        <v>190</v>
      </c>
      <c r="P501">
        <v>0</v>
      </c>
      <c r="Q501" t="s">
        <v>62</v>
      </c>
      <c r="R501">
        <v>999153844316</v>
      </c>
      <c r="S501">
        <v>999343</v>
      </c>
      <c r="T501">
        <v>999153844316</v>
      </c>
      <c r="U501">
        <v>999343</v>
      </c>
      <c r="V501" t="s">
        <v>75</v>
      </c>
      <c r="W501">
        <v>50</v>
      </c>
      <c r="X501">
        <v>999342</v>
      </c>
      <c r="Y501">
        <v>999343</v>
      </c>
      <c r="Z501">
        <v>1998685</v>
      </c>
      <c r="AA501">
        <v>999343</v>
      </c>
      <c r="AB501">
        <v>2</v>
      </c>
      <c r="AC501">
        <v>1</v>
      </c>
      <c r="AD501">
        <v>1.5</v>
      </c>
      <c r="AE501">
        <v>26.0061</v>
      </c>
      <c r="AM501">
        <v>5060682139</v>
      </c>
      <c r="AN501">
        <v>0</v>
      </c>
      <c r="AO501">
        <v>562255376</v>
      </c>
      <c r="AP501">
        <v>5060682139</v>
      </c>
      <c r="AQ501">
        <v>5622937515</v>
      </c>
      <c r="AR501">
        <v>168689404</v>
      </c>
      <c r="AS501">
        <v>0</v>
      </c>
      <c r="AT501">
        <v>18741845</v>
      </c>
      <c r="AU501">
        <v>168689404</v>
      </c>
      <c r="AV501">
        <v>187431250</v>
      </c>
      <c r="AW501">
        <v>13.7262</v>
      </c>
      <c r="AX501">
        <v>2.6918700000000002</v>
      </c>
      <c r="AY501">
        <v>2823.21</v>
      </c>
      <c r="AZ501">
        <v>1852.43</v>
      </c>
      <c r="BA501">
        <v>1230</v>
      </c>
      <c r="BB501">
        <v>288</v>
      </c>
      <c r="BC501" t="str">
        <f t="shared" si="14"/>
        <v>u=10%, k=2x10^6</v>
      </c>
      <c r="BD501">
        <f t="shared" si="15"/>
        <v>0</v>
      </c>
    </row>
    <row r="502" spans="1:56">
      <c r="A502" t="s">
        <v>586</v>
      </c>
      <c r="B502" t="s">
        <v>64</v>
      </c>
      <c r="C502">
        <v>72</v>
      </c>
      <c r="D502" t="s">
        <v>65</v>
      </c>
      <c r="E502" t="s">
        <v>60</v>
      </c>
      <c r="F502" t="s">
        <v>61</v>
      </c>
      <c r="G502">
        <v>30000</v>
      </c>
      <c r="H502">
        <v>5</v>
      </c>
      <c r="I502">
        <v>5</v>
      </c>
      <c r="J502">
        <v>0</v>
      </c>
      <c r="K502">
        <v>1</v>
      </c>
      <c r="L502">
        <v>20000000</v>
      </c>
      <c r="M502">
        <v>24</v>
      </c>
      <c r="N502">
        <v>24</v>
      </c>
      <c r="O502">
        <v>24</v>
      </c>
      <c r="P502">
        <v>0</v>
      </c>
      <c r="Q502" t="s">
        <v>62</v>
      </c>
      <c r="R502">
        <v>100017970608188</v>
      </c>
      <c r="S502">
        <v>10000443</v>
      </c>
      <c r="T502">
        <v>100017970608188</v>
      </c>
      <c r="U502">
        <v>10000443</v>
      </c>
      <c r="V502" t="s">
        <v>75</v>
      </c>
      <c r="W502">
        <v>7</v>
      </c>
      <c r="X502">
        <v>1897976</v>
      </c>
      <c r="Y502">
        <v>12012518</v>
      </c>
      <c r="Z502">
        <v>13910494</v>
      </c>
      <c r="AA502">
        <v>10000443</v>
      </c>
      <c r="AB502">
        <v>7.3291199999999996</v>
      </c>
      <c r="AC502">
        <v>0.83250199999999996</v>
      </c>
      <c r="AD502">
        <v>1.7189099999999999</v>
      </c>
      <c r="AE502">
        <v>4.0545299999999997</v>
      </c>
      <c r="AM502">
        <v>786488235</v>
      </c>
      <c r="AN502">
        <v>0</v>
      </c>
      <c r="AO502">
        <v>87390788</v>
      </c>
      <c r="AP502">
        <v>786488235</v>
      </c>
      <c r="AQ502">
        <v>873879023</v>
      </c>
      <c r="AR502">
        <v>26216274</v>
      </c>
      <c r="AS502">
        <v>0</v>
      </c>
      <c r="AT502">
        <v>2913026</v>
      </c>
      <c r="AU502">
        <v>26216274</v>
      </c>
      <c r="AV502">
        <v>29129300</v>
      </c>
      <c r="AW502">
        <v>18.4436</v>
      </c>
      <c r="AX502">
        <v>7.3239400000000003</v>
      </c>
      <c r="AY502">
        <v>2275.5700000000002</v>
      </c>
      <c r="AZ502">
        <v>1491.88</v>
      </c>
      <c r="BA502">
        <v>2438</v>
      </c>
      <c r="BB502">
        <v>155</v>
      </c>
      <c r="BC502" t="str">
        <f t="shared" si="14"/>
        <v>u=10%, k=2x10^7</v>
      </c>
      <c r="BD502">
        <f t="shared" si="15"/>
        <v>0</v>
      </c>
    </row>
    <row r="503" spans="1:56">
      <c r="A503" t="s">
        <v>587</v>
      </c>
      <c r="B503" t="s">
        <v>64</v>
      </c>
      <c r="C503">
        <v>72</v>
      </c>
      <c r="D503" t="s">
        <v>65</v>
      </c>
      <c r="E503" t="s">
        <v>60</v>
      </c>
      <c r="F503" t="s">
        <v>61</v>
      </c>
      <c r="G503">
        <v>30000</v>
      </c>
      <c r="H503">
        <v>5</v>
      </c>
      <c r="I503">
        <v>5</v>
      </c>
      <c r="J503">
        <v>0</v>
      </c>
      <c r="K503">
        <v>1</v>
      </c>
      <c r="L503">
        <v>20000000</v>
      </c>
      <c r="M503">
        <v>48</v>
      </c>
      <c r="N503">
        <v>48</v>
      </c>
      <c r="O503">
        <v>48</v>
      </c>
      <c r="P503">
        <v>0</v>
      </c>
      <c r="Q503" t="s">
        <v>62</v>
      </c>
      <c r="R503">
        <v>99957150010169</v>
      </c>
      <c r="S503">
        <v>9996524</v>
      </c>
      <c r="T503">
        <v>99957150010169</v>
      </c>
      <c r="U503">
        <v>9996524</v>
      </c>
      <c r="V503" t="s">
        <v>75</v>
      </c>
      <c r="W503">
        <v>7</v>
      </c>
      <c r="X503">
        <v>1895144</v>
      </c>
      <c r="Y503">
        <v>12015732</v>
      </c>
      <c r="Z503">
        <v>13910876</v>
      </c>
      <c r="AA503">
        <v>9996524</v>
      </c>
      <c r="AB503">
        <v>7.3402700000000003</v>
      </c>
      <c r="AC503">
        <v>0.83195300000000005</v>
      </c>
      <c r="AD503">
        <v>1.71861</v>
      </c>
      <c r="AE503">
        <v>4.0531100000000002</v>
      </c>
      <c r="AM503">
        <v>1337680793</v>
      </c>
      <c r="AN503">
        <v>0</v>
      </c>
      <c r="AO503">
        <v>148643842</v>
      </c>
      <c r="AP503">
        <v>1337680793</v>
      </c>
      <c r="AQ503">
        <v>1486324635</v>
      </c>
      <c r="AR503">
        <v>44589359</v>
      </c>
      <c r="AS503">
        <v>0</v>
      </c>
      <c r="AT503">
        <v>4954794</v>
      </c>
      <c r="AU503">
        <v>44589359</v>
      </c>
      <c r="AV503">
        <v>49544154</v>
      </c>
      <c r="AW503">
        <v>18.722100000000001</v>
      </c>
      <c r="AX503">
        <v>7.5218400000000001</v>
      </c>
      <c r="AY503">
        <v>2671.73</v>
      </c>
      <c r="AZ503">
        <v>1834.21</v>
      </c>
      <c r="BA503">
        <v>2489</v>
      </c>
      <c r="BB503">
        <v>155</v>
      </c>
      <c r="BC503" t="str">
        <f t="shared" si="14"/>
        <v>u=10%, k=2x10^7</v>
      </c>
      <c r="BD503">
        <f t="shared" si="15"/>
        <v>0</v>
      </c>
    </row>
    <row r="504" spans="1:56">
      <c r="A504" t="s">
        <v>588</v>
      </c>
      <c r="B504" t="s">
        <v>64</v>
      </c>
      <c r="C504">
        <v>72</v>
      </c>
      <c r="D504" t="s">
        <v>65</v>
      </c>
      <c r="E504" t="s">
        <v>60</v>
      </c>
      <c r="F504" t="s">
        <v>61</v>
      </c>
      <c r="G504">
        <v>30000</v>
      </c>
      <c r="H504">
        <v>5</v>
      </c>
      <c r="I504">
        <v>5</v>
      </c>
      <c r="J504">
        <v>0</v>
      </c>
      <c r="K504">
        <v>1</v>
      </c>
      <c r="L504">
        <v>20000000</v>
      </c>
      <c r="M504">
        <v>96</v>
      </c>
      <c r="N504">
        <v>96</v>
      </c>
      <c r="O504">
        <v>96</v>
      </c>
      <c r="P504">
        <v>0</v>
      </c>
      <c r="Q504" t="s">
        <v>62</v>
      </c>
      <c r="R504">
        <v>100035631599626</v>
      </c>
      <c r="S504">
        <v>10002821</v>
      </c>
      <c r="T504">
        <v>100035631599626</v>
      </c>
      <c r="U504">
        <v>10002821</v>
      </c>
      <c r="V504" t="s">
        <v>75</v>
      </c>
      <c r="W504">
        <v>7</v>
      </c>
      <c r="X504">
        <v>1630905</v>
      </c>
      <c r="Y504">
        <v>11455350</v>
      </c>
      <c r="Z504">
        <v>13086255</v>
      </c>
      <c r="AA504">
        <v>10002821</v>
      </c>
      <c r="AB504">
        <v>8.0239200000000004</v>
      </c>
      <c r="AC504">
        <v>0.873201</v>
      </c>
      <c r="AD504">
        <v>1.7643800000000001</v>
      </c>
      <c r="AE504">
        <v>4.0010199999999996</v>
      </c>
      <c r="AM504">
        <v>2654875183</v>
      </c>
      <c r="AN504">
        <v>0</v>
      </c>
      <c r="AO504">
        <v>294970223</v>
      </c>
      <c r="AP504">
        <v>2654875183</v>
      </c>
      <c r="AQ504">
        <v>2949845406</v>
      </c>
      <c r="AR504">
        <v>88495839</v>
      </c>
      <c r="AS504">
        <v>0</v>
      </c>
      <c r="AT504">
        <v>9832340</v>
      </c>
      <c r="AU504">
        <v>88495839</v>
      </c>
      <c r="AV504">
        <v>98328180</v>
      </c>
      <c r="AW504">
        <v>18.995000000000001</v>
      </c>
      <c r="AX504">
        <v>7.9830699999999997</v>
      </c>
      <c r="AY504">
        <v>2683.45</v>
      </c>
      <c r="AZ504">
        <v>1791.92</v>
      </c>
      <c r="BA504">
        <v>2607</v>
      </c>
      <c r="BB504">
        <v>350</v>
      </c>
      <c r="BC504" t="str">
        <f t="shared" si="14"/>
        <v>u=10%, k=2x10^7</v>
      </c>
      <c r="BD504">
        <f t="shared" si="15"/>
        <v>0</v>
      </c>
    </row>
    <row r="505" spans="1:56">
      <c r="A505" t="s">
        <v>589</v>
      </c>
      <c r="B505" t="s">
        <v>64</v>
      </c>
      <c r="C505">
        <v>72</v>
      </c>
      <c r="D505" t="s">
        <v>65</v>
      </c>
      <c r="E505" t="s">
        <v>60</v>
      </c>
      <c r="F505" t="s">
        <v>61</v>
      </c>
      <c r="G505">
        <v>30000</v>
      </c>
      <c r="H505">
        <v>5</v>
      </c>
      <c r="I505">
        <v>5</v>
      </c>
      <c r="J505">
        <v>0</v>
      </c>
      <c r="K505">
        <v>1</v>
      </c>
      <c r="L505">
        <v>20000000</v>
      </c>
      <c r="M505">
        <v>144</v>
      </c>
      <c r="N505">
        <v>144</v>
      </c>
      <c r="O505">
        <v>144</v>
      </c>
      <c r="P505">
        <v>0</v>
      </c>
      <c r="Q505" t="s">
        <v>62</v>
      </c>
      <c r="R505">
        <v>100042925324428</v>
      </c>
      <c r="S505">
        <v>10003772</v>
      </c>
      <c r="T505">
        <v>100042925324428</v>
      </c>
      <c r="U505">
        <v>10003772</v>
      </c>
      <c r="V505" t="s">
        <v>75</v>
      </c>
      <c r="W505">
        <v>7</v>
      </c>
      <c r="X505">
        <v>1764642</v>
      </c>
      <c r="Y505">
        <v>11728459</v>
      </c>
      <c r="Z505">
        <v>13493101</v>
      </c>
      <c r="AA505">
        <v>10003772</v>
      </c>
      <c r="AB505">
        <v>7.6463700000000001</v>
      </c>
      <c r="AC505">
        <v>0.85294899999999996</v>
      </c>
      <c r="AD505">
        <v>1.7414000000000001</v>
      </c>
      <c r="AE505">
        <v>4.0277700000000003</v>
      </c>
      <c r="AM505">
        <v>3876727209</v>
      </c>
      <c r="AN505">
        <v>0</v>
      </c>
      <c r="AO505">
        <v>430724666</v>
      </c>
      <c r="AP505">
        <v>3876727209</v>
      </c>
      <c r="AQ505">
        <v>4307451875</v>
      </c>
      <c r="AR505">
        <v>129224240</v>
      </c>
      <c r="AS505">
        <v>0</v>
      </c>
      <c r="AT505">
        <v>14357488</v>
      </c>
      <c r="AU505">
        <v>129224240</v>
      </c>
      <c r="AV505">
        <v>143581729</v>
      </c>
      <c r="AW505">
        <v>19.0718</v>
      </c>
      <c r="AX505">
        <v>8.2877500000000008</v>
      </c>
      <c r="AY505">
        <v>2746.33</v>
      </c>
      <c r="AZ505">
        <v>1842.14</v>
      </c>
      <c r="BA505">
        <v>2771</v>
      </c>
      <c r="BB505">
        <v>347</v>
      </c>
      <c r="BC505" t="str">
        <f t="shared" si="14"/>
        <v>u=10%, k=2x10^7</v>
      </c>
      <c r="BD505">
        <f t="shared" si="15"/>
        <v>0</v>
      </c>
    </row>
    <row r="506" spans="1:56">
      <c r="A506" t="s">
        <v>590</v>
      </c>
      <c r="B506" t="s">
        <v>64</v>
      </c>
      <c r="C506">
        <v>72</v>
      </c>
      <c r="D506" t="s">
        <v>65</v>
      </c>
      <c r="E506" t="s">
        <v>60</v>
      </c>
      <c r="F506" t="s">
        <v>61</v>
      </c>
      <c r="G506">
        <v>30000</v>
      </c>
      <c r="H506">
        <v>5</v>
      </c>
      <c r="I506">
        <v>5</v>
      </c>
      <c r="J506">
        <v>0</v>
      </c>
      <c r="K506">
        <v>1</v>
      </c>
      <c r="L506">
        <v>20000000</v>
      </c>
      <c r="M506">
        <v>190</v>
      </c>
      <c r="N506">
        <v>190</v>
      </c>
      <c r="O506">
        <v>190</v>
      </c>
      <c r="P506">
        <v>0</v>
      </c>
      <c r="Q506" t="s">
        <v>62</v>
      </c>
      <c r="R506">
        <v>100011998527577</v>
      </c>
      <c r="S506">
        <v>10000410</v>
      </c>
      <c r="T506">
        <v>100011998527577</v>
      </c>
      <c r="U506">
        <v>10000410</v>
      </c>
      <c r="V506" t="s">
        <v>75</v>
      </c>
      <c r="W506">
        <v>7</v>
      </c>
      <c r="X506">
        <v>1831487</v>
      </c>
      <c r="Y506">
        <v>11864818</v>
      </c>
      <c r="Z506">
        <v>13696305</v>
      </c>
      <c r="AA506">
        <v>10000410</v>
      </c>
      <c r="AB506">
        <v>7.4782400000000004</v>
      </c>
      <c r="AC506">
        <v>0.842862</v>
      </c>
      <c r="AD506">
        <v>1.7301500000000001</v>
      </c>
      <c r="AE506">
        <v>4.0411799999999998</v>
      </c>
      <c r="AM506">
        <v>4916261750</v>
      </c>
      <c r="AN506">
        <v>0</v>
      </c>
      <c r="AO506">
        <v>546245323</v>
      </c>
      <c r="AP506">
        <v>4916261750</v>
      </c>
      <c r="AQ506">
        <v>5462507073</v>
      </c>
      <c r="AR506">
        <v>163875391</v>
      </c>
      <c r="AS506">
        <v>0</v>
      </c>
      <c r="AT506">
        <v>18208177</v>
      </c>
      <c r="AU506">
        <v>163875391</v>
      </c>
      <c r="AV506">
        <v>182083569</v>
      </c>
      <c r="AW506">
        <v>19.246300000000002</v>
      </c>
      <c r="AX506">
        <v>8.5577100000000002</v>
      </c>
      <c r="AY506">
        <v>2847.26</v>
      </c>
      <c r="AZ506">
        <v>1925.39</v>
      </c>
      <c r="BA506">
        <v>2871</v>
      </c>
      <c r="BB506">
        <v>375</v>
      </c>
      <c r="BC506" t="str">
        <f t="shared" si="14"/>
        <v>u=10%, k=2x10^7</v>
      </c>
      <c r="BD506">
        <f t="shared" si="15"/>
        <v>0</v>
      </c>
    </row>
    <row r="507" spans="1:56">
      <c r="A507" t="s">
        <v>591</v>
      </c>
      <c r="B507" t="s">
        <v>66</v>
      </c>
      <c r="C507">
        <v>208</v>
      </c>
      <c r="D507" t="s">
        <v>65</v>
      </c>
      <c r="E507" t="s">
        <v>60</v>
      </c>
      <c r="F507" t="s">
        <v>61</v>
      </c>
      <c r="G507">
        <v>30000</v>
      </c>
      <c r="H507">
        <v>5</v>
      </c>
      <c r="I507">
        <v>5</v>
      </c>
      <c r="J507">
        <v>0</v>
      </c>
      <c r="K507">
        <v>1</v>
      </c>
      <c r="L507">
        <v>20000000</v>
      </c>
      <c r="M507">
        <v>24</v>
      </c>
      <c r="N507">
        <v>24</v>
      </c>
      <c r="O507">
        <v>24</v>
      </c>
      <c r="P507">
        <v>0</v>
      </c>
      <c r="Q507" t="s">
        <v>62</v>
      </c>
      <c r="R507">
        <v>99964243650011</v>
      </c>
      <c r="S507">
        <v>9997763</v>
      </c>
      <c r="T507">
        <v>99964243650011</v>
      </c>
      <c r="U507">
        <v>9997763</v>
      </c>
      <c r="V507" t="s">
        <v>75</v>
      </c>
      <c r="W507">
        <v>9</v>
      </c>
      <c r="X507">
        <v>256662</v>
      </c>
      <c r="Y507">
        <v>1759585</v>
      </c>
      <c r="Z507">
        <v>2016247</v>
      </c>
      <c r="AA507">
        <v>9997763</v>
      </c>
      <c r="AB507">
        <v>7.8556499999999998</v>
      </c>
      <c r="AC507">
        <v>5.6818900000000001</v>
      </c>
      <c r="AD507">
        <v>5.9585999999999997</v>
      </c>
      <c r="AE507">
        <v>8</v>
      </c>
      <c r="AM507">
        <v>757660810</v>
      </c>
      <c r="AN507">
        <v>0</v>
      </c>
      <c r="AO507">
        <v>84184279</v>
      </c>
      <c r="AP507">
        <v>757660810</v>
      </c>
      <c r="AQ507">
        <v>841845089</v>
      </c>
      <c r="AR507">
        <v>25255360</v>
      </c>
      <c r="AS507">
        <v>0</v>
      </c>
      <c r="AT507">
        <v>2806142</v>
      </c>
      <c r="AU507">
        <v>25255360</v>
      </c>
      <c r="AV507">
        <v>28061502</v>
      </c>
      <c r="AW507">
        <v>17.9438</v>
      </c>
      <c r="AX507">
        <v>5.6883600000000003</v>
      </c>
      <c r="AY507">
        <v>2385.06</v>
      </c>
      <c r="AZ507">
        <v>1373.52</v>
      </c>
      <c r="BA507">
        <v>1523</v>
      </c>
      <c r="BB507">
        <v>838</v>
      </c>
      <c r="BC507" t="str">
        <f t="shared" si="14"/>
        <v>u=10%, k=2x10^7</v>
      </c>
      <c r="BD507">
        <f t="shared" si="15"/>
        <v>0</v>
      </c>
    </row>
    <row r="508" spans="1:56">
      <c r="A508" t="s">
        <v>592</v>
      </c>
      <c r="B508" t="s">
        <v>66</v>
      </c>
      <c r="C508">
        <v>208</v>
      </c>
      <c r="D508" t="s">
        <v>65</v>
      </c>
      <c r="E508" t="s">
        <v>60</v>
      </c>
      <c r="F508" t="s">
        <v>61</v>
      </c>
      <c r="G508">
        <v>30000</v>
      </c>
      <c r="H508">
        <v>5</v>
      </c>
      <c r="I508">
        <v>5</v>
      </c>
      <c r="J508">
        <v>0</v>
      </c>
      <c r="K508">
        <v>1</v>
      </c>
      <c r="L508">
        <v>20000000</v>
      </c>
      <c r="M508">
        <v>48</v>
      </c>
      <c r="N508">
        <v>48</v>
      </c>
      <c r="O508">
        <v>48</v>
      </c>
      <c r="P508">
        <v>0</v>
      </c>
      <c r="Q508" t="s">
        <v>62</v>
      </c>
      <c r="R508">
        <v>99996461452817</v>
      </c>
      <c r="S508">
        <v>10000642</v>
      </c>
      <c r="T508">
        <v>99996461452817</v>
      </c>
      <c r="U508">
        <v>10000642</v>
      </c>
      <c r="V508" t="s">
        <v>75</v>
      </c>
      <c r="W508">
        <v>9</v>
      </c>
      <c r="X508">
        <v>274520</v>
      </c>
      <c r="Y508">
        <v>1866818</v>
      </c>
      <c r="Z508">
        <v>2141338</v>
      </c>
      <c r="AA508">
        <v>10000642</v>
      </c>
      <c r="AB508">
        <v>7.8003</v>
      </c>
      <c r="AC508">
        <v>5.3570500000000001</v>
      </c>
      <c r="AD508">
        <v>5.67028</v>
      </c>
      <c r="AE508">
        <v>8</v>
      </c>
      <c r="AM508">
        <v>1380598797</v>
      </c>
      <c r="AN508">
        <v>0</v>
      </c>
      <c r="AO508">
        <v>153428304</v>
      </c>
      <c r="AP508">
        <v>1380598797</v>
      </c>
      <c r="AQ508">
        <v>1534027101</v>
      </c>
      <c r="AR508">
        <v>46019959</v>
      </c>
      <c r="AS508">
        <v>0</v>
      </c>
      <c r="AT508">
        <v>5114276</v>
      </c>
      <c r="AU508">
        <v>46019959</v>
      </c>
      <c r="AV508">
        <v>51134236</v>
      </c>
      <c r="AW508">
        <v>18.142900000000001</v>
      </c>
      <c r="AX508">
        <v>5.8690100000000003</v>
      </c>
      <c r="AY508">
        <v>2616.92</v>
      </c>
      <c r="AZ508">
        <v>1742.35</v>
      </c>
      <c r="BA508">
        <v>1599</v>
      </c>
      <c r="BB508">
        <v>773</v>
      </c>
      <c r="BC508" t="str">
        <f t="shared" si="14"/>
        <v>u=10%, k=2x10^7</v>
      </c>
      <c r="BD508">
        <f t="shared" si="15"/>
        <v>0</v>
      </c>
    </row>
    <row r="509" spans="1:56">
      <c r="A509" t="s">
        <v>593</v>
      </c>
      <c r="B509" t="s">
        <v>66</v>
      </c>
      <c r="C509">
        <v>208</v>
      </c>
      <c r="D509" t="s">
        <v>65</v>
      </c>
      <c r="E509" t="s">
        <v>60</v>
      </c>
      <c r="F509" t="s">
        <v>61</v>
      </c>
      <c r="G509">
        <v>30000</v>
      </c>
      <c r="H509">
        <v>5</v>
      </c>
      <c r="I509">
        <v>5</v>
      </c>
      <c r="J509">
        <v>0</v>
      </c>
      <c r="K509">
        <v>1</v>
      </c>
      <c r="L509">
        <v>20000000</v>
      </c>
      <c r="M509">
        <v>96</v>
      </c>
      <c r="N509">
        <v>96</v>
      </c>
      <c r="O509">
        <v>96</v>
      </c>
      <c r="P509">
        <v>0</v>
      </c>
      <c r="Q509" t="s">
        <v>62</v>
      </c>
      <c r="R509">
        <v>100002111007433</v>
      </c>
      <c r="S509">
        <v>9999017</v>
      </c>
      <c r="T509">
        <v>100002111007433</v>
      </c>
      <c r="U509">
        <v>9999017</v>
      </c>
      <c r="V509" t="s">
        <v>75</v>
      </c>
      <c r="W509">
        <v>9</v>
      </c>
      <c r="X509">
        <v>293867</v>
      </c>
      <c r="Y509">
        <v>1946576</v>
      </c>
      <c r="Z509">
        <v>2240443</v>
      </c>
      <c r="AA509">
        <v>9999017</v>
      </c>
      <c r="AB509">
        <v>7.6239999999999997</v>
      </c>
      <c r="AC509">
        <v>5.1367200000000004</v>
      </c>
      <c r="AD509">
        <v>5.4629599999999998</v>
      </c>
      <c r="AE509">
        <v>8</v>
      </c>
      <c r="AM509">
        <v>2809539820</v>
      </c>
      <c r="AN509">
        <v>0</v>
      </c>
      <c r="AO509">
        <v>312163613</v>
      </c>
      <c r="AP509">
        <v>2809539820</v>
      </c>
      <c r="AQ509">
        <v>3121703433</v>
      </c>
      <c r="AR509">
        <v>93651327</v>
      </c>
      <c r="AS509">
        <v>0</v>
      </c>
      <c r="AT509">
        <v>10405453</v>
      </c>
      <c r="AU509">
        <v>93651327</v>
      </c>
      <c r="AV509">
        <v>104056781</v>
      </c>
      <c r="AW509">
        <v>18.510999999999999</v>
      </c>
      <c r="AX509">
        <v>6.1757600000000004</v>
      </c>
      <c r="AY509">
        <v>2562.08</v>
      </c>
      <c r="AZ509">
        <v>1638.1</v>
      </c>
      <c r="BA509">
        <v>1711</v>
      </c>
      <c r="BB509">
        <v>965</v>
      </c>
      <c r="BC509" t="str">
        <f t="shared" si="14"/>
        <v>u=10%, k=2x10^7</v>
      </c>
      <c r="BD509">
        <f t="shared" si="15"/>
        <v>0</v>
      </c>
    </row>
    <row r="510" spans="1:56">
      <c r="A510" t="s">
        <v>594</v>
      </c>
      <c r="B510" t="s">
        <v>66</v>
      </c>
      <c r="C510">
        <v>208</v>
      </c>
      <c r="D510" t="s">
        <v>65</v>
      </c>
      <c r="E510" t="s">
        <v>60</v>
      </c>
      <c r="F510" t="s">
        <v>61</v>
      </c>
      <c r="G510">
        <v>30000</v>
      </c>
      <c r="H510">
        <v>5</v>
      </c>
      <c r="I510">
        <v>5</v>
      </c>
      <c r="J510">
        <v>0</v>
      </c>
      <c r="K510">
        <v>1</v>
      </c>
      <c r="L510">
        <v>20000000</v>
      </c>
      <c r="M510">
        <v>144</v>
      </c>
      <c r="N510">
        <v>144</v>
      </c>
      <c r="O510">
        <v>144</v>
      </c>
      <c r="P510">
        <v>0</v>
      </c>
      <c r="Q510" t="s">
        <v>62</v>
      </c>
      <c r="R510">
        <v>100005071411379</v>
      </c>
      <c r="S510">
        <v>10000847</v>
      </c>
      <c r="T510">
        <v>100005071411379</v>
      </c>
      <c r="U510">
        <v>10000847</v>
      </c>
      <c r="V510" t="s">
        <v>75</v>
      </c>
      <c r="W510">
        <v>9</v>
      </c>
      <c r="X510">
        <v>303896</v>
      </c>
      <c r="Y510">
        <v>1964287</v>
      </c>
      <c r="Z510">
        <v>2268183</v>
      </c>
      <c r="AA510">
        <v>10000847</v>
      </c>
      <c r="AB510">
        <v>7.4636800000000001</v>
      </c>
      <c r="AC510">
        <v>5.0913399999999998</v>
      </c>
      <c r="AD510">
        <v>5.4091899999999997</v>
      </c>
      <c r="AE510">
        <v>8</v>
      </c>
      <c r="AM510">
        <v>4143075229</v>
      </c>
      <c r="AN510">
        <v>0</v>
      </c>
      <c r="AO510">
        <v>460344474</v>
      </c>
      <c r="AP510">
        <v>4143075229</v>
      </c>
      <c r="AQ510">
        <v>4603419703</v>
      </c>
      <c r="AR510">
        <v>138102507</v>
      </c>
      <c r="AS510">
        <v>0</v>
      </c>
      <c r="AT510">
        <v>15344815</v>
      </c>
      <c r="AU510">
        <v>138102507</v>
      </c>
      <c r="AV510">
        <v>153447323</v>
      </c>
      <c r="AW510">
        <v>18.802600000000002</v>
      </c>
      <c r="AX510">
        <v>6.4406999999999996</v>
      </c>
      <c r="AY510">
        <v>2600.75</v>
      </c>
      <c r="AZ510">
        <v>1662.15</v>
      </c>
      <c r="BA510">
        <v>1767</v>
      </c>
      <c r="BB510">
        <v>864</v>
      </c>
      <c r="BC510" t="str">
        <f t="shared" si="14"/>
        <v>u=10%, k=2x10^7</v>
      </c>
      <c r="BD510">
        <f t="shared" si="15"/>
        <v>0</v>
      </c>
    </row>
    <row r="511" spans="1:56">
      <c r="A511" t="s">
        <v>595</v>
      </c>
      <c r="B511" t="s">
        <v>66</v>
      </c>
      <c r="C511">
        <v>208</v>
      </c>
      <c r="D511" t="s">
        <v>65</v>
      </c>
      <c r="E511" t="s">
        <v>60</v>
      </c>
      <c r="F511" t="s">
        <v>61</v>
      </c>
      <c r="G511">
        <v>30000</v>
      </c>
      <c r="H511">
        <v>5</v>
      </c>
      <c r="I511">
        <v>5</v>
      </c>
      <c r="J511">
        <v>0</v>
      </c>
      <c r="K511">
        <v>1</v>
      </c>
      <c r="L511">
        <v>20000000</v>
      </c>
      <c r="M511">
        <v>190</v>
      </c>
      <c r="N511">
        <v>190</v>
      </c>
      <c r="O511">
        <v>190</v>
      </c>
      <c r="P511">
        <v>0</v>
      </c>
      <c r="Q511" t="s">
        <v>62</v>
      </c>
      <c r="R511">
        <v>100005005573292</v>
      </c>
      <c r="S511">
        <v>9998594</v>
      </c>
      <c r="T511">
        <v>100005005573292</v>
      </c>
      <c r="U511">
        <v>9998594</v>
      </c>
      <c r="V511" t="s">
        <v>75</v>
      </c>
      <c r="W511">
        <v>10</v>
      </c>
      <c r="X511">
        <v>310097</v>
      </c>
      <c r="Y511">
        <v>1965666</v>
      </c>
      <c r="Z511">
        <v>2275763</v>
      </c>
      <c r="AA511">
        <v>9998594</v>
      </c>
      <c r="AB511">
        <v>7.33887</v>
      </c>
      <c r="AC511">
        <v>5.0866199999999999</v>
      </c>
      <c r="AD511">
        <v>5.39351</v>
      </c>
      <c r="AE511">
        <v>9</v>
      </c>
      <c r="AM511">
        <v>5395429700</v>
      </c>
      <c r="AN511">
        <v>0</v>
      </c>
      <c r="AO511">
        <v>599466232</v>
      </c>
      <c r="AP511">
        <v>5395429700</v>
      </c>
      <c r="AQ511">
        <v>5994895932</v>
      </c>
      <c r="AR511">
        <v>179847656</v>
      </c>
      <c r="AS511">
        <v>0</v>
      </c>
      <c r="AT511">
        <v>19982207</v>
      </c>
      <c r="AU511">
        <v>179847656</v>
      </c>
      <c r="AV511">
        <v>199829864</v>
      </c>
      <c r="AW511">
        <v>18.995200000000001</v>
      </c>
      <c r="AX511">
        <v>6.5996699999999997</v>
      </c>
      <c r="AY511">
        <v>2634.32</v>
      </c>
      <c r="AZ511">
        <v>1680.05</v>
      </c>
      <c r="BA511">
        <v>1868</v>
      </c>
      <c r="BB511">
        <v>919</v>
      </c>
      <c r="BC511" t="str">
        <f t="shared" si="14"/>
        <v>u=10%, k=2x10^7</v>
      </c>
      <c r="BD511">
        <f t="shared" si="15"/>
        <v>0</v>
      </c>
    </row>
    <row r="512" spans="1:56">
      <c r="A512" t="s">
        <v>596</v>
      </c>
      <c r="B512" t="s">
        <v>67</v>
      </c>
      <c r="D512" t="s">
        <v>65</v>
      </c>
      <c r="E512" t="s">
        <v>60</v>
      </c>
      <c r="F512" t="s">
        <v>61</v>
      </c>
      <c r="G512">
        <v>30000</v>
      </c>
      <c r="H512">
        <v>5</v>
      </c>
      <c r="I512">
        <v>5</v>
      </c>
      <c r="J512">
        <v>0</v>
      </c>
      <c r="K512">
        <v>1</v>
      </c>
      <c r="L512">
        <v>20000000</v>
      </c>
      <c r="M512">
        <v>24</v>
      </c>
      <c r="N512">
        <v>24</v>
      </c>
      <c r="O512">
        <v>24</v>
      </c>
      <c r="P512">
        <v>0</v>
      </c>
      <c r="Q512" t="s">
        <v>62</v>
      </c>
      <c r="R512">
        <v>100028774015926</v>
      </c>
      <c r="S512">
        <v>10001472</v>
      </c>
      <c r="T512">
        <v>100028774015926</v>
      </c>
      <c r="U512">
        <v>10001472</v>
      </c>
      <c r="V512" t="s">
        <v>75</v>
      </c>
      <c r="W512">
        <v>29</v>
      </c>
      <c r="X512">
        <v>6704414</v>
      </c>
      <c r="Y512">
        <v>5078715</v>
      </c>
      <c r="Z512">
        <v>11783129</v>
      </c>
      <c r="AA512">
        <v>10001472</v>
      </c>
      <c r="AB512">
        <v>1.75752</v>
      </c>
      <c r="AC512">
        <v>1.96929</v>
      </c>
      <c r="AD512">
        <v>1.8488</v>
      </c>
      <c r="AE512">
        <v>23.209</v>
      </c>
      <c r="AM512">
        <v>361658700</v>
      </c>
      <c r="AN512">
        <v>0</v>
      </c>
      <c r="AO512">
        <v>40183997</v>
      </c>
      <c r="AP512">
        <v>361658700</v>
      </c>
      <c r="AQ512">
        <v>401842697</v>
      </c>
      <c r="AR512">
        <v>12055290</v>
      </c>
      <c r="AS512">
        <v>0</v>
      </c>
      <c r="AT512">
        <v>1339466</v>
      </c>
      <c r="AU512">
        <v>12055290</v>
      </c>
      <c r="AV512">
        <v>13394756</v>
      </c>
      <c r="AW512">
        <v>28.310700000000001</v>
      </c>
      <c r="AX512">
        <v>9.7546900000000001</v>
      </c>
      <c r="AY512">
        <v>4997.83</v>
      </c>
      <c r="AZ512">
        <v>3742.78</v>
      </c>
      <c r="BA512">
        <v>1831</v>
      </c>
      <c r="BB512">
        <v>1454</v>
      </c>
      <c r="BC512" t="str">
        <f t="shared" si="14"/>
        <v>u=10%, k=2x10^7</v>
      </c>
      <c r="BD512">
        <f t="shared" si="15"/>
        <v>0</v>
      </c>
    </row>
    <row r="513" spans="1:56">
      <c r="A513" t="s">
        <v>597</v>
      </c>
      <c r="B513" t="s">
        <v>67</v>
      </c>
      <c r="D513" t="s">
        <v>65</v>
      </c>
      <c r="E513" t="s">
        <v>60</v>
      </c>
      <c r="F513" t="s">
        <v>61</v>
      </c>
      <c r="G513">
        <v>30000</v>
      </c>
      <c r="H513">
        <v>5</v>
      </c>
      <c r="I513">
        <v>5</v>
      </c>
      <c r="J513">
        <v>0</v>
      </c>
      <c r="K513">
        <v>1</v>
      </c>
      <c r="L513">
        <v>20000000</v>
      </c>
      <c r="M513">
        <v>48</v>
      </c>
      <c r="N513">
        <v>48</v>
      </c>
      <c r="O513">
        <v>48</v>
      </c>
      <c r="P513">
        <v>0</v>
      </c>
      <c r="Q513" t="s">
        <v>62</v>
      </c>
      <c r="R513">
        <v>100005452226198</v>
      </c>
      <c r="S513">
        <v>9999991</v>
      </c>
      <c r="T513">
        <v>100005452226198</v>
      </c>
      <c r="U513">
        <v>9999991</v>
      </c>
      <c r="V513" t="s">
        <v>75</v>
      </c>
      <c r="W513">
        <v>29</v>
      </c>
      <c r="X513">
        <v>6830549</v>
      </c>
      <c r="Y513">
        <v>5179293</v>
      </c>
      <c r="Z513">
        <v>12009842</v>
      </c>
      <c r="AA513">
        <v>9999991</v>
      </c>
      <c r="AB513">
        <v>1.7582500000000001</v>
      </c>
      <c r="AC513">
        <v>1.93076</v>
      </c>
      <c r="AD513">
        <v>1.8326499999999999</v>
      </c>
      <c r="AE513">
        <v>23.259</v>
      </c>
      <c r="AM513">
        <v>680034049</v>
      </c>
      <c r="AN513">
        <v>0</v>
      </c>
      <c r="AO513">
        <v>75553514</v>
      </c>
      <c r="AP513">
        <v>680034049</v>
      </c>
      <c r="AQ513">
        <v>755587563</v>
      </c>
      <c r="AR513">
        <v>22667801</v>
      </c>
      <c r="AS513">
        <v>0</v>
      </c>
      <c r="AT513">
        <v>2518450</v>
      </c>
      <c r="AU513">
        <v>22667801</v>
      </c>
      <c r="AV513">
        <v>25186252</v>
      </c>
      <c r="AW513">
        <v>29.188199999999998</v>
      </c>
      <c r="AX513">
        <v>9.8401200000000006</v>
      </c>
      <c r="AY513">
        <v>5314.7</v>
      </c>
      <c r="AZ513">
        <v>4037.25</v>
      </c>
      <c r="BA513">
        <v>1852</v>
      </c>
      <c r="BB513">
        <v>1030</v>
      </c>
      <c r="BC513" t="str">
        <f t="shared" si="14"/>
        <v>u=10%, k=2x10^7</v>
      </c>
      <c r="BD513">
        <f t="shared" si="15"/>
        <v>0</v>
      </c>
    </row>
    <row r="514" spans="1:56">
      <c r="A514" t="s">
        <v>598</v>
      </c>
      <c r="B514" t="s">
        <v>67</v>
      </c>
      <c r="D514" t="s">
        <v>65</v>
      </c>
      <c r="E514" t="s">
        <v>60</v>
      </c>
      <c r="F514" t="s">
        <v>61</v>
      </c>
      <c r="G514">
        <v>30000</v>
      </c>
      <c r="H514">
        <v>5</v>
      </c>
      <c r="I514">
        <v>5</v>
      </c>
      <c r="J514">
        <v>0</v>
      </c>
      <c r="K514">
        <v>1</v>
      </c>
      <c r="L514">
        <v>20000000</v>
      </c>
      <c r="M514">
        <v>96</v>
      </c>
      <c r="N514">
        <v>96</v>
      </c>
      <c r="O514">
        <v>96</v>
      </c>
      <c r="P514">
        <v>0</v>
      </c>
      <c r="Q514" t="s">
        <v>62</v>
      </c>
      <c r="R514">
        <v>99993644427432</v>
      </c>
      <c r="S514">
        <v>9998627</v>
      </c>
      <c r="T514">
        <v>99993644427432</v>
      </c>
      <c r="U514">
        <v>9998627</v>
      </c>
      <c r="V514" t="s">
        <v>75</v>
      </c>
      <c r="W514">
        <v>29</v>
      </c>
      <c r="X514">
        <v>6857425</v>
      </c>
      <c r="Y514">
        <v>5202316</v>
      </c>
      <c r="Z514">
        <v>12059741</v>
      </c>
      <c r="AA514">
        <v>9998627</v>
      </c>
      <c r="AB514">
        <v>1.75864</v>
      </c>
      <c r="AC514">
        <v>1.9219599999999999</v>
      </c>
      <c r="AD514">
        <v>1.8290900000000001</v>
      </c>
      <c r="AE514">
        <v>23.247299999999999</v>
      </c>
      <c r="AM514">
        <v>1446247100</v>
      </c>
      <c r="AN514">
        <v>0</v>
      </c>
      <c r="AO514">
        <v>160691414</v>
      </c>
      <c r="AP514">
        <v>1446247100</v>
      </c>
      <c r="AQ514">
        <v>1606938514</v>
      </c>
      <c r="AR514">
        <v>48208236</v>
      </c>
      <c r="AS514">
        <v>0</v>
      </c>
      <c r="AT514">
        <v>5356380</v>
      </c>
      <c r="AU514">
        <v>48208236</v>
      </c>
      <c r="AV514">
        <v>53564617</v>
      </c>
      <c r="AW514">
        <v>29.670500000000001</v>
      </c>
      <c r="AX514">
        <v>10.713100000000001</v>
      </c>
      <c r="AY514">
        <v>4992.03</v>
      </c>
      <c r="AZ514">
        <v>3649.05</v>
      </c>
      <c r="BA514">
        <v>1882</v>
      </c>
      <c r="BB514">
        <v>787</v>
      </c>
      <c r="BC514" t="str">
        <f t="shared" si="14"/>
        <v>u=10%, k=2x10^7</v>
      </c>
      <c r="BD514">
        <f t="shared" si="15"/>
        <v>0</v>
      </c>
    </row>
    <row r="515" spans="1:56">
      <c r="A515" t="s">
        <v>599</v>
      </c>
      <c r="B515" t="s">
        <v>67</v>
      </c>
      <c r="D515" t="s">
        <v>65</v>
      </c>
      <c r="E515" t="s">
        <v>60</v>
      </c>
      <c r="F515" t="s">
        <v>61</v>
      </c>
      <c r="G515">
        <v>30000</v>
      </c>
      <c r="H515">
        <v>5</v>
      </c>
      <c r="I515">
        <v>5</v>
      </c>
      <c r="J515">
        <v>0</v>
      </c>
      <c r="K515">
        <v>1</v>
      </c>
      <c r="L515">
        <v>20000000</v>
      </c>
      <c r="M515">
        <v>144</v>
      </c>
      <c r="N515">
        <v>144</v>
      </c>
      <c r="O515">
        <v>144</v>
      </c>
      <c r="P515">
        <v>0</v>
      </c>
      <c r="Q515" t="s">
        <v>62</v>
      </c>
      <c r="R515">
        <v>99948948442645</v>
      </c>
      <c r="S515">
        <v>9994291</v>
      </c>
      <c r="T515">
        <v>99948948442645</v>
      </c>
      <c r="U515">
        <v>9994291</v>
      </c>
      <c r="V515" t="s">
        <v>75</v>
      </c>
      <c r="W515">
        <v>29</v>
      </c>
      <c r="X515">
        <v>6855626</v>
      </c>
      <c r="Y515">
        <v>5200251</v>
      </c>
      <c r="Z515">
        <v>12055877</v>
      </c>
      <c r="AA515">
        <v>9994291</v>
      </c>
      <c r="AB515">
        <v>1.75854</v>
      </c>
      <c r="AC515">
        <v>1.9218900000000001</v>
      </c>
      <c r="AD515">
        <v>1.829</v>
      </c>
      <c r="AE515">
        <v>23.243600000000001</v>
      </c>
      <c r="AM515">
        <v>2169498873</v>
      </c>
      <c r="AN515">
        <v>0</v>
      </c>
      <c r="AO515">
        <v>241066554</v>
      </c>
      <c r="AP515">
        <v>2169498873</v>
      </c>
      <c r="AQ515">
        <v>2410565427</v>
      </c>
      <c r="AR515">
        <v>72316629</v>
      </c>
      <c r="AS515">
        <v>0</v>
      </c>
      <c r="AT515">
        <v>8035551</v>
      </c>
      <c r="AU515">
        <v>72316629</v>
      </c>
      <c r="AV515">
        <v>80352180</v>
      </c>
      <c r="AW515">
        <v>29.9543</v>
      </c>
      <c r="AX515">
        <v>10.9796</v>
      </c>
      <c r="AY515">
        <v>4980.41</v>
      </c>
      <c r="AZ515">
        <v>3617.81</v>
      </c>
      <c r="BA515">
        <v>1906</v>
      </c>
      <c r="BB515">
        <v>470</v>
      </c>
      <c r="BC515" t="str">
        <f t="shared" ref="BC515:BC578" si="16">"u="&amp;(H515+I515)&amp;"%, k=2x10^"&amp;LOG10(L515/2)</f>
        <v>u=10%, k=2x10^7</v>
      </c>
      <c r="BD515">
        <f t="shared" ref="BD515:BD578" si="17">IF(AH515="",0,LEFT(AH515,IF(ISNUMBER(FIND(" ",AH515)),FIND(" ",AH515)-1,LEN(AH515))))</f>
        <v>0</v>
      </c>
    </row>
    <row r="516" spans="1:56">
      <c r="A516" t="s">
        <v>600</v>
      </c>
      <c r="B516" t="s">
        <v>67</v>
      </c>
      <c r="D516" t="s">
        <v>65</v>
      </c>
      <c r="E516" t="s">
        <v>60</v>
      </c>
      <c r="F516" t="s">
        <v>61</v>
      </c>
      <c r="G516">
        <v>30000</v>
      </c>
      <c r="H516">
        <v>5</v>
      </c>
      <c r="I516">
        <v>5</v>
      </c>
      <c r="J516">
        <v>0</v>
      </c>
      <c r="K516">
        <v>1</v>
      </c>
      <c r="L516">
        <v>20000000</v>
      </c>
      <c r="M516">
        <v>190</v>
      </c>
      <c r="N516">
        <v>190</v>
      </c>
      <c r="O516">
        <v>190</v>
      </c>
      <c r="P516">
        <v>0</v>
      </c>
      <c r="Q516" t="s">
        <v>62</v>
      </c>
      <c r="R516">
        <v>100011662236540</v>
      </c>
      <c r="S516">
        <v>10001648</v>
      </c>
      <c r="T516">
        <v>100011662236540</v>
      </c>
      <c r="U516">
        <v>10001648</v>
      </c>
      <c r="V516" t="s">
        <v>75</v>
      </c>
      <c r="W516">
        <v>29</v>
      </c>
      <c r="X516">
        <v>6858675</v>
      </c>
      <c r="Y516">
        <v>5203144</v>
      </c>
      <c r="Z516">
        <v>12061819</v>
      </c>
      <c r="AA516">
        <v>10001648</v>
      </c>
      <c r="AB516">
        <v>1.7586200000000001</v>
      </c>
      <c r="AC516">
        <v>1.9222300000000001</v>
      </c>
      <c r="AD516">
        <v>1.8291999999999999</v>
      </c>
      <c r="AE516">
        <v>23.312899999999999</v>
      </c>
      <c r="AM516">
        <v>2881074036</v>
      </c>
      <c r="AN516">
        <v>0</v>
      </c>
      <c r="AO516">
        <v>320105442</v>
      </c>
      <c r="AP516">
        <v>2881074036</v>
      </c>
      <c r="AQ516">
        <v>3201179478</v>
      </c>
      <c r="AR516">
        <v>96035801</v>
      </c>
      <c r="AS516">
        <v>0</v>
      </c>
      <c r="AT516">
        <v>10670181</v>
      </c>
      <c r="AU516">
        <v>96035801</v>
      </c>
      <c r="AV516">
        <v>106705982</v>
      </c>
      <c r="AW516">
        <v>29.923200000000001</v>
      </c>
      <c r="AX516">
        <v>11.1395</v>
      </c>
      <c r="AY516">
        <v>4952.6400000000003</v>
      </c>
      <c r="AZ516">
        <v>3584.91</v>
      </c>
      <c r="BA516">
        <v>1933</v>
      </c>
      <c r="BB516">
        <v>454</v>
      </c>
      <c r="BC516" t="str">
        <f t="shared" si="16"/>
        <v>u=10%, k=2x10^7</v>
      </c>
      <c r="BD516">
        <f t="shared" si="17"/>
        <v>0</v>
      </c>
    </row>
    <row r="517" spans="1:56">
      <c r="A517" t="s">
        <v>601</v>
      </c>
      <c r="B517" t="s">
        <v>68</v>
      </c>
      <c r="D517" t="s">
        <v>65</v>
      </c>
      <c r="E517" t="s">
        <v>60</v>
      </c>
      <c r="F517" t="s">
        <v>61</v>
      </c>
      <c r="G517">
        <v>30000</v>
      </c>
      <c r="H517">
        <v>5</v>
      </c>
      <c r="I517">
        <v>5</v>
      </c>
      <c r="J517">
        <v>0</v>
      </c>
      <c r="K517">
        <v>1</v>
      </c>
      <c r="L517">
        <v>20000000</v>
      </c>
      <c r="M517">
        <v>24</v>
      </c>
      <c r="N517">
        <v>24</v>
      </c>
      <c r="O517">
        <v>24</v>
      </c>
      <c r="P517">
        <v>0</v>
      </c>
      <c r="Q517" t="s">
        <v>62</v>
      </c>
      <c r="R517">
        <v>100003185312232</v>
      </c>
      <c r="S517">
        <v>9998418</v>
      </c>
      <c r="T517">
        <v>100003185312232</v>
      </c>
      <c r="U517">
        <v>9998418</v>
      </c>
      <c r="V517" t="s">
        <v>75</v>
      </c>
      <c r="W517">
        <v>65</v>
      </c>
      <c r="X517">
        <v>9998417</v>
      </c>
      <c r="Y517">
        <v>9998418</v>
      </c>
      <c r="Z517">
        <v>19996835</v>
      </c>
      <c r="AA517">
        <v>9998418</v>
      </c>
      <c r="AB517">
        <v>2</v>
      </c>
      <c r="AC517">
        <v>1</v>
      </c>
      <c r="AD517">
        <v>1.5</v>
      </c>
      <c r="AE517">
        <v>31.796600000000002</v>
      </c>
      <c r="AM517">
        <v>293537230</v>
      </c>
      <c r="AN517">
        <v>0</v>
      </c>
      <c r="AO517">
        <v>32626028</v>
      </c>
      <c r="AP517">
        <v>293537230</v>
      </c>
      <c r="AQ517">
        <v>326163258</v>
      </c>
      <c r="AR517">
        <v>9784574</v>
      </c>
      <c r="AS517">
        <v>0</v>
      </c>
      <c r="AT517">
        <v>1087534</v>
      </c>
      <c r="AU517">
        <v>9784574</v>
      </c>
      <c r="AV517">
        <v>10872108</v>
      </c>
      <c r="AW517">
        <v>24.997299999999999</v>
      </c>
      <c r="AX517">
        <v>9.1415100000000002</v>
      </c>
      <c r="AY517">
        <v>6158.47</v>
      </c>
      <c r="AZ517">
        <v>4735.84</v>
      </c>
      <c r="BA517">
        <v>1723</v>
      </c>
      <c r="BB517">
        <v>1496</v>
      </c>
      <c r="BC517" t="str">
        <f t="shared" si="16"/>
        <v>u=10%, k=2x10^7</v>
      </c>
      <c r="BD517">
        <f t="shared" si="17"/>
        <v>0</v>
      </c>
    </row>
    <row r="518" spans="1:56">
      <c r="A518" t="s">
        <v>602</v>
      </c>
      <c r="B518" t="s">
        <v>68</v>
      </c>
      <c r="D518" t="s">
        <v>65</v>
      </c>
      <c r="E518" t="s">
        <v>60</v>
      </c>
      <c r="F518" t="s">
        <v>61</v>
      </c>
      <c r="G518">
        <v>30000</v>
      </c>
      <c r="H518">
        <v>5</v>
      </c>
      <c r="I518">
        <v>5</v>
      </c>
      <c r="J518">
        <v>0</v>
      </c>
      <c r="K518">
        <v>1</v>
      </c>
      <c r="L518">
        <v>20000000</v>
      </c>
      <c r="M518">
        <v>48</v>
      </c>
      <c r="N518">
        <v>48</v>
      </c>
      <c r="O518">
        <v>48</v>
      </c>
      <c r="P518">
        <v>0</v>
      </c>
      <c r="Q518" t="s">
        <v>62</v>
      </c>
      <c r="R518">
        <v>100029938433606</v>
      </c>
      <c r="S518">
        <v>10002468</v>
      </c>
      <c r="T518">
        <v>100029938433606</v>
      </c>
      <c r="U518">
        <v>10002468</v>
      </c>
      <c r="V518" t="s">
        <v>75</v>
      </c>
      <c r="W518">
        <v>60</v>
      </c>
      <c r="X518">
        <v>10002467</v>
      </c>
      <c r="Y518">
        <v>10002468</v>
      </c>
      <c r="Z518">
        <v>20004935</v>
      </c>
      <c r="AA518">
        <v>10002468</v>
      </c>
      <c r="AB518">
        <v>2</v>
      </c>
      <c r="AC518">
        <v>1</v>
      </c>
      <c r="AD518">
        <v>1.5</v>
      </c>
      <c r="AE518">
        <v>30.353400000000001</v>
      </c>
      <c r="AM518">
        <v>560716048</v>
      </c>
      <c r="AN518">
        <v>0</v>
      </c>
      <c r="AO518">
        <v>62301764</v>
      </c>
      <c r="AP518">
        <v>560716048</v>
      </c>
      <c r="AQ518">
        <v>623017812</v>
      </c>
      <c r="AR518">
        <v>18690534</v>
      </c>
      <c r="AS518">
        <v>0</v>
      </c>
      <c r="AT518">
        <v>2076725</v>
      </c>
      <c r="AU518">
        <v>18690534</v>
      </c>
      <c r="AV518">
        <v>20767260</v>
      </c>
      <c r="AW518">
        <v>25.0991</v>
      </c>
      <c r="AX518">
        <v>9.1536299999999997</v>
      </c>
      <c r="AY518">
        <v>6447.33</v>
      </c>
      <c r="AZ518">
        <v>5410.08</v>
      </c>
      <c r="BA518">
        <v>1737</v>
      </c>
      <c r="BB518">
        <v>1067</v>
      </c>
      <c r="BC518" t="str">
        <f t="shared" si="16"/>
        <v>u=10%, k=2x10^7</v>
      </c>
      <c r="BD518">
        <f t="shared" si="17"/>
        <v>0</v>
      </c>
    </row>
    <row r="519" spans="1:56">
      <c r="A519" t="s">
        <v>603</v>
      </c>
      <c r="B519" t="s">
        <v>68</v>
      </c>
      <c r="D519" t="s">
        <v>65</v>
      </c>
      <c r="E519" t="s">
        <v>60</v>
      </c>
      <c r="F519" t="s">
        <v>61</v>
      </c>
      <c r="G519">
        <v>30000</v>
      </c>
      <c r="H519">
        <v>5</v>
      </c>
      <c r="I519">
        <v>5</v>
      </c>
      <c r="J519">
        <v>0</v>
      </c>
      <c r="K519">
        <v>1</v>
      </c>
      <c r="L519">
        <v>20000000</v>
      </c>
      <c r="M519">
        <v>96</v>
      </c>
      <c r="N519">
        <v>96</v>
      </c>
      <c r="O519">
        <v>96</v>
      </c>
      <c r="P519">
        <v>0</v>
      </c>
      <c r="Q519" t="s">
        <v>62</v>
      </c>
      <c r="R519">
        <v>100015030042326</v>
      </c>
      <c r="S519">
        <v>10003147</v>
      </c>
      <c r="T519">
        <v>100015030042326</v>
      </c>
      <c r="U519">
        <v>10003147</v>
      </c>
      <c r="V519" t="s">
        <v>75</v>
      </c>
      <c r="W519">
        <v>61</v>
      </c>
      <c r="X519">
        <v>10003146</v>
      </c>
      <c r="Y519">
        <v>10003147</v>
      </c>
      <c r="Z519">
        <v>20006293</v>
      </c>
      <c r="AA519">
        <v>10003147</v>
      </c>
      <c r="AB519">
        <v>2</v>
      </c>
      <c r="AC519">
        <v>1</v>
      </c>
      <c r="AD519">
        <v>1.5</v>
      </c>
      <c r="AE519">
        <v>31.484000000000002</v>
      </c>
      <c r="AM519">
        <v>1247458331</v>
      </c>
      <c r="AN519">
        <v>0</v>
      </c>
      <c r="AO519">
        <v>138591426</v>
      </c>
      <c r="AP519">
        <v>1247458331</v>
      </c>
      <c r="AQ519">
        <v>1386049757</v>
      </c>
      <c r="AR519">
        <v>41581944</v>
      </c>
      <c r="AS519">
        <v>0</v>
      </c>
      <c r="AT519">
        <v>4619714</v>
      </c>
      <c r="AU519">
        <v>41581944</v>
      </c>
      <c r="AV519">
        <v>46201658</v>
      </c>
      <c r="AW519">
        <v>25.764099999999999</v>
      </c>
      <c r="AX519">
        <v>10.096399999999999</v>
      </c>
      <c r="AY519">
        <v>5789.23</v>
      </c>
      <c r="AZ519">
        <v>4735.78</v>
      </c>
      <c r="BA519">
        <v>1774</v>
      </c>
      <c r="BB519">
        <v>746</v>
      </c>
      <c r="BC519" t="str">
        <f t="shared" si="16"/>
        <v>u=10%, k=2x10^7</v>
      </c>
      <c r="BD519">
        <f t="shared" si="17"/>
        <v>0</v>
      </c>
    </row>
    <row r="520" spans="1:56">
      <c r="A520" t="s">
        <v>604</v>
      </c>
      <c r="B520" t="s">
        <v>68</v>
      </c>
      <c r="D520" t="s">
        <v>65</v>
      </c>
      <c r="E520" t="s">
        <v>60</v>
      </c>
      <c r="F520" t="s">
        <v>61</v>
      </c>
      <c r="G520">
        <v>30000</v>
      </c>
      <c r="H520">
        <v>5</v>
      </c>
      <c r="I520">
        <v>5</v>
      </c>
      <c r="J520">
        <v>0</v>
      </c>
      <c r="K520">
        <v>1</v>
      </c>
      <c r="L520">
        <v>20000000</v>
      </c>
      <c r="M520">
        <v>144</v>
      </c>
      <c r="N520">
        <v>144</v>
      </c>
      <c r="O520">
        <v>144</v>
      </c>
      <c r="P520">
        <v>0</v>
      </c>
      <c r="Q520" t="s">
        <v>62</v>
      </c>
      <c r="R520">
        <v>99995023068164</v>
      </c>
      <c r="S520">
        <v>9998861</v>
      </c>
      <c r="T520">
        <v>99995023068164</v>
      </c>
      <c r="U520">
        <v>9998861</v>
      </c>
      <c r="V520" t="s">
        <v>75</v>
      </c>
      <c r="W520">
        <v>60</v>
      </c>
      <c r="X520">
        <v>9998860</v>
      </c>
      <c r="Y520">
        <v>9998861</v>
      </c>
      <c r="Z520">
        <v>19997721</v>
      </c>
      <c r="AA520">
        <v>9998861</v>
      </c>
      <c r="AB520">
        <v>2</v>
      </c>
      <c r="AC520">
        <v>1</v>
      </c>
      <c r="AD520">
        <v>1.5</v>
      </c>
      <c r="AE520">
        <v>31.620100000000001</v>
      </c>
      <c r="AM520">
        <v>1903021284</v>
      </c>
      <c r="AN520">
        <v>0</v>
      </c>
      <c r="AO520">
        <v>211427198</v>
      </c>
      <c r="AP520">
        <v>1903021284</v>
      </c>
      <c r="AQ520">
        <v>2114448482</v>
      </c>
      <c r="AR520">
        <v>63434042</v>
      </c>
      <c r="AS520">
        <v>0</v>
      </c>
      <c r="AT520">
        <v>7047573</v>
      </c>
      <c r="AU520">
        <v>63434042</v>
      </c>
      <c r="AV520">
        <v>70481616</v>
      </c>
      <c r="AW520">
        <v>25.824000000000002</v>
      </c>
      <c r="AX520">
        <v>10.3301</v>
      </c>
      <c r="AY520">
        <v>5691.33</v>
      </c>
      <c r="AZ520">
        <v>4636.46</v>
      </c>
      <c r="BA520">
        <v>1815</v>
      </c>
      <c r="BB520">
        <v>442</v>
      </c>
      <c r="BC520" t="str">
        <f t="shared" si="16"/>
        <v>u=10%, k=2x10^7</v>
      </c>
      <c r="BD520">
        <f t="shared" si="17"/>
        <v>0</v>
      </c>
    </row>
    <row r="521" spans="1:56">
      <c r="A521" t="s">
        <v>605</v>
      </c>
      <c r="B521" t="s">
        <v>68</v>
      </c>
      <c r="D521" t="s">
        <v>65</v>
      </c>
      <c r="E521" t="s">
        <v>60</v>
      </c>
      <c r="F521" t="s">
        <v>61</v>
      </c>
      <c r="G521">
        <v>30000</v>
      </c>
      <c r="H521">
        <v>5</v>
      </c>
      <c r="I521">
        <v>5</v>
      </c>
      <c r="J521">
        <v>0</v>
      </c>
      <c r="K521">
        <v>1</v>
      </c>
      <c r="L521">
        <v>20000000</v>
      </c>
      <c r="M521">
        <v>190</v>
      </c>
      <c r="N521">
        <v>190</v>
      </c>
      <c r="O521">
        <v>190</v>
      </c>
      <c r="P521">
        <v>0</v>
      </c>
      <c r="Q521" t="s">
        <v>62</v>
      </c>
      <c r="R521">
        <v>100025518921092</v>
      </c>
      <c r="S521">
        <v>10001983</v>
      </c>
      <c r="T521">
        <v>100025518921092</v>
      </c>
      <c r="U521">
        <v>10001983</v>
      </c>
      <c r="V521" t="s">
        <v>75</v>
      </c>
      <c r="W521">
        <v>58</v>
      </c>
      <c r="X521">
        <v>10001982</v>
      </c>
      <c r="Y521">
        <v>10001983</v>
      </c>
      <c r="Z521">
        <v>20003965</v>
      </c>
      <c r="AA521">
        <v>10001983</v>
      </c>
      <c r="AB521">
        <v>2</v>
      </c>
      <c r="AC521">
        <v>1</v>
      </c>
      <c r="AD521">
        <v>1.5</v>
      </c>
      <c r="AE521">
        <v>30.9255</v>
      </c>
      <c r="AM521">
        <v>2531885520</v>
      </c>
      <c r="AN521">
        <v>0</v>
      </c>
      <c r="AO521">
        <v>281311570</v>
      </c>
      <c r="AP521">
        <v>2531885520</v>
      </c>
      <c r="AQ521">
        <v>2813197090</v>
      </c>
      <c r="AR521">
        <v>84396184</v>
      </c>
      <c r="AS521">
        <v>0</v>
      </c>
      <c r="AT521">
        <v>9377052</v>
      </c>
      <c r="AU521">
        <v>84396184</v>
      </c>
      <c r="AV521">
        <v>93773236</v>
      </c>
      <c r="AW521">
        <v>25.8447</v>
      </c>
      <c r="AX521">
        <v>10.4238</v>
      </c>
      <c r="AY521">
        <v>5641.29</v>
      </c>
      <c r="AZ521">
        <v>4581.87</v>
      </c>
      <c r="BA521">
        <v>1868</v>
      </c>
      <c r="BB521">
        <v>439</v>
      </c>
      <c r="BC521" t="str">
        <f t="shared" si="16"/>
        <v>u=10%, k=2x10^7</v>
      </c>
      <c r="BD521">
        <f t="shared" si="17"/>
        <v>0</v>
      </c>
    </row>
    <row r="522" spans="1:56">
      <c r="A522" t="s">
        <v>606</v>
      </c>
      <c r="B522" t="s">
        <v>64</v>
      </c>
      <c r="C522">
        <v>72</v>
      </c>
      <c r="D522" t="s">
        <v>65</v>
      </c>
      <c r="E522" t="s">
        <v>60</v>
      </c>
      <c r="F522" t="s">
        <v>61</v>
      </c>
      <c r="G522">
        <v>30000</v>
      </c>
      <c r="H522">
        <v>5</v>
      </c>
      <c r="I522">
        <v>5</v>
      </c>
      <c r="J522">
        <v>0</v>
      </c>
      <c r="K522">
        <v>1</v>
      </c>
      <c r="L522">
        <v>200000000</v>
      </c>
      <c r="M522">
        <v>24</v>
      </c>
      <c r="N522">
        <v>24</v>
      </c>
      <c r="O522">
        <v>24</v>
      </c>
      <c r="P522">
        <v>0</v>
      </c>
      <c r="Q522" t="s">
        <v>62</v>
      </c>
      <c r="R522">
        <v>1.00001493175987E+16</v>
      </c>
      <c r="S522">
        <v>99998622</v>
      </c>
      <c r="T522">
        <v>1.00001493175987E+16</v>
      </c>
      <c r="U522">
        <v>99998622</v>
      </c>
      <c r="V522" t="s">
        <v>75</v>
      </c>
      <c r="W522">
        <v>7</v>
      </c>
      <c r="X522">
        <v>14690235</v>
      </c>
      <c r="Y522">
        <v>117661058</v>
      </c>
      <c r="Z522">
        <v>132351293</v>
      </c>
      <c r="AA522">
        <v>99998622</v>
      </c>
      <c r="AB522">
        <v>9.0094700000000003</v>
      </c>
      <c r="AC522">
        <v>0.84988699999999995</v>
      </c>
      <c r="AD522">
        <v>1.7555499999999999</v>
      </c>
      <c r="AE522">
        <v>4.0766900000000001</v>
      </c>
      <c r="AM522">
        <v>667747003</v>
      </c>
      <c r="AN522">
        <v>0</v>
      </c>
      <c r="AO522">
        <v>74184570</v>
      </c>
      <c r="AP522">
        <v>667747003</v>
      </c>
      <c r="AQ522">
        <v>741931573</v>
      </c>
      <c r="AR522">
        <v>22258233</v>
      </c>
      <c r="AS522">
        <v>0</v>
      </c>
      <c r="AT522">
        <v>2472819</v>
      </c>
      <c r="AU522">
        <v>22258233</v>
      </c>
      <c r="AV522">
        <v>24731052</v>
      </c>
      <c r="AW522">
        <v>20.667899999999999</v>
      </c>
      <c r="AX522">
        <v>9.2904400000000003</v>
      </c>
      <c r="AY522">
        <v>2679.17</v>
      </c>
      <c r="AZ522">
        <v>1991.26</v>
      </c>
      <c r="BA522">
        <v>9462</v>
      </c>
      <c r="BB522">
        <v>1554</v>
      </c>
      <c r="BC522" t="str">
        <f t="shared" si="16"/>
        <v>u=10%, k=2x10^8</v>
      </c>
      <c r="BD522">
        <f t="shared" si="17"/>
        <v>0</v>
      </c>
    </row>
    <row r="523" spans="1:56">
      <c r="A523" t="s">
        <v>607</v>
      </c>
      <c r="B523" t="s">
        <v>64</v>
      </c>
      <c r="C523">
        <v>72</v>
      </c>
      <c r="D523" t="s">
        <v>65</v>
      </c>
      <c r="E523" t="s">
        <v>60</v>
      </c>
      <c r="F523" t="s">
        <v>61</v>
      </c>
      <c r="G523">
        <v>30000</v>
      </c>
      <c r="H523">
        <v>5</v>
      </c>
      <c r="I523">
        <v>5</v>
      </c>
      <c r="J523">
        <v>0</v>
      </c>
      <c r="K523">
        <v>1</v>
      </c>
      <c r="L523">
        <v>200000000</v>
      </c>
      <c r="M523">
        <v>48</v>
      </c>
      <c r="N523">
        <v>48</v>
      </c>
      <c r="O523">
        <v>48</v>
      </c>
      <c r="P523">
        <v>0</v>
      </c>
      <c r="Q523" t="s">
        <v>62</v>
      </c>
      <c r="R523">
        <v>1.00000156252426E+16</v>
      </c>
      <c r="S523">
        <v>100003012</v>
      </c>
      <c r="T523">
        <v>1.00000156252426E+16</v>
      </c>
      <c r="U523">
        <v>100003012</v>
      </c>
      <c r="V523" t="s">
        <v>75</v>
      </c>
      <c r="W523">
        <v>7</v>
      </c>
      <c r="X523">
        <v>14734493</v>
      </c>
      <c r="Y523">
        <v>117761861</v>
      </c>
      <c r="Z523">
        <v>132496354</v>
      </c>
      <c r="AA523">
        <v>100003012</v>
      </c>
      <c r="AB523">
        <v>8.9922599999999999</v>
      </c>
      <c r="AC523">
        <v>0.84919699999999998</v>
      </c>
      <c r="AD523">
        <v>1.7547600000000001</v>
      </c>
      <c r="AE523">
        <v>4.0776500000000002</v>
      </c>
      <c r="AM523">
        <v>1124988369</v>
      </c>
      <c r="AN523">
        <v>0</v>
      </c>
      <c r="AO523">
        <v>124986522</v>
      </c>
      <c r="AP523">
        <v>1124988369</v>
      </c>
      <c r="AQ523">
        <v>1249974891</v>
      </c>
      <c r="AR523">
        <v>37499612</v>
      </c>
      <c r="AS523">
        <v>0</v>
      </c>
      <c r="AT523">
        <v>4166217</v>
      </c>
      <c r="AU523">
        <v>37499612</v>
      </c>
      <c r="AV523">
        <v>41665829</v>
      </c>
      <c r="AW523">
        <v>21.3245</v>
      </c>
      <c r="AX523">
        <v>9.7167600000000007</v>
      </c>
      <c r="AY523">
        <v>3164.68</v>
      </c>
      <c r="AZ523">
        <v>2367.73</v>
      </c>
      <c r="BA523">
        <v>13510</v>
      </c>
      <c r="BB523">
        <v>1293</v>
      </c>
      <c r="BC523" t="str">
        <f t="shared" si="16"/>
        <v>u=10%, k=2x10^8</v>
      </c>
      <c r="BD523">
        <f t="shared" si="17"/>
        <v>0</v>
      </c>
    </row>
    <row r="524" spans="1:56">
      <c r="A524" t="s">
        <v>608</v>
      </c>
      <c r="B524" t="s">
        <v>64</v>
      </c>
      <c r="C524">
        <v>72</v>
      </c>
      <c r="D524" t="s">
        <v>65</v>
      </c>
      <c r="E524" t="s">
        <v>60</v>
      </c>
      <c r="F524" t="s">
        <v>61</v>
      </c>
      <c r="G524">
        <v>30000</v>
      </c>
      <c r="H524">
        <v>5</v>
      </c>
      <c r="I524">
        <v>5</v>
      </c>
      <c r="J524">
        <v>0</v>
      </c>
      <c r="K524">
        <v>1</v>
      </c>
      <c r="L524">
        <v>200000000</v>
      </c>
      <c r="M524">
        <v>96</v>
      </c>
      <c r="N524">
        <v>96</v>
      </c>
      <c r="O524">
        <v>96</v>
      </c>
      <c r="P524">
        <v>0</v>
      </c>
      <c r="Q524" t="s">
        <v>62</v>
      </c>
      <c r="R524">
        <v>9999801341271010</v>
      </c>
      <c r="S524">
        <v>100000541</v>
      </c>
      <c r="T524">
        <v>9999801341271010</v>
      </c>
      <c r="U524">
        <v>100000541</v>
      </c>
      <c r="V524" t="s">
        <v>75</v>
      </c>
      <c r="W524">
        <v>7</v>
      </c>
      <c r="X524">
        <v>14881928</v>
      </c>
      <c r="Y524">
        <v>118143379</v>
      </c>
      <c r="Z524">
        <v>133025307</v>
      </c>
      <c r="AA524">
        <v>100000541</v>
      </c>
      <c r="AB524">
        <v>8.9387100000000004</v>
      </c>
      <c r="AC524">
        <v>0.84643400000000002</v>
      </c>
      <c r="AD524">
        <v>1.7517400000000001</v>
      </c>
      <c r="AE524">
        <v>4.08019</v>
      </c>
      <c r="AM524">
        <v>2129711591</v>
      </c>
      <c r="AN524">
        <v>0</v>
      </c>
      <c r="AO524">
        <v>236647232</v>
      </c>
      <c r="AP524">
        <v>2129711591</v>
      </c>
      <c r="AQ524">
        <v>2366358823</v>
      </c>
      <c r="AR524">
        <v>70990386</v>
      </c>
      <c r="AS524">
        <v>0</v>
      </c>
      <c r="AT524">
        <v>7888241</v>
      </c>
      <c r="AU524">
        <v>70990386</v>
      </c>
      <c r="AV524">
        <v>78878627</v>
      </c>
      <c r="AW524">
        <v>21.813400000000001</v>
      </c>
      <c r="AX524">
        <v>10.6281</v>
      </c>
      <c r="AY524">
        <v>3244.99</v>
      </c>
      <c r="AZ524">
        <v>2394.8000000000002</v>
      </c>
      <c r="BA524">
        <v>13174</v>
      </c>
      <c r="BB524">
        <v>1080</v>
      </c>
      <c r="BC524" t="str">
        <f t="shared" si="16"/>
        <v>u=10%, k=2x10^8</v>
      </c>
      <c r="BD524">
        <f t="shared" si="17"/>
        <v>0</v>
      </c>
    </row>
    <row r="525" spans="1:56">
      <c r="A525" t="s">
        <v>609</v>
      </c>
      <c r="B525" t="s">
        <v>64</v>
      </c>
      <c r="C525">
        <v>72</v>
      </c>
      <c r="D525" t="s">
        <v>65</v>
      </c>
      <c r="E525" t="s">
        <v>60</v>
      </c>
      <c r="F525" t="s">
        <v>61</v>
      </c>
      <c r="G525">
        <v>30000</v>
      </c>
      <c r="H525">
        <v>5</v>
      </c>
      <c r="I525">
        <v>5</v>
      </c>
      <c r="J525">
        <v>0</v>
      </c>
      <c r="K525">
        <v>1</v>
      </c>
      <c r="L525">
        <v>200000000</v>
      </c>
      <c r="M525">
        <v>144</v>
      </c>
      <c r="N525">
        <v>144</v>
      </c>
      <c r="O525">
        <v>144</v>
      </c>
      <c r="P525">
        <v>0</v>
      </c>
      <c r="Q525" t="s">
        <v>62</v>
      </c>
      <c r="R525">
        <v>9999035382616410</v>
      </c>
      <c r="S525">
        <v>99989164</v>
      </c>
      <c r="T525">
        <v>9999035382616410</v>
      </c>
      <c r="U525">
        <v>99989164</v>
      </c>
      <c r="V525" t="s">
        <v>75</v>
      </c>
      <c r="W525">
        <v>7</v>
      </c>
      <c r="X525">
        <v>14776321</v>
      </c>
      <c r="Y525">
        <v>117897612</v>
      </c>
      <c r="Z525">
        <v>132673933</v>
      </c>
      <c r="AA525">
        <v>99989164</v>
      </c>
      <c r="AB525">
        <v>8.9788200000000007</v>
      </c>
      <c r="AC525">
        <v>0.84810200000000002</v>
      </c>
      <c r="AD525">
        <v>1.7536499999999999</v>
      </c>
      <c r="AE525">
        <v>4.0774400000000002</v>
      </c>
      <c r="AM525">
        <v>3051062098</v>
      </c>
      <c r="AN525">
        <v>0</v>
      </c>
      <c r="AO525">
        <v>338984608</v>
      </c>
      <c r="AP525">
        <v>3051062098</v>
      </c>
      <c r="AQ525">
        <v>3390046706</v>
      </c>
      <c r="AR525">
        <v>101702069</v>
      </c>
      <c r="AS525">
        <v>0</v>
      </c>
      <c r="AT525">
        <v>11299486</v>
      </c>
      <c r="AU525">
        <v>101702069</v>
      </c>
      <c r="AV525">
        <v>113001556</v>
      </c>
      <c r="AW525">
        <v>21.9802</v>
      </c>
      <c r="AX525">
        <v>11.007199999999999</v>
      </c>
      <c r="AY525">
        <v>3334.03</v>
      </c>
      <c r="AZ525">
        <v>2470.7399999999998</v>
      </c>
      <c r="BA525">
        <v>14047</v>
      </c>
      <c r="BB525">
        <v>1060</v>
      </c>
      <c r="BC525" t="str">
        <f t="shared" si="16"/>
        <v>u=10%, k=2x10^8</v>
      </c>
      <c r="BD525">
        <f t="shared" si="17"/>
        <v>0</v>
      </c>
    </row>
    <row r="526" spans="1:56">
      <c r="A526" t="s">
        <v>610</v>
      </c>
      <c r="B526" t="s">
        <v>64</v>
      </c>
      <c r="C526">
        <v>72</v>
      </c>
      <c r="D526" t="s">
        <v>65</v>
      </c>
      <c r="E526" t="s">
        <v>60</v>
      </c>
      <c r="F526" t="s">
        <v>61</v>
      </c>
      <c r="G526">
        <v>30000</v>
      </c>
      <c r="H526">
        <v>5</v>
      </c>
      <c r="I526">
        <v>5</v>
      </c>
      <c r="J526">
        <v>0</v>
      </c>
      <c r="K526">
        <v>1</v>
      </c>
      <c r="L526">
        <v>200000000</v>
      </c>
      <c r="M526">
        <v>190</v>
      </c>
      <c r="N526">
        <v>190</v>
      </c>
      <c r="O526">
        <v>190</v>
      </c>
      <c r="P526">
        <v>0</v>
      </c>
      <c r="Q526" t="s">
        <v>62</v>
      </c>
      <c r="R526">
        <v>9999838922357580</v>
      </c>
      <c r="S526">
        <v>100005496</v>
      </c>
      <c r="T526">
        <v>9999838922357580</v>
      </c>
      <c r="U526">
        <v>100005496</v>
      </c>
      <c r="V526" t="s">
        <v>75</v>
      </c>
      <c r="W526">
        <v>7</v>
      </c>
      <c r="X526">
        <v>14838225</v>
      </c>
      <c r="Y526">
        <v>118006113</v>
      </c>
      <c r="Z526">
        <v>132844338</v>
      </c>
      <c r="AA526">
        <v>100005496</v>
      </c>
      <c r="AB526">
        <v>8.9528499999999998</v>
      </c>
      <c r="AC526">
        <v>0.84745999999999999</v>
      </c>
      <c r="AD526">
        <v>1.7527999999999999</v>
      </c>
      <c r="AE526">
        <v>4.0799099999999999</v>
      </c>
      <c r="AM526">
        <v>3844392175</v>
      </c>
      <c r="AN526">
        <v>0</v>
      </c>
      <c r="AO526">
        <v>427151612</v>
      </c>
      <c r="AP526">
        <v>3844392175</v>
      </c>
      <c r="AQ526">
        <v>4271543787</v>
      </c>
      <c r="AR526">
        <v>128146405</v>
      </c>
      <c r="AS526">
        <v>0</v>
      </c>
      <c r="AT526">
        <v>14238387</v>
      </c>
      <c r="AU526">
        <v>128146405</v>
      </c>
      <c r="AV526">
        <v>142384792</v>
      </c>
      <c r="AW526">
        <v>22.248699999999999</v>
      </c>
      <c r="AX526">
        <v>11.283200000000001</v>
      </c>
      <c r="AY526">
        <v>3437.8</v>
      </c>
      <c r="AZ526">
        <v>2560.42</v>
      </c>
      <c r="BA526">
        <v>14261</v>
      </c>
      <c r="BB526">
        <v>1065</v>
      </c>
      <c r="BC526" t="str">
        <f t="shared" si="16"/>
        <v>u=10%, k=2x10^8</v>
      </c>
      <c r="BD526">
        <f t="shared" si="17"/>
        <v>0</v>
      </c>
    </row>
    <row r="527" spans="1:56">
      <c r="A527" t="s">
        <v>611</v>
      </c>
      <c r="B527" t="s">
        <v>66</v>
      </c>
      <c r="C527">
        <v>208</v>
      </c>
      <c r="D527" t="s">
        <v>65</v>
      </c>
      <c r="E527" t="s">
        <v>60</v>
      </c>
      <c r="F527" t="s">
        <v>61</v>
      </c>
      <c r="G527">
        <v>30000</v>
      </c>
      <c r="H527">
        <v>5</v>
      </c>
      <c r="I527">
        <v>5</v>
      </c>
      <c r="J527">
        <v>0</v>
      </c>
      <c r="K527">
        <v>1</v>
      </c>
      <c r="L527">
        <v>200000000</v>
      </c>
      <c r="M527">
        <v>24</v>
      </c>
      <c r="N527">
        <v>24</v>
      </c>
      <c r="O527">
        <v>24</v>
      </c>
      <c r="P527">
        <v>0</v>
      </c>
      <c r="Q527" t="s">
        <v>62</v>
      </c>
      <c r="R527">
        <v>9999104818335290</v>
      </c>
      <c r="S527">
        <v>99997569</v>
      </c>
      <c r="T527">
        <v>9999104818335290</v>
      </c>
      <c r="U527">
        <v>99997569</v>
      </c>
      <c r="V527" t="s">
        <v>75</v>
      </c>
      <c r="W527">
        <v>10</v>
      </c>
      <c r="X527">
        <v>2018365</v>
      </c>
      <c r="Y527">
        <v>13882883</v>
      </c>
      <c r="Z527">
        <v>15901248</v>
      </c>
      <c r="AA527">
        <v>99997569</v>
      </c>
      <c r="AB527">
        <v>7.8782800000000002</v>
      </c>
      <c r="AC527">
        <v>7.2029399999999999</v>
      </c>
      <c r="AD527">
        <v>7.2886600000000001</v>
      </c>
      <c r="AE527">
        <v>9</v>
      </c>
      <c r="AM527">
        <v>522225295</v>
      </c>
      <c r="AN527">
        <v>0</v>
      </c>
      <c r="AO527">
        <v>58032182</v>
      </c>
      <c r="AP527">
        <v>522225295</v>
      </c>
      <c r="AQ527">
        <v>580257477</v>
      </c>
      <c r="AR527">
        <v>17407509</v>
      </c>
      <c r="AS527">
        <v>0</v>
      </c>
      <c r="AT527">
        <v>1934406</v>
      </c>
      <c r="AU527">
        <v>17407509</v>
      </c>
      <c r="AV527">
        <v>19341915</v>
      </c>
      <c r="AW527">
        <v>24.403600000000001</v>
      </c>
      <c r="AX527">
        <v>10.0085</v>
      </c>
      <c r="AY527">
        <v>3459.21</v>
      </c>
      <c r="AZ527">
        <v>2352.92</v>
      </c>
      <c r="BA527">
        <v>4581</v>
      </c>
      <c r="BB527">
        <v>9614</v>
      </c>
      <c r="BC527" t="str">
        <f t="shared" si="16"/>
        <v>u=10%, k=2x10^8</v>
      </c>
      <c r="BD527">
        <f t="shared" si="17"/>
        <v>0</v>
      </c>
    </row>
    <row r="528" spans="1:56">
      <c r="A528" t="s">
        <v>612</v>
      </c>
      <c r="B528" t="s">
        <v>66</v>
      </c>
      <c r="C528">
        <v>208</v>
      </c>
      <c r="D528" t="s">
        <v>65</v>
      </c>
      <c r="E528" t="s">
        <v>60</v>
      </c>
      <c r="F528" t="s">
        <v>61</v>
      </c>
      <c r="G528">
        <v>30000</v>
      </c>
      <c r="H528">
        <v>5</v>
      </c>
      <c r="I528">
        <v>5</v>
      </c>
      <c r="J528">
        <v>0</v>
      </c>
      <c r="K528">
        <v>1</v>
      </c>
      <c r="L528">
        <v>200000000</v>
      </c>
      <c r="M528">
        <v>48</v>
      </c>
      <c r="N528">
        <v>48</v>
      </c>
      <c r="O528">
        <v>48</v>
      </c>
      <c r="P528">
        <v>0</v>
      </c>
      <c r="Q528" t="s">
        <v>62</v>
      </c>
      <c r="R528">
        <v>9999272911021860</v>
      </c>
      <c r="S528">
        <v>99994161</v>
      </c>
      <c r="T528">
        <v>9999272911021860</v>
      </c>
      <c r="U528">
        <v>99994161</v>
      </c>
      <c r="V528" t="s">
        <v>75</v>
      </c>
      <c r="W528">
        <v>10</v>
      </c>
      <c r="X528">
        <v>2102964</v>
      </c>
      <c r="Y528">
        <v>14469741</v>
      </c>
      <c r="Z528">
        <v>16572705</v>
      </c>
      <c r="AA528">
        <v>99994161</v>
      </c>
      <c r="AB528">
        <v>7.8806399999999996</v>
      </c>
      <c r="AC528">
        <v>6.9105699999999999</v>
      </c>
      <c r="AD528">
        <v>7.0336699999999999</v>
      </c>
      <c r="AE528">
        <v>9</v>
      </c>
      <c r="AM528">
        <v>979530810</v>
      </c>
      <c r="AN528">
        <v>0</v>
      </c>
      <c r="AO528">
        <v>108838846</v>
      </c>
      <c r="AP528">
        <v>979530810</v>
      </c>
      <c r="AQ528">
        <v>1088369656</v>
      </c>
      <c r="AR528">
        <v>32651027</v>
      </c>
      <c r="AS528">
        <v>0</v>
      </c>
      <c r="AT528">
        <v>3627961</v>
      </c>
      <c r="AU528">
        <v>32651027</v>
      </c>
      <c r="AV528">
        <v>36278988</v>
      </c>
      <c r="AW528">
        <v>24.439599999999999</v>
      </c>
      <c r="AX528">
        <v>10.004200000000001</v>
      </c>
      <c r="AY528">
        <v>3687.51</v>
      </c>
      <c r="AZ528">
        <v>2769.74</v>
      </c>
      <c r="BA528">
        <v>4814</v>
      </c>
      <c r="BB528">
        <v>6520</v>
      </c>
      <c r="BC528" t="str">
        <f t="shared" si="16"/>
        <v>u=10%, k=2x10^8</v>
      </c>
      <c r="BD528">
        <f t="shared" si="17"/>
        <v>0</v>
      </c>
    </row>
    <row r="529" spans="1:56">
      <c r="A529" t="s">
        <v>613</v>
      </c>
      <c r="B529" t="s">
        <v>66</v>
      </c>
      <c r="C529">
        <v>208</v>
      </c>
      <c r="D529" t="s">
        <v>65</v>
      </c>
      <c r="E529" t="s">
        <v>60</v>
      </c>
      <c r="F529" t="s">
        <v>61</v>
      </c>
      <c r="G529">
        <v>30000</v>
      </c>
      <c r="H529">
        <v>5</v>
      </c>
      <c r="I529">
        <v>5</v>
      </c>
      <c r="J529">
        <v>0</v>
      </c>
      <c r="K529">
        <v>1</v>
      </c>
      <c r="L529">
        <v>200000000</v>
      </c>
      <c r="M529">
        <v>96</v>
      </c>
      <c r="N529">
        <v>96</v>
      </c>
      <c r="O529">
        <v>96</v>
      </c>
      <c r="P529">
        <v>0</v>
      </c>
      <c r="Q529" t="s">
        <v>62</v>
      </c>
      <c r="R529">
        <v>1.00002851199334E+16</v>
      </c>
      <c r="S529">
        <v>100004638</v>
      </c>
      <c r="T529">
        <v>1.00002851199334E+16</v>
      </c>
      <c r="U529">
        <v>100004638</v>
      </c>
      <c r="V529" t="s">
        <v>75</v>
      </c>
      <c r="W529">
        <v>10</v>
      </c>
      <c r="X529">
        <v>2239228</v>
      </c>
      <c r="Y529">
        <v>15402928</v>
      </c>
      <c r="Z529">
        <v>17642156</v>
      </c>
      <c r="AA529">
        <v>100004638</v>
      </c>
      <c r="AB529">
        <v>7.8786800000000001</v>
      </c>
      <c r="AC529">
        <v>6.4925699999999997</v>
      </c>
      <c r="AD529">
        <v>6.6684999999999999</v>
      </c>
      <c r="AE529">
        <v>9</v>
      </c>
      <c r="AM529">
        <v>2020406652</v>
      </c>
      <c r="AN529">
        <v>0</v>
      </c>
      <c r="AO529">
        <v>224484515</v>
      </c>
      <c r="AP529">
        <v>2020406652</v>
      </c>
      <c r="AQ529">
        <v>2244891167</v>
      </c>
      <c r="AR529">
        <v>67346888</v>
      </c>
      <c r="AS529">
        <v>0</v>
      </c>
      <c r="AT529">
        <v>7482817</v>
      </c>
      <c r="AU529">
        <v>67346888</v>
      </c>
      <c r="AV529">
        <v>74829705</v>
      </c>
      <c r="AW529">
        <v>24.552800000000001</v>
      </c>
      <c r="AX529">
        <v>10.4732</v>
      </c>
      <c r="AY529">
        <v>3571.66</v>
      </c>
      <c r="AZ529">
        <v>2612.1799999999998</v>
      </c>
      <c r="BA529">
        <v>5346</v>
      </c>
      <c r="BB529">
        <v>6321</v>
      </c>
      <c r="BC529" t="str">
        <f t="shared" si="16"/>
        <v>u=10%, k=2x10^8</v>
      </c>
      <c r="BD529">
        <f t="shared" si="17"/>
        <v>0</v>
      </c>
    </row>
    <row r="530" spans="1:56">
      <c r="A530" t="s">
        <v>614</v>
      </c>
      <c r="B530" t="s">
        <v>66</v>
      </c>
      <c r="C530">
        <v>208</v>
      </c>
      <c r="D530" t="s">
        <v>65</v>
      </c>
      <c r="E530" t="s">
        <v>60</v>
      </c>
      <c r="F530" t="s">
        <v>61</v>
      </c>
      <c r="G530">
        <v>30000</v>
      </c>
      <c r="H530">
        <v>5</v>
      </c>
      <c r="I530">
        <v>5</v>
      </c>
      <c r="J530">
        <v>0</v>
      </c>
      <c r="K530">
        <v>1</v>
      </c>
      <c r="L530">
        <v>200000000</v>
      </c>
      <c r="M530">
        <v>144</v>
      </c>
      <c r="N530">
        <v>144</v>
      </c>
      <c r="O530">
        <v>144</v>
      </c>
      <c r="P530">
        <v>0</v>
      </c>
      <c r="Q530" t="s">
        <v>62</v>
      </c>
      <c r="R530">
        <v>1.00005532083711E+16</v>
      </c>
      <c r="S530">
        <v>99999224</v>
      </c>
      <c r="T530">
        <v>1.00005532083711E+16</v>
      </c>
      <c r="U530">
        <v>99999224</v>
      </c>
      <c r="V530" t="s">
        <v>75</v>
      </c>
      <c r="W530">
        <v>10</v>
      </c>
      <c r="X530">
        <v>2330408</v>
      </c>
      <c r="Y530">
        <v>16020069</v>
      </c>
      <c r="Z530">
        <v>18350477</v>
      </c>
      <c r="AA530">
        <v>99999224</v>
      </c>
      <c r="AB530">
        <v>7.8743600000000002</v>
      </c>
      <c r="AC530">
        <v>6.2421199999999999</v>
      </c>
      <c r="AD530">
        <v>6.4494100000000003</v>
      </c>
      <c r="AE530">
        <v>9</v>
      </c>
      <c r="AM530">
        <v>3008740409</v>
      </c>
      <c r="AN530">
        <v>0</v>
      </c>
      <c r="AO530">
        <v>334264895</v>
      </c>
      <c r="AP530">
        <v>3008740409</v>
      </c>
      <c r="AQ530">
        <v>3343005304</v>
      </c>
      <c r="AR530">
        <v>100291346</v>
      </c>
      <c r="AS530">
        <v>0</v>
      </c>
      <c r="AT530">
        <v>11142163</v>
      </c>
      <c r="AU530">
        <v>100291346</v>
      </c>
      <c r="AV530">
        <v>111433510</v>
      </c>
      <c r="AW530">
        <v>24.7606</v>
      </c>
      <c r="AX530">
        <v>10.7844</v>
      </c>
      <c r="AY530">
        <v>3592.43</v>
      </c>
      <c r="AZ530">
        <v>2624.06</v>
      </c>
      <c r="BA530">
        <v>5590</v>
      </c>
      <c r="BB530">
        <v>6014</v>
      </c>
      <c r="BC530" t="str">
        <f t="shared" si="16"/>
        <v>u=10%, k=2x10^8</v>
      </c>
      <c r="BD530">
        <f t="shared" si="17"/>
        <v>0</v>
      </c>
    </row>
    <row r="531" spans="1:56">
      <c r="A531" t="s">
        <v>615</v>
      </c>
      <c r="B531" t="s">
        <v>66</v>
      </c>
      <c r="C531">
        <v>208</v>
      </c>
      <c r="D531" t="s">
        <v>65</v>
      </c>
      <c r="E531" t="s">
        <v>60</v>
      </c>
      <c r="F531" t="s">
        <v>61</v>
      </c>
      <c r="G531">
        <v>30000</v>
      </c>
      <c r="H531">
        <v>5</v>
      </c>
      <c r="I531">
        <v>5</v>
      </c>
      <c r="J531">
        <v>0</v>
      </c>
      <c r="K531">
        <v>1</v>
      </c>
      <c r="L531">
        <v>200000000</v>
      </c>
      <c r="M531">
        <v>190</v>
      </c>
      <c r="N531">
        <v>190</v>
      </c>
      <c r="O531">
        <v>190</v>
      </c>
      <c r="P531">
        <v>0</v>
      </c>
      <c r="Q531" t="s">
        <v>62</v>
      </c>
      <c r="R531">
        <v>9998749677220940</v>
      </c>
      <c r="S531">
        <v>99988319</v>
      </c>
      <c r="T531">
        <v>9998749677220940</v>
      </c>
      <c r="U531">
        <v>99988319</v>
      </c>
      <c r="V531" t="s">
        <v>75</v>
      </c>
      <c r="W531">
        <v>11</v>
      </c>
      <c r="X531">
        <v>2396241</v>
      </c>
      <c r="Y531">
        <v>16466450</v>
      </c>
      <c r="Z531">
        <v>18862691</v>
      </c>
      <c r="AA531">
        <v>99988319</v>
      </c>
      <c r="AB531">
        <v>7.8717800000000002</v>
      </c>
      <c r="AC531">
        <v>6.0722500000000004</v>
      </c>
      <c r="AD531">
        <v>6.3008499999999996</v>
      </c>
      <c r="AE531">
        <v>10</v>
      </c>
      <c r="AM531">
        <v>3877806658</v>
      </c>
      <c r="AN531">
        <v>0</v>
      </c>
      <c r="AO531">
        <v>430911639</v>
      </c>
      <c r="AP531">
        <v>3877806658</v>
      </c>
      <c r="AQ531">
        <v>4308718297</v>
      </c>
      <c r="AR531">
        <v>129260221</v>
      </c>
      <c r="AS531">
        <v>0</v>
      </c>
      <c r="AT531">
        <v>14363721</v>
      </c>
      <c r="AU531">
        <v>129260221</v>
      </c>
      <c r="AV531">
        <v>143623943</v>
      </c>
      <c r="AW531">
        <v>24.998899999999999</v>
      </c>
      <c r="AX531">
        <v>11.118</v>
      </c>
      <c r="AY531">
        <v>3678.99</v>
      </c>
      <c r="AZ531">
        <v>2693.05</v>
      </c>
      <c r="BA531">
        <v>6316</v>
      </c>
      <c r="BB531">
        <v>6006</v>
      </c>
      <c r="BC531" t="str">
        <f t="shared" si="16"/>
        <v>u=10%, k=2x10^8</v>
      </c>
      <c r="BD531">
        <f t="shared" si="17"/>
        <v>0</v>
      </c>
    </row>
    <row r="532" spans="1:56">
      <c r="A532" t="s">
        <v>616</v>
      </c>
      <c r="B532" t="s">
        <v>67</v>
      </c>
      <c r="D532" t="s">
        <v>65</v>
      </c>
      <c r="E532" t="s">
        <v>60</v>
      </c>
      <c r="F532" t="s">
        <v>61</v>
      </c>
      <c r="G532">
        <v>30000</v>
      </c>
      <c r="H532">
        <v>5</v>
      </c>
      <c r="I532">
        <v>5</v>
      </c>
      <c r="J532">
        <v>0</v>
      </c>
      <c r="K532">
        <v>1</v>
      </c>
      <c r="L532">
        <v>200000000</v>
      </c>
      <c r="M532">
        <v>24</v>
      </c>
      <c r="N532">
        <v>24</v>
      </c>
      <c r="O532">
        <v>24</v>
      </c>
      <c r="P532">
        <v>0</v>
      </c>
      <c r="Q532" t="s">
        <v>62</v>
      </c>
      <c r="R532">
        <v>1.00009095495381E+16</v>
      </c>
      <c r="S532">
        <v>100008669</v>
      </c>
      <c r="T532">
        <v>1.00009095495381E+16</v>
      </c>
      <c r="U532">
        <v>100008669</v>
      </c>
      <c r="V532" t="s">
        <v>75</v>
      </c>
      <c r="W532">
        <v>33</v>
      </c>
      <c r="X532">
        <v>58519459</v>
      </c>
      <c r="Y532">
        <v>43997353</v>
      </c>
      <c r="Z532">
        <v>102516812</v>
      </c>
      <c r="AA532">
        <v>100008669</v>
      </c>
      <c r="AB532">
        <v>1.7518400000000001</v>
      </c>
      <c r="AC532">
        <v>2.2730600000000001</v>
      </c>
      <c r="AD532">
        <v>1.97553</v>
      </c>
      <c r="AE532">
        <v>26.117999999999999</v>
      </c>
      <c r="AM532">
        <v>227713290</v>
      </c>
      <c r="AN532">
        <v>0</v>
      </c>
      <c r="AO532">
        <v>25293533</v>
      </c>
      <c r="AP532">
        <v>227713290</v>
      </c>
      <c r="AQ532">
        <v>253006823</v>
      </c>
      <c r="AR532">
        <v>7590443</v>
      </c>
      <c r="AS532">
        <v>0</v>
      </c>
      <c r="AT532">
        <v>843117</v>
      </c>
      <c r="AU532">
        <v>7590443</v>
      </c>
      <c r="AV532">
        <v>8433560</v>
      </c>
      <c r="AW532">
        <v>40.264899999999997</v>
      </c>
      <c r="AX532">
        <v>17.920200000000001</v>
      </c>
      <c r="AY532">
        <v>7936.92</v>
      </c>
      <c r="AZ532">
        <v>6562.72</v>
      </c>
      <c r="BA532">
        <v>7689</v>
      </c>
      <c r="BB532">
        <v>17217</v>
      </c>
      <c r="BC532" t="str">
        <f t="shared" si="16"/>
        <v>u=10%, k=2x10^8</v>
      </c>
      <c r="BD532">
        <f t="shared" si="17"/>
        <v>0</v>
      </c>
    </row>
    <row r="533" spans="1:56">
      <c r="A533" t="s">
        <v>617</v>
      </c>
      <c r="B533" t="s">
        <v>67</v>
      </c>
      <c r="D533" t="s">
        <v>65</v>
      </c>
      <c r="E533" t="s">
        <v>60</v>
      </c>
      <c r="F533" t="s">
        <v>61</v>
      </c>
      <c r="G533">
        <v>30000</v>
      </c>
      <c r="H533">
        <v>5</v>
      </c>
      <c r="I533">
        <v>5</v>
      </c>
      <c r="J533">
        <v>0</v>
      </c>
      <c r="K533">
        <v>1</v>
      </c>
      <c r="L533">
        <v>200000000</v>
      </c>
      <c r="M533">
        <v>48</v>
      </c>
      <c r="N533">
        <v>48</v>
      </c>
      <c r="O533">
        <v>48</v>
      </c>
      <c r="P533">
        <v>0</v>
      </c>
      <c r="Q533" t="s">
        <v>62</v>
      </c>
      <c r="R533">
        <v>9999696466325470</v>
      </c>
      <c r="S533">
        <v>99997918</v>
      </c>
      <c r="T533">
        <v>9999696466325470</v>
      </c>
      <c r="U533">
        <v>99997918</v>
      </c>
      <c r="V533" t="s">
        <v>75</v>
      </c>
      <c r="W533">
        <v>33</v>
      </c>
      <c r="X533">
        <v>59628987</v>
      </c>
      <c r="Y533">
        <v>44905013</v>
      </c>
      <c r="Z533">
        <v>104534000</v>
      </c>
      <c r="AA533">
        <v>99997918</v>
      </c>
      <c r="AB533">
        <v>1.7530699999999999</v>
      </c>
      <c r="AC533">
        <v>2.22688</v>
      </c>
      <c r="AD533">
        <v>1.95661</v>
      </c>
      <c r="AE533">
        <v>26.264199999999999</v>
      </c>
      <c r="AM533">
        <v>434089917</v>
      </c>
      <c r="AN533">
        <v>0</v>
      </c>
      <c r="AO533">
        <v>48232694</v>
      </c>
      <c r="AP533">
        <v>434089917</v>
      </c>
      <c r="AQ533">
        <v>482322611</v>
      </c>
      <c r="AR533">
        <v>14469663</v>
      </c>
      <c r="AS533">
        <v>0</v>
      </c>
      <c r="AT533">
        <v>1607756</v>
      </c>
      <c r="AU533">
        <v>14469663</v>
      </c>
      <c r="AV533">
        <v>16077420</v>
      </c>
      <c r="AW533">
        <v>40.953899999999997</v>
      </c>
      <c r="AX533">
        <v>17.992000000000001</v>
      </c>
      <c r="AY533">
        <v>8324.31</v>
      </c>
      <c r="AZ533">
        <v>6960.37</v>
      </c>
      <c r="BA533">
        <v>7827</v>
      </c>
      <c r="BB533">
        <v>9248</v>
      </c>
      <c r="BC533" t="str">
        <f t="shared" si="16"/>
        <v>u=10%, k=2x10^8</v>
      </c>
      <c r="BD533">
        <f t="shared" si="17"/>
        <v>0</v>
      </c>
    </row>
    <row r="534" spans="1:56">
      <c r="A534" t="s">
        <v>618</v>
      </c>
      <c r="B534" t="s">
        <v>67</v>
      </c>
      <c r="D534" t="s">
        <v>65</v>
      </c>
      <c r="E534" t="s">
        <v>60</v>
      </c>
      <c r="F534" t="s">
        <v>61</v>
      </c>
      <c r="G534">
        <v>30000</v>
      </c>
      <c r="H534">
        <v>5</v>
      </c>
      <c r="I534">
        <v>5</v>
      </c>
      <c r="J534">
        <v>0</v>
      </c>
      <c r="K534">
        <v>1</v>
      </c>
      <c r="L534">
        <v>200000000</v>
      </c>
      <c r="M534">
        <v>96</v>
      </c>
      <c r="N534">
        <v>96</v>
      </c>
      <c r="O534">
        <v>96</v>
      </c>
      <c r="P534">
        <v>0</v>
      </c>
      <c r="Q534" t="s">
        <v>62</v>
      </c>
      <c r="R534">
        <v>9999324021095850</v>
      </c>
      <c r="S534">
        <v>99996697</v>
      </c>
      <c r="T534">
        <v>9999324021095850</v>
      </c>
      <c r="U534">
        <v>99996697</v>
      </c>
      <c r="V534" t="s">
        <v>75</v>
      </c>
      <c r="W534">
        <v>33</v>
      </c>
      <c r="X534">
        <v>61793951</v>
      </c>
      <c r="Y534">
        <v>46646271</v>
      </c>
      <c r="Z534">
        <v>108440222</v>
      </c>
      <c r="AA534">
        <v>99996697</v>
      </c>
      <c r="AB534">
        <v>1.7548699999999999</v>
      </c>
      <c r="AC534">
        <v>2.1437200000000001</v>
      </c>
      <c r="AD534">
        <v>1.92214</v>
      </c>
      <c r="AE534">
        <v>26.294599999999999</v>
      </c>
      <c r="AM534">
        <v>923633043</v>
      </c>
      <c r="AN534">
        <v>0</v>
      </c>
      <c r="AO534">
        <v>102610785</v>
      </c>
      <c r="AP534">
        <v>923633043</v>
      </c>
      <c r="AQ534">
        <v>1026243828</v>
      </c>
      <c r="AR534">
        <v>30787768</v>
      </c>
      <c r="AS534">
        <v>0</v>
      </c>
      <c r="AT534">
        <v>3420359</v>
      </c>
      <c r="AU534">
        <v>30787768</v>
      </c>
      <c r="AV534">
        <v>34208127</v>
      </c>
      <c r="AW534">
        <v>41.503900000000002</v>
      </c>
      <c r="AX534">
        <v>19.687200000000001</v>
      </c>
      <c r="AY534">
        <v>7815.72</v>
      </c>
      <c r="AZ534">
        <v>6384.86</v>
      </c>
      <c r="BA534">
        <v>8093</v>
      </c>
      <c r="BB534">
        <v>4710</v>
      </c>
      <c r="BC534" t="str">
        <f t="shared" si="16"/>
        <v>u=10%, k=2x10^8</v>
      </c>
      <c r="BD534">
        <f t="shared" si="17"/>
        <v>0</v>
      </c>
    </row>
    <row r="535" spans="1:56">
      <c r="A535" t="s">
        <v>619</v>
      </c>
      <c r="B535" t="s">
        <v>67</v>
      </c>
      <c r="D535" t="s">
        <v>65</v>
      </c>
      <c r="E535" t="s">
        <v>60</v>
      </c>
      <c r="F535" t="s">
        <v>61</v>
      </c>
      <c r="G535">
        <v>30000</v>
      </c>
      <c r="H535">
        <v>5</v>
      </c>
      <c r="I535">
        <v>5</v>
      </c>
      <c r="J535">
        <v>0</v>
      </c>
      <c r="K535">
        <v>1</v>
      </c>
      <c r="L535">
        <v>200000000</v>
      </c>
      <c r="M535">
        <v>144</v>
      </c>
      <c r="N535">
        <v>144</v>
      </c>
      <c r="O535">
        <v>144</v>
      </c>
      <c r="P535">
        <v>0</v>
      </c>
      <c r="Q535" t="s">
        <v>62</v>
      </c>
      <c r="R535">
        <v>1.00016284591466E+16</v>
      </c>
      <c r="S535">
        <v>100009694</v>
      </c>
      <c r="T535">
        <v>1.00016284591466E+16</v>
      </c>
      <c r="U535">
        <v>100009694</v>
      </c>
      <c r="V535" t="s">
        <v>75</v>
      </c>
      <c r="W535">
        <v>33</v>
      </c>
      <c r="X535">
        <v>63312545</v>
      </c>
      <c r="Y535">
        <v>47851872</v>
      </c>
      <c r="Z535">
        <v>111164417</v>
      </c>
      <c r="AA535">
        <v>100009694</v>
      </c>
      <c r="AB535">
        <v>1.7558</v>
      </c>
      <c r="AC535">
        <v>2.0899800000000002</v>
      </c>
      <c r="AD535">
        <v>1.8996599999999999</v>
      </c>
      <c r="AE535">
        <v>26.398900000000001</v>
      </c>
      <c r="AM535">
        <v>1385724323</v>
      </c>
      <c r="AN535">
        <v>0</v>
      </c>
      <c r="AO535">
        <v>153952621</v>
      </c>
      <c r="AP535">
        <v>1385724323</v>
      </c>
      <c r="AQ535">
        <v>1539676944</v>
      </c>
      <c r="AR535">
        <v>46190810</v>
      </c>
      <c r="AS535">
        <v>0</v>
      </c>
      <c r="AT535">
        <v>5131754</v>
      </c>
      <c r="AU535">
        <v>46190810</v>
      </c>
      <c r="AV535">
        <v>51322564</v>
      </c>
      <c r="AW535">
        <v>41.684800000000003</v>
      </c>
      <c r="AX535">
        <v>20.0608</v>
      </c>
      <c r="AY535">
        <v>7812.53</v>
      </c>
      <c r="AZ535">
        <v>6351.37</v>
      </c>
      <c r="BA535">
        <v>8283</v>
      </c>
      <c r="BB535">
        <v>3122</v>
      </c>
      <c r="BC535" t="str">
        <f t="shared" si="16"/>
        <v>u=10%, k=2x10^8</v>
      </c>
      <c r="BD535">
        <f t="shared" si="17"/>
        <v>0</v>
      </c>
    </row>
    <row r="536" spans="1:56">
      <c r="A536" t="s">
        <v>620</v>
      </c>
      <c r="B536" t="s">
        <v>67</v>
      </c>
      <c r="D536" t="s">
        <v>65</v>
      </c>
      <c r="E536" t="s">
        <v>60</v>
      </c>
      <c r="F536" t="s">
        <v>61</v>
      </c>
      <c r="G536">
        <v>30000</v>
      </c>
      <c r="H536">
        <v>5</v>
      </c>
      <c r="I536">
        <v>5</v>
      </c>
      <c r="J536">
        <v>0</v>
      </c>
      <c r="K536">
        <v>1</v>
      </c>
      <c r="L536">
        <v>200000000</v>
      </c>
      <c r="M536">
        <v>190</v>
      </c>
      <c r="N536">
        <v>190</v>
      </c>
      <c r="O536">
        <v>190</v>
      </c>
      <c r="P536">
        <v>0</v>
      </c>
      <c r="Q536" t="s">
        <v>62</v>
      </c>
      <c r="R536">
        <v>1.00000297324504E+16</v>
      </c>
      <c r="S536">
        <v>99999626</v>
      </c>
      <c r="T536">
        <v>1.00000297324504E+16</v>
      </c>
      <c r="U536">
        <v>99999626</v>
      </c>
      <c r="V536" t="s">
        <v>75</v>
      </c>
      <c r="W536">
        <v>33</v>
      </c>
      <c r="X536">
        <v>64510003</v>
      </c>
      <c r="Y536">
        <v>48795575</v>
      </c>
      <c r="Z536">
        <v>113305578</v>
      </c>
      <c r="AA536">
        <v>99999626</v>
      </c>
      <c r="AB536">
        <v>1.7564</v>
      </c>
      <c r="AC536">
        <v>2.0493600000000001</v>
      </c>
      <c r="AD536">
        <v>1.8825700000000001</v>
      </c>
      <c r="AE536">
        <v>26.447299999999998</v>
      </c>
      <c r="AM536">
        <v>1831981563</v>
      </c>
      <c r="AN536">
        <v>0</v>
      </c>
      <c r="AO536">
        <v>203547580</v>
      </c>
      <c r="AP536">
        <v>1831981563</v>
      </c>
      <c r="AQ536">
        <v>2035529143</v>
      </c>
      <c r="AR536">
        <v>61066052</v>
      </c>
      <c r="AS536">
        <v>0</v>
      </c>
      <c r="AT536">
        <v>6784919</v>
      </c>
      <c r="AU536">
        <v>61066052</v>
      </c>
      <c r="AV536">
        <v>67850971</v>
      </c>
      <c r="AW536">
        <v>41.581200000000003</v>
      </c>
      <c r="AX536">
        <v>20.268999999999998</v>
      </c>
      <c r="AY536">
        <v>7795.33</v>
      </c>
      <c r="AZ536">
        <v>6328.71</v>
      </c>
      <c r="BA536">
        <v>8437</v>
      </c>
      <c r="BB536">
        <v>2780</v>
      </c>
      <c r="BC536" t="str">
        <f t="shared" si="16"/>
        <v>u=10%, k=2x10^8</v>
      </c>
      <c r="BD536">
        <f t="shared" si="17"/>
        <v>0</v>
      </c>
    </row>
    <row r="537" spans="1:56">
      <c r="A537" t="s">
        <v>621</v>
      </c>
      <c r="B537" t="s">
        <v>68</v>
      </c>
      <c r="D537" t="s">
        <v>65</v>
      </c>
      <c r="E537" t="s">
        <v>60</v>
      </c>
      <c r="F537" t="s">
        <v>61</v>
      </c>
      <c r="G537">
        <v>30000</v>
      </c>
      <c r="H537">
        <v>5</v>
      </c>
      <c r="I537">
        <v>5</v>
      </c>
      <c r="J537">
        <v>0</v>
      </c>
      <c r="K537">
        <v>1</v>
      </c>
      <c r="L537">
        <v>200000000</v>
      </c>
      <c r="M537">
        <v>24</v>
      </c>
      <c r="N537">
        <v>24</v>
      </c>
      <c r="O537">
        <v>24</v>
      </c>
      <c r="P537">
        <v>0</v>
      </c>
      <c r="Q537" t="s">
        <v>62</v>
      </c>
      <c r="R537">
        <v>1.00006450727127E+16</v>
      </c>
      <c r="S537">
        <v>100003362</v>
      </c>
      <c r="T537">
        <v>1.00006450727127E+16</v>
      </c>
      <c r="U537">
        <v>100003362</v>
      </c>
      <c r="V537" t="s">
        <v>75</v>
      </c>
      <c r="W537">
        <v>72</v>
      </c>
      <c r="X537">
        <v>100003361</v>
      </c>
      <c r="Y537">
        <v>100003362</v>
      </c>
      <c r="Z537">
        <v>200006723</v>
      </c>
      <c r="AA537">
        <v>100003362</v>
      </c>
      <c r="AB537">
        <v>2</v>
      </c>
      <c r="AC537">
        <v>1</v>
      </c>
      <c r="AD537">
        <v>1.5</v>
      </c>
      <c r="AE537">
        <v>36.1265</v>
      </c>
      <c r="AM537">
        <v>182428025</v>
      </c>
      <c r="AN537">
        <v>0</v>
      </c>
      <c r="AO537">
        <v>20278891</v>
      </c>
      <c r="AP537">
        <v>182428025</v>
      </c>
      <c r="AQ537">
        <v>202706916</v>
      </c>
      <c r="AR537">
        <v>6080934</v>
      </c>
      <c r="AS537">
        <v>0</v>
      </c>
      <c r="AT537">
        <v>675963</v>
      </c>
      <c r="AU537">
        <v>6080934</v>
      </c>
      <c r="AV537">
        <v>6756897</v>
      </c>
      <c r="AW537">
        <v>37.987000000000002</v>
      </c>
      <c r="AX537">
        <v>17.180800000000001</v>
      </c>
      <c r="AY537">
        <v>9908.7800000000007</v>
      </c>
      <c r="AZ537">
        <v>8199.7000000000007</v>
      </c>
      <c r="BA537">
        <v>7531</v>
      </c>
      <c r="BB537">
        <v>19018</v>
      </c>
      <c r="BC537" t="str">
        <f t="shared" si="16"/>
        <v>u=10%, k=2x10^8</v>
      </c>
      <c r="BD537">
        <f t="shared" si="17"/>
        <v>0</v>
      </c>
    </row>
    <row r="538" spans="1:56">
      <c r="A538" t="s">
        <v>622</v>
      </c>
      <c r="B538" t="s">
        <v>68</v>
      </c>
      <c r="D538" t="s">
        <v>65</v>
      </c>
      <c r="E538" t="s">
        <v>60</v>
      </c>
      <c r="F538" t="s">
        <v>61</v>
      </c>
      <c r="G538">
        <v>30000</v>
      </c>
      <c r="H538">
        <v>5</v>
      </c>
      <c r="I538">
        <v>5</v>
      </c>
      <c r="J538">
        <v>0</v>
      </c>
      <c r="K538">
        <v>1</v>
      </c>
      <c r="L538">
        <v>200000000</v>
      </c>
      <c r="M538">
        <v>48</v>
      </c>
      <c r="N538">
        <v>48</v>
      </c>
      <c r="O538">
        <v>48</v>
      </c>
      <c r="P538">
        <v>0</v>
      </c>
      <c r="Q538" t="s">
        <v>62</v>
      </c>
      <c r="R538">
        <v>1.00007530086391E+16</v>
      </c>
      <c r="S538">
        <v>100006699</v>
      </c>
      <c r="T538">
        <v>1.00007530086391E+16</v>
      </c>
      <c r="U538">
        <v>100006699</v>
      </c>
      <c r="V538" t="s">
        <v>75</v>
      </c>
      <c r="W538">
        <v>68</v>
      </c>
      <c r="X538">
        <v>100006698</v>
      </c>
      <c r="Y538">
        <v>100006699</v>
      </c>
      <c r="Z538">
        <v>200013397</v>
      </c>
      <c r="AA538">
        <v>100006699</v>
      </c>
      <c r="AB538">
        <v>2</v>
      </c>
      <c r="AC538">
        <v>1</v>
      </c>
      <c r="AD538">
        <v>1.5</v>
      </c>
      <c r="AE538">
        <v>35.738599999999998</v>
      </c>
      <c r="AM538">
        <v>355506295</v>
      </c>
      <c r="AN538">
        <v>0</v>
      </c>
      <c r="AO538">
        <v>39500026</v>
      </c>
      <c r="AP538">
        <v>355506295</v>
      </c>
      <c r="AQ538">
        <v>395006321</v>
      </c>
      <c r="AR538">
        <v>11850209</v>
      </c>
      <c r="AS538">
        <v>0</v>
      </c>
      <c r="AT538">
        <v>1316667</v>
      </c>
      <c r="AU538">
        <v>11850209</v>
      </c>
      <c r="AV538">
        <v>13166877</v>
      </c>
      <c r="AW538">
        <v>37.914000000000001</v>
      </c>
      <c r="AX538">
        <v>17.088899999999999</v>
      </c>
      <c r="AY538">
        <v>10168.700000000001</v>
      </c>
      <c r="AZ538">
        <v>9038.4599999999991</v>
      </c>
      <c r="BA538">
        <v>7543</v>
      </c>
      <c r="BB538">
        <v>9947</v>
      </c>
      <c r="BC538" t="str">
        <f t="shared" si="16"/>
        <v>u=10%, k=2x10^8</v>
      </c>
      <c r="BD538">
        <f t="shared" si="17"/>
        <v>0</v>
      </c>
    </row>
    <row r="539" spans="1:56">
      <c r="A539" t="s">
        <v>623</v>
      </c>
      <c r="B539" t="s">
        <v>68</v>
      </c>
      <c r="D539" t="s">
        <v>65</v>
      </c>
      <c r="E539" t="s">
        <v>60</v>
      </c>
      <c r="F539" t="s">
        <v>61</v>
      </c>
      <c r="G539">
        <v>30000</v>
      </c>
      <c r="H539">
        <v>5</v>
      </c>
      <c r="I539">
        <v>5</v>
      </c>
      <c r="J539">
        <v>0</v>
      </c>
      <c r="K539">
        <v>1</v>
      </c>
      <c r="L539">
        <v>200000000</v>
      </c>
      <c r="M539">
        <v>96</v>
      </c>
      <c r="N539">
        <v>96</v>
      </c>
      <c r="O539">
        <v>96</v>
      </c>
      <c r="P539">
        <v>0</v>
      </c>
      <c r="Q539" t="s">
        <v>62</v>
      </c>
      <c r="R539">
        <v>1.00003869231155E+16</v>
      </c>
      <c r="S539">
        <v>99999570</v>
      </c>
      <c r="T539">
        <v>1.00003869231155E+16</v>
      </c>
      <c r="U539">
        <v>99999570</v>
      </c>
      <c r="V539" t="s">
        <v>75</v>
      </c>
      <c r="W539">
        <v>71</v>
      </c>
      <c r="X539">
        <v>99999569</v>
      </c>
      <c r="Y539">
        <v>99999570</v>
      </c>
      <c r="Z539">
        <v>199999139</v>
      </c>
      <c r="AA539">
        <v>99999570</v>
      </c>
      <c r="AB539">
        <v>2</v>
      </c>
      <c r="AC539">
        <v>1</v>
      </c>
      <c r="AD539">
        <v>1.5</v>
      </c>
      <c r="AE539">
        <v>35.591700000000003</v>
      </c>
      <c r="AM539">
        <v>772354256</v>
      </c>
      <c r="AN539">
        <v>0</v>
      </c>
      <c r="AO539">
        <v>85818455</v>
      </c>
      <c r="AP539">
        <v>772354256</v>
      </c>
      <c r="AQ539">
        <v>858172711</v>
      </c>
      <c r="AR539">
        <v>25745141</v>
      </c>
      <c r="AS539">
        <v>0</v>
      </c>
      <c r="AT539">
        <v>2860615</v>
      </c>
      <c r="AU539">
        <v>25745141</v>
      </c>
      <c r="AV539">
        <v>28605757</v>
      </c>
      <c r="AW539">
        <v>38.614899999999999</v>
      </c>
      <c r="AX539">
        <v>19.011199999999999</v>
      </c>
      <c r="AY539">
        <v>9350.67</v>
      </c>
      <c r="AZ539">
        <v>8158.53</v>
      </c>
      <c r="BA539">
        <v>7572</v>
      </c>
      <c r="BB539">
        <v>4799</v>
      </c>
      <c r="BC539" t="str">
        <f t="shared" si="16"/>
        <v>u=10%, k=2x10^8</v>
      </c>
      <c r="BD539">
        <f t="shared" si="17"/>
        <v>0</v>
      </c>
    </row>
    <row r="540" spans="1:56">
      <c r="A540" t="s">
        <v>624</v>
      </c>
      <c r="B540" t="s">
        <v>68</v>
      </c>
      <c r="D540" t="s">
        <v>65</v>
      </c>
      <c r="E540" t="s">
        <v>60</v>
      </c>
      <c r="F540" t="s">
        <v>61</v>
      </c>
      <c r="G540">
        <v>30000</v>
      </c>
      <c r="H540">
        <v>5</v>
      </c>
      <c r="I540">
        <v>5</v>
      </c>
      <c r="J540">
        <v>0</v>
      </c>
      <c r="K540">
        <v>1</v>
      </c>
      <c r="L540">
        <v>200000000</v>
      </c>
      <c r="M540">
        <v>144</v>
      </c>
      <c r="N540">
        <v>144</v>
      </c>
      <c r="O540">
        <v>144</v>
      </c>
      <c r="P540">
        <v>0</v>
      </c>
      <c r="Q540" t="s">
        <v>62</v>
      </c>
      <c r="R540">
        <v>1.00002776400902E+16</v>
      </c>
      <c r="S540">
        <v>100004713</v>
      </c>
      <c r="T540">
        <v>1.00002776400902E+16</v>
      </c>
      <c r="U540">
        <v>100004713</v>
      </c>
      <c r="V540" t="s">
        <v>75</v>
      </c>
      <c r="W540">
        <v>69</v>
      </c>
      <c r="X540">
        <v>100004712</v>
      </c>
      <c r="Y540">
        <v>100004713</v>
      </c>
      <c r="Z540">
        <v>200009425</v>
      </c>
      <c r="AA540">
        <v>100004713</v>
      </c>
      <c r="AB540">
        <v>2</v>
      </c>
      <c r="AC540">
        <v>1</v>
      </c>
      <c r="AD540">
        <v>1.5</v>
      </c>
      <c r="AE540">
        <v>35.982999999999997</v>
      </c>
      <c r="AM540">
        <v>1175404530</v>
      </c>
      <c r="AN540">
        <v>0</v>
      </c>
      <c r="AO540">
        <v>130595090</v>
      </c>
      <c r="AP540">
        <v>1175404530</v>
      </c>
      <c r="AQ540">
        <v>1305999620</v>
      </c>
      <c r="AR540">
        <v>39180151</v>
      </c>
      <c r="AS540">
        <v>0</v>
      </c>
      <c r="AT540">
        <v>4353169</v>
      </c>
      <c r="AU540">
        <v>39180151</v>
      </c>
      <c r="AV540">
        <v>43533320</v>
      </c>
      <c r="AW540">
        <v>38.768500000000003</v>
      </c>
      <c r="AX540">
        <v>19.4101</v>
      </c>
      <c r="AY540">
        <v>9213.0400000000009</v>
      </c>
      <c r="AZ540">
        <v>8024.76</v>
      </c>
      <c r="BA540">
        <v>7608</v>
      </c>
      <c r="BB540">
        <v>3115</v>
      </c>
      <c r="BC540" t="str">
        <f t="shared" si="16"/>
        <v>u=10%, k=2x10^8</v>
      </c>
      <c r="BD540">
        <f t="shared" si="17"/>
        <v>0</v>
      </c>
    </row>
    <row r="541" spans="1:56">
      <c r="A541" t="s">
        <v>625</v>
      </c>
      <c r="B541" t="s">
        <v>68</v>
      </c>
      <c r="D541" t="s">
        <v>65</v>
      </c>
      <c r="E541" t="s">
        <v>60</v>
      </c>
      <c r="F541" t="s">
        <v>61</v>
      </c>
      <c r="G541">
        <v>30000</v>
      </c>
      <c r="H541">
        <v>5</v>
      </c>
      <c r="I541">
        <v>5</v>
      </c>
      <c r="J541">
        <v>0</v>
      </c>
      <c r="K541">
        <v>1</v>
      </c>
      <c r="L541">
        <v>200000000</v>
      </c>
      <c r="M541">
        <v>190</v>
      </c>
      <c r="N541">
        <v>190</v>
      </c>
      <c r="O541">
        <v>190</v>
      </c>
      <c r="P541">
        <v>0</v>
      </c>
      <c r="Q541" t="s">
        <v>62</v>
      </c>
      <c r="R541">
        <v>1.00007830768547E+16</v>
      </c>
      <c r="S541">
        <v>100007534</v>
      </c>
      <c r="T541">
        <v>1.00007830768547E+16</v>
      </c>
      <c r="U541">
        <v>100007534</v>
      </c>
      <c r="V541" t="s">
        <v>75</v>
      </c>
      <c r="W541">
        <v>68</v>
      </c>
      <c r="X541">
        <v>100007533</v>
      </c>
      <c r="Y541">
        <v>100007534</v>
      </c>
      <c r="Z541">
        <v>200015067</v>
      </c>
      <c r="AA541">
        <v>100007534</v>
      </c>
      <c r="AB541">
        <v>2</v>
      </c>
      <c r="AC541">
        <v>1</v>
      </c>
      <c r="AD541">
        <v>1.5</v>
      </c>
      <c r="AE541">
        <v>35.978700000000003</v>
      </c>
      <c r="AM541">
        <v>1563523159</v>
      </c>
      <c r="AN541">
        <v>0</v>
      </c>
      <c r="AO541">
        <v>173731654</v>
      </c>
      <c r="AP541">
        <v>1563523159</v>
      </c>
      <c r="AQ541">
        <v>1737254813</v>
      </c>
      <c r="AR541">
        <v>52117438</v>
      </c>
      <c r="AS541">
        <v>0</v>
      </c>
      <c r="AT541">
        <v>5791055</v>
      </c>
      <c r="AU541">
        <v>52117438</v>
      </c>
      <c r="AV541">
        <v>57908493</v>
      </c>
      <c r="AW541">
        <v>38.854900000000001</v>
      </c>
      <c r="AX541">
        <v>19.6523</v>
      </c>
      <c r="AY541">
        <v>9137.67</v>
      </c>
      <c r="AZ541">
        <v>7945.05</v>
      </c>
      <c r="BA541">
        <v>7656</v>
      </c>
      <c r="BB541">
        <v>2847</v>
      </c>
      <c r="BC541" t="str">
        <f t="shared" si="16"/>
        <v>u=10%, k=2x10^8</v>
      </c>
      <c r="BD541">
        <f t="shared" si="17"/>
        <v>0</v>
      </c>
    </row>
    <row r="542" spans="1:56">
      <c r="A542" t="s">
        <v>626</v>
      </c>
      <c r="B542" t="s">
        <v>64</v>
      </c>
      <c r="C542">
        <v>72</v>
      </c>
      <c r="D542" t="s">
        <v>65</v>
      </c>
      <c r="E542" t="s">
        <v>60</v>
      </c>
      <c r="F542" t="s">
        <v>61</v>
      </c>
      <c r="G542">
        <v>30000</v>
      </c>
      <c r="H542">
        <v>5</v>
      </c>
      <c r="I542">
        <v>5</v>
      </c>
      <c r="J542">
        <v>0</v>
      </c>
      <c r="K542">
        <v>1</v>
      </c>
      <c r="L542">
        <v>2000000000</v>
      </c>
      <c r="M542">
        <v>24</v>
      </c>
      <c r="N542">
        <v>24</v>
      </c>
      <c r="O542">
        <v>24</v>
      </c>
      <c r="P542">
        <v>0</v>
      </c>
      <c r="Q542" t="s">
        <v>62</v>
      </c>
      <c r="R542">
        <v>9.9999171130648998E+17</v>
      </c>
      <c r="S542">
        <v>999998894</v>
      </c>
      <c r="T542">
        <v>9.9999171130648998E+17</v>
      </c>
      <c r="U542">
        <v>999998894</v>
      </c>
      <c r="V542" t="s">
        <v>75</v>
      </c>
      <c r="W542">
        <v>7</v>
      </c>
      <c r="X542">
        <v>97096759</v>
      </c>
      <c r="Y542">
        <v>1104244892</v>
      </c>
      <c r="Z542">
        <v>1201341651</v>
      </c>
      <c r="AA542">
        <v>999998894</v>
      </c>
      <c r="AB542">
        <v>12.3726</v>
      </c>
      <c r="AC542">
        <v>0.90559500000000004</v>
      </c>
      <c r="AD542">
        <v>1.8324</v>
      </c>
      <c r="AE542">
        <v>4.0257199999999997</v>
      </c>
      <c r="AM542">
        <v>480583968</v>
      </c>
      <c r="AN542">
        <v>0</v>
      </c>
      <c r="AO542">
        <v>53394002</v>
      </c>
      <c r="AP542">
        <v>480583968</v>
      </c>
      <c r="AQ542">
        <v>533977970</v>
      </c>
      <c r="AR542">
        <v>16019465</v>
      </c>
      <c r="AS542">
        <v>0</v>
      </c>
      <c r="AT542">
        <v>1779800</v>
      </c>
      <c r="AU542">
        <v>16019465</v>
      </c>
      <c r="AV542">
        <v>17799265</v>
      </c>
      <c r="AW542">
        <v>22.762799999999999</v>
      </c>
      <c r="AX542">
        <v>13.3934</v>
      </c>
      <c r="AY542">
        <v>3750.77</v>
      </c>
      <c r="AZ542">
        <v>3004.35</v>
      </c>
      <c r="BA542">
        <v>60561</v>
      </c>
      <c r="BB542">
        <v>16147</v>
      </c>
      <c r="BC542" t="str">
        <f t="shared" si="16"/>
        <v>u=10%, k=2x10^9</v>
      </c>
      <c r="BD542">
        <f t="shared" si="17"/>
        <v>0</v>
      </c>
    </row>
    <row r="543" spans="1:56">
      <c r="A543" t="s">
        <v>627</v>
      </c>
      <c r="B543" t="s">
        <v>64</v>
      </c>
      <c r="C543">
        <v>72</v>
      </c>
      <c r="D543" t="s">
        <v>65</v>
      </c>
      <c r="E543" t="s">
        <v>60</v>
      </c>
      <c r="F543" t="s">
        <v>61</v>
      </c>
      <c r="G543">
        <v>30000</v>
      </c>
      <c r="H543">
        <v>5</v>
      </c>
      <c r="I543">
        <v>5</v>
      </c>
      <c r="J543">
        <v>0</v>
      </c>
      <c r="K543">
        <v>1</v>
      </c>
      <c r="L543">
        <v>2000000000</v>
      </c>
      <c r="M543">
        <v>48</v>
      </c>
      <c r="N543">
        <v>48</v>
      </c>
      <c r="O543">
        <v>48</v>
      </c>
      <c r="P543">
        <v>0</v>
      </c>
      <c r="Q543" t="s">
        <v>62</v>
      </c>
      <c r="R543">
        <v>1.00001023810833E+18</v>
      </c>
      <c r="S543">
        <v>999998225</v>
      </c>
      <c r="T543">
        <v>1.00001023810833E+18</v>
      </c>
      <c r="U543">
        <v>999998225</v>
      </c>
      <c r="V543" t="s">
        <v>75</v>
      </c>
      <c r="W543">
        <v>7</v>
      </c>
      <c r="X543">
        <v>105673569</v>
      </c>
      <c r="Y543">
        <v>1121799567</v>
      </c>
      <c r="Z543">
        <v>1227473136</v>
      </c>
      <c r="AA543">
        <v>999998225</v>
      </c>
      <c r="AB543">
        <v>11.6157</v>
      </c>
      <c r="AC543">
        <v>0.89142299999999997</v>
      </c>
      <c r="AD543">
        <v>1.8146800000000001</v>
      </c>
      <c r="AE543">
        <v>4.04366</v>
      </c>
      <c r="AM543">
        <v>858360719</v>
      </c>
      <c r="AN543">
        <v>0</v>
      </c>
      <c r="AO543">
        <v>95363480</v>
      </c>
      <c r="AP543">
        <v>858360719</v>
      </c>
      <c r="AQ543">
        <v>953724199</v>
      </c>
      <c r="AR543">
        <v>28612023</v>
      </c>
      <c r="AS543">
        <v>0</v>
      </c>
      <c r="AT543">
        <v>3178782</v>
      </c>
      <c r="AU543">
        <v>28612023</v>
      </c>
      <c r="AV543">
        <v>31790806</v>
      </c>
      <c r="AW543">
        <v>22.885000000000002</v>
      </c>
      <c r="AX543">
        <v>13.539400000000001</v>
      </c>
      <c r="AY543">
        <v>4198.32</v>
      </c>
      <c r="AZ543">
        <v>3467.67</v>
      </c>
      <c r="BA543">
        <v>61713</v>
      </c>
      <c r="BB543">
        <v>11538</v>
      </c>
      <c r="BC543" t="str">
        <f t="shared" si="16"/>
        <v>u=10%, k=2x10^9</v>
      </c>
      <c r="BD543">
        <f t="shared" si="17"/>
        <v>0</v>
      </c>
    </row>
    <row r="544" spans="1:56">
      <c r="A544" t="s">
        <v>628</v>
      </c>
      <c r="B544" t="s">
        <v>64</v>
      </c>
      <c r="C544">
        <v>72</v>
      </c>
      <c r="D544" t="s">
        <v>65</v>
      </c>
      <c r="E544" t="s">
        <v>60</v>
      </c>
      <c r="F544" t="s">
        <v>61</v>
      </c>
      <c r="G544">
        <v>30000</v>
      </c>
      <c r="H544">
        <v>5</v>
      </c>
      <c r="I544">
        <v>5</v>
      </c>
      <c r="J544">
        <v>0</v>
      </c>
      <c r="K544">
        <v>1</v>
      </c>
      <c r="L544">
        <v>2000000000</v>
      </c>
      <c r="M544">
        <v>96</v>
      </c>
      <c r="N544">
        <v>96</v>
      </c>
      <c r="O544">
        <v>96</v>
      </c>
      <c r="P544">
        <v>0</v>
      </c>
      <c r="Q544" t="s">
        <v>62</v>
      </c>
      <c r="R544">
        <v>9.9998777414942502E+17</v>
      </c>
      <c r="S544">
        <v>999990968</v>
      </c>
      <c r="T544">
        <v>9.9998777414942502E+17</v>
      </c>
      <c r="U544">
        <v>999990968</v>
      </c>
      <c r="V544" t="s">
        <v>75</v>
      </c>
      <c r="W544">
        <v>7</v>
      </c>
      <c r="X544">
        <v>121112737</v>
      </c>
      <c r="Y544">
        <v>1154426847</v>
      </c>
      <c r="Z544">
        <v>1275539584</v>
      </c>
      <c r="AA544">
        <v>999990968</v>
      </c>
      <c r="AB544">
        <v>10.5318</v>
      </c>
      <c r="AC544">
        <v>0.86622299999999997</v>
      </c>
      <c r="AD544">
        <v>1.7839700000000001</v>
      </c>
      <c r="AE544">
        <v>4.0769900000000003</v>
      </c>
      <c r="AM544">
        <v>1856989698</v>
      </c>
      <c r="AN544">
        <v>0</v>
      </c>
      <c r="AO544">
        <v>206352926</v>
      </c>
      <c r="AP544">
        <v>1856989698</v>
      </c>
      <c r="AQ544">
        <v>2063342624</v>
      </c>
      <c r="AR544">
        <v>61899656</v>
      </c>
      <c r="AS544">
        <v>0</v>
      </c>
      <c r="AT544">
        <v>6878430</v>
      </c>
      <c r="AU544">
        <v>61899656</v>
      </c>
      <c r="AV544">
        <v>68778087</v>
      </c>
      <c r="AW544">
        <v>23.202200000000001</v>
      </c>
      <c r="AX544">
        <v>14.365500000000001</v>
      </c>
      <c r="AY544">
        <v>3879.83</v>
      </c>
      <c r="AZ544">
        <v>3129.97</v>
      </c>
      <c r="BA544">
        <v>64253</v>
      </c>
      <c r="BB544">
        <v>10158</v>
      </c>
      <c r="BC544" t="str">
        <f t="shared" si="16"/>
        <v>u=10%, k=2x10^9</v>
      </c>
      <c r="BD544">
        <f t="shared" si="17"/>
        <v>0</v>
      </c>
    </row>
    <row r="545" spans="1:56">
      <c r="A545" t="s">
        <v>629</v>
      </c>
      <c r="B545" t="s">
        <v>64</v>
      </c>
      <c r="C545">
        <v>72</v>
      </c>
      <c r="D545" t="s">
        <v>65</v>
      </c>
      <c r="E545" t="s">
        <v>60</v>
      </c>
      <c r="F545" t="s">
        <v>61</v>
      </c>
      <c r="G545">
        <v>30000</v>
      </c>
      <c r="H545">
        <v>5</v>
      </c>
      <c r="I545">
        <v>5</v>
      </c>
      <c r="J545">
        <v>0</v>
      </c>
      <c r="K545">
        <v>1</v>
      </c>
      <c r="L545">
        <v>2000000000</v>
      </c>
      <c r="M545">
        <v>144</v>
      </c>
      <c r="N545">
        <v>144</v>
      </c>
      <c r="O545">
        <v>144</v>
      </c>
      <c r="P545">
        <v>0</v>
      </c>
      <c r="Q545" t="s">
        <v>62</v>
      </c>
      <c r="R545">
        <v>9.9997339742400896E+17</v>
      </c>
      <c r="S545">
        <v>999980888</v>
      </c>
      <c r="T545">
        <v>9.9997339742400896E+17</v>
      </c>
      <c r="U545">
        <v>999980888</v>
      </c>
      <c r="V545" t="s">
        <v>75</v>
      </c>
      <c r="W545">
        <v>7</v>
      </c>
      <c r="X545">
        <v>127221879</v>
      </c>
      <c r="Y545">
        <v>1168266563</v>
      </c>
      <c r="Z545">
        <v>1295488442</v>
      </c>
      <c r="AA545">
        <v>999980888</v>
      </c>
      <c r="AB545">
        <v>10.1829</v>
      </c>
      <c r="AC545">
        <v>0.85595299999999996</v>
      </c>
      <c r="AD545">
        <v>1.77189</v>
      </c>
      <c r="AE545">
        <v>4.0908100000000003</v>
      </c>
      <c r="AM545">
        <v>2730771047</v>
      </c>
      <c r="AN545">
        <v>0</v>
      </c>
      <c r="AO545">
        <v>303429017</v>
      </c>
      <c r="AP545">
        <v>2730771047</v>
      </c>
      <c r="AQ545">
        <v>3034200064</v>
      </c>
      <c r="AR545">
        <v>91025701</v>
      </c>
      <c r="AS545">
        <v>0</v>
      </c>
      <c r="AT545">
        <v>10114300</v>
      </c>
      <c r="AU545">
        <v>91025701</v>
      </c>
      <c r="AV545">
        <v>101140002</v>
      </c>
      <c r="AW545">
        <v>23.359400000000001</v>
      </c>
      <c r="AX545">
        <v>14.6815</v>
      </c>
      <c r="AY545">
        <v>3957.08</v>
      </c>
      <c r="AZ545">
        <v>3193.54</v>
      </c>
      <c r="BA545">
        <v>66093</v>
      </c>
      <c r="BB545">
        <v>9092</v>
      </c>
      <c r="BC545" t="str">
        <f t="shared" si="16"/>
        <v>u=10%, k=2x10^9</v>
      </c>
      <c r="BD545">
        <f t="shared" si="17"/>
        <v>0</v>
      </c>
    </row>
    <row r="546" spans="1:56">
      <c r="A546" t="s">
        <v>630</v>
      </c>
      <c r="B546" t="s">
        <v>64</v>
      </c>
      <c r="C546">
        <v>72</v>
      </c>
      <c r="D546" t="s">
        <v>65</v>
      </c>
      <c r="E546" t="s">
        <v>60</v>
      </c>
      <c r="F546" t="s">
        <v>61</v>
      </c>
      <c r="G546">
        <v>30000</v>
      </c>
      <c r="H546">
        <v>5</v>
      </c>
      <c r="I546">
        <v>5</v>
      </c>
      <c r="J546">
        <v>0</v>
      </c>
      <c r="K546">
        <v>1</v>
      </c>
      <c r="L546">
        <v>2000000000</v>
      </c>
      <c r="M546">
        <v>190</v>
      </c>
      <c r="N546">
        <v>190</v>
      </c>
      <c r="O546">
        <v>190</v>
      </c>
      <c r="P546">
        <v>0</v>
      </c>
      <c r="Q546" t="s">
        <v>62</v>
      </c>
      <c r="R546">
        <v>9.9997996389686003E+17</v>
      </c>
      <c r="S546">
        <v>999998728</v>
      </c>
      <c r="T546">
        <v>9.9997996389686003E+17</v>
      </c>
      <c r="U546">
        <v>999998728</v>
      </c>
      <c r="V546" t="s">
        <v>75</v>
      </c>
      <c r="W546">
        <v>7</v>
      </c>
      <c r="X546">
        <v>127022681</v>
      </c>
      <c r="Y546">
        <v>1168808015</v>
      </c>
      <c r="Z546">
        <v>1295830696</v>
      </c>
      <c r="AA546">
        <v>999998728</v>
      </c>
      <c r="AB546">
        <v>10.201599999999999</v>
      </c>
      <c r="AC546">
        <v>0.85557099999999997</v>
      </c>
      <c r="AD546">
        <v>1.7717000000000001</v>
      </c>
      <c r="AE546">
        <v>4.0909000000000004</v>
      </c>
      <c r="AM546">
        <v>3496694053</v>
      </c>
      <c r="AN546">
        <v>0</v>
      </c>
      <c r="AO546">
        <v>388530613</v>
      </c>
      <c r="AP546">
        <v>3496694053</v>
      </c>
      <c r="AQ546">
        <v>3885224666</v>
      </c>
      <c r="AR546">
        <v>116556468</v>
      </c>
      <c r="AS546">
        <v>0</v>
      </c>
      <c r="AT546">
        <v>12951020</v>
      </c>
      <c r="AU546">
        <v>116556468</v>
      </c>
      <c r="AV546">
        <v>129507488</v>
      </c>
      <c r="AW546">
        <v>23.582899999999999</v>
      </c>
      <c r="AX546">
        <v>14.9613</v>
      </c>
      <c r="AY546">
        <v>4078.24</v>
      </c>
      <c r="AZ546">
        <v>3308.75</v>
      </c>
      <c r="BA546">
        <v>67108</v>
      </c>
      <c r="BB546">
        <v>9278</v>
      </c>
      <c r="BC546" t="str">
        <f t="shared" si="16"/>
        <v>u=10%, k=2x10^9</v>
      </c>
      <c r="BD546">
        <f t="shared" si="17"/>
        <v>0</v>
      </c>
    </row>
    <row r="547" spans="1:56">
      <c r="A547" t="s">
        <v>631</v>
      </c>
      <c r="B547" t="s">
        <v>66</v>
      </c>
      <c r="C547">
        <v>208</v>
      </c>
      <c r="D547" t="s">
        <v>65</v>
      </c>
      <c r="E547" t="s">
        <v>60</v>
      </c>
      <c r="F547" t="s">
        <v>61</v>
      </c>
      <c r="G547">
        <v>30000</v>
      </c>
      <c r="H547">
        <v>5</v>
      </c>
      <c r="I547">
        <v>5</v>
      </c>
      <c r="J547">
        <v>0</v>
      </c>
      <c r="K547">
        <v>1</v>
      </c>
      <c r="L547">
        <v>2000000000</v>
      </c>
      <c r="M547">
        <v>24</v>
      </c>
      <c r="N547">
        <v>24</v>
      </c>
      <c r="O547">
        <v>24</v>
      </c>
      <c r="P547">
        <v>0</v>
      </c>
      <c r="Q547" t="s">
        <v>62</v>
      </c>
      <c r="R547">
        <v>9.9999564757071296E+17</v>
      </c>
      <c r="S547">
        <v>1000003188</v>
      </c>
      <c r="T547">
        <v>9.9999564757071296E+17</v>
      </c>
      <c r="U547">
        <v>1000003188</v>
      </c>
      <c r="V547" t="s">
        <v>75</v>
      </c>
      <c r="W547">
        <v>12</v>
      </c>
      <c r="X547">
        <v>18683653</v>
      </c>
      <c r="Y547">
        <v>128587399</v>
      </c>
      <c r="Z547">
        <v>147271052</v>
      </c>
      <c r="AA547">
        <v>1000003188</v>
      </c>
      <c r="AB547">
        <v>7.8823499999999997</v>
      </c>
      <c r="AC547">
        <v>7.77684</v>
      </c>
      <c r="AD547">
        <v>7.7902199999999997</v>
      </c>
      <c r="AE547">
        <v>11</v>
      </c>
      <c r="AM547">
        <v>299774341</v>
      </c>
      <c r="AN547">
        <v>0</v>
      </c>
      <c r="AO547">
        <v>33308051</v>
      </c>
      <c r="AP547">
        <v>299774341</v>
      </c>
      <c r="AQ547">
        <v>333082392</v>
      </c>
      <c r="AR547">
        <v>9992478</v>
      </c>
      <c r="AS547">
        <v>0</v>
      </c>
      <c r="AT547">
        <v>1110268</v>
      </c>
      <c r="AU547">
        <v>9992478</v>
      </c>
      <c r="AV547">
        <v>11102746</v>
      </c>
      <c r="AW547">
        <v>31.091799999999999</v>
      </c>
      <c r="AX547">
        <v>16.945599999999999</v>
      </c>
      <c r="AY547">
        <v>6027.42</v>
      </c>
      <c r="AZ547">
        <v>4790.88</v>
      </c>
      <c r="BA547">
        <v>33502</v>
      </c>
      <c r="BB547">
        <v>155457</v>
      </c>
      <c r="BC547" t="str">
        <f t="shared" si="16"/>
        <v>u=10%, k=2x10^9</v>
      </c>
      <c r="BD547">
        <f t="shared" si="17"/>
        <v>0</v>
      </c>
    </row>
    <row r="548" spans="1:56">
      <c r="A548" t="s">
        <v>632</v>
      </c>
      <c r="B548" t="s">
        <v>66</v>
      </c>
      <c r="C548">
        <v>208</v>
      </c>
      <c r="D548" t="s">
        <v>65</v>
      </c>
      <c r="E548" t="s">
        <v>60</v>
      </c>
      <c r="F548" t="s">
        <v>61</v>
      </c>
      <c r="G548">
        <v>30000</v>
      </c>
      <c r="H548">
        <v>5</v>
      </c>
      <c r="I548">
        <v>5</v>
      </c>
      <c r="J548">
        <v>0</v>
      </c>
      <c r="K548">
        <v>1</v>
      </c>
      <c r="L548">
        <v>2000000000</v>
      </c>
      <c r="M548">
        <v>48</v>
      </c>
      <c r="N548">
        <v>48</v>
      </c>
      <c r="O548">
        <v>48</v>
      </c>
      <c r="P548">
        <v>0</v>
      </c>
      <c r="Q548" t="s">
        <v>62</v>
      </c>
      <c r="R548">
        <v>1.00001842231329E+18</v>
      </c>
      <c r="S548">
        <v>1000002448</v>
      </c>
      <c r="T548">
        <v>1.00001842231329E+18</v>
      </c>
      <c r="U548">
        <v>1000002448</v>
      </c>
      <c r="V548" t="s">
        <v>75</v>
      </c>
      <c r="W548">
        <v>12</v>
      </c>
      <c r="X548">
        <v>18810367</v>
      </c>
      <c r="Y548">
        <v>129436900</v>
      </c>
      <c r="Z548">
        <v>148247267</v>
      </c>
      <c r="AA548">
        <v>1000002448</v>
      </c>
      <c r="AB548">
        <v>7.8811499999999999</v>
      </c>
      <c r="AC548">
        <v>7.7257899999999999</v>
      </c>
      <c r="AD548">
        <v>7.7454999999999998</v>
      </c>
      <c r="AE548">
        <v>11</v>
      </c>
      <c r="AM548">
        <v>573606633</v>
      </c>
      <c r="AN548">
        <v>0</v>
      </c>
      <c r="AO548">
        <v>63723760</v>
      </c>
      <c r="AP548">
        <v>573606633</v>
      </c>
      <c r="AQ548">
        <v>637330393</v>
      </c>
      <c r="AR548">
        <v>19120221</v>
      </c>
      <c r="AS548">
        <v>0</v>
      </c>
      <c r="AT548">
        <v>2124125</v>
      </c>
      <c r="AU548">
        <v>19120221</v>
      </c>
      <c r="AV548">
        <v>21244346</v>
      </c>
      <c r="AW548">
        <v>31.110700000000001</v>
      </c>
      <c r="AX548">
        <v>16.872199999999999</v>
      </c>
      <c r="AY548">
        <v>6298.61</v>
      </c>
      <c r="AZ548">
        <v>5328.82</v>
      </c>
      <c r="BA548">
        <v>33821</v>
      </c>
      <c r="BB548">
        <v>94498</v>
      </c>
      <c r="BC548" t="str">
        <f t="shared" si="16"/>
        <v>u=10%, k=2x10^9</v>
      </c>
      <c r="BD548">
        <f t="shared" si="17"/>
        <v>0</v>
      </c>
    </row>
    <row r="549" spans="1:56">
      <c r="A549" t="s">
        <v>633</v>
      </c>
      <c r="B549" t="s">
        <v>66</v>
      </c>
      <c r="C549">
        <v>208</v>
      </c>
      <c r="D549" t="s">
        <v>65</v>
      </c>
      <c r="E549" t="s">
        <v>60</v>
      </c>
      <c r="F549" t="s">
        <v>61</v>
      </c>
      <c r="G549">
        <v>30000</v>
      </c>
      <c r="H549">
        <v>5</v>
      </c>
      <c r="I549">
        <v>5</v>
      </c>
      <c r="J549">
        <v>0</v>
      </c>
      <c r="K549">
        <v>1</v>
      </c>
      <c r="L549">
        <v>2000000000</v>
      </c>
      <c r="M549">
        <v>96</v>
      </c>
      <c r="N549">
        <v>96</v>
      </c>
      <c r="O549">
        <v>96</v>
      </c>
      <c r="P549">
        <v>0</v>
      </c>
      <c r="Q549" t="s">
        <v>62</v>
      </c>
      <c r="R549">
        <v>1.00000235371798E+18</v>
      </c>
      <c r="S549">
        <v>999991904</v>
      </c>
      <c r="T549">
        <v>1.00000235371798E+18</v>
      </c>
      <c r="U549">
        <v>999991904</v>
      </c>
      <c r="V549" t="s">
        <v>75</v>
      </c>
      <c r="W549">
        <v>12</v>
      </c>
      <c r="X549">
        <v>19091582</v>
      </c>
      <c r="Y549">
        <v>131380371</v>
      </c>
      <c r="Z549">
        <v>150471953</v>
      </c>
      <c r="AA549">
        <v>999991904</v>
      </c>
      <c r="AB549">
        <v>7.8815900000000001</v>
      </c>
      <c r="AC549">
        <v>7.6114300000000004</v>
      </c>
      <c r="AD549">
        <v>7.6456999999999997</v>
      </c>
      <c r="AE549">
        <v>11</v>
      </c>
      <c r="AM549">
        <v>1283856643</v>
      </c>
      <c r="AN549">
        <v>0</v>
      </c>
      <c r="AO549">
        <v>142641390</v>
      </c>
      <c r="AP549">
        <v>1283856643</v>
      </c>
      <c r="AQ549">
        <v>1426498033</v>
      </c>
      <c r="AR549">
        <v>42795221</v>
      </c>
      <c r="AS549">
        <v>0</v>
      </c>
      <c r="AT549">
        <v>4754713</v>
      </c>
      <c r="AU549">
        <v>42795221</v>
      </c>
      <c r="AV549">
        <v>47549934</v>
      </c>
      <c r="AW549">
        <v>31.311800000000002</v>
      </c>
      <c r="AX549">
        <v>17.936499999999999</v>
      </c>
      <c r="AY549">
        <v>5620.72</v>
      </c>
      <c r="AZ549">
        <v>4605.8500000000004</v>
      </c>
      <c r="BA549">
        <v>34544</v>
      </c>
      <c r="BB549">
        <v>71750</v>
      </c>
      <c r="BC549" t="str">
        <f t="shared" si="16"/>
        <v>u=10%, k=2x10^9</v>
      </c>
      <c r="BD549">
        <f t="shared" si="17"/>
        <v>0</v>
      </c>
    </row>
    <row r="550" spans="1:56">
      <c r="A550" t="s">
        <v>634</v>
      </c>
      <c r="B550" t="s">
        <v>66</v>
      </c>
      <c r="C550">
        <v>208</v>
      </c>
      <c r="D550" t="s">
        <v>65</v>
      </c>
      <c r="E550" t="s">
        <v>60</v>
      </c>
      <c r="F550" t="s">
        <v>61</v>
      </c>
      <c r="G550">
        <v>30000</v>
      </c>
      <c r="H550">
        <v>5</v>
      </c>
      <c r="I550">
        <v>5</v>
      </c>
      <c r="J550">
        <v>0</v>
      </c>
      <c r="K550">
        <v>1</v>
      </c>
      <c r="L550">
        <v>2000000000</v>
      </c>
      <c r="M550">
        <v>144</v>
      </c>
      <c r="N550">
        <v>144</v>
      </c>
      <c r="O550">
        <v>144</v>
      </c>
      <c r="P550">
        <v>0</v>
      </c>
      <c r="Q550" t="s">
        <v>62</v>
      </c>
      <c r="R550">
        <v>9.9998682895934298E+17</v>
      </c>
      <c r="S550">
        <v>999994168</v>
      </c>
      <c r="T550">
        <v>9.9998682895934298E+17</v>
      </c>
      <c r="U550">
        <v>999994168</v>
      </c>
      <c r="V550" t="s">
        <v>75</v>
      </c>
      <c r="W550">
        <v>12</v>
      </c>
      <c r="X550">
        <v>19312982</v>
      </c>
      <c r="Y550">
        <v>132891098</v>
      </c>
      <c r="Z550">
        <v>152204080</v>
      </c>
      <c r="AA550">
        <v>999994168</v>
      </c>
      <c r="AB550">
        <v>7.8809199999999997</v>
      </c>
      <c r="AC550">
        <v>7.5249100000000002</v>
      </c>
      <c r="AD550">
        <v>7.5700900000000004</v>
      </c>
      <c r="AE550">
        <v>11</v>
      </c>
      <c r="AM550">
        <v>1921806642</v>
      </c>
      <c r="AN550">
        <v>0</v>
      </c>
      <c r="AO550">
        <v>213537900</v>
      </c>
      <c r="AP550">
        <v>1921806642</v>
      </c>
      <c r="AQ550">
        <v>2135344542</v>
      </c>
      <c r="AR550">
        <v>64060221</v>
      </c>
      <c r="AS550">
        <v>0</v>
      </c>
      <c r="AT550">
        <v>7117930</v>
      </c>
      <c r="AU550">
        <v>64060221</v>
      </c>
      <c r="AV550">
        <v>71178151</v>
      </c>
      <c r="AW550">
        <v>31.5</v>
      </c>
      <c r="AX550">
        <v>18.1706</v>
      </c>
      <c r="AY550">
        <v>5629.1</v>
      </c>
      <c r="AZ550">
        <v>4599.6000000000004</v>
      </c>
      <c r="BA550">
        <v>35195</v>
      </c>
      <c r="BB550">
        <v>65217</v>
      </c>
      <c r="BC550" t="str">
        <f t="shared" si="16"/>
        <v>u=10%, k=2x10^9</v>
      </c>
      <c r="BD550">
        <f t="shared" si="17"/>
        <v>0</v>
      </c>
    </row>
    <row r="551" spans="1:56">
      <c r="A551" t="s">
        <v>635</v>
      </c>
      <c r="B551" t="s">
        <v>66</v>
      </c>
      <c r="C551">
        <v>208</v>
      </c>
      <c r="D551" t="s">
        <v>65</v>
      </c>
      <c r="E551" t="s">
        <v>60</v>
      </c>
      <c r="F551" t="s">
        <v>61</v>
      </c>
      <c r="G551">
        <v>30000</v>
      </c>
      <c r="H551">
        <v>5</v>
      </c>
      <c r="I551">
        <v>5</v>
      </c>
      <c r="J551">
        <v>0</v>
      </c>
      <c r="K551">
        <v>1</v>
      </c>
      <c r="L551">
        <v>2000000000</v>
      </c>
      <c r="M551">
        <v>190</v>
      </c>
      <c r="N551">
        <v>190</v>
      </c>
      <c r="O551">
        <v>190</v>
      </c>
      <c r="P551">
        <v>0</v>
      </c>
      <c r="Q551" t="s">
        <v>62</v>
      </c>
      <c r="R551">
        <v>9.9999622912275494E+17</v>
      </c>
      <c r="S551">
        <v>999997952</v>
      </c>
      <c r="T551">
        <v>9.9999622912275494E+17</v>
      </c>
      <c r="U551">
        <v>999997952</v>
      </c>
      <c r="V551" t="s">
        <v>75</v>
      </c>
      <c r="W551">
        <v>12</v>
      </c>
      <c r="X551">
        <v>19498180</v>
      </c>
      <c r="Y551">
        <v>134181142</v>
      </c>
      <c r="Z551">
        <v>153679322</v>
      </c>
      <c r="AA551">
        <v>999997952</v>
      </c>
      <c r="AB551">
        <v>7.8817300000000001</v>
      </c>
      <c r="AC551">
        <v>7.4526000000000003</v>
      </c>
      <c r="AD551">
        <v>7.5070399999999999</v>
      </c>
      <c r="AE551">
        <v>11</v>
      </c>
      <c r="AM551">
        <v>2528615960</v>
      </c>
      <c r="AN551">
        <v>0</v>
      </c>
      <c r="AO551">
        <v>280944279</v>
      </c>
      <c r="AP551">
        <v>2528615960</v>
      </c>
      <c r="AQ551">
        <v>2809560239</v>
      </c>
      <c r="AR551">
        <v>84287198</v>
      </c>
      <c r="AS551">
        <v>0</v>
      </c>
      <c r="AT551">
        <v>9364809</v>
      </c>
      <c r="AU551">
        <v>84287198</v>
      </c>
      <c r="AV551">
        <v>93652007</v>
      </c>
      <c r="AW551">
        <v>31.6843</v>
      </c>
      <c r="AX551">
        <v>18.330500000000001</v>
      </c>
      <c r="AY551">
        <v>5643.63</v>
      </c>
      <c r="AZ551">
        <v>4610.68</v>
      </c>
      <c r="BA551">
        <v>35982</v>
      </c>
      <c r="BB551">
        <v>61342</v>
      </c>
      <c r="BC551" t="str">
        <f t="shared" si="16"/>
        <v>u=10%, k=2x10^9</v>
      </c>
      <c r="BD551">
        <f t="shared" si="17"/>
        <v>0</v>
      </c>
    </row>
    <row r="552" spans="1:56">
      <c r="A552" t="s">
        <v>636</v>
      </c>
      <c r="B552" t="s">
        <v>67</v>
      </c>
      <c r="D552" t="s">
        <v>65</v>
      </c>
      <c r="E552" t="s">
        <v>60</v>
      </c>
      <c r="F552" t="s">
        <v>61</v>
      </c>
      <c r="G552">
        <v>30000</v>
      </c>
      <c r="H552">
        <v>5</v>
      </c>
      <c r="I552">
        <v>5</v>
      </c>
      <c r="J552">
        <v>0</v>
      </c>
      <c r="K552">
        <v>1</v>
      </c>
      <c r="L552">
        <v>2000000000</v>
      </c>
      <c r="M552">
        <v>24</v>
      </c>
      <c r="N552">
        <v>24</v>
      </c>
      <c r="O552">
        <v>24</v>
      </c>
      <c r="P552">
        <v>0</v>
      </c>
      <c r="Q552" t="s">
        <v>62</v>
      </c>
      <c r="R552">
        <v>1.00000304213849E+18</v>
      </c>
      <c r="S552">
        <v>1000002401</v>
      </c>
      <c r="T552">
        <v>1.00000304213849E+18</v>
      </c>
      <c r="U552">
        <v>1000002401</v>
      </c>
      <c r="V552" t="s">
        <v>75</v>
      </c>
      <c r="W552">
        <v>37</v>
      </c>
      <c r="X552">
        <v>572344143</v>
      </c>
      <c r="Y552">
        <v>429331978</v>
      </c>
      <c r="Z552">
        <v>1001676121</v>
      </c>
      <c r="AA552">
        <v>1000002401</v>
      </c>
      <c r="AB552">
        <v>1.75013</v>
      </c>
      <c r="AC552">
        <v>2.3292099999999998</v>
      </c>
      <c r="AD552">
        <v>1.9983299999999999</v>
      </c>
      <c r="AE552">
        <v>29.430499999999999</v>
      </c>
      <c r="AM552">
        <v>141404816</v>
      </c>
      <c r="AN552">
        <v>0</v>
      </c>
      <c r="AO552">
        <v>15712626</v>
      </c>
      <c r="AP552">
        <v>141404816</v>
      </c>
      <c r="AQ552">
        <v>157117442</v>
      </c>
      <c r="AR552">
        <v>4713493</v>
      </c>
      <c r="AS552">
        <v>0</v>
      </c>
      <c r="AT552">
        <v>523754</v>
      </c>
      <c r="AU552">
        <v>4713493</v>
      </c>
      <c r="AV552">
        <v>5237248</v>
      </c>
      <c r="AW552">
        <v>54.7376</v>
      </c>
      <c r="AX552">
        <v>29.304600000000001</v>
      </c>
      <c r="AY552">
        <v>12781.9</v>
      </c>
      <c r="AZ552">
        <v>11262.7</v>
      </c>
      <c r="BA552">
        <v>65754</v>
      </c>
      <c r="BB552">
        <v>273132</v>
      </c>
      <c r="BC552" t="str">
        <f t="shared" si="16"/>
        <v>u=10%, k=2x10^9</v>
      </c>
      <c r="BD552">
        <f t="shared" si="17"/>
        <v>0</v>
      </c>
    </row>
    <row r="553" spans="1:56">
      <c r="A553" t="s">
        <v>637</v>
      </c>
      <c r="B553" t="s">
        <v>67</v>
      </c>
      <c r="D553" t="s">
        <v>65</v>
      </c>
      <c r="E553" t="s">
        <v>60</v>
      </c>
      <c r="F553" t="s">
        <v>61</v>
      </c>
      <c r="G553">
        <v>30000</v>
      </c>
      <c r="H553">
        <v>5</v>
      </c>
      <c r="I553">
        <v>5</v>
      </c>
      <c r="J553">
        <v>0</v>
      </c>
      <c r="K553">
        <v>1</v>
      </c>
      <c r="L553">
        <v>2000000000</v>
      </c>
      <c r="M553">
        <v>48</v>
      </c>
      <c r="N553">
        <v>48</v>
      </c>
      <c r="O553">
        <v>48</v>
      </c>
      <c r="P553">
        <v>0</v>
      </c>
      <c r="Q553" t="s">
        <v>62</v>
      </c>
      <c r="R553">
        <v>1.00000176794034E+18</v>
      </c>
      <c r="S553">
        <v>999990878</v>
      </c>
      <c r="T553">
        <v>1.00000176794034E+18</v>
      </c>
      <c r="U553">
        <v>999990878</v>
      </c>
      <c r="V553" t="s">
        <v>75</v>
      </c>
      <c r="W553">
        <v>37</v>
      </c>
      <c r="X553">
        <v>573179286</v>
      </c>
      <c r="Y553">
        <v>430040889</v>
      </c>
      <c r="Z553">
        <v>1003220175</v>
      </c>
      <c r="AA553">
        <v>999990878</v>
      </c>
      <c r="AB553">
        <v>1.75027</v>
      </c>
      <c r="AC553">
        <v>2.3253400000000002</v>
      </c>
      <c r="AD553">
        <v>1.99678</v>
      </c>
      <c r="AE553">
        <v>29.430800000000001</v>
      </c>
      <c r="AM553">
        <v>273506022</v>
      </c>
      <c r="AN553">
        <v>0</v>
      </c>
      <c r="AO553">
        <v>30387813</v>
      </c>
      <c r="AP553">
        <v>273506022</v>
      </c>
      <c r="AQ553">
        <v>303893835</v>
      </c>
      <c r="AR553">
        <v>9116867</v>
      </c>
      <c r="AS553">
        <v>0</v>
      </c>
      <c r="AT553">
        <v>1012927</v>
      </c>
      <c r="AU553">
        <v>9116867</v>
      </c>
      <c r="AV553">
        <v>10129794</v>
      </c>
      <c r="AW553">
        <v>55.3581</v>
      </c>
      <c r="AX553">
        <v>29.357299999999999</v>
      </c>
      <c r="AY553">
        <v>13214.5</v>
      </c>
      <c r="AZ553">
        <v>11760.4</v>
      </c>
      <c r="BA553">
        <v>65859</v>
      </c>
      <c r="BB553">
        <v>142906</v>
      </c>
      <c r="BC553" t="str">
        <f t="shared" si="16"/>
        <v>u=10%, k=2x10^9</v>
      </c>
      <c r="BD553">
        <f t="shared" si="17"/>
        <v>0</v>
      </c>
    </row>
    <row r="554" spans="1:56">
      <c r="A554" t="s">
        <v>638</v>
      </c>
      <c r="B554" t="s">
        <v>67</v>
      </c>
      <c r="D554" t="s">
        <v>65</v>
      </c>
      <c r="E554" t="s">
        <v>60</v>
      </c>
      <c r="F554" t="s">
        <v>61</v>
      </c>
      <c r="G554">
        <v>30000</v>
      </c>
      <c r="H554">
        <v>5</v>
      </c>
      <c r="I554">
        <v>5</v>
      </c>
      <c r="J554">
        <v>0</v>
      </c>
      <c r="K554">
        <v>1</v>
      </c>
      <c r="L554">
        <v>2000000000</v>
      </c>
      <c r="M554">
        <v>96</v>
      </c>
      <c r="N554">
        <v>96</v>
      </c>
      <c r="O554">
        <v>96</v>
      </c>
      <c r="P554">
        <v>0</v>
      </c>
      <c r="Q554" t="s">
        <v>62</v>
      </c>
      <c r="R554">
        <v>9.9999770251984E+17</v>
      </c>
      <c r="S554">
        <v>1000006182</v>
      </c>
      <c r="T554">
        <v>9.9999770251984E+17</v>
      </c>
      <c r="U554">
        <v>1000006182</v>
      </c>
      <c r="V554" t="s">
        <v>75</v>
      </c>
      <c r="W554">
        <v>37</v>
      </c>
      <c r="X554">
        <v>575311093</v>
      </c>
      <c r="Y554">
        <v>431798244</v>
      </c>
      <c r="Z554">
        <v>1007109337</v>
      </c>
      <c r="AA554">
        <v>1000006182</v>
      </c>
      <c r="AB554">
        <v>1.7505500000000001</v>
      </c>
      <c r="AC554">
        <v>2.3159100000000001</v>
      </c>
      <c r="AD554">
        <v>1.99295</v>
      </c>
      <c r="AE554">
        <v>29.4176</v>
      </c>
      <c r="AM554">
        <v>608237131</v>
      </c>
      <c r="AN554">
        <v>0</v>
      </c>
      <c r="AO554">
        <v>67567061</v>
      </c>
      <c r="AP554">
        <v>608237131</v>
      </c>
      <c r="AQ554">
        <v>675804192</v>
      </c>
      <c r="AR554">
        <v>20274571</v>
      </c>
      <c r="AS554">
        <v>0</v>
      </c>
      <c r="AT554">
        <v>2252235</v>
      </c>
      <c r="AU554">
        <v>20274571</v>
      </c>
      <c r="AV554">
        <v>22526806</v>
      </c>
      <c r="AW554">
        <v>55.583799999999997</v>
      </c>
      <c r="AX554">
        <v>31.458100000000002</v>
      </c>
      <c r="AY554">
        <v>11872.5</v>
      </c>
      <c r="AZ554">
        <v>10343.5</v>
      </c>
      <c r="BA554">
        <v>66125</v>
      </c>
      <c r="BB554">
        <v>63703</v>
      </c>
      <c r="BC554" t="str">
        <f t="shared" si="16"/>
        <v>u=10%, k=2x10^9</v>
      </c>
      <c r="BD554">
        <f t="shared" si="17"/>
        <v>0</v>
      </c>
    </row>
    <row r="555" spans="1:56">
      <c r="A555" t="s">
        <v>639</v>
      </c>
      <c r="B555" t="s">
        <v>67</v>
      </c>
      <c r="D555" t="s">
        <v>65</v>
      </c>
      <c r="E555" t="s">
        <v>60</v>
      </c>
      <c r="F555" t="s">
        <v>61</v>
      </c>
      <c r="G555">
        <v>30000</v>
      </c>
      <c r="H555">
        <v>5</v>
      </c>
      <c r="I555">
        <v>5</v>
      </c>
      <c r="J555">
        <v>0</v>
      </c>
      <c r="K555">
        <v>1</v>
      </c>
      <c r="L555">
        <v>2000000000</v>
      </c>
      <c r="M555">
        <v>144</v>
      </c>
      <c r="N555">
        <v>144</v>
      </c>
      <c r="O555">
        <v>144</v>
      </c>
      <c r="P555">
        <v>0</v>
      </c>
      <c r="Q555" t="s">
        <v>62</v>
      </c>
      <c r="R555">
        <v>9.9997879199697894E+17</v>
      </c>
      <c r="S555">
        <v>999993172</v>
      </c>
      <c r="T555">
        <v>9.9997879199697894E+17</v>
      </c>
      <c r="U555">
        <v>999993172</v>
      </c>
      <c r="V555" t="s">
        <v>75</v>
      </c>
      <c r="W555">
        <v>37</v>
      </c>
      <c r="X555">
        <v>577207440</v>
      </c>
      <c r="Y555">
        <v>433379550</v>
      </c>
      <c r="Z555">
        <v>1010586990</v>
      </c>
      <c r="AA555">
        <v>999993172</v>
      </c>
      <c r="AB555">
        <v>1.75082</v>
      </c>
      <c r="AC555">
        <v>2.3074300000000001</v>
      </c>
      <c r="AD555">
        <v>1.98952</v>
      </c>
      <c r="AE555">
        <v>29.473400000000002</v>
      </c>
      <c r="AM555">
        <v>915005432</v>
      </c>
      <c r="AN555">
        <v>0</v>
      </c>
      <c r="AO555">
        <v>101668841</v>
      </c>
      <c r="AP555">
        <v>915005432</v>
      </c>
      <c r="AQ555">
        <v>1016674273</v>
      </c>
      <c r="AR555">
        <v>30500181</v>
      </c>
      <c r="AS555">
        <v>0</v>
      </c>
      <c r="AT555">
        <v>3388961</v>
      </c>
      <c r="AU555">
        <v>30500181</v>
      </c>
      <c r="AV555">
        <v>33889142</v>
      </c>
      <c r="AW555">
        <v>55.999499999999998</v>
      </c>
      <c r="AX555">
        <v>31.7136</v>
      </c>
      <c r="AY555">
        <v>11836.4</v>
      </c>
      <c r="AZ555">
        <v>10292.9</v>
      </c>
      <c r="BA555">
        <v>66364</v>
      </c>
      <c r="BB555">
        <v>42773</v>
      </c>
      <c r="BC555" t="str">
        <f t="shared" si="16"/>
        <v>u=10%, k=2x10^9</v>
      </c>
      <c r="BD555">
        <f t="shared" si="17"/>
        <v>0</v>
      </c>
    </row>
    <row r="556" spans="1:56">
      <c r="A556" t="s">
        <v>640</v>
      </c>
      <c r="B556" t="s">
        <v>67</v>
      </c>
      <c r="D556" t="s">
        <v>65</v>
      </c>
      <c r="E556" t="s">
        <v>60</v>
      </c>
      <c r="F556" t="s">
        <v>61</v>
      </c>
      <c r="G556">
        <v>30000</v>
      </c>
      <c r="H556">
        <v>5</v>
      </c>
      <c r="I556">
        <v>5</v>
      </c>
      <c r="J556">
        <v>0</v>
      </c>
      <c r="K556">
        <v>1</v>
      </c>
      <c r="L556">
        <v>2000000000</v>
      </c>
      <c r="M556">
        <v>190</v>
      </c>
      <c r="N556">
        <v>190</v>
      </c>
      <c r="O556">
        <v>190</v>
      </c>
      <c r="P556">
        <v>0</v>
      </c>
      <c r="Q556" t="s">
        <v>62</v>
      </c>
      <c r="R556">
        <v>1.0000006764536399E+18</v>
      </c>
      <c r="S556">
        <v>999990743</v>
      </c>
      <c r="T556">
        <v>1.0000006764536399E+18</v>
      </c>
      <c r="U556">
        <v>999990743</v>
      </c>
      <c r="V556" t="s">
        <v>75</v>
      </c>
      <c r="W556">
        <v>37</v>
      </c>
      <c r="X556">
        <v>578983850</v>
      </c>
      <c r="Y556">
        <v>434857542</v>
      </c>
      <c r="Z556">
        <v>1013841392</v>
      </c>
      <c r="AA556">
        <v>999990743</v>
      </c>
      <c r="AB556">
        <v>1.7510699999999999</v>
      </c>
      <c r="AC556">
        <v>2.2995800000000002</v>
      </c>
      <c r="AD556">
        <v>1.98634</v>
      </c>
      <c r="AE556">
        <v>29.491</v>
      </c>
      <c r="AM556">
        <v>1207074400</v>
      </c>
      <c r="AN556">
        <v>0</v>
      </c>
      <c r="AO556">
        <v>134104079</v>
      </c>
      <c r="AP556">
        <v>1207074400</v>
      </c>
      <c r="AQ556">
        <v>1341178479</v>
      </c>
      <c r="AR556">
        <v>40235813</v>
      </c>
      <c r="AS556">
        <v>0</v>
      </c>
      <c r="AT556">
        <v>4470135</v>
      </c>
      <c r="AU556">
        <v>40235813</v>
      </c>
      <c r="AV556">
        <v>44705949</v>
      </c>
      <c r="AW556">
        <v>55.905299999999997</v>
      </c>
      <c r="AX556">
        <v>31.896000000000001</v>
      </c>
      <c r="AY556">
        <v>11835.3</v>
      </c>
      <c r="AZ556">
        <v>10277.200000000001</v>
      </c>
      <c r="BA556">
        <v>66586</v>
      </c>
      <c r="BB556">
        <v>32879</v>
      </c>
      <c r="BC556" t="str">
        <f t="shared" si="16"/>
        <v>u=10%, k=2x10^9</v>
      </c>
      <c r="BD556">
        <f t="shared" si="17"/>
        <v>0</v>
      </c>
    </row>
    <row r="557" spans="1:56">
      <c r="A557" t="s">
        <v>641</v>
      </c>
      <c r="B557" t="s">
        <v>68</v>
      </c>
      <c r="D557" t="s">
        <v>65</v>
      </c>
      <c r="E557" t="s">
        <v>60</v>
      </c>
      <c r="F557" t="s">
        <v>61</v>
      </c>
      <c r="G557">
        <v>30000</v>
      </c>
      <c r="H557">
        <v>5</v>
      </c>
      <c r="I557">
        <v>5</v>
      </c>
      <c r="J557">
        <v>0</v>
      </c>
      <c r="K557">
        <v>1</v>
      </c>
      <c r="L557">
        <v>2000000000</v>
      </c>
      <c r="M557">
        <v>24</v>
      </c>
      <c r="N557">
        <v>24</v>
      </c>
      <c r="O557">
        <v>24</v>
      </c>
      <c r="P557">
        <v>0</v>
      </c>
      <c r="Q557" t="s">
        <v>62</v>
      </c>
      <c r="R557">
        <v>1.00000355473846E+18</v>
      </c>
      <c r="S557">
        <v>1000001220</v>
      </c>
      <c r="T557">
        <v>1.00000355473846E+18</v>
      </c>
      <c r="U557">
        <v>1000001220</v>
      </c>
      <c r="V557" t="s">
        <v>75</v>
      </c>
      <c r="W557">
        <v>78</v>
      </c>
      <c r="X557">
        <v>1000001219</v>
      </c>
      <c r="Y557">
        <v>1000001220</v>
      </c>
      <c r="Z557">
        <v>2000002439</v>
      </c>
      <c r="AA557">
        <v>1000001220</v>
      </c>
      <c r="AB557">
        <v>2</v>
      </c>
      <c r="AC557">
        <v>1</v>
      </c>
      <c r="AD557">
        <v>1.5</v>
      </c>
      <c r="AE557">
        <v>40.119799999999998</v>
      </c>
      <c r="AM557">
        <v>115452524</v>
      </c>
      <c r="AN557">
        <v>0</v>
      </c>
      <c r="AO557">
        <v>12827985</v>
      </c>
      <c r="AP557">
        <v>115452524</v>
      </c>
      <c r="AQ557">
        <v>128280509</v>
      </c>
      <c r="AR557">
        <v>3848417</v>
      </c>
      <c r="AS557">
        <v>0</v>
      </c>
      <c r="AT557">
        <v>427599</v>
      </c>
      <c r="AU557">
        <v>3848417</v>
      </c>
      <c r="AV557">
        <v>4276016</v>
      </c>
      <c r="AW557">
        <v>53.715000000000003</v>
      </c>
      <c r="AX557">
        <v>28.906500000000001</v>
      </c>
      <c r="AY557">
        <v>15658.1</v>
      </c>
      <c r="AZ557">
        <v>13644.3</v>
      </c>
      <c r="BA557">
        <v>65647</v>
      </c>
      <c r="BB557">
        <v>299258</v>
      </c>
      <c r="BC557" t="str">
        <f t="shared" si="16"/>
        <v>u=10%, k=2x10^9</v>
      </c>
      <c r="BD557">
        <f t="shared" si="17"/>
        <v>0</v>
      </c>
    </row>
    <row r="558" spans="1:56">
      <c r="A558" t="s">
        <v>642</v>
      </c>
      <c r="B558" t="s">
        <v>68</v>
      </c>
      <c r="D558" t="s">
        <v>65</v>
      </c>
      <c r="E558" t="s">
        <v>60</v>
      </c>
      <c r="F558" t="s">
        <v>61</v>
      </c>
      <c r="G558">
        <v>30000</v>
      </c>
      <c r="H558">
        <v>5</v>
      </c>
      <c r="I558">
        <v>5</v>
      </c>
      <c r="J558">
        <v>0</v>
      </c>
      <c r="K558">
        <v>1</v>
      </c>
      <c r="L558">
        <v>2000000000</v>
      </c>
      <c r="M558">
        <v>48</v>
      </c>
      <c r="N558">
        <v>48</v>
      </c>
      <c r="O558">
        <v>48</v>
      </c>
      <c r="P558">
        <v>0</v>
      </c>
      <c r="Q558" t="s">
        <v>62</v>
      </c>
      <c r="R558">
        <v>9.9997974422788198E+17</v>
      </c>
      <c r="S558">
        <v>999997293</v>
      </c>
      <c r="T558">
        <v>9.9997974422788198E+17</v>
      </c>
      <c r="U558">
        <v>999997293</v>
      </c>
      <c r="V558" t="s">
        <v>75</v>
      </c>
      <c r="W558">
        <v>79</v>
      </c>
      <c r="X558">
        <v>999997292</v>
      </c>
      <c r="Y558">
        <v>999997293</v>
      </c>
      <c r="Z558">
        <v>1999994585</v>
      </c>
      <c r="AA558">
        <v>999997293</v>
      </c>
      <c r="AB558">
        <v>2</v>
      </c>
      <c r="AC558">
        <v>1</v>
      </c>
      <c r="AD558">
        <v>1.5</v>
      </c>
      <c r="AE558">
        <v>41.070099999999996</v>
      </c>
      <c r="AM558">
        <v>226171493</v>
      </c>
      <c r="AN558">
        <v>0</v>
      </c>
      <c r="AO558">
        <v>25121181</v>
      </c>
      <c r="AP558">
        <v>226171493</v>
      </c>
      <c r="AQ558">
        <v>251292674</v>
      </c>
      <c r="AR558">
        <v>7539049</v>
      </c>
      <c r="AS558">
        <v>0</v>
      </c>
      <c r="AT558">
        <v>837372</v>
      </c>
      <c r="AU558">
        <v>7539049</v>
      </c>
      <c r="AV558">
        <v>8376422</v>
      </c>
      <c r="AW558">
        <v>53.523400000000002</v>
      </c>
      <c r="AX558">
        <v>28.869299999999999</v>
      </c>
      <c r="AY558">
        <v>15984.8</v>
      </c>
      <c r="AZ558">
        <v>14801.9</v>
      </c>
      <c r="BA558">
        <v>65658</v>
      </c>
      <c r="BB558">
        <v>153297</v>
      </c>
      <c r="BC558" t="str">
        <f t="shared" si="16"/>
        <v>u=10%, k=2x10^9</v>
      </c>
      <c r="BD558">
        <f t="shared" si="17"/>
        <v>0</v>
      </c>
    </row>
    <row r="559" spans="1:56">
      <c r="A559" t="s">
        <v>643</v>
      </c>
      <c r="B559" t="s">
        <v>68</v>
      </c>
      <c r="D559" t="s">
        <v>65</v>
      </c>
      <c r="E559" t="s">
        <v>60</v>
      </c>
      <c r="F559" t="s">
        <v>61</v>
      </c>
      <c r="G559">
        <v>30000</v>
      </c>
      <c r="H559">
        <v>5</v>
      </c>
      <c r="I559">
        <v>5</v>
      </c>
      <c r="J559">
        <v>0</v>
      </c>
      <c r="K559">
        <v>1</v>
      </c>
      <c r="L559">
        <v>2000000000</v>
      </c>
      <c r="M559">
        <v>96</v>
      </c>
      <c r="N559">
        <v>96</v>
      </c>
      <c r="O559">
        <v>96</v>
      </c>
      <c r="P559">
        <v>0</v>
      </c>
      <c r="Q559" t="s">
        <v>62</v>
      </c>
      <c r="R559">
        <v>9.9997753798461594E+17</v>
      </c>
      <c r="S559">
        <v>1000006506</v>
      </c>
      <c r="T559">
        <v>9.9997753798461594E+17</v>
      </c>
      <c r="U559">
        <v>1000006506</v>
      </c>
      <c r="V559" t="s">
        <v>75</v>
      </c>
      <c r="W559">
        <v>81</v>
      </c>
      <c r="X559">
        <v>1000006505</v>
      </c>
      <c r="Y559">
        <v>1000006506</v>
      </c>
      <c r="Z559">
        <v>2000013011</v>
      </c>
      <c r="AA559">
        <v>1000006506</v>
      </c>
      <c r="AB559">
        <v>2</v>
      </c>
      <c r="AC559">
        <v>1</v>
      </c>
      <c r="AD559">
        <v>1.5</v>
      </c>
      <c r="AE559">
        <v>41.495199999999997</v>
      </c>
      <c r="AM559">
        <v>508711984</v>
      </c>
      <c r="AN559">
        <v>0</v>
      </c>
      <c r="AO559">
        <v>56539430</v>
      </c>
      <c r="AP559">
        <v>508711984</v>
      </c>
      <c r="AQ559">
        <v>565251414</v>
      </c>
      <c r="AR559">
        <v>16957066</v>
      </c>
      <c r="AS559">
        <v>0</v>
      </c>
      <c r="AT559">
        <v>1884647</v>
      </c>
      <c r="AU559">
        <v>16957066</v>
      </c>
      <c r="AV559">
        <v>18841713</v>
      </c>
      <c r="AW559">
        <v>54.261699999999998</v>
      </c>
      <c r="AX559">
        <v>31.482500000000002</v>
      </c>
      <c r="AY559">
        <v>14198.3</v>
      </c>
      <c r="AZ559">
        <v>12930</v>
      </c>
      <c r="BA559">
        <v>65681</v>
      </c>
      <c r="BB559">
        <v>66310</v>
      </c>
      <c r="BC559" t="str">
        <f t="shared" si="16"/>
        <v>u=10%, k=2x10^9</v>
      </c>
      <c r="BD559">
        <f t="shared" si="17"/>
        <v>0</v>
      </c>
    </row>
    <row r="560" spans="1:56">
      <c r="A560" t="s">
        <v>644</v>
      </c>
      <c r="B560" t="s">
        <v>68</v>
      </c>
      <c r="D560" t="s">
        <v>65</v>
      </c>
      <c r="E560" t="s">
        <v>60</v>
      </c>
      <c r="F560" t="s">
        <v>61</v>
      </c>
      <c r="G560">
        <v>30000</v>
      </c>
      <c r="H560">
        <v>5</v>
      </c>
      <c r="I560">
        <v>5</v>
      </c>
      <c r="J560">
        <v>0</v>
      </c>
      <c r="K560">
        <v>1</v>
      </c>
      <c r="L560">
        <v>2000000000</v>
      </c>
      <c r="M560">
        <v>144</v>
      </c>
      <c r="N560">
        <v>144</v>
      </c>
      <c r="O560">
        <v>144</v>
      </c>
      <c r="P560">
        <v>0</v>
      </c>
      <c r="Q560" t="s">
        <v>62</v>
      </c>
      <c r="R560">
        <v>1.00002112746545E+18</v>
      </c>
      <c r="S560">
        <v>1000007129</v>
      </c>
      <c r="T560">
        <v>1.00002112746545E+18</v>
      </c>
      <c r="U560">
        <v>1000007129</v>
      </c>
      <c r="V560" t="s">
        <v>75</v>
      </c>
      <c r="W560">
        <v>84</v>
      </c>
      <c r="X560">
        <v>1000007128</v>
      </c>
      <c r="Y560">
        <v>1000007129</v>
      </c>
      <c r="Z560">
        <v>2000014257</v>
      </c>
      <c r="AA560">
        <v>1000007129</v>
      </c>
      <c r="AB560">
        <v>2</v>
      </c>
      <c r="AC560">
        <v>1</v>
      </c>
      <c r="AD560">
        <v>1.5</v>
      </c>
      <c r="AE560">
        <v>41.158900000000003</v>
      </c>
      <c r="AM560">
        <v>767987405</v>
      </c>
      <c r="AN560">
        <v>0</v>
      </c>
      <c r="AO560">
        <v>85333306</v>
      </c>
      <c r="AP560">
        <v>767987405</v>
      </c>
      <c r="AQ560">
        <v>853320711</v>
      </c>
      <c r="AR560">
        <v>25599580</v>
      </c>
      <c r="AS560">
        <v>0</v>
      </c>
      <c r="AT560">
        <v>2844443</v>
      </c>
      <c r="AU560">
        <v>25599580</v>
      </c>
      <c r="AV560">
        <v>28444023</v>
      </c>
      <c r="AW560">
        <v>54.420400000000001</v>
      </c>
      <c r="AX560">
        <v>31.688400000000001</v>
      </c>
      <c r="AY560">
        <v>14105.4</v>
      </c>
      <c r="AZ560">
        <v>12821.8</v>
      </c>
      <c r="BA560">
        <v>65707</v>
      </c>
      <c r="BB560">
        <v>44313</v>
      </c>
      <c r="BC560" t="str">
        <f t="shared" si="16"/>
        <v>u=10%, k=2x10^9</v>
      </c>
      <c r="BD560">
        <f t="shared" si="17"/>
        <v>0</v>
      </c>
    </row>
    <row r="561" spans="1:56">
      <c r="A561" t="s">
        <v>645</v>
      </c>
      <c r="B561" t="s">
        <v>68</v>
      </c>
      <c r="D561" t="s">
        <v>65</v>
      </c>
      <c r="E561" t="s">
        <v>60</v>
      </c>
      <c r="F561" t="s">
        <v>61</v>
      </c>
      <c r="G561">
        <v>30000</v>
      </c>
      <c r="H561">
        <v>5</v>
      </c>
      <c r="I561">
        <v>5</v>
      </c>
      <c r="J561">
        <v>0</v>
      </c>
      <c r="K561">
        <v>1</v>
      </c>
      <c r="L561">
        <v>2000000000</v>
      </c>
      <c r="M561">
        <v>190</v>
      </c>
      <c r="N561">
        <v>190</v>
      </c>
      <c r="O561">
        <v>190</v>
      </c>
      <c r="P561">
        <v>0</v>
      </c>
      <c r="Q561" t="s">
        <v>62</v>
      </c>
      <c r="R561">
        <v>9.9998369094552E+17</v>
      </c>
      <c r="S561">
        <v>999997452</v>
      </c>
      <c r="T561">
        <v>9.9998369094552E+17</v>
      </c>
      <c r="U561">
        <v>999997452</v>
      </c>
      <c r="V561" t="s">
        <v>75</v>
      </c>
      <c r="W561">
        <v>80</v>
      </c>
      <c r="X561">
        <v>999997451</v>
      </c>
      <c r="Y561">
        <v>999997452</v>
      </c>
      <c r="Z561">
        <v>1999994903</v>
      </c>
      <c r="AA561">
        <v>999997452</v>
      </c>
      <c r="AB561">
        <v>2</v>
      </c>
      <c r="AC561">
        <v>1</v>
      </c>
      <c r="AD561">
        <v>1.5</v>
      </c>
      <c r="AE561">
        <v>41.492600000000003</v>
      </c>
      <c r="AM561">
        <v>1018711192</v>
      </c>
      <c r="AN561">
        <v>0</v>
      </c>
      <c r="AO561">
        <v>113180516</v>
      </c>
      <c r="AP561">
        <v>1018711192</v>
      </c>
      <c r="AQ561">
        <v>1131891708</v>
      </c>
      <c r="AR561">
        <v>33957039</v>
      </c>
      <c r="AS561">
        <v>0</v>
      </c>
      <c r="AT561">
        <v>3772683</v>
      </c>
      <c r="AU561">
        <v>33957039</v>
      </c>
      <c r="AV561">
        <v>37729723</v>
      </c>
      <c r="AW561">
        <v>54.572800000000001</v>
      </c>
      <c r="AX561">
        <v>31.842300000000002</v>
      </c>
      <c r="AY561">
        <v>14028.2</v>
      </c>
      <c r="AZ561">
        <v>12730.5</v>
      </c>
      <c r="BA561">
        <v>65743</v>
      </c>
      <c r="BB561">
        <v>33833</v>
      </c>
      <c r="BC561" t="str">
        <f t="shared" si="16"/>
        <v>u=10%, k=2x10^9</v>
      </c>
      <c r="BD561">
        <f t="shared" si="17"/>
        <v>0</v>
      </c>
    </row>
    <row r="562" spans="1:56">
      <c r="A562" t="s">
        <v>646</v>
      </c>
      <c r="B562" t="s">
        <v>64</v>
      </c>
      <c r="C562">
        <v>72</v>
      </c>
      <c r="D562" t="s">
        <v>65</v>
      </c>
      <c r="E562" t="s">
        <v>60</v>
      </c>
      <c r="F562" t="s">
        <v>61</v>
      </c>
      <c r="G562">
        <v>30000</v>
      </c>
      <c r="H562">
        <v>20</v>
      </c>
      <c r="I562">
        <v>20</v>
      </c>
      <c r="J562">
        <v>0</v>
      </c>
      <c r="K562">
        <v>1</v>
      </c>
      <c r="L562">
        <v>2000000</v>
      </c>
      <c r="M562">
        <v>24</v>
      </c>
      <c r="N562">
        <v>24</v>
      </c>
      <c r="O562">
        <v>24</v>
      </c>
      <c r="P562">
        <v>0</v>
      </c>
      <c r="Q562" t="s">
        <v>62</v>
      </c>
      <c r="R562">
        <v>999951827689</v>
      </c>
      <c r="S562">
        <v>1000888</v>
      </c>
      <c r="T562">
        <v>999951827689</v>
      </c>
      <c r="U562">
        <v>1000888</v>
      </c>
      <c r="V562" t="s">
        <v>75</v>
      </c>
      <c r="W562">
        <v>6</v>
      </c>
      <c r="X562">
        <v>84125</v>
      </c>
      <c r="Y562">
        <v>1139586</v>
      </c>
      <c r="Z562">
        <v>1223711</v>
      </c>
      <c r="AA562">
        <v>1000888</v>
      </c>
      <c r="AB562">
        <v>14.5463</v>
      </c>
      <c r="AC562">
        <v>0.87829100000000004</v>
      </c>
      <c r="AD562">
        <v>1.8179099999999999</v>
      </c>
      <c r="AE562">
        <v>3.1120899999999998</v>
      </c>
      <c r="AM562">
        <v>779839783</v>
      </c>
      <c r="AN562">
        <v>0</v>
      </c>
      <c r="AO562">
        <v>519867486</v>
      </c>
      <c r="AP562">
        <v>779839783</v>
      </c>
      <c r="AQ562">
        <v>1299707269</v>
      </c>
      <c r="AR562">
        <v>25994659</v>
      </c>
      <c r="AS562">
        <v>0</v>
      </c>
      <c r="AT562">
        <v>17328916</v>
      </c>
      <c r="AU562">
        <v>25994659</v>
      </c>
      <c r="AV562">
        <v>43323575</v>
      </c>
      <c r="AW562">
        <v>15.7507</v>
      </c>
      <c r="AX562">
        <v>1.0635399999999999</v>
      </c>
      <c r="AY562">
        <v>1543.07</v>
      </c>
      <c r="AZ562">
        <v>624.94600000000003</v>
      </c>
      <c r="BA562">
        <v>1214</v>
      </c>
      <c r="BB562">
        <v>28</v>
      </c>
      <c r="BC562" t="str">
        <f t="shared" si="16"/>
        <v>u=40%, k=2x10^6</v>
      </c>
      <c r="BD562">
        <f t="shared" si="17"/>
        <v>0</v>
      </c>
    </row>
    <row r="563" spans="1:56">
      <c r="A563" t="s">
        <v>647</v>
      </c>
      <c r="B563" t="s">
        <v>64</v>
      </c>
      <c r="C563">
        <v>72</v>
      </c>
      <c r="D563" t="s">
        <v>65</v>
      </c>
      <c r="E563" t="s">
        <v>60</v>
      </c>
      <c r="F563" t="s">
        <v>61</v>
      </c>
      <c r="G563">
        <v>30000</v>
      </c>
      <c r="H563">
        <v>20</v>
      </c>
      <c r="I563">
        <v>20</v>
      </c>
      <c r="J563">
        <v>0</v>
      </c>
      <c r="K563">
        <v>1</v>
      </c>
      <c r="L563">
        <v>2000000</v>
      </c>
      <c r="M563">
        <v>48</v>
      </c>
      <c r="N563">
        <v>48</v>
      </c>
      <c r="O563">
        <v>48</v>
      </c>
      <c r="P563">
        <v>0</v>
      </c>
      <c r="Q563" t="s">
        <v>62</v>
      </c>
      <c r="R563">
        <v>1001555935252</v>
      </c>
      <c r="S563">
        <v>1001437</v>
      </c>
      <c r="T563">
        <v>1001555935252</v>
      </c>
      <c r="U563">
        <v>1001437</v>
      </c>
      <c r="V563" t="s">
        <v>75</v>
      </c>
      <c r="W563">
        <v>6</v>
      </c>
      <c r="X563">
        <v>33046</v>
      </c>
      <c r="Y563">
        <v>1033494</v>
      </c>
      <c r="Z563">
        <v>1066540</v>
      </c>
      <c r="AA563">
        <v>1001437</v>
      </c>
      <c r="AB563">
        <v>32.2744</v>
      </c>
      <c r="AC563">
        <v>0.96898200000000001</v>
      </c>
      <c r="AD563">
        <v>1.93896</v>
      </c>
      <c r="AE563">
        <v>3.0000200000000001</v>
      </c>
      <c r="AM563">
        <v>1122507633</v>
      </c>
      <c r="AN563">
        <v>0</v>
      </c>
      <c r="AO563">
        <v>748391533</v>
      </c>
      <c r="AP563">
        <v>1122507633</v>
      </c>
      <c r="AQ563">
        <v>1870899166</v>
      </c>
      <c r="AR563">
        <v>37416921</v>
      </c>
      <c r="AS563">
        <v>0</v>
      </c>
      <c r="AT563">
        <v>24946384</v>
      </c>
      <c r="AU563">
        <v>37416921</v>
      </c>
      <c r="AV563">
        <v>62363305</v>
      </c>
      <c r="AW563">
        <v>16.204899999999999</v>
      </c>
      <c r="AX563">
        <v>1.5400100000000001</v>
      </c>
      <c r="AY563">
        <v>2098.0100000000002</v>
      </c>
      <c r="AZ563">
        <v>999.39099999999996</v>
      </c>
      <c r="BA563">
        <v>1264</v>
      </c>
      <c r="BB563">
        <v>32</v>
      </c>
      <c r="BC563" t="str">
        <f t="shared" si="16"/>
        <v>u=40%, k=2x10^6</v>
      </c>
      <c r="BD563">
        <f t="shared" si="17"/>
        <v>0</v>
      </c>
    </row>
    <row r="564" spans="1:56">
      <c r="A564" t="s">
        <v>648</v>
      </c>
      <c r="B564" t="s">
        <v>64</v>
      </c>
      <c r="C564">
        <v>72</v>
      </c>
      <c r="D564" t="s">
        <v>65</v>
      </c>
      <c r="E564" t="s">
        <v>60</v>
      </c>
      <c r="F564" t="s">
        <v>61</v>
      </c>
      <c r="G564">
        <v>30000</v>
      </c>
      <c r="H564">
        <v>20</v>
      </c>
      <c r="I564">
        <v>20</v>
      </c>
      <c r="J564">
        <v>0</v>
      </c>
      <c r="K564">
        <v>1</v>
      </c>
      <c r="L564">
        <v>2000000</v>
      </c>
      <c r="M564">
        <v>96</v>
      </c>
      <c r="N564">
        <v>96</v>
      </c>
      <c r="O564">
        <v>96</v>
      </c>
      <c r="P564">
        <v>0</v>
      </c>
      <c r="Q564" t="s">
        <v>62</v>
      </c>
      <c r="R564">
        <v>1001319146612</v>
      </c>
      <c r="S564">
        <v>1001522</v>
      </c>
      <c r="T564">
        <v>1001319146612</v>
      </c>
      <c r="U564">
        <v>1001522</v>
      </c>
      <c r="V564" t="s">
        <v>75</v>
      </c>
      <c r="W564">
        <v>6</v>
      </c>
      <c r="X564">
        <v>55356</v>
      </c>
      <c r="Y564">
        <v>1078904</v>
      </c>
      <c r="Z564">
        <v>1134260</v>
      </c>
      <c r="AA564">
        <v>1001522</v>
      </c>
      <c r="AB564">
        <v>20.490300000000001</v>
      </c>
      <c r="AC564">
        <v>0.92827700000000002</v>
      </c>
      <c r="AD564">
        <v>1.88297</v>
      </c>
      <c r="AE564">
        <v>3.0465300000000002</v>
      </c>
      <c r="AM564">
        <v>1371740995</v>
      </c>
      <c r="AN564">
        <v>0</v>
      </c>
      <c r="AO564">
        <v>914414557</v>
      </c>
      <c r="AP564">
        <v>1371740995</v>
      </c>
      <c r="AQ564">
        <v>2286155552</v>
      </c>
      <c r="AR564">
        <v>45724699</v>
      </c>
      <c r="AS564">
        <v>0</v>
      </c>
      <c r="AT564">
        <v>30480485</v>
      </c>
      <c r="AU564">
        <v>45724699</v>
      </c>
      <c r="AV564">
        <v>76205185</v>
      </c>
      <c r="AW564">
        <v>19.514700000000001</v>
      </c>
      <c r="AX564">
        <v>6.1478299999999999</v>
      </c>
      <c r="AY564">
        <v>3504.35</v>
      </c>
      <c r="AZ564">
        <v>2356.46</v>
      </c>
      <c r="BA564">
        <v>1383</v>
      </c>
      <c r="BB564">
        <v>152</v>
      </c>
      <c r="BC564" t="str">
        <f t="shared" si="16"/>
        <v>u=40%, k=2x10^6</v>
      </c>
      <c r="BD564">
        <f t="shared" si="17"/>
        <v>0</v>
      </c>
    </row>
    <row r="565" spans="1:56">
      <c r="A565" t="s">
        <v>649</v>
      </c>
      <c r="B565" t="s">
        <v>64</v>
      </c>
      <c r="C565">
        <v>72</v>
      </c>
      <c r="D565" t="s">
        <v>65</v>
      </c>
      <c r="E565" t="s">
        <v>60</v>
      </c>
      <c r="F565" t="s">
        <v>61</v>
      </c>
      <c r="G565">
        <v>30000</v>
      </c>
      <c r="H565">
        <v>20</v>
      </c>
      <c r="I565">
        <v>20</v>
      </c>
      <c r="J565">
        <v>0</v>
      </c>
      <c r="K565">
        <v>1</v>
      </c>
      <c r="L565">
        <v>2000000</v>
      </c>
      <c r="M565">
        <v>144</v>
      </c>
      <c r="N565">
        <v>144</v>
      </c>
      <c r="O565">
        <v>144</v>
      </c>
      <c r="P565">
        <v>0</v>
      </c>
      <c r="Q565" t="s">
        <v>62</v>
      </c>
      <c r="R565">
        <v>1001107858209</v>
      </c>
      <c r="S565">
        <v>1001272</v>
      </c>
      <c r="T565">
        <v>1001107858209</v>
      </c>
      <c r="U565">
        <v>1001272</v>
      </c>
      <c r="V565" t="s">
        <v>75</v>
      </c>
      <c r="W565">
        <v>6</v>
      </c>
      <c r="X565">
        <v>33070</v>
      </c>
      <c r="Y565">
        <v>1033386</v>
      </c>
      <c r="Z565">
        <v>1066456</v>
      </c>
      <c r="AA565">
        <v>1001272</v>
      </c>
      <c r="AB565">
        <v>32.248399999999997</v>
      </c>
      <c r="AC565">
        <v>0.96892400000000001</v>
      </c>
      <c r="AD565">
        <v>1.9388799999999999</v>
      </c>
      <c r="AE565">
        <v>3.00007</v>
      </c>
      <c r="AM565">
        <v>1513878612</v>
      </c>
      <c r="AN565">
        <v>0</v>
      </c>
      <c r="AO565">
        <v>1009242723</v>
      </c>
      <c r="AP565">
        <v>1513878612</v>
      </c>
      <c r="AQ565">
        <v>2523121335</v>
      </c>
      <c r="AR565">
        <v>50462620</v>
      </c>
      <c r="AS565">
        <v>0</v>
      </c>
      <c r="AT565">
        <v>33641424</v>
      </c>
      <c r="AU565">
        <v>50462620</v>
      </c>
      <c r="AV565">
        <v>84104044</v>
      </c>
      <c r="AW565">
        <v>24.443000000000001</v>
      </c>
      <c r="AX565">
        <v>10.646800000000001</v>
      </c>
      <c r="AY565">
        <v>4765.3599999999997</v>
      </c>
      <c r="AZ565">
        <v>3481.52</v>
      </c>
      <c r="BA565">
        <v>1578</v>
      </c>
      <c r="BB565">
        <v>171</v>
      </c>
      <c r="BC565" t="str">
        <f t="shared" si="16"/>
        <v>u=40%, k=2x10^6</v>
      </c>
      <c r="BD565">
        <f t="shared" si="17"/>
        <v>0</v>
      </c>
    </row>
    <row r="566" spans="1:56">
      <c r="A566" t="s">
        <v>650</v>
      </c>
      <c r="B566" t="s">
        <v>64</v>
      </c>
      <c r="C566">
        <v>72</v>
      </c>
      <c r="D566" t="s">
        <v>65</v>
      </c>
      <c r="E566" t="s">
        <v>60</v>
      </c>
      <c r="F566" t="s">
        <v>61</v>
      </c>
      <c r="G566">
        <v>30000</v>
      </c>
      <c r="H566">
        <v>20</v>
      </c>
      <c r="I566">
        <v>20</v>
      </c>
      <c r="J566">
        <v>0</v>
      </c>
      <c r="K566">
        <v>1</v>
      </c>
      <c r="L566">
        <v>2000000</v>
      </c>
      <c r="M566">
        <v>190</v>
      </c>
      <c r="N566">
        <v>190</v>
      </c>
      <c r="O566">
        <v>190</v>
      </c>
      <c r="P566">
        <v>0</v>
      </c>
      <c r="Q566" t="s">
        <v>62</v>
      </c>
      <c r="R566">
        <v>999707457610</v>
      </c>
      <c r="S566">
        <v>1000221</v>
      </c>
      <c r="T566">
        <v>999707457610</v>
      </c>
      <c r="U566">
        <v>1000221</v>
      </c>
      <c r="V566" t="s">
        <v>75</v>
      </c>
      <c r="W566">
        <v>6</v>
      </c>
      <c r="X566">
        <v>33088</v>
      </c>
      <c r="Y566">
        <v>1032347</v>
      </c>
      <c r="Z566">
        <v>1065435</v>
      </c>
      <c r="AA566">
        <v>1000221</v>
      </c>
      <c r="AB566">
        <v>32.200000000000003</v>
      </c>
      <c r="AC566">
        <v>0.96888099999999999</v>
      </c>
      <c r="AD566">
        <v>1.93879</v>
      </c>
      <c r="AE566">
        <v>3.0001099999999998</v>
      </c>
      <c r="AM566">
        <v>1735799952</v>
      </c>
      <c r="AN566">
        <v>0</v>
      </c>
      <c r="AO566">
        <v>1157286430</v>
      </c>
      <c r="AP566">
        <v>1735799952</v>
      </c>
      <c r="AQ566">
        <v>2893086382</v>
      </c>
      <c r="AR566">
        <v>57859998</v>
      </c>
      <c r="AS566">
        <v>0</v>
      </c>
      <c r="AT566">
        <v>38576214</v>
      </c>
      <c r="AU566">
        <v>57859998</v>
      </c>
      <c r="AV566">
        <v>96436212</v>
      </c>
      <c r="AW566">
        <v>25.061399999999999</v>
      </c>
      <c r="AX566">
        <v>11.969099999999999</v>
      </c>
      <c r="AY566">
        <v>5482.6</v>
      </c>
      <c r="AZ566">
        <v>4201.91</v>
      </c>
      <c r="BA566">
        <v>1754</v>
      </c>
      <c r="BB566">
        <v>325</v>
      </c>
      <c r="BC566" t="str">
        <f t="shared" si="16"/>
        <v>u=40%, k=2x10^6</v>
      </c>
      <c r="BD566">
        <f t="shared" si="17"/>
        <v>0</v>
      </c>
    </row>
    <row r="567" spans="1:56">
      <c r="A567" t="s">
        <v>651</v>
      </c>
      <c r="B567" t="s">
        <v>66</v>
      </c>
      <c r="C567">
        <v>208</v>
      </c>
      <c r="D567" t="s">
        <v>65</v>
      </c>
      <c r="E567" t="s">
        <v>60</v>
      </c>
      <c r="F567" t="s">
        <v>61</v>
      </c>
      <c r="G567">
        <v>30000</v>
      </c>
      <c r="H567">
        <v>20</v>
      </c>
      <c r="I567">
        <v>20</v>
      </c>
      <c r="J567">
        <v>0</v>
      </c>
      <c r="K567">
        <v>1</v>
      </c>
      <c r="L567">
        <v>2000000</v>
      </c>
      <c r="M567">
        <v>24</v>
      </c>
      <c r="N567">
        <v>24</v>
      </c>
      <c r="O567">
        <v>24</v>
      </c>
      <c r="P567">
        <v>0</v>
      </c>
      <c r="Q567" t="s">
        <v>62</v>
      </c>
      <c r="R567">
        <v>999073067377</v>
      </c>
      <c r="S567">
        <v>999803</v>
      </c>
      <c r="T567">
        <v>999073067377</v>
      </c>
      <c r="U567">
        <v>999803</v>
      </c>
      <c r="V567" t="s">
        <v>75</v>
      </c>
      <c r="W567">
        <v>8</v>
      </c>
      <c r="X567">
        <v>34853</v>
      </c>
      <c r="Y567">
        <v>194784</v>
      </c>
      <c r="Z567">
        <v>229637</v>
      </c>
      <c r="AA567">
        <v>999803</v>
      </c>
      <c r="AB567">
        <v>6.58873</v>
      </c>
      <c r="AC567">
        <v>5.1328800000000001</v>
      </c>
      <c r="AD567">
        <v>5.3538399999999999</v>
      </c>
      <c r="AE567">
        <v>7</v>
      </c>
      <c r="AM567">
        <v>853641361</v>
      </c>
      <c r="AN567">
        <v>0</v>
      </c>
      <c r="AO567">
        <v>569086672</v>
      </c>
      <c r="AP567">
        <v>853641361</v>
      </c>
      <c r="AQ567">
        <v>1422728033</v>
      </c>
      <c r="AR567">
        <v>28454712</v>
      </c>
      <c r="AS567">
        <v>0</v>
      </c>
      <c r="AT567">
        <v>18969555</v>
      </c>
      <c r="AU567">
        <v>28454712</v>
      </c>
      <c r="AV567">
        <v>47424267</v>
      </c>
      <c r="AW567">
        <v>11.8522</v>
      </c>
      <c r="AX567">
        <v>1.12537</v>
      </c>
      <c r="AY567">
        <v>1411.16</v>
      </c>
      <c r="AZ567">
        <v>499.97500000000002</v>
      </c>
      <c r="BA567">
        <v>1139</v>
      </c>
      <c r="BB567">
        <v>158</v>
      </c>
      <c r="BC567" t="str">
        <f t="shared" si="16"/>
        <v>u=40%, k=2x10^6</v>
      </c>
      <c r="BD567">
        <f t="shared" si="17"/>
        <v>0</v>
      </c>
    </row>
    <row r="568" spans="1:56">
      <c r="A568" t="s">
        <v>652</v>
      </c>
      <c r="B568" t="s">
        <v>66</v>
      </c>
      <c r="C568">
        <v>208</v>
      </c>
      <c r="D568" t="s">
        <v>65</v>
      </c>
      <c r="E568" t="s">
        <v>60</v>
      </c>
      <c r="F568" t="s">
        <v>61</v>
      </c>
      <c r="G568">
        <v>30000</v>
      </c>
      <c r="H568">
        <v>20</v>
      </c>
      <c r="I568">
        <v>20</v>
      </c>
      <c r="J568">
        <v>0</v>
      </c>
      <c r="K568">
        <v>1</v>
      </c>
      <c r="L568">
        <v>2000000</v>
      </c>
      <c r="M568">
        <v>48</v>
      </c>
      <c r="N568">
        <v>48</v>
      </c>
      <c r="O568">
        <v>48</v>
      </c>
      <c r="P568">
        <v>0</v>
      </c>
      <c r="Q568" t="s">
        <v>62</v>
      </c>
      <c r="R568">
        <v>1000375356555</v>
      </c>
      <c r="S568">
        <v>1000283</v>
      </c>
      <c r="T568">
        <v>1000375356555</v>
      </c>
      <c r="U568">
        <v>1000283</v>
      </c>
      <c r="V568" t="s">
        <v>75</v>
      </c>
      <c r="W568">
        <v>8</v>
      </c>
      <c r="X568">
        <v>35303</v>
      </c>
      <c r="Y568">
        <v>194911</v>
      </c>
      <c r="Z568">
        <v>230214</v>
      </c>
      <c r="AA568">
        <v>1000283</v>
      </c>
      <c r="AB568">
        <v>6.5210900000000001</v>
      </c>
      <c r="AC568">
        <v>5.1319999999999997</v>
      </c>
      <c r="AD568">
        <v>5.3450100000000003</v>
      </c>
      <c r="AE568">
        <v>7</v>
      </c>
      <c r="AM568">
        <v>1306997631</v>
      </c>
      <c r="AN568">
        <v>0</v>
      </c>
      <c r="AO568">
        <v>871293192</v>
      </c>
      <c r="AP568">
        <v>1306997631</v>
      </c>
      <c r="AQ568">
        <v>2178290823</v>
      </c>
      <c r="AR568">
        <v>43566587</v>
      </c>
      <c r="AS568">
        <v>0</v>
      </c>
      <c r="AT568">
        <v>29043106</v>
      </c>
      <c r="AU568">
        <v>43566587</v>
      </c>
      <c r="AV568">
        <v>72609694</v>
      </c>
      <c r="AW568">
        <v>12.404</v>
      </c>
      <c r="AX568">
        <v>1.38906</v>
      </c>
      <c r="AY568">
        <v>1785.71</v>
      </c>
      <c r="AZ568">
        <v>789.26900000000001</v>
      </c>
      <c r="BA568">
        <v>1165</v>
      </c>
      <c r="BB568">
        <v>198</v>
      </c>
      <c r="BC568" t="str">
        <f t="shared" si="16"/>
        <v>u=40%, k=2x10^6</v>
      </c>
      <c r="BD568">
        <f t="shared" si="17"/>
        <v>0</v>
      </c>
    </row>
    <row r="569" spans="1:56">
      <c r="A569" t="s">
        <v>653</v>
      </c>
      <c r="B569" t="s">
        <v>66</v>
      </c>
      <c r="C569">
        <v>208</v>
      </c>
      <c r="D569" t="s">
        <v>65</v>
      </c>
      <c r="E569" t="s">
        <v>60</v>
      </c>
      <c r="F569" t="s">
        <v>61</v>
      </c>
      <c r="G569">
        <v>30000</v>
      </c>
      <c r="H569">
        <v>20</v>
      </c>
      <c r="I569">
        <v>20</v>
      </c>
      <c r="J569">
        <v>0</v>
      </c>
      <c r="K569">
        <v>1</v>
      </c>
      <c r="L569">
        <v>2000000</v>
      </c>
      <c r="M569">
        <v>96</v>
      </c>
      <c r="N569">
        <v>96</v>
      </c>
      <c r="O569">
        <v>96</v>
      </c>
      <c r="P569">
        <v>0</v>
      </c>
      <c r="Q569" t="s">
        <v>62</v>
      </c>
      <c r="R569">
        <v>1000427016333</v>
      </c>
      <c r="S569">
        <v>1000261</v>
      </c>
      <c r="T569">
        <v>1000427016333</v>
      </c>
      <c r="U569">
        <v>1000261</v>
      </c>
      <c r="V569" t="s">
        <v>75</v>
      </c>
      <c r="W569">
        <v>8</v>
      </c>
      <c r="X569">
        <v>35825</v>
      </c>
      <c r="Y569">
        <v>194984</v>
      </c>
      <c r="Z569">
        <v>230809</v>
      </c>
      <c r="AA569">
        <v>1000261</v>
      </c>
      <c r="AB569">
        <v>6.4426800000000002</v>
      </c>
      <c r="AC569">
        <v>5.1299599999999996</v>
      </c>
      <c r="AD569">
        <v>5.3337199999999996</v>
      </c>
      <c r="AE569">
        <v>7</v>
      </c>
      <c r="AM569">
        <v>2054878349</v>
      </c>
      <c r="AN569">
        <v>0</v>
      </c>
      <c r="AO569">
        <v>1369894200</v>
      </c>
      <c r="AP569">
        <v>2054878349</v>
      </c>
      <c r="AQ569">
        <v>3424772549</v>
      </c>
      <c r="AR569">
        <v>68495944</v>
      </c>
      <c r="AS569">
        <v>0</v>
      </c>
      <c r="AT569">
        <v>45663140</v>
      </c>
      <c r="AU569">
        <v>68495944</v>
      </c>
      <c r="AV569">
        <v>114159084</v>
      </c>
      <c r="AW569">
        <v>13.824199999999999</v>
      </c>
      <c r="AX569">
        <v>3.72688</v>
      </c>
      <c r="AY569">
        <v>2334.19</v>
      </c>
      <c r="AZ569">
        <v>1212.3399999999999</v>
      </c>
      <c r="BA569">
        <v>1220</v>
      </c>
      <c r="BB569">
        <v>321</v>
      </c>
      <c r="BC569" t="str">
        <f t="shared" si="16"/>
        <v>u=40%, k=2x10^6</v>
      </c>
      <c r="BD569">
        <f t="shared" si="17"/>
        <v>0</v>
      </c>
    </row>
    <row r="570" spans="1:56">
      <c r="A570" t="s">
        <v>654</v>
      </c>
      <c r="B570" t="s">
        <v>66</v>
      </c>
      <c r="C570">
        <v>208</v>
      </c>
      <c r="D570" t="s">
        <v>65</v>
      </c>
      <c r="E570" t="s">
        <v>60</v>
      </c>
      <c r="F570" t="s">
        <v>61</v>
      </c>
      <c r="G570">
        <v>30000</v>
      </c>
      <c r="H570">
        <v>20</v>
      </c>
      <c r="I570">
        <v>20</v>
      </c>
      <c r="J570">
        <v>0</v>
      </c>
      <c r="K570">
        <v>1</v>
      </c>
      <c r="L570">
        <v>2000000</v>
      </c>
      <c r="M570">
        <v>144</v>
      </c>
      <c r="N570">
        <v>144</v>
      </c>
      <c r="O570">
        <v>144</v>
      </c>
      <c r="P570">
        <v>0</v>
      </c>
      <c r="Q570" t="s">
        <v>62</v>
      </c>
      <c r="R570">
        <v>1000426281490</v>
      </c>
      <c r="S570">
        <v>1000090</v>
      </c>
      <c r="T570">
        <v>1000426281490</v>
      </c>
      <c r="U570">
        <v>1000090</v>
      </c>
      <c r="V570" t="s">
        <v>75</v>
      </c>
      <c r="W570">
        <v>8</v>
      </c>
      <c r="X570">
        <v>36067</v>
      </c>
      <c r="Y570">
        <v>194689</v>
      </c>
      <c r="Z570">
        <v>230756</v>
      </c>
      <c r="AA570">
        <v>1000090</v>
      </c>
      <c r="AB570">
        <v>6.3979799999999996</v>
      </c>
      <c r="AC570">
        <v>5.1368600000000004</v>
      </c>
      <c r="AD570">
        <v>5.3339699999999999</v>
      </c>
      <c r="AE570">
        <v>7</v>
      </c>
      <c r="AM570">
        <v>2575353193</v>
      </c>
      <c r="AN570">
        <v>0</v>
      </c>
      <c r="AO570">
        <v>1716810549</v>
      </c>
      <c r="AP570">
        <v>2575353193</v>
      </c>
      <c r="AQ570">
        <v>4292163742</v>
      </c>
      <c r="AR570">
        <v>85845106</v>
      </c>
      <c r="AS570">
        <v>0</v>
      </c>
      <c r="AT570">
        <v>57227018</v>
      </c>
      <c r="AU570">
        <v>85845106</v>
      </c>
      <c r="AV570">
        <v>143072124</v>
      </c>
      <c r="AW570">
        <v>15.010899999999999</v>
      </c>
      <c r="AX570">
        <v>5.0177800000000001</v>
      </c>
      <c r="AY570">
        <v>2790.34</v>
      </c>
      <c r="AZ570">
        <v>1450.07</v>
      </c>
      <c r="BA570">
        <v>1237</v>
      </c>
      <c r="BB570">
        <v>347</v>
      </c>
      <c r="BC570" t="str">
        <f t="shared" si="16"/>
        <v>u=40%, k=2x10^6</v>
      </c>
      <c r="BD570">
        <f t="shared" si="17"/>
        <v>0</v>
      </c>
    </row>
    <row r="571" spans="1:56">
      <c r="A571" t="s">
        <v>655</v>
      </c>
      <c r="B571" t="s">
        <v>66</v>
      </c>
      <c r="C571">
        <v>208</v>
      </c>
      <c r="D571" t="s">
        <v>65</v>
      </c>
      <c r="E571" t="s">
        <v>60</v>
      </c>
      <c r="F571" t="s">
        <v>61</v>
      </c>
      <c r="G571">
        <v>30000</v>
      </c>
      <c r="H571">
        <v>20</v>
      </c>
      <c r="I571">
        <v>20</v>
      </c>
      <c r="J571">
        <v>0</v>
      </c>
      <c r="K571">
        <v>1</v>
      </c>
      <c r="L571">
        <v>2000000</v>
      </c>
      <c r="M571">
        <v>190</v>
      </c>
      <c r="N571">
        <v>190</v>
      </c>
      <c r="O571">
        <v>190</v>
      </c>
      <c r="P571">
        <v>0</v>
      </c>
      <c r="Q571" t="s">
        <v>62</v>
      </c>
      <c r="R571">
        <v>999330530794</v>
      </c>
      <c r="S571">
        <v>999735</v>
      </c>
      <c r="T571">
        <v>999330530794</v>
      </c>
      <c r="U571">
        <v>999735</v>
      </c>
      <c r="V571" t="s">
        <v>75</v>
      </c>
      <c r="W571">
        <v>8</v>
      </c>
      <c r="X571">
        <v>35930</v>
      </c>
      <c r="Y571">
        <v>194745</v>
      </c>
      <c r="Z571">
        <v>230675</v>
      </c>
      <c r="AA571">
        <v>999735</v>
      </c>
      <c r="AB571">
        <v>6.4201199999999998</v>
      </c>
      <c r="AC571">
        <v>5.1335600000000001</v>
      </c>
      <c r="AD571">
        <v>5.3339499999999997</v>
      </c>
      <c r="AE571">
        <v>7</v>
      </c>
      <c r="AM571">
        <v>2210491706</v>
      </c>
      <c r="AN571">
        <v>0</v>
      </c>
      <c r="AO571">
        <v>1473714665</v>
      </c>
      <c r="AP571">
        <v>2210491706</v>
      </c>
      <c r="AQ571">
        <v>3684206371</v>
      </c>
      <c r="AR571">
        <v>73683056</v>
      </c>
      <c r="AS571">
        <v>0</v>
      </c>
      <c r="AT571">
        <v>49123822</v>
      </c>
      <c r="AU571">
        <v>73683056</v>
      </c>
      <c r="AV571">
        <v>122806879</v>
      </c>
      <c r="AW571">
        <v>16.063800000000001</v>
      </c>
      <c r="AX571">
        <v>5.8732499999999996</v>
      </c>
      <c r="AY571">
        <v>3898.16</v>
      </c>
      <c r="AZ571">
        <v>1696.08</v>
      </c>
      <c r="BA571">
        <v>1376</v>
      </c>
      <c r="BB571">
        <v>307</v>
      </c>
      <c r="BC571" t="str">
        <f t="shared" si="16"/>
        <v>u=40%, k=2x10^6</v>
      </c>
      <c r="BD571">
        <f t="shared" si="17"/>
        <v>0</v>
      </c>
    </row>
    <row r="572" spans="1:56">
      <c r="A572" t="s">
        <v>656</v>
      </c>
      <c r="B572" t="s">
        <v>67</v>
      </c>
      <c r="D572" t="s">
        <v>65</v>
      </c>
      <c r="E572" t="s">
        <v>60</v>
      </c>
      <c r="F572" t="s">
        <v>61</v>
      </c>
      <c r="G572">
        <v>30000</v>
      </c>
      <c r="H572">
        <v>20</v>
      </c>
      <c r="I572">
        <v>20</v>
      </c>
      <c r="J572">
        <v>0</v>
      </c>
      <c r="K572">
        <v>1</v>
      </c>
      <c r="L572">
        <v>2000000</v>
      </c>
      <c r="M572">
        <v>24</v>
      </c>
      <c r="N572">
        <v>24</v>
      </c>
      <c r="O572">
        <v>24</v>
      </c>
      <c r="P572">
        <v>0</v>
      </c>
      <c r="Q572" t="s">
        <v>62</v>
      </c>
      <c r="R572">
        <v>999344446987</v>
      </c>
      <c r="S572">
        <v>999854</v>
      </c>
      <c r="T572">
        <v>999344446987</v>
      </c>
      <c r="U572">
        <v>999854</v>
      </c>
      <c r="V572" t="s">
        <v>75</v>
      </c>
      <c r="W572">
        <v>25</v>
      </c>
      <c r="X572">
        <v>685642</v>
      </c>
      <c r="Y572">
        <v>521859</v>
      </c>
      <c r="Z572">
        <v>1207501</v>
      </c>
      <c r="AA572">
        <v>999854</v>
      </c>
      <c r="AB572">
        <v>1.76112</v>
      </c>
      <c r="AC572">
        <v>1.91595</v>
      </c>
      <c r="AD572">
        <v>1.8280400000000001</v>
      </c>
      <c r="AE572">
        <v>19.828800000000001</v>
      </c>
      <c r="AM572">
        <v>437545672</v>
      </c>
      <c r="AN572">
        <v>0</v>
      </c>
      <c r="AO572">
        <v>291732721</v>
      </c>
      <c r="AP572">
        <v>437545672</v>
      </c>
      <c r="AQ572">
        <v>729278393</v>
      </c>
      <c r="AR572">
        <v>14584855</v>
      </c>
      <c r="AS572">
        <v>0</v>
      </c>
      <c r="AT572">
        <v>9724424</v>
      </c>
      <c r="AU572">
        <v>14584855</v>
      </c>
      <c r="AV572">
        <v>24309279</v>
      </c>
      <c r="AW572">
        <v>17.878499999999999</v>
      </c>
      <c r="AX572">
        <v>3.1212399999999998</v>
      </c>
      <c r="AY572">
        <v>2753.89</v>
      </c>
      <c r="AZ572">
        <v>1490.5</v>
      </c>
      <c r="BA572">
        <v>1177</v>
      </c>
      <c r="BB572">
        <v>193</v>
      </c>
      <c r="BC572" t="str">
        <f t="shared" si="16"/>
        <v>u=40%, k=2x10^6</v>
      </c>
      <c r="BD572">
        <f t="shared" si="17"/>
        <v>0</v>
      </c>
    </row>
    <row r="573" spans="1:56">
      <c r="A573" t="s">
        <v>657</v>
      </c>
      <c r="B573" t="s">
        <v>67</v>
      </c>
      <c r="D573" t="s">
        <v>65</v>
      </c>
      <c r="E573" t="s">
        <v>60</v>
      </c>
      <c r="F573" t="s">
        <v>61</v>
      </c>
      <c r="G573">
        <v>30000</v>
      </c>
      <c r="H573">
        <v>20</v>
      </c>
      <c r="I573">
        <v>20</v>
      </c>
      <c r="J573">
        <v>0</v>
      </c>
      <c r="K573">
        <v>1</v>
      </c>
      <c r="L573">
        <v>2000000</v>
      </c>
      <c r="M573">
        <v>48</v>
      </c>
      <c r="N573">
        <v>48</v>
      </c>
      <c r="O573">
        <v>48</v>
      </c>
      <c r="P573">
        <v>0</v>
      </c>
      <c r="Q573" t="s">
        <v>62</v>
      </c>
      <c r="R573">
        <v>1001109719808</v>
      </c>
      <c r="S573">
        <v>1001402</v>
      </c>
      <c r="T573">
        <v>1001109719808</v>
      </c>
      <c r="U573">
        <v>1001402</v>
      </c>
      <c r="V573" t="s">
        <v>75</v>
      </c>
      <c r="W573">
        <v>25</v>
      </c>
      <c r="X573">
        <v>686879</v>
      </c>
      <c r="Y573">
        <v>520526</v>
      </c>
      <c r="Z573">
        <v>1207405</v>
      </c>
      <c r="AA573">
        <v>1001402</v>
      </c>
      <c r="AB573">
        <v>1.7578100000000001</v>
      </c>
      <c r="AC573">
        <v>1.9238299999999999</v>
      </c>
      <c r="AD573">
        <v>1.82938</v>
      </c>
      <c r="AE573">
        <v>19.850899999999999</v>
      </c>
      <c r="AM573">
        <v>754370436</v>
      </c>
      <c r="AN573">
        <v>0</v>
      </c>
      <c r="AO573">
        <v>502865871</v>
      </c>
      <c r="AP573">
        <v>754370436</v>
      </c>
      <c r="AQ573">
        <v>1257236307</v>
      </c>
      <c r="AR573">
        <v>25145681</v>
      </c>
      <c r="AS573">
        <v>0</v>
      </c>
      <c r="AT573">
        <v>16762195</v>
      </c>
      <c r="AU573">
        <v>25145681</v>
      </c>
      <c r="AV573">
        <v>41907876</v>
      </c>
      <c r="AW573">
        <v>18.932700000000001</v>
      </c>
      <c r="AX573">
        <v>3.3124400000000001</v>
      </c>
      <c r="AY573">
        <v>3184.72</v>
      </c>
      <c r="AZ573">
        <v>1802.6</v>
      </c>
      <c r="BA573">
        <v>1198</v>
      </c>
      <c r="BB573">
        <v>281</v>
      </c>
      <c r="BC573" t="str">
        <f t="shared" si="16"/>
        <v>u=40%, k=2x10^6</v>
      </c>
      <c r="BD573">
        <f t="shared" si="17"/>
        <v>0</v>
      </c>
    </row>
    <row r="574" spans="1:56">
      <c r="A574" t="s">
        <v>658</v>
      </c>
      <c r="B574" t="s">
        <v>67</v>
      </c>
      <c r="D574" t="s">
        <v>65</v>
      </c>
      <c r="E574" t="s">
        <v>60</v>
      </c>
      <c r="F574" t="s">
        <v>61</v>
      </c>
      <c r="G574">
        <v>30000</v>
      </c>
      <c r="H574">
        <v>20</v>
      </c>
      <c r="I574">
        <v>20</v>
      </c>
      <c r="J574">
        <v>0</v>
      </c>
      <c r="K574">
        <v>1</v>
      </c>
      <c r="L574">
        <v>2000000</v>
      </c>
      <c r="M574">
        <v>96</v>
      </c>
      <c r="N574">
        <v>96</v>
      </c>
      <c r="O574">
        <v>96</v>
      </c>
      <c r="P574">
        <v>0</v>
      </c>
      <c r="Q574" t="s">
        <v>62</v>
      </c>
      <c r="R574">
        <v>999897423232</v>
      </c>
      <c r="S574">
        <v>1000493</v>
      </c>
      <c r="T574">
        <v>999897423232</v>
      </c>
      <c r="U574">
        <v>1000493</v>
      </c>
      <c r="V574" t="s">
        <v>75</v>
      </c>
      <c r="W574">
        <v>25</v>
      </c>
      <c r="X574">
        <v>685971</v>
      </c>
      <c r="Y574">
        <v>521224</v>
      </c>
      <c r="Z574">
        <v>1207195</v>
      </c>
      <c r="AA574">
        <v>1000493</v>
      </c>
      <c r="AB574">
        <v>1.75983</v>
      </c>
      <c r="AC574">
        <v>1.91951</v>
      </c>
      <c r="AD574">
        <v>1.82877</v>
      </c>
      <c r="AE574">
        <v>19.8736</v>
      </c>
      <c r="AM574">
        <v>1418997676</v>
      </c>
      <c r="AN574">
        <v>0</v>
      </c>
      <c r="AO574">
        <v>946034924</v>
      </c>
      <c r="AP574">
        <v>1418997676</v>
      </c>
      <c r="AQ574">
        <v>2365032600</v>
      </c>
      <c r="AR574">
        <v>47299922</v>
      </c>
      <c r="AS574">
        <v>0</v>
      </c>
      <c r="AT574">
        <v>31534497</v>
      </c>
      <c r="AU574">
        <v>47299922</v>
      </c>
      <c r="AV574">
        <v>78834420</v>
      </c>
      <c r="AW574">
        <v>20.006499999999999</v>
      </c>
      <c r="AX574">
        <v>4.0066699999999997</v>
      </c>
      <c r="AY574">
        <v>3379.37</v>
      </c>
      <c r="AZ574">
        <v>1951.86</v>
      </c>
      <c r="BA574">
        <v>1228</v>
      </c>
      <c r="BB574">
        <v>353</v>
      </c>
      <c r="BC574" t="str">
        <f t="shared" si="16"/>
        <v>u=40%, k=2x10^6</v>
      </c>
      <c r="BD574">
        <f t="shared" si="17"/>
        <v>0</v>
      </c>
    </row>
    <row r="575" spans="1:56">
      <c r="A575" t="s">
        <v>659</v>
      </c>
      <c r="B575" t="s">
        <v>67</v>
      </c>
      <c r="D575" t="s">
        <v>65</v>
      </c>
      <c r="E575" t="s">
        <v>60</v>
      </c>
      <c r="F575" t="s">
        <v>61</v>
      </c>
      <c r="G575">
        <v>30000</v>
      </c>
      <c r="H575">
        <v>20</v>
      </c>
      <c r="I575">
        <v>20</v>
      </c>
      <c r="J575">
        <v>0</v>
      </c>
      <c r="K575">
        <v>1</v>
      </c>
      <c r="L575">
        <v>2000000</v>
      </c>
      <c r="M575">
        <v>144</v>
      </c>
      <c r="N575">
        <v>144</v>
      </c>
      <c r="O575">
        <v>144</v>
      </c>
      <c r="P575">
        <v>0</v>
      </c>
      <c r="Q575" t="s">
        <v>62</v>
      </c>
      <c r="R575">
        <v>1000200446299</v>
      </c>
      <c r="S575">
        <v>1000898</v>
      </c>
      <c r="T575">
        <v>1000200446299</v>
      </c>
      <c r="U575">
        <v>1000898</v>
      </c>
      <c r="V575" t="s">
        <v>75</v>
      </c>
      <c r="W575">
        <v>25</v>
      </c>
      <c r="X575">
        <v>686623</v>
      </c>
      <c r="Y575">
        <v>521047</v>
      </c>
      <c r="Z575">
        <v>1207670</v>
      </c>
      <c r="AA575">
        <v>1000898</v>
      </c>
      <c r="AB575">
        <v>1.75885</v>
      </c>
      <c r="AC575">
        <v>1.9209400000000001</v>
      </c>
      <c r="AD575">
        <v>1.8287800000000001</v>
      </c>
      <c r="AE575">
        <v>19.803899999999999</v>
      </c>
      <c r="AM575">
        <v>2030210749</v>
      </c>
      <c r="AN575">
        <v>0</v>
      </c>
      <c r="AO575">
        <v>1353507755</v>
      </c>
      <c r="AP575">
        <v>2030210749</v>
      </c>
      <c r="AQ575">
        <v>3383718504</v>
      </c>
      <c r="AR575">
        <v>67673691</v>
      </c>
      <c r="AS575">
        <v>0</v>
      </c>
      <c r="AT575">
        <v>45116925</v>
      </c>
      <c r="AU575">
        <v>67673691</v>
      </c>
      <c r="AV575">
        <v>112790616</v>
      </c>
      <c r="AW575">
        <v>20.8797</v>
      </c>
      <c r="AX575">
        <v>4.48367</v>
      </c>
      <c r="AY575">
        <v>3515.91</v>
      </c>
      <c r="AZ575">
        <v>2049.9299999999998</v>
      </c>
      <c r="BA575">
        <v>1244</v>
      </c>
      <c r="BB575">
        <v>373</v>
      </c>
      <c r="BC575" t="str">
        <f t="shared" si="16"/>
        <v>u=40%, k=2x10^6</v>
      </c>
      <c r="BD575">
        <f t="shared" si="17"/>
        <v>0</v>
      </c>
    </row>
    <row r="576" spans="1:56">
      <c r="A576" t="s">
        <v>660</v>
      </c>
      <c r="B576" t="s">
        <v>67</v>
      </c>
      <c r="D576" t="s">
        <v>65</v>
      </c>
      <c r="E576" t="s">
        <v>60</v>
      </c>
      <c r="F576" t="s">
        <v>61</v>
      </c>
      <c r="G576">
        <v>30000</v>
      </c>
      <c r="H576">
        <v>20</v>
      </c>
      <c r="I576">
        <v>20</v>
      </c>
      <c r="J576">
        <v>0</v>
      </c>
      <c r="K576">
        <v>1</v>
      </c>
      <c r="L576">
        <v>2000000</v>
      </c>
      <c r="M576">
        <v>190</v>
      </c>
      <c r="N576">
        <v>190</v>
      </c>
      <c r="O576">
        <v>190</v>
      </c>
      <c r="P576">
        <v>0</v>
      </c>
      <c r="Q576" t="s">
        <v>62</v>
      </c>
      <c r="R576">
        <v>1000767569623</v>
      </c>
      <c r="S576">
        <v>1000976</v>
      </c>
      <c r="T576">
        <v>1000767569623</v>
      </c>
      <c r="U576">
        <v>1000976</v>
      </c>
      <c r="V576" t="s">
        <v>75</v>
      </c>
      <c r="W576">
        <v>25</v>
      </c>
      <c r="X576">
        <v>686334</v>
      </c>
      <c r="Y576">
        <v>520660</v>
      </c>
      <c r="Z576">
        <v>1206994</v>
      </c>
      <c r="AA576">
        <v>1000976</v>
      </c>
      <c r="AB576">
        <v>1.75861</v>
      </c>
      <c r="AC576">
        <v>1.9225099999999999</v>
      </c>
      <c r="AD576">
        <v>1.82931</v>
      </c>
      <c r="AE576">
        <v>19.829699999999999</v>
      </c>
      <c r="AM576">
        <v>2565989770</v>
      </c>
      <c r="AN576">
        <v>0</v>
      </c>
      <c r="AO576">
        <v>1710694356</v>
      </c>
      <c r="AP576">
        <v>2565989770</v>
      </c>
      <c r="AQ576">
        <v>4276684126</v>
      </c>
      <c r="AR576">
        <v>85532992</v>
      </c>
      <c r="AS576">
        <v>0</v>
      </c>
      <c r="AT576">
        <v>57023145</v>
      </c>
      <c r="AU576">
        <v>85532992</v>
      </c>
      <c r="AV576">
        <v>142556137</v>
      </c>
      <c r="AW576">
        <v>21.8568</v>
      </c>
      <c r="AX576">
        <v>4.9299600000000003</v>
      </c>
      <c r="AY576">
        <v>3675.55</v>
      </c>
      <c r="AZ576">
        <v>2141.5500000000002</v>
      </c>
      <c r="BA576">
        <v>1258</v>
      </c>
      <c r="BB576">
        <v>366</v>
      </c>
      <c r="BC576" t="str">
        <f t="shared" si="16"/>
        <v>u=40%, k=2x10^6</v>
      </c>
      <c r="BD576">
        <f t="shared" si="17"/>
        <v>0</v>
      </c>
    </row>
    <row r="577" spans="1:56">
      <c r="A577" t="s">
        <v>661</v>
      </c>
      <c r="B577" t="s">
        <v>68</v>
      </c>
      <c r="D577" t="s">
        <v>65</v>
      </c>
      <c r="E577" t="s">
        <v>60</v>
      </c>
      <c r="F577" t="s">
        <v>61</v>
      </c>
      <c r="G577">
        <v>30000</v>
      </c>
      <c r="H577">
        <v>20</v>
      </c>
      <c r="I577">
        <v>20</v>
      </c>
      <c r="J577">
        <v>0</v>
      </c>
      <c r="K577">
        <v>1</v>
      </c>
      <c r="L577">
        <v>2000000</v>
      </c>
      <c r="M577">
        <v>24</v>
      </c>
      <c r="N577">
        <v>24</v>
      </c>
      <c r="O577">
        <v>24</v>
      </c>
      <c r="P577">
        <v>0</v>
      </c>
      <c r="Q577" t="s">
        <v>62</v>
      </c>
      <c r="R577">
        <v>999734556209</v>
      </c>
      <c r="S577">
        <v>999631</v>
      </c>
      <c r="T577">
        <v>999734556209</v>
      </c>
      <c r="U577">
        <v>999631</v>
      </c>
      <c r="V577" t="s">
        <v>75</v>
      </c>
      <c r="W577">
        <v>48</v>
      </c>
      <c r="X577">
        <v>999630</v>
      </c>
      <c r="Y577">
        <v>999631</v>
      </c>
      <c r="Z577">
        <v>1999261</v>
      </c>
      <c r="AA577">
        <v>999631</v>
      </c>
      <c r="AB577">
        <v>2</v>
      </c>
      <c r="AC577">
        <v>1</v>
      </c>
      <c r="AD577">
        <v>1.5</v>
      </c>
      <c r="AE577">
        <v>25.765799999999999</v>
      </c>
      <c r="AM577">
        <v>414320067</v>
      </c>
      <c r="AN577">
        <v>0</v>
      </c>
      <c r="AO577">
        <v>276215681</v>
      </c>
      <c r="AP577">
        <v>414320067</v>
      </c>
      <c r="AQ577">
        <v>690535748</v>
      </c>
      <c r="AR577">
        <v>13810668</v>
      </c>
      <c r="AS577">
        <v>0</v>
      </c>
      <c r="AT577">
        <v>9207189</v>
      </c>
      <c r="AU577">
        <v>13810668</v>
      </c>
      <c r="AV577">
        <v>23017858</v>
      </c>
      <c r="AW577">
        <v>13.097099999999999</v>
      </c>
      <c r="AX577">
        <v>2.3581599999999998</v>
      </c>
      <c r="AY577">
        <v>2908.49</v>
      </c>
      <c r="AZ577">
        <v>1875.53</v>
      </c>
      <c r="BA577">
        <v>1175</v>
      </c>
      <c r="BB577">
        <v>172</v>
      </c>
      <c r="BC577" t="str">
        <f t="shared" si="16"/>
        <v>u=40%, k=2x10^6</v>
      </c>
      <c r="BD577">
        <f t="shared" si="17"/>
        <v>0</v>
      </c>
    </row>
    <row r="578" spans="1:56">
      <c r="A578" t="s">
        <v>662</v>
      </c>
      <c r="B578" t="s">
        <v>68</v>
      </c>
      <c r="D578" t="s">
        <v>65</v>
      </c>
      <c r="E578" t="s">
        <v>60</v>
      </c>
      <c r="F578" t="s">
        <v>61</v>
      </c>
      <c r="G578">
        <v>30000</v>
      </c>
      <c r="H578">
        <v>20</v>
      </c>
      <c r="I578">
        <v>20</v>
      </c>
      <c r="J578">
        <v>0</v>
      </c>
      <c r="K578">
        <v>1</v>
      </c>
      <c r="L578">
        <v>2000000</v>
      </c>
      <c r="M578">
        <v>48</v>
      </c>
      <c r="N578">
        <v>48</v>
      </c>
      <c r="O578">
        <v>48</v>
      </c>
      <c r="P578">
        <v>0</v>
      </c>
      <c r="Q578" t="s">
        <v>62</v>
      </c>
      <c r="R578">
        <v>999312142856</v>
      </c>
      <c r="S578">
        <v>999303</v>
      </c>
      <c r="T578">
        <v>999312142856</v>
      </c>
      <c r="U578">
        <v>999303</v>
      </c>
      <c r="V578" t="s">
        <v>75</v>
      </c>
      <c r="W578">
        <v>46</v>
      </c>
      <c r="X578">
        <v>999302</v>
      </c>
      <c r="Y578">
        <v>999303</v>
      </c>
      <c r="Z578">
        <v>1998605</v>
      </c>
      <c r="AA578">
        <v>999303</v>
      </c>
      <c r="AB578">
        <v>2</v>
      </c>
      <c r="AC578">
        <v>1</v>
      </c>
      <c r="AD578">
        <v>1.5</v>
      </c>
      <c r="AE578">
        <v>25.138999999999999</v>
      </c>
      <c r="AM578">
        <v>742555048</v>
      </c>
      <c r="AN578">
        <v>0</v>
      </c>
      <c r="AO578">
        <v>495019044</v>
      </c>
      <c r="AP578">
        <v>742555048</v>
      </c>
      <c r="AQ578">
        <v>1237574092</v>
      </c>
      <c r="AR578">
        <v>24751834</v>
      </c>
      <c r="AS578">
        <v>0</v>
      </c>
      <c r="AT578">
        <v>16500634</v>
      </c>
      <c r="AU578">
        <v>24751834</v>
      </c>
      <c r="AV578">
        <v>41252469</v>
      </c>
      <c r="AW578">
        <v>13.410299999999999</v>
      </c>
      <c r="AX578">
        <v>2.4122300000000001</v>
      </c>
      <c r="AY578">
        <v>3244.61</v>
      </c>
      <c r="AZ578">
        <v>2174.3200000000002</v>
      </c>
      <c r="BA578">
        <v>1197</v>
      </c>
      <c r="BB578">
        <v>244</v>
      </c>
      <c r="BC578" t="str">
        <f t="shared" si="16"/>
        <v>u=40%, k=2x10^6</v>
      </c>
      <c r="BD578">
        <f t="shared" si="17"/>
        <v>0</v>
      </c>
    </row>
    <row r="579" spans="1:56">
      <c r="A579" t="s">
        <v>663</v>
      </c>
      <c r="B579" t="s">
        <v>68</v>
      </c>
      <c r="D579" t="s">
        <v>65</v>
      </c>
      <c r="E579" t="s">
        <v>60</v>
      </c>
      <c r="F579" t="s">
        <v>61</v>
      </c>
      <c r="G579">
        <v>30000</v>
      </c>
      <c r="H579">
        <v>20</v>
      </c>
      <c r="I579">
        <v>20</v>
      </c>
      <c r="J579">
        <v>0</v>
      </c>
      <c r="K579">
        <v>1</v>
      </c>
      <c r="L579">
        <v>2000000</v>
      </c>
      <c r="M579">
        <v>96</v>
      </c>
      <c r="N579">
        <v>96</v>
      </c>
      <c r="O579">
        <v>96</v>
      </c>
      <c r="P579">
        <v>0</v>
      </c>
      <c r="Q579" t="s">
        <v>62</v>
      </c>
      <c r="R579">
        <v>998882511995</v>
      </c>
      <c r="S579">
        <v>998305</v>
      </c>
      <c r="T579">
        <v>998882511995</v>
      </c>
      <c r="U579">
        <v>998305</v>
      </c>
      <c r="V579" t="s">
        <v>75</v>
      </c>
      <c r="W579">
        <v>47</v>
      </c>
      <c r="X579">
        <v>998304</v>
      </c>
      <c r="Y579">
        <v>998305</v>
      </c>
      <c r="Z579">
        <v>1996609</v>
      </c>
      <c r="AA579">
        <v>998305</v>
      </c>
      <c r="AB579">
        <v>2</v>
      </c>
      <c r="AC579">
        <v>1</v>
      </c>
      <c r="AD579">
        <v>1.5</v>
      </c>
      <c r="AE579">
        <v>25.486999999999998</v>
      </c>
      <c r="AM579">
        <v>1440005193</v>
      </c>
      <c r="AN579">
        <v>0</v>
      </c>
      <c r="AO579">
        <v>960004969</v>
      </c>
      <c r="AP579">
        <v>1440005193</v>
      </c>
      <c r="AQ579">
        <v>2400010162</v>
      </c>
      <c r="AR579">
        <v>48000173</v>
      </c>
      <c r="AS579">
        <v>0</v>
      </c>
      <c r="AT579">
        <v>32000165</v>
      </c>
      <c r="AU579">
        <v>48000173</v>
      </c>
      <c r="AV579">
        <v>80000338</v>
      </c>
      <c r="AW579">
        <v>14.7182</v>
      </c>
      <c r="AX579">
        <v>3.22146</v>
      </c>
      <c r="AY579">
        <v>3341.19</v>
      </c>
      <c r="AZ579">
        <v>2159.02</v>
      </c>
      <c r="BA579">
        <v>1203</v>
      </c>
      <c r="BB579">
        <v>293</v>
      </c>
      <c r="BC579" t="str">
        <f t="shared" ref="BC579:BC641" si="18">"u="&amp;(H579+I579)&amp;"%, k=2x10^"&amp;LOG10(L579/2)</f>
        <v>u=40%, k=2x10^6</v>
      </c>
      <c r="BD579">
        <f t="shared" ref="BD579:BD641" si="19">IF(AH579="",0,LEFT(AH579,IF(ISNUMBER(FIND(" ",AH579)),FIND(" ",AH579)-1,LEN(AH579))))</f>
        <v>0</v>
      </c>
    </row>
    <row r="580" spans="1:56">
      <c r="A580" t="s">
        <v>664</v>
      </c>
      <c r="B580" t="s">
        <v>68</v>
      </c>
      <c r="D580" t="s">
        <v>65</v>
      </c>
      <c r="E580" t="s">
        <v>60</v>
      </c>
      <c r="F580" t="s">
        <v>61</v>
      </c>
      <c r="G580">
        <v>30000</v>
      </c>
      <c r="H580">
        <v>20</v>
      </c>
      <c r="I580">
        <v>20</v>
      </c>
      <c r="J580">
        <v>0</v>
      </c>
      <c r="K580">
        <v>1</v>
      </c>
      <c r="L580">
        <v>2000000</v>
      </c>
      <c r="M580">
        <v>144</v>
      </c>
      <c r="N580">
        <v>144</v>
      </c>
      <c r="O580">
        <v>144</v>
      </c>
      <c r="P580">
        <v>0</v>
      </c>
      <c r="Q580" t="s">
        <v>62</v>
      </c>
      <c r="R580">
        <v>1000550867789</v>
      </c>
      <c r="S580">
        <v>1001056</v>
      </c>
      <c r="T580">
        <v>1000550867789</v>
      </c>
      <c r="U580">
        <v>1001056</v>
      </c>
      <c r="V580" t="s">
        <v>75</v>
      </c>
      <c r="W580">
        <v>45</v>
      </c>
      <c r="X580">
        <v>1001055</v>
      </c>
      <c r="Y580">
        <v>1001056</v>
      </c>
      <c r="Z580">
        <v>2002111</v>
      </c>
      <c r="AA580">
        <v>1001056</v>
      </c>
      <c r="AB580">
        <v>2</v>
      </c>
      <c r="AC580">
        <v>1</v>
      </c>
      <c r="AD580">
        <v>1.5</v>
      </c>
      <c r="AE580">
        <v>25.504899999999999</v>
      </c>
      <c r="AM580">
        <v>1900625401</v>
      </c>
      <c r="AN580">
        <v>0</v>
      </c>
      <c r="AO580">
        <v>1267099216</v>
      </c>
      <c r="AP580">
        <v>1900625401</v>
      </c>
      <c r="AQ580">
        <v>3167724617</v>
      </c>
      <c r="AR580">
        <v>63354180</v>
      </c>
      <c r="AS580">
        <v>0</v>
      </c>
      <c r="AT580">
        <v>42236640</v>
      </c>
      <c r="AU580">
        <v>63354180</v>
      </c>
      <c r="AV580">
        <v>105590820</v>
      </c>
      <c r="AW580">
        <v>15.9663</v>
      </c>
      <c r="AX580">
        <v>3.95478</v>
      </c>
      <c r="AY580">
        <v>3791.77</v>
      </c>
      <c r="AZ580">
        <v>2300.9299999999998</v>
      </c>
      <c r="BA580">
        <v>1226</v>
      </c>
      <c r="BB580">
        <v>311</v>
      </c>
      <c r="BC580" t="str">
        <f t="shared" si="18"/>
        <v>u=40%, k=2x10^6</v>
      </c>
      <c r="BD580">
        <f t="shared" si="19"/>
        <v>0</v>
      </c>
    </row>
    <row r="581" spans="1:56">
      <c r="A581" t="s">
        <v>665</v>
      </c>
      <c r="B581" t="s">
        <v>68</v>
      </c>
      <c r="D581" t="s">
        <v>65</v>
      </c>
      <c r="E581" t="s">
        <v>60</v>
      </c>
      <c r="F581" t="s">
        <v>61</v>
      </c>
      <c r="G581">
        <v>30000</v>
      </c>
      <c r="H581">
        <v>20</v>
      </c>
      <c r="I581">
        <v>20</v>
      </c>
      <c r="J581">
        <v>0</v>
      </c>
      <c r="K581">
        <v>1</v>
      </c>
      <c r="L581">
        <v>2000000</v>
      </c>
      <c r="M581">
        <v>190</v>
      </c>
      <c r="N581">
        <v>190</v>
      </c>
      <c r="O581">
        <v>190</v>
      </c>
      <c r="P581">
        <v>0</v>
      </c>
      <c r="Q581" t="s">
        <v>62</v>
      </c>
      <c r="R581">
        <v>1001104472143</v>
      </c>
      <c r="S581">
        <v>1000676</v>
      </c>
      <c r="T581">
        <v>1001104472143</v>
      </c>
      <c r="U581">
        <v>1000676</v>
      </c>
      <c r="V581" t="s">
        <v>75</v>
      </c>
      <c r="W581">
        <v>45</v>
      </c>
      <c r="X581">
        <v>1000675</v>
      </c>
      <c r="Y581">
        <v>1000676</v>
      </c>
      <c r="Z581">
        <v>2001351</v>
      </c>
      <c r="AA581">
        <v>1000676</v>
      </c>
      <c r="AB581">
        <v>2</v>
      </c>
      <c r="AC581">
        <v>1</v>
      </c>
      <c r="AD581">
        <v>1.5</v>
      </c>
      <c r="AE581">
        <v>25.805199999999999</v>
      </c>
      <c r="AM581">
        <v>2234006266</v>
      </c>
      <c r="AN581">
        <v>0</v>
      </c>
      <c r="AO581">
        <v>1489327265</v>
      </c>
      <c r="AP581">
        <v>2234006266</v>
      </c>
      <c r="AQ581">
        <v>3723333531</v>
      </c>
      <c r="AR581">
        <v>74466875</v>
      </c>
      <c r="AS581">
        <v>0</v>
      </c>
      <c r="AT581">
        <v>49644242</v>
      </c>
      <c r="AU581">
        <v>74466875</v>
      </c>
      <c r="AV581">
        <v>124111117</v>
      </c>
      <c r="AW581">
        <v>16.760899999999999</v>
      </c>
      <c r="AX581">
        <v>4.3387700000000002</v>
      </c>
      <c r="AY581">
        <v>4232.3599999999997</v>
      </c>
      <c r="AZ581">
        <v>2399.4699999999998</v>
      </c>
      <c r="BA581">
        <v>1224</v>
      </c>
      <c r="BB581">
        <v>280</v>
      </c>
      <c r="BC581" t="str">
        <f t="shared" si="18"/>
        <v>u=40%, k=2x10^6</v>
      </c>
      <c r="BD581">
        <f t="shared" si="19"/>
        <v>0</v>
      </c>
    </row>
    <row r="582" spans="1:56">
      <c r="A582" t="s">
        <v>666</v>
      </c>
      <c r="B582" t="s">
        <v>64</v>
      </c>
      <c r="C582">
        <v>72</v>
      </c>
      <c r="D582" t="s">
        <v>65</v>
      </c>
      <c r="E582" t="s">
        <v>60</v>
      </c>
      <c r="F582" t="s">
        <v>61</v>
      </c>
      <c r="G582">
        <v>30000</v>
      </c>
      <c r="H582">
        <v>20</v>
      </c>
      <c r="I582">
        <v>20</v>
      </c>
      <c r="J582">
        <v>0</v>
      </c>
      <c r="K582">
        <v>1</v>
      </c>
      <c r="L582">
        <v>20000000</v>
      </c>
      <c r="M582">
        <v>24</v>
      </c>
      <c r="N582">
        <v>24</v>
      </c>
      <c r="O582">
        <v>24</v>
      </c>
      <c r="P582">
        <v>0</v>
      </c>
      <c r="Q582" t="s">
        <v>62</v>
      </c>
      <c r="R582">
        <v>100028188123223</v>
      </c>
      <c r="S582">
        <v>10002319</v>
      </c>
      <c r="T582">
        <v>100028188123223</v>
      </c>
      <c r="U582">
        <v>10002319</v>
      </c>
      <c r="V582" t="s">
        <v>75</v>
      </c>
      <c r="W582">
        <v>7</v>
      </c>
      <c r="X582">
        <v>1834904</v>
      </c>
      <c r="Y582">
        <v>11875507</v>
      </c>
      <c r="Z582">
        <v>13710411</v>
      </c>
      <c r="AA582">
        <v>10002319</v>
      </c>
      <c r="AB582">
        <v>7.4720000000000004</v>
      </c>
      <c r="AC582">
        <v>0.84226500000000004</v>
      </c>
      <c r="AD582">
        <v>1.7295400000000001</v>
      </c>
      <c r="AE582">
        <v>4.0418599999999998</v>
      </c>
      <c r="AM582">
        <v>362040199</v>
      </c>
      <c r="AN582">
        <v>0</v>
      </c>
      <c r="AO582">
        <v>241391198</v>
      </c>
      <c r="AP582">
        <v>362040199</v>
      </c>
      <c r="AQ582">
        <v>603431397</v>
      </c>
      <c r="AR582">
        <v>12068006</v>
      </c>
      <c r="AS582">
        <v>0</v>
      </c>
      <c r="AT582">
        <v>8046373</v>
      </c>
      <c r="AU582">
        <v>12068006</v>
      </c>
      <c r="AV582">
        <v>20114379</v>
      </c>
      <c r="AW582">
        <v>26.0136</v>
      </c>
      <c r="AX582">
        <v>11.188599999999999</v>
      </c>
      <c r="AY582">
        <v>3299.34</v>
      </c>
      <c r="AZ582">
        <v>2146.9299999999998</v>
      </c>
      <c r="BA582">
        <v>2452</v>
      </c>
      <c r="BB582">
        <v>153</v>
      </c>
      <c r="BC582" t="str">
        <f t="shared" si="18"/>
        <v>u=40%, k=2x10^7</v>
      </c>
      <c r="BD582">
        <f t="shared" si="19"/>
        <v>0</v>
      </c>
    </row>
    <row r="583" spans="1:56">
      <c r="A583" t="s">
        <v>667</v>
      </c>
      <c r="B583" t="s">
        <v>64</v>
      </c>
      <c r="C583">
        <v>72</v>
      </c>
      <c r="D583" t="s">
        <v>65</v>
      </c>
      <c r="E583" t="s">
        <v>60</v>
      </c>
      <c r="F583" t="s">
        <v>61</v>
      </c>
      <c r="G583">
        <v>30000</v>
      </c>
      <c r="H583">
        <v>20</v>
      </c>
      <c r="I583">
        <v>20</v>
      </c>
      <c r="J583">
        <v>0</v>
      </c>
      <c r="K583">
        <v>1</v>
      </c>
      <c r="L583">
        <v>20000000</v>
      </c>
      <c r="M583">
        <v>48</v>
      </c>
      <c r="N583">
        <v>48</v>
      </c>
      <c r="O583">
        <v>48</v>
      </c>
      <c r="P583">
        <v>0</v>
      </c>
      <c r="Q583" t="s">
        <v>62</v>
      </c>
      <c r="R583">
        <v>99973589085217</v>
      </c>
      <c r="S583">
        <v>9997389</v>
      </c>
      <c r="T583">
        <v>99973589085217</v>
      </c>
      <c r="U583">
        <v>9997389</v>
      </c>
      <c r="V583" t="s">
        <v>75</v>
      </c>
      <c r="W583">
        <v>7</v>
      </c>
      <c r="X583">
        <v>1902213</v>
      </c>
      <c r="Y583">
        <v>12029451</v>
      </c>
      <c r="Z583">
        <v>13931664</v>
      </c>
      <c r="AA583">
        <v>9997389</v>
      </c>
      <c r="AB583">
        <v>7.3239200000000002</v>
      </c>
      <c r="AC583">
        <v>0.83107600000000004</v>
      </c>
      <c r="AD583">
        <v>1.7176</v>
      </c>
      <c r="AE583">
        <v>4.0549499999999998</v>
      </c>
      <c r="AM583">
        <v>589992197</v>
      </c>
      <c r="AN583">
        <v>0</v>
      </c>
      <c r="AO583">
        <v>393376935</v>
      </c>
      <c r="AP583">
        <v>589992197</v>
      </c>
      <c r="AQ583">
        <v>983369132</v>
      </c>
      <c r="AR583">
        <v>19666406</v>
      </c>
      <c r="AS583">
        <v>0</v>
      </c>
      <c r="AT583">
        <v>13112564</v>
      </c>
      <c r="AU583">
        <v>19666406</v>
      </c>
      <c r="AV583">
        <v>32778971</v>
      </c>
      <c r="AW583">
        <v>26.7774</v>
      </c>
      <c r="AX583">
        <v>11.816700000000001</v>
      </c>
      <c r="AY583">
        <v>4043.55</v>
      </c>
      <c r="AZ583">
        <v>2723.72</v>
      </c>
      <c r="BA583">
        <v>2506</v>
      </c>
      <c r="BB583">
        <v>194</v>
      </c>
      <c r="BC583" t="str">
        <f t="shared" si="18"/>
        <v>u=40%, k=2x10^7</v>
      </c>
      <c r="BD583">
        <f t="shared" si="19"/>
        <v>0</v>
      </c>
    </row>
    <row r="584" spans="1:56">
      <c r="A584" t="s">
        <v>668</v>
      </c>
      <c r="B584" t="s">
        <v>64</v>
      </c>
      <c r="C584">
        <v>72</v>
      </c>
      <c r="D584" t="s">
        <v>65</v>
      </c>
      <c r="E584" t="s">
        <v>60</v>
      </c>
      <c r="F584" t="s">
        <v>61</v>
      </c>
      <c r="G584">
        <v>30000</v>
      </c>
      <c r="H584">
        <v>20</v>
      </c>
      <c r="I584">
        <v>20</v>
      </c>
      <c r="J584">
        <v>0</v>
      </c>
      <c r="K584">
        <v>1</v>
      </c>
      <c r="L584">
        <v>20000000</v>
      </c>
      <c r="M584">
        <v>96</v>
      </c>
      <c r="N584">
        <v>96</v>
      </c>
      <c r="O584">
        <v>96</v>
      </c>
      <c r="P584">
        <v>0</v>
      </c>
      <c r="Q584" t="s">
        <v>62</v>
      </c>
      <c r="R584">
        <v>100013976695656</v>
      </c>
      <c r="S584">
        <v>10000482</v>
      </c>
      <c r="T584">
        <v>100013976695656</v>
      </c>
      <c r="U584">
        <v>10000482</v>
      </c>
      <c r="V584" t="s">
        <v>75</v>
      </c>
      <c r="W584">
        <v>7</v>
      </c>
      <c r="X584">
        <v>1841915</v>
      </c>
      <c r="Y584">
        <v>11888998</v>
      </c>
      <c r="Z584">
        <v>13730913</v>
      </c>
      <c r="AA584">
        <v>10000482</v>
      </c>
      <c r="AB584">
        <v>7.4546900000000003</v>
      </c>
      <c r="AC584">
        <v>0.84115399999999996</v>
      </c>
      <c r="AD584">
        <v>1.7283200000000001</v>
      </c>
      <c r="AE584">
        <v>4.0432699999999997</v>
      </c>
      <c r="AM584">
        <v>1029653877</v>
      </c>
      <c r="AN584">
        <v>0</v>
      </c>
      <c r="AO584">
        <v>686404934</v>
      </c>
      <c r="AP584">
        <v>1029653877</v>
      </c>
      <c r="AQ584">
        <v>1716058811</v>
      </c>
      <c r="AR584">
        <v>34321795</v>
      </c>
      <c r="AS584">
        <v>0</v>
      </c>
      <c r="AT584">
        <v>22880164</v>
      </c>
      <c r="AU584">
        <v>34321795</v>
      </c>
      <c r="AV584">
        <v>57201960</v>
      </c>
      <c r="AW584">
        <v>27.680099999999999</v>
      </c>
      <c r="AX584">
        <v>13.678900000000001</v>
      </c>
      <c r="AY584">
        <v>4589.6000000000004</v>
      </c>
      <c r="AZ584">
        <v>3179.29</v>
      </c>
      <c r="BA584">
        <v>2640</v>
      </c>
      <c r="BB584">
        <v>233</v>
      </c>
      <c r="BC584" t="str">
        <f t="shared" si="18"/>
        <v>u=40%, k=2x10^7</v>
      </c>
      <c r="BD584">
        <f t="shared" si="19"/>
        <v>0</v>
      </c>
    </row>
    <row r="585" spans="1:56">
      <c r="A585" t="s">
        <v>669</v>
      </c>
      <c r="B585" t="s">
        <v>64</v>
      </c>
      <c r="C585">
        <v>72</v>
      </c>
      <c r="D585" t="s">
        <v>65</v>
      </c>
      <c r="E585" t="s">
        <v>60</v>
      </c>
      <c r="F585" t="s">
        <v>61</v>
      </c>
      <c r="G585">
        <v>30000</v>
      </c>
      <c r="H585">
        <v>20</v>
      </c>
      <c r="I585">
        <v>20</v>
      </c>
      <c r="J585">
        <v>0</v>
      </c>
      <c r="K585">
        <v>1</v>
      </c>
      <c r="L585">
        <v>20000000</v>
      </c>
      <c r="M585">
        <v>144</v>
      </c>
      <c r="N585">
        <v>144</v>
      </c>
      <c r="O585">
        <v>144</v>
      </c>
      <c r="P585">
        <v>0</v>
      </c>
      <c r="Q585" t="s">
        <v>62</v>
      </c>
      <c r="R585">
        <v>100009129501585</v>
      </c>
      <c r="S585">
        <v>10002613</v>
      </c>
      <c r="T585">
        <v>100009129501585</v>
      </c>
      <c r="U585">
        <v>10002613</v>
      </c>
      <c r="V585" t="s">
        <v>75</v>
      </c>
      <c r="W585">
        <v>7</v>
      </c>
      <c r="X585">
        <v>1898904</v>
      </c>
      <c r="Y585">
        <v>12022365</v>
      </c>
      <c r="Z585">
        <v>13921269</v>
      </c>
      <c r="AA585">
        <v>10002613</v>
      </c>
      <c r="AB585">
        <v>7.3312099999999996</v>
      </c>
      <c r="AC585">
        <v>0.83199999999999996</v>
      </c>
      <c r="AD585">
        <v>1.71851</v>
      </c>
      <c r="AE585">
        <v>4.0544900000000004</v>
      </c>
      <c r="AM585">
        <v>1444526090</v>
      </c>
      <c r="AN585">
        <v>0</v>
      </c>
      <c r="AO585">
        <v>962997794</v>
      </c>
      <c r="AP585">
        <v>1444526090</v>
      </c>
      <c r="AQ585">
        <v>2407523884</v>
      </c>
      <c r="AR585">
        <v>48150869</v>
      </c>
      <c r="AS585">
        <v>0</v>
      </c>
      <c r="AT585">
        <v>32099926</v>
      </c>
      <c r="AU585">
        <v>48150869</v>
      </c>
      <c r="AV585">
        <v>80250796</v>
      </c>
      <c r="AW585">
        <v>28.014099999999999</v>
      </c>
      <c r="AX585">
        <v>14.495799999999999</v>
      </c>
      <c r="AY585">
        <v>4865.4799999999996</v>
      </c>
      <c r="AZ585">
        <v>3369.94</v>
      </c>
      <c r="BA585">
        <v>2821</v>
      </c>
      <c r="BB585">
        <v>362</v>
      </c>
      <c r="BC585" t="str">
        <f t="shared" si="18"/>
        <v>u=40%, k=2x10^7</v>
      </c>
      <c r="BD585">
        <f t="shared" si="19"/>
        <v>0</v>
      </c>
    </row>
    <row r="586" spans="1:56">
      <c r="A586" t="s">
        <v>670</v>
      </c>
      <c r="B586" t="s">
        <v>64</v>
      </c>
      <c r="C586">
        <v>72</v>
      </c>
      <c r="D586" t="s">
        <v>65</v>
      </c>
      <c r="E586" t="s">
        <v>60</v>
      </c>
      <c r="F586" t="s">
        <v>61</v>
      </c>
      <c r="G586">
        <v>30000</v>
      </c>
      <c r="H586">
        <v>20</v>
      </c>
      <c r="I586">
        <v>20</v>
      </c>
      <c r="J586">
        <v>0</v>
      </c>
      <c r="K586">
        <v>1</v>
      </c>
      <c r="L586">
        <v>20000000</v>
      </c>
      <c r="M586">
        <v>190</v>
      </c>
      <c r="N586">
        <v>190</v>
      </c>
      <c r="O586">
        <v>190</v>
      </c>
      <c r="P586">
        <v>0</v>
      </c>
      <c r="Q586" t="s">
        <v>62</v>
      </c>
      <c r="R586">
        <v>99989343832914</v>
      </c>
      <c r="S586">
        <v>9999423</v>
      </c>
      <c r="T586">
        <v>99989343832914</v>
      </c>
      <c r="U586">
        <v>9999423</v>
      </c>
      <c r="V586" t="s">
        <v>75</v>
      </c>
      <c r="W586">
        <v>7</v>
      </c>
      <c r="X586">
        <v>1738872</v>
      </c>
      <c r="Y586">
        <v>11670736</v>
      </c>
      <c r="Z586">
        <v>13409608</v>
      </c>
      <c r="AA586">
        <v>9999423</v>
      </c>
      <c r="AB586">
        <v>7.7116699999999998</v>
      </c>
      <c r="AC586">
        <v>0.85679499999999997</v>
      </c>
      <c r="AD586">
        <v>1.74569</v>
      </c>
      <c r="AE586">
        <v>4.0226199999999999</v>
      </c>
      <c r="AM586">
        <v>1748221613</v>
      </c>
      <c r="AN586">
        <v>0</v>
      </c>
      <c r="AO586">
        <v>1165514511</v>
      </c>
      <c r="AP586">
        <v>1748221613</v>
      </c>
      <c r="AQ586">
        <v>2913736124</v>
      </c>
      <c r="AR586">
        <v>58274053</v>
      </c>
      <c r="AS586">
        <v>0</v>
      </c>
      <c r="AT586">
        <v>38850483</v>
      </c>
      <c r="AU586">
        <v>58274053</v>
      </c>
      <c r="AV586">
        <v>97124537</v>
      </c>
      <c r="AW586">
        <v>28.604399999999998</v>
      </c>
      <c r="AX586">
        <v>15.3042</v>
      </c>
      <c r="AY586">
        <v>5274.42</v>
      </c>
      <c r="AZ586">
        <v>3623.29</v>
      </c>
      <c r="BA586">
        <v>2936</v>
      </c>
      <c r="BB586">
        <v>398</v>
      </c>
      <c r="BC586" t="str">
        <f t="shared" si="18"/>
        <v>u=40%, k=2x10^7</v>
      </c>
      <c r="BD586">
        <f t="shared" si="19"/>
        <v>0</v>
      </c>
    </row>
    <row r="587" spans="1:56">
      <c r="A587" t="s">
        <v>671</v>
      </c>
      <c r="B587" t="s">
        <v>66</v>
      </c>
      <c r="C587">
        <v>208</v>
      </c>
      <c r="D587" t="s">
        <v>65</v>
      </c>
      <c r="E587" t="s">
        <v>60</v>
      </c>
      <c r="F587" t="s">
        <v>61</v>
      </c>
      <c r="G587">
        <v>30000</v>
      </c>
      <c r="H587">
        <v>20</v>
      </c>
      <c r="I587">
        <v>20</v>
      </c>
      <c r="J587">
        <v>0</v>
      </c>
      <c r="K587">
        <v>1</v>
      </c>
      <c r="L587">
        <v>20000000</v>
      </c>
      <c r="M587">
        <v>24</v>
      </c>
      <c r="N587">
        <v>24</v>
      </c>
      <c r="O587">
        <v>24</v>
      </c>
      <c r="P587">
        <v>0</v>
      </c>
      <c r="Q587" t="s">
        <v>62</v>
      </c>
      <c r="R587">
        <v>100028438176958</v>
      </c>
      <c r="S587">
        <v>10003060</v>
      </c>
      <c r="T587">
        <v>100028438176958</v>
      </c>
      <c r="U587">
        <v>10003060</v>
      </c>
      <c r="V587" t="s">
        <v>75</v>
      </c>
      <c r="W587">
        <v>9</v>
      </c>
      <c r="X587">
        <v>293219</v>
      </c>
      <c r="Y587">
        <v>1945692</v>
      </c>
      <c r="Z587">
        <v>2238911</v>
      </c>
      <c r="AA587">
        <v>10003060</v>
      </c>
      <c r="AB587">
        <v>7.6356299999999999</v>
      </c>
      <c r="AC587">
        <v>5.1411300000000004</v>
      </c>
      <c r="AD587">
        <v>5.4678199999999997</v>
      </c>
      <c r="AE587">
        <v>8</v>
      </c>
      <c r="AM587">
        <v>463445665</v>
      </c>
      <c r="AN587">
        <v>0</v>
      </c>
      <c r="AO587">
        <v>308997252</v>
      </c>
      <c r="AP587">
        <v>463445665</v>
      </c>
      <c r="AQ587">
        <v>772442917</v>
      </c>
      <c r="AR587">
        <v>15448188</v>
      </c>
      <c r="AS587">
        <v>0</v>
      </c>
      <c r="AT587">
        <v>10299908</v>
      </c>
      <c r="AU587">
        <v>15448188</v>
      </c>
      <c r="AV587">
        <v>25748097</v>
      </c>
      <c r="AW587">
        <v>19.5061</v>
      </c>
      <c r="AX587">
        <v>6.3940200000000003</v>
      </c>
      <c r="AY587">
        <v>2598.81</v>
      </c>
      <c r="AZ587">
        <v>1582.1</v>
      </c>
      <c r="BA587">
        <v>1575</v>
      </c>
      <c r="BB587">
        <v>868</v>
      </c>
      <c r="BC587" t="str">
        <f t="shared" si="18"/>
        <v>u=40%, k=2x10^7</v>
      </c>
      <c r="BD587">
        <f t="shared" si="19"/>
        <v>0</v>
      </c>
    </row>
    <row r="588" spans="1:56">
      <c r="A588" t="s">
        <v>672</v>
      </c>
      <c r="B588" t="s">
        <v>66</v>
      </c>
      <c r="C588">
        <v>208</v>
      </c>
      <c r="D588" t="s">
        <v>65</v>
      </c>
      <c r="E588" t="s">
        <v>60</v>
      </c>
      <c r="F588" t="s">
        <v>61</v>
      </c>
      <c r="G588">
        <v>30000</v>
      </c>
      <c r="H588">
        <v>20</v>
      </c>
      <c r="I588">
        <v>20</v>
      </c>
      <c r="J588">
        <v>0</v>
      </c>
      <c r="K588">
        <v>1</v>
      </c>
      <c r="L588">
        <v>20000000</v>
      </c>
      <c r="M588">
        <v>48</v>
      </c>
      <c r="N588">
        <v>48</v>
      </c>
      <c r="O588">
        <v>48</v>
      </c>
      <c r="P588">
        <v>0</v>
      </c>
      <c r="Q588" t="s">
        <v>62</v>
      </c>
      <c r="R588">
        <v>100022186756530</v>
      </c>
      <c r="S588">
        <v>10001858</v>
      </c>
      <c r="T588">
        <v>100022186756530</v>
      </c>
      <c r="U588">
        <v>10001858</v>
      </c>
      <c r="V588" t="s">
        <v>75</v>
      </c>
      <c r="W588">
        <v>9</v>
      </c>
      <c r="X588">
        <v>307791</v>
      </c>
      <c r="Y588">
        <v>1965882</v>
      </c>
      <c r="Z588">
        <v>2273673</v>
      </c>
      <c r="AA588">
        <v>10001858</v>
      </c>
      <c r="AB588">
        <v>7.3870699999999996</v>
      </c>
      <c r="AC588">
        <v>5.08772</v>
      </c>
      <c r="AD588">
        <v>5.3989900000000004</v>
      </c>
      <c r="AE588">
        <v>8</v>
      </c>
      <c r="AM588">
        <v>825821517</v>
      </c>
      <c r="AN588">
        <v>0</v>
      </c>
      <c r="AO588">
        <v>550555109</v>
      </c>
      <c r="AP588">
        <v>825821517</v>
      </c>
      <c r="AQ588">
        <v>1376376626</v>
      </c>
      <c r="AR588">
        <v>27527383</v>
      </c>
      <c r="AS588">
        <v>0</v>
      </c>
      <c r="AT588">
        <v>18351836</v>
      </c>
      <c r="AU588">
        <v>27527383</v>
      </c>
      <c r="AV588">
        <v>45879220</v>
      </c>
      <c r="AW588">
        <v>20.119199999999999</v>
      </c>
      <c r="AX588">
        <v>6.7829100000000002</v>
      </c>
      <c r="AY588">
        <v>2915.71</v>
      </c>
      <c r="AZ588">
        <v>1938.17</v>
      </c>
      <c r="BA588">
        <v>1692</v>
      </c>
      <c r="BB588">
        <v>750</v>
      </c>
      <c r="BC588" t="str">
        <f t="shared" si="18"/>
        <v>u=40%, k=2x10^7</v>
      </c>
      <c r="BD588">
        <f t="shared" si="19"/>
        <v>0</v>
      </c>
    </row>
    <row r="589" spans="1:56">
      <c r="A589" t="s">
        <v>673</v>
      </c>
      <c r="B589" t="s">
        <v>66</v>
      </c>
      <c r="C589">
        <v>208</v>
      </c>
      <c r="D589" t="s">
        <v>65</v>
      </c>
      <c r="E589" t="s">
        <v>60</v>
      </c>
      <c r="F589" t="s">
        <v>61</v>
      </c>
      <c r="G589">
        <v>30000</v>
      </c>
      <c r="H589">
        <v>20</v>
      </c>
      <c r="I589">
        <v>20</v>
      </c>
      <c r="J589">
        <v>0</v>
      </c>
      <c r="K589">
        <v>1</v>
      </c>
      <c r="L589">
        <v>20000000</v>
      </c>
      <c r="M589">
        <v>96</v>
      </c>
      <c r="N589">
        <v>96</v>
      </c>
      <c r="O589">
        <v>96</v>
      </c>
      <c r="P589">
        <v>0</v>
      </c>
      <c r="Q589" t="s">
        <v>62</v>
      </c>
      <c r="R589">
        <v>99989559948630</v>
      </c>
      <c r="S589">
        <v>9999340</v>
      </c>
      <c r="T589">
        <v>99989559948630</v>
      </c>
      <c r="U589">
        <v>9999340</v>
      </c>
      <c r="V589" t="s">
        <v>75</v>
      </c>
      <c r="W589">
        <v>9</v>
      </c>
      <c r="X589">
        <v>320491</v>
      </c>
      <c r="Y589">
        <v>1960389</v>
      </c>
      <c r="Z589">
        <v>2280880</v>
      </c>
      <c r="AA589">
        <v>9999340</v>
      </c>
      <c r="AB589">
        <v>7.1168300000000002</v>
      </c>
      <c r="AC589">
        <v>5.1006900000000002</v>
      </c>
      <c r="AD589">
        <v>5.3839800000000002</v>
      </c>
      <c r="AE589">
        <v>8</v>
      </c>
      <c r="AM589">
        <v>1503092963</v>
      </c>
      <c r="AN589">
        <v>0</v>
      </c>
      <c r="AO589">
        <v>1002066301</v>
      </c>
      <c r="AP589">
        <v>1503092963</v>
      </c>
      <c r="AQ589">
        <v>2505159264</v>
      </c>
      <c r="AR589">
        <v>50103098</v>
      </c>
      <c r="AS589">
        <v>0</v>
      </c>
      <c r="AT589">
        <v>33402210</v>
      </c>
      <c r="AU589">
        <v>50103098</v>
      </c>
      <c r="AV589">
        <v>83505308</v>
      </c>
      <c r="AW589">
        <v>21.469899999999999</v>
      </c>
      <c r="AX589">
        <v>7.6832099999999999</v>
      </c>
      <c r="AY589">
        <v>3193.76</v>
      </c>
      <c r="AZ589">
        <v>2064.0500000000002</v>
      </c>
      <c r="BA589">
        <v>2107</v>
      </c>
      <c r="BB589">
        <v>939</v>
      </c>
      <c r="BC589" t="str">
        <f t="shared" si="18"/>
        <v>u=40%, k=2x10^7</v>
      </c>
      <c r="BD589">
        <f t="shared" si="19"/>
        <v>0</v>
      </c>
    </row>
    <row r="590" spans="1:56">
      <c r="A590" t="s">
        <v>674</v>
      </c>
      <c r="B590" t="s">
        <v>66</v>
      </c>
      <c r="C590">
        <v>208</v>
      </c>
      <c r="D590" t="s">
        <v>65</v>
      </c>
      <c r="E590" t="s">
        <v>60</v>
      </c>
      <c r="F590" t="s">
        <v>61</v>
      </c>
      <c r="G590">
        <v>30000</v>
      </c>
      <c r="H590">
        <v>20</v>
      </c>
      <c r="I590">
        <v>20</v>
      </c>
      <c r="J590">
        <v>0</v>
      </c>
      <c r="K590">
        <v>1</v>
      </c>
      <c r="L590">
        <v>20000000</v>
      </c>
      <c r="M590">
        <v>144</v>
      </c>
      <c r="N590">
        <v>144</v>
      </c>
      <c r="O590">
        <v>144</v>
      </c>
      <c r="P590">
        <v>0</v>
      </c>
      <c r="Q590" t="s">
        <v>62</v>
      </c>
      <c r="R590">
        <v>99965470520418</v>
      </c>
      <c r="S590">
        <v>10000264</v>
      </c>
      <c r="T590">
        <v>99965470520418</v>
      </c>
      <c r="U590">
        <v>10000264</v>
      </c>
      <c r="V590" t="s">
        <v>75</v>
      </c>
      <c r="W590">
        <v>9</v>
      </c>
      <c r="X590">
        <v>324966</v>
      </c>
      <c r="Y590">
        <v>1956273</v>
      </c>
      <c r="Z590">
        <v>2281239</v>
      </c>
      <c r="AA590">
        <v>10000264</v>
      </c>
      <c r="AB590">
        <v>7.0199299999999996</v>
      </c>
      <c r="AC590">
        <v>5.1119000000000003</v>
      </c>
      <c r="AD590">
        <v>5.3837000000000002</v>
      </c>
      <c r="AE590">
        <v>8</v>
      </c>
      <c r="AM590">
        <v>1952728103</v>
      </c>
      <c r="AN590">
        <v>0</v>
      </c>
      <c r="AO590">
        <v>1301787171</v>
      </c>
      <c r="AP590">
        <v>1952728103</v>
      </c>
      <c r="AQ590">
        <v>3254515274</v>
      </c>
      <c r="AR590">
        <v>65090936</v>
      </c>
      <c r="AS590">
        <v>0</v>
      </c>
      <c r="AT590">
        <v>43392905</v>
      </c>
      <c r="AU590">
        <v>65090936</v>
      </c>
      <c r="AV590">
        <v>108483842</v>
      </c>
      <c r="AW590">
        <v>22.533100000000001</v>
      </c>
      <c r="AX590">
        <v>8.6675400000000007</v>
      </c>
      <c r="AY590">
        <v>3688.1</v>
      </c>
      <c r="AZ590">
        <v>2262.92</v>
      </c>
      <c r="BA590">
        <v>2101</v>
      </c>
      <c r="BB590">
        <v>837</v>
      </c>
      <c r="BC590" t="str">
        <f t="shared" si="18"/>
        <v>u=40%, k=2x10^7</v>
      </c>
      <c r="BD590">
        <f t="shared" si="19"/>
        <v>0</v>
      </c>
    </row>
    <row r="591" spans="1:56">
      <c r="A591" t="s">
        <v>675</v>
      </c>
      <c r="B591" t="s">
        <v>66</v>
      </c>
      <c r="C591">
        <v>208</v>
      </c>
      <c r="D591" t="s">
        <v>65</v>
      </c>
      <c r="E591" t="s">
        <v>60</v>
      </c>
      <c r="F591" t="s">
        <v>61</v>
      </c>
      <c r="G591">
        <v>30000</v>
      </c>
      <c r="H591">
        <v>20</v>
      </c>
      <c r="I591">
        <v>20</v>
      </c>
      <c r="J591">
        <v>0</v>
      </c>
      <c r="K591">
        <v>1</v>
      </c>
      <c r="L591">
        <v>20000000</v>
      </c>
      <c r="M591">
        <v>190</v>
      </c>
      <c r="N591">
        <v>190</v>
      </c>
      <c r="O591">
        <v>190</v>
      </c>
      <c r="P591">
        <v>0</v>
      </c>
      <c r="Q591" t="s">
        <v>62</v>
      </c>
      <c r="R591">
        <v>99976859118249</v>
      </c>
      <c r="S591">
        <v>9998726</v>
      </c>
      <c r="T591">
        <v>99976859118249</v>
      </c>
      <c r="U591">
        <v>9998726</v>
      </c>
      <c r="V591" t="s">
        <v>75</v>
      </c>
      <c r="W591">
        <v>9</v>
      </c>
      <c r="X591">
        <v>327492</v>
      </c>
      <c r="Y591">
        <v>1956055</v>
      </c>
      <c r="Z591">
        <v>2283547</v>
      </c>
      <c r="AA591">
        <v>9998726</v>
      </c>
      <c r="AB591">
        <v>6.9728300000000001</v>
      </c>
      <c r="AC591">
        <v>5.1116799999999998</v>
      </c>
      <c r="AD591">
        <v>5.37859</v>
      </c>
      <c r="AE591">
        <v>8</v>
      </c>
      <c r="AM591">
        <v>2223373477</v>
      </c>
      <c r="AN591">
        <v>0</v>
      </c>
      <c r="AO591">
        <v>1482306516</v>
      </c>
      <c r="AP591">
        <v>2223373477</v>
      </c>
      <c r="AQ591">
        <v>3705679993</v>
      </c>
      <c r="AR591">
        <v>74112449</v>
      </c>
      <c r="AS591">
        <v>0</v>
      </c>
      <c r="AT591">
        <v>49410217</v>
      </c>
      <c r="AU591">
        <v>74112449</v>
      </c>
      <c r="AV591">
        <v>123522666</v>
      </c>
      <c r="AW591">
        <v>22.888999999999999</v>
      </c>
      <c r="AX591">
        <v>9.1035699999999995</v>
      </c>
      <c r="AY591">
        <v>4250.42</v>
      </c>
      <c r="AZ591">
        <v>2403.89</v>
      </c>
      <c r="BA591">
        <v>2171</v>
      </c>
      <c r="BB591">
        <v>905</v>
      </c>
      <c r="BC591" t="str">
        <f t="shared" si="18"/>
        <v>u=40%, k=2x10^7</v>
      </c>
      <c r="BD591">
        <f t="shared" si="19"/>
        <v>0</v>
      </c>
    </row>
    <row r="592" spans="1:56">
      <c r="A592" t="s">
        <v>676</v>
      </c>
      <c r="B592" t="s">
        <v>67</v>
      </c>
      <c r="D592" t="s">
        <v>65</v>
      </c>
      <c r="E592" t="s">
        <v>60</v>
      </c>
      <c r="F592" t="s">
        <v>61</v>
      </c>
      <c r="G592">
        <v>30000</v>
      </c>
      <c r="H592">
        <v>20</v>
      </c>
      <c r="I592">
        <v>20</v>
      </c>
      <c r="J592">
        <v>0</v>
      </c>
      <c r="K592">
        <v>1</v>
      </c>
      <c r="L592">
        <v>20000000</v>
      </c>
      <c r="M592">
        <v>24</v>
      </c>
      <c r="N592">
        <v>24</v>
      </c>
      <c r="O592">
        <v>24</v>
      </c>
      <c r="P592">
        <v>0</v>
      </c>
      <c r="Q592" t="s">
        <v>62</v>
      </c>
      <c r="R592">
        <v>99966090955527</v>
      </c>
      <c r="S592">
        <v>9997416</v>
      </c>
      <c r="T592">
        <v>99966090955527</v>
      </c>
      <c r="U592">
        <v>9997416</v>
      </c>
      <c r="V592" t="s">
        <v>75</v>
      </c>
      <c r="W592">
        <v>29</v>
      </c>
      <c r="X592">
        <v>6854820</v>
      </c>
      <c r="Y592">
        <v>5207241</v>
      </c>
      <c r="Z592">
        <v>12062061</v>
      </c>
      <c r="AA592">
        <v>9997416</v>
      </c>
      <c r="AB592">
        <v>1.7596499999999999</v>
      </c>
      <c r="AC592">
        <v>1.91991</v>
      </c>
      <c r="AD592">
        <v>1.82883</v>
      </c>
      <c r="AE592">
        <v>23.238399999999999</v>
      </c>
      <c r="AM592">
        <v>226406535</v>
      </c>
      <c r="AN592">
        <v>0</v>
      </c>
      <c r="AO592">
        <v>150947000</v>
      </c>
      <c r="AP592">
        <v>226406535</v>
      </c>
      <c r="AQ592">
        <v>377353535</v>
      </c>
      <c r="AR592">
        <v>7546884</v>
      </c>
      <c r="AS592">
        <v>0</v>
      </c>
      <c r="AT592">
        <v>5031566</v>
      </c>
      <c r="AU592">
        <v>7546884</v>
      </c>
      <c r="AV592">
        <v>12578451</v>
      </c>
      <c r="AW592">
        <v>29.896999999999998</v>
      </c>
      <c r="AX592">
        <v>10.568899999999999</v>
      </c>
      <c r="AY592">
        <v>5321.53</v>
      </c>
      <c r="AZ592">
        <v>3916.26</v>
      </c>
      <c r="BA592">
        <v>1859</v>
      </c>
      <c r="BB592">
        <v>1450</v>
      </c>
      <c r="BC592" t="str">
        <f t="shared" si="18"/>
        <v>u=40%, k=2x10^7</v>
      </c>
      <c r="BD592">
        <f t="shared" si="19"/>
        <v>0</v>
      </c>
    </row>
    <row r="593" spans="1:56">
      <c r="A593" t="s">
        <v>677</v>
      </c>
      <c r="B593" t="s">
        <v>67</v>
      </c>
      <c r="D593" t="s">
        <v>65</v>
      </c>
      <c r="E593" t="s">
        <v>60</v>
      </c>
      <c r="F593" t="s">
        <v>61</v>
      </c>
      <c r="G593">
        <v>30000</v>
      </c>
      <c r="H593">
        <v>20</v>
      </c>
      <c r="I593">
        <v>20</v>
      </c>
      <c r="J593">
        <v>0</v>
      </c>
      <c r="K593">
        <v>1</v>
      </c>
      <c r="L593">
        <v>20000000</v>
      </c>
      <c r="M593">
        <v>48</v>
      </c>
      <c r="N593">
        <v>48</v>
      </c>
      <c r="O593">
        <v>48</v>
      </c>
      <c r="P593">
        <v>0</v>
      </c>
      <c r="Q593" t="s">
        <v>62</v>
      </c>
      <c r="R593">
        <v>100040401649657</v>
      </c>
      <c r="S593">
        <v>10002968</v>
      </c>
      <c r="T593">
        <v>100040401649657</v>
      </c>
      <c r="U593">
        <v>10002968</v>
      </c>
      <c r="V593" t="s">
        <v>75</v>
      </c>
      <c r="W593">
        <v>29</v>
      </c>
      <c r="X593">
        <v>6859925</v>
      </c>
      <c r="Y593">
        <v>5205130</v>
      </c>
      <c r="Z593">
        <v>12065055</v>
      </c>
      <c r="AA593">
        <v>10002968</v>
      </c>
      <c r="AB593">
        <v>1.7587699999999999</v>
      </c>
      <c r="AC593">
        <v>1.9217500000000001</v>
      </c>
      <c r="AD593">
        <v>1.8290900000000001</v>
      </c>
      <c r="AE593">
        <v>23.242899999999999</v>
      </c>
      <c r="AM593">
        <v>422987606</v>
      </c>
      <c r="AN593">
        <v>0</v>
      </c>
      <c r="AO593">
        <v>281993061</v>
      </c>
      <c r="AP593">
        <v>422987606</v>
      </c>
      <c r="AQ593">
        <v>704980667</v>
      </c>
      <c r="AR593">
        <v>14099586</v>
      </c>
      <c r="AS593">
        <v>0</v>
      </c>
      <c r="AT593">
        <v>9399768</v>
      </c>
      <c r="AU593">
        <v>14099586</v>
      </c>
      <c r="AV593">
        <v>23499355</v>
      </c>
      <c r="AW593">
        <v>30.892900000000001</v>
      </c>
      <c r="AX593">
        <v>10.603999999999999</v>
      </c>
      <c r="AY593">
        <v>5696.23</v>
      </c>
      <c r="AZ593">
        <v>4256.78</v>
      </c>
      <c r="BA593">
        <v>1891</v>
      </c>
      <c r="BB593">
        <v>1031</v>
      </c>
      <c r="BC593" t="str">
        <f t="shared" si="18"/>
        <v>u=40%, k=2x10^7</v>
      </c>
      <c r="BD593">
        <f t="shared" si="19"/>
        <v>0</v>
      </c>
    </row>
    <row r="594" spans="1:56">
      <c r="A594" t="s">
        <v>678</v>
      </c>
      <c r="B594" t="s">
        <v>67</v>
      </c>
      <c r="D594" t="s">
        <v>65</v>
      </c>
      <c r="E594" t="s">
        <v>60</v>
      </c>
      <c r="F594" t="s">
        <v>61</v>
      </c>
      <c r="G594">
        <v>30000</v>
      </c>
      <c r="H594">
        <v>20</v>
      </c>
      <c r="I594">
        <v>20</v>
      </c>
      <c r="J594">
        <v>0</v>
      </c>
      <c r="K594">
        <v>1</v>
      </c>
      <c r="L594">
        <v>20000000</v>
      </c>
      <c r="M594">
        <v>96</v>
      </c>
      <c r="N594">
        <v>96</v>
      </c>
      <c r="O594">
        <v>96</v>
      </c>
      <c r="P594">
        <v>0</v>
      </c>
      <c r="Q594" t="s">
        <v>62</v>
      </c>
      <c r="R594">
        <v>100018819455249</v>
      </c>
      <c r="S594">
        <v>9999622</v>
      </c>
      <c r="T594">
        <v>100018819455249</v>
      </c>
      <c r="U594">
        <v>9999622</v>
      </c>
      <c r="V594" t="s">
        <v>75</v>
      </c>
      <c r="W594">
        <v>29</v>
      </c>
      <c r="X594">
        <v>6858565</v>
      </c>
      <c r="Y594">
        <v>5207195</v>
      </c>
      <c r="Z594">
        <v>12065760</v>
      </c>
      <c r="AA594">
        <v>9999622</v>
      </c>
      <c r="AB594">
        <v>1.7592300000000001</v>
      </c>
      <c r="AC594">
        <v>1.92035</v>
      </c>
      <c r="AD594">
        <v>1.8287599999999999</v>
      </c>
      <c r="AE594">
        <v>23.295000000000002</v>
      </c>
      <c r="AM594">
        <v>872836840</v>
      </c>
      <c r="AN594">
        <v>0</v>
      </c>
      <c r="AO594">
        <v>581888307</v>
      </c>
      <c r="AP594">
        <v>872836840</v>
      </c>
      <c r="AQ594">
        <v>1454725147</v>
      </c>
      <c r="AR594">
        <v>29094561</v>
      </c>
      <c r="AS594">
        <v>0</v>
      </c>
      <c r="AT594">
        <v>19396276</v>
      </c>
      <c r="AU594">
        <v>29094561</v>
      </c>
      <c r="AV594">
        <v>48490838</v>
      </c>
      <c r="AW594">
        <v>31.8827</v>
      </c>
      <c r="AX594">
        <v>11.229200000000001</v>
      </c>
      <c r="AY594">
        <v>5515.05</v>
      </c>
      <c r="AZ594">
        <v>4028.49</v>
      </c>
      <c r="BA594">
        <v>2047</v>
      </c>
      <c r="BB594">
        <v>787</v>
      </c>
      <c r="BC594" t="str">
        <f t="shared" si="18"/>
        <v>u=40%, k=2x10^7</v>
      </c>
      <c r="BD594">
        <f t="shared" si="19"/>
        <v>0</v>
      </c>
    </row>
    <row r="595" spans="1:56">
      <c r="A595" t="s">
        <v>679</v>
      </c>
      <c r="B595" t="s">
        <v>67</v>
      </c>
      <c r="D595" t="s">
        <v>65</v>
      </c>
      <c r="E595" t="s">
        <v>60</v>
      </c>
      <c r="F595" t="s">
        <v>61</v>
      </c>
      <c r="G595">
        <v>30000</v>
      </c>
      <c r="H595">
        <v>20</v>
      </c>
      <c r="I595">
        <v>20</v>
      </c>
      <c r="J595">
        <v>0</v>
      </c>
      <c r="K595">
        <v>1</v>
      </c>
      <c r="L595">
        <v>20000000</v>
      </c>
      <c r="M595">
        <v>144</v>
      </c>
      <c r="N595">
        <v>144</v>
      </c>
      <c r="O595">
        <v>144</v>
      </c>
      <c r="P595">
        <v>0</v>
      </c>
      <c r="Q595" t="s">
        <v>62</v>
      </c>
      <c r="R595">
        <v>100020129609573</v>
      </c>
      <c r="S595">
        <v>10003488</v>
      </c>
      <c r="T595">
        <v>100020129609573</v>
      </c>
      <c r="U595">
        <v>10003488</v>
      </c>
      <c r="V595" t="s">
        <v>75</v>
      </c>
      <c r="W595">
        <v>29</v>
      </c>
      <c r="X595">
        <v>6859702</v>
      </c>
      <c r="Y595">
        <v>5206354</v>
      </c>
      <c r="Z595">
        <v>12066056</v>
      </c>
      <c r="AA595">
        <v>10003488</v>
      </c>
      <c r="AB595">
        <v>1.75898</v>
      </c>
      <c r="AC595">
        <v>1.9214</v>
      </c>
      <c r="AD595">
        <v>1.8290599999999999</v>
      </c>
      <c r="AE595">
        <v>23.247800000000002</v>
      </c>
      <c r="AM595">
        <v>1287125775</v>
      </c>
      <c r="AN595">
        <v>0</v>
      </c>
      <c r="AO595">
        <v>858099397</v>
      </c>
      <c r="AP595">
        <v>1287125775</v>
      </c>
      <c r="AQ595">
        <v>2145225172</v>
      </c>
      <c r="AR595">
        <v>42904192</v>
      </c>
      <c r="AS595">
        <v>0</v>
      </c>
      <c r="AT595">
        <v>28603313</v>
      </c>
      <c r="AU595">
        <v>42904192</v>
      </c>
      <c r="AV595">
        <v>71507505</v>
      </c>
      <c r="AW595">
        <v>32.293399999999998</v>
      </c>
      <c r="AX595">
        <v>11.8651</v>
      </c>
      <c r="AY595">
        <v>5598.44</v>
      </c>
      <c r="AZ595">
        <v>4080.18</v>
      </c>
      <c r="BA595">
        <v>2415</v>
      </c>
      <c r="BB595">
        <v>469</v>
      </c>
      <c r="BC595" t="str">
        <f t="shared" si="18"/>
        <v>u=40%, k=2x10^7</v>
      </c>
      <c r="BD595">
        <f t="shared" si="19"/>
        <v>0</v>
      </c>
    </row>
    <row r="596" spans="1:56">
      <c r="A596" t="s">
        <v>680</v>
      </c>
      <c r="B596" t="s">
        <v>67</v>
      </c>
      <c r="D596" t="s">
        <v>65</v>
      </c>
      <c r="E596" t="s">
        <v>60</v>
      </c>
      <c r="F596" t="s">
        <v>61</v>
      </c>
      <c r="G596">
        <v>30000</v>
      </c>
      <c r="H596">
        <v>20</v>
      </c>
      <c r="I596">
        <v>20</v>
      </c>
      <c r="J596">
        <v>0</v>
      </c>
      <c r="K596">
        <v>1</v>
      </c>
      <c r="L596">
        <v>20000000</v>
      </c>
      <c r="M596">
        <v>190</v>
      </c>
      <c r="N596">
        <v>190</v>
      </c>
      <c r="O596">
        <v>190</v>
      </c>
      <c r="P596">
        <v>0</v>
      </c>
      <c r="Q596" t="s">
        <v>62</v>
      </c>
      <c r="R596">
        <v>100026510845953</v>
      </c>
      <c r="S596">
        <v>10002222</v>
      </c>
      <c r="T596">
        <v>100026510845953</v>
      </c>
      <c r="U596">
        <v>10002222</v>
      </c>
      <c r="V596" t="s">
        <v>75</v>
      </c>
      <c r="W596">
        <v>29</v>
      </c>
      <c r="X596">
        <v>6859586</v>
      </c>
      <c r="Y596">
        <v>5203658</v>
      </c>
      <c r="Z596">
        <v>12063244</v>
      </c>
      <c r="AA596">
        <v>10002222</v>
      </c>
      <c r="AB596">
        <v>1.7585999999999999</v>
      </c>
      <c r="AC596">
        <v>1.92215</v>
      </c>
      <c r="AD596">
        <v>1.8291500000000001</v>
      </c>
      <c r="AE596">
        <v>23.241299999999999</v>
      </c>
      <c r="AM596">
        <v>1656773550</v>
      </c>
      <c r="AN596">
        <v>0</v>
      </c>
      <c r="AO596">
        <v>1104427272</v>
      </c>
      <c r="AP596">
        <v>1656773550</v>
      </c>
      <c r="AQ596">
        <v>2761200822</v>
      </c>
      <c r="AR596">
        <v>55225785</v>
      </c>
      <c r="AS596">
        <v>0</v>
      </c>
      <c r="AT596">
        <v>36814242</v>
      </c>
      <c r="AU596">
        <v>55225785</v>
      </c>
      <c r="AV596">
        <v>92040027</v>
      </c>
      <c r="AW596">
        <v>32.866700000000002</v>
      </c>
      <c r="AX596">
        <v>12.3428</v>
      </c>
      <c r="AY596">
        <v>5739.82</v>
      </c>
      <c r="AZ596">
        <v>4154.82</v>
      </c>
      <c r="BA596">
        <v>2508</v>
      </c>
      <c r="BB596">
        <v>474</v>
      </c>
      <c r="BC596" t="str">
        <f t="shared" si="18"/>
        <v>u=40%, k=2x10^7</v>
      </c>
      <c r="BD596">
        <f t="shared" si="19"/>
        <v>0</v>
      </c>
    </row>
    <row r="597" spans="1:56">
      <c r="A597" t="s">
        <v>681</v>
      </c>
      <c r="B597" t="s">
        <v>68</v>
      </c>
      <c r="D597" t="s">
        <v>65</v>
      </c>
      <c r="E597" t="s">
        <v>60</v>
      </c>
      <c r="F597" t="s">
        <v>61</v>
      </c>
      <c r="G597">
        <v>30000</v>
      </c>
      <c r="H597">
        <v>20</v>
      </c>
      <c r="I597">
        <v>20</v>
      </c>
      <c r="J597">
        <v>0</v>
      </c>
      <c r="K597">
        <v>1</v>
      </c>
      <c r="L597">
        <v>20000000</v>
      </c>
      <c r="M597">
        <v>24</v>
      </c>
      <c r="N597">
        <v>24</v>
      </c>
      <c r="O597">
        <v>24</v>
      </c>
      <c r="P597">
        <v>0</v>
      </c>
      <c r="Q597" t="s">
        <v>62</v>
      </c>
      <c r="R597">
        <v>99966373836312</v>
      </c>
      <c r="S597">
        <v>9995464</v>
      </c>
      <c r="T597">
        <v>99966373836312</v>
      </c>
      <c r="U597">
        <v>9995464</v>
      </c>
      <c r="V597" t="s">
        <v>75</v>
      </c>
      <c r="W597">
        <v>59</v>
      </c>
      <c r="X597">
        <v>9995463</v>
      </c>
      <c r="Y597">
        <v>9995464</v>
      </c>
      <c r="Z597">
        <v>19990927</v>
      </c>
      <c r="AA597">
        <v>9995464</v>
      </c>
      <c r="AB597">
        <v>2</v>
      </c>
      <c r="AC597">
        <v>1</v>
      </c>
      <c r="AD597">
        <v>1.5</v>
      </c>
      <c r="AE597">
        <v>30.1568</v>
      </c>
      <c r="AM597">
        <v>186994600</v>
      </c>
      <c r="AN597">
        <v>0</v>
      </c>
      <c r="AO597">
        <v>124644093</v>
      </c>
      <c r="AP597">
        <v>186994600</v>
      </c>
      <c r="AQ597">
        <v>311638693</v>
      </c>
      <c r="AR597">
        <v>6233153</v>
      </c>
      <c r="AS597">
        <v>0</v>
      </c>
      <c r="AT597">
        <v>4154803</v>
      </c>
      <c r="AU597">
        <v>6233153</v>
      </c>
      <c r="AV597">
        <v>10387956</v>
      </c>
      <c r="AW597">
        <v>26.040299999999998</v>
      </c>
      <c r="AX597">
        <v>9.8148400000000002</v>
      </c>
      <c r="AY597">
        <v>6444.93</v>
      </c>
      <c r="AZ597">
        <v>5061.8999999999996</v>
      </c>
      <c r="BA597">
        <v>1750</v>
      </c>
      <c r="BB597">
        <v>1511</v>
      </c>
      <c r="BC597" t="str">
        <f t="shared" si="18"/>
        <v>u=40%, k=2x10^7</v>
      </c>
      <c r="BD597">
        <f t="shared" si="19"/>
        <v>0</v>
      </c>
    </row>
    <row r="598" spans="1:56">
      <c r="A598" t="s">
        <v>682</v>
      </c>
      <c r="B598" t="s">
        <v>68</v>
      </c>
      <c r="D598" t="s">
        <v>65</v>
      </c>
      <c r="E598" t="s">
        <v>60</v>
      </c>
      <c r="F598" t="s">
        <v>61</v>
      </c>
      <c r="G598">
        <v>30000</v>
      </c>
      <c r="H598">
        <v>20</v>
      </c>
      <c r="I598">
        <v>20</v>
      </c>
      <c r="J598">
        <v>0</v>
      </c>
      <c r="K598">
        <v>1</v>
      </c>
      <c r="L598">
        <v>20000000</v>
      </c>
      <c r="M598">
        <v>48</v>
      </c>
      <c r="N598">
        <v>48</v>
      </c>
      <c r="O598">
        <v>48</v>
      </c>
      <c r="P598">
        <v>0</v>
      </c>
      <c r="Q598" t="s">
        <v>62</v>
      </c>
      <c r="R598">
        <v>100003715685804</v>
      </c>
      <c r="S598">
        <v>10000617</v>
      </c>
      <c r="T598">
        <v>100003715685804</v>
      </c>
      <c r="U598">
        <v>10000617</v>
      </c>
      <c r="V598" t="s">
        <v>75</v>
      </c>
      <c r="W598">
        <v>59</v>
      </c>
      <c r="X598">
        <v>10000616</v>
      </c>
      <c r="Y598">
        <v>10000617</v>
      </c>
      <c r="Z598">
        <v>20001233</v>
      </c>
      <c r="AA598">
        <v>10000617</v>
      </c>
      <c r="AB598">
        <v>2</v>
      </c>
      <c r="AC598">
        <v>1</v>
      </c>
      <c r="AD598">
        <v>1.5</v>
      </c>
      <c r="AE598">
        <v>30.407499999999999</v>
      </c>
      <c r="AM598">
        <v>362053192</v>
      </c>
      <c r="AN598">
        <v>0</v>
      </c>
      <c r="AO598">
        <v>241345655</v>
      </c>
      <c r="AP598">
        <v>362053192</v>
      </c>
      <c r="AQ598">
        <v>603398847</v>
      </c>
      <c r="AR598">
        <v>12068439</v>
      </c>
      <c r="AS598">
        <v>0</v>
      </c>
      <c r="AT598">
        <v>8044855</v>
      </c>
      <c r="AU598">
        <v>12068439</v>
      </c>
      <c r="AV598">
        <v>20113294</v>
      </c>
      <c r="AW598">
        <v>26.134399999999999</v>
      </c>
      <c r="AX598">
        <v>9.6090099999999996</v>
      </c>
      <c r="AY598">
        <v>6656.17</v>
      </c>
      <c r="AZ598">
        <v>5514.59</v>
      </c>
      <c r="BA598">
        <v>1817</v>
      </c>
      <c r="BB598">
        <v>1060</v>
      </c>
      <c r="BC598" t="str">
        <f t="shared" si="18"/>
        <v>u=40%, k=2x10^7</v>
      </c>
      <c r="BD598">
        <f t="shared" si="19"/>
        <v>0</v>
      </c>
    </row>
    <row r="599" spans="1:56">
      <c r="A599" t="s">
        <v>683</v>
      </c>
      <c r="B599" t="s">
        <v>68</v>
      </c>
      <c r="D599" t="s">
        <v>65</v>
      </c>
      <c r="E599" t="s">
        <v>60</v>
      </c>
      <c r="F599" t="s">
        <v>61</v>
      </c>
      <c r="G599">
        <v>30000</v>
      </c>
      <c r="H599">
        <v>20</v>
      </c>
      <c r="I599">
        <v>20</v>
      </c>
      <c r="J599">
        <v>0</v>
      </c>
      <c r="K599">
        <v>1</v>
      </c>
      <c r="L599">
        <v>20000000</v>
      </c>
      <c r="M599">
        <v>96</v>
      </c>
      <c r="N599">
        <v>96</v>
      </c>
      <c r="O599">
        <v>96</v>
      </c>
      <c r="P599">
        <v>0</v>
      </c>
      <c r="Q599" t="s">
        <v>62</v>
      </c>
      <c r="R599">
        <v>100049468163904</v>
      </c>
      <c r="S599">
        <v>10004501</v>
      </c>
      <c r="T599">
        <v>100049468163904</v>
      </c>
      <c r="U599">
        <v>10004501</v>
      </c>
      <c r="V599" t="s">
        <v>75</v>
      </c>
      <c r="W599">
        <v>58</v>
      </c>
      <c r="X599">
        <v>10004500</v>
      </c>
      <c r="Y599">
        <v>10004501</v>
      </c>
      <c r="Z599">
        <v>20009001</v>
      </c>
      <c r="AA599">
        <v>10004501</v>
      </c>
      <c r="AB599">
        <v>2</v>
      </c>
      <c r="AC599">
        <v>1</v>
      </c>
      <c r="AD599">
        <v>1.5</v>
      </c>
      <c r="AE599">
        <v>30.951799999999999</v>
      </c>
      <c r="AM599">
        <v>762314109</v>
      </c>
      <c r="AN599">
        <v>0</v>
      </c>
      <c r="AO599">
        <v>508208146</v>
      </c>
      <c r="AP599">
        <v>762314109</v>
      </c>
      <c r="AQ599">
        <v>1270522255</v>
      </c>
      <c r="AR599">
        <v>25410470</v>
      </c>
      <c r="AS599">
        <v>0</v>
      </c>
      <c r="AT599">
        <v>16940271</v>
      </c>
      <c r="AU599">
        <v>25410470</v>
      </c>
      <c r="AV599">
        <v>42350741</v>
      </c>
      <c r="AW599">
        <v>27.615200000000002</v>
      </c>
      <c r="AX599">
        <v>10.661</v>
      </c>
      <c r="AY599">
        <v>6316.1</v>
      </c>
      <c r="AZ599">
        <v>5064.53</v>
      </c>
      <c r="BA599">
        <v>2277</v>
      </c>
      <c r="BB599">
        <v>797</v>
      </c>
      <c r="BC599" t="str">
        <f t="shared" si="18"/>
        <v>u=40%, k=2x10^7</v>
      </c>
      <c r="BD599">
        <f t="shared" si="19"/>
        <v>0</v>
      </c>
    </row>
    <row r="600" spans="1:56">
      <c r="A600" t="s">
        <v>684</v>
      </c>
      <c r="B600" t="s">
        <v>68</v>
      </c>
      <c r="D600" t="s">
        <v>65</v>
      </c>
      <c r="E600" t="s">
        <v>60</v>
      </c>
      <c r="F600" t="s">
        <v>61</v>
      </c>
      <c r="G600">
        <v>30000</v>
      </c>
      <c r="H600">
        <v>20</v>
      </c>
      <c r="I600">
        <v>20</v>
      </c>
      <c r="J600">
        <v>0</v>
      </c>
      <c r="K600">
        <v>1</v>
      </c>
      <c r="L600">
        <v>20000000</v>
      </c>
      <c r="M600">
        <v>144</v>
      </c>
      <c r="N600">
        <v>144</v>
      </c>
      <c r="O600">
        <v>144</v>
      </c>
      <c r="P600">
        <v>0</v>
      </c>
      <c r="Q600" t="s">
        <v>62</v>
      </c>
      <c r="R600">
        <v>100001114405049</v>
      </c>
      <c r="S600">
        <v>10001993</v>
      </c>
      <c r="T600">
        <v>100001114405049</v>
      </c>
      <c r="U600">
        <v>10001993</v>
      </c>
      <c r="V600" t="s">
        <v>75</v>
      </c>
      <c r="W600">
        <v>58</v>
      </c>
      <c r="X600">
        <v>10001992</v>
      </c>
      <c r="Y600">
        <v>10001993</v>
      </c>
      <c r="Z600">
        <v>20003985</v>
      </c>
      <c r="AA600">
        <v>10001993</v>
      </c>
      <c r="AB600">
        <v>2</v>
      </c>
      <c r="AC600">
        <v>1</v>
      </c>
      <c r="AD600">
        <v>1.5</v>
      </c>
      <c r="AE600">
        <v>30.6035</v>
      </c>
      <c r="AM600">
        <v>1070781886</v>
      </c>
      <c r="AN600">
        <v>0</v>
      </c>
      <c r="AO600">
        <v>713869358</v>
      </c>
      <c r="AP600">
        <v>1070781886</v>
      </c>
      <c r="AQ600">
        <v>1784651244</v>
      </c>
      <c r="AR600">
        <v>35692729</v>
      </c>
      <c r="AS600">
        <v>0</v>
      </c>
      <c r="AT600">
        <v>23795645</v>
      </c>
      <c r="AU600">
        <v>35692729</v>
      </c>
      <c r="AV600">
        <v>59488374</v>
      </c>
      <c r="AW600">
        <v>28.691099999999999</v>
      </c>
      <c r="AX600">
        <v>11.574</v>
      </c>
      <c r="AY600">
        <v>6744.55</v>
      </c>
      <c r="AZ600">
        <v>5172.7</v>
      </c>
      <c r="BA600">
        <v>2344</v>
      </c>
      <c r="BB600">
        <v>440</v>
      </c>
      <c r="BC600" t="str">
        <f t="shared" si="18"/>
        <v>u=40%, k=2x10^7</v>
      </c>
      <c r="BD600">
        <f t="shared" si="19"/>
        <v>0</v>
      </c>
    </row>
    <row r="601" spans="1:56">
      <c r="A601" t="s">
        <v>685</v>
      </c>
      <c r="B601" t="s">
        <v>68</v>
      </c>
      <c r="D601" t="s">
        <v>65</v>
      </c>
      <c r="E601" t="s">
        <v>60</v>
      </c>
      <c r="F601" t="s">
        <v>61</v>
      </c>
      <c r="G601">
        <v>30000</v>
      </c>
      <c r="H601">
        <v>20</v>
      </c>
      <c r="I601">
        <v>20</v>
      </c>
      <c r="J601">
        <v>0</v>
      </c>
      <c r="K601">
        <v>1</v>
      </c>
      <c r="L601">
        <v>20000000</v>
      </c>
      <c r="M601">
        <v>190</v>
      </c>
      <c r="N601">
        <v>190</v>
      </c>
      <c r="O601">
        <v>190</v>
      </c>
      <c r="P601">
        <v>0</v>
      </c>
      <c r="Q601" t="s">
        <v>62</v>
      </c>
      <c r="R601">
        <v>100004903101077</v>
      </c>
      <c r="S601">
        <v>10001826</v>
      </c>
      <c r="T601">
        <v>100004903101077</v>
      </c>
      <c r="U601">
        <v>10001826</v>
      </c>
      <c r="V601" t="s">
        <v>75</v>
      </c>
      <c r="W601">
        <v>57</v>
      </c>
      <c r="X601">
        <v>10001825</v>
      </c>
      <c r="Y601">
        <v>10001826</v>
      </c>
      <c r="Z601">
        <v>20003651</v>
      </c>
      <c r="AA601">
        <v>10001826</v>
      </c>
      <c r="AB601">
        <v>2</v>
      </c>
      <c r="AC601">
        <v>1</v>
      </c>
      <c r="AD601">
        <v>1.5</v>
      </c>
      <c r="AE601">
        <v>31.216699999999999</v>
      </c>
      <c r="AM601">
        <v>1290002804</v>
      </c>
      <c r="AN601">
        <v>0</v>
      </c>
      <c r="AO601">
        <v>859989364</v>
      </c>
      <c r="AP601">
        <v>1290002804</v>
      </c>
      <c r="AQ601">
        <v>2149992168</v>
      </c>
      <c r="AR601">
        <v>43000093</v>
      </c>
      <c r="AS601">
        <v>0</v>
      </c>
      <c r="AT601">
        <v>28666312</v>
      </c>
      <c r="AU601">
        <v>43000093</v>
      </c>
      <c r="AV601">
        <v>71666405</v>
      </c>
      <c r="AW601">
        <v>29.269300000000001</v>
      </c>
      <c r="AX601">
        <v>12.126899999999999</v>
      </c>
      <c r="AY601">
        <v>7358.65</v>
      </c>
      <c r="AZ601">
        <v>5276.85</v>
      </c>
      <c r="BA601">
        <v>2316</v>
      </c>
      <c r="BB601">
        <v>439</v>
      </c>
      <c r="BC601" t="str">
        <f t="shared" si="18"/>
        <v>u=40%, k=2x10^7</v>
      </c>
      <c r="BD601">
        <f t="shared" si="19"/>
        <v>0</v>
      </c>
    </row>
    <row r="602" spans="1:56">
      <c r="A602" t="s">
        <v>686</v>
      </c>
      <c r="B602" t="s">
        <v>64</v>
      </c>
      <c r="C602">
        <v>72</v>
      </c>
      <c r="D602" t="s">
        <v>65</v>
      </c>
      <c r="E602" t="s">
        <v>60</v>
      </c>
      <c r="F602" t="s">
        <v>61</v>
      </c>
      <c r="G602">
        <v>30000</v>
      </c>
      <c r="H602">
        <v>20</v>
      </c>
      <c r="I602">
        <v>20</v>
      </c>
      <c r="J602">
        <v>0</v>
      </c>
      <c r="K602">
        <v>1</v>
      </c>
      <c r="L602">
        <v>200000000</v>
      </c>
      <c r="M602">
        <v>24</v>
      </c>
      <c r="N602">
        <v>24</v>
      </c>
      <c r="O602">
        <v>24</v>
      </c>
      <c r="P602">
        <v>0</v>
      </c>
      <c r="Q602" t="s">
        <v>62</v>
      </c>
      <c r="R602">
        <v>1.00004071027903E+16</v>
      </c>
      <c r="S602">
        <v>100003587</v>
      </c>
      <c r="T602">
        <v>1.00004071027903E+16</v>
      </c>
      <c r="U602">
        <v>100003587</v>
      </c>
      <c r="V602" t="s">
        <v>75</v>
      </c>
      <c r="W602">
        <v>7</v>
      </c>
      <c r="X602">
        <v>11011110</v>
      </c>
      <c r="Y602">
        <v>110004599</v>
      </c>
      <c r="Z602">
        <v>121015709</v>
      </c>
      <c r="AA602">
        <v>100003587</v>
      </c>
      <c r="AB602">
        <v>10.9903</v>
      </c>
      <c r="AC602">
        <v>0.90908599999999995</v>
      </c>
      <c r="AD602">
        <v>1.82637</v>
      </c>
      <c r="AE602">
        <v>4</v>
      </c>
      <c r="AM602">
        <v>300039219</v>
      </c>
      <c r="AN602">
        <v>0</v>
      </c>
      <c r="AO602">
        <v>200010309</v>
      </c>
      <c r="AP602">
        <v>300039219</v>
      </c>
      <c r="AQ602">
        <v>500049528</v>
      </c>
      <c r="AR602">
        <v>10001307</v>
      </c>
      <c r="AS602">
        <v>0</v>
      </c>
      <c r="AT602">
        <v>6667010</v>
      </c>
      <c r="AU602">
        <v>10001307</v>
      </c>
      <c r="AV602">
        <v>16668317</v>
      </c>
      <c r="AW602">
        <v>27.944700000000001</v>
      </c>
      <c r="AX602">
        <v>13.6561</v>
      </c>
      <c r="AY602">
        <v>3898.21</v>
      </c>
      <c r="AZ602">
        <v>2857.17</v>
      </c>
      <c r="BA602">
        <v>12600</v>
      </c>
      <c r="BB602">
        <v>1545</v>
      </c>
      <c r="BC602" t="str">
        <f t="shared" si="18"/>
        <v>u=40%, k=2x10^8</v>
      </c>
      <c r="BD602">
        <f t="shared" si="19"/>
        <v>0</v>
      </c>
    </row>
    <row r="603" spans="1:56">
      <c r="A603" t="s">
        <v>687</v>
      </c>
      <c r="B603" t="s">
        <v>64</v>
      </c>
      <c r="C603">
        <v>72</v>
      </c>
      <c r="D603" t="s">
        <v>65</v>
      </c>
      <c r="E603" t="s">
        <v>60</v>
      </c>
      <c r="F603" t="s">
        <v>61</v>
      </c>
      <c r="G603">
        <v>30000</v>
      </c>
      <c r="H603">
        <v>20</v>
      </c>
      <c r="I603">
        <v>20</v>
      </c>
      <c r="J603">
        <v>0</v>
      </c>
      <c r="K603">
        <v>1</v>
      </c>
      <c r="L603">
        <v>200000000</v>
      </c>
      <c r="M603">
        <v>48</v>
      </c>
      <c r="N603">
        <v>48</v>
      </c>
      <c r="O603">
        <v>48</v>
      </c>
      <c r="P603">
        <v>0</v>
      </c>
      <c r="Q603" t="s">
        <v>62</v>
      </c>
      <c r="R603">
        <v>9997957051081600</v>
      </c>
      <c r="S603">
        <v>99990098</v>
      </c>
      <c r="T603">
        <v>9997957051081600</v>
      </c>
      <c r="U603">
        <v>99990098</v>
      </c>
      <c r="V603" t="s">
        <v>75</v>
      </c>
      <c r="W603">
        <v>7</v>
      </c>
      <c r="X603">
        <v>14780902</v>
      </c>
      <c r="Y603">
        <v>117855687</v>
      </c>
      <c r="Z603">
        <v>132636589</v>
      </c>
      <c r="AA603">
        <v>99990098</v>
      </c>
      <c r="AB603">
        <v>8.9735099999999992</v>
      </c>
      <c r="AC603">
        <v>0.84841100000000003</v>
      </c>
      <c r="AD603">
        <v>1.75387</v>
      </c>
      <c r="AE603">
        <v>4.0787000000000004</v>
      </c>
      <c r="AM603">
        <v>488785638</v>
      </c>
      <c r="AN603">
        <v>0</v>
      </c>
      <c r="AO603">
        <v>325872883</v>
      </c>
      <c r="AP603">
        <v>488785638</v>
      </c>
      <c r="AQ603">
        <v>814658521</v>
      </c>
      <c r="AR603">
        <v>16292854</v>
      </c>
      <c r="AS603">
        <v>0</v>
      </c>
      <c r="AT603">
        <v>10862429</v>
      </c>
      <c r="AU603">
        <v>16292854</v>
      </c>
      <c r="AV603">
        <v>27155284</v>
      </c>
      <c r="AW603">
        <v>29.315100000000001</v>
      </c>
      <c r="AX603">
        <v>14.1404</v>
      </c>
      <c r="AY603">
        <v>4713.26</v>
      </c>
      <c r="AZ603">
        <v>3482.22</v>
      </c>
      <c r="BA603">
        <v>13134</v>
      </c>
      <c r="BB603">
        <v>1270</v>
      </c>
      <c r="BC603" t="str">
        <f t="shared" si="18"/>
        <v>u=40%, k=2x10^8</v>
      </c>
      <c r="BD603">
        <f t="shared" si="19"/>
        <v>0</v>
      </c>
    </row>
    <row r="604" spans="1:56">
      <c r="A604" t="s">
        <v>688</v>
      </c>
      <c r="B604" t="s">
        <v>64</v>
      </c>
      <c r="C604">
        <v>72</v>
      </c>
      <c r="D604" t="s">
        <v>65</v>
      </c>
      <c r="E604" t="s">
        <v>60</v>
      </c>
      <c r="F604" t="s">
        <v>61</v>
      </c>
      <c r="G604">
        <v>30000</v>
      </c>
      <c r="H604">
        <v>20</v>
      </c>
      <c r="I604">
        <v>20</v>
      </c>
      <c r="J604">
        <v>0</v>
      </c>
      <c r="K604">
        <v>1</v>
      </c>
      <c r="L604">
        <v>200000000</v>
      </c>
      <c r="M604">
        <v>96</v>
      </c>
      <c r="N604">
        <v>96</v>
      </c>
      <c r="O604">
        <v>96</v>
      </c>
      <c r="P604">
        <v>0</v>
      </c>
      <c r="Q604" t="s">
        <v>62</v>
      </c>
      <c r="R604">
        <v>1.00003934732523E+16</v>
      </c>
      <c r="S604">
        <v>100002852</v>
      </c>
      <c r="T604">
        <v>1.00003934732523E+16</v>
      </c>
      <c r="U604">
        <v>100002852</v>
      </c>
      <c r="V604" t="s">
        <v>75</v>
      </c>
      <c r="W604">
        <v>7</v>
      </c>
      <c r="X604">
        <v>14135603</v>
      </c>
      <c r="Y604">
        <v>116468766</v>
      </c>
      <c r="Z604">
        <v>130604369</v>
      </c>
      <c r="AA604">
        <v>100002852</v>
      </c>
      <c r="AB604">
        <v>9.2393900000000002</v>
      </c>
      <c r="AC604">
        <v>0.85862400000000005</v>
      </c>
      <c r="AD604">
        <v>1.76569</v>
      </c>
      <c r="AE604">
        <v>4.0621600000000004</v>
      </c>
      <c r="AM604">
        <v>892241315</v>
      </c>
      <c r="AN604">
        <v>0</v>
      </c>
      <c r="AO604">
        <v>594779663</v>
      </c>
      <c r="AP604">
        <v>892241315</v>
      </c>
      <c r="AQ604">
        <v>1487020978</v>
      </c>
      <c r="AR604">
        <v>29741377</v>
      </c>
      <c r="AS604">
        <v>0</v>
      </c>
      <c r="AT604">
        <v>19825988</v>
      </c>
      <c r="AU604">
        <v>29741377</v>
      </c>
      <c r="AV604">
        <v>49567365</v>
      </c>
      <c r="AW604">
        <v>30.529699999999998</v>
      </c>
      <c r="AX604">
        <v>15.9222</v>
      </c>
      <c r="AY604">
        <v>5058.9399999999996</v>
      </c>
      <c r="AZ604">
        <v>3720.94</v>
      </c>
      <c r="BA604">
        <v>13798</v>
      </c>
      <c r="BB604">
        <v>1029</v>
      </c>
      <c r="BC604" t="str">
        <f t="shared" si="18"/>
        <v>u=40%, k=2x10^8</v>
      </c>
      <c r="BD604">
        <f t="shared" si="19"/>
        <v>0</v>
      </c>
    </row>
    <row r="605" spans="1:56">
      <c r="A605" t="s">
        <v>689</v>
      </c>
      <c r="B605" t="s">
        <v>64</v>
      </c>
      <c r="C605">
        <v>72</v>
      </c>
      <c r="D605" t="s">
        <v>65</v>
      </c>
      <c r="E605" t="s">
        <v>60</v>
      </c>
      <c r="F605" t="s">
        <v>61</v>
      </c>
      <c r="G605">
        <v>30000</v>
      </c>
      <c r="H605">
        <v>20</v>
      </c>
      <c r="I605">
        <v>20</v>
      </c>
      <c r="J605">
        <v>0</v>
      </c>
      <c r="K605">
        <v>1</v>
      </c>
      <c r="L605">
        <v>200000000</v>
      </c>
      <c r="M605">
        <v>144</v>
      </c>
      <c r="N605">
        <v>144</v>
      </c>
      <c r="O605">
        <v>144</v>
      </c>
      <c r="P605">
        <v>0</v>
      </c>
      <c r="Q605" t="s">
        <v>62</v>
      </c>
      <c r="R605">
        <v>9998922527834150</v>
      </c>
      <c r="S605">
        <v>99995150</v>
      </c>
      <c r="T605">
        <v>9998922527834150</v>
      </c>
      <c r="U605">
        <v>99995150</v>
      </c>
      <c r="V605" t="s">
        <v>75</v>
      </c>
      <c r="W605">
        <v>7</v>
      </c>
      <c r="X605">
        <v>14349182</v>
      </c>
      <c r="Y605">
        <v>116887446</v>
      </c>
      <c r="Z605">
        <v>131236628</v>
      </c>
      <c r="AA605">
        <v>99995150</v>
      </c>
      <c r="AB605">
        <v>9.1459299999999999</v>
      </c>
      <c r="AC605">
        <v>0.85548199999999996</v>
      </c>
      <c r="AD605">
        <v>1.7619499999999999</v>
      </c>
      <c r="AE605">
        <v>4.06935</v>
      </c>
      <c r="AM605">
        <v>1229217657</v>
      </c>
      <c r="AN605">
        <v>0</v>
      </c>
      <c r="AO605">
        <v>819489828</v>
      </c>
      <c r="AP605">
        <v>1229217657</v>
      </c>
      <c r="AQ605">
        <v>2048707485</v>
      </c>
      <c r="AR605">
        <v>40973921</v>
      </c>
      <c r="AS605">
        <v>0</v>
      </c>
      <c r="AT605">
        <v>27316327</v>
      </c>
      <c r="AU605">
        <v>40973921</v>
      </c>
      <c r="AV605">
        <v>68290249</v>
      </c>
      <c r="AW605">
        <v>31.087900000000001</v>
      </c>
      <c r="AX605">
        <v>16.971399999999999</v>
      </c>
      <c r="AY605">
        <v>5359.09</v>
      </c>
      <c r="AZ605">
        <v>3954.16</v>
      </c>
      <c r="BA605">
        <v>14205</v>
      </c>
      <c r="BB605">
        <v>1076</v>
      </c>
      <c r="BC605" t="str">
        <f t="shared" si="18"/>
        <v>u=40%, k=2x10^8</v>
      </c>
      <c r="BD605">
        <f t="shared" si="19"/>
        <v>0</v>
      </c>
    </row>
    <row r="606" spans="1:56">
      <c r="A606" t="s">
        <v>690</v>
      </c>
      <c r="B606" t="s">
        <v>64</v>
      </c>
      <c r="C606">
        <v>72</v>
      </c>
      <c r="D606" t="s">
        <v>65</v>
      </c>
      <c r="E606" t="s">
        <v>60</v>
      </c>
      <c r="F606" t="s">
        <v>61</v>
      </c>
      <c r="G606">
        <v>30000</v>
      </c>
      <c r="H606">
        <v>20</v>
      </c>
      <c r="I606">
        <v>20</v>
      </c>
      <c r="J606">
        <v>0</v>
      </c>
      <c r="K606">
        <v>1</v>
      </c>
      <c r="L606">
        <v>200000000</v>
      </c>
      <c r="M606">
        <v>190</v>
      </c>
      <c r="N606">
        <v>190</v>
      </c>
      <c r="O606">
        <v>190</v>
      </c>
      <c r="P606">
        <v>0</v>
      </c>
      <c r="Q606" t="s">
        <v>62</v>
      </c>
      <c r="R606">
        <v>1.000072359141E+16</v>
      </c>
      <c r="S606">
        <v>100002652</v>
      </c>
      <c r="T606">
        <v>1.000072359141E+16</v>
      </c>
      <c r="U606">
        <v>100002652</v>
      </c>
      <c r="V606" t="s">
        <v>75</v>
      </c>
      <c r="W606">
        <v>7</v>
      </c>
      <c r="X606">
        <v>12219390</v>
      </c>
      <c r="Y606">
        <v>112439873</v>
      </c>
      <c r="Z606">
        <v>124659263</v>
      </c>
      <c r="AA606">
        <v>100002652</v>
      </c>
      <c r="AB606">
        <v>10.2018</v>
      </c>
      <c r="AC606">
        <v>0.88938799999999996</v>
      </c>
      <c r="AD606">
        <v>1.8022100000000001</v>
      </c>
      <c r="AE606">
        <v>4.02454</v>
      </c>
      <c r="AM606">
        <v>1507676815</v>
      </c>
      <c r="AN606">
        <v>0</v>
      </c>
      <c r="AO606">
        <v>1005084722</v>
      </c>
      <c r="AP606">
        <v>1507676815</v>
      </c>
      <c r="AQ606">
        <v>2512761537</v>
      </c>
      <c r="AR606">
        <v>50255893</v>
      </c>
      <c r="AS606">
        <v>0</v>
      </c>
      <c r="AT606">
        <v>33502824</v>
      </c>
      <c r="AU606">
        <v>50255893</v>
      </c>
      <c r="AV606">
        <v>83758717</v>
      </c>
      <c r="AW606">
        <v>31.508800000000001</v>
      </c>
      <c r="AX606">
        <v>17.6357</v>
      </c>
      <c r="AY606">
        <v>5665.72</v>
      </c>
      <c r="AZ606">
        <v>4201.68</v>
      </c>
      <c r="BA606">
        <v>14482</v>
      </c>
      <c r="BB606">
        <v>1150</v>
      </c>
      <c r="BC606" t="str">
        <f t="shared" si="18"/>
        <v>u=40%, k=2x10^8</v>
      </c>
      <c r="BD606">
        <f t="shared" si="19"/>
        <v>0</v>
      </c>
    </row>
    <row r="607" spans="1:56">
      <c r="A607" t="s">
        <v>691</v>
      </c>
      <c r="B607" t="s">
        <v>66</v>
      </c>
      <c r="C607">
        <v>208</v>
      </c>
      <c r="D607" t="s">
        <v>65</v>
      </c>
      <c r="E607" t="s">
        <v>60</v>
      </c>
      <c r="F607" t="s">
        <v>61</v>
      </c>
      <c r="G607">
        <v>30000</v>
      </c>
      <c r="H607">
        <v>20</v>
      </c>
      <c r="I607">
        <v>20</v>
      </c>
      <c r="J607">
        <v>0</v>
      </c>
      <c r="K607">
        <v>1</v>
      </c>
      <c r="L607">
        <v>200000000</v>
      </c>
      <c r="M607">
        <v>24</v>
      </c>
      <c r="N607">
        <v>24</v>
      </c>
      <c r="O607">
        <v>24</v>
      </c>
      <c r="P607">
        <v>0</v>
      </c>
      <c r="Q607" t="s">
        <v>62</v>
      </c>
      <c r="R607">
        <v>1.00000190618353E+16</v>
      </c>
      <c r="S607">
        <v>100001342</v>
      </c>
      <c r="T607">
        <v>1.00000190618353E+16</v>
      </c>
      <c r="U607">
        <v>100001342</v>
      </c>
      <c r="V607" t="s">
        <v>75</v>
      </c>
      <c r="W607">
        <v>10</v>
      </c>
      <c r="X607">
        <v>2224026</v>
      </c>
      <c r="Y607">
        <v>15295100</v>
      </c>
      <c r="Z607">
        <v>17519126</v>
      </c>
      <c r="AA607">
        <v>100001342</v>
      </c>
      <c r="AB607">
        <v>7.8772099999999998</v>
      </c>
      <c r="AC607">
        <v>6.5381299999999998</v>
      </c>
      <c r="AD607">
        <v>6.7081200000000001</v>
      </c>
      <c r="AE607">
        <v>9</v>
      </c>
      <c r="AM607">
        <v>316298446</v>
      </c>
      <c r="AN607">
        <v>0</v>
      </c>
      <c r="AO607">
        <v>210868609</v>
      </c>
      <c r="AP607">
        <v>316298446</v>
      </c>
      <c r="AQ607">
        <v>527167055</v>
      </c>
      <c r="AR607">
        <v>10543281</v>
      </c>
      <c r="AS607">
        <v>0</v>
      </c>
      <c r="AT607">
        <v>7028953</v>
      </c>
      <c r="AU607">
        <v>10543281</v>
      </c>
      <c r="AV607">
        <v>17572235</v>
      </c>
      <c r="AW607">
        <v>26.109000000000002</v>
      </c>
      <c r="AX607">
        <v>11.145099999999999</v>
      </c>
      <c r="AY607">
        <v>3805.57</v>
      </c>
      <c r="AZ607">
        <v>2693.05</v>
      </c>
      <c r="BA607">
        <v>4937</v>
      </c>
      <c r="BB607">
        <v>9594</v>
      </c>
      <c r="BC607" t="str">
        <f t="shared" si="18"/>
        <v>u=40%, k=2x10^8</v>
      </c>
      <c r="BD607">
        <f t="shared" si="19"/>
        <v>0</v>
      </c>
    </row>
    <row r="608" spans="1:56">
      <c r="A608" t="s">
        <v>692</v>
      </c>
      <c r="B608" t="s">
        <v>66</v>
      </c>
      <c r="C608">
        <v>208</v>
      </c>
      <c r="D608" t="s">
        <v>65</v>
      </c>
      <c r="E608" t="s">
        <v>60</v>
      </c>
      <c r="F608" t="s">
        <v>61</v>
      </c>
      <c r="G608">
        <v>30000</v>
      </c>
      <c r="H608">
        <v>20</v>
      </c>
      <c r="I608">
        <v>20</v>
      </c>
      <c r="J608">
        <v>0</v>
      </c>
      <c r="K608">
        <v>1</v>
      </c>
      <c r="L608">
        <v>200000000</v>
      </c>
      <c r="M608">
        <v>48</v>
      </c>
      <c r="N608">
        <v>48</v>
      </c>
      <c r="O608">
        <v>48</v>
      </c>
      <c r="P608">
        <v>0</v>
      </c>
      <c r="Q608" t="s">
        <v>62</v>
      </c>
      <c r="R608">
        <v>1.00009440800306E+16</v>
      </c>
      <c r="S608">
        <v>100015918</v>
      </c>
      <c r="T608">
        <v>1.00009440800306E+16</v>
      </c>
      <c r="U608">
        <v>100015918</v>
      </c>
      <c r="V608" t="s">
        <v>75</v>
      </c>
      <c r="W608">
        <v>10</v>
      </c>
      <c r="X608">
        <v>2370237</v>
      </c>
      <c r="Y608">
        <v>16289758</v>
      </c>
      <c r="Z608">
        <v>18659995</v>
      </c>
      <c r="AA608">
        <v>100015918</v>
      </c>
      <c r="AB608">
        <v>7.87263</v>
      </c>
      <c r="AC608">
        <v>6.1398000000000001</v>
      </c>
      <c r="AD608">
        <v>6.3599100000000002</v>
      </c>
      <c r="AE608">
        <v>9</v>
      </c>
      <c r="AM608">
        <v>593610332</v>
      </c>
      <c r="AN608">
        <v>0</v>
      </c>
      <c r="AO608">
        <v>395707809</v>
      </c>
      <c r="AP608">
        <v>593610332</v>
      </c>
      <c r="AQ608">
        <v>989318141</v>
      </c>
      <c r="AR608">
        <v>19787011</v>
      </c>
      <c r="AS608">
        <v>0</v>
      </c>
      <c r="AT608">
        <v>13190260</v>
      </c>
      <c r="AU608">
        <v>19787011</v>
      </c>
      <c r="AV608">
        <v>32977271</v>
      </c>
      <c r="AW608">
        <v>26.404800000000002</v>
      </c>
      <c r="AX608">
        <v>11.1286</v>
      </c>
      <c r="AY608">
        <v>4054.52</v>
      </c>
      <c r="AZ608">
        <v>3043.37</v>
      </c>
      <c r="BA608">
        <v>5444</v>
      </c>
      <c r="BB608">
        <v>6540</v>
      </c>
      <c r="BC608" t="str">
        <f t="shared" si="18"/>
        <v>u=40%, k=2x10^8</v>
      </c>
      <c r="BD608">
        <f t="shared" si="19"/>
        <v>0</v>
      </c>
    </row>
    <row r="609" spans="1:56">
      <c r="A609" t="s">
        <v>693</v>
      </c>
      <c r="B609" t="s">
        <v>66</v>
      </c>
      <c r="C609">
        <v>208</v>
      </c>
      <c r="D609" t="s">
        <v>65</v>
      </c>
      <c r="E609" t="s">
        <v>60</v>
      </c>
      <c r="F609" t="s">
        <v>61</v>
      </c>
      <c r="G609">
        <v>30000</v>
      </c>
      <c r="H609">
        <v>20</v>
      </c>
      <c r="I609">
        <v>20</v>
      </c>
      <c r="J609">
        <v>0</v>
      </c>
      <c r="K609">
        <v>1</v>
      </c>
      <c r="L609">
        <v>200000000</v>
      </c>
      <c r="M609">
        <v>96</v>
      </c>
      <c r="N609">
        <v>96</v>
      </c>
      <c r="O609">
        <v>96</v>
      </c>
      <c r="P609">
        <v>0</v>
      </c>
      <c r="Q609" t="s">
        <v>62</v>
      </c>
      <c r="R609">
        <v>9999891672242640</v>
      </c>
      <c r="S609">
        <v>99997646</v>
      </c>
      <c r="T609">
        <v>9999891672242640</v>
      </c>
      <c r="U609">
        <v>99997646</v>
      </c>
      <c r="V609" t="s">
        <v>75</v>
      </c>
      <c r="W609">
        <v>11</v>
      </c>
      <c r="X609">
        <v>2541768</v>
      </c>
      <c r="Y609">
        <v>17433670</v>
      </c>
      <c r="Z609">
        <v>19975438</v>
      </c>
      <c r="AA609">
        <v>99997646</v>
      </c>
      <c r="AB609">
        <v>7.8588800000000001</v>
      </c>
      <c r="AC609">
        <v>5.7358900000000004</v>
      </c>
      <c r="AD609">
        <v>6.00603</v>
      </c>
      <c r="AE609">
        <v>10</v>
      </c>
      <c r="AM609">
        <v>1109816037</v>
      </c>
      <c r="AN609">
        <v>0</v>
      </c>
      <c r="AO609">
        <v>739941916</v>
      </c>
      <c r="AP609">
        <v>1109816037</v>
      </c>
      <c r="AQ609">
        <v>1849757953</v>
      </c>
      <c r="AR609">
        <v>36993867</v>
      </c>
      <c r="AS609">
        <v>0</v>
      </c>
      <c r="AT609">
        <v>24664730</v>
      </c>
      <c r="AU609">
        <v>36993867</v>
      </c>
      <c r="AV609">
        <v>61658598</v>
      </c>
      <c r="AW609">
        <v>27.767800000000001</v>
      </c>
      <c r="AX609">
        <v>12.4946</v>
      </c>
      <c r="AY609">
        <v>4327.82</v>
      </c>
      <c r="AZ609">
        <v>3173.94</v>
      </c>
      <c r="BA609">
        <v>8921</v>
      </c>
      <c r="BB609">
        <v>6291</v>
      </c>
      <c r="BC609" t="str">
        <f t="shared" si="18"/>
        <v>u=40%, k=2x10^8</v>
      </c>
      <c r="BD609">
        <f t="shared" si="19"/>
        <v>0</v>
      </c>
    </row>
    <row r="610" spans="1:56">
      <c r="A610" t="s">
        <v>694</v>
      </c>
      <c r="B610" t="s">
        <v>66</v>
      </c>
      <c r="C610">
        <v>208</v>
      </c>
      <c r="D610" t="s">
        <v>65</v>
      </c>
      <c r="E610" t="s">
        <v>60</v>
      </c>
      <c r="F610" t="s">
        <v>61</v>
      </c>
      <c r="G610">
        <v>30000</v>
      </c>
      <c r="H610">
        <v>20</v>
      </c>
      <c r="I610">
        <v>20</v>
      </c>
      <c r="J610">
        <v>0</v>
      </c>
      <c r="K610">
        <v>1</v>
      </c>
      <c r="L610">
        <v>200000000</v>
      </c>
      <c r="M610">
        <v>144</v>
      </c>
      <c r="N610">
        <v>144</v>
      </c>
      <c r="O610">
        <v>144</v>
      </c>
      <c r="P610">
        <v>0</v>
      </c>
      <c r="Q610" t="s">
        <v>62</v>
      </c>
      <c r="R610">
        <v>9998649663541700</v>
      </c>
      <c r="S610">
        <v>99986177</v>
      </c>
      <c r="T610">
        <v>9998649663541700</v>
      </c>
      <c r="U610">
        <v>99986177</v>
      </c>
      <c r="V610" t="s">
        <v>75</v>
      </c>
      <c r="W610">
        <v>10</v>
      </c>
      <c r="X610">
        <v>2625817</v>
      </c>
      <c r="Y610">
        <v>17971205</v>
      </c>
      <c r="Z610">
        <v>20597022</v>
      </c>
      <c r="AA610">
        <v>99986177</v>
      </c>
      <c r="AB610">
        <v>7.8440399999999997</v>
      </c>
      <c r="AC610">
        <v>5.5636900000000002</v>
      </c>
      <c r="AD610">
        <v>5.8544</v>
      </c>
      <c r="AE610">
        <v>9</v>
      </c>
      <c r="AM610">
        <v>1502504489</v>
      </c>
      <c r="AN610">
        <v>0</v>
      </c>
      <c r="AO610">
        <v>1001620499</v>
      </c>
      <c r="AP610">
        <v>1502504489</v>
      </c>
      <c r="AQ610">
        <v>2504124988</v>
      </c>
      <c r="AR610">
        <v>50083482</v>
      </c>
      <c r="AS610">
        <v>0</v>
      </c>
      <c r="AT610">
        <v>33387349</v>
      </c>
      <c r="AU610">
        <v>50083482</v>
      </c>
      <c r="AV610">
        <v>83470832</v>
      </c>
      <c r="AW610">
        <v>28.994199999999999</v>
      </c>
      <c r="AX610">
        <v>13.3635</v>
      </c>
      <c r="AY610">
        <v>4786.78</v>
      </c>
      <c r="AZ610">
        <v>3351.49</v>
      </c>
      <c r="BA610">
        <v>9281</v>
      </c>
      <c r="BB610">
        <v>6059</v>
      </c>
      <c r="BC610" t="str">
        <f t="shared" si="18"/>
        <v>u=40%, k=2x10^8</v>
      </c>
      <c r="BD610">
        <f t="shared" si="19"/>
        <v>0</v>
      </c>
    </row>
    <row r="611" spans="1:56">
      <c r="A611" t="s">
        <v>695</v>
      </c>
      <c r="B611" t="s">
        <v>66</v>
      </c>
      <c r="C611">
        <v>208</v>
      </c>
      <c r="D611" t="s">
        <v>65</v>
      </c>
      <c r="E611" t="s">
        <v>60</v>
      </c>
      <c r="F611" t="s">
        <v>61</v>
      </c>
      <c r="G611">
        <v>30000</v>
      </c>
      <c r="H611">
        <v>20</v>
      </c>
      <c r="I611">
        <v>20</v>
      </c>
      <c r="J611">
        <v>0</v>
      </c>
      <c r="K611">
        <v>1</v>
      </c>
      <c r="L611">
        <v>200000000</v>
      </c>
      <c r="M611">
        <v>190</v>
      </c>
      <c r="N611">
        <v>190</v>
      </c>
      <c r="O611">
        <v>190</v>
      </c>
      <c r="P611">
        <v>0</v>
      </c>
      <c r="Q611" t="s">
        <v>62</v>
      </c>
      <c r="R611">
        <v>1.00024807365394E+16</v>
      </c>
      <c r="S611">
        <v>100017107</v>
      </c>
      <c r="T611">
        <v>1.00024807365394E+16</v>
      </c>
      <c r="U611">
        <v>100017107</v>
      </c>
      <c r="V611" t="s">
        <v>75</v>
      </c>
      <c r="W611">
        <v>11</v>
      </c>
      <c r="X611">
        <v>2668618</v>
      </c>
      <c r="Y611">
        <v>18230195</v>
      </c>
      <c r="Z611">
        <v>20898813</v>
      </c>
      <c r="AA611">
        <v>100017107</v>
      </c>
      <c r="AB611">
        <v>7.8313199999999998</v>
      </c>
      <c r="AC611">
        <v>5.4863400000000002</v>
      </c>
      <c r="AD611">
        <v>5.7857799999999999</v>
      </c>
      <c r="AE611">
        <v>10</v>
      </c>
      <c r="AM611">
        <v>1752019665</v>
      </c>
      <c r="AN611">
        <v>0</v>
      </c>
      <c r="AO611">
        <v>1168076667</v>
      </c>
      <c r="AP611">
        <v>1752019665</v>
      </c>
      <c r="AQ611">
        <v>2920096332</v>
      </c>
      <c r="AR611">
        <v>58400655</v>
      </c>
      <c r="AS611">
        <v>0</v>
      </c>
      <c r="AT611">
        <v>38935888</v>
      </c>
      <c r="AU611">
        <v>58400655</v>
      </c>
      <c r="AV611">
        <v>97336544</v>
      </c>
      <c r="AW611">
        <v>29.634499999999999</v>
      </c>
      <c r="AX611">
        <v>13.964700000000001</v>
      </c>
      <c r="AY611">
        <v>5395.7</v>
      </c>
      <c r="AZ611">
        <v>3532.71</v>
      </c>
      <c r="BA611">
        <v>9868</v>
      </c>
      <c r="BB611">
        <v>6050</v>
      </c>
      <c r="BC611" t="str">
        <f t="shared" si="18"/>
        <v>u=40%, k=2x10^8</v>
      </c>
      <c r="BD611">
        <f t="shared" si="19"/>
        <v>0</v>
      </c>
    </row>
    <row r="612" spans="1:56">
      <c r="A612" t="s">
        <v>696</v>
      </c>
      <c r="B612" t="s">
        <v>67</v>
      </c>
      <c r="D612" t="s">
        <v>65</v>
      </c>
      <c r="E612" t="s">
        <v>60</v>
      </c>
      <c r="F612" t="s">
        <v>61</v>
      </c>
      <c r="G612">
        <v>30000</v>
      </c>
      <c r="H612">
        <v>20</v>
      </c>
      <c r="I612">
        <v>20</v>
      </c>
      <c r="J612">
        <v>0</v>
      </c>
      <c r="K612">
        <v>1</v>
      </c>
      <c r="L612">
        <v>200000000</v>
      </c>
      <c r="M612">
        <v>24</v>
      </c>
      <c r="N612">
        <v>24</v>
      </c>
      <c r="O612">
        <v>24</v>
      </c>
      <c r="P612">
        <v>0</v>
      </c>
      <c r="Q612" t="s">
        <v>62</v>
      </c>
      <c r="R612">
        <v>9999889008527510</v>
      </c>
      <c r="S612">
        <v>100006264</v>
      </c>
      <c r="T612">
        <v>9999889008527510</v>
      </c>
      <c r="U612">
        <v>100006264</v>
      </c>
      <c r="V612" t="s">
        <v>75</v>
      </c>
      <c r="W612">
        <v>33</v>
      </c>
      <c r="X612">
        <v>61589672</v>
      </c>
      <c r="Y612">
        <v>46486900</v>
      </c>
      <c r="Z612">
        <v>108076572</v>
      </c>
      <c r="AA612">
        <v>100006264</v>
      </c>
      <c r="AB612">
        <v>1.75478</v>
      </c>
      <c r="AC612">
        <v>2.1512799999999999</v>
      </c>
      <c r="AD612">
        <v>1.92533</v>
      </c>
      <c r="AE612">
        <v>26.282599999999999</v>
      </c>
      <c r="AM612">
        <v>144991074</v>
      </c>
      <c r="AN612">
        <v>0</v>
      </c>
      <c r="AO612">
        <v>96636880</v>
      </c>
      <c r="AP612">
        <v>144991074</v>
      </c>
      <c r="AQ612">
        <v>241627954</v>
      </c>
      <c r="AR612">
        <v>4833035</v>
      </c>
      <c r="AS612">
        <v>0</v>
      </c>
      <c r="AT612">
        <v>3221229</v>
      </c>
      <c r="AU612">
        <v>4833035</v>
      </c>
      <c r="AV612">
        <v>8054265</v>
      </c>
      <c r="AW612">
        <v>41.763800000000003</v>
      </c>
      <c r="AX612">
        <v>18.810199999999998</v>
      </c>
      <c r="AY612">
        <v>8306.42</v>
      </c>
      <c r="AZ612">
        <v>6746.06</v>
      </c>
      <c r="BA612">
        <v>8048</v>
      </c>
      <c r="BB612">
        <v>17184</v>
      </c>
      <c r="BC612" t="str">
        <f t="shared" si="18"/>
        <v>u=40%, k=2x10^8</v>
      </c>
      <c r="BD612">
        <f t="shared" si="19"/>
        <v>0</v>
      </c>
    </row>
    <row r="613" spans="1:56">
      <c r="A613" t="s">
        <v>697</v>
      </c>
      <c r="B613" t="s">
        <v>67</v>
      </c>
      <c r="D613" t="s">
        <v>65</v>
      </c>
      <c r="E613" t="s">
        <v>60</v>
      </c>
      <c r="F613" t="s">
        <v>61</v>
      </c>
      <c r="G613">
        <v>30000</v>
      </c>
      <c r="H613">
        <v>20</v>
      </c>
      <c r="I613">
        <v>20</v>
      </c>
      <c r="J613">
        <v>0</v>
      </c>
      <c r="K613">
        <v>1</v>
      </c>
      <c r="L613">
        <v>200000000</v>
      </c>
      <c r="M613">
        <v>48</v>
      </c>
      <c r="N613">
        <v>48</v>
      </c>
      <c r="O613">
        <v>48</v>
      </c>
      <c r="P613">
        <v>0</v>
      </c>
      <c r="Q613" t="s">
        <v>62</v>
      </c>
      <c r="R613">
        <v>9999659332304080</v>
      </c>
      <c r="S613">
        <v>99999162</v>
      </c>
      <c r="T613">
        <v>9999659332304080</v>
      </c>
      <c r="U613">
        <v>99999162</v>
      </c>
      <c r="V613" t="s">
        <v>75</v>
      </c>
      <c r="W613">
        <v>33</v>
      </c>
      <c r="X613">
        <v>64041918</v>
      </c>
      <c r="Y613">
        <v>48423849</v>
      </c>
      <c r="Z613">
        <v>112465767</v>
      </c>
      <c r="AA613">
        <v>99999162</v>
      </c>
      <c r="AB613">
        <v>1.75613</v>
      </c>
      <c r="AC613">
        <v>2.06508</v>
      </c>
      <c r="AD613">
        <v>1.8891500000000001</v>
      </c>
      <c r="AE613">
        <v>26.4117</v>
      </c>
      <c r="AM613">
        <v>276711887</v>
      </c>
      <c r="AN613">
        <v>0</v>
      </c>
      <c r="AO613">
        <v>184503856</v>
      </c>
      <c r="AP613">
        <v>276711887</v>
      </c>
      <c r="AQ613">
        <v>461215743</v>
      </c>
      <c r="AR613">
        <v>9223729</v>
      </c>
      <c r="AS613">
        <v>0</v>
      </c>
      <c r="AT613">
        <v>6150128</v>
      </c>
      <c r="AU613">
        <v>9223729</v>
      </c>
      <c r="AV613">
        <v>15373858</v>
      </c>
      <c r="AW613">
        <v>42.504100000000001</v>
      </c>
      <c r="AX613">
        <v>18.805599999999998</v>
      </c>
      <c r="AY613">
        <v>8701.33</v>
      </c>
      <c r="AZ613">
        <v>7180.44</v>
      </c>
      <c r="BA613">
        <v>8339</v>
      </c>
      <c r="BB613">
        <v>9245</v>
      </c>
      <c r="BC613" t="str">
        <f t="shared" si="18"/>
        <v>u=40%, k=2x10^8</v>
      </c>
      <c r="BD613">
        <f t="shared" si="19"/>
        <v>0</v>
      </c>
    </row>
    <row r="614" spans="1:56">
      <c r="A614" t="s">
        <v>698</v>
      </c>
      <c r="B614" t="s">
        <v>67</v>
      </c>
      <c r="D614" t="s">
        <v>65</v>
      </c>
      <c r="E614" t="s">
        <v>60</v>
      </c>
      <c r="F614" t="s">
        <v>61</v>
      </c>
      <c r="G614">
        <v>30000</v>
      </c>
      <c r="H614">
        <v>20</v>
      </c>
      <c r="I614">
        <v>20</v>
      </c>
      <c r="J614">
        <v>0</v>
      </c>
      <c r="K614">
        <v>1</v>
      </c>
      <c r="L614">
        <v>200000000</v>
      </c>
      <c r="M614">
        <v>96</v>
      </c>
      <c r="N614">
        <v>96</v>
      </c>
      <c r="O614">
        <v>96</v>
      </c>
      <c r="P614">
        <v>0</v>
      </c>
      <c r="Q614" t="s">
        <v>62</v>
      </c>
      <c r="R614">
        <v>1.00006589666335E+16</v>
      </c>
      <c r="S614">
        <v>100001265</v>
      </c>
      <c r="T614">
        <v>1.00006589666335E+16</v>
      </c>
      <c r="U614">
        <v>100001265</v>
      </c>
      <c r="V614" t="s">
        <v>75</v>
      </c>
      <c r="W614">
        <v>33</v>
      </c>
      <c r="X614">
        <v>66981030</v>
      </c>
      <c r="Y614">
        <v>50740197</v>
      </c>
      <c r="Z614">
        <v>117721227</v>
      </c>
      <c r="AA614">
        <v>100001265</v>
      </c>
      <c r="AB614">
        <v>1.75753</v>
      </c>
      <c r="AC614">
        <v>1.97085</v>
      </c>
      <c r="AD614">
        <v>1.84948</v>
      </c>
      <c r="AE614">
        <v>26.540400000000002</v>
      </c>
      <c r="AM614">
        <v>580951750</v>
      </c>
      <c r="AN614">
        <v>0</v>
      </c>
      <c r="AO614">
        <v>387305538</v>
      </c>
      <c r="AP614">
        <v>580951750</v>
      </c>
      <c r="AQ614">
        <v>968257288</v>
      </c>
      <c r="AR614">
        <v>19365058</v>
      </c>
      <c r="AS614">
        <v>0</v>
      </c>
      <c r="AT614">
        <v>12910184</v>
      </c>
      <c r="AU614">
        <v>19365058</v>
      </c>
      <c r="AV614">
        <v>32275242</v>
      </c>
      <c r="AW614">
        <v>42.849299999999999</v>
      </c>
      <c r="AX614">
        <v>20.323899999999998</v>
      </c>
      <c r="AY614">
        <v>8280.7000000000007</v>
      </c>
      <c r="AZ614">
        <v>6697.67</v>
      </c>
      <c r="BA614">
        <v>8721</v>
      </c>
      <c r="BB614">
        <v>4718</v>
      </c>
      <c r="BC614" t="str">
        <f t="shared" si="18"/>
        <v>u=40%, k=2x10^8</v>
      </c>
      <c r="BD614">
        <f t="shared" si="19"/>
        <v>0</v>
      </c>
    </row>
    <row r="615" spans="1:56">
      <c r="A615" t="s">
        <v>699</v>
      </c>
      <c r="B615" t="s">
        <v>67</v>
      </c>
      <c r="D615" t="s">
        <v>65</v>
      </c>
      <c r="E615" t="s">
        <v>60</v>
      </c>
      <c r="F615" t="s">
        <v>61</v>
      </c>
      <c r="G615">
        <v>30000</v>
      </c>
      <c r="H615">
        <v>20</v>
      </c>
      <c r="I615">
        <v>20</v>
      </c>
      <c r="J615">
        <v>0</v>
      </c>
      <c r="K615">
        <v>1</v>
      </c>
      <c r="L615">
        <v>200000000</v>
      </c>
      <c r="M615">
        <v>144</v>
      </c>
      <c r="N615">
        <v>144</v>
      </c>
      <c r="O615">
        <v>144</v>
      </c>
      <c r="P615">
        <v>0</v>
      </c>
      <c r="Q615" t="s">
        <v>62</v>
      </c>
      <c r="R615">
        <v>1.00006480353722E+16</v>
      </c>
      <c r="S615">
        <v>100005727</v>
      </c>
      <c r="T615">
        <v>1.00006480353722E+16</v>
      </c>
      <c r="U615">
        <v>100005727</v>
      </c>
      <c r="V615" t="s">
        <v>75</v>
      </c>
      <c r="W615">
        <v>33</v>
      </c>
      <c r="X615">
        <v>67971204</v>
      </c>
      <c r="Y615">
        <v>51526342</v>
      </c>
      <c r="Z615">
        <v>119497546</v>
      </c>
      <c r="AA615">
        <v>100005727</v>
      </c>
      <c r="AB615">
        <v>1.75806</v>
      </c>
      <c r="AC615">
        <v>1.9408700000000001</v>
      </c>
      <c r="AD615">
        <v>1.8368899999999999</v>
      </c>
      <c r="AE615">
        <v>26.5867</v>
      </c>
      <c r="AM615">
        <v>865396313</v>
      </c>
      <c r="AN615">
        <v>0</v>
      </c>
      <c r="AO615">
        <v>576976344</v>
      </c>
      <c r="AP615">
        <v>865396313</v>
      </c>
      <c r="AQ615">
        <v>1442372657</v>
      </c>
      <c r="AR615">
        <v>28846543</v>
      </c>
      <c r="AS615">
        <v>0</v>
      </c>
      <c r="AT615">
        <v>19232544</v>
      </c>
      <c r="AU615">
        <v>28846543</v>
      </c>
      <c r="AV615">
        <v>48079088</v>
      </c>
      <c r="AW615">
        <v>43.544600000000003</v>
      </c>
      <c r="AX615">
        <v>20.8933</v>
      </c>
      <c r="AY615">
        <v>8335.75</v>
      </c>
      <c r="AZ615">
        <v>6737.33</v>
      </c>
      <c r="BA615">
        <v>9463</v>
      </c>
      <c r="BB615">
        <v>3108</v>
      </c>
      <c r="BC615" t="str">
        <f t="shared" si="18"/>
        <v>u=40%, k=2x10^8</v>
      </c>
      <c r="BD615">
        <f t="shared" si="19"/>
        <v>0</v>
      </c>
    </row>
    <row r="616" spans="1:56">
      <c r="A616" t="s">
        <v>700</v>
      </c>
      <c r="B616" t="s">
        <v>67</v>
      </c>
      <c r="D616" t="s">
        <v>65</v>
      </c>
      <c r="E616" t="s">
        <v>60</v>
      </c>
      <c r="F616" t="s">
        <v>61</v>
      </c>
      <c r="G616">
        <v>30000</v>
      </c>
      <c r="H616">
        <v>20</v>
      </c>
      <c r="I616">
        <v>20</v>
      </c>
      <c r="J616">
        <v>0</v>
      </c>
      <c r="K616">
        <v>1</v>
      </c>
      <c r="L616">
        <v>200000000</v>
      </c>
      <c r="M616">
        <v>190</v>
      </c>
      <c r="N616">
        <v>190</v>
      </c>
      <c r="O616">
        <v>190</v>
      </c>
      <c r="P616">
        <v>0</v>
      </c>
      <c r="Q616" t="s">
        <v>62</v>
      </c>
      <c r="R616">
        <v>9999476770342670</v>
      </c>
      <c r="S616">
        <v>100000463</v>
      </c>
      <c r="T616">
        <v>9999476770342670</v>
      </c>
      <c r="U616">
        <v>100000463</v>
      </c>
      <c r="V616" t="s">
        <v>75</v>
      </c>
      <c r="W616">
        <v>33</v>
      </c>
      <c r="X616">
        <v>68322387</v>
      </c>
      <c r="Y616">
        <v>51808613</v>
      </c>
      <c r="Z616">
        <v>120131000</v>
      </c>
      <c r="AA616">
        <v>100000463</v>
      </c>
      <c r="AB616">
        <v>1.7583</v>
      </c>
      <c r="AC616">
        <v>1.9301900000000001</v>
      </c>
      <c r="AD616">
        <v>1.83243</v>
      </c>
      <c r="AE616">
        <v>26.632300000000001</v>
      </c>
      <c r="AM616">
        <v>1120850476</v>
      </c>
      <c r="AN616">
        <v>0</v>
      </c>
      <c r="AO616">
        <v>747234369</v>
      </c>
      <c r="AP616">
        <v>1120850476</v>
      </c>
      <c r="AQ616">
        <v>1868084845</v>
      </c>
      <c r="AR616">
        <v>37361682</v>
      </c>
      <c r="AS616">
        <v>0</v>
      </c>
      <c r="AT616">
        <v>24907812</v>
      </c>
      <c r="AU616">
        <v>37361682</v>
      </c>
      <c r="AV616">
        <v>62269494</v>
      </c>
      <c r="AW616">
        <v>44.241500000000002</v>
      </c>
      <c r="AX616">
        <v>21.4421</v>
      </c>
      <c r="AY616">
        <v>8489.92</v>
      </c>
      <c r="AZ616">
        <v>6858.88</v>
      </c>
      <c r="BA616">
        <v>10597</v>
      </c>
      <c r="BB616">
        <v>2786</v>
      </c>
      <c r="BC616" t="str">
        <f t="shared" si="18"/>
        <v>u=40%, k=2x10^8</v>
      </c>
      <c r="BD616">
        <f t="shared" si="19"/>
        <v>0</v>
      </c>
    </row>
    <row r="617" spans="1:56">
      <c r="A617" t="s">
        <v>701</v>
      </c>
      <c r="B617" t="s">
        <v>68</v>
      </c>
      <c r="D617" t="s">
        <v>65</v>
      </c>
      <c r="E617" t="s">
        <v>60</v>
      </c>
      <c r="F617" t="s">
        <v>61</v>
      </c>
      <c r="G617">
        <v>30000</v>
      </c>
      <c r="H617">
        <v>20</v>
      </c>
      <c r="I617">
        <v>20</v>
      </c>
      <c r="J617">
        <v>0</v>
      </c>
      <c r="K617">
        <v>1</v>
      </c>
      <c r="L617">
        <v>200000000</v>
      </c>
      <c r="M617">
        <v>24</v>
      </c>
      <c r="N617">
        <v>24</v>
      </c>
      <c r="O617">
        <v>24</v>
      </c>
      <c r="P617">
        <v>0</v>
      </c>
      <c r="Q617" t="s">
        <v>62</v>
      </c>
      <c r="R617">
        <v>1.0000201527913E+16</v>
      </c>
      <c r="S617">
        <v>100002840</v>
      </c>
      <c r="T617">
        <v>1.0000201527913E+16</v>
      </c>
      <c r="U617">
        <v>100002840</v>
      </c>
      <c r="V617" t="s">
        <v>75</v>
      </c>
      <c r="W617">
        <v>69</v>
      </c>
      <c r="X617">
        <v>100002839</v>
      </c>
      <c r="Y617">
        <v>100002840</v>
      </c>
      <c r="Z617">
        <v>200005679</v>
      </c>
      <c r="AA617">
        <v>100002840</v>
      </c>
      <c r="AB617">
        <v>2</v>
      </c>
      <c r="AC617">
        <v>1</v>
      </c>
      <c r="AD617">
        <v>1.5</v>
      </c>
      <c r="AE617">
        <v>35.254199999999997</v>
      </c>
      <c r="AM617">
        <v>118283151</v>
      </c>
      <c r="AN617">
        <v>0</v>
      </c>
      <c r="AO617">
        <v>78856093</v>
      </c>
      <c r="AP617">
        <v>118283151</v>
      </c>
      <c r="AQ617">
        <v>197139244</v>
      </c>
      <c r="AR617">
        <v>3942771</v>
      </c>
      <c r="AS617">
        <v>0</v>
      </c>
      <c r="AT617">
        <v>2628536</v>
      </c>
      <c r="AU617">
        <v>3942771</v>
      </c>
      <c r="AV617">
        <v>6571308</v>
      </c>
      <c r="AW617">
        <v>38.801499999999997</v>
      </c>
      <c r="AX617">
        <v>17.855799999999999</v>
      </c>
      <c r="AY617">
        <v>10188.6</v>
      </c>
      <c r="AZ617">
        <v>8584.26</v>
      </c>
      <c r="BA617">
        <v>7548</v>
      </c>
      <c r="BB617">
        <v>18955</v>
      </c>
      <c r="BC617" t="str">
        <f t="shared" si="18"/>
        <v>u=40%, k=2x10^8</v>
      </c>
      <c r="BD617">
        <f t="shared" si="19"/>
        <v>0</v>
      </c>
    </row>
    <row r="618" spans="1:56">
      <c r="A618" t="s">
        <v>702</v>
      </c>
      <c r="B618" t="s">
        <v>68</v>
      </c>
      <c r="D618" t="s">
        <v>65</v>
      </c>
      <c r="E618" t="s">
        <v>60</v>
      </c>
      <c r="F618" t="s">
        <v>61</v>
      </c>
      <c r="G618">
        <v>30000</v>
      </c>
      <c r="H618">
        <v>20</v>
      </c>
      <c r="I618">
        <v>20</v>
      </c>
      <c r="J618">
        <v>0</v>
      </c>
      <c r="K618">
        <v>1</v>
      </c>
      <c r="L618">
        <v>200000000</v>
      </c>
      <c r="M618">
        <v>48</v>
      </c>
      <c r="N618">
        <v>48</v>
      </c>
      <c r="O618">
        <v>48</v>
      </c>
      <c r="P618">
        <v>0</v>
      </c>
      <c r="Q618" t="s">
        <v>62</v>
      </c>
      <c r="R618">
        <v>1.00003669090441E+16</v>
      </c>
      <c r="S618">
        <v>100002795</v>
      </c>
      <c r="T618">
        <v>1.00003669090441E+16</v>
      </c>
      <c r="U618">
        <v>100002795</v>
      </c>
      <c r="V618" t="s">
        <v>75</v>
      </c>
      <c r="W618">
        <v>68</v>
      </c>
      <c r="X618">
        <v>100002794</v>
      </c>
      <c r="Y618">
        <v>100002795</v>
      </c>
      <c r="Z618">
        <v>200005589</v>
      </c>
      <c r="AA618">
        <v>100002795</v>
      </c>
      <c r="AB618">
        <v>2</v>
      </c>
      <c r="AC618">
        <v>1</v>
      </c>
      <c r="AD618">
        <v>1.5</v>
      </c>
      <c r="AE618">
        <v>35.0366</v>
      </c>
      <c r="AM618">
        <v>230058832</v>
      </c>
      <c r="AN618">
        <v>0</v>
      </c>
      <c r="AO618">
        <v>153387624</v>
      </c>
      <c r="AP618">
        <v>230058832</v>
      </c>
      <c r="AQ618">
        <v>383446456</v>
      </c>
      <c r="AR618">
        <v>7668627</v>
      </c>
      <c r="AS618">
        <v>0</v>
      </c>
      <c r="AT618">
        <v>5112920</v>
      </c>
      <c r="AU618">
        <v>7668627</v>
      </c>
      <c r="AV618">
        <v>12781548</v>
      </c>
      <c r="AW618">
        <v>38.877000000000002</v>
      </c>
      <c r="AX618">
        <v>17.698</v>
      </c>
      <c r="AY618">
        <v>10474.700000000001</v>
      </c>
      <c r="AZ618">
        <v>9218.59</v>
      </c>
      <c r="BA618">
        <v>7601</v>
      </c>
      <c r="BB618">
        <v>9954</v>
      </c>
      <c r="BC618" t="str">
        <f t="shared" si="18"/>
        <v>u=40%, k=2x10^8</v>
      </c>
      <c r="BD618">
        <f t="shared" si="19"/>
        <v>0</v>
      </c>
    </row>
    <row r="619" spans="1:56">
      <c r="A619" t="s">
        <v>703</v>
      </c>
      <c r="B619" t="s">
        <v>68</v>
      </c>
      <c r="D619" t="s">
        <v>65</v>
      </c>
      <c r="E619" t="s">
        <v>60</v>
      </c>
      <c r="F619" t="s">
        <v>61</v>
      </c>
      <c r="G619">
        <v>30000</v>
      </c>
      <c r="H619">
        <v>20</v>
      </c>
      <c r="I619">
        <v>20</v>
      </c>
      <c r="J619">
        <v>0</v>
      </c>
      <c r="K619">
        <v>1</v>
      </c>
      <c r="L619">
        <v>200000000</v>
      </c>
      <c r="M619">
        <v>96</v>
      </c>
      <c r="N619">
        <v>96</v>
      </c>
      <c r="O619">
        <v>96</v>
      </c>
      <c r="P619">
        <v>0</v>
      </c>
      <c r="Q619" t="s">
        <v>62</v>
      </c>
      <c r="R619">
        <v>1.00008371779448E+16</v>
      </c>
      <c r="S619">
        <v>100006549</v>
      </c>
      <c r="T619">
        <v>1.00008371779448E+16</v>
      </c>
      <c r="U619">
        <v>100006549</v>
      </c>
      <c r="V619" t="s">
        <v>75</v>
      </c>
      <c r="W619">
        <v>69</v>
      </c>
      <c r="X619">
        <v>100006548</v>
      </c>
      <c r="Y619">
        <v>100006549</v>
      </c>
      <c r="Z619">
        <v>200013097</v>
      </c>
      <c r="AA619">
        <v>100006549</v>
      </c>
      <c r="AB619">
        <v>2</v>
      </c>
      <c r="AC619">
        <v>1</v>
      </c>
      <c r="AD619">
        <v>1.5</v>
      </c>
      <c r="AE619">
        <v>35.790500000000002</v>
      </c>
      <c r="AM619">
        <v>491434377</v>
      </c>
      <c r="AN619">
        <v>0</v>
      </c>
      <c r="AO619">
        <v>327601637</v>
      </c>
      <c r="AP619">
        <v>491434377</v>
      </c>
      <c r="AQ619">
        <v>819036014</v>
      </c>
      <c r="AR619">
        <v>16381145</v>
      </c>
      <c r="AS619">
        <v>0</v>
      </c>
      <c r="AT619">
        <v>10920054</v>
      </c>
      <c r="AU619">
        <v>16381145</v>
      </c>
      <c r="AV619">
        <v>27301200</v>
      </c>
      <c r="AW619">
        <v>40.280900000000003</v>
      </c>
      <c r="AX619">
        <v>19.979399999999998</v>
      </c>
      <c r="AY619">
        <v>9794.33</v>
      </c>
      <c r="AZ619">
        <v>8462.7999999999993</v>
      </c>
      <c r="BA619">
        <v>8517</v>
      </c>
      <c r="BB619">
        <v>4749</v>
      </c>
      <c r="BC619" t="str">
        <f t="shared" si="18"/>
        <v>u=40%, k=2x10^8</v>
      </c>
      <c r="BD619">
        <f t="shared" si="19"/>
        <v>0</v>
      </c>
    </row>
    <row r="620" spans="1:56">
      <c r="A620" t="s">
        <v>704</v>
      </c>
      <c r="B620" t="s">
        <v>68</v>
      </c>
      <c r="D620" t="s">
        <v>65</v>
      </c>
      <c r="E620" t="s">
        <v>60</v>
      </c>
      <c r="F620" t="s">
        <v>61</v>
      </c>
      <c r="G620">
        <v>30000</v>
      </c>
      <c r="H620">
        <v>20</v>
      </c>
      <c r="I620">
        <v>20</v>
      </c>
      <c r="J620">
        <v>0</v>
      </c>
      <c r="K620">
        <v>1</v>
      </c>
      <c r="L620">
        <v>200000000</v>
      </c>
      <c r="M620">
        <v>144</v>
      </c>
      <c r="N620">
        <v>144</v>
      </c>
      <c r="O620">
        <v>144</v>
      </c>
      <c r="P620">
        <v>0</v>
      </c>
      <c r="Q620" t="s">
        <v>62</v>
      </c>
      <c r="R620">
        <v>1.00001334658013E+16</v>
      </c>
      <c r="S620">
        <v>100000939</v>
      </c>
      <c r="T620">
        <v>1.00001334658013E+16</v>
      </c>
      <c r="U620">
        <v>100000939</v>
      </c>
      <c r="V620" t="s">
        <v>75</v>
      </c>
      <c r="W620">
        <v>66</v>
      </c>
      <c r="X620">
        <v>100000938</v>
      </c>
      <c r="Y620">
        <v>100000939</v>
      </c>
      <c r="Z620">
        <v>200001877</v>
      </c>
      <c r="AA620">
        <v>100000939</v>
      </c>
      <c r="AB620">
        <v>2</v>
      </c>
      <c r="AC620">
        <v>1</v>
      </c>
      <c r="AD620">
        <v>1.5</v>
      </c>
      <c r="AE620">
        <v>35.874600000000001</v>
      </c>
      <c r="AM620">
        <v>711016617</v>
      </c>
      <c r="AN620">
        <v>0</v>
      </c>
      <c r="AO620">
        <v>474015184</v>
      </c>
      <c r="AP620">
        <v>711016617</v>
      </c>
      <c r="AQ620">
        <v>1185031801</v>
      </c>
      <c r="AR620">
        <v>23700553</v>
      </c>
      <c r="AS620">
        <v>0</v>
      </c>
      <c r="AT620">
        <v>15800506</v>
      </c>
      <c r="AU620">
        <v>23700553</v>
      </c>
      <c r="AV620">
        <v>39501060</v>
      </c>
      <c r="AW620">
        <v>41.433</v>
      </c>
      <c r="AX620">
        <v>21.011700000000001</v>
      </c>
      <c r="AY620">
        <v>10148.1</v>
      </c>
      <c r="AZ620">
        <v>8599.26</v>
      </c>
      <c r="BA620">
        <v>10048</v>
      </c>
      <c r="BB620">
        <v>3121</v>
      </c>
      <c r="BC620" t="str">
        <f t="shared" si="18"/>
        <v>u=40%, k=2x10^8</v>
      </c>
      <c r="BD620">
        <f t="shared" si="19"/>
        <v>0</v>
      </c>
    </row>
    <row r="621" spans="1:56">
      <c r="A621" t="s">
        <v>705</v>
      </c>
      <c r="B621" t="s">
        <v>68</v>
      </c>
      <c r="D621" t="s">
        <v>65</v>
      </c>
      <c r="E621" t="s">
        <v>60</v>
      </c>
      <c r="F621" t="s">
        <v>61</v>
      </c>
      <c r="G621">
        <v>30000</v>
      </c>
      <c r="H621">
        <v>20</v>
      </c>
      <c r="I621">
        <v>20</v>
      </c>
      <c r="J621">
        <v>0</v>
      </c>
      <c r="K621">
        <v>1</v>
      </c>
      <c r="L621">
        <v>200000000</v>
      </c>
      <c r="M621">
        <v>190</v>
      </c>
      <c r="N621">
        <v>190</v>
      </c>
      <c r="O621">
        <v>190</v>
      </c>
      <c r="P621">
        <v>0</v>
      </c>
      <c r="Q621" t="s">
        <v>62</v>
      </c>
      <c r="R621">
        <v>9999614977196660</v>
      </c>
      <c r="S621">
        <v>100003891</v>
      </c>
      <c r="T621">
        <v>9999614977196660</v>
      </c>
      <c r="U621">
        <v>100003891</v>
      </c>
      <c r="V621" t="s">
        <v>75</v>
      </c>
      <c r="W621">
        <v>67</v>
      </c>
      <c r="X621">
        <v>100003890</v>
      </c>
      <c r="Y621">
        <v>100003891</v>
      </c>
      <c r="Z621">
        <v>200007781</v>
      </c>
      <c r="AA621">
        <v>100003891</v>
      </c>
      <c r="AB621">
        <v>2</v>
      </c>
      <c r="AC621">
        <v>1</v>
      </c>
      <c r="AD621">
        <v>1.5</v>
      </c>
      <c r="AE621">
        <v>35.6982</v>
      </c>
      <c r="AM621">
        <v>903562434</v>
      </c>
      <c r="AN621">
        <v>0</v>
      </c>
      <c r="AO621">
        <v>602375302</v>
      </c>
      <c r="AP621">
        <v>903562434</v>
      </c>
      <c r="AQ621">
        <v>1505937736</v>
      </c>
      <c r="AR621">
        <v>30118747</v>
      </c>
      <c r="AS621">
        <v>0</v>
      </c>
      <c r="AT621">
        <v>20079176</v>
      </c>
      <c r="AU621">
        <v>30118747</v>
      </c>
      <c r="AV621">
        <v>50197924</v>
      </c>
      <c r="AW621">
        <v>42.136000000000003</v>
      </c>
      <c r="AX621">
        <v>21.65</v>
      </c>
      <c r="AY621">
        <v>10530.4</v>
      </c>
      <c r="AZ621">
        <v>8680.73</v>
      </c>
      <c r="BA621">
        <v>10960</v>
      </c>
      <c r="BB621">
        <v>2839</v>
      </c>
      <c r="BC621" t="str">
        <f t="shared" si="18"/>
        <v>u=40%, k=2x10^8</v>
      </c>
      <c r="BD621">
        <f t="shared" si="19"/>
        <v>0</v>
      </c>
    </row>
    <row r="622" spans="1:56">
      <c r="A622" t="s">
        <v>706</v>
      </c>
      <c r="B622" t="s">
        <v>64</v>
      </c>
      <c r="C622">
        <v>72</v>
      </c>
      <c r="D622" t="s">
        <v>65</v>
      </c>
      <c r="E622" t="s">
        <v>60</v>
      </c>
      <c r="F622" t="s">
        <v>61</v>
      </c>
      <c r="G622">
        <v>30000</v>
      </c>
      <c r="H622">
        <v>20</v>
      </c>
      <c r="I622">
        <v>20</v>
      </c>
      <c r="J622">
        <v>0</v>
      </c>
      <c r="K622">
        <v>1</v>
      </c>
      <c r="L622">
        <v>2000000000</v>
      </c>
      <c r="M622">
        <v>24</v>
      </c>
      <c r="N622">
        <v>24</v>
      </c>
      <c r="O622">
        <v>24</v>
      </c>
      <c r="P622">
        <v>0</v>
      </c>
      <c r="Q622" t="s">
        <v>62</v>
      </c>
      <c r="R622">
        <v>1.00000205175234E+18</v>
      </c>
      <c r="S622">
        <v>999997696</v>
      </c>
      <c r="T622">
        <v>1.00000205175234E+18</v>
      </c>
      <c r="U622">
        <v>999997696</v>
      </c>
      <c r="V622" t="s">
        <v>75</v>
      </c>
      <c r="W622">
        <v>7</v>
      </c>
      <c r="X622">
        <v>119056155</v>
      </c>
      <c r="Y622">
        <v>1149955588</v>
      </c>
      <c r="Z622">
        <v>1269011743</v>
      </c>
      <c r="AA622">
        <v>999997696</v>
      </c>
      <c r="AB622">
        <v>10.658899999999999</v>
      </c>
      <c r="AC622">
        <v>0.86959699999999995</v>
      </c>
      <c r="AD622">
        <v>1.7880100000000001</v>
      </c>
      <c r="AE622">
        <v>4.07247</v>
      </c>
      <c r="AM622">
        <v>279298268</v>
      </c>
      <c r="AN622">
        <v>0</v>
      </c>
      <c r="AO622">
        <v>186201672</v>
      </c>
      <c r="AP622">
        <v>279298268</v>
      </c>
      <c r="AQ622">
        <v>465499940</v>
      </c>
      <c r="AR622">
        <v>9309942</v>
      </c>
      <c r="AS622">
        <v>0</v>
      </c>
      <c r="AT622">
        <v>6206722</v>
      </c>
      <c r="AU622">
        <v>9309942</v>
      </c>
      <c r="AV622">
        <v>15516664</v>
      </c>
      <c r="AW622">
        <v>25.374300000000002</v>
      </c>
      <c r="AX622">
        <v>14.8575</v>
      </c>
      <c r="AY622">
        <v>4182.34</v>
      </c>
      <c r="AZ622">
        <v>3335.26</v>
      </c>
      <c r="BA622">
        <v>62794</v>
      </c>
      <c r="BB622">
        <v>16131</v>
      </c>
      <c r="BC622" t="str">
        <f t="shared" si="18"/>
        <v>u=40%, k=2x10^9</v>
      </c>
      <c r="BD622">
        <f t="shared" si="19"/>
        <v>0</v>
      </c>
    </row>
    <row r="623" spans="1:56">
      <c r="A623" t="s">
        <v>707</v>
      </c>
      <c r="B623" t="s">
        <v>64</v>
      </c>
      <c r="C623">
        <v>72</v>
      </c>
      <c r="D623" t="s">
        <v>65</v>
      </c>
      <c r="E623" t="s">
        <v>60</v>
      </c>
      <c r="F623" t="s">
        <v>61</v>
      </c>
      <c r="G623">
        <v>30000</v>
      </c>
      <c r="H623">
        <v>20</v>
      </c>
      <c r="I623">
        <v>20</v>
      </c>
      <c r="J623">
        <v>0</v>
      </c>
      <c r="K623">
        <v>1</v>
      </c>
      <c r="L623">
        <v>2000000000</v>
      </c>
      <c r="M623">
        <v>48</v>
      </c>
      <c r="N623">
        <v>48</v>
      </c>
      <c r="O623">
        <v>48</v>
      </c>
      <c r="P623">
        <v>0</v>
      </c>
      <c r="Q623" t="s">
        <v>62</v>
      </c>
      <c r="R623">
        <v>1.00001084621285E+18</v>
      </c>
      <c r="S623">
        <v>1000008174</v>
      </c>
      <c r="T623">
        <v>1.00001084621285E+18</v>
      </c>
      <c r="U623">
        <v>1000008174</v>
      </c>
      <c r="V623" t="s">
        <v>75</v>
      </c>
      <c r="W623">
        <v>7</v>
      </c>
      <c r="X623">
        <v>127845343</v>
      </c>
      <c r="Y623">
        <v>1169823677</v>
      </c>
      <c r="Z623">
        <v>1297669020</v>
      </c>
      <c r="AA623">
        <v>1000008174</v>
      </c>
      <c r="AB623">
        <v>10.1503</v>
      </c>
      <c r="AC623">
        <v>0.85483699999999996</v>
      </c>
      <c r="AD623">
        <v>1.7706200000000001</v>
      </c>
      <c r="AE623">
        <v>4.0923299999999996</v>
      </c>
      <c r="AM623">
        <v>489940954</v>
      </c>
      <c r="AN623">
        <v>0</v>
      </c>
      <c r="AO623">
        <v>326649602</v>
      </c>
      <c r="AP623">
        <v>489940954</v>
      </c>
      <c r="AQ623">
        <v>816590556</v>
      </c>
      <c r="AR623">
        <v>16331365</v>
      </c>
      <c r="AS623">
        <v>0</v>
      </c>
      <c r="AT623">
        <v>10888320</v>
      </c>
      <c r="AU623">
        <v>16331365</v>
      </c>
      <c r="AV623">
        <v>27219685</v>
      </c>
      <c r="AW623">
        <v>26.077200000000001</v>
      </c>
      <c r="AX623">
        <v>15.3659</v>
      </c>
      <c r="AY623">
        <v>4882.9399999999996</v>
      </c>
      <c r="AZ623">
        <v>4015.69</v>
      </c>
      <c r="BA623">
        <v>64993</v>
      </c>
      <c r="BB623">
        <v>11268</v>
      </c>
      <c r="BC623" t="str">
        <f t="shared" si="18"/>
        <v>u=40%, k=2x10^9</v>
      </c>
      <c r="BD623">
        <f t="shared" si="19"/>
        <v>0</v>
      </c>
    </row>
    <row r="624" spans="1:56">
      <c r="A624" t="s">
        <v>708</v>
      </c>
      <c r="B624" t="s">
        <v>64</v>
      </c>
      <c r="C624">
        <v>72</v>
      </c>
      <c r="D624" t="s">
        <v>65</v>
      </c>
      <c r="E624" t="s">
        <v>60</v>
      </c>
      <c r="F624" t="s">
        <v>61</v>
      </c>
      <c r="G624">
        <v>30000</v>
      </c>
      <c r="H624">
        <v>20</v>
      </c>
      <c r="I624">
        <v>20</v>
      </c>
      <c r="J624">
        <v>0</v>
      </c>
      <c r="K624">
        <v>1</v>
      </c>
      <c r="L624">
        <v>2000000000</v>
      </c>
      <c r="M624">
        <v>96</v>
      </c>
      <c r="N624">
        <v>96</v>
      </c>
      <c r="O624">
        <v>96</v>
      </c>
      <c r="P624">
        <v>0</v>
      </c>
      <c r="Q624" t="s">
        <v>62</v>
      </c>
      <c r="R624">
        <v>9.9999456423944896E+17</v>
      </c>
      <c r="S624">
        <v>999985054</v>
      </c>
      <c r="T624">
        <v>9.9999456423944896E+17</v>
      </c>
      <c r="U624">
        <v>999985054</v>
      </c>
      <c r="V624" t="s">
        <v>75</v>
      </c>
      <c r="W624">
        <v>7</v>
      </c>
      <c r="X624">
        <v>84465061</v>
      </c>
      <c r="Y624">
        <v>1078789623</v>
      </c>
      <c r="Z624">
        <v>1163254684</v>
      </c>
      <c r="AA624">
        <v>999985054</v>
      </c>
      <c r="AB624">
        <v>13.772</v>
      </c>
      <c r="AC624">
        <v>0.92695099999999997</v>
      </c>
      <c r="AD624">
        <v>1.85964</v>
      </c>
      <c r="AE624">
        <v>4</v>
      </c>
      <c r="AM624">
        <v>750031091</v>
      </c>
      <c r="AN624">
        <v>0</v>
      </c>
      <c r="AO624">
        <v>500022007</v>
      </c>
      <c r="AP624">
        <v>750031091</v>
      </c>
      <c r="AQ624">
        <v>1250053098</v>
      </c>
      <c r="AR624">
        <v>25001036</v>
      </c>
      <c r="AS624">
        <v>0</v>
      </c>
      <c r="AT624">
        <v>16667400</v>
      </c>
      <c r="AU624">
        <v>25001036</v>
      </c>
      <c r="AV624">
        <v>41668436</v>
      </c>
      <c r="AW624">
        <v>32.702500000000001</v>
      </c>
      <c r="AX624">
        <v>20.438600000000001</v>
      </c>
      <c r="AY624">
        <v>5646.84</v>
      </c>
      <c r="AZ624">
        <v>4477.6899999999996</v>
      </c>
      <c r="BA624">
        <v>88266</v>
      </c>
      <c r="BB624">
        <v>9732</v>
      </c>
      <c r="BC624" t="str">
        <f t="shared" si="18"/>
        <v>u=40%, k=2x10^9</v>
      </c>
      <c r="BD624">
        <f t="shared" si="19"/>
        <v>0</v>
      </c>
    </row>
    <row r="625" spans="1:56">
      <c r="A625" t="s">
        <v>709</v>
      </c>
      <c r="B625" t="s">
        <v>64</v>
      </c>
      <c r="C625">
        <v>72</v>
      </c>
      <c r="D625" t="s">
        <v>65</v>
      </c>
      <c r="E625" t="s">
        <v>60</v>
      </c>
      <c r="F625" t="s">
        <v>61</v>
      </c>
      <c r="G625">
        <v>30000</v>
      </c>
      <c r="H625">
        <v>20</v>
      </c>
      <c r="I625">
        <v>20</v>
      </c>
      <c r="J625">
        <v>0</v>
      </c>
      <c r="K625">
        <v>1</v>
      </c>
      <c r="L625">
        <v>2000000000</v>
      </c>
      <c r="M625">
        <v>144</v>
      </c>
      <c r="N625">
        <v>144</v>
      </c>
      <c r="O625">
        <v>144</v>
      </c>
      <c r="P625">
        <v>0</v>
      </c>
      <c r="Q625" t="s">
        <v>62</v>
      </c>
      <c r="R625">
        <v>1.00002382314838E+18</v>
      </c>
      <c r="S625">
        <v>1000020173</v>
      </c>
      <c r="T625">
        <v>1.00002382314838E+18</v>
      </c>
      <c r="U625">
        <v>1000020173</v>
      </c>
      <c r="V625" t="s">
        <v>75</v>
      </c>
      <c r="W625">
        <v>7</v>
      </c>
      <c r="X625">
        <v>127111703</v>
      </c>
      <c r="Y625">
        <v>1168018737</v>
      </c>
      <c r="Z625">
        <v>1295130440</v>
      </c>
      <c r="AA625">
        <v>1000020173</v>
      </c>
      <c r="AB625">
        <v>10.1889</v>
      </c>
      <c r="AC625">
        <v>0.85616800000000004</v>
      </c>
      <c r="AD625">
        <v>1.77214</v>
      </c>
      <c r="AE625">
        <v>4.0905300000000002</v>
      </c>
      <c r="AM625">
        <v>1199145317</v>
      </c>
      <c r="AN625">
        <v>0</v>
      </c>
      <c r="AO625">
        <v>799421425</v>
      </c>
      <c r="AP625">
        <v>1199145317</v>
      </c>
      <c r="AQ625">
        <v>1998566742</v>
      </c>
      <c r="AR625">
        <v>39971510</v>
      </c>
      <c r="AS625">
        <v>0</v>
      </c>
      <c r="AT625">
        <v>26647380</v>
      </c>
      <c r="AU625">
        <v>39971510</v>
      </c>
      <c r="AV625">
        <v>66618891</v>
      </c>
      <c r="AW625">
        <v>30.401599999999998</v>
      </c>
      <c r="AX625">
        <v>19.284700000000001</v>
      </c>
      <c r="AY625">
        <v>5399.8</v>
      </c>
      <c r="AZ625">
        <v>4312.32</v>
      </c>
      <c r="BA625">
        <v>120356</v>
      </c>
      <c r="BB625">
        <v>9155</v>
      </c>
      <c r="BC625" t="str">
        <f t="shared" si="18"/>
        <v>u=40%, k=2x10^9</v>
      </c>
      <c r="BD625">
        <f t="shared" si="19"/>
        <v>0</v>
      </c>
    </row>
    <row r="626" spans="1:56">
      <c r="A626" t="s">
        <v>710</v>
      </c>
      <c r="B626" t="s">
        <v>64</v>
      </c>
      <c r="C626">
        <v>72</v>
      </c>
      <c r="D626" t="s">
        <v>65</v>
      </c>
      <c r="E626" t="s">
        <v>60</v>
      </c>
      <c r="F626" t="s">
        <v>61</v>
      </c>
      <c r="G626">
        <v>30000</v>
      </c>
      <c r="H626">
        <v>20</v>
      </c>
      <c r="I626">
        <v>20</v>
      </c>
      <c r="J626">
        <v>0</v>
      </c>
      <c r="K626">
        <v>1</v>
      </c>
      <c r="L626">
        <v>2000000000</v>
      </c>
      <c r="M626">
        <v>190</v>
      </c>
      <c r="N626">
        <v>190</v>
      </c>
      <c r="O626">
        <v>190</v>
      </c>
      <c r="P626">
        <v>0</v>
      </c>
      <c r="Q626" t="s">
        <v>62</v>
      </c>
      <c r="R626">
        <v>1.00002245305045E+18</v>
      </c>
      <c r="S626">
        <v>1000009921</v>
      </c>
      <c r="T626">
        <v>1.00002245305045E+18</v>
      </c>
      <c r="U626">
        <v>1000009921</v>
      </c>
      <c r="V626" t="s">
        <v>75</v>
      </c>
      <c r="W626">
        <v>7</v>
      </c>
      <c r="X626">
        <v>116592292</v>
      </c>
      <c r="Y626">
        <v>1147234967</v>
      </c>
      <c r="Z626">
        <v>1263827259</v>
      </c>
      <c r="AA626">
        <v>1000009921</v>
      </c>
      <c r="AB626">
        <v>10.839700000000001</v>
      </c>
      <c r="AC626">
        <v>0.87166999999999994</v>
      </c>
      <c r="AD626">
        <v>1.7912600000000001</v>
      </c>
      <c r="AE626">
        <v>4.0687699999999998</v>
      </c>
      <c r="AM626">
        <v>1453465804</v>
      </c>
      <c r="AN626">
        <v>0</v>
      </c>
      <c r="AO626">
        <v>968968761</v>
      </c>
      <c r="AP626">
        <v>1453465804</v>
      </c>
      <c r="AQ626">
        <v>2422434565</v>
      </c>
      <c r="AR626">
        <v>48448860</v>
      </c>
      <c r="AS626">
        <v>0</v>
      </c>
      <c r="AT626">
        <v>32298958</v>
      </c>
      <c r="AU626">
        <v>48448860</v>
      </c>
      <c r="AV626">
        <v>80747818</v>
      </c>
      <c r="AW626">
        <v>30.628399999999999</v>
      </c>
      <c r="AX626">
        <v>19.6968</v>
      </c>
      <c r="AY626">
        <v>5780.42</v>
      </c>
      <c r="AZ626">
        <v>4614.72</v>
      </c>
      <c r="BA626">
        <v>120701</v>
      </c>
      <c r="BB626">
        <v>9074</v>
      </c>
      <c r="BC626" t="str">
        <f t="shared" si="18"/>
        <v>u=40%, k=2x10^9</v>
      </c>
      <c r="BD626">
        <f t="shared" si="19"/>
        <v>0</v>
      </c>
    </row>
    <row r="627" spans="1:56">
      <c r="A627" t="s">
        <v>711</v>
      </c>
      <c r="B627" t="s">
        <v>66</v>
      </c>
      <c r="C627">
        <v>208</v>
      </c>
      <c r="D627" t="s">
        <v>65</v>
      </c>
      <c r="E627" t="s">
        <v>60</v>
      </c>
      <c r="F627" t="s">
        <v>61</v>
      </c>
      <c r="G627">
        <v>30000</v>
      </c>
      <c r="H627">
        <v>20</v>
      </c>
      <c r="I627">
        <v>20</v>
      </c>
      <c r="J627">
        <v>0</v>
      </c>
      <c r="K627">
        <v>1</v>
      </c>
      <c r="L627">
        <v>2000000000</v>
      </c>
      <c r="M627">
        <v>24</v>
      </c>
      <c r="N627">
        <v>24</v>
      </c>
      <c r="O627">
        <v>24</v>
      </c>
      <c r="P627">
        <v>0</v>
      </c>
      <c r="Q627" t="s">
        <v>62</v>
      </c>
      <c r="R627">
        <v>1.0000140587454799E+18</v>
      </c>
      <c r="S627">
        <v>1000009486</v>
      </c>
      <c r="T627">
        <v>1.0000140587454799E+18</v>
      </c>
      <c r="U627">
        <v>1000009486</v>
      </c>
      <c r="V627" t="s">
        <v>75</v>
      </c>
      <c r="W627">
        <v>12</v>
      </c>
      <c r="X627">
        <v>19023618</v>
      </c>
      <c r="Y627">
        <v>130895138</v>
      </c>
      <c r="Z627">
        <v>149918756</v>
      </c>
      <c r="AA627">
        <v>1000009486</v>
      </c>
      <c r="AB627">
        <v>7.8806599999999998</v>
      </c>
      <c r="AC627">
        <v>7.63978</v>
      </c>
      <c r="AD627">
        <v>7.6703400000000004</v>
      </c>
      <c r="AE627">
        <v>11</v>
      </c>
      <c r="AM627">
        <v>182658596</v>
      </c>
      <c r="AN627">
        <v>0</v>
      </c>
      <c r="AO627">
        <v>121784585</v>
      </c>
      <c r="AP627">
        <v>182658596</v>
      </c>
      <c r="AQ627">
        <v>304443181</v>
      </c>
      <c r="AR627">
        <v>6088619</v>
      </c>
      <c r="AS627">
        <v>0</v>
      </c>
      <c r="AT627">
        <v>4059486</v>
      </c>
      <c r="AU627">
        <v>6088619</v>
      </c>
      <c r="AV627">
        <v>10148106</v>
      </c>
      <c r="AW627">
        <v>33.080199999999998</v>
      </c>
      <c r="AX627">
        <v>18.5136</v>
      </c>
      <c r="AY627">
        <v>6588.7</v>
      </c>
      <c r="AZ627">
        <v>5343.35</v>
      </c>
      <c r="BA627">
        <v>34085</v>
      </c>
      <c r="BB627">
        <v>154624</v>
      </c>
      <c r="BC627" t="str">
        <f t="shared" si="18"/>
        <v>u=40%, k=2x10^9</v>
      </c>
      <c r="BD627">
        <f t="shared" si="19"/>
        <v>0</v>
      </c>
    </row>
    <row r="628" spans="1:56">
      <c r="A628" t="s">
        <v>712</v>
      </c>
      <c r="B628" t="s">
        <v>66</v>
      </c>
      <c r="C628">
        <v>208</v>
      </c>
      <c r="D628" t="s">
        <v>65</v>
      </c>
      <c r="E628" t="s">
        <v>60</v>
      </c>
      <c r="F628" t="s">
        <v>61</v>
      </c>
      <c r="G628">
        <v>30000</v>
      </c>
      <c r="H628">
        <v>20</v>
      </c>
      <c r="I628">
        <v>20</v>
      </c>
      <c r="J628">
        <v>0</v>
      </c>
      <c r="K628">
        <v>1</v>
      </c>
      <c r="L628">
        <v>2000000000</v>
      </c>
      <c r="M628">
        <v>48</v>
      </c>
      <c r="N628">
        <v>48</v>
      </c>
      <c r="O628">
        <v>48</v>
      </c>
      <c r="P628">
        <v>0</v>
      </c>
      <c r="Q628" t="s">
        <v>62</v>
      </c>
      <c r="R628">
        <v>9.9998869894664896E+17</v>
      </c>
      <c r="S628">
        <v>999992853</v>
      </c>
      <c r="T628">
        <v>9.9998869894664896E+17</v>
      </c>
      <c r="U628">
        <v>999992853</v>
      </c>
      <c r="V628" t="s">
        <v>75</v>
      </c>
      <c r="W628">
        <v>12</v>
      </c>
      <c r="X628">
        <v>19378699</v>
      </c>
      <c r="Y628">
        <v>133354277</v>
      </c>
      <c r="Z628">
        <v>152732976</v>
      </c>
      <c r="AA628">
        <v>999992853</v>
      </c>
      <c r="AB628">
        <v>7.8814900000000003</v>
      </c>
      <c r="AC628">
        <v>7.4987700000000004</v>
      </c>
      <c r="AD628">
        <v>7.5473299999999997</v>
      </c>
      <c r="AE628">
        <v>11</v>
      </c>
      <c r="AM628">
        <v>355570949</v>
      </c>
      <c r="AN628">
        <v>0</v>
      </c>
      <c r="AO628">
        <v>237046598</v>
      </c>
      <c r="AP628">
        <v>355570949</v>
      </c>
      <c r="AQ628">
        <v>592617547</v>
      </c>
      <c r="AR628">
        <v>11852364</v>
      </c>
      <c r="AS628">
        <v>0</v>
      </c>
      <c r="AT628">
        <v>7901553</v>
      </c>
      <c r="AU628">
        <v>11852364</v>
      </c>
      <c r="AV628">
        <v>19753918</v>
      </c>
      <c r="AW628">
        <v>33.0366</v>
      </c>
      <c r="AX628">
        <v>18.116099999999999</v>
      </c>
      <c r="AY628">
        <v>6766.77</v>
      </c>
      <c r="AZ628">
        <v>5694.6</v>
      </c>
      <c r="BA628">
        <v>35016</v>
      </c>
      <c r="BB628">
        <v>94417</v>
      </c>
      <c r="BC628" t="str">
        <f t="shared" si="18"/>
        <v>u=40%, k=2x10^9</v>
      </c>
      <c r="BD628">
        <f t="shared" si="19"/>
        <v>0</v>
      </c>
    </row>
    <row r="629" spans="1:56">
      <c r="A629" t="s">
        <v>713</v>
      </c>
      <c r="B629" t="s">
        <v>66</v>
      </c>
      <c r="C629">
        <v>208</v>
      </c>
      <c r="D629" t="s">
        <v>65</v>
      </c>
      <c r="E629" t="s">
        <v>60</v>
      </c>
      <c r="F629" t="s">
        <v>61</v>
      </c>
      <c r="G629">
        <v>30000</v>
      </c>
      <c r="H629">
        <v>20</v>
      </c>
      <c r="I629">
        <v>20</v>
      </c>
      <c r="J629">
        <v>0</v>
      </c>
      <c r="K629">
        <v>1</v>
      </c>
      <c r="L629">
        <v>2000000000</v>
      </c>
      <c r="M629">
        <v>96</v>
      </c>
      <c r="N629">
        <v>96</v>
      </c>
      <c r="O629">
        <v>96</v>
      </c>
      <c r="P629">
        <v>0</v>
      </c>
      <c r="Q629" t="s">
        <v>62</v>
      </c>
      <c r="R629">
        <v>9.9999600676093005E+17</v>
      </c>
      <c r="S629">
        <v>1000009270</v>
      </c>
      <c r="T629">
        <v>9.9999600676093005E+17</v>
      </c>
      <c r="U629">
        <v>1000009270</v>
      </c>
      <c r="V629" t="s">
        <v>75</v>
      </c>
      <c r="W629">
        <v>12</v>
      </c>
      <c r="X629">
        <v>20022458</v>
      </c>
      <c r="Y629">
        <v>137781557</v>
      </c>
      <c r="Z629">
        <v>157804015</v>
      </c>
      <c r="AA629">
        <v>1000009270</v>
      </c>
      <c r="AB629">
        <v>7.8813500000000003</v>
      </c>
      <c r="AC629">
        <v>7.25793</v>
      </c>
      <c r="AD629">
        <v>7.3370300000000004</v>
      </c>
      <c r="AE629">
        <v>11</v>
      </c>
      <c r="AM629">
        <v>756503406</v>
      </c>
      <c r="AN629">
        <v>0</v>
      </c>
      <c r="AO629">
        <v>504343766</v>
      </c>
      <c r="AP629">
        <v>756503406</v>
      </c>
      <c r="AQ629">
        <v>1260847172</v>
      </c>
      <c r="AR629">
        <v>25216780</v>
      </c>
      <c r="AS629">
        <v>0</v>
      </c>
      <c r="AT629">
        <v>16811458</v>
      </c>
      <c r="AU629">
        <v>25216780</v>
      </c>
      <c r="AV629">
        <v>42028239</v>
      </c>
      <c r="AW629">
        <v>35.1265</v>
      </c>
      <c r="AX629">
        <v>19.689499999999999</v>
      </c>
      <c r="AY629">
        <v>6324.94</v>
      </c>
      <c r="AZ629">
        <v>5133.4799999999996</v>
      </c>
      <c r="BA629">
        <v>47501</v>
      </c>
      <c r="BB629">
        <v>71786</v>
      </c>
      <c r="BC629" t="str">
        <f t="shared" si="18"/>
        <v>u=40%, k=2x10^9</v>
      </c>
      <c r="BD629">
        <f t="shared" si="19"/>
        <v>0</v>
      </c>
    </row>
    <row r="630" spans="1:56">
      <c r="A630" t="s">
        <v>714</v>
      </c>
      <c r="B630" t="s">
        <v>66</v>
      </c>
      <c r="C630">
        <v>208</v>
      </c>
      <c r="D630" t="s">
        <v>65</v>
      </c>
      <c r="E630" t="s">
        <v>60</v>
      </c>
      <c r="F630" t="s">
        <v>61</v>
      </c>
      <c r="G630">
        <v>30000</v>
      </c>
      <c r="H630">
        <v>20</v>
      </c>
      <c r="I630">
        <v>20</v>
      </c>
      <c r="J630">
        <v>0</v>
      </c>
      <c r="K630">
        <v>1</v>
      </c>
      <c r="L630">
        <v>2000000000</v>
      </c>
      <c r="M630">
        <v>144</v>
      </c>
      <c r="N630">
        <v>144</v>
      </c>
      <c r="O630">
        <v>144</v>
      </c>
      <c r="P630">
        <v>0</v>
      </c>
      <c r="Q630" t="s">
        <v>62</v>
      </c>
      <c r="R630">
        <v>9.9999631083011405E+17</v>
      </c>
      <c r="S630">
        <v>1000008368</v>
      </c>
      <c r="T630">
        <v>9.9999631083011405E+17</v>
      </c>
      <c r="U630">
        <v>1000008368</v>
      </c>
      <c r="V630" t="s">
        <v>75</v>
      </c>
      <c r="W630">
        <v>12</v>
      </c>
      <c r="X630">
        <v>20405791</v>
      </c>
      <c r="Y630">
        <v>140401779</v>
      </c>
      <c r="Z630">
        <v>160807570</v>
      </c>
      <c r="AA630">
        <v>1000008368</v>
      </c>
      <c r="AB630">
        <v>7.88049</v>
      </c>
      <c r="AC630">
        <v>7.1224800000000004</v>
      </c>
      <c r="AD630">
        <v>7.2186599999999999</v>
      </c>
      <c r="AE630">
        <v>11</v>
      </c>
      <c r="AM630">
        <v>1052252072</v>
      </c>
      <c r="AN630">
        <v>0</v>
      </c>
      <c r="AO630">
        <v>701555329</v>
      </c>
      <c r="AP630">
        <v>1052252072</v>
      </c>
      <c r="AQ630">
        <v>1753807401</v>
      </c>
      <c r="AR630">
        <v>35075069</v>
      </c>
      <c r="AS630">
        <v>0</v>
      </c>
      <c r="AT630">
        <v>23385177</v>
      </c>
      <c r="AU630">
        <v>35075069</v>
      </c>
      <c r="AV630">
        <v>58460246</v>
      </c>
      <c r="AW630">
        <v>36.726700000000001</v>
      </c>
      <c r="AX630">
        <v>20.706199999999999</v>
      </c>
      <c r="AY630">
        <v>6786.37</v>
      </c>
      <c r="AZ630">
        <v>5402.89</v>
      </c>
      <c r="BA630">
        <v>58430</v>
      </c>
      <c r="BB630">
        <v>64601</v>
      </c>
      <c r="BC630" t="str">
        <f t="shared" si="18"/>
        <v>u=40%, k=2x10^9</v>
      </c>
      <c r="BD630">
        <f t="shared" si="19"/>
        <v>0</v>
      </c>
    </row>
    <row r="631" spans="1:56">
      <c r="A631" t="s">
        <v>715</v>
      </c>
      <c r="B631" t="s">
        <v>66</v>
      </c>
      <c r="C631">
        <v>208</v>
      </c>
      <c r="D631" t="s">
        <v>65</v>
      </c>
      <c r="E631" t="s">
        <v>60</v>
      </c>
      <c r="F631" t="s">
        <v>61</v>
      </c>
      <c r="G631">
        <v>30000</v>
      </c>
      <c r="H631">
        <v>20</v>
      </c>
      <c r="I631">
        <v>20</v>
      </c>
      <c r="J631">
        <v>0</v>
      </c>
      <c r="K631">
        <v>1</v>
      </c>
      <c r="L631">
        <v>2000000000</v>
      </c>
      <c r="M631">
        <v>190</v>
      </c>
      <c r="N631">
        <v>190</v>
      </c>
      <c r="O631">
        <v>190</v>
      </c>
      <c r="P631">
        <v>0</v>
      </c>
      <c r="Q631" t="s">
        <v>62</v>
      </c>
      <c r="R631">
        <v>1.00001015302544E+18</v>
      </c>
      <c r="S631">
        <v>1000015430</v>
      </c>
      <c r="T631">
        <v>1.00001015302544E+18</v>
      </c>
      <c r="U631">
        <v>1000015430</v>
      </c>
      <c r="V631" t="s">
        <v>75</v>
      </c>
      <c r="W631">
        <v>12</v>
      </c>
      <c r="X631">
        <v>20677082</v>
      </c>
      <c r="Y631">
        <v>142269209</v>
      </c>
      <c r="Z631">
        <v>162946291</v>
      </c>
      <c r="AA631">
        <v>1000015430</v>
      </c>
      <c r="AB631">
        <v>7.8805300000000003</v>
      </c>
      <c r="AC631">
        <v>7.0290400000000002</v>
      </c>
      <c r="AD631">
        <v>7.1370899999999997</v>
      </c>
      <c r="AE631">
        <v>11</v>
      </c>
      <c r="AM631">
        <v>1288982943</v>
      </c>
      <c r="AN631">
        <v>0</v>
      </c>
      <c r="AO631">
        <v>859342803</v>
      </c>
      <c r="AP631">
        <v>1288982943</v>
      </c>
      <c r="AQ631">
        <v>2148325746</v>
      </c>
      <c r="AR631">
        <v>42966098</v>
      </c>
      <c r="AS631">
        <v>0</v>
      </c>
      <c r="AT631">
        <v>28644760</v>
      </c>
      <c r="AU631">
        <v>42966098</v>
      </c>
      <c r="AV631">
        <v>71610858</v>
      </c>
      <c r="AW631">
        <v>37.453400000000002</v>
      </c>
      <c r="AX631">
        <v>21.3794</v>
      </c>
      <c r="AY631">
        <v>7245.52</v>
      </c>
      <c r="AZ631">
        <v>5576.93</v>
      </c>
      <c r="BA631">
        <v>62919</v>
      </c>
      <c r="BB631">
        <v>61370</v>
      </c>
      <c r="BC631" t="str">
        <f t="shared" si="18"/>
        <v>u=40%, k=2x10^9</v>
      </c>
      <c r="BD631">
        <f t="shared" si="19"/>
        <v>0</v>
      </c>
    </row>
    <row r="632" spans="1:56">
      <c r="A632" t="s">
        <v>716</v>
      </c>
      <c r="B632" t="s">
        <v>67</v>
      </c>
      <c r="D632" t="s">
        <v>65</v>
      </c>
      <c r="E632" t="s">
        <v>60</v>
      </c>
      <c r="F632" t="s">
        <v>61</v>
      </c>
      <c r="G632">
        <v>30000</v>
      </c>
      <c r="H632">
        <v>20</v>
      </c>
      <c r="I632">
        <v>20</v>
      </c>
      <c r="J632">
        <v>0</v>
      </c>
      <c r="K632">
        <v>1</v>
      </c>
      <c r="L632">
        <v>2000000000</v>
      </c>
      <c r="M632">
        <v>24</v>
      </c>
      <c r="N632">
        <v>24</v>
      </c>
      <c r="O632">
        <v>24</v>
      </c>
      <c r="P632">
        <v>0</v>
      </c>
      <c r="Q632" t="s">
        <v>62</v>
      </c>
      <c r="R632">
        <v>9.9998636353225894E+17</v>
      </c>
      <c r="S632">
        <v>999998325</v>
      </c>
      <c r="T632">
        <v>9.9998636353225894E+17</v>
      </c>
      <c r="U632">
        <v>999998325</v>
      </c>
      <c r="V632" t="s">
        <v>75</v>
      </c>
      <c r="W632">
        <v>37</v>
      </c>
      <c r="X632">
        <v>574899862</v>
      </c>
      <c r="Y632">
        <v>431459763</v>
      </c>
      <c r="Z632">
        <v>1006359625</v>
      </c>
      <c r="AA632">
        <v>999998325</v>
      </c>
      <c r="AB632">
        <v>1.7504999999999999</v>
      </c>
      <c r="AC632">
        <v>2.3177099999999999</v>
      </c>
      <c r="AD632">
        <v>1.9936799999999999</v>
      </c>
      <c r="AE632">
        <v>29.435099999999998</v>
      </c>
      <c r="AM632">
        <v>90587698</v>
      </c>
      <c r="AN632">
        <v>0</v>
      </c>
      <c r="AO632">
        <v>60387892</v>
      </c>
      <c r="AP632">
        <v>90587698</v>
      </c>
      <c r="AQ632">
        <v>150975590</v>
      </c>
      <c r="AR632">
        <v>3019589</v>
      </c>
      <c r="AS632">
        <v>0</v>
      </c>
      <c r="AT632">
        <v>2012929</v>
      </c>
      <c r="AU632">
        <v>3019589</v>
      </c>
      <c r="AV632">
        <v>5032519</v>
      </c>
      <c r="AW632">
        <v>56.529600000000002</v>
      </c>
      <c r="AX632">
        <v>30.4315</v>
      </c>
      <c r="AY632">
        <v>13296.7</v>
      </c>
      <c r="AZ632">
        <v>11552.8</v>
      </c>
      <c r="BA632">
        <v>66055</v>
      </c>
      <c r="BB632">
        <v>273145</v>
      </c>
      <c r="BC632" t="str">
        <f t="shared" si="18"/>
        <v>u=40%, k=2x10^9</v>
      </c>
      <c r="BD632">
        <f t="shared" si="19"/>
        <v>0</v>
      </c>
    </row>
    <row r="633" spans="1:56">
      <c r="A633" t="s">
        <v>717</v>
      </c>
      <c r="B633" t="s">
        <v>67</v>
      </c>
      <c r="D633" t="s">
        <v>65</v>
      </c>
      <c r="E633" t="s">
        <v>60</v>
      </c>
      <c r="F633" t="s">
        <v>61</v>
      </c>
      <c r="G633">
        <v>30000</v>
      </c>
      <c r="H633">
        <v>20</v>
      </c>
      <c r="I633">
        <v>20</v>
      </c>
      <c r="J633">
        <v>0</v>
      </c>
      <c r="K633">
        <v>1</v>
      </c>
      <c r="L633">
        <v>2000000000</v>
      </c>
      <c r="M633">
        <v>48</v>
      </c>
      <c r="N633">
        <v>48</v>
      </c>
      <c r="O633">
        <v>48</v>
      </c>
      <c r="P633">
        <v>0</v>
      </c>
      <c r="Q633" t="s">
        <v>62</v>
      </c>
      <c r="R633">
        <v>1.0000161154703601E+18</v>
      </c>
      <c r="S633">
        <v>999996979</v>
      </c>
      <c r="T633">
        <v>1.0000161154703601E+18</v>
      </c>
      <c r="U633">
        <v>999996979</v>
      </c>
      <c r="V633" t="s">
        <v>75</v>
      </c>
      <c r="W633">
        <v>37</v>
      </c>
      <c r="X633">
        <v>578038453</v>
      </c>
      <c r="Y633">
        <v>434079270</v>
      </c>
      <c r="Z633">
        <v>1012117723</v>
      </c>
      <c r="AA633">
        <v>999996979</v>
      </c>
      <c r="AB633">
        <v>1.75095</v>
      </c>
      <c r="AC633">
        <v>2.3037200000000002</v>
      </c>
      <c r="AD633">
        <v>1.9880199999999999</v>
      </c>
      <c r="AE633">
        <v>29.491399999999999</v>
      </c>
      <c r="AM633">
        <v>175237249</v>
      </c>
      <c r="AN633">
        <v>0</v>
      </c>
      <c r="AO633">
        <v>116787726</v>
      </c>
      <c r="AP633">
        <v>175237249</v>
      </c>
      <c r="AQ633">
        <v>292024975</v>
      </c>
      <c r="AR633">
        <v>5841241</v>
      </c>
      <c r="AS633">
        <v>0</v>
      </c>
      <c r="AT633">
        <v>3892924</v>
      </c>
      <c r="AU633">
        <v>5841241</v>
      </c>
      <c r="AV633">
        <v>9734165</v>
      </c>
      <c r="AW633">
        <v>56.957500000000003</v>
      </c>
      <c r="AX633">
        <v>30.427399999999999</v>
      </c>
      <c r="AY633">
        <v>13745.8</v>
      </c>
      <c r="AZ633">
        <v>12133.8</v>
      </c>
      <c r="BA633">
        <v>66434</v>
      </c>
      <c r="BB633">
        <v>143045</v>
      </c>
      <c r="BC633" t="str">
        <f t="shared" si="18"/>
        <v>u=40%, k=2x10^9</v>
      </c>
      <c r="BD633">
        <f t="shared" si="19"/>
        <v>0</v>
      </c>
    </row>
    <row r="634" spans="1:56">
      <c r="A634" t="s">
        <v>718</v>
      </c>
      <c r="B634" t="s">
        <v>67</v>
      </c>
      <c r="D634" t="s">
        <v>65</v>
      </c>
      <c r="E634" t="s">
        <v>60</v>
      </c>
      <c r="F634" t="s">
        <v>61</v>
      </c>
      <c r="G634">
        <v>30000</v>
      </c>
      <c r="H634">
        <v>20</v>
      </c>
      <c r="I634">
        <v>20</v>
      </c>
      <c r="J634">
        <v>0</v>
      </c>
      <c r="K634">
        <v>1</v>
      </c>
      <c r="L634">
        <v>2000000000</v>
      </c>
      <c r="M634">
        <v>96</v>
      </c>
      <c r="N634">
        <v>96</v>
      </c>
      <c r="O634">
        <v>96</v>
      </c>
      <c r="P634">
        <v>0</v>
      </c>
      <c r="Q634" t="s">
        <v>62</v>
      </c>
      <c r="R634">
        <v>9.9997822655398106E+17</v>
      </c>
      <c r="S634">
        <v>1000006666</v>
      </c>
      <c r="T634">
        <v>9.9997822655398106E+17</v>
      </c>
      <c r="U634">
        <v>1000006666</v>
      </c>
      <c r="V634" t="s">
        <v>75</v>
      </c>
      <c r="W634">
        <v>37</v>
      </c>
      <c r="X634">
        <v>585674293</v>
      </c>
      <c r="Y634">
        <v>440384248</v>
      </c>
      <c r="Z634">
        <v>1026058541</v>
      </c>
      <c r="AA634">
        <v>1000006666</v>
      </c>
      <c r="AB634">
        <v>1.75193</v>
      </c>
      <c r="AC634">
        <v>2.2707600000000001</v>
      </c>
      <c r="AD634">
        <v>1.97461</v>
      </c>
      <c r="AE634">
        <v>29.515000000000001</v>
      </c>
      <c r="AM634">
        <v>391455733</v>
      </c>
      <c r="AN634">
        <v>0</v>
      </c>
      <c r="AO634">
        <v>260994282</v>
      </c>
      <c r="AP634">
        <v>391455733</v>
      </c>
      <c r="AQ634">
        <v>652450015</v>
      </c>
      <c r="AR634">
        <v>13048524</v>
      </c>
      <c r="AS634">
        <v>0</v>
      </c>
      <c r="AT634">
        <v>8699809</v>
      </c>
      <c r="AU634">
        <v>13048524</v>
      </c>
      <c r="AV634">
        <v>21748333</v>
      </c>
      <c r="AW634">
        <v>57.394199999999998</v>
      </c>
      <c r="AX634">
        <v>32.402500000000003</v>
      </c>
      <c r="AY634">
        <v>12289.4</v>
      </c>
      <c r="AZ634">
        <v>10610.3</v>
      </c>
      <c r="BA634">
        <v>67350</v>
      </c>
      <c r="BB634">
        <v>63537</v>
      </c>
      <c r="BC634" t="str">
        <f t="shared" si="18"/>
        <v>u=40%, k=2x10^9</v>
      </c>
      <c r="BD634">
        <f t="shared" si="19"/>
        <v>0</v>
      </c>
    </row>
    <row r="635" spans="1:56">
      <c r="A635" t="s">
        <v>719</v>
      </c>
      <c r="B635" t="s">
        <v>67</v>
      </c>
      <c r="D635" t="s">
        <v>65</v>
      </c>
      <c r="E635" t="s">
        <v>60</v>
      </c>
      <c r="F635" t="s">
        <v>61</v>
      </c>
      <c r="G635">
        <v>30000</v>
      </c>
      <c r="H635">
        <v>20</v>
      </c>
      <c r="I635">
        <v>20</v>
      </c>
      <c r="J635">
        <v>0</v>
      </c>
      <c r="K635">
        <v>1</v>
      </c>
      <c r="L635">
        <v>2000000000</v>
      </c>
      <c r="M635">
        <v>144</v>
      </c>
      <c r="N635">
        <v>144</v>
      </c>
      <c r="O635">
        <v>144</v>
      </c>
      <c r="P635">
        <v>0</v>
      </c>
      <c r="Q635" t="s">
        <v>62</v>
      </c>
      <c r="R635">
        <v>1.00001399925741E+18</v>
      </c>
      <c r="S635">
        <v>1000011249</v>
      </c>
      <c r="T635">
        <v>1.00001399925741E+18</v>
      </c>
      <c r="U635">
        <v>1000011249</v>
      </c>
      <c r="V635" t="s">
        <v>75</v>
      </c>
      <c r="W635">
        <v>37</v>
      </c>
      <c r="X635">
        <v>592092939</v>
      </c>
      <c r="Y635">
        <v>445629372</v>
      </c>
      <c r="Z635">
        <v>1037722311</v>
      </c>
      <c r="AA635">
        <v>1000011249</v>
      </c>
      <c r="AB635">
        <v>1.7526299999999999</v>
      </c>
      <c r="AC635">
        <v>2.24404</v>
      </c>
      <c r="AD635">
        <v>1.96366</v>
      </c>
      <c r="AE635">
        <v>29.534099999999999</v>
      </c>
      <c r="AM635">
        <v>586419143</v>
      </c>
      <c r="AN635">
        <v>0</v>
      </c>
      <c r="AO635">
        <v>390975357</v>
      </c>
      <c r="AP635">
        <v>586419143</v>
      </c>
      <c r="AQ635">
        <v>977394500</v>
      </c>
      <c r="AR635">
        <v>19547304</v>
      </c>
      <c r="AS635">
        <v>0</v>
      </c>
      <c r="AT635">
        <v>13032511</v>
      </c>
      <c r="AU635">
        <v>19547304</v>
      </c>
      <c r="AV635">
        <v>32579816</v>
      </c>
      <c r="AW635">
        <v>58.2254</v>
      </c>
      <c r="AX635">
        <v>32.714599999999997</v>
      </c>
      <c r="AY635">
        <v>12301.5</v>
      </c>
      <c r="AZ635">
        <v>10608.3</v>
      </c>
      <c r="BA635">
        <v>68269</v>
      </c>
      <c r="BB635">
        <v>42751</v>
      </c>
      <c r="BC635" t="str">
        <f t="shared" si="18"/>
        <v>u=40%, k=2x10^9</v>
      </c>
      <c r="BD635">
        <f t="shared" si="19"/>
        <v>0</v>
      </c>
    </row>
    <row r="636" spans="1:56">
      <c r="A636" t="s">
        <v>720</v>
      </c>
      <c r="B636" t="s">
        <v>67</v>
      </c>
      <c r="D636" t="s">
        <v>65</v>
      </c>
      <c r="E636" t="s">
        <v>60</v>
      </c>
      <c r="F636" t="s">
        <v>61</v>
      </c>
      <c r="G636">
        <v>30000</v>
      </c>
      <c r="H636">
        <v>20</v>
      </c>
      <c r="I636">
        <v>20</v>
      </c>
      <c r="J636">
        <v>0</v>
      </c>
      <c r="K636">
        <v>1</v>
      </c>
      <c r="L636">
        <v>2000000000</v>
      </c>
      <c r="M636">
        <v>190</v>
      </c>
      <c r="N636">
        <v>190</v>
      </c>
      <c r="O636">
        <v>190</v>
      </c>
      <c r="P636">
        <v>0</v>
      </c>
      <c r="Q636" t="s">
        <v>62</v>
      </c>
      <c r="R636">
        <v>1.00000442561072E+18</v>
      </c>
      <c r="S636">
        <v>1000001763</v>
      </c>
      <c r="T636">
        <v>1.00000442561072E+18</v>
      </c>
      <c r="U636">
        <v>1000001763</v>
      </c>
      <c r="V636" t="s">
        <v>75</v>
      </c>
      <c r="W636">
        <v>37</v>
      </c>
      <c r="X636">
        <v>597713726</v>
      </c>
      <c r="Y636">
        <v>450198392</v>
      </c>
      <c r="Z636">
        <v>1047912118</v>
      </c>
      <c r="AA636">
        <v>1000001763</v>
      </c>
      <c r="AB636">
        <v>1.7532000000000001</v>
      </c>
      <c r="AC636">
        <v>2.2212499999999999</v>
      </c>
      <c r="AD636">
        <v>1.95428</v>
      </c>
      <c r="AE636">
        <v>29.5532</v>
      </c>
      <c r="AM636">
        <v>768701836</v>
      </c>
      <c r="AN636">
        <v>0</v>
      </c>
      <c r="AO636">
        <v>512450084</v>
      </c>
      <c r="AP636">
        <v>768701836</v>
      </c>
      <c r="AQ636">
        <v>1281151920</v>
      </c>
      <c r="AR636">
        <v>25623394</v>
      </c>
      <c r="AS636">
        <v>0</v>
      </c>
      <c r="AT636">
        <v>17081669</v>
      </c>
      <c r="AU636">
        <v>25623394</v>
      </c>
      <c r="AV636">
        <v>42705064</v>
      </c>
      <c r="AW636">
        <v>58.702199999999998</v>
      </c>
      <c r="AX636">
        <v>32.967399999999998</v>
      </c>
      <c r="AY636">
        <v>12379.1</v>
      </c>
      <c r="AZ636">
        <v>10669.5</v>
      </c>
      <c r="BA636">
        <v>69544</v>
      </c>
      <c r="BB636">
        <v>32887</v>
      </c>
      <c r="BC636" t="str">
        <f t="shared" si="18"/>
        <v>u=40%, k=2x10^9</v>
      </c>
      <c r="BD636">
        <f t="shared" si="19"/>
        <v>0</v>
      </c>
    </row>
    <row r="637" spans="1:56">
      <c r="A637" t="s">
        <v>721</v>
      </c>
      <c r="B637" t="s">
        <v>68</v>
      </c>
      <c r="D637" t="s">
        <v>65</v>
      </c>
      <c r="E637" t="s">
        <v>60</v>
      </c>
      <c r="F637" t="s">
        <v>61</v>
      </c>
      <c r="G637">
        <v>30000</v>
      </c>
      <c r="H637">
        <v>20</v>
      </c>
      <c r="I637">
        <v>20</v>
      </c>
      <c r="J637">
        <v>0</v>
      </c>
      <c r="K637">
        <v>1</v>
      </c>
      <c r="L637">
        <v>2000000000</v>
      </c>
      <c r="M637">
        <v>24</v>
      </c>
      <c r="N637">
        <v>24</v>
      </c>
      <c r="O637">
        <v>24</v>
      </c>
      <c r="P637">
        <v>0</v>
      </c>
      <c r="Q637" t="s">
        <v>62</v>
      </c>
      <c r="R637">
        <v>1.00000475835498E+18</v>
      </c>
      <c r="S637">
        <v>999996033</v>
      </c>
      <c r="T637">
        <v>1.00000475835498E+18</v>
      </c>
      <c r="U637">
        <v>999996033</v>
      </c>
      <c r="V637" t="s">
        <v>75</v>
      </c>
      <c r="W637">
        <v>78</v>
      </c>
      <c r="X637">
        <v>999996032</v>
      </c>
      <c r="Y637">
        <v>999996033</v>
      </c>
      <c r="Z637">
        <v>1999992065</v>
      </c>
      <c r="AA637">
        <v>999996033</v>
      </c>
      <c r="AB637">
        <v>2</v>
      </c>
      <c r="AC637">
        <v>1</v>
      </c>
      <c r="AD637">
        <v>1.5</v>
      </c>
      <c r="AE637">
        <v>40.349400000000003</v>
      </c>
      <c r="AM637">
        <v>75301066</v>
      </c>
      <c r="AN637">
        <v>0</v>
      </c>
      <c r="AO637">
        <v>50188067</v>
      </c>
      <c r="AP637">
        <v>75301066</v>
      </c>
      <c r="AQ637">
        <v>125489133</v>
      </c>
      <c r="AR637">
        <v>2510035</v>
      </c>
      <c r="AS637">
        <v>0</v>
      </c>
      <c r="AT637">
        <v>1672935</v>
      </c>
      <c r="AU637">
        <v>2510035</v>
      </c>
      <c r="AV637">
        <v>4182971</v>
      </c>
      <c r="AW637">
        <v>54.589199999999998</v>
      </c>
      <c r="AX637">
        <v>29.577000000000002</v>
      </c>
      <c r="AY637">
        <v>16006.2</v>
      </c>
      <c r="AZ637">
        <v>14119.7</v>
      </c>
      <c r="BA637">
        <v>65658</v>
      </c>
      <c r="BB637">
        <v>299341</v>
      </c>
      <c r="BC637" t="str">
        <f t="shared" si="18"/>
        <v>u=40%, k=2x10^9</v>
      </c>
      <c r="BD637">
        <f t="shared" si="19"/>
        <v>0</v>
      </c>
    </row>
    <row r="638" spans="1:56">
      <c r="A638" t="s">
        <v>722</v>
      </c>
      <c r="B638" t="s">
        <v>68</v>
      </c>
      <c r="D638" t="s">
        <v>65</v>
      </c>
      <c r="E638" t="s">
        <v>60</v>
      </c>
      <c r="F638" t="s">
        <v>61</v>
      </c>
      <c r="G638">
        <v>30000</v>
      </c>
      <c r="H638">
        <v>20</v>
      </c>
      <c r="I638">
        <v>20</v>
      </c>
      <c r="J638">
        <v>0</v>
      </c>
      <c r="K638">
        <v>1</v>
      </c>
      <c r="L638">
        <v>2000000000</v>
      </c>
      <c r="M638">
        <v>48</v>
      </c>
      <c r="N638">
        <v>48</v>
      </c>
      <c r="O638">
        <v>48</v>
      </c>
      <c r="P638">
        <v>0</v>
      </c>
      <c r="Q638" t="s">
        <v>62</v>
      </c>
      <c r="R638">
        <v>1.0000064328534799E+18</v>
      </c>
      <c r="S638">
        <v>999996012</v>
      </c>
      <c r="T638">
        <v>1.0000064328534799E+18</v>
      </c>
      <c r="U638">
        <v>999996012</v>
      </c>
      <c r="V638" t="s">
        <v>75</v>
      </c>
      <c r="W638">
        <v>79</v>
      </c>
      <c r="X638">
        <v>999996011</v>
      </c>
      <c r="Y638">
        <v>999996012</v>
      </c>
      <c r="Z638">
        <v>1999992023</v>
      </c>
      <c r="AA638">
        <v>999996012</v>
      </c>
      <c r="AB638">
        <v>2</v>
      </c>
      <c r="AC638">
        <v>1</v>
      </c>
      <c r="AD638">
        <v>1.5</v>
      </c>
      <c r="AE638">
        <v>40.767200000000003</v>
      </c>
      <c r="AM638">
        <v>147567373</v>
      </c>
      <c r="AN638">
        <v>0</v>
      </c>
      <c r="AO638">
        <v>98381164</v>
      </c>
      <c r="AP638">
        <v>147567373</v>
      </c>
      <c r="AQ638">
        <v>245948537</v>
      </c>
      <c r="AR638">
        <v>4918912</v>
      </c>
      <c r="AS638">
        <v>0</v>
      </c>
      <c r="AT638">
        <v>3279372</v>
      </c>
      <c r="AU638">
        <v>4918912</v>
      </c>
      <c r="AV638">
        <v>8198284</v>
      </c>
      <c r="AW638">
        <v>54.595500000000001</v>
      </c>
      <c r="AX638">
        <v>29.442699999999999</v>
      </c>
      <c r="AY638">
        <v>16331.1</v>
      </c>
      <c r="AZ638">
        <v>14988.3</v>
      </c>
      <c r="BA638">
        <v>65694</v>
      </c>
      <c r="BB638">
        <v>153391</v>
      </c>
      <c r="BC638" t="str">
        <f t="shared" si="18"/>
        <v>u=40%, k=2x10^9</v>
      </c>
      <c r="BD638">
        <f t="shared" si="19"/>
        <v>0</v>
      </c>
    </row>
    <row r="639" spans="1:56">
      <c r="A639" t="s">
        <v>723</v>
      </c>
      <c r="B639" t="s">
        <v>68</v>
      </c>
      <c r="D639" t="s">
        <v>65</v>
      </c>
      <c r="E639" t="s">
        <v>60</v>
      </c>
      <c r="F639" t="s">
        <v>61</v>
      </c>
      <c r="G639">
        <v>30000</v>
      </c>
      <c r="H639">
        <v>20</v>
      </c>
      <c r="I639">
        <v>20</v>
      </c>
      <c r="J639">
        <v>0</v>
      </c>
      <c r="K639">
        <v>1</v>
      </c>
      <c r="L639">
        <v>2000000000</v>
      </c>
      <c r="M639">
        <v>96</v>
      </c>
      <c r="N639">
        <v>96</v>
      </c>
      <c r="O639">
        <v>96</v>
      </c>
      <c r="P639">
        <v>0</v>
      </c>
      <c r="Q639" t="s">
        <v>62</v>
      </c>
      <c r="R639">
        <v>1.00000647714475E+18</v>
      </c>
      <c r="S639">
        <v>1000000280</v>
      </c>
      <c r="T639">
        <v>1.00000647714475E+18</v>
      </c>
      <c r="U639">
        <v>1000000280</v>
      </c>
      <c r="V639" t="s">
        <v>75</v>
      </c>
      <c r="W639">
        <v>80</v>
      </c>
      <c r="X639">
        <v>1000000279</v>
      </c>
      <c r="Y639">
        <v>1000000280</v>
      </c>
      <c r="Z639">
        <v>2000000559</v>
      </c>
      <c r="AA639">
        <v>1000000280</v>
      </c>
      <c r="AB639">
        <v>2</v>
      </c>
      <c r="AC639">
        <v>1</v>
      </c>
      <c r="AD639">
        <v>1.5</v>
      </c>
      <c r="AE639">
        <v>41.872799999999998</v>
      </c>
      <c r="AM639">
        <v>329092882</v>
      </c>
      <c r="AN639">
        <v>0</v>
      </c>
      <c r="AO639">
        <v>219405116</v>
      </c>
      <c r="AP639">
        <v>329092882</v>
      </c>
      <c r="AQ639">
        <v>548497998</v>
      </c>
      <c r="AR639">
        <v>10969762</v>
      </c>
      <c r="AS639">
        <v>0</v>
      </c>
      <c r="AT639">
        <v>7313503</v>
      </c>
      <c r="AU639">
        <v>10969762</v>
      </c>
      <c r="AV639">
        <v>18283266</v>
      </c>
      <c r="AW639">
        <v>56.029400000000003</v>
      </c>
      <c r="AX639">
        <v>32.3504</v>
      </c>
      <c r="AY639">
        <v>14628.6</v>
      </c>
      <c r="AZ639">
        <v>13184.3</v>
      </c>
      <c r="BA639">
        <v>66394</v>
      </c>
      <c r="BB639">
        <v>66386</v>
      </c>
      <c r="BC639" t="str">
        <f t="shared" si="18"/>
        <v>u=40%, k=2x10^9</v>
      </c>
      <c r="BD639">
        <f t="shared" si="19"/>
        <v>0</v>
      </c>
    </row>
    <row r="640" spans="1:56">
      <c r="A640" t="s">
        <v>724</v>
      </c>
      <c r="B640" t="s">
        <v>68</v>
      </c>
      <c r="D640" t="s">
        <v>65</v>
      </c>
      <c r="E640" t="s">
        <v>60</v>
      </c>
      <c r="F640" t="s">
        <v>61</v>
      </c>
      <c r="G640">
        <v>30000</v>
      </c>
      <c r="H640">
        <v>20</v>
      </c>
      <c r="I640">
        <v>20</v>
      </c>
      <c r="J640">
        <v>0</v>
      </c>
      <c r="K640">
        <v>1</v>
      </c>
      <c r="L640">
        <v>2000000000</v>
      </c>
      <c r="M640">
        <v>144</v>
      </c>
      <c r="N640">
        <v>144</v>
      </c>
      <c r="O640">
        <v>144</v>
      </c>
      <c r="P640">
        <v>0</v>
      </c>
      <c r="Q640" t="s">
        <v>62</v>
      </c>
      <c r="R640">
        <v>9.9998276107176499E+17</v>
      </c>
      <c r="S640">
        <v>999989140</v>
      </c>
      <c r="T640">
        <v>9.9998276107176499E+17</v>
      </c>
      <c r="U640">
        <v>999989140</v>
      </c>
      <c r="V640" t="s">
        <v>75</v>
      </c>
      <c r="W640">
        <v>78</v>
      </c>
      <c r="X640">
        <v>999989139</v>
      </c>
      <c r="Y640">
        <v>999989140</v>
      </c>
      <c r="Z640">
        <v>1999978279</v>
      </c>
      <c r="AA640">
        <v>999989140</v>
      </c>
      <c r="AB640">
        <v>2</v>
      </c>
      <c r="AC640">
        <v>1</v>
      </c>
      <c r="AD640">
        <v>1.5</v>
      </c>
      <c r="AE640">
        <v>40.533799999999999</v>
      </c>
      <c r="AM640">
        <v>482967252</v>
      </c>
      <c r="AN640">
        <v>0</v>
      </c>
      <c r="AO640">
        <v>321974478</v>
      </c>
      <c r="AP640">
        <v>482967252</v>
      </c>
      <c r="AQ640">
        <v>804941730</v>
      </c>
      <c r="AR640">
        <v>16098908</v>
      </c>
      <c r="AS640">
        <v>0</v>
      </c>
      <c r="AT640">
        <v>10732482</v>
      </c>
      <c r="AU640">
        <v>16098908</v>
      </c>
      <c r="AV640">
        <v>26831391</v>
      </c>
      <c r="AW640">
        <v>56.913699999999999</v>
      </c>
      <c r="AX640">
        <v>33.011000000000003</v>
      </c>
      <c r="AY640">
        <v>14942.4</v>
      </c>
      <c r="AZ640">
        <v>13169.2</v>
      </c>
      <c r="BA640">
        <v>67964</v>
      </c>
      <c r="BB640">
        <v>44177</v>
      </c>
      <c r="BC640" t="str">
        <f t="shared" si="18"/>
        <v>u=40%, k=2x10^9</v>
      </c>
      <c r="BD640">
        <f t="shared" si="19"/>
        <v>0</v>
      </c>
    </row>
    <row r="641" spans="1:56">
      <c r="A641" t="s">
        <v>725</v>
      </c>
      <c r="B641" t="s">
        <v>68</v>
      </c>
      <c r="D641" t="s">
        <v>65</v>
      </c>
      <c r="E641" t="s">
        <v>60</v>
      </c>
      <c r="F641" t="s">
        <v>61</v>
      </c>
      <c r="G641">
        <v>30000</v>
      </c>
      <c r="H641">
        <v>20</v>
      </c>
      <c r="I641">
        <v>20</v>
      </c>
      <c r="J641">
        <v>0</v>
      </c>
      <c r="K641">
        <v>1</v>
      </c>
      <c r="L641">
        <v>2000000000</v>
      </c>
      <c r="M641">
        <v>190</v>
      </c>
      <c r="N641">
        <v>190</v>
      </c>
      <c r="O641">
        <v>190</v>
      </c>
      <c r="P641">
        <v>0</v>
      </c>
      <c r="Q641" t="s">
        <v>62</v>
      </c>
      <c r="R641">
        <v>1.00000285694584E+18</v>
      </c>
      <c r="S641">
        <v>1000010061</v>
      </c>
      <c r="T641">
        <v>1.00000285694584E+18</v>
      </c>
      <c r="U641">
        <v>1000010061</v>
      </c>
      <c r="V641" t="s">
        <v>75</v>
      </c>
      <c r="W641">
        <v>80</v>
      </c>
      <c r="X641">
        <v>1000010060</v>
      </c>
      <c r="Y641">
        <v>1000010061</v>
      </c>
      <c r="Z641">
        <v>2000020121</v>
      </c>
      <c r="AA641">
        <v>1000010061</v>
      </c>
      <c r="AB641">
        <v>2</v>
      </c>
      <c r="AC641">
        <v>1</v>
      </c>
      <c r="AD641">
        <v>1.5</v>
      </c>
      <c r="AE641">
        <v>40.836500000000001</v>
      </c>
      <c r="AM641">
        <v>614191663</v>
      </c>
      <c r="AN641">
        <v>0</v>
      </c>
      <c r="AO641">
        <v>409460794</v>
      </c>
      <c r="AP641">
        <v>614191663</v>
      </c>
      <c r="AQ641">
        <v>1023652457</v>
      </c>
      <c r="AR641">
        <v>20473055</v>
      </c>
      <c r="AS641">
        <v>0</v>
      </c>
      <c r="AT641">
        <v>13648693</v>
      </c>
      <c r="AU641">
        <v>20473055</v>
      </c>
      <c r="AV641">
        <v>34121748</v>
      </c>
      <c r="AW641">
        <v>57.3476</v>
      </c>
      <c r="AX641">
        <v>33.412100000000002</v>
      </c>
      <c r="AY641">
        <v>15489.4</v>
      </c>
      <c r="AZ641">
        <v>13198.5</v>
      </c>
      <c r="BA641">
        <v>69314</v>
      </c>
      <c r="BB641">
        <v>33779</v>
      </c>
      <c r="BC641" t="str">
        <f t="shared" si="18"/>
        <v>u=40%, k=2x10^9</v>
      </c>
      <c r="BD641">
        <f t="shared" si="19"/>
        <v>0</v>
      </c>
    </row>
    <row r="642" spans="1:56">
      <c r="A642" t="s">
        <v>747</v>
      </c>
      <c r="B642" t="s">
        <v>64</v>
      </c>
      <c r="C642">
        <v>72</v>
      </c>
      <c r="D642" t="s">
        <v>65</v>
      </c>
      <c r="E642" t="s">
        <v>60</v>
      </c>
      <c r="F642" t="s">
        <v>61</v>
      </c>
      <c r="G642">
        <v>30000</v>
      </c>
      <c r="H642">
        <v>0</v>
      </c>
      <c r="I642">
        <v>0</v>
      </c>
      <c r="J642">
        <v>0</v>
      </c>
      <c r="K642">
        <v>1</v>
      </c>
      <c r="L642">
        <v>2000000</v>
      </c>
      <c r="M642">
        <v>24</v>
      </c>
      <c r="N642">
        <v>24</v>
      </c>
      <c r="O642">
        <v>24</v>
      </c>
      <c r="P642">
        <v>0</v>
      </c>
      <c r="Q642" t="s">
        <v>62</v>
      </c>
      <c r="R642">
        <v>1000050507297</v>
      </c>
      <c r="S642">
        <v>1000001</v>
      </c>
      <c r="T642">
        <v>1000050507297</v>
      </c>
      <c r="U642">
        <v>1000001</v>
      </c>
      <c r="V642" t="s">
        <v>75</v>
      </c>
      <c r="W642">
        <v>5</v>
      </c>
      <c r="X642">
        <v>33035</v>
      </c>
      <c r="Y642">
        <v>1032033</v>
      </c>
      <c r="Z642">
        <v>1065068</v>
      </c>
      <c r="AA642">
        <v>1000001</v>
      </c>
      <c r="AB642">
        <v>32.240600000000001</v>
      </c>
      <c r="AC642">
        <v>0.96896199999999999</v>
      </c>
      <c r="AD642">
        <v>1.9389099999999999</v>
      </c>
      <c r="AE642">
        <v>3</v>
      </c>
      <c r="AF642">
        <v>19155312</v>
      </c>
      <c r="AJ642">
        <v>968684</v>
      </c>
      <c r="AM642">
        <v>2635649482</v>
      </c>
      <c r="AN642">
        <v>0</v>
      </c>
      <c r="AO642">
        <v>0</v>
      </c>
      <c r="AP642">
        <v>2635649482</v>
      </c>
      <c r="AQ642">
        <v>2635649482</v>
      </c>
      <c r="AR642">
        <v>87854982</v>
      </c>
      <c r="AS642">
        <v>0</v>
      </c>
      <c r="AT642">
        <v>0</v>
      </c>
      <c r="AU642">
        <v>87854982</v>
      </c>
      <c r="AV642">
        <v>87854982</v>
      </c>
      <c r="AW642">
        <v>7.7491000000000003</v>
      </c>
      <c r="AX642">
        <v>1.7792100000000002E-2</v>
      </c>
      <c r="AY642">
        <v>762.101</v>
      </c>
      <c r="AZ642">
        <v>235.679</v>
      </c>
      <c r="BA642">
        <v>1124</v>
      </c>
      <c r="BB642">
        <v>26</v>
      </c>
      <c r="BC642" t="str">
        <f t="shared" ref="BC642:BC705" si="20">"u="&amp;(H642+I642)&amp;"%, k=2x10^"&amp;LOG10(L642/2)</f>
        <v>u=0%, k=2x10^6</v>
      </c>
      <c r="BD642">
        <f t="shared" ref="BD642:BD705" si="21">IF(AH642="",0,LEFT(AH642,IF(ISNUMBER(FIND(" ",AH642)),FIND(" ",AH642)-1,LEN(AH642))))</f>
        <v>0</v>
      </c>
    </row>
    <row r="643" spans="1:56">
      <c r="A643" t="s">
        <v>748</v>
      </c>
      <c r="B643" t="s">
        <v>64</v>
      </c>
      <c r="C643">
        <v>72</v>
      </c>
      <c r="D643" t="s">
        <v>65</v>
      </c>
      <c r="E643" t="s">
        <v>60</v>
      </c>
      <c r="F643" t="s">
        <v>61</v>
      </c>
      <c r="G643">
        <v>30000</v>
      </c>
      <c r="H643">
        <v>0</v>
      </c>
      <c r="I643">
        <v>0</v>
      </c>
      <c r="J643">
        <v>0</v>
      </c>
      <c r="K643">
        <v>1</v>
      </c>
      <c r="L643">
        <v>2000000</v>
      </c>
      <c r="M643">
        <v>48</v>
      </c>
      <c r="N643">
        <v>48</v>
      </c>
      <c r="O643">
        <v>48</v>
      </c>
      <c r="P643">
        <v>0</v>
      </c>
      <c r="Q643" t="s">
        <v>62</v>
      </c>
      <c r="R643">
        <v>1000592177790</v>
      </c>
      <c r="S643">
        <v>1000001</v>
      </c>
      <c r="T643">
        <v>1000592177790</v>
      </c>
      <c r="U643">
        <v>1000001</v>
      </c>
      <c r="V643" t="s">
        <v>75</v>
      </c>
      <c r="W643">
        <v>5</v>
      </c>
      <c r="X643">
        <v>33035</v>
      </c>
      <c r="Y643">
        <v>1032033</v>
      </c>
      <c r="Z643">
        <v>1065068</v>
      </c>
      <c r="AA643">
        <v>1000001</v>
      </c>
      <c r="AB643">
        <v>32.240600000000001</v>
      </c>
      <c r="AC643">
        <v>0.96896199999999999</v>
      </c>
      <c r="AD643">
        <v>1.9389099999999999</v>
      </c>
      <c r="AE643">
        <v>3</v>
      </c>
      <c r="AF643">
        <v>19155312</v>
      </c>
      <c r="AJ643">
        <v>366172</v>
      </c>
      <c r="AM643">
        <v>4052017100</v>
      </c>
      <c r="AN643">
        <v>0</v>
      </c>
      <c r="AO643">
        <v>0</v>
      </c>
      <c r="AP643">
        <v>4052017100</v>
      </c>
      <c r="AQ643">
        <v>4052017100</v>
      </c>
      <c r="AR643">
        <v>135067236</v>
      </c>
      <c r="AS643">
        <v>0</v>
      </c>
      <c r="AT643">
        <v>0</v>
      </c>
      <c r="AU643">
        <v>135067236</v>
      </c>
      <c r="AV643">
        <v>135067236</v>
      </c>
      <c r="AW643">
        <v>7.7193899999999998</v>
      </c>
      <c r="AX643">
        <v>2.2803299999999999E-2</v>
      </c>
      <c r="AY643">
        <v>985.26499999999999</v>
      </c>
      <c r="AZ643">
        <v>317.54399999999998</v>
      </c>
      <c r="BA643">
        <v>1136</v>
      </c>
      <c r="BB643">
        <v>72</v>
      </c>
      <c r="BC643" t="str">
        <f t="shared" si="20"/>
        <v>u=0%, k=2x10^6</v>
      </c>
      <c r="BD643">
        <f t="shared" si="21"/>
        <v>0</v>
      </c>
    </row>
    <row r="644" spans="1:56">
      <c r="A644" t="s">
        <v>749</v>
      </c>
      <c r="B644" t="s">
        <v>64</v>
      </c>
      <c r="C644">
        <v>72</v>
      </c>
      <c r="D644" t="s">
        <v>65</v>
      </c>
      <c r="E644" t="s">
        <v>60</v>
      </c>
      <c r="F644" t="s">
        <v>61</v>
      </c>
      <c r="G644">
        <v>30000</v>
      </c>
      <c r="H644">
        <v>0</v>
      </c>
      <c r="I644">
        <v>0</v>
      </c>
      <c r="J644">
        <v>0</v>
      </c>
      <c r="K644">
        <v>1</v>
      </c>
      <c r="L644">
        <v>2000000</v>
      </c>
      <c r="M644">
        <v>96</v>
      </c>
      <c r="N644">
        <v>96</v>
      </c>
      <c r="O644">
        <v>96</v>
      </c>
      <c r="P644">
        <v>0</v>
      </c>
      <c r="Q644" t="s">
        <v>62</v>
      </c>
      <c r="R644">
        <v>999967635196</v>
      </c>
      <c r="S644">
        <v>1000001</v>
      </c>
      <c r="T644">
        <v>999967635196</v>
      </c>
      <c r="U644">
        <v>1000001</v>
      </c>
      <c r="V644" t="s">
        <v>75</v>
      </c>
      <c r="W644">
        <v>5</v>
      </c>
      <c r="X644">
        <v>33035</v>
      </c>
      <c r="Y644">
        <v>1032033</v>
      </c>
      <c r="Z644">
        <v>1065068</v>
      </c>
      <c r="AA644">
        <v>1000001</v>
      </c>
      <c r="AB644">
        <v>32.240600000000001</v>
      </c>
      <c r="AC644">
        <v>0.96896199999999999</v>
      </c>
      <c r="AD644">
        <v>1.9389099999999999</v>
      </c>
      <c r="AE644">
        <v>3</v>
      </c>
      <c r="AF644">
        <v>19155312</v>
      </c>
      <c r="AJ644">
        <v>174474</v>
      </c>
      <c r="AM644">
        <v>7666060401</v>
      </c>
      <c r="AN644">
        <v>0</v>
      </c>
      <c r="AO644">
        <v>0</v>
      </c>
      <c r="AP644">
        <v>7666060401</v>
      </c>
      <c r="AQ644">
        <v>7666060401</v>
      </c>
      <c r="AR644">
        <v>255535346</v>
      </c>
      <c r="AS644">
        <v>0</v>
      </c>
      <c r="AT644">
        <v>0</v>
      </c>
      <c r="AU644">
        <v>255535346</v>
      </c>
      <c r="AV644">
        <v>255535346</v>
      </c>
      <c r="AW644">
        <v>7.93635</v>
      </c>
      <c r="AX644">
        <v>5.6135400000000002E-2</v>
      </c>
      <c r="AY644">
        <v>1040.6099999999999</v>
      </c>
      <c r="AZ644">
        <v>326.52999999999997</v>
      </c>
      <c r="BA644">
        <v>1162</v>
      </c>
      <c r="BB644">
        <v>189</v>
      </c>
      <c r="BC644" t="str">
        <f t="shared" si="20"/>
        <v>u=0%, k=2x10^6</v>
      </c>
      <c r="BD644">
        <f t="shared" si="21"/>
        <v>0</v>
      </c>
    </row>
    <row r="645" spans="1:56">
      <c r="A645" t="s">
        <v>750</v>
      </c>
      <c r="B645" t="s">
        <v>64</v>
      </c>
      <c r="C645">
        <v>72</v>
      </c>
      <c r="D645" t="s">
        <v>65</v>
      </c>
      <c r="E645" t="s">
        <v>60</v>
      </c>
      <c r="F645" t="s">
        <v>61</v>
      </c>
      <c r="G645">
        <v>30000</v>
      </c>
      <c r="H645">
        <v>0</v>
      </c>
      <c r="I645">
        <v>0</v>
      </c>
      <c r="J645">
        <v>0</v>
      </c>
      <c r="K645">
        <v>1</v>
      </c>
      <c r="L645">
        <v>2000000</v>
      </c>
      <c r="M645">
        <v>144</v>
      </c>
      <c r="N645">
        <v>144</v>
      </c>
      <c r="O645">
        <v>144</v>
      </c>
      <c r="P645">
        <v>0</v>
      </c>
      <c r="Q645" t="s">
        <v>62</v>
      </c>
      <c r="R645">
        <v>999275274890</v>
      </c>
      <c r="S645">
        <v>1000001</v>
      </c>
      <c r="T645">
        <v>999275274890</v>
      </c>
      <c r="U645">
        <v>1000001</v>
      </c>
      <c r="V645" t="s">
        <v>75</v>
      </c>
      <c r="W645">
        <v>5</v>
      </c>
      <c r="X645">
        <v>33035</v>
      </c>
      <c r="Y645">
        <v>1032033</v>
      </c>
      <c r="Z645">
        <v>1065068</v>
      </c>
      <c r="AA645">
        <v>1000001</v>
      </c>
      <c r="AB645">
        <v>32.240600000000001</v>
      </c>
      <c r="AC645">
        <v>0.96896199999999999</v>
      </c>
      <c r="AD645">
        <v>1.9389099999999999</v>
      </c>
      <c r="AE645">
        <v>3</v>
      </c>
      <c r="AF645">
        <v>19155312</v>
      </c>
      <c r="AJ645">
        <v>112756</v>
      </c>
      <c r="AM645">
        <v>11076047350</v>
      </c>
      <c r="AN645">
        <v>0</v>
      </c>
      <c r="AO645">
        <v>0</v>
      </c>
      <c r="AP645">
        <v>11076047350</v>
      </c>
      <c r="AQ645">
        <v>11076047350</v>
      </c>
      <c r="AR645">
        <v>369201578</v>
      </c>
      <c r="AS645">
        <v>0</v>
      </c>
      <c r="AT645">
        <v>0</v>
      </c>
      <c r="AU645">
        <v>369201578</v>
      </c>
      <c r="AV645">
        <v>369201578</v>
      </c>
      <c r="AW645">
        <v>8.3040000000000003</v>
      </c>
      <c r="AX645">
        <v>7.9876299999999997E-2</v>
      </c>
      <c r="AY645">
        <v>1067.51</v>
      </c>
      <c r="AZ645">
        <v>349.827</v>
      </c>
      <c r="BA645">
        <v>1189</v>
      </c>
      <c r="BB645">
        <v>170</v>
      </c>
      <c r="BC645" t="str">
        <f t="shared" si="20"/>
        <v>u=0%, k=2x10^6</v>
      </c>
      <c r="BD645">
        <f t="shared" si="21"/>
        <v>0</v>
      </c>
    </row>
    <row r="646" spans="1:56">
      <c r="A646" t="s">
        <v>751</v>
      </c>
      <c r="B646" t="s">
        <v>64</v>
      </c>
      <c r="C646">
        <v>72</v>
      </c>
      <c r="D646" t="s">
        <v>65</v>
      </c>
      <c r="E646" t="s">
        <v>60</v>
      </c>
      <c r="F646" t="s">
        <v>61</v>
      </c>
      <c r="G646">
        <v>30000</v>
      </c>
      <c r="H646">
        <v>0</v>
      </c>
      <c r="I646">
        <v>0</v>
      </c>
      <c r="J646">
        <v>0</v>
      </c>
      <c r="K646">
        <v>1</v>
      </c>
      <c r="L646">
        <v>2000000</v>
      </c>
      <c r="M646">
        <v>190</v>
      </c>
      <c r="N646">
        <v>190</v>
      </c>
      <c r="O646">
        <v>190</v>
      </c>
      <c r="P646">
        <v>0</v>
      </c>
      <c r="Q646" t="s">
        <v>62</v>
      </c>
      <c r="R646">
        <v>1000197587973</v>
      </c>
      <c r="S646">
        <v>1000001</v>
      </c>
      <c r="T646">
        <v>1000197587973</v>
      </c>
      <c r="U646">
        <v>1000001</v>
      </c>
      <c r="V646" t="s">
        <v>75</v>
      </c>
      <c r="W646">
        <v>5</v>
      </c>
      <c r="X646">
        <v>33035</v>
      </c>
      <c r="Y646">
        <v>1032033</v>
      </c>
      <c r="Z646">
        <v>1065068</v>
      </c>
      <c r="AA646">
        <v>1000001</v>
      </c>
      <c r="AB646">
        <v>32.240600000000001</v>
      </c>
      <c r="AC646">
        <v>0.96896199999999999</v>
      </c>
      <c r="AD646">
        <v>1.9389099999999999</v>
      </c>
      <c r="AE646">
        <v>3</v>
      </c>
      <c r="AF646">
        <v>19155312</v>
      </c>
      <c r="AJ646">
        <v>102036</v>
      </c>
      <c r="AM646">
        <v>14617078113</v>
      </c>
      <c r="AN646">
        <v>0</v>
      </c>
      <c r="AO646">
        <v>0</v>
      </c>
      <c r="AP646">
        <v>14617078113</v>
      </c>
      <c r="AQ646">
        <v>14617078113</v>
      </c>
      <c r="AR646">
        <v>487235937</v>
      </c>
      <c r="AS646">
        <v>0</v>
      </c>
      <c r="AT646">
        <v>0</v>
      </c>
      <c r="AU646">
        <v>487235937</v>
      </c>
      <c r="AV646">
        <v>487235937</v>
      </c>
      <c r="AW646">
        <v>8.4193899999999999</v>
      </c>
      <c r="AX646">
        <v>9.4838099999999995E-2</v>
      </c>
      <c r="AY646">
        <v>1068.9100000000001</v>
      </c>
      <c r="AZ646">
        <v>339.63299999999998</v>
      </c>
      <c r="BA646">
        <v>1217</v>
      </c>
      <c r="BB646">
        <v>274</v>
      </c>
      <c r="BC646" t="str">
        <f t="shared" si="20"/>
        <v>u=0%, k=2x10^6</v>
      </c>
      <c r="BD646">
        <f t="shared" si="21"/>
        <v>0</v>
      </c>
    </row>
    <row r="647" spans="1:56">
      <c r="A647" t="s">
        <v>752</v>
      </c>
      <c r="B647" t="s">
        <v>66</v>
      </c>
      <c r="C647">
        <v>208</v>
      </c>
      <c r="D647" t="s">
        <v>65</v>
      </c>
      <c r="E647" t="s">
        <v>60</v>
      </c>
      <c r="F647" t="s">
        <v>61</v>
      </c>
      <c r="G647">
        <v>30000</v>
      </c>
      <c r="H647">
        <v>0</v>
      </c>
      <c r="I647">
        <v>0</v>
      </c>
      <c r="J647">
        <v>0</v>
      </c>
      <c r="K647">
        <v>1</v>
      </c>
      <c r="L647">
        <v>2000000</v>
      </c>
      <c r="M647">
        <v>24</v>
      </c>
      <c r="N647">
        <v>24</v>
      </c>
      <c r="O647">
        <v>24</v>
      </c>
      <c r="P647">
        <v>0</v>
      </c>
      <c r="Q647" t="s">
        <v>62</v>
      </c>
      <c r="R647">
        <v>1000194957604</v>
      </c>
      <c r="S647">
        <v>1000000</v>
      </c>
      <c r="T647">
        <v>1000194957604</v>
      </c>
      <c r="U647">
        <v>1000000</v>
      </c>
      <c r="V647" t="s">
        <v>75</v>
      </c>
      <c r="W647">
        <v>8</v>
      </c>
      <c r="X647">
        <v>18552</v>
      </c>
      <c r="Y647">
        <v>127466</v>
      </c>
      <c r="Z647">
        <v>146018</v>
      </c>
      <c r="AA647">
        <v>1000000</v>
      </c>
      <c r="AB647">
        <v>7.8707399999999996</v>
      </c>
      <c r="AC647">
        <v>7.8452299999999999</v>
      </c>
      <c r="AD647">
        <v>7.8484699999999998</v>
      </c>
      <c r="AE647">
        <v>7</v>
      </c>
      <c r="AF647">
        <v>30371744</v>
      </c>
      <c r="AJ647" t="s">
        <v>753</v>
      </c>
      <c r="AM647">
        <v>2088130043</v>
      </c>
      <c r="AN647">
        <v>0</v>
      </c>
      <c r="AO647">
        <v>0</v>
      </c>
      <c r="AP647">
        <v>2088130043</v>
      </c>
      <c r="AQ647">
        <v>2088130043</v>
      </c>
      <c r="AR647">
        <v>69604334</v>
      </c>
      <c r="AS647">
        <v>0</v>
      </c>
      <c r="AT647">
        <v>0</v>
      </c>
      <c r="AU647">
        <v>69604334</v>
      </c>
      <c r="AV647">
        <v>69604334</v>
      </c>
      <c r="AW647">
        <v>8.5568799999999996</v>
      </c>
      <c r="AX647">
        <v>0.269733</v>
      </c>
      <c r="AY647">
        <v>961.74599999999998</v>
      </c>
      <c r="AZ647">
        <v>240.553</v>
      </c>
      <c r="BA647">
        <v>1102</v>
      </c>
      <c r="BB647">
        <v>157</v>
      </c>
      <c r="BC647" t="str">
        <f t="shared" si="20"/>
        <v>u=0%, k=2x10^6</v>
      </c>
      <c r="BD647">
        <f t="shared" si="21"/>
        <v>0</v>
      </c>
    </row>
    <row r="648" spans="1:56">
      <c r="A648" t="s">
        <v>754</v>
      </c>
      <c r="B648" t="s">
        <v>66</v>
      </c>
      <c r="C648">
        <v>208</v>
      </c>
      <c r="D648" t="s">
        <v>65</v>
      </c>
      <c r="E648" t="s">
        <v>60</v>
      </c>
      <c r="F648" t="s">
        <v>61</v>
      </c>
      <c r="G648">
        <v>30000</v>
      </c>
      <c r="H648">
        <v>0</v>
      </c>
      <c r="I648">
        <v>0</v>
      </c>
      <c r="J648">
        <v>0</v>
      </c>
      <c r="K648">
        <v>1</v>
      </c>
      <c r="L648">
        <v>2000000</v>
      </c>
      <c r="M648">
        <v>48</v>
      </c>
      <c r="N648">
        <v>48</v>
      </c>
      <c r="O648">
        <v>48</v>
      </c>
      <c r="P648">
        <v>0</v>
      </c>
      <c r="Q648" t="s">
        <v>62</v>
      </c>
      <c r="R648">
        <v>1000611483538</v>
      </c>
      <c r="S648">
        <v>1000000</v>
      </c>
      <c r="T648">
        <v>1000611483538</v>
      </c>
      <c r="U648">
        <v>1000000</v>
      </c>
      <c r="V648" t="s">
        <v>75</v>
      </c>
      <c r="W648">
        <v>8</v>
      </c>
      <c r="X648">
        <v>18526</v>
      </c>
      <c r="Y648">
        <v>127594</v>
      </c>
      <c r="Z648">
        <v>146120</v>
      </c>
      <c r="AA648">
        <v>1000000</v>
      </c>
      <c r="AB648">
        <v>7.8872900000000001</v>
      </c>
      <c r="AC648">
        <v>7.8373600000000003</v>
      </c>
      <c r="AD648">
        <v>7.8436899999999996</v>
      </c>
      <c r="AE648">
        <v>7</v>
      </c>
      <c r="AF648">
        <v>30392960</v>
      </c>
      <c r="AJ648" t="s">
        <v>755</v>
      </c>
      <c r="AM648">
        <v>3232072443</v>
      </c>
      <c r="AN648">
        <v>0</v>
      </c>
      <c r="AO648">
        <v>0</v>
      </c>
      <c r="AP648">
        <v>3232072443</v>
      </c>
      <c r="AQ648">
        <v>3232072443</v>
      </c>
      <c r="AR648">
        <v>107735748</v>
      </c>
      <c r="AS648">
        <v>0</v>
      </c>
      <c r="AT648">
        <v>0</v>
      </c>
      <c r="AU648">
        <v>107735748</v>
      </c>
      <c r="AV648">
        <v>107735748</v>
      </c>
      <c r="AW648">
        <v>8.4727899999999998</v>
      </c>
      <c r="AX648">
        <v>0.26407999999999998</v>
      </c>
      <c r="AY648">
        <v>1203.0899999999999</v>
      </c>
      <c r="AZ648">
        <v>377.07299999999998</v>
      </c>
      <c r="BA648">
        <v>1112</v>
      </c>
      <c r="BB648">
        <v>202</v>
      </c>
      <c r="BC648" t="str">
        <f t="shared" si="20"/>
        <v>u=0%, k=2x10^6</v>
      </c>
      <c r="BD648">
        <f t="shared" si="21"/>
        <v>0</v>
      </c>
    </row>
    <row r="649" spans="1:56">
      <c r="A649" t="s">
        <v>756</v>
      </c>
      <c r="B649" t="s">
        <v>66</v>
      </c>
      <c r="C649">
        <v>208</v>
      </c>
      <c r="D649" t="s">
        <v>65</v>
      </c>
      <c r="E649" t="s">
        <v>60</v>
      </c>
      <c r="F649" t="s">
        <v>61</v>
      </c>
      <c r="G649">
        <v>30000</v>
      </c>
      <c r="H649">
        <v>0</v>
      </c>
      <c r="I649">
        <v>0</v>
      </c>
      <c r="J649">
        <v>0</v>
      </c>
      <c r="K649">
        <v>1</v>
      </c>
      <c r="L649">
        <v>2000000</v>
      </c>
      <c r="M649">
        <v>96</v>
      </c>
      <c r="N649">
        <v>96</v>
      </c>
      <c r="O649">
        <v>96</v>
      </c>
      <c r="P649">
        <v>0</v>
      </c>
      <c r="Q649" t="s">
        <v>62</v>
      </c>
      <c r="R649">
        <v>1000327858419</v>
      </c>
      <c r="S649">
        <v>1000000</v>
      </c>
      <c r="T649">
        <v>1000327858419</v>
      </c>
      <c r="U649">
        <v>1000000</v>
      </c>
      <c r="V649" t="s">
        <v>75</v>
      </c>
      <c r="W649">
        <v>8</v>
      </c>
      <c r="X649">
        <v>18540</v>
      </c>
      <c r="Y649">
        <v>127502</v>
      </c>
      <c r="Z649">
        <v>146042</v>
      </c>
      <c r="AA649">
        <v>1000000</v>
      </c>
      <c r="AB649">
        <v>7.8771300000000002</v>
      </c>
      <c r="AC649">
        <v>7.8430099999999996</v>
      </c>
      <c r="AD649">
        <v>7.8473499999999996</v>
      </c>
      <c r="AE649">
        <v>7</v>
      </c>
      <c r="AF649">
        <v>30376736</v>
      </c>
      <c r="AJ649">
        <v>142840</v>
      </c>
      <c r="AM649">
        <v>6312861680</v>
      </c>
      <c r="AN649">
        <v>0</v>
      </c>
      <c r="AO649">
        <v>0</v>
      </c>
      <c r="AP649">
        <v>6312861680</v>
      </c>
      <c r="AQ649">
        <v>6312861680</v>
      </c>
      <c r="AR649">
        <v>210428722</v>
      </c>
      <c r="AS649">
        <v>0</v>
      </c>
      <c r="AT649">
        <v>0</v>
      </c>
      <c r="AU649">
        <v>210428722</v>
      </c>
      <c r="AV649">
        <v>210428722</v>
      </c>
      <c r="AW649">
        <v>8.6058699999999995</v>
      </c>
      <c r="AX649">
        <v>0.32944200000000001</v>
      </c>
      <c r="AY649">
        <v>1250.8499999999999</v>
      </c>
      <c r="AZ649">
        <v>386.90600000000001</v>
      </c>
      <c r="BA649">
        <v>1131</v>
      </c>
      <c r="BB649">
        <v>321</v>
      </c>
      <c r="BC649" t="str">
        <f t="shared" si="20"/>
        <v>u=0%, k=2x10^6</v>
      </c>
      <c r="BD649">
        <f t="shared" si="21"/>
        <v>0</v>
      </c>
    </row>
    <row r="650" spans="1:56">
      <c r="A650" t="s">
        <v>757</v>
      </c>
      <c r="B650" t="s">
        <v>66</v>
      </c>
      <c r="C650">
        <v>208</v>
      </c>
      <c r="D650" t="s">
        <v>65</v>
      </c>
      <c r="E650" t="s">
        <v>60</v>
      </c>
      <c r="F650" t="s">
        <v>61</v>
      </c>
      <c r="G650">
        <v>30000</v>
      </c>
      <c r="H650">
        <v>0</v>
      </c>
      <c r="I650">
        <v>0</v>
      </c>
      <c r="J650">
        <v>0</v>
      </c>
      <c r="K650">
        <v>1</v>
      </c>
      <c r="L650">
        <v>2000000</v>
      </c>
      <c r="M650">
        <v>144</v>
      </c>
      <c r="N650">
        <v>144</v>
      </c>
      <c r="O650">
        <v>144</v>
      </c>
      <c r="P650">
        <v>0</v>
      </c>
      <c r="Q650" t="s">
        <v>62</v>
      </c>
      <c r="R650">
        <v>1000760220766</v>
      </c>
      <c r="S650">
        <v>1000000</v>
      </c>
      <c r="T650">
        <v>1000760220766</v>
      </c>
      <c r="U650">
        <v>1000000</v>
      </c>
      <c r="V650" t="s">
        <v>75</v>
      </c>
      <c r="W650">
        <v>8</v>
      </c>
      <c r="X650">
        <v>18545</v>
      </c>
      <c r="Y650">
        <v>127619</v>
      </c>
      <c r="Z650">
        <v>146164</v>
      </c>
      <c r="AA650">
        <v>1000000</v>
      </c>
      <c r="AB650">
        <v>7.8815900000000001</v>
      </c>
      <c r="AC650">
        <v>7.83582</v>
      </c>
      <c r="AD650">
        <v>7.8416300000000003</v>
      </c>
      <c r="AE650">
        <v>7</v>
      </c>
      <c r="AF650">
        <v>30402112</v>
      </c>
      <c r="AJ650" t="s">
        <v>758</v>
      </c>
      <c r="AM650">
        <v>9399377729</v>
      </c>
      <c r="AN650">
        <v>0</v>
      </c>
      <c r="AO650">
        <v>0</v>
      </c>
      <c r="AP650">
        <v>9399377729</v>
      </c>
      <c r="AQ650">
        <v>9399377729</v>
      </c>
      <c r="AR650">
        <v>313312590</v>
      </c>
      <c r="AS650">
        <v>0</v>
      </c>
      <c r="AT650">
        <v>0</v>
      </c>
      <c r="AU650">
        <v>313312590</v>
      </c>
      <c r="AV650">
        <v>313312590</v>
      </c>
      <c r="AW650">
        <v>8.5788100000000007</v>
      </c>
      <c r="AX650">
        <v>0.35221200000000003</v>
      </c>
      <c r="AY650">
        <v>1233.72</v>
      </c>
      <c r="AZ650">
        <v>363.67899999999997</v>
      </c>
      <c r="BA650">
        <v>1136</v>
      </c>
      <c r="BB650">
        <v>238</v>
      </c>
      <c r="BC650" t="str">
        <f t="shared" si="20"/>
        <v>u=0%, k=2x10^6</v>
      </c>
      <c r="BD650">
        <f t="shared" si="21"/>
        <v>0</v>
      </c>
    </row>
    <row r="651" spans="1:56">
      <c r="A651" t="s">
        <v>759</v>
      </c>
      <c r="B651" t="s">
        <v>66</v>
      </c>
      <c r="C651">
        <v>208</v>
      </c>
      <c r="D651" t="s">
        <v>65</v>
      </c>
      <c r="E651" t="s">
        <v>60</v>
      </c>
      <c r="F651" t="s">
        <v>61</v>
      </c>
      <c r="G651">
        <v>30000</v>
      </c>
      <c r="H651">
        <v>0</v>
      </c>
      <c r="I651">
        <v>0</v>
      </c>
      <c r="J651">
        <v>0</v>
      </c>
      <c r="K651">
        <v>1</v>
      </c>
      <c r="L651">
        <v>2000000</v>
      </c>
      <c r="M651">
        <v>190</v>
      </c>
      <c r="N651">
        <v>190</v>
      </c>
      <c r="O651">
        <v>190</v>
      </c>
      <c r="P651">
        <v>0</v>
      </c>
      <c r="Q651" t="s">
        <v>62</v>
      </c>
      <c r="R651">
        <v>999519042358</v>
      </c>
      <c r="S651">
        <v>1000000</v>
      </c>
      <c r="T651">
        <v>999519042358</v>
      </c>
      <c r="U651">
        <v>1000000</v>
      </c>
      <c r="V651" t="s">
        <v>75</v>
      </c>
      <c r="W651">
        <v>8</v>
      </c>
      <c r="X651">
        <v>18516</v>
      </c>
      <c r="Y651">
        <v>127561</v>
      </c>
      <c r="Z651">
        <v>146077</v>
      </c>
      <c r="AA651">
        <v>1000000</v>
      </c>
      <c r="AB651">
        <v>7.8892300000000004</v>
      </c>
      <c r="AC651">
        <v>7.8393899999999999</v>
      </c>
      <c r="AD651">
        <v>7.8456999999999999</v>
      </c>
      <c r="AE651">
        <v>7</v>
      </c>
      <c r="AF651">
        <v>30384016</v>
      </c>
      <c r="AJ651">
        <v>86790</v>
      </c>
      <c r="AM651">
        <v>12330911262</v>
      </c>
      <c r="AN651">
        <v>0</v>
      </c>
      <c r="AO651">
        <v>0</v>
      </c>
      <c r="AP651">
        <v>12330911262</v>
      </c>
      <c r="AQ651">
        <v>12330911262</v>
      </c>
      <c r="AR651">
        <v>411030375</v>
      </c>
      <c r="AS651">
        <v>0</v>
      </c>
      <c r="AT651">
        <v>0</v>
      </c>
      <c r="AU651">
        <v>411030375</v>
      </c>
      <c r="AV651">
        <v>411030375</v>
      </c>
      <c r="AW651">
        <v>8.6184399999999997</v>
      </c>
      <c r="AX651">
        <v>0.37945099999999998</v>
      </c>
      <c r="AY651">
        <v>1235.01</v>
      </c>
      <c r="AZ651">
        <v>359.26100000000002</v>
      </c>
      <c r="BA651">
        <v>1150</v>
      </c>
      <c r="BB651">
        <v>335</v>
      </c>
      <c r="BC651" t="str">
        <f t="shared" si="20"/>
        <v>u=0%, k=2x10^6</v>
      </c>
      <c r="BD651">
        <f t="shared" si="21"/>
        <v>0</v>
      </c>
    </row>
    <row r="652" spans="1:56">
      <c r="A652" t="s">
        <v>760</v>
      </c>
      <c r="B652" t="s">
        <v>67</v>
      </c>
      <c r="D652" t="s">
        <v>65</v>
      </c>
      <c r="E652" t="s">
        <v>60</v>
      </c>
      <c r="F652" t="s">
        <v>61</v>
      </c>
      <c r="G652">
        <v>30000</v>
      </c>
      <c r="H652">
        <v>0</v>
      </c>
      <c r="I652">
        <v>0</v>
      </c>
      <c r="J652">
        <v>0</v>
      </c>
      <c r="K652">
        <v>1</v>
      </c>
      <c r="L652">
        <v>2000000</v>
      </c>
      <c r="M652">
        <v>24</v>
      </c>
      <c r="N652">
        <v>24</v>
      </c>
      <c r="O652">
        <v>24</v>
      </c>
      <c r="P652">
        <v>0</v>
      </c>
      <c r="Q652" t="s">
        <v>62</v>
      </c>
      <c r="R652">
        <v>1000367361379</v>
      </c>
      <c r="S652">
        <v>1000000</v>
      </c>
      <c r="T652">
        <v>1000367361379</v>
      </c>
      <c r="U652">
        <v>1000000</v>
      </c>
      <c r="V652" t="s">
        <v>75</v>
      </c>
      <c r="W652">
        <v>25</v>
      </c>
      <c r="X652">
        <v>571412</v>
      </c>
      <c r="Y652">
        <v>428589</v>
      </c>
      <c r="Z652">
        <v>1000001</v>
      </c>
      <c r="AA652">
        <v>1000000</v>
      </c>
      <c r="AB652">
        <v>1.7500500000000001</v>
      </c>
      <c r="AC652">
        <v>2.33324</v>
      </c>
      <c r="AD652">
        <v>2</v>
      </c>
      <c r="AE652">
        <v>19.3141</v>
      </c>
      <c r="AF652">
        <v>56000056</v>
      </c>
      <c r="AJ652" t="s">
        <v>761</v>
      </c>
      <c r="AM652">
        <v>931794778</v>
      </c>
      <c r="AN652">
        <v>0</v>
      </c>
      <c r="AO652">
        <v>0</v>
      </c>
      <c r="AP652">
        <v>931794778</v>
      </c>
      <c r="AQ652">
        <v>931794778</v>
      </c>
      <c r="AR652">
        <v>31059825</v>
      </c>
      <c r="AS652">
        <v>0</v>
      </c>
      <c r="AT652">
        <v>0</v>
      </c>
      <c r="AU652">
        <v>31059825</v>
      </c>
      <c r="AV652">
        <v>31059825</v>
      </c>
      <c r="AW652">
        <v>14.785299999999999</v>
      </c>
      <c r="AX652">
        <v>1.8111699999999999</v>
      </c>
      <c r="AY652">
        <v>2155.4499999999998</v>
      </c>
      <c r="AZ652">
        <v>1071.92</v>
      </c>
      <c r="BA652">
        <v>1132</v>
      </c>
      <c r="BB652">
        <v>193</v>
      </c>
      <c r="BC652" t="str">
        <f t="shared" si="20"/>
        <v>u=0%, k=2x10^6</v>
      </c>
      <c r="BD652">
        <f t="shared" si="21"/>
        <v>0</v>
      </c>
    </row>
    <row r="653" spans="1:56">
      <c r="A653" t="s">
        <v>762</v>
      </c>
      <c r="B653" t="s">
        <v>67</v>
      </c>
      <c r="D653" t="s">
        <v>65</v>
      </c>
      <c r="E653" t="s">
        <v>60</v>
      </c>
      <c r="F653" t="s">
        <v>61</v>
      </c>
      <c r="G653">
        <v>30000</v>
      </c>
      <c r="H653">
        <v>0</v>
      </c>
      <c r="I653">
        <v>0</v>
      </c>
      <c r="J653">
        <v>0</v>
      </c>
      <c r="K653">
        <v>1</v>
      </c>
      <c r="L653">
        <v>2000000</v>
      </c>
      <c r="M653">
        <v>48</v>
      </c>
      <c r="N653">
        <v>48</v>
      </c>
      <c r="O653">
        <v>48</v>
      </c>
      <c r="P653">
        <v>0</v>
      </c>
      <c r="Q653" t="s">
        <v>62</v>
      </c>
      <c r="R653">
        <v>999810103323</v>
      </c>
      <c r="S653">
        <v>1000000</v>
      </c>
      <c r="T653">
        <v>999810103323</v>
      </c>
      <c r="U653">
        <v>1000000</v>
      </c>
      <c r="V653" t="s">
        <v>75</v>
      </c>
      <c r="W653">
        <v>25</v>
      </c>
      <c r="X653">
        <v>571408</v>
      </c>
      <c r="Y653">
        <v>428593</v>
      </c>
      <c r="Z653">
        <v>1000001</v>
      </c>
      <c r="AA653">
        <v>1000000</v>
      </c>
      <c r="AB653">
        <v>1.7500599999999999</v>
      </c>
      <c r="AC653">
        <v>2.3332199999999998</v>
      </c>
      <c r="AD653">
        <v>2</v>
      </c>
      <c r="AE653">
        <v>19.3752</v>
      </c>
      <c r="AF653">
        <v>56000056</v>
      </c>
      <c r="AJ653">
        <v>145122</v>
      </c>
      <c r="AM653">
        <v>1594405288</v>
      </c>
      <c r="AN653">
        <v>0</v>
      </c>
      <c r="AO653">
        <v>0</v>
      </c>
      <c r="AP653">
        <v>1594405288</v>
      </c>
      <c r="AQ653">
        <v>1594405288</v>
      </c>
      <c r="AR653">
        <v>53146842</v>
      </c>
      <c r="AS653">
        <v>0</v>
      </c>
      <c r="AT653">
        <v>0</v>
      </c>
      <c r="AU653">
        <v>53146842</v>
      </c>
      <c r="AV653">
        <v>53146842</v>
      </c>
      <c r="AW653">
        <v>15.7202</v>
      </c>
      <c r="AX653">
        <v>1.8490200000000001</v>
      </c>
      <c r="AY653">
        <v>2505.98</v>
      </c>
      <c r="AZ653">
        <v>1280.42</v>
      </c>
      <c r="BA653">
        <v>1137</v>
      </c>
      <c r="BB653">
        <v>229</v>
      </c>
      <c r="BC653" t="str">
        <f t="shared" si="20"/>
        <v>u=0%, k=2x10^6</v>
      </c>
      <c r="BD653">
        <f t="shared" si="21"/>
        <v>0</v>
      </c>
    </row>
    <row r="654" spans="1:56">
      <c r="A654" t="s">
        <v>763</v>
      </c>
      <c r="B654" t="s">
        <v>67</v>
      </c>
      <c r="D654" t="s">
        <v>65</v>
      </c>
      <c r="E654" t="s">
        <v>60</v>
      </c>
      <c r="F654" t="s">
        <v>61</v>
      </c>
      <c r="G654">
        <v>30000</v>
      </c>
      <c r="H654">
        <v>0</v>
      </c>
      <c r="I654">
        <v>0</v>
      </c>
      <c r="J654">
        <v>0</v>
      </c>
      <c r="K654">
        <v>1</v>
      </c>
      <c r="L654">
        <v>2000000</v>
      </c>
      <c r="M654">
        <v>96</v>
      </c>
      <c r="N654">
        <v>96</v>
      </c>
      <c r="O654">
        <v>96</v>
      </c>
      <c r="P654">
        <v>0</v>
      </c>
      <c r="Q654" t="s">
        <v>62</v>
      </c>
      <c r="R654">
        <v>999418970385</v>
      </c>
      <c r="S654">
        <v>1000000</v>
      </c>
      <c r="T654">
        <v>999418970385</v>
      </c>
      <c r="U654">
        <v>1000000</v>
      </c>
      <c r="V654" t="s">
        <v>75</v>
      </c>
      <c r="W654">
        <v>25</v>
      </c>
      <c r="X654">
        <v>571591</v>
      </c>
      <c r="Y654">
        <v>428410</v>
      </c>
      <c r="Z654">
        <v>1000001</v>
      </c>
      <c r="AA654">
        <v>1000000</v>
      </c>
      <c r="AB654">
        <v>1.7495000000000001</v>
      </c>
      <c r="AC654">
        <v>2.3342100000000001</v>
      </c>
      <c r="AD654">
        <v>2</v>
      </c>
      <c r="AE654">
        <v>19.3139</v>
      </c>
      <c r="AF654">
        <v>56000056</v>
      </c>
      <c r="AJ654">
        <v>75308</v>
      </c>
      <c r="AM654">
        <v>3307232673</v>
      </c>
      <c r="AN654">
        <v>0</v>
      </c>
      <c r="AO654">
        <v>0</v>
      </c>
      <c r="AP654">
        <v>3307232673</v>
      </c>
      <c r="AQ654">
        <v>3307232673</v>
      </c>
      <c r="AR654">
        <v>110241089</v>
      </c>
      <c r="AS654">
        <v>0</v>
      </c>
      <c r="AT654">
        <v>0</v>
      </c>
      <c r="AU654">
        <v>110241089</v>
      </c>
      <c r="AV654">
        <v>110241089</v>
      </c>
      <c r="AW654">
        <v>15.644</v>
      </c>
      <c r="AX654">
        <v>2.0896499999999998</v>
      </c>
      <c r="AY654">
        <v>2376.84</v>
      </c>
      <c r="AZ654">
        <v>1085.68</v>
      </c>
      <c r="BA654">
        <v>1146</v>
      </c>
      <c r="BB654">
        <v>352</v>
      </c>
      <c r="BC654" t="str">
        <f t="shared" si="20"/>
        <v>u=0%, k=2x10^6</v>
      </c>
      <c r="BD654">
        <f t="shared" si="21"/>
        <v>0</v>
      </c>
    </row>
    <row r="655" spans="1:56">
      <c r="A655" t="s">
        <v>764</v>
      </c>
      <c r="B655" t="s">
        <v>67</v>
      </c>
      <c r="D655" t="s">
        <v>65</v>
      </c>
      <c r="E655" t="s">
        <v>60</v>
      </c>
      <c r="F655" t="s">
        <v>61</v>
      </c>
      <c r="G655">
        <v>30000</v>
      </c>
      <c r="H655">
        <v>0</v>
      </c>
      <c r="I655">
        <v>0</v>
      </c>
      <c r="J655">
        <v>0</v>
      </c>
      <c r="K655">
        <v>1</v>
      </c>
      <c r="L655">
        <v>2000000</v>
      </c>
      <c r="M655">
        <v>144</v>
      </c>
      <c r="N655">
        <v>144</v>
      </c>
      <c r="O655">
        <v>144</v>
      </c>
      <c r="P655">
        <v>0</v>
      </c>
      <c r="Q655" t="s">
        <v>62</v>
      </c>
      <c r="R655">
        <v>1000282053192</v>
      </c>
      <c r="S655">
        <v>1000000</v>
      </c>
      <c r="T655">
        <v>1000282053192</v>
      </c>
      <c r="U655">
        <v>1000000</v>
      </c>
      <c r="V655" t="s">
        <v>75</v>
      </c>
      <c r="W655">
        <v>25</v>
      </c>
      <c r="X655">
        <v>571567</v>
      </c>
      <c r="Y655">
        <v>428434</v>
      </c>
      <c r="Z655">
        <v>1000001</v>
      </c>
      <c r="AA655">
        <v>1000000</v>
      </c>
      <c r="AB655">
        <v>1.7495799999999999</v>
      </c>
      <c r="AC655">
        <v>2.3340800000000002</v>
      </c>
      <c r="AD655">
        <v>2</v>
      </c>
      <c r="AE655">
        <v>19.2944</v>
      </c>
      <c r="AF655">
        <v>56000056</v>
      </c>
      <c r="AJ655">
        <v>49722</v>
      </c>
      <c r="AM655">
        <v>4925389500</v>
      </c>
      <c r="AN655">
        <v>0</v>
      </c>
      <c r="AO655">
        <v>0</v>
      </c>
      <c r="AP655">
        <v>4925389500</v>
      </c>
      <c r="AQ655">
        <v>4925389500</v>
      </c>
      <c r="AR655">
        <v>164179650</v>
      </c>
      <c r="AS655">
        <v>0</v>
      </c>
      <c r="AT655">
        <v>0</v>
      </c>
      <c r="AU655">
        <v>164179650</v>
      </c>
      <c r="AV655">
        <v>164179650</v>
      </c>
      <c r="AW655">
        <v>15.657</v>
      </c>
      <c r="AX655">
        <v>2.11069</v>
      </c>
      <c r="AY655">
        <v>2356.37</v>
      </c>
      <c r="AZ655">
        <v>1048.92</v>
      </c>
      <c r="BA655">
        <v>1158</v>
      </c>
      <c r="BB655">
        <v>351</v>
      </c>
      <c r="BC655" t="str">
        <f t="shared" si="20"/>
        <v>u=0%, k=2x10^6</v>
      </c>
      <c r="BD655">
        <f t="shared" si="21"/>
        <v>0</v>
      </c>
    </row>
    <row r="656" spans="1:56">
      <c r="A656" t="s">
        <v>765</v>
      </c>
      <c r="B656" t="s">
        <v>67</v>
      </c>
      <c r="D656" t="s">
        <v>65</v>
      </c>
      <c r="E656" t="s">
        <v>60</v>
      </c>
      <c r="F656" t="s">
        <v>61</v>
      </c>
      <c r="G656">
        <v>30000</v>
      </c>
      <c r="H656">
        <v>0</v>
      </c>
      <c r="I656">
        <v>0</v>
      </c>
      <c r="J656">
        <v>0</v>
      </c>
      <c r="K656">
        <v>1</v>
      </c>
      <c r="L656">
        <v>2000000</v>
      </c>
      <c r="M656">
        <v>190</v>
      </c>
      <c r="N656">
        <v>190</v>
      </c>
      <c r="O656">
        <v>190</v>
      </c>
      <c r="P656">
        <v>0</v>
      </c>
      <c r="Q656" t="s">
        <v>62</v>
      </c>
      <c r="R656">
        <v>999297048094</v>
      </c>
      <c r="S656">
        <v>1000000</v>
      </c>
      <c r="T656">
        <v>999297048094</v>
      </c>
      <c r="U656">
        <v>1000000</v>
      </c>
      <c r="V656" t="s">
        <v>75</v>
      </c>
      <c r="W656">
        <v>25</v>
      </c>
      <c r="X656">
        <v>571374</v>
      </c>
      <c r="Y656">
        <v>428627</v>
      </c>
      <c r="Z656">
        <v>1000001</v>
      </c>
      <c r="AA656">
        <v>1000000</v>
      </c>
      <c r="AB656">
        <v>1.75017</v>
      </c>
      <c r="AC656">
        <v>2.3330299999999999</v>
      </c>
      <c r="AD656">
        <v>2</v>
      </c>
      <c r="AE656">
        <v>19.317499999999999</v>
      </c>
      <c r="AF656">
        <v>56000056</v>
      </c>
      <c r="AJ656">
        <v>42486</v>
      </c>
      <c r="AM656">
        <v>6571595956</v>
      </c>
      <c r="AN656">
        <v>0</v>
      </c>
      <c r="AO656">
        <v>0</v>
      </c>
      <c r="AP656">
        <v>6571595956</v>
      </c>
      <c r="AQ656">
        <v>6571595956</v>
      </c>
      <c r="AR656">
        <v>219053198</v>
      </c>
      <c r="AS656">
        <v>0</v>
      </c>
      <c r="AT656">
        <v>0</v>
      </c>
      <c r="AU656">
        <v>219053198</v>
      </c>
      <c r="AV656">
        <v>219053198</v>
      </c>
      <c r="AW656">
        <v>15.6754</v>
      </c>
      <c r="AX656">
        <v>2.1014300000000001</v>
      </c>
      <c r="AY656">
        <v>2334.11</v>
      </c>
      <c r="AZ656">
        <v>1024.49</v>
      </c>
      <c r="BA656">
        <v>1166</v>
      </c>
      <c r="BB656">
        <v>387</v>
      </c>
      <c r="BC656" t="str">
        <f t="shared" si="20"/>
        <v>u=0%, k=2x10^6</v>
      </c>
      <c r="BD656">
        <f t="shared" si="21"/>
        <v>0</v>
      </c>
    </row>
    <row r="657" spans="1:56">
      <c r="A657" t="s">
        <v>766</v>
      </c>
      <c r="B657" t="s">
        <v>68</v>
      </c>
      <c r="D657" t="s">
        <v>65</v>
      </c>
      <c r="E657" t="s">
        <v>60</v>
      </c>
      <c r="F657" t="s">
        <v>61</v>
      </c>
      <c r="G657">
        <v>30000</v>
      </c>
      <c r="H657">
        <v>0</v>
      </c>
      <c r="I657">
        <v>0</v>
      </c>
      <c r="J657">
        <v>0</v>
      </c>
      <c r="K657">
        <v>1</v>
      </c>
      <c r="L657">
        <v>2000000</v>
      </c>
      <c r="M657">
        <v>24</v>
      </c>
      <c r="N657">
        <v>24</v>
      </c>
      <c r="O657">
        <v>24</v>
      </c>
      <c r="P657">
        <v>0</v>
      </c>
      <c r="Q657" t="s">
        <v>62</v>
      </c>
      <c r="R657">
        <v>999469274353</v>
      </c>
      <c r="S657">
        <v>1000000</v>
      </c>
      <c r="T657">
        <v>999469274353</v>
      </c>
      <c r="U657">
        <v>1000000</v>
      </c>
      <c r="V657" t="s">
        <v>75</v>
      </c>
      <c r="W657">
        <v>48</v>
      </c>
      <c r="X657">
        <v>999999</v>
      </c>
      <c r="Y657">
        <v>1000000</v>
      </c>
      <c r="Z657">
        <v>1999999</v>
      </c>
      <c r="AA657">
        <v>1000000</v>
      </c>
      <c r="AB657">
        <v>2</v>
      </c>
      <c r="AC657">
        <v>1</v>
      </c>
      <c r="AD657">
        <v>1.5</v>
      </c>
      <c r="AE657">
        <v>26.433399999999999</v>
      </c>
      <c r="AF657">
        <v>63999968</v>
      </c>
      <c r="AJ657" t="s">
        <v>767</v>
      </c>
      <c r="AM657">
        <v>816004211</v>
      </c>
      <c r="AN657">
        <v>0</v>
      </c>
      <c r="AO657">
        <v>0</v>
      </c>
      <c r="AP657">
        <v>816004211</v>
      </c>
      <c r="AQ657">
        <v>816004211</v>
      </c>
      <c r="AR657">
        <v>27200140</v>
      </c>
      <c r="AS657">
        <v>0</v>
      </c>
      <c r="AT657">
        <v>0</v>
      </c>
      <c r="AU657">
        <v>27200140</v>
      </c>
      <c r="AV657">
        <v>27200140</v>
      </c>
      <c r="AW657">
        <v>11.880800000000001</v>
      </c>
      <c r="AX657">
        <v>1.5712299999999999</v>
      </c>
      <c r="AY657">
        <v>2461.5100000000002</v>
      </c>
      <c r="AZ657">
        <v>1473.58</v>
      </c>
      <c r="BA657">
        <v>1132</v>
      </c>
      <c r="BB657">
        <v>176</v>
      </c>
      <c r="BC657" t="str">
        <f t="shared" si="20"/>
        <v>u=0%, k=2x10^6</v>
      </c>
      <c r="BD657">
        <f t="shared" si="21"/>
        <v>0</v>
      </c>
    </row>
    <row r="658" spans="1:56">
      <c r="A658" t="s">
        <v>768</v>
      </c>
      <c r="B658" t="s">
        <v>68</v>
      </c>
      <c r="D658" t="s">
        <v>65</v>
      </c>
      <c r="E658" t="s">
        <v>60</v>
      </c>
      <c r="F658" t="s">
        <v>61</v>
      </c>
      <c r="G658">
        <v>30000</v>
      </c>
      <c r="H658">
        <v>0</v>
      </c>
      <c r="I658">
        <v>0</v>
      </c>
      <c r="J658">
        <v>0</v>
      </c>
      <c r="K658">
        <v>1</v>
      </c>
      <c r="L658">
        <v>2000000</v>
      </c>
      <c r="M658">
        <v>48</v>
      </c>
      <c r="N658">
        <v>48</v>
      </c>
      <c r="O658">
        <v>48</v>
      </c>
      <c r="P658">
        <v>0</v>
      </c>
      <c r="Q658" t="s">
        <v>62</v>
      </c>
      <c r="R658">
        <v>999619786203</v>
      </c>
      <c r="S658">
        <v>1000000</v>
      </c>
      <c r="T658">
        <v>999619786203</v>
      </c>
      <c r="U658">
        <v>1000000</v>
      </c>
      <c r="V658" t="s">
        <v>75</v>
      </c>
      <c r="W658">
        <v>50</v>
      </c>
      <c r="X658">
        <v>999999</v>
      </c>
      <c r="Y658">
        <v>1000000</v>
      </c>
      <c r="Z658">
        <v>1999999</v>
      </c>
      <c r="AA658">
        <v>1000000</v>
      </c>
      <c r="AB658">
        <v>2</v>
      </c>
      <c r="AC658">
        <v>1</v>
      </c>
      <c r="AD658">
        <v>1.5</v>
      </c>
      <c r="AE658">
        <v>26.6478</v>
      </c>
      <c r="AF658">
        <v>63999968</v>
      </c>
      <c r="AJ658" t="s">
        <v>769</v>
      </c>
      <c r="AM658">
        <v>1481804563</v>
      </c>
      <c r="AN658">
        <v>0</v>
      </c>
      <c r="AO658">
        <v>0</v>
      </c>
      <c r="AP658">
        <v>1481804563</v>
      </c>
      <c r="AQ658">
        <v>1481804563</v>
      </c>
      <c r="AR658">
        <v>49393485</v>
      </c>
      <c r="AS658">
        <v>0</v>
      </c>
      <c r="AT658">
        <v>0</v>
      </c>
      <c r="AU658">
        <v>49393485</v>
      </c>
      <c r="AV658">
        <v>49393485</v>
      </c>
      <c r="AW658">
        <v>11.6607</v>
      </c>
      <c r="AX658">
        <v>1.5583400000000001</v>
      </c>
      <c r="AY658">
        <v>2710.07</v>
      </c>
      <c r="AZ658">
        <v>1796.24</v>
      </c>
      <c r="BA658">
        <v>1137</v>
      </c>
      <c r="BB658">
        <v>209</v>
      </c>
      <c r="BC658" t="str">
        <f t="shared" si="20"/>
        <v>u=0%, k=2x10^6</v>
      </c>
      <c r="BD658">
        <f t="shared" si="21"/>
        <v>0</v>
      </c>
    </row>
    <row r="659" spans="1:56">
      <c r="A659" t="s">
        <v>770</v>
      </c>
      <c r="B659" t="s">
        <v>68</v>
      </c>
      <c r="D659" t="s">
        <v>65</v>
      </c>
      <c r="E659" t="s">
        <v>60</v>
      </c>
      <c r="F659" t="s">
        <v>61</v>
      </c>
      <c r="G659">
        <v>30000</v>
      </c>
      <c r="H659">
        <v>0</v>
      </c>
      <c r="I659">
        <v>0</v>
      </c>
      <c r="J659">
        <v>0</v>
      </c>
      <c r="K659">
        <v>1</v>
      </c>
      <c r="L659">
        <v>2000000</v>
      </c>
      <c r="M659">
        <v>96</v>
      </c>
      <c r="N659">
        <v>96</v>
      </c>
      <c r="O659">
        <v>96</v>
      </c>
      <c r="P659">
        <v>0</v>
      </c>
      <c r="Q659" t="s">
        <v>62</v>
      </c>
      <c r="R659">
        <v>999161415857</v>
      </c>
      <c r="S659">
        <v>1000000</v>
      </c>
      <c r="T659">
        <v>999161415857</v>
      </c>
      <c r="U659">
        <v>1000000</v>
      </c>
      <c r="V659" t="s">
        <v>75</v>
      </c>
      <c r="W659">
        <v>48</v>
      </c>
      <c r="X659">
        <v>999999</v>
      </c>
      <c r="Y659">
        <v>1000000</v>
      </c>
      <c r="Z659">
        <v>1999999</v>
      </c>
      <c r="AA659">
        <v>1000000</v>
      </c>
      <c r="AB659">
        <v>2</v>
      </c>
      <c r="AC659">
        <v>1</v>
      </c>
      <c r="AD659">
        <v>1.5</v>
      </c>
      <c r="AE659">
        <v>26.093399999999999</v>
      </c>
      <c r="AF659">
        <v>63999968</v>
      </c>
      <c r="AJ659" t="s">
        <v>771</v>
      </c>
      <c r="AM659">
        <v>3210117274</v>
      </c>
      <c r="AN659">
        <v>0</v>
      </c>
      <c r="AO659">
        <v>0</v>
      </c>
      <c r="AP659">
        <v>3210117274</v>
      </c>
      <c r="AQ659">
        <v>3210117274</v>
      </c>
      <c r="AR659">
        <v>107003909</v>
      </c>
      <c r="AS659">
        <v>0</v>
      </c>
      <c r="AT659">
        <v>0</v>
      </c>
      <c r="AU659">
        <v>107003909</v>
      </c>
      <c r="AV659">
        <v>107003909</v>
      </c>
      <c r="AW659">
        <v>11.9018</v>
      </c>
      <c r="AX659">
        <v>1.77498</v>
      </c>
      <c r="AY659">
        <v>2497.91</v>
      </c>
      <c r="AZ659">
        <v>1571.2</v>
      </c>
      <c r="BA659">
        <v>1146</v>
      </c>
      <c r="BB659">
        <v>332</v>
      </c>
      <c r="BC659" t="str">
        <f t="shared" si="20"/>
        <v>u=0%, k=2x10^6</v>
      </c>
      <c r="BD659">
        <f t="shared" si="21"/>
        <v>0</v>
      </c>
    </row>
    <row r="660" spans="1:56">
      <c r="A660" t="s">
        <v>772</v>
      </c>
      <c r="B660" t="s">
        <v>68</v>
      </c>
      <c r="D660" t="s">
        <v>65</v>
      </c>
      <c r="E660" t="s">
        <v>60</v>
      </c>
      <c r="F660" t="s">
        <v>61</v>
      </c>
      <c r="G660">
        <v>30000</v>
      </c>
      <c r="H660">
        <v>0</v>
      </c>
      <c r="I660">
        <v>0</v>
      </c>
      <c r="J660">
        <v>0</v>
      </c>
      <c r="K660">
        <v>1</v>
      </c>
      <c r="L660">
        <v>2000000</v>
      </c>
      <c r="M660">
        <v>144</v>
      </c>
      <c r="N660">
        <v>144</v>
      </c>
      <c r="O660">
        <v>144</v>
      </c>
      <c r="P660">
        <v>0</v>
      </c>
      <c r="Q660" t="s">
        <v>62</v>
      </c>
      <c r="R660">
        <v>1000263932391</v>
      </c>
      <c r="S660">
        <v>1000000</v>
      </c>
      <c r="T660">
        <v>1000263932391</v>
      </c>
      <c r="U660">
        <v>1000000</v>
      </c>
      <c r="V660" t="s">
        <v>75</v>
      </c>
      <c r="W660">
        <v>53</v>
      </c>
      <c r="X660">
        <v>999999</v>
      </c>
      <c r="Y660">
        <v>1000000</v>
      </c>
      <c r="Z660">
        <v>1999999</v>
      </c>
      <c r="AA660">
        <v>1000000</v>
      </c>
      <c r="AB660">
        <v>2</v>
      </c>
      <c r="AC660">
        <v>1</v>
      </c>
      <c r="AD660">
        <v>1.5</v>
      </c>
      <c r="AE660">
        <v>26.192900000000002</v>
      </c>
      <c r="AF660">
        <v>63999968</v>
      </c>
      <c r="AJ660" t="s">
        <v>773</v>
      </c>
      <c r="AM660">
        <v>4884210514</v>
      </c>
      <c r="AN660">
        <v>0</v>
      </c>
      <c r="AO660">
        <v>0</v>
      </c>
      <c r="AP660">
        <v>4884210514</v>
      </c>
      <c r="AQ660">
        <v>4884210514</v>
      </c>
      <c r="AR660">
        <v>162807017</v>
      </c>
      <c r="AS660">
        <v>0</v>
      </c>
      <c r="AT660">
        <v>0</v>
      </c>
      <c r="AU660">
        <v>162807017</v>
      </c>
      <c r="AV660">
        <v>162807017</v>
      </c>
      <c r="AW660">
        <v>11.8218</v>
      </c>
      <c r="AX660">
        <v>1.7962400000000001</v>
      </c>
      <c r="AY660">
        <v>2462.62</v>
      </c>
      <c r="AZ660">
        <v>1525.06</v>
      </c>
      <c r="BA660">
        <v>1156</v>
      </c>
      <c r="BB660">
        <v>314</v>
      </c>
      <c r="BC660" t="str">
        <f t="shared" si="20"/>
        <v>u=0%, k=2x10^6</v>
      </c>
      <c r="BD660">
        <f t="shared" si="21"/>
        <v>0</v>
      </c>
    </row>
    <row r="661" spans="1:56">
      <c r="A661" t="s">
        <v>774</v>
      </c>
      <c r="B661" t="s">
        <v>68</v>
      </c>
      <c r="D661" t="s">
        <v>65</v>
      </c>
      <c r="E661" t="s">
        <v>60</v>
      </c>
      <c r="F661" t="s">
        <v>61</v>
      </c>
      <c r="G661">
        <v>30000</v>
      </c>
      <c r="H661">
        <v>0</v>
      </c>
      <c r="I661">
        <v>0</v>
      </c>
      <c r="J661">
        <v>0</v>
      </c>
      <c r="K661">
        <v>1</v>
      </c>
      <c r="L661">
        <v>2000000</v>
      </c>
      <c r="M661">
        <v>190</v>
      </c>
      <c r="N661">
        <v>190</v>
      </c>
      <c r="O661">
        <v>190</v>
      </c>
      <c r="P661">
        <v>0</v>
      </c>
      <c r="Q661" t="s">
        <v>62</v>
      </c>
      <c r="R661">
        <v>999468332265</v>
      </c>
      <c r="S661">
        <v>1000000</v>
      </c>
      <c r="T661">
        <v>999468332265</v>
      </c>
      <c r="U661">
        <v>1000000</v>
      </c>
      <c r="V661" t="s">
        <v>75</v>
      </c>
      <c r="W661">
        <v>48</v>
      </c>
      <c r="X661">
        <v>999999</v>
      </c>
      <c r="Y661">
        <v>1000000</v>
      </c>
      <c r="Z661">
        <v>1999999</v>
      </c>
      <c r="AA661">
        <v>1000000</v>
      </c>
      <c r="AB661">
        <v>2</v>
      </c>
      <c r="AC661">
        <v>1</v>
      </c>
      <c r="AD661">
        <v>1.5</v>
      </c>
      <c r="AE661">
        <v>26.9282</v>
      </c>
      <c r="AF661">
        <v>63999968</v>
      </c>
      <c r="AJ661">
        <v>40064</v>
      </c>
      <c r="AM661">
        <v>6497337730</v>
      </c>
      <c r="AN661">
        <v>0</v>
      </c>
      <c r="AO661">
        <v>0</v>
      </c>
      <c r="AP661">
        <v>6497337730</v>
      </c>
      <c r="AQ661">
        <v>6497337730</v>
      </c>
      <c r="AR661">
        <v>216577924</v>
      </c>
      <c r="AS661">
        <v>0</v>
      </c>
      <c r="AT661">
        <v>0</v>
      </c>
      <c r="AU661">
        <v>216577924</v>
      </c>
      <c r="AV661">
        <v>216577924</v>
      </c>
      <c r="AW661">
        <v>11.8416</v>
      </c>
      <c r="AX661">
        <v>1.8033300000000001</v>
      </c>
      <c r="AY661">
        <v>2442.52</v>
      </c>
      <c r="AZ661">
        <v>1497.1</v>
      </c>
      <c r="BA661">
        <v>1166</v>
      </c>
      <c r="BB661">
        <v>289</v>
      </c>
      <c r="BC661" t="str">
        <f t="shared" si="20"/>
        <v>u=0%, k=2x10^6</v>
      </c>
      <c r="BD661">
        <f t="shared" si="21"/>
        <v>0</v>
      </c>
    </row>
    <row r="662" spans="1:56">
      <c r="A662" t="s">
        <v>775</v>
      </c>
      <c r="B662" t="s">
        <v>64</v>
      </c>
      <c r="C662">
        <v>72</v>
      </c>
      <c r="D662" t="s">
        <v>65</v>
      </c>
      <c r="E662" t="s">
        <v>60</v>
      </c>
      <c r="F662" t="s">
        <v>61</v>
      </c>
      <c r="G662">
        <v>30000</v>
      </c>
      <c r="H662">
        <v>0</v>
      </c>
      <c r="I662">
        <v>0</v>
      </c>
      <c r="J662">
        <v>0</v>
      </c>
      <c r="K662">
        <v>1</v>
      </c>
      <c r="L662">
        <v>20000000</v>
      </c>
      <c r="M662">
        <v>24</v>
      </c>
      <c r="N662">
        <v>24</v>
      </c>
      <c r="O662">
        <v>24</v>
      </c>
      <c r="P662">
        <v>0</v>
      </c>
      <c r="Q662" t="s">
        <v>62</v>
      </c>
      <c r="R662">
        <v>100007853979287</v>
      </c>
      <c r="S662">
        <v>10000001</v>
      </c>
      <c r="T662">
        <v>100007853979287</v>
      </c>
      <c r="U662">
        <v>10000001</v>
      </c>
      <c r="V662" t="s">
        <v>75</v>
      </c>
      <c r="W662">
        <v>6</v>
      </c>
      <c r="X662">
        <v>1625784</v>
      </c>
      <c r="Y662">
        <v>11442329</v>
      </c>
      <c r="Z662">
        <v>13068113</v>
      </c>
      <c r="AA662">
        <v>10000001</v>
      </c>
      <c r="AB662">
        <v>8.0380400000000005</v>
      </c>
      <c r="AC662">
        <v>0.87394799999999995</v>
      </c>
      <c r="AD662">
        <v>1.76522</v>
      </c>
      <c r="AE662">
        <v>4</v>
      </c>
      <c r="AF662">
        <v>313139968</v>
      </c>
      <c r="AJ662">
        <v>415708</v>
      </c>
      <c r="AM662">
        <v>1126610265</v>
      </c>
      <c r="AN662">
        <v>0</v>
      </c>
      <c r="AO662">
        <v>0</v>
      </c>
      <c r="AP662">
        <v>1126610265</v>
      </c>
      <c r="AQ662">
        <v>1126610265</v>
      </c>
      <c r="AR662">
        <v>37553675</v>
      </c>
      <c r="AS662">
        <v>0</v>
      </c>
      <c r="AT662">
        <v>0</v>
      </c>
      <c r="AU662">
        <v>37553675</v>
      </c>
      <c r="AV662">
        <v>37553675</v>
      </c>
      <c r="AW662">
        <v>15.468999999999999</v>
      </c>
      <c r="AX662">
        <v>5.5328499999999998</v>
      </c>
      <c r="AY662">
        <v>1782.64</v>
      </c>
      <c r="AZ662">
        <v>1122.3</v>
      </c>
      <c r="BA662">
        <v>1704</v>
      </c>
      <c r="BB662">
        <v>156</v>
      </c>
      <c r="BC662" t="str">
        <f t="shared" si="20"/>
        <v>u=0%, k=2x10^7</v>
      </c>
      <c r="BD662">
        <f t="shared" si="21"/>
        <v>0</v>
      </c>
    </row>
    <row r="663" spans="1:56">
      <c r="A663" t="s">
        <v>776</v>
      </c>
      <c r="B663" t="s">
        <v>64</v>
      </c>
      <c r="C663">
        <v>72</v>
      </c>
      <c r="D663" t="s">
        <v>65</v>
      </c>
      <c r="E663" t="s">
        <v>60</v>
      </c>
      <c r="F663" t="s">
        <v>61</v>
      </c>
      <c r="G663">
        <v>30000</v>
      </c>
      <c r="H663">
        <v>0</v>
      </c>
      <c r="I663">
        <v>0</v>
      </c>
      <c r="J663">
        <v>0</v>
      </c>
      <c r="K663">
        <v>1</v>
      </c>
      <c r="L663">
        <v>20000000</v>
      </c>
      <c r="M663">
        <v>48</v>
      </c>
      <c r="N663">
        <v>48</v>
      </c>
      <c r="O663">
        <v>48</v>
      </c>
      <c r="P663">
        <v>0</v>
      </c>
      <c r="Q663" t="s">
        <v>62</v>
      </c>
      <c r="R663">
        <v>100000251354650</v>
      </c>
      <c r="S663">
        <v>10000001</v>
      </c>
      <c r="T663">
        <v>100000251354650</v>
      </c>
      <c r="U663">
        <v>10000001</v>
      </c>
      <c r="V663" t="s">
        <v>75</v>
      </c>
      <c r="W663">
        <v>6</v>
      </c>
      <c r="X663">
        <v>1625784</v>
      </c>
      <c r="Y663">
        <v>11442329</v>
      </c>
      <c r="Z663">
        <v>13068113</v>
      </c>
      <c r="AA663">
        <v>10000001</v>
      </c>
      <c r="AB663">
        <v>8.0380400000000005</v>
      </c>
      <c r="AC663">
        <v>0.87394799999999995</v>
      </c>
      <c r="AD663">
        <v>1.76522</v>
      </c>
      <c r="AE663">
        <v>4</v>
      </c>
      <c r="AF663">
        <v>313139968</v>
      </c>
      <c r="AJ663">
        <v>175146</v>
      </c>
      <c r="AM663">
        <v>1941214199</v>
      </c>
      <c r="AN663">
        <v>0</v>
      </c>
      <c r="AO663">
        <v>0</v>
      </c>
      <c r="AP663">
        <v>1941214199</v>
      </c>
      <c r="AQ663">
        <v>1941214199</v>
      </c>
      <c r="AR663">
        <v>64707139</v>
      </c>
      <c r="AS663">
        <v>0</v>
      </c>
      <c r="AT663">
        <v>0</v>
      </c>
      <c r="AU663">
        <v>64707139</v>
      </c>
      <c r="AV663">
        <v>64707139</v>
      </c>
      <c r="AW663">
        <v>15.2912</v>
      </c>
      <c r="AX663">
        <v>5.7408700000000001</v>
      </c>
      <c r="AY663">
        <v>2067.8000000000002</v>
      </c>
      <c r="AZ663">
        <v>1383.55</v>
      </c>
      <c r="BA663">
        <v>1723</v>
      </c>
      <c r="BB663">
        <v>159</v>
      </c>
      <c r="BC663" t="str">
        <f t="shared" si="20"/>
        <v>u=0%, k=2x10^7</v>
      </c>
      <c r="BD663">
        <f t="shared" si="21"/>
        <v>0</v>
      </c>
    </row>
    <row r="664" spans="1:56">
      <c r="A664" t="s">
        <v>777</v>
      </c>
      <c r="B664" t="s">
        <v>64</v>
      </c>
      <c r="C664">
        <v>72</v>
      </c>
      <c r="D664" t="s">
        <v>65</v>
      </c>
      <c r="E664" t="s">
        <v>60</v>
      </c>
      <c r="F664" t="s">
        <v>61</v>
      </c>
      <c r="G664">
        <v>30000</v>
      </c>
      <c r="H664">
        <v>0</v>
      </c>
      <c r="I664">
        <v>0</v>
      </c>
      <c r="J664">
        <v>0</v>
      </c>
      <c r="K664">
        <v>1</v>
      </c>
      <c r="L664">
        <v>20000000</v>
      </c>
      <c r="M664">
        <v>96</v>
      </c>
      <c r="N664">
        <v>96</v>
      </c>
      <c r="O664">
        <v>96</v>
      </c>
      <c r="P664">
        <v>0</v>
      </c>
      <c r="Q664" t="s">
        <v>62</v>
      </c>
      <c r="R664">
        <v>99972121347808</v>
      </c>
      <c r="S664">
        <v>10000001</v>
      </c>
      <c r="T664">
        <v>99972121347808</v>
      </c>
      <c r="U664">
        <v>10000001</v>
      </c>
      <c r="V664" t="s">
        <v>75</v>
      </c>
      <c r="W664">
        <v>6</v>
      </c>
      <c r="X664">
        <v>1625784</v>
      </c>
      <c r="Y664">
        <v>11442329</v>
      </c>
      <c r="Z664">
        <v>13068113</v>
      </c>
      <c r="AA664">
        <v>10000001</v>
      </c>
      <c r="AB664">
        <v>8.0380400000000005</v>
      </c>
      <c r="AC664">
        <v>0.87394799999999995</v>
      </c>
      <c r="AD664">
        <v>1.76522</v>
      </c>
      <c r="AE664">
        <v>4</v>
      </c>
      <c r="AF664">
        <v>313139968</v>
      </c>
      <c r="AJ664">
        <v>97178</v>
      </c>
      <c r="AM664">
        <v>4347510529</v>
      </c>
      <c r="AN664">
        <v>0</v>
      </c>
      <c r="AO664">
        <v>0</v>
      </c>
      <c r="AP664">
        <v>4347510529</v>
      </c>
      <c r="AQ664">
        <v>4347510529</v>
      </c>
      <c r="AR664">
        <v>144917017</v>
      </c>
      <c r="AS664">
        <v>0</v>
      </c>
      <c r="AT664">
        <v>0</v>
      </c>
      <c r="AU664">
        <v>144917017</v>
      </c>
      <c r="AV664">
        <v>144917017</v>
      </c>
      <c r="AW664">
        <v>15.352</v>
      </c>
      <c r="AX664">
        <v>6.16</v>
      </c>
      <c r="AY664">
        <v>1836.65</v>
      </c>
      <c r="AZ664">
        <v>1091.8599999999999</v>
      </c>
      <c r="BA664">
        <v>1765</v>
      </c>
      <c r="BB664">
        <v>339</v>
      </c>
      <c r="BC664" t="str">
        <f t="shared" si="20"/>
        <v>u=0%, k=2x10^7</v>
      </c>
      <c r="BD664">
        <f t="shared" si="21"/>
        <v>0</v>
      </c>
    </row>
    <row r="665" spans="1:56">
      <c r="A665" t="s">
        <v>778</v>
      </c>
      <c r="B665" t="s">
        <v>64</v>
      </c>
      <c r="C665">
        <v>72</v>
      </c>
      <c r="D665" t="s">
        <v>65</v>
      </c>
      <c r="E665" t="s">
        <v>60</v>
      </c>
      <c r="F665" t="s">
        <v>61</v>
      </c>
      <c r="G665">
        <v>30000</v>
      </c>
      <c r="H665">
        <v>0</v>
      </c>
      <c r="I665">
        <v>0</v>
      </c>
      <c r="J665">
        <v>0</v>
      </c>
      <c r="K665">
        <v>1</v>
      </c>
      <c r="L665">
        <v>20000000</v>
      </c>
      <c r="M665">
        <v>144</v>
      </c>
      <c r="N665">
        <v>144</v>
      </c>
      <c r="O665">
        <v>144</v>
      </c>
      <c r="P665">
        <v>0</v>
      </c>
      <c r="Q665" t="s">
        <v>62</v>
      </c>
      <c r="R665">
        <v>99976018871165</v>
      </c>
      <c r="S665">
        <v>10000001</v>
      </c>
      <c r="T665">
        <v>99976018871165</v>
      </c>
      <c r="U665">
        <v>10000001</v>
      </c>
      <c r="V665" t="s">
        <v>75</v>
      </c>
      <c r="W665">
        <v>6</v>
      </c>
      <c r="X665">
        <v>1625784</v>
      </c>
      <c r="Y665">
        <v>11442329</v>
      </c>
      <c r="Z665">
        <v>13068113</v>
      </c>
      <c r="AA665">
        <v>10000001</v>
      </c>
      <c r="AB665">
        <v>8.0380400000000005</v>
      </c>
      <c r="AC665">
        <v>0.87394799999999995</v>
      </c>
      <c r="AD665">
        <v>1.76522</v>
      </c>
      <c r="AE665">
        <v>4</v>
      </c>
      <c r="AF665">
        <v>313139968</v>
      </c>
      <c r="AJ665">
        <v>63570</v>
      </c>
      <c r="AM665">
        <v>6397914141</v>
      </c>
      <c r="AN665">
        <v>0</v>
      </c>
      <c r="AO665">
        <v>0</v>
      </c>
      <c r="AP665">
        <v>6397914141</v>
      </c>
      <c r="AQ665">
        <v>6397914141</v>
      </c>
      <c r="AR665">
        <v>213263804</v>
      </c>
      <c r="AS665">
        <v>0</v>
      </c>
      <c r="AT665">
        <v>0</v>
      </c>
      <c r="AU665">
        <v>213263804</v>
      </c>
      <c r="AV665">
        <v>213263804</v>
      </c>
      <c r="AW665">
        <v>15.401199999999999</v>
      </c>
      <c r="AX665">
        <v>6.2128899999999998</v>
      </c>
      <c r="AY665">
        <v>1870.6</v>
      </c>
      <c r="AZ665">
        <v>1118.57</v>
      </c>
      <c r="BA665">
        <v>1815</v>
      </c>
      <c r="BB665">
        <v>359</v>
      </c>
      <c r="BC665" t="str">
        <f t="shared" si="20"/>
        <v>u=0%, k=2x10^7</v>
      </c>
      <c r="BD665">
        <f t="shared" si="21"/>
        <v>0</v>
      </c>
    </row>
    <row r="666" spans="1:56">
      <c r="A666" t="s">
        <v>779</v>
      </c>
      <c r="B666" t="s">
        <v>64</v>
      </c>
      <c r="C666">
        <v>72</v>
      </c>
      <c r="D666" t="s">
        <v>65</v>
      </c>
      <c r="E666" t="s">
        <v>60</v>
      </c>
      <c r="F666" t="s">
        <v>61</v>
      </c>
      <c r="G666">
        <v>30000</v>
      </c>
      <c r="H666">
        <v>0</v>
      </c>
      <c r="I666">
        <v>0</v>
      </c>
      <c r="J666">
        <v>0</v>
      </c>
      <c r="K666">
        <v>1</v>
      </c>
      <c r="L666">
        <v>20000000</v>
      </c>
      <c r="M666">
        <v>190</v>
      </c>
      <c r="N666">
        <v>190</v>
      </c>
      <c r="O666">
        <v>190</v>
      </c>
      <c r="P666">
        <v>0</v>
      </c>
      <c r="Q666" t="s">
        <v>62</v>
      </c>
      <c r="R666">
        <v>99989795631244</v>
      </c>
      <c r="S666">
        <v>10000001</v>
      </c>
      <c r="T666">
        <v>99989795631244</v>
      </c>
      <c r="U666">
        <v>10000001</v>
      </c>
      <c r="V666" t="s">
        <v>75</v>
      </c>
      <c r="W666">
        <v>6</v>
      </c>
      <c r="X666">
        <v>1625784</v>
      </c>
      <c r="Y666">
        <v>11442329</v>
      </c>
      <c r="Z666">
        <v>13068113</v>
      </c>
      <c r="AA666">
        <v>10000001</v>
      </c>
      <c r="AB666">
        <v>8.0380400000000005</v>
      </c>
      <c r="AC666">
        <v>0.87394799999999995</v>
      </c>
      <c r="AD666">
        <v>1.76522</v>
      </c>
      <c r="AE666">
        <v>4</v>
      </c>
      <c r="AF666">
        <v>313139968</v>
      </c>
      <c r="AJ666">
        <v>52832</v>
      </c>
      <c r="AM666">
        <v>8272768622</v>
      </c>
      <c r="AN666">
        <v>0</v>
      </c>
      <c r="AO666">
        <v>0</v>
      </c>
      <c r="AP666">
        <v>8272768622</v>
      </c>
      <c r="AQ666">
        <v>8272768622</v>
      </c>
      <c r="AR666">
        <v>275758954</v>
      </c>
      <c r="AS666">
        <v>0</v>
      </c>
      <c r="AT666">
        <v>0</v>
      </c>
      <c r="AU666">
        <v>275758954</v>
      </c>
      <c r="AV666">
        <v>275758954</v>
      </c>
      <c r="AW666">
        <v>15.498799999999999</v>
      </c>
      <c r="AX666">
        <v>6.2478499999999997</v>
      </c>
      <c r="AY666">
        <v>1906.2</v>
      </c>
      <c r="AZ666">
        <v>1120.82</v>
      </c>
      <c r="BA666">
        <v>1848</v>
      </c>
      <c r="BB666">
        <v>328</v>
      </c>
      <c r="BC666" t="str">
        <f t="shared" si="20"/>
        <v>u=0%, k=2x10^7</v>
      </c>
      <c r="BD666">
        <f t="shared" si="21"/>
        <v>0</v>
      </c>
    </row>
    <row r="667" spans="1:56">
      <c r="A667" t="s">
        <v>780</v>
      </c>
      <c r="B667" t="s">
        <v>66</v>
      </c>
      <c r="C667">
        <v>208</v>
      </c>
      <c r="D667" t="s">
        <v>65</v>
      </c>
      <c r="E667" t="s">
        <v>60</v>
      </c>
      <c r="F667" t="s">
        <v>61</v>
      </c>
      <c r="G667">
        <v>30000</v>
      </c>
      <c r="H667">
        <v>0</v>
      </c>
      <c r="I667">
        <v>0</v>
      </c>
      <c r="J667">
        <v>0</v>
      </c>
      <c r="K667">
        <v>1</v>
      </c>
      <c r="L667">
        <v>20000000</v>
      </c>
      <c r="M667">
        <v>24</v>
      </c>
      <c r="N667">
        <v>24</v>
      </c>
      <c r="O667">
        <v>24</v>
      </c>
      <c r="P667">
        <v>0</v>
      </c>
      <c r="Q667" t="s">
        <v>62</v>
      </c>
      <c r="R667">
        <v>99975700867859</v>
      </c>
      <c r="S667">
        <v>10000000</v>
      </c>
      <c r="T667">
        <v>99975700867859</v>
      </c>
      <c r="U667">
        <v>10000000</v>
      </c>
      <c r="V667" t="s">
        <v>75</v>
      </c>
      <c r="W667">
        <v>9</v>
      </c>
      <c r="X667">
        <v>185413</v>
      </c>
      <c r="Y667">
        <v>1275943</v>
      </c>
      <c r="Z667">
        <v>1461356</v>
      </c>
      <c r="AA667">
        <v>10000000</v>
      </c>
      <c r="AB667">
        <v>7.8816300000000004</v>
      </c>
      <c r="AC667">
        <v>7.8373400000000002</v>
      </c>
      <c r="AD667">
        <v>7.8429599999999997</v>
      </c>
      <c r="AE667">
        <v>8</v>
      </c>
      <c r="AF667">
        <v>303962048</v>
      </c>
      <c r="AJ667" t="s">
        <v>781</v>
      </c>
      <c r="AM667">
        <v>943134280</v>
      </c>
      <c r="AN667">
        <v>0</v>
      </c>
      <c r="AO667">
        <v>0</v>
      </c>
      <c r="AP667">
        <v>943134280</v>
      </c>
      <c r="AQ667">
        <v>943134280</v>
      </c>
      <c r="AR667">
        <v>31437809</v>
      </c>
      <c r="AS667">
        <v>0</v>
      </c>
      <c r="AT667">
        <v>0</v>
      </c>
      <c r="AU667">
        <v>31437809</v>
      </c>
      <c r="AV667">
        <v>31437809</v>
      </c>
      <c r="AW667">
        <v>16.343699999999998</v>
      </c>
      <c r="AX667">
        <v>4.7510700000000003</v>
      </c>
      <c r="AY667">
        <v>2129.37</v>
      </c>
      <c r="AZ667">
        <v>1126.73</v>
      </c>
      <c r="BA667">
        <v>1402</v>
      </c>
      <c r="BB667">
        <v>836</v>
      </c>
      <c r="BC667" t="str">
        <f t="shared" si="20"/>
        <v>u=0%, k=2x10^7</v>
      </c>
      <c r="BD667">
        <f t="shared" si="21"/>
        <v>0</v>
      </c>
    </row>
    <row r="668" spans="1:56">
      <c r="A668" t="s">
        <v>782</v>
      </c>
      <c r="B668" t="s">
        <v>66</v>
      </c>
      <c r="C668">
        <v>208</v>
      </c>
      <c r="D668" t="s">
        <v>65</v>
      </c>
      <c r="E668" t="s">
        <v>60</v>
      </c>
      <c r="F668" t="s">
        <v>61</v>
      </c>
      <c r="G668">
        <v>30000</v>
      </c>
      <c r="H668">
        <v>0</v>
      </c>
      <c r="I668">
        <v>0</v>
      </c>
      <c r="J668">
        <v>0</v>
      </c>
      <c r="K668">
        <v>1</v>
      </c>
      <c r="L668">
        <v>20000000</v>
      </c>
      <c r="M668">
        <v>48</v>
      </c>
      <c r="N668">
        <v>48</v>
      </c>
      <c r="O668">
        <v>48</v>
      </c>
      <c r="P668">
        <v>0</v>
      </c>
      <c r="Q668" t="s">
        <v>62</v>
      </c>
      <c r="R668">
        <v>99996469862810</v>
      </c>
      <c r="S668">
        <v>10000000</v>
      </c>
      <c r="T668">
        <v>99996469862810</v>
      </c>
      <c r="U668">
        <v>10000000</v>
      </c>
      <c r="V668" t="s">
        <v>75</v>
      </c>
      <c r="W668">
        <v>9</v>
      </c>
      <c r="X668">
        <v>185098</v>
      </c>
      <c r="Y668">
        <v>1275854</v>
      </c>
      <c r="Z668">
        <v>1460952</v>
      </c>
      <c r="AA668">
        <v>10000000</v>
      </c>
      <c r="AB668">
        <v>7.8928599999999998</v>
      </c>
      <c r="AC668">
        <v>7.8378899999999998</v>
      </c>
      <c r="AD668">
        <v>7.8448500000000001</v>
      </c>
      <c r="AE668">
        <v>8</v>
      </c>
      <c r="AF668">
        <v>303878016</v>
      </c>
      <c r="AJ668" t="s">
        <v>783</v>
      </c>
      <c r="AM668">
        <v>1709000879</v>
      </c>
      <c r="AN668">
        <v>0</v>
      </c>
      <c r="AO668">
        <v>0</v>
      </c>
      <c r="AP668">
        <v>1709000879</v>
      </c>
      <c r="AQ668">
        <v>1709000879</v>
      </c>
      <c r="AR668">
        <v>56966695</v>
      </c>
      <c r="AS668">
        <v>0</v>
      </c>
      <c r="AT668">
        <v>0</v>
      </c>
      <c r="AU668">
        <v>56966695</v>
      </c>
      <c r="AV668">
        <v>56966695</v>
      </c>
      <c r="AW668">
        <v>16.301400000000001</v>
      </c>
      <c r="AX668">
        <v>4.75875</v>
      </c>
      <c r="AY668">
        <v>2349.35</v>
      </c>
      <c r="AZ668">
        <v>1490.93</v>
      </c>
      <c r="BA668">
        <v>1451</v>
      </c>
      <c r="BB668">
        <v>753</v>
      </c>
      <c r="BC668" t="str">
        <f t="shared" si="20"/>
        <v>u=0%, k=2x10^7</v>
      </c>
      <c r="BD668">
        <f t="shared" si="21"/>
        <v>0</v>
      </c>
    </row>
    <row r="669" spans="1:56">
      <c r="A669" t="s">
        <v>784</v>
      </c>
      <c r="B669" t="s">
        <v>66</v>
      </c>
      <c r="C669">
        <v>208</v>
      </c>
      <c r="D669" t="s">
        <v>65</v>
      </c>
      <c r="E669" t="s">
        <v>60</v>
      </c>
      <c r="F669" t="s">
        <v>61</v>
      </c>
      <c r="G669">
        <v>30000</v>
      </c>
      <c r="H669">
        <v>0</v>
      </c>
      <c r="I669">
        <v>0</v>
      </c>
      <c r="J669">
        <v>0</v>
      </c>
      <c r="K669">
        <v>1</v>
      </c>
      <c r="L669">
        <v>20000000</v>
      </c>
      <c r="M669">
        <v>96</v>
      </c>
      <c r="N669">
        <v>96</v>
      </c>
      <c r="O669">
        <v>96</v>
      </c>
      <c r="P669">
        <v>0</v>
      </c>
      <c r="Q669" t="s">
        <v>62</v>
      </c>
      <c r="R669">
        <v>100000268282064</v>
      </c>
      <c r="S669">
        <v>10000000</v>
      </c>
      <c r="T669">
        <v>100000268282064</v>
      </c>
      <c r="U669">
        <v>10000000</v>
      </c>
      <c r="V669" t="s">
        <v>75</v>
      </c>
      <c r="W669">
        <v>9</v>
      </c>
      <c r="X669">
        <v>185336</v>
      </c>
      <c r="Y669">
        <v>1275616</v>
      </c>
      <c r="Z669">
        <v>1460952</v>
      </c>
      <c r="AA669">
        <v>10000000</v>
      </c>
      <c r="AB669">
        <v>7.8827199999999999</v>
      </c>
      <c r="AC669">
        <v>7.8393499999999996</v>
      </c>
      <c r="AD669">
        <v>7.8448500000000001</v>
      </c>
      <c r="AE669">
        <v>8</v>
      </c>
      <c r="AF669">
        <v>303878016</v>
      </c>
      <c r="AJ669" t="s">
        <v>785</v>
      </c>
      <c r="AM669">
        <v>3688977724</v>
      </c>
      <c r="AN669">
        <v>0</v>
      </c>
      <c r="AO669">
        <v>0</v>
      </c>
      <c r="AP669">
        <v>3688977724</v>
      </c>
      <c r="AQ669">
        <v>3688977724</v>
      </c>
      <c r="AR669">
        <v>122965924</v>
      </c>
      <c r="AS669">
        <v>0</v>
      </c>
      <c r="AT669">
        <v>0</v>
      </c>
      <c r="AU669">
        <v>122965924</v>
      </c>
      <c r="AV669">
        <v>122965924</v>
      </c>
      <c r="AW669">
        <v>16.453800000000001</v>
      </c>
      <c r="AX669">
        <v>5.4763700000000002</v>
      </c>
      <c r="AY669">
        <v>2162.8000000000002</v>
      </c>
      <c r="AZ669">
        <v>1260.3499999999999</v>
      </c>
      <c r="BA669">
        <v>1540</v>
      </c>
      <c r="BB669">
        <v>878</v>
      </c>
      <c r="BC669" t="str">
        <f t="shared" si="20"/>
        <v>u=0%, k=2x10^7</v>
      </c>
      <c r="BD669">
        <f t="shared" si="21"/>
        <v>0</v>
      </c>
    </row>
    <row r="670" spans="1:56">
      <c r="A670" t="s">
        <v>786</v>
      </c>
      <c r="B670" t="s">
        <v>66</v>
      </c>
      <c r="C670">
        <v>208</v>
      </c>
      <c r="D670" t="s">
        <v>65</v>
      </c>
      <c r="E670" t="s">
        <v>60</v>
      </c>
      <c r="F670" t="s">
        <v>61</v>
      </c>
      <c r="G670">
        <v>30000</v>
      </c>
      <c r="H670">
        <v>0</v>
      </c>
      <c r="I670">
        <v>0</v>
      </c>
      <c r="J670">
        <v>0</v>
      </c>
      <c r="K670">
        <v>1</v>
      </c>
      <c r="L670">
        <v>20000000</v>
      </c>
      <c r="M670">
        <v>144</v>
      </c>
      <c r="N670">
        <v>144</v>
      </c>
      <c r="O670">
        <v>144</v>
      </c>
      <c r="P670">
        <v>0</v>
      </c>
      <c r="Q670" t="s">
        <v>62</v>
      </c>
      <c r="R670">
        <v>100009073539914</v>
      </c>
      <c r="S670">
        <v>10000000</v>
      </c>
      <c r="T670">
        <v>100009073539914</v>
      </c>
      <c r="U670">
        <v>10000000</v>
      </c>
      <c r="V670" t="s">
        <v>75</v>
      </c>
      <c r="W670">
        <v>9</v>
      </c>
      <c r="X670">
        <v>185384</v>
      </c>
      <c r="Y670">
        <v>1276028</v>
      </c>
      <c r="Z670">
        <v>1461412</v>
      </c>
      <c r="AA670">
        <v>10000000</v>
      </c>
      <c r="AB670">
        <v>7.8831600000000002</v>
      </c>
      <c r="AC670">
        <v>7.8368200000000003</v>
      </c>
      <c r="AD670">
        <v>7.8426999999999998</v>
      </c>
      <c r="AE670">
        <v>8</v>
      </c>
      <c r="AF670">
        <v>303973696</v>
      </c>
      <c r="AJ670" t="s">
        <v>787</v>
      </c>
      <c r="AM670">
        <v>5500341243</v>
      </c>
      <c r="AN670">
        <v>0</v>
      </c>
      <c r="AO670">
        <v>0</v>
      </c>
      <c r="AP670">
        <v>5500341243</v>
      </c>
      <c r="AQ670">
        <v>5500341243</v>
      </c>
      <c r="AR670">
        <v>183344708</v>
      </c>
      <c r="AS670">
        <v>0</v>
      </c>
      <c r="AT670">
        <v>0</v>
      </c>
      <c r="AU670">
        <v>183344708</v>
      </c>
      <c r="AV670">
        <v>183344708</v>
      </c>
      <c r="AW670">
        <v>16.454599999999999</v>
      </c>
      <c r="AX670">
        <v>5.5137099999999997</v>
      </c>
      <c r="AY670">
        <v>2173.2199999999998</v>
      </c>
      <c r="AZ670">
        <v>1266.3900000000001</v>
      </c>
      <c r="BA670">
        <v>1553</v>
      </c>
      <c r="BB670">
        <v>873</v>
      </c>
      <c r="BC670" t="str">
        <f t="shared" si="20"/>
        <v>u=0%, k=2x10^7</v>
      </c>
      <c r="BD670">
        <f t="shared" si="21"/>
        <v>0</v>
      </c>
    </row>
    <row r="671" spans="1:56">
      <c r="A671" t="s">
        <v>788</v>
      </c>
      <c r="B671" t="s">
        <v>66</v>
      </c>
      <c r="C671">
        <v>208</v>
      </c>
      <c r="D671" t="s">
        <v>65</v>
      </c>
      <c r="E671" t="s">
        <v>60</v>
      </c>
      <c r="F671" t="s">
        <v>61</v>
      </c>
      <c r="G671">
        <v>30000</v>
      </c>
      <c r="H671">
        <v>0</v>
      </c>
      <c r="I671">
        <v>0</v>
      </c>
      <c r="J671">
        <v>0</v>
      </c>
      <c r="K671">
        <v>1</v>
      </c>
      <c r="L671">
        <v>20000000</v>
      </c>
      <c r="M671">
        <v>190</v>
      </c>
      <c r="N671">
        <v>190</v>
      </c>
      <c r="O671">
        <v>190</v>
      </c>
      <c r="P671">
        <v>0</v>
      </c>
      <c r="Q671" t="s">
        <v>62</v>
      </c>
      <c r="R671">
        <v>99994925404988</v>
      </c>
      <c r="S671">
        <v>10000000</v>
      </c>
      <c r="T671">
        <v>99994925404988</v>
      </c>
      <c r="U671">
        <v>10000000</v>
      </c>
      <c r="V671" t="s">
        <v>75</v>
      </c>
      <c r="W671">
        <v>9</v>
      </c>
      <c r="X671">
        <v>185455</v>
      </c>
      <c r="Y671">
        <v>1276141</v>
      </c>
      <c r="Z671">
        <v>1461596</v>
      </c>
      <c r="AA671">
        <v>10000000</v>
      </c>
      <c r="AB671">
        <v>7.8811400000000003</v>
      </c>
      <c r="AC671">
        <v>7.8361200000000002</v>
      </c>
      <c r="AD671">
        <v>7.8418400000000004</v>
      </c>
      <c r="AE671">
        <v>8</v>
      </c>
      <c r="AF671">
        <v>304011968</v>
      </c>
      <c r="AJ671" t="s">
        <v>789</v>
      </c>
      <c r="AM671">
        <v>7278405902</v>
      </c>
      <c r="AN671">
        <v>0</v>
      </c>
      <c r="AO671">
        <v>0</v>
      </c>
      <c r="AP671">
        <v>7278405902</v>
      </c>
      <c r="AQ671">
        <v>7278405902</v>
      </c>
      <c r="AR671">
        <v>242613530</v>
      </c>
      <c r="AS671">
        <v>0</v>
      </c>
      <c r="AT671">
        <v>0</v>
      </c>
      <c r="AU671">
        <v>242613530</v>
      </c>
      <c r="AV671">
        <v>242613530</v>
      </c>
      <c r="AW671">
        <v>16.505099999999999</v>
      </c>
      <c r="AX671">
        <v>5.5664100000000003</v>
      </c>
      <c r="AY671">
        <v>2164.98</v>
      </c>
      <c r="AZ671">
        <v>1257.3499999999999</v>
      </c>
      <c r="BA671">
        <v>1574</v>
      </c>
      <c r="BB671">
        <v>934</v>
      </c>
      <c r="BC671" t="str">
        <f t="shared" si="20"/>
        <v>u=0%, k=2x10^7</v>
      </c>
      <c r="BD671">
        <f t="shared" si="21"/>
        <v>0</v>
      </c>
    </row>
    <row r="672" spans="1:56">
      <c r="A672" t="s">
        <v>790</v>
      </c>
      <c r="B672" t="s">
        <v>67</v>
      </c>
      <c r="D672" t="s">
        <v>65</v>
      </c>
      <c r="E672" t="s">
        <v>60</v>
      </c>
      <c r="F672" t="s">
        <v>61</v>
      </c>
      <c r="G672">
        <v>30000</v>
      </c>
      <c r="H672">
        <v>0</v>
      </c>
      <c r="I672">
        <v>0</v>
      </c>
      <c r="J672">
        <v>0</v>
      </c>
      <c r="K672">
        <v>1</v>
      </c>
      <c r="L672">
        <v>20000000</v>
      </c>
      <c r="M672">
        <v>24</v>
      </c>
      <c r="N672">
        <v>24</v>
      </c>
      <c r="O672">
        <v>24</v>
      </c>
      <c r="P672">
        <v>0</v>
      </c>
      <c r="Q672" t="s">
        <v>62</v>
      </c>
      <c r="R672">
        <v>100021172874971</v>
      </c>
      <c r="S672">
        <v>10000000</v>
      </c>
      <c r="T672">
        <v>100021172874971</v>
      </c>
      <c r="U672">
        <v>10000000</v>
      </c>
      <c r="V672" t="s">
        <v>75</v>
      </c>
      <c r="W672">
        <v>29</v>
      </c>
      <c r="X672">
        <v>5714874</v>
      </c>
      <c r="Y672">
        <v>4285127</v>
      </c>
      <c r="Z672">
        <v>10000001</v>
      </c>
      <c r="AA672">
        <v>10000000</v>
      </c>
      <c r="AB672">
        <v>1.7498199999999999</v>
      </c>
      <c r="AC672">
        <v>2.33365</v>
      </c>
      <c r="AD672">
        <v>2</v>
      </c>
      <c r="AE672">
        <v>22.686800000000002</v>
      </c>
      <c r="AF672">
        <v>560000056</v>
      </c>
      <c r="AJ672" t="s">
        <v>791</v>
      </c>
      <c r="AM672">
        <v>418243964</v>
      </c>
      <c r="AN672">
        <v>0</v>
      </c>
      <c r="AO672">
        <v>0</v>
      </c>
      <c r="AP672">
        <v>418243964</v>
      </c>
      <c r="AQ672">
        <v>418243964</v>
      </c>
      <c r="AR672">
        <v>13941465</v>
      </c>
      <c r="AS672">
        <v>0</v>
      </c>
      <c r="AT672">
        <v>0</v>
      </c>
      <c r="AU672">
        <v>13941465</v>
      </c>
      <c r="AV672">
        <v>13941465</v>
      </c>
      <c r="AW672">
        <v>27.4055</v>
      </c>
      <c r="AX672">
        <v>9.1753199999999993</v>
      </c>
      <c r="AY672">
        <v>4802.4799999999996</v>
      </c>
      <c r="AZ672">
        <v>3567.49</v>
      </c>
      <c r="BA672">
        <v>1716</v>
      </c>
      <c r="BB672">
        <v>1451</v>
      </c>
      <c r="BC672" t="str">
        <f t="shared" si="20"/>
        <v>u=0%, k=2x10^7</v>
      </c>
      <c r="BD672">
        <f t="shared" si="21"/>
        <v>0</v>
      </c>
    </row>
    <row r="673" spans="1:56">
      <c r="A673" t="s">
        <v>792</v>
      </c>
      <c r="B673" t="s">
        <v>67</v>
      </c>
      <c r="D673" t="s">
        <v>65</v>
      </c>
      <c r="E673" t="s">
        <v>60</v>
      </c>
      <c r="F673" t="s">
        <v>61</v>
      </c>
      <c r="G673">
        <v>30000</v>
      </c>
      <c r="H673">
        <v>0</v>
      </c>
      <c r="I673">
        <v>0</v>
      </c>
      <c r="J673">
        <v>0</v>
      </c>
      <c r="K673">
        <v>1</v>
      </c>
      <c r="L673">
        <v>20000000</v>
      </c>
      <c r="M673">
        <v>48</v>
      </c>
      <c r="N673">
        <v>48</v>
      </c>
      <c r="O673">
        <v>48</v>
      </c>
      <c r="P673">
        <v>0</v>
      </c>
      <c r="Q673" t="s">
        <v>62</v>
      </c>
      <c r="R673">
        <v>100008170612948</v>
      </c>
      <c r="S673">
        <v>10000000</v>
      </c>
      <c r="T673">
        <v>100008170612948</v>
      </c>
      <c r="U673">
        <v>10000000</v>
      </c>
      <c r="V673" t="s">
        <v>75</v>
      </c>
      <c r="W673">
        <v>29</v>
      </c>
      <c r="X673">
        <v>5713909</v>
      </c>
      <c r="Y673">
        <v>4286092</v>
      </c>
      <c r="Z673">
        <v>10000001</v>
      </c>
      <c r="AA673">
        <v>10000000</v>
      </c>
      <c r="AB673">
        <v>1.7501199999999999</v>
      </c>
      <c r="AC673">
        <v>2.3331300000000001</v>
      </c>
      <c r="AD673">
        <v>2</v>
      </c>
      <c r="AE673">
        <v>22.763400000000001</v>
      </c>
      <c r="AF673">
        <v>560000056</v>
      </c>
      <c r="AJ673" t="s">
        <v>793</v>
      </c>
      <c r="AM673">
        <v>785948533</v>
      </c>
      <c r="AN673">
        <v>0</v>
      </c>
      <c r="AO673">
        <v>0</v>
      </c>
      <c r="AP673">
        <v>785948533</v>
      </c>
      <c r="AQ673">
        <v>785948533</v>
      </c>
      <c r="AR673">
        <v>26198284</v>
      </c>
      <c r="AS673">
        <v>0</v>
      </c>
      <c r="AT673">
        <v>0</v>
      </c>
      <c r="AU673">
        <v>26198284</v>
      </c>
      <c r="AV673">
        <v>26198284</v>
      </c>
      <c r="AW673">
        <v>28.162199999999999</v>
      </c>
      <c r="AX673">
        <v>9.2825799999999994</v>
      </c>
      <c r="AY673">
        <v>5109.93</v>
      </c>
      <c r="AZ673">
        <v>3853.44</v>
      </c>
      <c r="BA673">
        <v>1721</v>
      </c>
      <c r="BB673">
        <v>1075</v>
      </c>
      <c r="BC673" t="str">
        <f t="shared" si="20"/>
        <v>u=0%, k=2x10^7</v>
      </c>
      <c r="BD673">
        <f t="shared" si="21"/>
        <v>0</v>
      </c>
    </row>
    <row r="674" spans="1:56">
      <c r="A674" t="s">
        <v>794</v>
      </c>
      <c r="B674" t="s">
        <v>67</v>
      </c>
      <c r="D674" t="s">
        <v>65</v>
      </c>
      <c r="E674" t="s">
        <v>60</v>
      </c>
      <c r="F674" t="s">
        <v>61</v>
      </c>
      <c r="G674">
        <v>30000</v>
      </c>
      <c r="H674">
        <v>0</v>
      </c>
      <c r="I674">
        <v>0</v>
      </c>
      <c r="J674">
        <v>0</v>
      </c>
      <c r="K674">
        <v>1</v>
      </c>
      <c r="L674">
        <v>20000000</v>
      </c>
      <c r="M674">
        <v>96</v>
      </c>
      <c r="N674">
        <v>96</v>
      </c>
      <c r="O674">
        <v>96</v>
      </c>
      <c r="P674">
        <v>0</v>
      </c>
      <c r="Q674" t="s">
        <v>62</v>
      </c>
      <c r="R674">
        <v>99972199186079</v>
      </c>
      <c r="S674">
        <v>10000000</v>
      </c>
      <c r="T674">
        <v>99972199186079</v>
      </c>
      <c r="U674">
        <v>10000000</v>
      </c>
      <c r="V674" t="s">
        <v>75</v>
      </c>
      <c r="W674">
        <v>29</v>
      </c>
      <c r="X674">
        <v>5714286</v>
      </c>
      <c r="Y674">
        <v>4285715</v>
      </c>
      <c r="Z674">
        <v>10000001</v>
      </c>
      <c r="AA674">
        <v>10000000</v>
      </c>
      <c r="AB674">
        <v>1.75</v>
      </c>
      <c r="AC674">
        <v>2.3333300000000001</v>
      </c>
      <c r="AD674">
        <v>2</v>
      </c>
      <c r="AE674">
        <v>22.731300000000001</v>
      </c>
      <c r="AF674">
        <v>560000056</v>
      </c>
      <c r="AJ674" t="s">
        <v>795</v>
      </c>
      <c r="AM674">
        <v>1766197096</v>
      </c>
      <c r="AN674">
        <v>0</v>
      </c>
      <c r="AO674">
        <v>0</v>
      </c>
      <c r="AP674">
        <v>1766197096</v>
      </c>
      <c r="AQ674">
        <v>1766197096</v>
      </c>
      <c r="AR674">
        <v>58873236</v>
      </c>
      <c r="AS674">
        <v>0</v>
      </c>
      <c r="AT674">
        <v>0</v>
      </c>
      <c r="AU674">
        <v>58873236</v>
      </c>
      <c r="AV674">
        <v>58873236</v>
      </c>
      <c r="AW674">
        <v>28.402100000000001</v>
      </c>
      <c r="AX674">
        <v>10.610200000000001</v>
      </c>
      <c r="AY674">
        <v>4539.37</v>
      </c>
      <c r="AZ674">
        <v>3184.48</v>
      </c>
      <c r="BA674">
        <v>1736</v>
      </c>
      <c r="BB674">
        <v>786</v>
      </c>
      <c r="BC674" t="str">
        <f t="shared" si="20"/>
        <v>u=0%, k=2x10^7</v>
      </c>
      <c r="BD674">
        <f t="shared" si="21"/>
        <v>0</v>
      </c>
    </row>
    <row r="675" spans="1:56">
      <c r="A675" t="s">
        <v>796</v>
      </c>
      <c r="B675" t="s">
        <v>67</v>
      </c>
      <c r="D675" t="s">
        <v>65</v>
      </c>
      <c r="E675" t="s">
        <v>60</v>
      </c>
      <c r="F675" t="s">
        <v>61</v>
      </c>
      <c r="G675">
        <v>30000</v>
      </c>
      <c r="H675">
        <v>0</v>
      </c>
      <c r="I675">
        <v>0</v>
      </c>
      <c r="J675">
        <v>0</v>
      </c>
      <c r="K675">
        <v>1</v>
      </c>
      <c r="L675">
        <v>20000000</v>
      </c>
      <c r="M675">
        <v>144</v>
      </c>
      <c r="N675">
        <v>144</v>
      </c>
      <c r="O675">
        <v>144</v>
      </c>
      <c r="P675">
        <v>0</v>
      </c>
      <c r="Q675" t="s">
        <v>62</v>
      </c>
      <c r="R675">
        <v>99993993115695</v>
      </c>
      <c r="S675">
        <v>10000000</v>
      </c>
      <c r="T675">
        <v>99993993115695</v>
      </c>
      <c r="U675">
        <v>10000000</v>
      </c>
      <c r="V675" t="s">
        <v>75</v>
      </c>
      <c r="W675">
        <v>29</v>
      </c>
      <c r="X675">
        <v>5714241</v>
      </c>
      <c r="Y675">
        <v>4285760</v>
      </c>
      <c r="Z675">
        <v>10000001</v>
      </c>
      <c r="AA675">
        <v>10000000</v>
      </c>
      <c r="AB675">
        <v>1.7500100000000001</v>
      </c>
      <c r="AC675">
        <v>2.33331</v>
      </c>
      <c r="AD675">
        <v>2</v>
      </c>
      <c r="AE675">
        <v>22.688800000000001</v>
      </c>
      <c r="AF675">
        <v>560000056</v>
      </c>
      <c r="AJ675">
        <v>26222</v>
      </c>
      <c r="AM675">
        <v>2610405614</v>
      </c>
      <c r="AN675">
        <v>0</v>
      </c>
      <c r="AO675">
        <v>0</v>
      </c>
      <c r="AP675">
        <v>2610405614</v>
      </c>
      <c r="AQ675">
        <v>2610405614</v>
      </c>
      <c r="AR675">
        <v>87013520</v>
      </c>
      <c r="AS675">
        <v>0</v>
      </c>
      <c r="AT675">
        <v>0</v>
      </c>
      <c r="AU675">
        <v>87013520</v>
      </c>
      <c r="AV675">
        <v>87013520</v>
      </c>
      <c r="AW675">
        <v>28.411100000000001</v>
      </c>
      <c r="AX675">
        <v>10.6934</v>
      </c>
      <c r="AY675">
        <v>4589.99</v>
      </c>
      <c r="AZ675">
        <v>3160.62</v>
      </c>
      <c r="BA675">
        <v>1746</v>
      </c>
      <c r="BB675">
        <v>449</v>
      </c>
      <c r="BC675" t="str">
        <f t="shared" si="20"/>
        <v>u=0%, k=2x10^7</v>
      </c>
      <c r="BD675">
        <f t="shared" si="21"/>
        <v>0</v>
      </c>
    </row>
    <row r="676" spans="1:56">
      <c r="A676" t="s">
        <v>797</v>
      </c>
      <c r="B676" t="s">
        <v>67</v>
      </c>
      <c r="D676" t="s">
        <v>65</v>
      </c>
      <c r="E676" t="s">
        <v>60</v>
      </c>
      <c r="F676" t="s">
        <v>61</v>
      </c>
      <c r="G676">
        <v>30000</v>
      </c>
      <c r="H676">
        <v>0</v>
      </c>
      <c r="I676">
        <v>0</v>
      </c>
      <c r="J676">
        <v>0</v>
      </c>
      <c r="K676">
        <v>1</v>
      </c>
      <c r="L676">
        <v>20000000</v>
      </c>
      <c r="M676">
        <v>190</v>
      </c>
      <c r="N676">
        <v>190</v>
      </c>
      <c r="O676">
        <v>190</v>
      </c>
      <c r="P676">
        <v>0</v>
      </c>
      <c r="Q676" t="s">
        <v>62</v>
      </c>
      <c r="R676">
        <v>99961295869788</v>
      </c>
      <c r="S676">
        <v>10000000</v>
      </c>
      <c r="T676">
        <v>99961295869788</v>
      </c>
      <c r="U676">
        <v>10000000</v>
      </c>
      <c r="V676" t="s">
        <v>75</v>
      </c>
      <c r="W676">
        <v>29</v>
      </c>
      <c r="X676">
        <v>5714058</v>
      </c>
      <c r="Y676">
        <v>4285943</v>
      </c>
      <c r="Z676">
        <v>10000001</v>
      </c>
      <c r="AA676">
        <v>10000000</v>
      </c>
      <c r="AB676">
        <v>1.75007</v>
      </c>
      <c r="AC676">
        <v>2.3332099999999998</v>
      </c>
      <c r="AD676">
        <v>2</v>
      </c>
      <c r="AE676">
        <v>22.664400000000001</v>
      </c>
      <c r="AF676">
        <v>560000056</v>
      </c>
      <c r="AJ676" t="s">
        <v>798</v>
      </c>
      <c r="AM676">
        <v>3464518141</v>
      </c>
      <c r="AN676">
        <v>0</v>
      </c>
      <c r="AO676">
        <v>0</v>
      </c>
      <c r="AP676">
        <v>3464518141</v>
      </c>
      <c r="AQ676">
        <v>3464518141</v>
      </c>
      <c r="AR676">
        <v>115483938</v>
      </c>
      <c r="AS676">
        <v>0</v>
      </c>
      <c r="AT676">
        <v>0</v>
      </c>
      <c r="AU676">
        <v>115483938</v>
      </c>
      <c r="AV676">
        <v>115483938</v>
      </c>
      <c r="AW676">
        <v>28.476800000000001</v>
      </c>
      <c r="AX676">
        <v>10.737399999999999</v>
      </c>
      <c r="AY676">
        <v>4562.55</v>
      </c>
      <c r="AZ676">
        <v>3135.33</v>
      </c>
      <c r="BA676">
        <v>1755</v>
      </c>
      <c r="BB676">
        <v>470</v>
      </c>
      <c r="BC676" t="str">
        <f t="shared" si="20"/>
        <v>u=0%, k=2x10^7</v>
      </c>
      <c r="BD676">
        <f t="shared" si="21"/>
        <v>0</v>
      </c>
    </row>
    <row r="677" spans="1:56">
      <c r="A677" t="s">
        <v>799</v>
      </c>
      <c r="B677" t="s">
        <v>68</v>
      </c>
      <c r="D677" t="s">
        <v>65</v>
      </c>
      <c r="E677" t="s">
        <v>60</v>
      </c>
      <c r="F677" t="s">
        <v>61</v>
      </c>
      <c r="G677">
        <v>30000</v>
      </c>
      <c r="H677">
        <v>0</v>
      </c>
      <c r="I677">
        <v>0</v>
      </c>
      <c r="J677">
        <v>0</v>
      </c>
      <c r="K677">
        <v>1</v>
      </c>
      <c r="L677">
        <v>20000000</v>
      </c>
      <c r="M677">
        <v>24</v>
      </c>
      <c r="N677">
        <v>24</v>
      </c>
      <c r="O677">
        <v>24</v>
      </c>
      <c r="P677">
        <v>0</v>
      </c>
      <c r="Q677" t="s">
        <v>62</v>
      </c>
      <c r="R677">
        <v>100004862436983</v>
      </c>
      <c r="S677">
        <v>10000000</v>
      </c>
      <c r="T677">
        <v>100004862436983</v>
      </c>
      <c r="U677">
        <v>10000000</v>
      </c>
      <c r="V677" t="s">
        <v>75</v>
      </c>
      <c r="W677">
        <v>68</v>
      </c>
      <c r="X677">
        <v>9999999</v>
      </c>
      <c r="Y677">
        <v>10000000</v>
      </c>
      <c r="Z677">
        <v>19999999</v>
      </c>
      <c r="AA677">
        <v>10000000</v>
      </c>
      <c r="AB677">
        <v>2</v>
      </c>
      <c r="AC677">
        <v>1</v>
      </c>
      <c r="AD677">
        <v>1.5</v>
      </c>
      <c r="AE677">
        <v>32.045000000000002</v>
      </c>
      <c r="AF677">
        <v>639999968</v>
      </c>
      <c r="AJ677" t="s">
        <v>800</v>
      </c>
      <c r="AM677">
        <v>339904650</v>
      </c>
      <c r="AN677">
        <v>0</v>
      </c>
      <c r="AO677">
        <v>0</v>
      </c>
      <c r="AP677">
        <v>339904650</v>
      </c>
      <c r="AQ677">
        <v>339904650</v>
      </c>
      <c r="AR677">
        <v>11330155</v>
      </c>
      <c r="AS677">
        <v>0</v>
      </c>
      <c r="AT677">
        <v>0</v>
      </c>
      <c r="AU677">
        <v>11330155</v>
      </c>
      <c r="AV677">
        <v>11330155</v>
      </c>
      <c r="AW677">
        <v>24.036100000000001</v>
      </c>
      <c r="AX677">
        <v>8.5982400000000005</v>
      </c>
      <c r="AY677">
        <v>5909.36</v>
      </c>
      <c r="AZ677">
        <v>4447.57</v>
      </c>
      <c r="BA677">
        <v>1717</v>
      </c>
      <c r="BB677">
        <v>1502</v>
      </c>
      <c r="BC677" t="str">
        <f t="shared" si="20"/>
        <v>u=0%, k=2x10^7</v>
      </c>
      <c r="BD677">
        <f t="shared" si="21"/>
        <v>0</v>
      </c>
    </row>
    <row r="678" spans="1:56">
      <c r="A678" t="s">
        <v>801</v>
      </c>
      <c r="B678" t="s">
        <v>68</v>
      </c>
      <c r="D678" t="s">
        <v>65</v>
      </c>
      <c r="E678" t="s">
        <v>60</v>
      </c>
      <c r="F678" t="s">
        <v>61</v>
      </c>
      <c r="G678">
        <v>30000</v>
      </c>
      <c r="H678">
        <v>0</v>
      </c>
      <c r="I678">
        <v>0</v>
      </c>
      <c r="J678">
        <v>0</v>
      </c>
      <c r="K678">
        <v>1</v>
      </c>
      <c r="L678">
        <v>20000000</v>
      </c>
      <c r="M678">
        <v>48</v>
      </c>
      <c r="N678">
        <v>48</v>
      </c>
      <c r="O678">
        <v>48</v>
      </c>
      <c r="P678">
        <v>0</v>
      </c>
      <c r="Q678" t="s">
        <v>62</v>
      </c>
      <c r="R678">
        <v>100001075557529</v>
      </c>
      <c r="S678">
        <v>10000000</v>
      </c>
      <c r="T678">
        <v>100001075557529</v>
      </c>
      <c r="U678">
        <v>10000000</v>
      </c>
      <c r="V678" t="s">
        <v>75</v>
      </c>
      <c r="W678">
        <v>62</v>
      </c>
      <c r="X678">
        <v>9999999</v>
      </c>
      <c r="Y678">
        <v>10000000</v>
      </c>
      <c r="Z678">
        <v>19999999</v>
      </c>
      <c r="AA678">
        <v>10000000</v>
      </c>
      <c r="AB678">
        <v>2</v>
      </c>
      <c r="AC678">
        <v>1</v>
      </c>
      <c r="AD678">
        <v>1.5</v>
      </c>
      <c r="AE678">
        <v>32.803699999999999</v>
      </c>
      <c r="AF678">
        <v>639999968</v>
      </c>
      <c r="AJ678" t="s">
        <v>802</v>
      </c>
      <c r="AM678">
        <v>650865710</v>
      </c>
      <c r="AN678">
        <v>0</v>
      </c>
      <c r="AO678">
        <v>0</v>
      </c>
      <c r="AP678">
        <v>650865710</v>
      </c>
      <c r="AQ678">
        <v>650865710</v>
      </c>
      <c r="AR678">
        <v>21695523</v>
      </c>
      <c r="AS678">
        <v>0</v>
      </c>
      <c r="AT678">
        <v>0</v>
      </c>
      <c r="AU678">
        <v>21695523</v>
      </c>
      <c r="AV678">
        <v>21695523</v>
      </c>
      <c r="AW678">
        <v>24.113600000000002</v>
      </c>
      <c r="AX678">
        <v>8.6327400000000001</v>
      </c>
      <c r="AY678">
        <v>6171.36</v>
      </c>
      <c r="AZ678">
        <v>5158.0600000000004</v>
      </c>
      <c r="BA678">
        <v>1721</v>
      </c>
      <c r="BB678">
        <v>1083</v>
      </c>
      <c r="BC678" t="str">
        <f t="shared" si="20"/>
        <v>u=0%, k=2x10^7</v>
      </c>
      <c r="BD678">
        <f t="shared" si="21"/>
        <v>0</v>
      </c>
    </row>
    <row r="679" spans="1:56">
      <c r="A679" t="s">
        <v>803</v>
      </c>
      <c r="B679" t="s">
        <v>68</v>
      </c>
      <c r="D679" t="s">
        <v>65</v>
      </c>
      <c r="E679" t="s">
        <v>60</v>
      </c>
      <c r="F679" t="s">
        <v>61</v>
      </c>
      <c r="G679">
        <v>30000</v>
      </c>
      <c r="H679">
        <v>0</v>
      </c>
      <c r="I679">
        <v>0</v>
      </c>
      <c r="J679">
        <v>0</v>
      </c>
      <c r="K679">
        <v>1</v>
      </c>
      <c r="L679">
        <v>20000000</v>
      </c>
      <c r="M679">
        <v>96</v>
      </c>
      <c r="N679">
        <v>96</v>
      </c>
      <c r="O679">
        <v>96</v>
      </c>
      <c r="P679">
        <v>0</v>
      </c>
      <c r="Q679" t="s">
        <v>62</v>
      </c>
      <c r="R679">
        <v>99999029535923</v>
      </c>
      <c r="S679">
        <v>10000000</v>
      </c>
      <c r="T679">
        <v>99999029535923</v>
      </c>
      <c r="U679">
        <v>10000000</v>
      </c>
      <c r="V679" t="s">
        <v>75</v>
      </c>
      <c r="W679">
        <v>59</v>
      </c>
      <c r="X679">
        <v>9999999</v>
      </c>
      <c r="Y679">
        <v>10000000</v>
      </c>
      <c r="Z679">
        <v>19999999</v>
      </c>
      <c r="AA679">
        <v>10000000</v>
      </c>
      <c r="AB679">
        <v>2</v>
      </c>
      <c r="AC679">
        <v>1</v>
      </c>
      <c r="AD679">
        <v>1.5</v>
      </c>
      <c r="AE679">
        <v>30.663699999999999</v>
      </c>
      <c r="AF679">
        <v>639999968</v>
      </c>
      <c r="AJ679" t="s">
        <v>804</v>
      </c>
      <c r="AM679">
        <v>1514829624</v>
      </c>
      <c r="AN679">
        <v>0</v>
      </c>
      <c r="AO679">
        <v>0</v>
      </c>
      <c r="AP679">
        <v>1514829624</v>
      </c>
      <c r="AQ679">
        <v>1514829624</v>
      </c>
      <c r="AR679">
        <v>50494320</v>
      </c>
      <c r="AS679">
        <v>0</v>
      </c>
      <c r="AT679">
        <v>0</v>
      </c>
      <c r="AU679">
        <v>50494320</v>
      </c>
      <c r="AV679">
        <v>50494320</v>
      </c>
      <c r="AW679">
        <v>24.628</v>
      </c>
      <c r="AX679">
        <v>9.9339399999999998</v>
      </c>
      <c r="AY679">
        <v>5294.32</v>
      </c>
      <c r="AZ679">
        <v>4295.53</v>
      </c>
      <c r="BA679">
        <v>1735</v>
      </c>
      <c r="BB679">
        <v>733</v>
      </c>
      <c r="BC679" t="str">
        <f t="shared" si="20"/>
        <v>u=0%, k=2x10^7</v>
      </c>
      <c r="BD679">
        <f t="shared" si="21"/>
        <v>0</v>
      </c>
    </row>
    <row r="680" spans="1:56">
      <c r="A680" t="s">
        <v>805</v>
      </c>
      <c r="B680" t="s">
        <v>68</v>
      </c>
      <c r="D680" t="s">
        <v>65</v>
      </c>
      <c r="E680" t="s">
        <v>60</v>
      </c>
      <c r="F680" t="s">
        <v>61</v>
      </c>
      <c r="G680">
        <v>30000</v>
      </c>
      <c r="H680">
        <v>0</v>
      </c>
      <c r="I680">
        <v>0</v>
      </c>
      <c r="J680">
        <v>0</v>
      </c>
      <c r="K680">
        <v>1</v>
      </c>
      <c r="L680">
        <v>20000000</v>
      </c>
      <c r="M680">
        <v>144</v>
      </c>
      <c r="N680">
        <v>144</v>
      </c>
      <c r="O680">
        <v>144</v>
      </c>
      <c r="P680">
        <v>0</v>
      </c>
      <c r="Q680" t="s">
        <v>62</v>
      </c>
      <c r="R680">
        <v>100009456060410</v>
      </c>
      <c r="S680">
        <v>10000000</v>
      </c>
      <c r="T680">
        <v>100009456060410</v>
      </c>
      <c r="U680">
        <v>10000000</v>
      </c>
      <c r="V680" t="s">
        <v>75</v>
      </c>
      <c r="W680">
        <v>65</v>
      </c>
      <c r="X680">
        <v>9999999</v>
      </c>
      <c r="Y680">
        <v>10000000</v>
      </c>
      <c r="Z680">
        <v>19999999</v>
      </c>
      <c r="AA680">
        <v>10000000</v>
      </c>
      <c r="AB680">
        <v>2</v>
      </c>
      <c r="AC680">
        <v>1</v>
      </c>
      <c r="AD680">
        <v>1.5</v>
      </c>
      <c r="AE680">
        <v>32.0672</v>
      </c>
      <c r="AF680">
        <v>639999968</v>
      </c>
      <c r="AJ680" t="s">
        <v>806</v>
      </c>
      <c r="AM680">
        <v>2311385937</v>
      </c>
      <c r="AN680">
        <v>0</v>
      </c>
      <c r="AO680">
        <v>0</v>
      </c>
      <c r="AP680">
        <v>2311385937</v>
      </c>
      <c r="AQ680">
        <v>2311385937</v>
      </c>
      <c r="AR680">
        <v>77046197</v>
      </c>
      <c r="AS680">
        <v>0</v>
      </c>
      <c r="AT680">
        <v>0</v>
      </c>
      <c r="AU680">
        <v>77046197</v>
      </c>
      <c r="AV680">
        <v>77046197</v>
      </c>
      <c r="AW680">
        <v>24.747699999999998</v>
      </c>
      <c r="AX680">
        <v>10.0647</v>
      </c>
      <c r="AY680">
        <v>5203.7700000000004</v>
      </c>
      <c r="AZ680">
        <v>4213.8</v>
      </c>
      <c r="BA680">
        <v>1745</v>
      </c>
      <c r="BB680">
        <v>429</v>
      </c>
      <c r="BC680" t="str">
        <f t="shared" si="20"/>
        <v>u=0%, k=2x10^7</v>
      </c>
      <c r="BD680">
        <f t="shared" si="21"/>
        <v>0</v>
      </c>
    </row>
    <row r="681" spans="1:56">
      <c r="A681" t="s">
        <v>807</v>
      </c>
      <c r="B681" t="s">
        <v>68</v>
      </c>
      <c r="D681" t="s">
        <v>65</v>
      </c>
      <c r="E681" t="s">
        <v>60</v>
      </c>
      <c r="F681" t="s">
        <v>61</v>
      </c>
      <c r="G681">
        <v>30000</v>
      </c>
      <c r="H681">
        <v>0</v>
      </c>
      <c r="I681">
        <v>0</v>
      </c>
      <c r="J681">
        <v>0</v>
      </c>
      <c r="K681">
        <v>1</v>
      </c>
      <c r="L681">
        <v>20000000</v>
      </c>
      <c r="M681">
        <v>190</v>
      </c>
      <c r="N681">
        <v>190</v>
      </c>
      <c r="O681">
        <v>190</v>
      </c>
      <c r="P681">
        <v>0</v>
      </c>
      <c r="Q681" t="s">
        <v>62</v>
      </c>
      <c r="R681">
        <v>100008124946362</v>
      </c>
      <c r="S681">
        <v>10000000</v>
      </c>
      <c r="T681">
        <v>100008124946362</v>
      </c>
      <c r="U681">
        <v>10000000</v>
      </c>
      <c r="V681" t="s">
        <v>75</v>
      </c>
      <c r="W681">
        <v>61</v>
      </c>
      <c r="X681">
        <v>9999999</v>
      </c>
      <c r="Y681">
        <v>10000000</v>
      </c>
      <c r="Z681">
        <v>19999999</v>
      </c>
      <c r="AA681">
        <v>10000000</v>
      </c>
      <c r="AB681">
        <v>2</v>
      </c>
      <c r="AC681">
        <v>1</v>
      </c>
      <c r="AD681">
        <v>1.5</v>
      </c>
      <c r="AE681">
        <v>30.884</v>
      </c>
      <c r="AF681">
        <v>639999968</v>
      </c>
      <c r="AJ681" t="s">
        <v>808</v>
      </c>
      <c r="AM681">
        <v>3083960996</v>
      </c>
      <c r="AN681">
        <v>0</v>
      </c>
      <c r="AO681">
        <v>0</v>
      </c>
      <c r="AP681">
        <v>3083960996</v>
      </c>
      <c r="AQ681">
        <v>3083960996</v>
      </c>
      <c r="AR681">
        <v>102798699</v>
      </c>
      <c r="AS681">
        <v>0</v>
      </c>
      <c r="AT681">
        <v>0</v>
      </c>
      <c r="AU681">
        <v>102798699</v>
      </c>
      <c r="AV681">
        <v>102798699</v>
      </c>
      <c r="AW681">
        <v>24.754799999999999</v>
      </c>
      <c r="AX681">
        <v>10.091699999999999</v>
      </c>
      <c r="AY681">
        <v>5142.8999999999996</v>
      </c>
      <c r="AZ681">
        <v>4149.97</v>
      </c>
      <c r="BA681">
        <v>1754</v>
      </c>
      <c r="BB681">
        <v>456</v>
      </c>
      <c r="BC681" t="str">
        <f t="shared" si="20"/>
        <v>u=0%, k=2x10^7</v>
      </c>
      <c r="BD681">
        <f t="shared" si="21"/>
        <v>0</v>
      </c>
    </row>
    <row r="682" spans="1:56">
      <c r="A682" t="s">
        <v>809</v>
      </c>
      <c r="B682" t="s">
        <v>64</v>
      </c>
      <c r="C682">
        <v>72</v>
      </c>
      <c r="D682" t="s">
        <v>65</v>
      </c>
      <c r="E682" t="s">
        <v>60</v>
      </c>
      <c r="F682" t="s">
        <v>61</v>
      </c>
      <c r="G682">
        <v>30000</v>
      </c>
      <c r="H682">
        <v>0</v>
      </c>
      <c r="I682">
        <v>0</v>
      </c>
      <c r="J682">
        <v>0</v>
      </c>
      <c r="K682">
        <v>1</v>
      </c>
      <c r="L682">
        <v>200000000</v>
      </c>
      <c r="M682">
        <v>24</v>
      </c>
      <c r="N682">
        <v>24</v>
      </c>
      <c r="O682">
        <v>24</v>
      </c>
      <c r="P682">
        <v>0</v>
      </c>
      <c r="Q682" t="s">
        <v>62</v>
      </c>
      <c r="R682">
        <v>9999822897252830</v>
      </c>
      <c r="S682">
        <v>100000001</v>
      </c>
      <c r="T682">
        <v>9999822897252830</v>
      </c>
      <c r="U682">
        <v>100000001</v>
      </c>
      <c r="V682" t="s">
        <v>75</v>
      </c>
      <c r="W682">
        <v>6</v>
      </c>
      <c r="X682">
        <v>11011103</v>
      </c>
      <c r="Y682">
        <v>110001001</v>
      </c>
      <c r="Z682">
        <v>121012104</v>
      </c>
      <c r="AA682">
        <v>100000001</v>
      </c>
      <c r="AB682">
        <v>10.99</v>
      </c>
      <c r="AC682">
        <v>0.90908299999999997</v>
      </c>
      <c r="AD682">
        <v>1.82636</v>
      </c>
      <c r="AE682">
        <v>4</v>
      </c>
      <c r="AF682">
        <v>2640904240</v>
      </c>
      <c r="AJ682">
        <v>321186</v>
      </c>
      <c r="AM682">
        <v>875762778</v>
      </c>
      <c r="AN682">
        <v>0</v>
      </c>
      <c r="AO682">
        <v>0</v>
      </c>
      <c r="AP682">
        <v>875762778</v>
      </c>
      <c r="AQ682">
        <v>875762778</v>
      </c>
      <c r="AR682">
        <v>29192092</v>
      </c>
      <c r="AS682">
        <v>0</v>
      </c>
      <c r="AT682">
        <v>0</v>
      </c>
      <c r="AU682">
        <v>29192092</v>
      </c>
      <c r="AV682">
        <v>29192092</v>
      </c>
      <c r="AW682">
        <v>18.586400000000001</v>
      </c>
      <c r="AX682">
        <v>8.07423</v>
      </c>
      <c r="AY682">
        <v>2293.1799999999998</v>
      </c>
      <c r="AZ682">
        <v>1705.79</v>
      </c>
      <c r="BA682">
        <v>7055</v>
      </c>
      <c r="BB682">
        <v>1564</v>
      </c>
      <c r="BC682" t="str">
        <f t="shared" si="20"/>
        <v>u=0%, k=2x10^8</v>
      </c>
      <c r="BD682">
        <f t="shared" si="21"/>
        <v>0</v>
      </c>
    </row>
    <row r="683" spans="1:56">
      <c r="A683" t="s">
        <v>810</v>
      </c>
      <c r="B683" t="s">
        <v>64</v>
      </c>
      <c r="C683">
        <v>72</v>
      </c>
      <c r="D683" t="s">
        <v>65</v>
      </c>
      <c r="E683" t="s">
        <v>60</v>
      </c>
      <c r="F683" t="s">
        <v>61</v>
      </c>
      <c r="G683">
        <v>30000</v>
      </c>
      <c r="H683">
        <v>0</v>
      </c>
      <c r="I683">
        <v>0</v>
      </c>
      <c r="J683">
        <v>0</v>
      </c>
      <c r="K683">
        <v>1</v>
      </c>
      <c r="L683">
        <v>200000000</v>
      </c>
      <c r="M683">
        <v>48</v>
      </c>
      <c r="N683">
        <v>48</v>
      </c>
      <c r="O683">
        <v>48</v>
      </c>
      <c r="P683">
        <v>0</v>
      </c>
      <c r="Q683" t="s">
        <v>62</v>
      </c>
      <c r="R683">
        <v>9999434887891890</v>
      </c>
      <c r="S683">
        <v>100000001</v>
      </c>
      <c r="T683">
        <v>9999434887891890</v>
      </c>
      <c r="U683">
        <v>100000001</v>
      </c>
      <c r="V683" t="s">
        <v>75</v>
      </c>
      <c r="W683">
        <v>6</v>
      </c>
      <c r="X683">
        <v>11011103</v>
      </c>
      <c r="Y683">
        <v>110001001</v>
      </c>
      <c r="Z683">
        <v>121012104</v>
      </c>
      <c r="AA683">
        <v>100000001</v>
      </c>
      <c r="AB683">
        <v>10.99</v>
      </c>
      <c r="AC683">
        <v>0.90908299999999997</v>
      </c>
      <c r="AD683">
        <v>1.82636</v>
      </c>
      <c r="AE683">
        <v>4</v>
      </c>
      <c r="AF683">
        <v>2640904240</v>
      </c>
      <c r="AJ683">
        <v>140114</v>
      </c>
      <c r="AM683">
        <v>1558401513</v>
      </c>
      <c r="AN683">
        <v>0</v>
      </c>
      <c r="AO683">
        <v>0</v>
      </c>
      <c r="AP683">
        <v>1558401513</v>
      </c>
      <c r="AQ683">
        <v>1558401513</v>
      </c>
      <c r="AR683">
        <v>51946717</v>
      </c>
      <c r="AS683">
        <v>0</v>
      </c>
      <c r="AT683">
        <v>0</v>
      </c>
      <c r="AU683">
        <v>51946717</v>
      </c>
      <c r="AV683">
        <v>51946717</v>
      </c>
      <c r="AW683">
        <v>18.5885</v>
      </c>
      <c r="AX683">
        <v>8.0667200000000001</v>
      </c>
      <c r="AY683">
        <v>2574.5300000000002</v>
      </c>
      <c r="AZ683">
        <v>1891.17</v>
      </c>
      <c r="BA683">
        <v>7096</v>
      </c>
      <c r="BB683">
        <v>1275</v>
      </c>
      <c r="BC683" t="str">
        <f t="shared" si="20"/>
        <v>u=0%, k=2x10^8</v>
      </c>
      <c r="BD683">
        <f t="shared" si="21"/>
        <v>0</v>
      </c>
    </row>
    <row r="684" spans="1:56">
      <c r="A684" t="s">
        <v>811</v>
      </c>
      <c r="B684" t="s">
        <v>64</v>
      </c>
      <c r="C684">
        <v>72</v>
      </c>
      <c r="D684" t="s">
        <v>65</v>
      </c>
      <c r="E684" t="s">
        <v>60</v>
      </c>
      <c r="F684" t="s">
        <v>61</v>
      </c>
      <c r="G684">
        <v>30000</v>
      </c>
      <c r="H684">
        <v>0</v>
      </c>
      <c r="I684">
        <v>0</v>
      </c>
      <c r="J684">
        <v>0</v>
      </c>
      <c r="K684">
        <v>1</v>
      </c>
      <c r="L684">
        <v>200000000</v>
      </c>
      <c r="M684">
        <v>96</v>
      </c>
      <c r="N684">
        <v>96</v>
      </c>
      <c r="O684">
        <v>96</v>
      </c>
      <c r="P684">
        <v>0</v>
      </c>
      <c r="Q684" t="s">
        <v>62</v>
      </c>
      <c r="R684">
        <v>1.00002262615938E+16</v>
      </c>
      <c r="S684">
        <v>100000001</v>
      </c>
      <c r="T684">
        <v>1.00002262615938E+16</v>
      </c>
      <c r="U684">
        <v>100000001</v>
      </c>
      <c r="V684" t="s">
        <v>75</v>
      </c>
      <c r="W684">
        <v>6</v>
      </c>
      <c r="X684">
        <v>11011103</v>
      </c>
      <c r="Y684">
        <v>110001001</v>
      </c>
      <c r="Z684">
        <v>121012104</v>
      </c>
      <c r="AA684">
        <v>100000001</v>
      </c>
      <c r="AB684">
        <v>10.99</v>
      </c>
      <c r="AC684">
        <v>0.90908299999999997</v>
      </c>
      <c r="AD684">
        <v>1.82636</v>
      </c>
      <c r="AE684">
        <v>4</v>
      </c>
      <c r="AF684">
        <v>2640904240</v>
      </c>
      <c r="AJ684">
        <v>70394</v>
      </c>
      <c r="AM684">
        <v>3164600877</v>
      </c>
      <c r="AN684">
        <v>0</v>
      </c>
      <c r="AO684">
        <v>0</v>
      </c>
      <c r="AP684">
        <v>3164600877</v>
      </c>
      <c r="AQ684">
        <v>3164600877</v>
      </c>
      <c r="AR684">
        <v>105486695</v>
      </c>
      <c r="AS684">
        <v>0</v>
      </c>
      <c r="AT684">
        <v>0</v>
      </c>
      <c r="AU684">
        <v>105486695</v>
      </c>
      <c r="AV684">
        <v>105486695</v>
      </c>
      <c r="AW684">
        <v>18.663900000000002</v>
      </c>
      <c r="AX684">
        <v>8.8668899999999997</v>
      </c>
      <c r="AY684">
        <v>2531.3200000000002</v>
      </c>
      <c r="AZ684">
        <v>1792.57</v>
      </c>
      <c r="BA684">
        <v>7180</v>
      </c>
      <c r="BB684">
        <v>1170</v>
      </c>
      <c r="BC684" t="str">
        <f t="shared" si="20"/>
        <v>u=0%, k=2x10^8</v>
      </c>
      <c r="BD684">
        <f t="shared" si="21"/>
        <v>0</v>
      </c>
    </row>
    <row r="685" spans="1:56">
      <c r="A685" t="s">
        <v>812</v>
      </c>
      <c r="B685" t="s">
        <v>64</v>
      </c>
      <c r="C685">
        <v>72</v>
      </c>
      <c r="D685" t="s">
        <v>65</v>
      </c>
      <c r="E685" t="s">
        <v>60</v>
      </c>
      <c r="F685" t="s">
        <v>61</v>
      </c>
      <c r="G685">
        <v>30000</v>
      </c>
      <c r="H685">
        <v>0</v>
      </c>
      <c r="I685">
        <v>0</v>
      </c>
      <c r="J685">
        <v>0</v>
      </c>
      <c r="K685">
        <v>1</v>
      </c>
      <c r="L685">
        <v>200000000</v>
      </c>
      <c r="M685">
        <v>144</v>
      </c>
      <c r="N685">
        <v>144</v>
      </c>
      <c r="O685">
        <v>144</v>
      </c>
      <c r="P685">
        <v>0</v>
      </c>
      <c r="Q685" t="s">
        <v>62</v>
      </c>
      <c r="R685">
        <v>1.00000655485433E+16</v>
      </c>
      <c r="S685">
        <v>100000001</v>
      </c>
      <c r="T685">
        <v>1.00000655485433E+16</v>
      </c>
      <c r="U685">
        <v>100000001</v>
      </c>
      <c r="V685" t="s">
        <v>75</v>
      </c>
      <c r="W685">
        <v>6</v>
      </c>
      <c r="X685">
        <v>11011103</v>
      </c>
      <c r="Y685">
        <v>110001001</v>
      </c>
      <c r="Z685">
        <v>121012104</v>
      </c>
      <c r="AA685">
        <v>100000001</v>
      </c>
      <c r="AB685">
        <v>10.99</v>
      </c>
      <c r="AC685">
        <v>0.90908299999999997</v>
      </c>
      <c r="AD685">
        <v>1.82636</v>
      </c>
      <c r="AE685">
        <v>4</v>
      </c>
      <c r="AF685">
        <v>2640904240</v>
      </c>
      <c r="AJ685">
        <v>46534</v>
      </c>
      <c r="AM685">
        <v>4730867167</v>
      </c>
      <c r="AN685">
        <v>0</v>
      </c>
      <c r="AO685">
        <v>0</v>
      </c>
      <c r="AP685">
        <v>4730867167</v>
      </c>
      <c r="AQ685">
        <v>4730867167</v>
      </c>
      <c r="AR685">
        <v>157695572</v>
      </c>
      <c r="AS685">
        <v>0</v>
      </c>
      <c r="AT685">
        <v>0</v>
      </c>
      <c r="AU685">
        <v>157695572</v>
      </c>
      <c r="AV685">
        <v>157695572</v>
      </c>
      <c r="AW685">
        <v>18.736599999999999</v>
      </c>
      <c r="AX685">
        <v>9.1215499999999992</v>
      </c>
      <c r="AY685">
        <v>2536.14</v>
      </c>
      <c r="AZ685">
        <v>1794.55</v>
      </c>
      <c r="BA685">
        <v>7289</v>
      </c>
      <c r="BB685">
        <v>1089</v>
      </c>
      <c r="BC685" t="str">
        <f t="shared" si="20"/>
        <v>u=0%, k=2x10^8</v>
      </c>
      <c r="BD685">
        <f t="shared" si="21"/>
        <v>0</v>
      </c>
    </row>
    <row r="686" spans="1:56">
      <c r="A686" t="s">
        <v>813</v>
      </c>
      <c r="B686" t="s">
        <v>64</v>
      </c>
      <c r="C686">
        <v>72</v>
      </c>
      <c r="D686" t="s">
        <v>65</v>
      </c>
      <c r="E686" t="s">
        <v>60</v>
      </c>
      <c r="F686" t="s">
        <v>61</v>
      </c>
      <c r="G686">
        <v>30000</v>
      </c>
      <c r="H686">
        <v>0</v>
      </c>
      <c r="I686">
        <v>0</v>
      </c>
      <c r="J686">
        <v>0</v>
      </c>
      <c r="K686">
        <v>1</v>
      </c>
      <c r="L686">
        <v>200000000</v>
      </c>
      <c r="M686">
        <v>190</v>
      </c>
      <c r="N686">
        <v>190</v>
      </c>
      <c r="O686">
        <v>190</v>
      </c>
      <c r="P686">
        <v>0</v>
      </c>
      <c r="Q686" t="s">
        <v>62</v>
      </c>
      <c r="R686">
        <v>1.000040055453E+16</v>
      </c>
      <c r="S686">
        <v>100000001</v>
      </c>
      <c r="T686">
        <v>1.000040055453E+16</v>
      </c>
      <c r="U686">
        <v>100000001</v>
      </c>
      <c r="V686" t="s">
        <v>75</v>
      </c>
      <c r="W686">
        <v>6</v>
      </c>
      <c r="X686">
        <v>11011103</v>
      </c>
      <c r="Y686">
        <v>110001001</v>
      </c>
      <c r="Z686">
        <v>121012104</v>
      </c>
      <c r="AA686">
        <v>100000001</v>
      </c>
      <c r="AB686">
        <v>10.99</v>
      </c>
      <c r="AC686">
        <v>0.90908299999999997</v>
      </c>
      <c r="AD686">
        <v>1.82636</v>
      </c>
      <c r="AE686">
        <v>4</v>
      </c>
      <c r="AF686">
        <v>2640904240</v>
      </c>
      <c r="AJ686">
        <v>37970</v>
      </c>
      <c r="AM686">
        <v>6194840561</v>
      </c>
      <c r="AN686">
        <v>0</v>
      </c>
      <c r="AO686">
        <v>0</v>
      </c>
      <c r="AP686">
        <v>6194840561</v>
      </c>
      <c r="AQ686">
        <v>6194840561</v>
      </c>
      <c r="AR686">
        <v>206494685</v>
      </c>
      <c r="AS686">
        <v>0</v>
      </c>
      <c r="AT686">
        <v>0</v>
      </c>
      <c r="AU686">
        <v>206494685</v>
      </c>
      <c r="AV686">
        <v>206494685</v>
      </c>
      <c r="AW686">
        <v>18.79</v>
      </c>
      <c r="AX686">
        <v>9.2654899999999998</v>
      </c>
      <c r="AY686">
        <v>2555.14</v>
      </c>
      <c r="AZ686">
        <v>1799.85</v>
      </c>
      <c r="BA686">
        <v>7351</v>
      </c>
      <c r="BB686">
        <v>1114</v>
      </c>
      <c r="BC686" t="str">
        <f t="shared" si="20"/>
        <v>u=0%, k=2x10^8</v>
      </c>
      <c r="BD686">
        <f t="shared" si="21"/>
        <v>0</v>
      </c>
    </row>
    <row r="687" spans="1:56">
      <c r="A687" t="s">
        <v>814</v>
      </c>
      <c r="B687" t="s">
        <v>66</v>
      </c>
      <c r="C687">
        <v>208</v>
      </c>
      <c r="D687" t="s">
        <v>65</v>
      </c>
      <c r="E687" t="s">
        <v>60</v>
      </c>
      <c r="F687" t="s">
        <v>61</v>
      </c>
      <c r="G687">
        <v>30000</v>
      </c>
      <c r="H687">
        <v>0</v>
      </c>
      <c r="I687">
        <v>0</v>
      </c>
      <c r="J687">
        <v>0</v>
      </c>
      <c r="K687">
        <v>1</v>
      </c>
      <c r="L687">
        <v>200000000</v>
      </c>
      <c r="M687">
        <v>24</v>
      </c>
      <c r="N687">
        <v>24</v>
      </c>
      <c r="O687">
        <v>24</v>
      </c>
      <c r="P687">
        <v>0</v>
      </c>
      <c r="Q687" t="s">
        <v>62</v>
      </c>
      <c r="R687">
        <v>9999865110570150</v>
      </c>
      <c r="S687">
        <v>100000000</v>
      </c>
      <c r="T687">
        <v>9999865110570150</v>
      </c>
      <c r="U687">
        <v>100000000</v>
      </c>
      <c r="V687" t="s">
        <v>75</v>
      </c>
      <c r="W687">
        <v>10</v>
      </c>
      <c r="X687">
        <v>1854317</v>
      </c>
      <c r="Y687">
        <v>12759001</v>
      </c>
      <c r="Z687">
        <v>14613318</v>
      </c>
      <c r="AA687">
        <v>100000000</v>
      </c>
      <c r="AB687">
        <v>7.8807</v>
      </c>
      <c r="AC687">
        <v>7.8376000000000001</v>
      </c>
      <c r="AD687">
        <v>7.84307</v>
      </c>
      <c r="AE687">
        <v>9</v>
      </c>
      <c r="AF687">
        <v>3039570144</v>
      </c>
      <c r="AJ687" t="s">
        <v>815</v>
      </c>
      <c r="AM687">
        <v>606476662</v>
      </c>
      <c r="AN687">
        <v>0</v>
      </c>
      <c r="AO687">
        <v>0</v>
      </c>
      <c r="AP687">
        <v>606476662</v>
      </c>
      <c r="AQ687">
        <v>606476662</v>
      </c>
      <c r="AR687">
        <v>20215888</v>
      </c>
      <c r="AS687">
        <v>0</v>
      </c>
      <c r="AT687">
        <v>0</v>
      </c>
      <c r="AU687">
        <v>20215888</v>
      </c>
      <c r="AV687">
        <v>20215888</v>
      </c>
      <c r="AW687">
        <v>23.539300000000001</v>
      </c>
      <c r="AX687">
        <v>9.4273199999999999</v>
      </c>
      <c r="AY687">
        <v>3311.54</v>
      </c>
      <c r="AZ687">
        <v>2227.73</v>
      </c>
      <c r="BA687">
        <v>4298</v>
      </c>
      <c r="BB687">
        <v>9604</v>
      </c>
      <c r="BC687" t="str">
        <f t="shared" si="20"/>
        <v>u=0%, k=2x10^8</v>
      </c>
      <c r="BD687">
        <f t="shared" si="21"/>
        <v>0</v>
      </c>
    </row>
    <row r="688" spans="1:56">
      <c r="A688" t="s">
        <v>816</v>
      </c>
      <c r="B688" t="s">
        <v>66</v>
      </c>
      <c r="C688">
        <v>208</v>
      </c>
      <c r="D688" t="s">
        <v>65</v>
      </c>
      <c r="E688" t="s">
        <v>60</v>
      </c>
      <c r="F688" t="s">
        <v>61</v>
      </c>
      <c r="G688">
        <v>30000</v>
      </c>
      <c r="H688">
        <v>0</v>
      </c>
      <c r="I688">
        <v>0</v>
      </c>
      <c r="J688">
        <v>0</v>
      </c>
      <c r="K688">
        <v>1</v>
      </c>
      <c r="L688">
        <v>200000000</v>
      </c>
      <c r="M688">
        <v>48</v>
      </c>
      <c r="N688">
        <v>48</v>
      </c>
      <c r="O688">
        <v>48</v>
      </c>
      <c r="P688">
        <v>0</v>
      </c>
      <c r="Q688" t="s">
        <v>62</v>
      </c>
      <c r="R688">
        <v>9998790920360010</v>
      </c>
      <c r="S688">
        <v>100000000</v>
      </c>
      <c r="T688">
        <v>9998790920360010</v>
      </c>
      <c r="U688">
        <v>100000000</v>
      </c>
      <c r="V688" t="s">
        <v>75</v>
      </c>
      <c r="W688">
        <v>10</v>
      </c>
      <c r="X688">
        <v>1853464</v>
      </c>
      <c r="Y688">
        <v>12757828</v>
      </c>
      <c r="Z688">
        <v>14611292</v>
      </c>
      <c r="AA688">
        <v>100000000</v>
      </c>
      <c r="AB688">
        <v>7.8832300000000002</v>
      </c>
      <c r="AC688">
        <v>7.8383200000000004</v>
      </c>
      <c r="AD688">
        <v>7.8440200000000004</v>
      </c>
      <c r="AE688">
        <v>9</v>
      </c>
      <c r="AF688">
        <v>3039148736</v>
      </c>
      <c r="AJ688" t="s">
        <v>817</v>
      </c>
      <c r="AM688">
        <v>1135334745</v>
      </c>
      <c r="AN688">
        <v>0</v>
      </c>
      <c r="AO688">
        <v>0</v>
      </c>
      <c r="AP688">
        <v>1135334745</v>
      </c>
      <c r="AQ688">
        <v>1135334745</v>
      </c>
      <c r="AR688">
        <v>37844491</v>
      </c>
      <c r="AS688">
        <v>0</v>
      </c>
      <c r="AT688">
        <v>0</v>
      </c>
      <c r="AU688">
        <v>37844491</v>
      </c>
      <c r="AV688">
        <v>37844491</v>
      </c>
      <c r="AW688">
        <v>23.310500000000001</v>
      </c>
      <c r="AX688">
        <v>9.3920200000000005</v>
      </c>
      <c r="AY688">
        <v>3536.5</v>
      </c>
      <c r="AZ688">
        <v>2646.28</v>
      </c>
      <c r="BA688">
        <v>4383</v>
      </c>
      <c r="BB688">
        <v>6517</v>
      </c>
      <c r="BC688" t="str">
        <f t="shared" si="20"/>
        <v>u=0%, k=2x10^8</v>
      </c>
      <c r="BD688">
        <f t="shared" si="21"/>
        <v>0</v>
      </c>
    </row>
    <row r="689" spans="1:56">
      <c r="A689" t="s">
        <v>818</v>
      </c>
      <c r="B689" t="s">
        <v>66</v>
      </c>
      <c r="C689">
        <v>208</v>
      </c>
      <c r="D689" t="s">
        <v>65</v>
      </c>
      <c r="E689" t="s">
        <v>60</v>
      </c>
      <c r="F689" t="s">
        <v>61</v>
      </c>
      <c r="G689">
        <v>30000</v>
      </c>
      <c r="H689">
        <v>0</v>
      </c>
      <c r="I689">
        <v>0</v>
      </c>
      <c r="J689">
        <v>0</v>
      </c>
      <c r="K689">
        <v>1</v>
      </c>
      <c r="L689">
        <v>200000000</v>
      </c>
      <c r="M689">
        <v>96</v>
      </c>
      <c r="N689">
        <v>96</v>
      </c>
      <c r="O689">
        <v>96</v>
      </c>
      <c r="P689">
        <v>0</v>
      </c>
      <c r="Q689" t="s">
        <v>62</v>
      </c>
      <c r="R689">
        <v>9999833045437380</v>
      </c>
      <c r="S689">
        <v>100000000</v>
      </c>
      <c r="T689">
        <v>9999833045437380</v>
      </c>
      <c r="U689">
        <v>100000000</v>
      </c>
      <c r="V689" t="s">
        <v>75</v>
      </c>
      <c r="W689">
        <v>10</v>
      </c>
      <c r="X689">
        <v>1853791</v>
      </c>
      <c r="Y689">
        <v>12757205</v>
      </c>
      <c r="Z689">
        <v>14610996</v>
      </c>
      <c r="AA689">
        <v>100000000</v>
      </c>
      <c r="AB689">
        <v>7.8816800000000002</v>
      </c>
      <c r="AC689">
        <v>7.8387099999999998</v>
      </c>
      <c r="AD689">
        <v>7.8441599999999996</v>
      </c>
      <c r="AE689">
        <v>9</v>
      </c>
      <c r="AF689">
        <v>3039087168</v>
      </c>
      <c r="AJ689" t="s">
        <v>819</v>
      </c>
      <c r="AM689">
        <v>2419023837</v>
      </c>
      <c r="AN689">
        <v>0</v>
      </c>
      <c r="AO689">
        <v>0</v>
      </c>
      <c r="AP689">
        <v>2419023837</v>
      </c>
      <c r="AQ689">
        <v>2419023837</v>
      </c>
      <c r="AR689">
        <v>80634127</v>
      </c>
      <c r="AS689">
        <v>0</v>
      </c>
      <c r="AT689">
        <v>0</v>
      </c>
      <c r="AU689">
        <v>80634127</v>
      </c>
      <c r="AV689">
        <v>80634127</v>
      </c>
      <c r="AW689">
        <v>23.287299999999998</v>
      </c>
      <c r="AX689">
        <v>10.2555</v>
      </c>
      <c r="AY689">
        <v>3313.36</v>
      </c>
      <c r="AZ689">
        <v>2355.63</v>
      </c>
      <c r="BA689">
        <v>4698</v>
      </c>
      <c r="BB689">
        <v>6534</v>
      </c>
      <c r="BC689" t="str">
        <f t="shared" si="20"/>
        <v>u=0%, k=2x10^8</v>
      </c>
      <c r="BD689">
        <f t="shared" si="21"/>
        <v>0</v>
      </c>
    </row>
    <row r="690" spans="1:56">
      <c r="A690" t="s">
        <v>820</v>
      </c>
      <c r="B690" t="s">
        <v>66</v>
      </c>
      <c r="C690">
        <v>208</v>
      </c>
      <c r="D690" t="s">
        <v>65</v>
      </c>
      <c r="E690" t="s">
        <v>60</v>
      </c>
      <c r="F690" t="s">
        <v>61</v>
      </c>
      <c r="G690">
        <v>30000</v>
      </c>
      <c r="H690">
        <v>0</v>
      </c>
      <c r="I690">
        <v>0</v>
      </c>
      <c r="J690">
        <v>0</v>
      </c>
      <c r="K690">
        <v>1</v>
      </c>
      <c r="L690">
        <v>200000000</v>
      </c>
      <c r="M690">
        <v>144</v>
      </c>
      <c r="N690">
        <v>144</v>
      </c>
      <c r="O690">
        <v>144</v>
      </c>
      <c r="P690">
        <v>0</v>
      </c>
      <c r="Q690" t="s">
        <v>62</v>
      </c>
      <c r="R690">
        <v>1.00006796925828E+16</v>
      </c>
      <c r="S690">
        <v>100000000</v>
      </c>
      <c r="T690">
        <v>1.00006796925828E+16</v>
      </c>
      <c r="U690">
        <v>100000000</v>
      </c>
      <c r="V690" t="s">
        <v>75</v>
      </c>
      <c r="W690">
        <v>10</v>
      </c>
      <c r="X690">
        <v>1853776</v>
      </c>
      <c r="Y690">
        <v>12757285</v>
      </c>
      <c r="Z690">
        <v>14611061</v>
      </c>
      <c r="AA690">
        <v>100000000</v>
      </c>
      <c r="AB690">
        <v>7.88178</v>
      </c>
      <c r="AC690">
        <v>7.83866</v>
      </c>
      <c r="AD690">
        <v>7.8441299999999998</v>
      </c>
      <c r="AE690">
        <v>9</v>
      </c>
      <c r="AF690">
        <v>3039100688</v>
      </c>
      <c r="AJ690" t="s">
        <v>821</v>
      </c>
      <c r="AM690">
        <v>3633702738</v>
      </c>
      <c r="AN690">
        <v>0</v>
      </c>
      <c r="AO690">
        <v>0</v>
      </c>
      <c r="AP690">
        <v>3633702738</v>
      </c>
      <c r="AQ690">
        <v>3633702738</v>
      </c>
      <c r="AR690">
        <v>121123424</v>
      </c>
      <c r="AS690">
        <v>0</v>
      </c>
      <c r="AT690">
        <v>0</v>
      </c>
      <c r="AU690">
        <v>121123424</v>
      </c>
      <c r="AV690">
        <v>121123424</v>
      </c>
      <c r="AW690">
        <v>23.357299999999999</v>
      </c>
      <c r="AX690">
        <v>10.4636</v>
      </c>
      <c r="AY690">
        <v>3301.52</v>
      </c>
      <c r="AZ690">
        <v>2333.88</v>
      </c>
      <c r="BA690">
        <v>4727</v>
      </c>
      <c r="BB690">
        <v>5916</v>
      </c>
      <c r="BC690" t="str">
        <f t="shared" si="20"/>
        <v>u=0%, k=2x10^8</v>
      </c>
      <c r="BD690">
        <f t="shared" si="21"/>
        <v>0</v>
      </c>
    </row>
    <row r="691" spans="1:56">
      <c r="A691" t="s">
        <v>822</v>
      </c>
      <c r="B691" t="s">
        <v>66</v>
      </c>
      <c r="C691">
        <v>208</v>
      </c>
      <c r="D691" t="s">
        <v>65</v>
      </c>
      <c r="E691" t="s">
        <v>60</v>
      </c>
      <c r="F691" t="s">
        <v>61</v>
      </c>
      <c r="G691">
        <v>30000</v>
      </c>
      <c r="H691">
        <v>0</v>
      </c>
      <c r="I691">
        <v>0</v>
      </c>
      <c r="J691">
        <v>0</v>
      </c>
      <c r="K691">
        <v>1</v>
      </c>
      <c r="L691">
        <v>200000000</v>
      </c>
      <c r="M691">
        <v>190</v>
      </c>
      <c r="N691">
        <v>190</v>
      </c>
      <c r="O691">
        <v>190</v>
      </c>
      <c r="P691">
        <v>0</v>
      </c>
      <c r="Q691" t="s">
        <v>62</v>
      </c>
      <c r="R691">
        <v>1.00006265201397E+16</v>
      </c>
      <c r="S691">
        <v>100000000</v>
      </c>
      <c r="T691">
        <v>1.00006265201397E+16</v>
      </c>
      <c r="U691">
        <v>100000000</v>
      </c>
      <c r="V691" t="s">
        <v>75</v>
      </c>
      <c r="W691">
        <v>10</v>
      </c>
      <c r="X691">
        <v>1853459</v>
      </c>
      <c r="Y691">
        <v>12755760</v>
      </c>
      <c r="Z691">
        <v>14609219</v>
      </c>
      <c r="AA691">
        <v>100000000</v>
      </c>
      <c r="AB691">
        <v>7.8821399999999997</v>
      </c>
      <c r="AC691">
        <v>7.8395999999999999</v>
      </c>
      <c r="AD691">
        <v>7.8449900000000001</v>
      </c>
      <c r="AE691">
        <v>9</v>
      </c>
      <c r="AF691">
        <v>3038717552</v>
      </c>
      <c r="AJ691" t="s">
        <v>823</v>
      </c>
      <c r="AM691">
        <v>4764466132</v>
      </c>
      <c r="AN691">
        <v>0</v>
      </c>
      <c r="AO691">
        <v>0</v>
      </c>
      <c r="AP691">
        <v>4764466132</v>
      </c>
      <c r="AQ691">
        <v>4764466132</v>
      </c>
      <c r="AR691">
        <v>158815537</v>
      </c>
      <c r="AS691">
        <v>0</v>
      </c>
      <c r="AT691">
        <v>0</v>
      </c>
      <c r="AU691">
        <v>158815537</v>
      </c>
      <c r="AV691">
        <v>158815537</v>
      </c>
      <c r="AW691">
        <v>23.398399999999999</v>
      </c>
      <c r="AX691">
        <v>10.7844</v>
      </c>
      <c r="AY691">
        <v>3322.51</v>
      </c>
      <c r="AZ691">
        <v>2350.0700000000002</v>
      </c>
      <c r="BA691">
        <v>5127</v>
      </c>
      <c r="BB691">
        <v>6054</v>
      </c>
      <c r="BC691" t="str">
        <f t="shared" si="20"/>
        <v>u=0%, k=2x10^8</v>
      </c>
      <c r="BD691">
        <f t="shared" si="21"/>
        <v>0</v>
      </c>
    </row>
    <row r="692" spans="1:56">
      <c r="A692" t="s">
        <v>824</v>
      </c>
      <c r="B692" t="s">
        <v>67</v>
      </c>
      <c r="D692" t="s">
        <v>65</v>
      </c>
      <c r="E692" t="s">
        <v>60</v>
      </c>
      <c r="F692" t="s">
        <v>61</v>
      </c>
      <c r="G692">
        <v>30000</v>
      </c>
      <c r="H692">
        <v>0</v>
      </c>
      <c r="I692">
        <v>0</v>
      </c>
      <c r="J692">
        <v>0</v>
      </c>
      <c r="K692">
        <v>1</v>
      </c>
      <c r="L692">
        <v>200000000</v>
      </c>
      <c r="M692">
        <v>24</v>
      </c>
      <c r="N692">
        <v>24</v>
      </c>
      <c r="O692">
        <v>24</v>
      </c>
      <c r="P692">
        <v>0</v>
      </c>
      <c r="Q692" t="s">
        <v>62</v>
      </c>
      <c r="R692">
        <v>1.00003390670587E+16</v>
      </c>
      <c r="S692">
        <v>100000000</v>
      </c>
      <c r="T692">
        <v>1.00003390670587E+16</v>
      </c>
      <c r="U692">
        <v>100000000</v>
      </c>
      <c r="V692" t="s">
        <v>75</v>
      </c>
      <c r="W692">
        <v>33</v>
      </c>
      <c r="X692">
        <v>57145027</v>
      </c>
      <c r="Y692">
        <v>42854974</v>
      </c>
      <c r="Z692">
        <v>100000001</v>
      </c>
      <c r="AA692">
        <v>100000000</v>
      </c>
      <c r="AB692">
        <v>1.74993</v>
      </c>
      <c r="AC692">
        <v>2.33345</v>
      </c>
      <c r="AD692">
        <v>2</v>
      </c>
      <c r="AE692">
        <v>26.054500000000001</v>
      </c>
      <c r="AF692">
        <v>5600000056</v>
      </c>
      <c r="AJ692" t="s">
        <v>825</v>
      </c>
      <c r="AM692">
        <v>257056250</v>
      </c>
      <c r="AN692">
        <v>0</v>
      </c>
      <c r="AO692">
        <v>0</v>
      </c>
      <c r="AP692">
        <v>257056250</v>
      </c>
      <c r="AQ692">
        <v>257056250</v>
      </c>
      <c r="AR692">
        <v>8568541</v>
      </c>
      <c r="AS692">
        <v>0</v>
      </c>
      <c r="AT692">
        <v>0</v>
      </c>
      <c r="AU692">
        <v>8568541</v>
      </c>
      <c r="AV692">
        <v>8568541</v>
      </c>
      <c r="AW692">
        <v>39.5944</v>
      </c>
      <c r="AX692">
        <v>17.435099999999998</v>
      </c>
      <c r="AY692">
        <v>7814.29</v>
      </c>
      <c r="AZ692">
        <v>6444.96</v>
      </c>
      <c r="BA692">
        <v>7527</v>
      </c>
      <c r="BB692">
        <v>17245</v>
      </c>
      <c r="BC692" t="str">
        <f t="shared" si="20"/>
        <v>u=0%, k=2x10^8</v>
      </c>
      <c r="BD692">
        <f t="shared" si="21"/>
        <v>0</v>
      </c>
    </row>
    <row r="693" spans="1:56">
      <c r="A693" t="s">
        <v>826</v>
      </c>
      <c r="B693" t="s">
        <v>67</v>
      </c>
      <c r="D693" t="s">
        <v>65</v>
      </c>
      <c r="E693" t="s">
        <v>60</v>
      </c>
      <c r="F693" t="s">
        <v>61</v>
      </c>
      <c r="G693">
        <v>30000</v>
      </c>
      <c r="H693">
        <v>0</v>
      </c>
      <c r="I693">
        <v>0</v>
      </c>
      <c r="J693">
        <v>0</v>
      </c>
      <c r="K693">
        <v>1</v>
      </c>
      <c r="L693">
        <v>200000000</v>
      </c>
      <c r="M693">
        <v>48</v>
      </c>
      <c r="N693">
        <v>48</v>
      </c>
      <c r="O693">
        <v>48</v>
      </c>
      <c r="P693">
        <v>0</v>
      </c>
      <c r="Q693" t="s">
        <v>62</v>
      </c>
      <c r="R693">
        <v>9999768129159540</v>
      </c>
      <c r="S693">
        <v>100000000</v>
      </c>
      <c r="T693">
        <v>9999768129159540</v>
      </c>
      <c r="U693">
        <v>100000000</v>
      </c>
      <c r="V693" t="s">
        <v>75</v>
      </c>
      <c r="W693">
        <v>33</v>
      </c>
      <c r="X693">
        <v>57144930</v>
      </c>
      <c r="Y693">
        <v>42855071</v>
      </c>
      <c r="Z693">
        <v>100000001</v>
      </c>
      <c r="AA693">
        <v>100000000</v>
      </c>
      <c r="AB693">
        <v>1.7499400000000001</v>
      </c>
      <c r="AC693">
        <v>2.33345</v>
      </c>
      <c r="AD693">
        <v>2</v>
      </c>
      <c r="AE693">
        <v>26.08</v>
      </c>
      <c r="AF693">
        <v>5600000056</v>
      </c>
      <c r="AJ693" t="s">
        <v>827</v>
      </c>
      <c r="AM693">
        <v>492369094</v>
      </c>
      <c r="AN693">
        <v>0</v>
      </c>
      <c r="AO693">
        <v>0</v>
      </c>
      <c r="AP693">
        <v>492369094</v>
      </c>
      <c r="AQ693">
        <v>492369094</v>
      </c>
      <c r="AR693">
        <v>16412303</v>
      </c>
      <c r="AS693">
        <v>0</v>
      </c>
      <c r="AT693">
        <v>0</v>
      </c>
      <c r="AU693">
        <v>16412303</v>
      </c>
      <c r="AV693">
        <v>16412303</v>
      </c>
      <c r="AW693">
        <v>40.346899999999998</v>
      </c>
      <c r="AX693">
        <v>17.572600000000001</v>
      </c>
      <c r="AY693">
        <v>8156.92</v>
      </c>
      <c r="AZ693">
        <v>6799.95</v>
      </c>
      <c r="BA693">
        <v>7534</v>
      </c>
      <c r="BB693">
        <v>9250</v>
      </c>
      <c r="BC693" t="str">
        <f t="shared" si="20"/>
        <v>u=0%, k=2x10^8</v>
      </c>
      <c r="BD693">
        <f t="shared" si="21"/>
        <v>0</v>
      </c>
    </row>
    <row r="694" spans="1:56">
      <c r="A694" t="s">
        <v>828</v>
      </c>
      <c r="B694" t="s">
        <v>67</v>
      </c>
      <c r="D694" t="s">
        <v>65</v>
      </c>
      <c r="E694" t="s">
        <v>60</v>
      </c>
      <c r="F694" t="s">
        <v>61</v>
      </c>
      <c r="G694">
        <v>30000</v>
      </c>
      <c r="H694">
        <v>0</v>
      </c>
      <c r="I694">
        <v>0</v>
      </c>
      <c r="J694">
        <v>0</v>
      </c>
      <c r="K694">
        <v>1</v>
      </c>
      <c r="L694">
        <v>200000000</v>
      </c>
      <c r="M694">
        <v>96</v>
      </c>
      <c r="N694">
        <v>96</v>
      </c>
      <c r="O694">
        <v>96</v>
      </c>
      <c r="P694">
        <v>0</v>
      </c>
      <c r="Q694" t="s">
        <v>62</v>
      </c>
      <c r="R694">
        <v>9999904272100390</v>
      </c>
      <c r="S694">
        <v>100000000</v>
      </c>
      <c r="T694">
        <v>9999904272100390</v>
      </c>
      <c r="U694">
        <v>100000000</v>
      </c>
      <c r="V694" t="s">
        <v>75</v>
      </c>
      <c r="W694">
        <v>33</v>
      </c>
      <c r="X694">
        <v>57143692</v>
      </c>
      <c r="Y694">
        <v>42856309</v>
      </c>
      <c r="Z694">
        <v>100000001</v>
      </c>
      <c r="AA694">
        <v>100000000</v>
      </c>
      <c r="AB694">
        <v>1.74997</v>
      </c>
      <c r="AC694">
        <v>2.33338</v>
      </c>
      <c r="AD694">
        <v>2</v>
      </c>
      <c r="AE694">
        <v>26.025300000000001</v>
      </c>
      <c r="AF694">
        <v>5600000056</v>
      </c>
      <c r="AJ694" t="s">
        <v>829</v>
      </c>
      <c r="AM694">
        <v>1051007804</v>
      </c>
      <c r="AN694">
        <v>0</v>
      </c>
      <c r="AO694">
        <v>0</v>
      </c>
      <c r="AP694">
        <v>1051007804</v>
      </c>
      <c r="AQ694">
        <v>1051007804</v>
      </c>
      <c r="AR694">
        <v>35033593</v>
      </c>
      <c r="AS694">
        <v>0</v>
      </c>
      <c r="AT694">
        <v>0</v>
      </c>
      <c r="AU694">
        <v>35033593</v>
      </c>
      <c r="AV694">
        <v>35033593</v>
      </c>
      <c r="AW694">
        <v>40.747100000000003</v>
      </c>
      <c r="AX694">
        <v>19.455200000000001</v>
      </c>
      <c r="AY694">
        <v>7631.23</v>
      </c>
      <c r="AZ694">
        <v>6184.49</v>
      </c>
      <c r="BA694">
        <v>7548</v>
      </c>
      <c r="BB694">
        <v>4704</v>
      </c>
      <c r="BC694" t="str">
        <f t="shared" si="20"/>
        <v>u=0%, k=2x10^8</v>
      </c>
      <c r="BD694">
        <f t="shared" si="21"/>
        <v>0</v>
      </c>
    </row>
    <row r="695" spans="1:56">
      <c r="A695" t="s">
        <v>830</v>
      </c>
      <c r="B695" t="s">
        <v>67</v>
      </c>
      <c r="D695" t="s">
        <v>65</v>
      </c>
      <c r="E695" t="s">
        <v>60</v>
      </c>
      <c r="F695" t="s">
        <v>61</v>
      </c>
      <c r="G695">
        <v>30000</v>
      </c>
      <c r="H695">
        <v>0</v>
      </c>
      <c r="I695">
        <v>0</v>
      </c>
      <c r="J695">
        <v>0</v>
      </c>
      <c r="K695">
        <v>1</v>
      </c>
      <c r="L695">
        <v>200000000</v>
      </c>
      <c r="M695">
        <v>144</v>
      </c>
      <c r="N695">
        <v>144</v>
      </c>
      <c r="O695">
        <v>144</v>
      </c>
      <c r="P695">
        <v>0</v>
      </c>
      <c r="Q695" t="s">
        <v>62</v>
      </c>
      <c r="R695">
        <v>1.00003573497038E+16</v>
      </c>
      <c r="S695">
        <v>100000000</v>
      </c>
      <c r="T695">
        <v>1.00003573497038E+16</v>
      </c>
      <c r="U695">
        <v>100000000</v>
      </c>
      <c r="V695" t="s">
        <v>75</v>
      </c>
      <c r="W695">
        <v>33</v>
      </c>
      <c r="X695">
        <v>57143637</v>
      </c>
      <c r="Y695">
        <v>42856364</v>
      </c>
      <c r="Z695">
        <v>100000001</v>
      </c>
      <c r="AA695">
        <v>100000000</v>
      </c>
      <c r="AB695">
        <v>1.7499800000000001</v>
      </c>
      <c r="AC695">
        <v>2.33338</v>
      </c>
      <c r="AD695">
        <v>2</v>
      </c>
      <c r="AE695">
        <v>26.049299999999999</v>
      </c>
      <c r="AF695">
        <v>5600000056</v>
      </c>
      <c r="AJ695" t="s">
        <v>831</v>
      </c>
      <c r="AM695">
        <v>1581739485</v>
      </c>
      <c r="AN695">
        <v>0</v>
      </c>
      <c r="AO695">
        <v>0</v>
      </c>
      <c r="AP695">
        <v>1581739485</v>
      </c>
      <c r="AQ695">
        <v>1581739485</v>
      </c>
      <c r="AR695">
        <v>52724649</v>
      </c>
      <c r="AS695">
        <v>0</v>
      </c>
      <c r="AT695">
        <v>0</v>
      </c>
      <c r="AU695">
        <v>52724649</v>
      </c>
      <c r="AV695">
        <v>52724649</v>
      </c>
      <c r="AW695">
        <v>41.0319</v>
      </c>
      <c r="AX695">
        <v>19.8188</v>
      </c>
      <c r="AY695">
        <v>7603.98</v>
      </c>
      <c r="AZ695">
        <v>6053.76</v>
      </c>
      <c r="BA695">
        <v>7563</v>
      </c>
      <c r="BB695">
        <v>3109</v>
      </c>
      <c r="BC695" t="str">
        <f t="shared" si="20"/>
        <v>u=0%, k=2x10^8</v>
      </c>
      <c r="BD695">
        <f t="shared" si="21"/>
        <v>0</v>
      </c>
    </row>
    <row r="696" spans="1:56">
      <c r="A696" t="s">
        <v>832</v>
      </c>
      <c r="B696" t="s">
        <v>67</v>
      </c>
      <c r="D696" t="s">
        <v>65</v>
      </c>
      <c r="E696" t="s">
        <v>60</v>
      </c>
      <c r="F696" t="s">
        <v>61</v>
      </c>
      <c r="G696">
        <v>30000</v>
      </c>
      <c r="H696">
        <v>0</v>
      </c>
      <c r="I696">
        <v>0</v>
      </c>
      <c r="J696">
        <v>0</v>
      </c>
      <c r="K696">
        <v>1</v>
      </c>
      <c r="L696">
        <v>200000000</v>
      </c>
      <c r="M696">
        <v>190</v>
      </c>
      <c r="N696">
        <v>190</v>
      </c>
      <c r="O696">
        <v>190</v>
      </c>
      <c r="P696">
        <v>0</v>
      </c>
      <c r="Q696" t="s">
        <v>62</v>
      </c>
      <c r="R696">
        <v>9999758026202770</v>
      </c>
      <c r="S696">
        <v>100000000</v>
      </c>
      <c r="T696">
        <v>9999758026202770</v>
      </c>
      <c r="U696">
        <v>100000000</v>
      </c>
      <c r="V696" t="s">
        <v>75</v>
      </c>
      <c r="W696">
        <v>33</v>
      </c>
      <c r="X696">
        <v>57139944</v>
      </c>
      <c r="Y696">
        <v>42860057</v>
      </c>
      <c r="Z696">
        <v>100000001</v>
      </c>
      <c r="AA696">
        <v>100000000</v>
      </c>
      <c r="AB696">
        <v>1.7500899999999999</v>
      </c>
      <c r="AC696">
        <v>2.33317</v>
      </c>
      <c r="AD696">
        <v>2</v>
      </c>
      <c r="AE696">
        <v>26.124400000000001</v>
      </c>
      <c r="AF696">
        <v>5600000056</v>
      </c>
      <c r="AJ696" t="s">
        <v>833</v>
      </c>
      <c r="AM696">
        <v>2108574638</v>
      </c>
      <c r="AN696">
        <v>0</v>
      </c>
      <c r="AO696">
        <v>0</v>
      </c>
      <c r="AP696">
        <v>2108574638</v>
      </c>
      <c r="AQ696">
        <v>2108574638</v>
      </c>
      <c r="AR696">
        <v>70285821</v>
      </c>
      <c r="AS696">
        <v>0</v>
      </c>
      <c r="AT696">
        <v>0</v>
      </c>
      <c r="AU696">
        <v>70285821</v>
      </c>
      <c r="AV696">
        <v>70285821</v>
      </c>
      <c r="AW696">
        <v>40.918500000000002</v>
      </c>
      <c r="AX696">
        <v>20.0322</v>
      </c>
      <c r="AY696">
        <v>7524.34</v>
      </c>
      <c r="AZ696">
        <v>5976.79</v>
      </c>
      <c r="BA696">
        <v>7577</v>
      </c>
      <c r="BB696">
        <v>2765</v>
      </c>
      <c r="BC696" t="str">
        <f t="shared" si="20"/>
        <v>u=0%, k=2x10^8</v>
      </c>
      <c r="BD696">
        <f t="shared" si="21"/>
        <v>0</v>
      </c>
    </row>
    <row r="697" spans="1:56">
      <c r="A697" t="s">
        <v>834</v>
      </c>
      <c r="B697" t="s">
        <v>68</v>
      </c>
      <c r="D697" t="s">
        <v>65</v>
      </c>
      <c r="E697" t="s">
        <v>60</v>
      </c>
      <c r="F697" t="s">
        <v>61</v>
      </c>
      <c r="G697">
        <v>30000</v>
      </c>
      <c r="H697">
        <v>0</v>
      </c>
      <c r="I697">
        <v>0</v>
      </c>
      <c r="J697">
        <v>0</v>
      </c>
      <c r="K697">
        <v>1</v>
      </c>
      <c r="L697">
        <v>200000000</v>
      </c>
      <c r="M697">
        <v>24</v>
      </c>
      <c r="N697">
        <v>24</v>
      </c>
      <c r="O697">
        <v>24</v>
      </c>
      <c r="P697">
        <v>0</v>
      </c>
      <c r="Q697" t="s">
        <v>62</v>
      </c>
      <c r="R697">
        <v>9999978862831320</v>
      </c>
      <c r="S697">
        <v>100000000</v>
      </c>
      <c r="T697">
        <v>9999978862831320</v>
      </c>
      <c r="U697">
        <v>100000000</v>
      </c>
      <c r="V697" t="s">
        <v>75</v>
      </c>
      <c r="W697">
        <v>71</v>
      </c>
      <c r="X697">
        <v>99999999</v>
      </c>
      <c r="Y697">
        <v>100000000</v>
      </c>
      <c r="Z697">
        <v>199999999</v>
      </c>
      <c r="AA697">
        <v>100000000</v>
      </c>
      <c r="AB697">
        <v>2</v>
      </c>
      <c r="AC697">
        <v>1</v>
      </c>
      <c r="AD697">
        <v>1.5</v>
      </c>
      <c r="AE697">
        <v>36.598599999999998</v>
      </c>
      <c r="AF697">
        <v>6399999968</v>
      </c>
      <c r="AJ697" t="s">
        <v>835</v>
      </c>
      <c r="AM697">
        <v>205565718</v>
      </c>
      <c r="AN697">
        <v>0</v>
      </c>
      <c r="AO697">
        <v>0</v>
      </c>
      <c r="AP697">
        <v>205565718</v>
      </c>
      <c r="AQ697">
        <v>205565718</v>
      </c>
      <c r="AR697">
        <v>6852190</v>
      </c>
      <c r="AS697">
        <v>0</v>
      </c>
      <c r="AT697">
        <v>0</v>
      </c>
      <c r="AU697">
        <v>6852190</v>
      </c>
      <c r="AV697">
        <v>6852190</v>
      </c>
      <c r="AW697">
        <v>37.497799999999998</v>
      </c>
      <c r="AX697">
        <v>16.8888</v>
      </c>
      <c r="AY697">
        <v>9771.5499999999993</v>
      </c>
      <c r="AZ697">
        <v>8021.43</v>
      </c>
      <c r="BA697">
        <v>7527</v>
      </c>
      <c r="BB697">
        <v>19018</v>
      </c>
      <c r="BC697" t="str">
        <f t="shared" si="20"/>
        <v>u=0%, k=2x10^8</v>
      </c>
      <c r="BD697">
        <f t="shared" si="21"/>
        <v>0</v>
      </c>
    </row>
    <row r="698" spans="1:56">
      <c r="A698" t="s">
        <v>836</v>
      </c>
      <c r="B698" t="s">
        <v>68</v>
      </c>
      <c r="D698" t="s">
        <v>65</v>
      </c>
      <c r="E698" t="s">
        <v>60</v>
      </c>
      <c r="F698" t="s">
        <v>61</v>
      </c>
      <c r="G698">
        <v>30000</v>
      </c>
      <c r="H698">
        <v>0</v>
      </c>
      <c r="I698">
        <v>0</v>
      </c>
      <c r="J698">
        <v>0</v>
      </c>
      <c r="K698">
        <v>1</v>
      </c>
      <c r="L698">
        <v>200000000</v>
      </c>
      <c r="M698">
        <v>48</v>
      </c>
      <c r="N698">
        <v>48</v>
      </c>
      <c r="O698">
        <v>48</v>
      </c>
      <c r="P698">
        <v>0</v>
      </c>
      <c r="Q698" t="s">
        <v>62</v>
      </c>
      <c r="R698">
        <v>1.00001855682474E+16</v>
      </c>
      <c r="S698">
        <v>100000000</v>
      </c>
      <c r="T698">
        <v>1.00001855682474E+16</v>
      </c>
      <c r="U698">
        <v>100000000</v>
      </c>
      <c r="V698" t="s">
        <v>75</v>
      </c>
      <c r="W698">
        <v>68</v>
      </c>
      <c r="X698">
        <v>99999999</v>
      </c>
      <c r="Y698">
        <v>100000000</v>
      </c>
      <c r="Z698">
        <v>199999999</v>
      </c>
      <c r="AA698">
        <v>100000000</v>
      </c>
      <c r="AB698">
        <v>2</v>
      </c>
      <c r="AC698">
        <v>1</v>
      </c>
      <c r="AD698">
        <v>1.5</v>
      </c>
      <c r="AE698">
        <v>34.936999999999998</v>
      </c>
      <c r="AF698">
        <v>6399999968</v>
      </c>
      <c r="AJ698" t="s">
        <v>837</v>
      </c>
      <c r="AM698">
        <v>400626775</v>
      </c>
      <c r="AN698">
        <v>0</v>
      </c>
      <c r="AO698">
        <v>0</v>
      </c>
      <c r="AP698">
        <v>400626775</v>
      </c>
      <c r="AQ698">
        <v>400626775</v>
      </c>
      <c r="AR698">
        <v>13354225</v>
      </c>
      <c r="AS698">
        <v>0</v>
      </c>
      <c r="AT698">
        <v>0</v>
      </c>
      <c r="AU698">
        <v>13354225</v>
      </c>
      <c r="AV698">
        <v>13354225</v>
      </c>
      <c r="AW698">
        <v>37.513800000000003</v>
      </c>
      <c r="AX698">
        <v>16.853899999999999</v>
      </c>
      <c r="AY698">
        <v>10026.200000000001</v>
      </c>
      <c r="AZ698">
        <v>8944.8799999999992</v>
      </c>
      <c r="BA698">
        <v>7533</v>
      </c>
      <c r="BB698">
        <v>9936</v>
      </c>
      <c r="BC698" t="str">
        <f t="shared" si="20"/>
        <v>u=0%, k=2x10^8</v>
      </c>
      <c r="BD698">
        <f t="shared" si="21"/>
        <v>0</v>
      </c>
    </row>
    <row r="699" spans="1:56">
      <c r="A699" t="s">
        <v>838</v>
      </c>
      <c r="B699" t="s">
        <v>68</v>
      </c>
      <c r="D699" t="s">
        <v>65</v>
      </c>
      <c r="E699" t="s">
        <v>60</v>
      </c>
      <c r="F699" t="s">
        <v>61</v>
      </c>
      <c r="G699">
        <v>30000</v>
      </c>
      <c r="H699">
        <v>0</v>
      </c>
      <c r="I699">
        <v>0</v>
      </c>
      <c r="J699">
        <v>0</v>
      </c>
      <c r="K699">
        <v>1</v>
      </c>
      <c r="L699">
        <v>200000000</v>
      </c>
      <c r="M699">
        <v>96</v>
      </c>
      <c r="N699">
        <v>96</v>
      </c>
      <c r="O699">
        <v>96</v>
      </c>
      <c r="P699">
        <v>0</v>
      </c>
      <c r="Q699" t="s">
        <v>62</v>
      </c>
      <c r="R699">
        <v>1.0000041738484E+16</v>
      </c>
      <c r="S699">
        <v>100000000</v>
      </c>
      <c r="T699">
        <v>1.0000041738484E+16</v>
      </c>
      <c r="U699">
        <v>100000000</v>
      </c>
      <c r="V699" t="s">
        <v>75</v>
      </c>
      <c r="W699">
        <v>70</v>
      </c>
      <c r="X699">
        <v>99999999</v>
      </c>
      <c r="Y699">
        <v>100000000</v>
      </c>
      <c r="Z699">
        <v>199999999</v>
      </c>
      <c r="AA699">
        <v>100000000</v>
      </c>
      <c r="AB699">
        <v>2</v>
      </c>
      <c r="AC699">
        <v>1</v>
      </c>
      <c r="AD699">
        <v>1.5</v>
      </c>
      <c r="AE699">
        <v>35.915900000000001</v>
      </c>
      <c r="AF699">
        <v>6399999968</v>
      </c>
      <c r="AJ699" t="s">
        <v>839</v>
      </c>
      <c r="AM699">
        <v>877980709</v>
      </c>
      <c r="AN699">
        <v>0</v>
      </c>
      <c r="AO699">
        <v>0</v>
      </c>
      <c r="AP699">
        <v>877980709</v>
      </c>
      <c r="AQ699">
        <v>877980709</v>
      </c>
      <c r="AR699">
        <v>29266023</v>
      </c>
      <c r="AS699">
        <v>0</v>
      </c>
      <c r="AT699">
        <v>0</v>
      </c>
      <c r="AU699">
        <v>29266023</v>
      </c>
      <c r="AV699">
        <v>29266023</v>
      </c>
      <c r="AW699">
        <v>37.970700000000001</v>
      </c>
      <c r="AX699">
        <v>18.769300000000001</v>
      </c>
      <c r="AY699">
        <v>9138.52</v>
      </c>
      <c r="AZ699">
        <v>8001.59</v>
      </c>
      <c r="BA699">
        <v>7546</v>
      </c>
      <c r="BB699">
        <v>4783</v>
      </c>
      <c r="BC699" t="str">
        <f t="shared" si="20"/>
        <v>u=0%, k=2x10^8</v>
      </c>
      <c r="BD699">
        <f t="shared" si="21"/>
        <v>0</v>
      </c>
    </row>
    <row r="700" spans="1:56">
      <c r="A700" t="s">
        <v>840</v>
      </c>
      <c r="B700" t="s">
        <v>68</v>
      </c>
      <c r="D700" t="s">
        <v>65</v>
      </c>
      <c r="E700" t="s">
        <v>60</v>
      </c>
      <c r="F700" t="s">
        <v>61</v>
      </c>
      <c r="G700">
        <v>30000</v>
      </c>
      <c r="H700">
        <v>0</v>
      </c>
      <c r="I700">
        <v>0</v>
      </c>
      <c r="J700">
        <v>0</v>
      </c>
      <c r="K700">
        <v>1</v>
      </c>
      <c r="L700">
        <v>200000000</v>
      </c>
      <c r="M700">
        <v>144</v>
      </c>
      <c r="N700">
        <v>144</v>
      </c>
      <c r="O700">
        <v>144</v>
      </c>
      <c r="P700">
        <v>0</v>
      </c>
      <c r="Q700" t="s">
        <v>62</v>
      </c>
      <c r="R700">
        <v>9999827689207900</v>
      </c>
      <c r="S700">
        <v>100000000</v>
      </c>
      <c r="T700">
        <v>9999827689207900</v>
      </c>
      <c r="U700">
        <v>100000000</v>
      </c>
      <c r="V700" t="s">
        <v>75</v>
      </c>
      <c r="W700">
        <v>72</v>
      </c>
      <c r="X700">
        <v>99999999</v>
      </c>
      <c r="Y700">
        <v>100000000</v>
      </c>
      <c r="Z700">
        <v>199999999</v>
      </c>
      <c r="AA700">
        <v>100000000</v>
      </c>
      <c r="AB700">
        <v>2</v>
      </c>
      <c r="AC700">
        <v>1</v>
      </c>
      <c r="AD700">
        <v>1.5</v>
      </c>
      <c r="AE700">
        <v>37.071100000000001</v>
      </c>
      <c r="AF700">
        <v>6399999968</v>
      </c>
      <c r="AJ700" t="s">
        <v>841</v>
      </c>
      <c r="AM700">
        <v>1336396626</v>
      </c>
      <c r="AN700">
        <v>0</v>
      </c>
      <c r="AO700">
        <v>0</v>
      </c>
      <c r="AP700">
        <v>1336396626</v>
      </c>
      <c r="AQ700">
        <v>1336396626</v>
      </c>
      <c r="AR700">
        <v>44546554</v>
      </c>
      <c r="AS700">
        <v>0</v>
      </c>
      <c r="AT700">
        <v>0</v>
      </c>
      <c r="AU700">
        <v>44546554</v>
      </c>
      <c r="AV700">
        <v>44546554</v>
      </c>
      <c r="AW700">
        <v>38.151000000000003</v>
      </c>
      <c r="AX700">
        <v>19.0823</v>
      </c>
      <c r="AY700">
        <v>9002.56</v>
      </c>
      <c r="AZ700">
        <v>7855.17</v>
      </c>
      <c r="BA700">
        <v>7560</v>
      </c>
      <c r="BB700">
        <v>3135</v>
      </c>
      <c r="BC700" t="str">
        <f t="shared" si="20"/>
        <v>u=0%, k=2x10^8</v>
      </c>
      <c r="BD700">
        <f t="shared" si="21"/>
        <v>0</v>
      </c>
    </row>
    <row r="701" spans="1:56">
      <c r="A701" t="s">
        <v>842</v>
      </c>
      <c r="B701" t="s">
        <v>68</v>
      </c>
      <c r="D701" t="s">
        <v>65</v>
      </c>
      <c r="E701" t="s">
        <v>60</v>
      </c>
      <c r="F701" t="s">
        <v>61</v>
      </c>
      <c r="G701">
        <v>30000</v>
      </c>
      <c r="H701">
        <v>0</v>
      </c>
      <c r="I701">
        <v>0</v>
      </c>
      <c r="J701">
        <v>0</v>
      </c>
      <c r="K701">
        <v>1</v>
      </c>
      <c r="L701">
        <v>200000000</v>
      </c>
      <c r="M701">
        <v>190</v>
      </c>
      <c r="N701">
        <v>190</v>
      </c>
      <c r="O701">
        <v>190</v>
      </c>
      <c r="P701">
        <v>0</v>
      </c>
      <c r="Q701" t="s">
        <v>62</v>
      </c>
      <c r="R701">
        <v>9999878558433580</v>
      </c>
      <c r="S701">
        <v>100000000</v>
      </c>
      <c r="T701">
        <v>9999878558433580</v>
      </c>
      <c r="U701">
        <v>100000000</v>
      </c>
      <c r="V701" t="s">
        <v>75</v>
      </c>
      <c r="W701">
        <v>69</v>
      </c>
      <c r="X701">
        <v>99999999</v>
      </c>
      <c r="Y701">
        <v>100000000</v>
      </c>
      <c r="Z701">
        <v>199999999</v>
      </c>
      <c r="AA701">
        <v>100000000</v>
      </c>
      <c r="AB701">
        <v>2</v>
      </c>
      <c r="AC701">
        <v>1</v>
      </c>
      <c r="AD701">
        <v>1.5</v>
      </c>
      <c r="AE701">
        <v>36.798200000000001</v>
      </c>
      <c r="AF701">
        <v>6399999968</v>
      </c>
      <c r="AJ701" t="s">
        <v>843</v>
      </c>
      <c r="AM701">
        <v>1787724781</v>
      </c>
      <c r="AN701">
        <v>0</v>
      </c>
      <c r="AO701">
        <v>0</v>
      </c>
      <c r="AP701">
        <v>1787724781</v>
      </c>
      <c r="AQ701">
        <v>1787724781</v>
      </c>
      <c r="AR701">
        <v>59590826</v>
      </c>
      <c r="AS701">
        <v>0</v>
      </c>
      <c r="AT701">
        <v>0</v>
      </c>
      <c r="AU701">
        <v>59590826</v>
      </c>
      <c r="AV701">
        <v>59590826</v>
      </c>
      <c r="AW701">
        <v>38.164299999999997</v>
      </c>
      <c r="AX701">
        <v>19.291</v>
      </c>
      <c r="AY701">
        <v>8878.81</v>
      </c>
      <c r="AZ701">
        <v>7726.49</v>
      </c>
      <c r="BA701">
        <v>7575</v>
      </c>
      <c r="BB701">
        <v>2866</v>
      </c>
      <c r="BC701" t="str">
        <f t="shared" si="20"/>
        <v>u=0%, k=2x10^8</v>
      </c>
      <c r="BD701">
        <f t="shared" si="21"/>
        <v>0</v>
      </c>
    </row>
    <row r="702" spans="1:56">
      <c r="A702" t="s">
        <v>844</v>
      </c>
      <c r="B702" t="s">
        <v>64</v>
      </c>
      <c r="C702">
        <v>72</v>
      </c>
      <c r="D702" t="s">
        <v>65</v>
      </c>
      <c r="E702" t="s">
        <v>60</v>
      </c>
      <c r="F702" t="s">
        <v>61</v>
      </c>
      <c r="G702">
        <v>30000</v>
      </c>
      <c r="H702">
        <v>0</v>
      </c>
      <c r="I702">
        <v>0</v>
      </c>
      <c r="J702">
        <v>0</v>
      </c>
      <c r="K702">
        <v>1</v>
      </c>
      <c r="L702">
        <v>2000000000</v>
      </c>
      <c r="M702">
        <v>24</v>
      </c>
      <c r="N702">
        <v>24</v>
      </c>
      <c r="O702">
        <v>24</v>
      </c>
      <c r="P702">
        <v>0</v>
      </c>
      <c r="Q702" t="s">
        <v>62</v>
      </c>
      <c r="R702">
        <v>9.9999248535027994E+17</v>
      </c>
      <c r="S702">
        <v>1000000001</v>
      </c>
      <c r="T702">
        <v>9.9999248535027994E+17</v>
      </c>
      <c r="U702">
        <v>1000000001</v>
      </c>
      <c r="V702" t="s">
        <v>75</v>
      </c>
      <c r="W702">
        <v>6</v>
      </c>
      <c r="X702">
        <v>84465035</v>
      </c>
      <c r="Y702">
        <v>1078804517</v>
      </c>
      <c r="Z702">
        <v>1163269552</v>
      </c>
      <c r="AA702">
        <v>1000000001</v>
      </c>
      <c r="AB702">
        <v>13.7722</v>
      </c>
      <c r="AC702">
        <v>0.926952</v>
      </c>
      <c r="AD702">
        <v>1.85965</v>
      </c>
      <c r="AE702">
        <v>4</v>
      </c>
      <c r="AF702">
        <v>24018075056</v>
      </c>
      <c r="AJ702">
        <v>204888</v>
      </c>
      <c r="AM702">
        <v>558654415</v>
      </c>
      <c r="AN702">
        <v>0</v>
      </c>
      <c r="AO702">
        <v>0</v>
      </c>
      <c r="AP702">
        <v>558654415</v>
      </c>
      <c r="AQ702">
        <v>558654415</v>
      </c>
      <c r="AR702">
        <v>18621813</v>
      </c>
      <c r="AS702">
        <v>0</v>
      </c>
      <c r="AT702">
        <v>0</v>
      </c>
      <c r="AU702">
        <v>18621813</v>
      </c>
      <c r="AV702">
        <v>18621813</v>
      </c>
      <c r="AW702">
        <v>21.892900000000001</v>
      </c>
      <c r="AX702">
        <v>12.795500000000001</v>
      </c>
      <c r="AY702">
        <v>3592.49</v>
      </c>
      <c r="AZ702">
        <v>2874.12</v>
      </c>
      <c r="BA702">
        <v>59142</v>
      </c>
      <c r="BB702">
        <v>15952</v>
      </c>
      <c r="BC702" t="str">
        <f t="shared" si="20"/>
        <v>u=0%, k=2x10^9</v>
      </c>
      <c r="BD702">
        <f t="shared" si="21"/>
        <v>0</v>
      </c>
    </row>
    <row r="703" spans="1:56">
      <c r="A703" t="s">
        <v>845</v>
      </c>
      <c r="B703" t="s">
        <v>64</v>
      </c>
      <c r="C703">
        <v>72</v>
      </c>
      <c r="D703" t="s">
        <v>65</v>
      </c>
      <c r="E703" t="s">
        <v>60</v>
      </c>
      <c r="F703" t="s">
        <v>61</v>
      </c>
      <c r="G703">
        <v>30000</v>
      </c>
      <c r="H703">
        <v>0</v>
      </c>
      <c r="I703">
        <v>0</v>
      </c>
      <c r="J703">
        <v>0</v>
      </c>
      <c r="K703">
        <v>1</v>
      </c>
      <c r="L703">
        <v>2000000000</v>
      </c>
      <c r="M703">
        <v>48</v>
      </c>
      <c r="N703">
        <v>48</v>
      </c>
      <c r="O703">
        <v>48</v>
      </c>
      <c r="P703">
        <v>0</v>
      </c>
      <c r="Q703" t="s">
        <v>62</v>
      </c>
      <c r="R703">
        <v>9.99997675717328E+17</v>
      </c>
      <c r="S703">
        <v>1000000001</v>
      </c>
      <c r="T703">
        <v>9.99997675717328E+17</v>
      </c>
      <c r="U703">
        <v>1000000001</v>
      </c>
      <c r="V703" t="s">
        <v>75</v>
      </c>
      <c r="W703">
        <v>6</v>
      </c>
      <c r="X703">
        <v>84465035</v>
      </c>
      <c r="Y703">
        <v>1078804517</v>
      </c>
      <c r="Z703">
        <v>1163269552</v>
      </c>
      <c r="AA703">
        <v>1000000001</v>
      </c>
      <c r="AB703">
        <v>13.7722</v>
      </c>
      <c r="AC703">
        <v>0.926952</v>
      </c>
      <c r="AD703">
        <v>1.85965</v>
      </c>
      <c r="AE703">
        <v>4</v>
      </c>
      <c r="AF703">
        <v>24018075056</v>
      </c>
      <c r="AJ703">
        <v>91432</v>
      </c>
      <c r="AM703">
        <v>1017014445</v>
      </c>
      <c r="AN703">
        <v>0</v>
      </c>
      <c r="AO703">
        <v>0</v>
      </c>
      <c r="AP703">
        <v>1017014445</v>
      </c>
      <c r="AQ703">
        <v>1017014445</v>
      </c>
      <c r="AR703">
        <v>33900481</v>
      </c>
      <c r="AS703">
        <v>0</v>
      </c>
      <c r="AT703">
        <v>0</v>
      </c>
      <c r="AU703">
        <v>33900481</v>
      </c>
      <c r="AV703">
        <v>33900481</v>
      </c>
      <c r="AW703">
        <v>21.845400000000001</v>
      </c>
      <c r="AX703">
        <v>12.835599999999999</v>
      </c>
      <c r="AY703">
        <v>3945.01</v>
      </c>
      <c r="AZ703">
        <v>3288.59</v>
      </c>
      <c r="BA703">
        <v>59266</v>
      </c>
      <c r="BB703">
        <v>11518</v>
      </c>
      <c r="BC703" t="str">
        <f t="shared" si="20"/>
        <v>u=0%, k=2x10^9</v>
      </c>
      <c r="BD703">
        <f t="shared" si="21"/>
        <v>0</v>
      </c>
    </row>
    <row r="704" spans="1:56">
      <c r="A704" t="s">
        <v>846</v>
      </c>
      <c r="B704" t="s">
        <v>64</v>
      </c>
      <c r="C704">
        <v>72</v>
      </c>
      <c r="D704" t="s">
        <v>65</v>
      </c>
      <c r="E704" t="s">
        <v>60</v>
      </c>
      <c r="F704" t="s">
        <v>61</v>
      </c>
      <c r="G704">
        <v>30000</v>
      </c>
      <c r="H704">
        <v>0</v>
      </c>
      <c r="I704">
        <v>0</v>
      </c>
      <c r="J704">
        <v>0</v>
      </c>
      <c r="K704">
        <v>1</v>
      </c>
      <c r="L704">
        <v>2000000000</v>
      </c>
      <c r="M704">
        <v>96</v>
      </c>
      <c r="N704">
        <v>96</v>
      </c>
      <c r="O704">
        <v>96</v>
      </c>
      <c r="P704">
        <v>0</v>
      </c>
      <c r="Q704" t="s">
        <v>62</v>
      </c>
      <c r="R704">
        <v>1.00000725333641E+18</v>
      </c>
      <c r="S704">
        <v>1000000001</v>
      </c>
      <c r="T704">
        <v>1.00000725333641E+18</v>
      </c>
      <c r="U704">
        <v>1000000001</v>
      </c>
      <c r="V704" t="s">
        <v>75</v>
      </c>
      <c r="W704">
        <v>6</v>
      </c>
      <c r="X704">
        <v>84465035</v>
      </c>
      <c r="Y704">
        <v>1078804517</v>
      </c>
      <c r="Z704">
        <v>1163269552</v>
      </c>
      <c r="AA704">
        <v>1000000001</v>
      </c>
      <c r="AB704">
        <v>13.7722</v>
      </c>
      <c r="AC704">
        <v>0.926952</v>
      </c>
      <c r="AD704">
        <v>1.85965</v>
      </c>
      <c r="AE704">
        <v>4</v>
      </c>
      <c r="AF704">
        <v>24018075056</v>
      </c>
      <c r="AJ704">
        <v>50362</v>
      </c>
      <c r="AM704">
        <v>2267044619</v>
      </c>
      <c r="AN704">
        <v>0</v>
      </c>
      <c r="AO704">
        <v>0</v>
      </c>
      <c r="AP704">
        <v>2267044619</v>
      </c>
      <c r="AQ704">
        <v>2267044619</v>
      </c>
      <c r="AR704">
        <v>75568153</v>
      </c>
      <c r="AS704">
        <v>0</v>
      </c>
      <c r="AT704">
        <v>0</v>
      </c>
      <c r="AU704">
        <v>75568153</v>
      </c>
      <c r="AV704">
        <v>75568153</v>
      </c>
      <c r="AW704">
        <v>21.924099999999999</v>
      </c>
      <c r="AX704">
        <v>13.622999999999999</v>
      </c>
      <c r="AY704">
        <v>3538.01</v>
      </c>
      <c r="AZ704">
        <v>2822.04</v>
      </c>
      <c r="BA704">
        <v>59513</v>
      </c>
      <c r="BB704">
        <v>10060</v>
      </c>
      <c r="BC704" t="str">
        <f t="shared" si="20"/>
        <v>u=0%, k=2x10^9</v>
      </c>
      <c r="BD704">
        <f t="shared" si="21"/>
        <v>0</v>
      </c>
    </row>
    <row r="705" spans="1:56">
      <c r="A705" t="s">
        <v>847</v>
      </c>
      <c r="B705" t="s">
        <v>64</v>
      </c>
      <c r="C705">
        <v>72</v>
      </c>
      <c r="D705" t="s">
        <v>65</v>
      </c>
      <c r="E705" t="s">
        <v>60</v>
      </c>
      <c r="F705" t="s">
        <v>61</v>
      </c>
      <c r="G705">
        <v>30000</v>
      </c>
      <c r="H705">
        <v>0</v>
      </c>
      <c r="I705">
        <v>0</v>
      </c>
      <c r="J705">
        <v>0</v>
      </c>
      <c r="K705">
        <v>1</v>
      </c>
      <c r="L705">
        <v>2000000000</v>
      </c>
      <c r="M705">
        <v>144</v>
      </c>
      <c r="N705">
        <v>144</v>
      </c>
      <c r="O705">
        <v>144</v>
      </c>
      <c r="P705">
        <v>0</v>
      </c>
      <c r="Q705" t="s">
        <v>62</v>
      </c>
      <c r="R705">
        <v>1.00001083626851E+18</v>
      </c>
      <c r="S705">
        <v>1000000001</v>
      </c>
      <c r="T705">
        <v>1.00001083626851E+18</v>
      </c>
      <c r="U705">
        <v>1000000001</v>
      </c>
      <c r="V705" t="s">
        <v>75</v>
      </c>
      <c r="W705">
        <v>6</v>
      </c>
      <c r="X705">
        <v>84465035</v>
      </c>
      <c r="Y705">
        <v>1078804517</v>
      </c>
      <c r="Z705">
        <v>1163269552</v>
      </c>
      <c r="AA705">
        <v>1000000001</v>
      </c>
      <c r="AB705">
        <v>13.7722</v>
      </c>
      <c r="AC705">
        <v>0.926952</v>
      </c>
      <c r="AD705">
        <v>1.85965</v>
      </c>
      <c r="AE705">
        <v>4</v>
      </c>
      <c r="AF705">
        <v>24018075056</v>
      </c>
      <c r="AJ705">
        <v>33608</v>
      </c>
      <c r="AM705">
        <v>3419315196</v>
      </c>
      <c r="AN705">
        <v>0</v>
      </c>
      <c r="AO705">
        <v>0</v>
      </c>
      <c r="AP705">
        <v>3419315196</v>
      </c>
      <c r="AQ705">
        <v>3419315196</v>
      </c>
      <c r="AR705">
        <v>113977173</v>
      </c>
      <c r="AS705">
        <v>0</v>
      </c>
      <c r="AT705">
        <v>0</v>
      </c>
      <c r="AU705">
        <v>113977173</v>
      </c>
      <c r="AV705">
        <v>113977173</v>
      </c>
      <c r="AW705">
        <v>21.935500000000001</v>
      </c>
      <c r="AX705">
        <v>13.860799999999999</v>
      </c>
      <c r="AY705">
        <v>3517.31</v>
      </c>
      <c r="AZ705">
        <v>2793.21</v>
      </c>
      <c r="BA705">
        <v>59803</v>
      </c>
      <c r="BB705">
        <v>9573</v>
      </c>
      <c r="BC705" t="str">
        <f t="shared" si="20"/>
        <v>u=0%, k=2x10^9</v>
      </c>
      <c r="BD705">
        <f t="shared" si="21"/>
        <v>0</v>
      </c>
    </row>
    <row r="706" spans="1:56">
      <c r="A706" t="s">
        <v>848</v>
      </c>
      <c r="B706" t="s">
        <v>64</v>
      </c>
      <c r="C706">
        <v>72</v>
      </c>
      <c r="D706" t="s">
        <v>65</v>
      </c>
      <c r="E706" t="s">
        <v>60</v>
      </c>
      <c r="F706" t="s">
        <v>61</v>
      </c>
      <c r="G706">
        <v>30000</v>
      </c>
      <c r="H706">
        <v>0</v>
      </c>
      <c r="I706">
        <v>0</v>
      </c>
      <c r="J706">
        <v>0</v>
      </c>
      <c r="K706">
        <v>1</v>
      </c>
      <c r="L706">
        <v>2000000000</v>
      </c>
      <c r="M706">
        <v>190</v>
      </c>
      <c r="N706">
        <v>190</v>
      </c>
      <c r="O706">
        <v>190</v>
      </c>
      <c r="P706">
        <v>0</v>
      </c>
      <c r="Q706" t="s">
        <v>62</v>
      </c>
      <c r="R706">
        <v>1.00001669387272E+18</v>
      </c>
      <c r="S706">
        <v>1000000001</v>
      </c>
      <c r="T706">
        <v>1.00001669387272E+18</v>
      </c>
      <c r="U706">
        <v>1000000001</v>
      </c>
      <c r="V706" t="s">
        <v>75</v>
      </c>
      <c r="W706">
        <v>6</v>
      </c>
      <c r="X706">
        <v>84465035</v>
      </c>
      <c r="Y706">
        <v>1078804517</v>
      </c>
      <c r="Z706">
        <v>1163269552</v>
      </c>
      <c r="AA706">
        <v>1000000001</v>
      </c>
      <c r="AB706">
        <v>13.7722</v>
      </c>
      <c r="AC706">
        <v>0.926952</v>
      </c>
      <c r="AD706">
        <v>1.85965</v>
      </c>
      <c r="AE706">
        <v>4</v>
      </c>
      <c r="AF706">
        <v>24018075056</v>
      </c>
      <c r="AJ706">
        <v>26160</v>
      </c>
      <c r="AM706">
        <v>4451974575</v>
      </c>
      <c r="AN706">
        <v>0</v>
      </c>
      <c r="AO706">
        <v>0</v>
      </c>
      <c r="AP706">
        <v>4451974575</v>
      </c>
      <c r="AQ706">
        <v>4451974575</v>
      </c>
      <c r="AR706">
        <v>148399152</v>
      </c>
      <c r="AS706">
        <v>0</v>
      </c>
      <c r="AT706">
        <v>0</v>
      </c>
      <c r="AU706">
        <v>148399152</v>
      </c>
      <c r="AV706">
        <v>148399152</v>
      </c>
      <c r="AW706">
        <v>21.913</v>
      </c>
      <c r="AX706">
        <v>14.008599999999999</v>
      </c>
      <c r="AY706">
        <v>3564.52</v>
      </c>
      <c r="AZ706">
        <v>2826.79</v>
      </c>
      <c r="BA706">
        <v>59981</v>
      </c>
      <c r="BB706">
        <v>9315</v>
      </c>
      <c r="BC706" t="str">
        <f t="shared" ref="BC706:BC769" si="22">"u="&amp;(H706+I706)&amp;"%, k=2x10^"&amp;LOG10(L706/2)</f>
        <v>u=0%, k=2x10^9</v>
      </c>
      <c r="BD706">
        <f t="shared" ref="BD706:BD769" si="23">IF(AH706="",0,LEFT(AH706,IF(ISNUMBER(FIND(" ",AH706)),FIND(" ",AH706)-1,LEN(AH706))))</f>
        <v>0</v>
      </c>
    </row>
    <row r="707" spans="1:56">
      <c r="A707" t="s">
        <v>849</v>
      </c>
      <c r="B707" t="s">
        <v>66</v>
      </c>
      <c r="C707">
        <v>208</v>
      </c>
      <c r="D707" t="s">
        <v>65</v>
      </c>
      <c r="E707" t="s">
        <v>60</v>
      </c>
      <c r="F707" t="s">
        <v>61</v>
      </c>
      <c r="G707">
        <v>30000</v>
      </c>
      <c r="H707">
        <v>0</v>
      </c>
      <c r="I707">
        <v>0</v>
      </c>
      <c r="J707">
        <v>0</v>
      </c>
      <c r="K707">
        <v>1</v>
      </c>
      <c r="L707">
        <v>2000000000</v>
      </c>
      <c r="M707">
        <v>24</v>
      </c>
      <c r="N707">
        <v>24</v>
      </c>
      <c r="O707">
        <v>24</v>
      </c>
      <c r="P707">
        <v>0</v>
      </c>
      <c r="Q707" t="s">
        <v>62</v>
      </c>
      <c r="R707">
        <v>9.9999644586162496E+17</v>
      </c>
      <c r="S707">
        <v>1000000000</v>
      </c>
      <c r="T707">
        <v>9.9999644586162496E+17</v>
      </c>
      <c r="U707">
        <v>1000000000</v>
      </c>
      <c r="V707" t="s">
        <v>75</v>
      </c>
      <c r="W707">
        <v>12</v>
      </c>
      <c r="X707">
        <v>18542445</v>
      </c>
      <c r="Y707">
        <v>127574526</v>
      </c>
      <c r="Z707">
        <v>146116971</v>
      </c>
      <c r="AA707">
        <v>1000000000</v>
      </c>
      <c r="AB707">
        <v>7.8801399999999999</v>
      </c>
      <c r="AC707">
        <v>7.8385600000000002</v>
      </c>
      <c r="AD707">
        <v>7.8438299999999996</v>
      </c>
      <c r="AE707">
        <v>11</v>
      </c>
      <c r="AF707">
        <v>30392329968</v>
      </c>
      <c r="AJ707" t="s">
        <v>850</v>
      </c>
      <c r="AM707">
        <v>346077476</v>
      </c>
      <c r="AN707">
        <v>0</v>
      </c>
      <c r="AO707">
        <v>0</v>
      </c>
      <c r="AP707">
        <v>346077476</v>
      </c>
      <c r="AQ707">
        <v>346077476</v>
      </c>
      <c r="AR707">
        <v>11535915</v>
      </c>
      <c r="AS707">
        <v>0</v>
      </c>
      <c r="AT707">
        <v>0</v>
      </c>
      <c r="AU707">
        <v>11535915</v>
      </c>
      <c r="AV707">
        <v>11535915</v>
      </c>
      <c r="AW707">
        <v>30.107299999999999</v>
      </c>
      <c r="AX707">
        <v>16.388300000000001</v>
      </c>
      <c r="AY707">
        <v>5803.62</v>
      </c>
      <c r="AZ707">
        <v>4561.6899999999996</v>
      </c>
      <c r="BA707">
        <v>33249</v>
      </c>
      <c r="BB707">
        <v>154872</v>
      </c>
      <c r="BC707" t="str">
        <f t="shared" si="22"/>
        <v>u=0%, k=2x10^9</v>
      </c>
      <c r="BD707">
        <f t="shared" si="23"/>
        <v>0</v>
      </c>
    </row>
    <row r="708" spans="1:56">
      <c r="A708" t="s">
        <v>851</v>
      </c>
      <c r="B708" t="s">
        <v>66</v>
      </c>
      <c r="C708">
        <v>208</v>
      </c>
      <c r="D708" t="s">
        <v>65</v>
      </c>
      <c r="E708" t="s">
        <v>60</v>
      </c>
      <c r="F708" t="s">
        <v>61</v>
      </c>
      <c r="G708">
        <v>30000</v>
      </c>
      <c r="H708">
        <v>0</v>
      </c>
      <c r="I708">
        <v>0</v>
      </c>
      <c r="J708">
        <v>0</v>
      </c>
      <c r="K708">
        <v>1</v>
      </c>
      <c r="L708">
        <v>2000000000</v>
      </c>
      <c r="M708">
        <v>48</v>
      </c>
      <c r="N708">
        <v>48</v>
      </c>
      <c r="O708">
        <v>48</v>
      </c>
      <c r="P708">
        <v>0</v>
      </c>
      <c r="Q708" t="s">
        <v>62</v>
      </c>
      <c r="R708">
        <v>9.9999593285236506E+17</v>
      </c>
      <c r="S708">
        <v>1000000000</v>
      </c>
      <c r="T708">
        <v>9.9999593285236506E+17</v>
      </c>
      <c r="U708">
        <v>1000000000</v>
      </c>
      <c r="V708" t="s">
        <v>75</v>
      </c>
      <c r="W708">
        <v>12</v>
      </c>
      <c r="X708">
        <v>18539165</v>
      </c>
      <c r="Y708">
        <v>127576648</v>
      </c>
      <c r="Z708">
        <v>146115813</v>
      </c>
      <c r="AA708">
        <v>1000000000</v>
      </c>
      <c r="AB708">
        <v>7.8814700000000002</v>
      </c>
      <c r="AC708">
        <v>7.8384299999999998</v>
      </c>
      <c r="AD708">
        <v>7.84389</v>
      </c>
      <c r="AE708">
        <v>11</v>
      </c>
      <c r="AF708">
        <v>30392089104</v>
      </c>
      <c r="AJ708" t="s">
        <v>852</v>
      </c>
      <c r="AM708">
        <v>655540016</v>
      </c>
      <c r="AN708">
        <v>0</v>
      </c>
      <c r="AO708">
        <v>0</v>
      </c>
      <c r="AP708">
        <v>655540016</v>
      </c>
      <c r="AQ708">
        <v>655540016</v>
      </c>
      <c r="AR708">
        <v>21851333</v>
      </c>
      <c r="AS708">
        <v>0</v>
      </c>
      <c r="AT708">
        <v>0</v>
      </c>
      <c r="AU708">
        <v>21851333</v>
      </c>
      <c r="AV708">
        <v>21851333</v>
      </c>
      <c r="AW708">
        <v>29.9</v>
      </c>
      <c r="AX708">
        <v>16.323399999999999</v>
      </c>
      <c r="AY708">
        <v>6126.64</v>
      </c>
      <c r="AZ708">
        <v>5198.7700000000004</v>
      </c>
      <c r="BA708">
        <v>33361</v>
      </c>
      <c r="BB708">
        <v>94391</v>
      </c>
      <c r="BC708" t="str">
        <f t="shared" si="22"/>
        <v>u=0%, k=2x10^9</v>
      </c>
      <c r="BD708">
        <f t="shared" si="23"/>
        <v>0</v>
      </c>
    </row>
    <row r="709" spans="1:56">
      <c r="A709" t="s">
        <v>853</v>
      </c>
      <c r="B709" t="s">
        <v>66</v>
      </c>
      <c r="C709">
        <v>208</v>
      </c>
      <c r="D709" t="s">
        <v>65</v>
      </c>
      <c r="E709" t="s">
        <v>60</v>
      </c>
      <c r="F709" t="s">
        <v>61</v>
      </c>
      <c r="G709">
        <v>30000</v>
      </c>
      <c r="H709">
        <v>0</v>
      </c>
      <c r="I709">
        <v>0</v>
      </c>
      <c r="J709">
        <v>0</v>
      </c>
      <c r="K709">
        <v>1</v>
      </c>
      <c r="L709">
        <v>2000000000</v>
      </c>
      <c r="M709">
        <v>96</v>
      </c>
      <c r="N709">
        <v>96</v>
      </c>
      <c r="O709">
        <v>96</v>
      </c>
      <c r="P709">
        <v>0</v>
      </c>
      <c r="Q709" t="s">
        <v>62</v>
      </c>
      <c r="R709">
        <v>9.9999726512121702E+17</v>
      </c>
      <c r="S709">
        <v>1000000000</v>
      </c>
      <c r="T709">
        <v>9.9999726512121702E+17</v>
      </c>
      <c r="U709">
        <v>1000000000</v>
      </c>
      <c r="V709" t="s">
        <v>75</v>
      </c>
      <c r="W709">
        <v>12</v>
      </c>
      <c r="X709">
        <v>18538871</v>
      </c>
      <c r="Y709">
        <v>127575476</v>
      </c>
      <c r="Z709">
        <v>146114347</v>
      </c>
      <c r="AA709">
        <v>1000000000</v>
      </c>
      <c r="AB709">
        <v>7.8815099999999996</v>
      </c>
      <c r="AC709">
        <v>7.8384999999999998</v>
      </c>
      <c r="AD709">
        <v>7.8439500000000004</v>
      </c>
      <c r="AE709">
        <v>11</v>
      </c>
      <c r="AF709">
        <v>30391784176</v>
      </c>
      <c r="AJ709" t="s">
        <v>854</v>
      </c>
      <c r="AM709">
        <v>1458064332</v>
      </c>
      <c r="AN709">
        <v>0</v>
      </c>
      <c r="AO709">
        <v>0</v>
      </c>
      <c r="AP709">
        <v>1458064332</v>
      </c>
      <c r="AQ709">
        <v>1458064332</v>
      </c>
      <c r="AR709">
        <v>48602144</v>
      </c>
      <c r="AS709">
        <v>0</v>
      </c>
      <c r="AT709">
        <v>0</v>
      </c>
      <c r="AU709">
        <v>48602144</v>
      </c>
      <c r="AV709">
        <v>48602144</v>
      </c>
      <c r="AW709">
        <v>30.288399999999999</v>
      </c>
      <c r="AX709">
        <v>17.409800000000001</v>
      </c>
      <c r="AY709">
        <v>5499.61</v>
      </c>
      <c r="AZ709">
        <v>4480.78</v>
      </c>
      <c r="BA709">
        <v>33577</v>
      </c>
      <c r="BB709">
        <v>73022</v>
      </c>
      <c r="BC709" t="str">
        <f t="shared" si="22"/>
        <v>u=0%, k=2x10^9</v>
      </c>
      <c r="BD709">
        <f t="shared" si="23"/>
        <v>0</v>
      </c>
    </row>
    <row r="710" spans="1:56">
      <c r="A710" t="s">
        <v>855</v>
      </c>
      <c r="B710" t="s">
        <v>66</v>
      </c>
      <c r="C710">
        <v>208</v>
      </c>
      <c r="D710" t="s">
        <v>65</v>
      </c>
      <c r="E710" t="s">
        <v>60</v>
      </c>
      <c r="F710" t="s">
        <v>61</v>
      </c>
      <c r="G710">
        <v>30000</v>
      </c>
      <c r="H710">
        <v>0</v>
      </c>
      <c r="I710">
        <v>0</v>
      </c>
      <c r="J710">
        <v>0</v>
      </c>
      <c r="K710">
        <v>1</v>
      </c>
      <c r="L710">
        <v>2000000000</v>
      </c>
      <c r="M710">
        <v>144</v>
      </c>
      <c r="N710">
        <v>144</v>
      </c>
      <c r="O710">
        <v>144</v>
      </c>
      <c r="P710">
        <v>0</v>
      </c>
      <c r="Q710" t="s">
        <v>62</v>
      </c>
      <c r="R710">
        <v>1.000019426708E+18</v>
      </c>
      <c r="S710">
        <v>1000000000</v>
      </c>
      <c r="T710">
        <v>1.000019426708E+18</v>
      </c>
      <c r="U710">
        <v>1000000000</v>
      </c>
      <c r="V710" t="s">
        <v>75</v>
      </c>
      <c r="W710">
        <v>12</v>
      </c>
      <c r="X710">
        <v>18538712</v>
      </c>
      <c r="Y710">
        <v>127573911</v>
      </c>
      <c r="Z710">
        <v>146112623</v>
      </c>
      <c r="AA710">
        <v>1000000000</v>
      </c>
      <c r="AB710">
        <v>7.8814900000000003</v>
      </c>
      <c r="AC710">
        <v>7.8385899999999999</v>
      </c>
      <c r="AD710">
        <v>7.8440399999999997</v>
      </c>
      <c r="AE710">
        <v>11</v>
      </c>
      <c r="AF710">
        <v>30391425584</v>
      </c>
      <c r="AJ710" t="s">
        <v>856</v>
      </c>
      <c r="AM710">
        <v>2197454758</v>
      </c>
      <c r="AN710">
        <v>0</v>
      </c>
      <c r="AO710">
        <v>0</v>
      </c>
      <c r="AP710">
        <v>2197454758</v>
      </c>
      <c r="AQ710">
        <v>2197454758</v>
      </c>
      <c r="AR710">
        <v>73248491</v>
      </c>
      <c r="AS710">
        <v>0</v>
      </c>
      <c r="AT710">
        <v>0</v>
      </c>
      <c r="AU710">
        <v>73248491</v>
      </c>
      <c r="AV710">
        <v>73248491</v>
      </c>
      <c r="AW710">
        <v>30.348199999999999</v>
      </c>
      <c r="AX710">
        <v>17.634699999999999</v>
      </c>
      <c r="AY710">
        <v>5471.58</v>
      </c>
      <c r="AZ710">
        <v>4446.25</v>
      </c>
      <c r="BA710">
        <v>33858</v>
      </c>
      <c r="BB710">
        <v>64324</v>
      </c>
      <c r="BC710" t="str">
        <f t="shared" si="22"/>
        <v>u=0%, k=2x10^9</v>
      </c>
      <c r="BD710">
        <f t="shared" si="23"/>
        <v>0</v>
      </c>
    </row>
    <row r="711" spans="1:56">
      <c r="A711" t="s">
        <v>857</v>
      </c>
      <c r="B711" t="s">
        <v>66</v>
      </c>
      <c r="C711">
        <v>208</v>
      </c>
      <c r="D711" t="s">
        <v>65</v>
      </c>
      <c r="E711" t="s">
        <v>60</v>
      </c>
      <c r="F711" t="s">
        <v>61</v>
      </c>
      <c r="G711">
        <v>30000</v>
      </c>
      <c r="H711">
        <v>0</v>
      </c>
      <c r="I711">
        <v>0</v>
      </c>
      <c r="J711">
        <v>0</v>
      </c>
      <c r="K711">
        <v>1</v>
      </c>
      <c r="L711">
        <v>2000000000</v>
      </c>
      <c r="M711">
        <v>190</v>
      </c>
      <c r="N711">
        <v>190</v>
      </c>
      <c r="O711">
        <v>190</v>
      </c>
      <c r="P711">
        <v>0</v>
      </c>
      <c r="Q711" t="s">
        <v>62</v>
      </c>
      <c r="R711">
        <v>9.9998924271264102E+17</v>
      </c>
      <c r="S711">
        <v>1000000000</v>
      </c>
      <c r="T711">
        <v>9.9998924271264102E+17</v>
      </c>
      <c r="U711">
        <v>1000000000</v>
      </c>
      <c r="V711" t="s">
        <v>75</v>
      </c>
      <c r="W711">
        <v>12</v>
      </c>
      <c r="X711">
        <v>18538531</v>
      </c>
      <c r="Y711">
        <v>127578031</v>
      </c>
      <c r="Z711">
        <v>146116562</v>
      </c>
      <c r="AA711">
        <v>1000000000</v>
      </c>
      <c r="AB711">
        <v>7.88178</v>
      </c>
      <c r="AC711">
        <v>7.8383399999999996</v>
      </c>
      <c r="AD711">
        <v>7.8438499999999998</v>
      </c>
      <c r="AE711">
        <v>11</v>
      </c>
      <c r="AF711">
        <v>30392244896</v>
      </c>
      <c r="AJ711" t="s">
        <v>858</v>
      </c>
      <c r="AM711">
        <v>2897408185</v>
      </c>
      <c r="AN711">
        <v>0</v>
      </c>
      <c r="AO711">
        <v>0</v>
      </c>
      <c r="AP711">
        <v>2897408185</v>
      </c>
      <c r="AQ711">
        <v>2897408185</v>
      </c>
      <c r="AR711">
        <v>96580272</v>
      </c>
      <c r="AS711">
        <v>0</v>
      </c>
      <c r="AT711">
        <v>0</v>
      </c>
      <c r="AU711">
        <v>96580272</v>
      </c>
      <c r="AV711">
        <v>96580272</v>
      </c>
      <c r="AW711">
        <v>30.417100000000001</v>
      </c>
      <c r="AX711">
        <v>17.769300000000001</v>
      </c>
      <c r="AY711">
        <v>5474.88</v>
      </c>
      <c r="AZ711">
        <v>4430.09</v>
      </c>
      <c r="BA711">
        <v>34015</v>
      </c>
      <c r="BB711">
        <v>61074</v>
      </c>
      <c r="BC711" t="str">
        <f t="shared" si="22"/>
        <v>u=0%, k=2x10^9</v>
      </c>
      <c r="BD711">
        <f t="shared" si="23"/>
        <v>0</v>
      </c>
    </row>
    <row r="712" spans="1:56">
      <c r="A712" t="s">
        <v>859</v>
      </c>
      <c r="B712" t="s">
        <v>67</v>
      </c>
      <c r="D712" t="s">
        <v>65</v>
      </c>
      <c r="E712" t="s">
        <v>60</v>
      </c>
      <c r="F712" t="s">
        <v>61</v>
      </c>
      <c r="G712">
        <v>30000</v>
      </c>
      <c r="H712">
        <v>0</v>
      </c>
      <c r="I712">
        <v>0</v>
      </c>
      <c r="J712">
        <v>0</v>
      </c>
      <c r="K712">
        <v>1</v>
      </c>
      <c r="L712">
        <v>2000000000</v>
      </c>
      <c r="M712">
        <v>24</v>
      </c>
      <c r="N712">
        <v>24</v>
      </c>
      <c r="O712">
        <v>24</v>
      </c>
      <c r="P712">
        <v>0</v>
      </c>
      <c r="Q712" t="s">
        <v>62</v>
      </c>
      <c r="R712">
        <v>9.9998677535932198E+17</v>
      </c>
      <c r="S712">
        <v>1000000000</v>
      </c>
      <c r="T712">
        <v>9.9998677535932198E+17</v>
      </c>
      <c r="U712">
        <v>1000000000</v>
      </c>
      <c r="V712" t="s">
        <v>75</v>
      </c>
      <c r="W712">
        <v>37</v>
      </c>
      <c r="X712">
        <v>571433279</v>
      </c>
      <c r="Y712">
        <v>428566722</v>
      </c>
      <c r="Z712">
        <v>1000000001</v>
      </c>
      <c r="AA712">
        <v>1000000000</v>
      </c>
      <c r="AB712">
        <v>1.7499899999999999</v>
      </c>
      <c r="AC712">
        <v>2.3333599999999999</v>
      </c>
      <c r="AD712">
        <v>2</v>
      </c>
      <c r="AE712">
        <v>29.438500000000001</v>
      </c>
      <c r="AF712">
        <v>56000000056</v>
      </c>
      <c r="AJ712" t="s">
        <v>860</v>
      </c>
      <c r="AM712">
        <v>159605258</v>
      </c>
      <c r="AN712">
        <v>0</v>
      </c>
      <c r="AO712">
        <v>0</v>
      </c>
      <c r="AP712">
        <v>159605258</v>
      </c>
      <c r="AQ712">
        <v>159605258</v>
      </c>
      <c r="AR712">
        <v>5320175</v>
      </c>
      <c r="AS712">
        <v>0</v>
      </c>
      <c r="AT712">
        <v>0</v>
      </c>
      <c r="AU712">
        <v>5320175</v>
      </c>
      <c r="AV712">
        <v>5320175</v>
      </c>
      <c r="AW712">
        <v>54.050600000000003</v>
      </c>
      <c r="AX712">
        <v>28.694800000000001</v>
      </c>
      <c r="AY712">
        <v>12585</v>
      </c>
      <c r="AZ712">
        <v>11078.2</v>
      </c>
      <c r="BA712">
        <v>65644</v>
      </c>
      <c r="BB712">
        <v>272496</v>
      </c>
      <c r="BC712" t="str">
        <f t="shared" si="22"/>
        <v>u=0%, k=2x10^9</v>
      </c>
      <c r="BD712">
        <f t="shared" si="23"/>
        <v>0</v>
      </c>
    </row>
    <row r="713" spans="1:56">
      <c r="A713" t="s">
        <v>861</v>
      </c>
      <c r="B713" t="s">
        <v>67</v>
      </c>
      <c r="D713" t="s">
        <v>65</v>
      </c>
      <c r="E713" t="s">
        <v>60</v>
      </c>
      <c r="F713" t="s">
        <v>61</v>
      </c>
      <c r="G713">
        <v>30000</v>
      </c>
      <c r="H713">
        <v>0</v>
      </c>
      <c r="I713">
        <v>0</v>
      </c>
      <c r="J713">
        <v>0</v>
      </c>
      <c r="K713">
        <v>1</v>
      </c>
      <c r="L713">
        <v>2000000000</v>
      </c>
      <c r="M713">
        <v>48</v>
      </c>
      <c r="N713">
        <v>48</v>
      </c>
      <c r="O713">
        <v>48</v>
      </c>
      <c r="P713">
        <v>0</v>
      </c>
      <c r="Q713" t="s">
        <v>62</v>
      </c>
      <c r="R713">
        <v>9.9998508748782605E+17</v>
      </c>
      <c r="S713">
        <v>1000000000</v>
      </c>
      <c r="T713">
        <v>9.9998508748782605E+17</v>
      </c>
      <c r="U713">
        <v>1000000000</v>
      </c>
      <c r="V713" t="s">
        <v>75</v>
      </c>
      <c r="W713">
        <v>37</v>
      </c>
      <c r="X713">
        <v>571430294</v>
      </c>
      <c r="Y713">
        <v>428569707</v>
      </c>
      <c r="Z713">
        <v>1000000001</v>
      </c>
      <c r="AA713">
        <v>1000000000</v>
      </c>
      <c r="AB713">
        <v>1.7499899999999999</v>
      </c>
      <c r="AC713">
        <v>2.3333400000000002</v>
      </c>
      <c r="AD713">
        <v>2</v>
      </c>
      <c r="AE713">
        <v>29.4603</v>
      </c>
      <c r="AF713">
        <v>56000000056</v>
      </c>
      <c r="AJ713" t="s">
        <v>862</v>
      </c>
      <c r="AM713">
        <v>306839644</v>
      </c>
      <c r="AN713">
        <v>0</v>
      </c>
      <c r="AO713">
        <v>0</v>
      </c>
      <c r="AP713">
        <v>306839644</v>
      </c>
      <c r="AQ713">
        <v>306839644</v>
      </c>
      <c r="AR713">
        <v>10227988</v>
      </c>
      <c r="AS713">
        <v>0</v>
      </c>
      <c r="AT713">
        <v>0</v>
      </c>
      <c r="AU713">
        <v>10227988</v>
      </c>
      <c r="AV713">
        <v>10227988</v>
      </c>
      <c r="AW713">
        <v>54.664099999999998</v>
      </c>
      <c r="AX713">
        <v>28.8993</v>
      </c>
      <c r="AY713">
        <v>13091.4</v>
      </c>
      <c r="AZ713">
        <v>11567.4</v>
      </c>
      <c r="BA713">
        <v>65652</v>
      </c>
      <c r="BB713">
        <v>142914</v>
      </c>
      <c r="BC713" t="str">
        <f t="shared" si="22"/>
        <v>u=0%, k=2x10^9</v>
      </c>
      <c r="BD713">
        <f t="shared" si="23"/>
        <v>0</v>
      </c>
    </row>
    <row r="714" spans="1:56">
      <c r="A714" t="s">
        <v>863</v>
      </c>
      <c r="B714" t="s">
        <v>67</v>
      </c>
      <c r="D714" t="s">
        <v>65</v>
      </c>
      <c r="E714" t="s">
        <v>60</v>
      </c>
      <c r="F714" t="s">
        <v>61</v>
      </c>
      <c r="G714">
        <v>30000</v>
      </c>
      <c r="H714">
        <v>0</v>
      </c>
      <c r="I714">
        <v>0</v>
      </c>
      <c r="J714">
        <v>0</v>
      </c>
      <c r="K714">
        <v>1</v>
      </c>
      <c r="L714">
        <v>2000000000</v>
      </c>
      <c r="M714">
        <v>96</v>
      </c>
      <c r="N714">
        <v>96</v>
      </c>
      <c r="O714">
        <v>96</v>
      </c>
      <c r="P714">
        <v>0</v>
      </c>
      <c r="Q714" t="s">
        <v>62</v>
      </c>
      <c r="R714">
        <v>1.00003258145739E+18</v>
      </c>
      <c r="S714">
        <v>1000000000</v>
      </c>
      <c r="T714">
        <v>1.00003258145739E+18</v>
      </c>
      <c r="U714">
        <v>1000000000</v>
      </c>
      <c r="V714" t="s">
        <v>75</v>
      </c>
      <c r="W714">
        <v>37</v>
      </c>
      <c r="X714">
        <v>571424141</v>
      </c>
      <c r="Y714">
        <v>428575860</v>
      </c>
      <c r="Z714">
        <v>1000000001</v>
      </c>
      <c r="AA714">
        <v>1000000000</v>
      </c>
      <c r="AB714">
        <v>1.7500100000000001</v>
      </c>
      <c r="AC714">
        <v>2.33331</v>
      </c>
      <c r="AD714">
        <v>2</v>
      </c>
      <c r="AE714">
        <v>29.453199999999999</v>
      </c>
      <c r="AF714">
        <v>56000000056</v>
      </c>
      <c r="AJ714" t="s">
        <v>864</v>
      </c>
      <c r="AM714">
        <v>681256379</v>
      </c>
      <c r="AN714">
        <v>0</v>
      </c>
      <c r="AO714">
        <v>0</v>
      </c>
      <c r="AP714">
        <v>681256379</v>
      </c>
      <c r="AQ714">
        <v>681256379</v>
      </c>
      <c r="AR714">
        <v>22708545</v>
      </c>
      <c r="AS714">
        <v>0</v>
      </c>
      <c r="AT714">
        <v>0</v>
      </c>
      <c r="AU714">
        <v>22708545</v>
      </c>
      <c r="AV714">
        <v>22708545</v>
      </c>
      <c r="AW714">
        <v>55.301099999999998</v>
      </c>
      <c r="AX714">
        <v>31.048300000000001</v>
      </c>
      <c r="AY714">
        <v>11777.9</v>
      </c>
      <c r="AZ714">
        <v>10211</v>
      </c>
      <c r="BA714">
        <v>65667</v>
      </c>
      <c r="BB714">
        <v>63768</v>
      </c>
      <c r="BC714" t="str">
        <f t="shared" si="22"/>
        <v>u=0%, k=2x10^9</v>
      </c>
      <c r="BD714">
        <f t="shared" si="23"/>
        <v>0</v>
      </c>
    </row>
    <row r="715" spans="1:56">
      <c r="A715" t="s">
        <v>865</v>
      </c>
      <c r="B715" t="s">
        <v>67</v>
      </c>
      <c r="D715" t="s">
        <v>65</v>
      </c>
      <c r="E715" t="s">
        <v>60</v>
      </c>
      <c r="F715" t="s">
        <v>61</v>
      </c>
      <c r="G715">
        <v>30000</v>
      </c>
      <c r="H715">
        <v>0</v>
      </c>
      <c r="I715">
        <v>0</v>
      </c>
      <c r="J715">
        <v>0</v>
      </c>
      <c r="K715">
        <v>1</v>
      </c>
      <c r="L715">
        <v>2000000000</v>
      </c>
      <c r="M715">
        <v>144</v>
      </c>
      <c r="N715">
        <v>144</v>
      </c>
      <c r="O715">
        <v>144</v>
      </c>
      <c r="P715">
        <v>0</v>
      </c>
      <c r="Q715" t="s">
        <v>62</v>
      </c>
      <c r="R715">
        <v>1.00000722981098E+18</v>
      </c>
      <c r="S715">
        <v>1000000000</v>
      </c>
      <c r="T715">
        <v>1.00000722981098E+18</v>
      </c>
      <c r="U715">
        <v>1000000000</v>
      </c>
      <c r="V715" t="s">
        <v>75</v>
      </c>
      <c r="W715">
        <v>37</v>
      </c>
      <c r="X715">
        <v>571436318</v>
      </c>
      <c r="Y715">
        <v>428563683</v>
      </c>
      <c r="Z715">
        <v>1000000001</v>
      </c>
      <c r="AA715">
        <v>1000000000</v>
      </c>
      <c r="AB715">
        <v>1.7499800000000001</v>
      </c>
      <c r="AC715">
        <v>2.33338</v>
      </c>
      <c r="AD715">
        <v>2</v>
      </c>
      <c r="AE715">
        <v>29.437799999999999</v>
      </c>
      <c r="AF715">
        <v>56000000056</v>
      </c>
      <c r="AJ715" t="s">
        <v>866</v>
      </c>
      <c r="AM715">
        <v>1019411792</v>
      </c>
      <c r="AN715">
        <v>0</v>
      </c>
      <c r="AO715">
        <v>0</v>
      </c>
      <c r="AP715">
        <v>1019411792</v>
      </c>
      <c r="AQ715">
        <v>1019411792</v>
      </c>
      <c r="AR715">
        <v>33980393</v>
      </c>
      <c r="AS715">
        <v>0</v>
      </c>
      <c r="AT715">
        <v>0</v>
      </c>
      <c r="AU715">
        <v>33980393</v>
      </c>
      <c r="AV715">
        <v>33980393</v>
      </c>
      <c r="AW715">
        <v>55.810699999999997</v>
      </c>
      <c r="AX715">
        <v>31.313300000000002</v>
      </c>
      <c r="AY715">
        <v>11803.2</v>
      </c>
      <c r="AZ715">
        <v>10131.9</v>
      </c>
      <c r="BA715">
        <v>65678</v>
      </c>
      <c r="BB715">
        <v>42882</v>
      </c>
      <c r="BC715" t="str">
        <f t="shared" si="22"/>
        <v>u=0%, k=2x10^9</v>
      </c>
      <c r="BD715">
        <f t="shared" si="23"/>
        <v>0</v>
      </c>
    </row>
    <row r="716" spans="1:56">
      <c r="A716" t="s">
        <v>867</v>
      </c>
      <c r="B716" t="s">
        <v>67</v>
      </c>
      <c r="D716" t="s">
        <v>65</v>
      </c>
      <c r="E716" t="s">
        <v>60</v>
      </c>
      <c r="F716" t="s">
        <v>61</v>
      </c>
      <c r="G716">
        <v>30000</v>
      </c>
      <c r="H716">
        <v>0</v>
      </c>
      <c r="I716">
        <v>0</v>
      </c>
      <c r="J716">
        <v>0</v>
      </c>
      <c r="K716">
        <v>1</v>
      </c>
      <c r="L716">
        <v>2000000000</v>
      </c>
      <c r="M716">
        <v>190</v>
      </c>
      <c r="N716">
        <v>190</v>
      </c>
      <c r="O716">
        <v>190</v>
      </c>
      <c r="P716">
        <v>0</v>
      </c>
      <c r="Q716" t="s">
        <v>62</v>
      </c>
      <c r="R716">
        <v>9.9999665546969805E+17</v>
      </c>
      <c r="S716">
        <v>1000000000</v>
      </c>
      <c r="T716">
        <v>9.9999665546969805E+17</v>
      </c>
      <c r="U716">
        <v>1000000000</v>
      </c>
      <c r="V716" t="s">
        <v>75</v>
      </c>
      <c r="W716">
        <v>37</v>
      </c>
      <c r="X716">
        <v>571425134</v>
      </c>
      <c r="Y716">
        <v>428574867</v>
      </c>
      <c r="Z716">
        <v>1000000001</v>
      </c>
      <c r="AA716">
        <v>1000000000</v>
      </c>
      <c r="AB716">
        <v>1.7500100000000001</v>
      </c>
      <c r="AC716">
        <v>2.33331</v>
      </c>
      <c r="AD716">
        <v>2</v>
      </c>
      <c r="AE716">
        <v>29.454599999999999</v>
      </c>
      <c r="AF716">
        <v>56000000056</v>
      </c>
      <c r="AJ716" t="s">
        <v>868</v>
      </c>
      <c r="AM716">
        <v>1357806953</v>
      </c>
      <c r="AN716">
        <v>0</v>
      </c>
      <c r="AO716">
        <v>0</v>
      </c>
      <c r="AP716">
        <v>1357806953</v>
      </c>
      <c r="AQ716">
        <v>1357806953</v>
      </c>
      <c r="AR716">
        <v>45260231</v>
      </c>
      <c r="AS716">
        <v>0</v>
      </c>
      <c r="AT716">
        <v>0</v>
      </c>
      <c r="AU716">
        <v>45260231</v>
      </c>
      <c r="AV716">
        <v>45260231</v>
      </c>
      <c r="AW716">
        <v>55.863500000000002</v>
      </c>
      <c r="AX716">
        <v>31.48</v>
      </c>
      <c r="AY716">
        <v>11691.6</v>
      </c>
      <c r="AZ716">
        <v>10115.700000000001</v>
      </c>
      <c r="BA716">
        <v>65693</v>
      </c>
      <c r="BB716">
        <v>32795</v>
      </c>
      <c r="BC716" t="str">
        <f t="shared" si="22"/>
        <v>u=0%, k=2x10^9</v>
      </c>
      <c r="BD716">
        <f t="shared" si="23"/>
        <v>0</v>
      </c>
    </row>
    <row r="717" spans="1:56">
      <c r="A717" t="s">
        <v>869</v>
      </c>
      <c r="B717" t="s">
        <v>68</v>
      </c>
      <c r="D717" t="s">
        <v>65</v>
      </c>
      <c r="E717" t="s">
        <v>60</v>
      </c>
      <c r="F717" t="s">
        <v>61</v>
      </c>
      <c r="G717">
        <v>30000</v>
      </c>
      <c r="H717">
        <v>0</v>
      </c>
      <c r="I717">
        <v>0</v>
      </c>
      <c r="J717">
        <v>0</v>
      </c>
      <c r="K717">
        <v>1</v>
      </c>
      <c r="L717">
        <v>2000000000</v>
      </c>
      <c r="M717">
        <v>24</v>
      </c>
      <c r="N717">
        <v>24</v>
      </c>
      <c r="O717">
        <v>24</v>
      </c>
      <c r="P717">
        <v>0</v>
      </c>
      <c r="Q717" t="s">
        <v>62</v>
      </c>
      <c r="R717">
        <v>9.9997779200398106E+17</v>
      </c>
      <c r="S717">
        <v>1000000000</v>
      </c>
      <c r="T717">
        <v>9.9997779200398106E+17</v>
      </c>
      <c r="U717">
        <v>1000000000</v>
      </c>
      <c r="V717" t="s">
        <v>75</v>
      </c>
      <c r="W717">
        <v>82</v>
      </c>
      <c r="X717">
        <v>999999999</v>
      </c>
      <c r="Y717">
        <v>1000000000</v>
      </c>
      <c r="Z717">
        <v>1999999999</v>
      </c>
      <c r="AA717">
        <v>1000000000</v>
      </c>
      <c r="AB717">
        <v>2</v>
      </c>
      <c r="AC717">
        <v>1</v>
      </c>
      <c r="AD717">
        <v>1.5</v>
      </c>
      <c r="AE717">
        <v>41.408799999999999</v>
      </c>
      <c r="AF717">
        <v>63999999968</v>
      </c>
      <c r="AJ717" t="s">
        <v>870</v>
      </c>
      <c r="AM717">
        <v>129264678</v>
      </c>
      <c r="AN717">
        <v>0</v>
      </c>
      <c r="AO717">
        <v>0</v>
      </c>
      <c r="AP717">
        <v>129264678</v>
      </c>
      <c r="AQ717">
        <v>129264678</v>
      </c>
      <c r="AR717">
        <v>4308822</v>
      </c>
      <c r="AS717">
        <v>0</v>
      </c>
      <c r="AT717">
        <v>0</v>
      </c>
      <c r="AU717">
        <v>4308822</v>
      </c>
      <c r="AV717">
        <v>4308822</v>
      </c>
      <c r="AW717">
        <v>53.218499999999999</v>
      </c>
      <c r="AX717">
        <v>28.623899999999999</v>
      </c>
      <c r="AY717">
        <v>15538.5</v>
      </c>
      <c r="AZ717">
        <v>13478.4</v>
      </c>
      <c r="BA717">
        <v>65644</v>
      </c>
      <c r="BB717">
        <v>299956</v>
      </c>
      <c r="BC717" t="str">
        <f t="shared" si="22"/>
        <v>u=0%, k=2x10^9</v>
      </c>
      <c r="BD717">
        <f t="shared" si="23"/>
        <v>0</v>
      </c>
    </row>
    <row r="718" spans="1:56">
      <c r="A718" t="s">
        <v>871</v>
      </c>
      <c r="B718" t="s">
        <v>68</v>
      </c>
      <c r="D718" t="s">
        <v>65</v>
      </c>
      <c r="E718" t="s">
        <v>60</v>
      </c>
      <c r="F718" t="s">
        <v>61</v>
      </c>
      <c r="G718">
        <v>30000</v>
      </c>
      <c r="H718">
        <v>0</v>
      </c>
      <c r="I718">
        <v>0</v>
      </c>
      <c r="J718">
        <v>0</v>
      </c>
      <c r="K718">
        <v>1</v>
      </c>
      <c r="L718">
        <v>2000000000</v>
      </c>
      <c r="M718">
        <v>48</v>
      </c>
      <c r="N718">
        <v>48</v>
      </c>
      <c r="O718">
        <v>48</v>
      </c>
      <c r="P718">
        <v>0</v>
      </c>
      <c r="Q718" t="s">
        <v>62</v>
      </c>
      <c r="R718">
        <v>1.00002374634965E+18</v>
      </c>
      <c r="S718">
        <v>1000000000</v>
      </c>
      <c r="T718">
        <v>1.00002374634965E+18</v>
      </c>
      <c r="U718">
        <v>1000000000</v>
      </c>
      <c r="V718" t="s">
        <v>75</v>
      </c>
      <c r="W718">
        <v>79</v>
      </c>
      <c r="X718">
        <v>999999999</v>
      </c>
      <c r="Y718">
        <v>1000000000</v>
      </c>
      <c r="Z718">
        <v>1999999999</v>
      </c>
      <c r="AA718">
        <v>1000000000</v>
      </c>
      <c r="AB718">
        <v>2</v>
      </c>
      <c r="AC718">
        <v>1</v>
      </c>
      <c r="AD718">
        <v>1.5</v>
      </c>
      <c r="AE718">
        <v>40.4435</v>
      </c>
      <c r="AF718">
        <v>63999999968</v>
      </c>
      <c r="AJ718" t="s">
        <v>872</v>
      </c>
      <c r="AM718">
        <v>253370689</v>
      </c>
      <c r="AN718">
        <v>0</v>
      </c>
      <c r="AO718">
        <v>0</v>
      </c>
      <c r="AP718">
        <v>253370689</v>
      </c>
      <c r="AQ718">
        <v>253370689</v>
      </c>
      <c r="AR718">
        <v>8445689</v>
      </c>
      <c r="AS718">
        <v>0</v>
      </c>
      <c r="AT718">
        <v>0</v>
      </c>
      <c r="AU718">
        <v>8445689</v>
      </c>
      <c r="AV718">
        <v>8445689</v>
      </c>
      <c r="AW718">
        <v>53.2423</v>
      </c>
      <c r="AX718">
        <v>28.624700000000001</v>
      </c>
      <c r="AY718">
        <v>15853</v>
      </c>
      <c r="AZ718">
        <v>14726.1</v>
      </c>
      <c r="BA718">
        <v>65651</v>
      </c>
      <c r="BB718">
        <v>153398</v>
      </c>
      <c r="BC718" t="str">
        <f t="shared" si="22"/>
        <v>u=0%, k=2x10^9</v>
      </c>
      <c r="BD718">
        <f t="shared" si="23"/>
        <v>0</v>
      </c>
    </row>
    <row r="719" spans="1:56">
      <c r="A719" t="s">
        <v>873</v>
      </c>
      <c r="B719" t="s">
        <v>68</v>
      </c>
      <c r="D719" t="s">
        <v>65</v>
      </c>
      <c r="E719" t="s">
        <v>60</v>
      </c>
      <c r="F719" t="s">
        <v>61</v>
      </c>
      <c r="G719">
        <v>30000</v>
      </c>
      <c r="H719">
        <v>0</v>
      </c>
      <c r="I719">
        <v>0</v>
      </c>
      <c r="J719">
        <v>0</v>
      </c>
      <c r="K719">
        <v>1</v>
      </c>
      <c r="L719">
        <v>2000000000</v>
      </c>
      <c r="M719">
        <v>96</v>
      </c>
      <c r="N719">
        <v>96</v>
      </c>
      <c r="O719">
        <v>96</v>
      </c>
      <c r="P719">
        <v>0</v>
      </c>
      <c r="Q719" t="s">
        <v>62</v>
      </c>
      <c r="R719">
        <v>1.00000511128376E+18</v>
      </c>
      <c r="S719">
        <v>1000000000</v>
      </c>
      <c r="T719">
        <v>1.00000511128376E+18</v>
      </c>
      <c r="U719">
        <v>1000000000</v>
      </c>
      <c r="V719" t="s">
        <v>75</v>
      </c>
      <c r="W719">
        <v>81</v>
      </c>
      <c r="X719">
        <v>999999999</v>
      </c>
      <c r="Y719">
        <v>1000000000</v>
      </c>
      <c r="Z719">
        <v>1999999999</v>
      </c>
      <c r="AA719">
        <v>1000000000</v>
      </c>
      <c r="AB719">
        <v>2</v>
      </c>
      <c r="AC719">
        <v>1</v>
      </c>
      <c r="AD719">
        <v>1.5</v>
      </c>
      <c r="AE719">
        <v>40.099499999999999</v>
      </c>
      <c r="AF719">
        <v>63999999968</v>
      </c>
      <c r="AJ719" t="s">
        <v>874</v>
      </c>
      <c r="AM719">
        <v>569676191</v>
      </c>
      <c r="AN719">
        <v>0</v>
      </c>
      <c r="AO719">
        <v>0</v>
      </c>
      <c r="AP719">
        <v>569676191</v>
      </c>
      <c r="AQ719">
        <v>569676191</v>
      </c>
      <c r="AR719">
        <v>18989206</v>
      </c>
      <c r="AS719">
        <v>0</v>
      </c>
      <c r="AT719">
        <v>0</v>
      </c>
      <c r="AU719">
        <v>18989206</v>
      </c>
      <c r="AV719">
        <v>18989206</v>
      </c>
      <c r="AW719">
        <v>53.853900000000003</v>
      </c>
      <c r="AX719">
        <v>31.184699999999999</v>
      </c>
      <c r="AY719">
        <v>14086.9</v>
      </c>
      <c r="AZ719">
        <v>12857.7</v>
      </c>
      <c r="BA719">
        <v>65664</v>
      </c>
      <c r="BB719">
        <v>66357</v>
      </c>
      <c r="BC719" t="str">
        <f t="shared" si="22"/>
        <v>u=0%, k=2x10^9</v>
      </c>
      <c r="BD719">
        <f t="shared" si="23"/>
        <v>0</v>
      </c>
    </row>
    <row r="720" spans="1:56">
      <c r="A720" t="s">
        <v>875</v>
      </c>
      <c r="B720" t="s">
        <v>68</v>
      </c>
      <c r="D720" t="s">
        <v>65</v>
      </c>
      <c r="E720" t="s">
        <v>60</v>
      </c>
      <c r="F720" t="s">
        <v>61</v>
      </c>
      <c r="G720">
        <v>30000</v>
      </c>
      <c r="H720">
        <v>0</v>
      </c>
      <c r="I720">
        <v>0</v>
      </c>
      <c r="J720">
        <v>0</v>
      </c>
      <c r="K720">
        <v>1</v>
      </c>
      <c r="L720">
        <v>2000000000</v>
      </c>
      <c r="M720">
        <v>144</v>
      </c>
      <c r="N720">
        <v>144</v>
      </c>
      <c r="O720">
        <v>144</v>
      </c>
      <c r="P720">
        <v>0</v>
      </c>
      <c r="Q720" t="s">
        <v>62</v>
      </c>
      <c r="R720">
        <v>1.00000465609906E+18</v>
      </c>
      <c r="S720">
        <v>1000000000</v>
      </c>
      <c r="T720">
        <v>1.00000465609906E+18</v>
      </c>
      <c r="U720">
        <v>1000000000</v>
      </c>
      <c r="V720" t="s">
        <v>75</v>
      </c>
      <c r="W720">
        <v>81</v>
      </c>
      <c r="X720">
        <v>999999999</v>
      </c>
      <c r="Y720">
        <v>1000000000</v>
      </c>
      <c r="Z720">
        <v>1999999999</v>
      </c>
      <c r="AA720">
        <v>1000000000</v>
      </c>
      <c r="AB720">
        <v>2</v>
      </c>
      <c r="AC720">
        <v>1</v>
      </c>
      <c r="AD720">
        <v>1.5</v>
      </c>
      <c r="AE720">
        <v>40.625700000000002</v>
      </c>
      <c r="AF720">
        <v>63999999968</v>
      </c>
      <c r="AJ720" t="s">
        <v>876</v>
      </c>
      <c r="AM720">
        <v>862787151</v>
      </c>
      <c r="AN720">
        <v>0</v>
      </c>
      <c r="AO720">
        <v>0</v>
      </c>
      <c r="AP720">
        <v>862787151</v>
      </c>
      <c r="AQ720">
        <v>862787151</v>
      </c>
      <c r="AR720">
        <v>28759571</v>
      </c>
      <c r="AS720">
        <v>0</v>
      </c>
      <c r="AT720">
        <v>0</v>
      </c>
      <c r="AU720">
        <v>28759571</v>
      </c>
      <c r="AV720">
        <v>28759571</v>
      </c>
      <c r="AW720">
        <v>53.890799999999999</v>
      </c>
      <c r="AX720">
        <v>31.433499999999999</v>
      </c>
      <c r="AY720">
        <v>13947.9</v>
      </c>
      <c r="AZ720">
        <v>12717.6</v>
      </c>
      <c r="BA720">
        <v>65677</v>
      </c>
      <c r="BB720">
        <v>44107</v>
      </c>
      <c r="BC720" t="str">
        <f t="shared" si="22"/>
        <v>u=0%, k=2x10^9</v>
      </c>
      <c r="BD720">
        <f t="shared" si="23"/>
        <v>0</v>
      </c>
    </row>
    <row r="721" spans="1:56">
      <c r="A721" t="s">
        <v>877</v>
      </c>
      <c r="B721" t="s">
        <v>68</v>
      </c>
      <c r="D721" t="s">
        <v>65</v>
      </c>
      <c r="E721" t="s">
        <v>60</v>
      </c>
      <c r="F721" t="s">
        <v>61</v>
      </c>
      <c r="G721">
        <v>30000</v>
      </c>
      <c r="H721">
        <v>0</v>
      </c>
      <c r="I721">
        <v>0</v>
      </c>
      <c r="J721">
        <v>0</v>
      </c>
      <c r="K721">
        <v>1</v>
      </c>
      <c r="L721">
        <v>2000000000</v>
      </c>
      <c r="M721">
        <v>190</v>
      </c>
      <c r="N721">
        <v>190</v>
      </c>
      <c r="O721">
        <v>190</v>
      </c>
      <c r="P721">
        <v>0</v>
      </c>
      <c r="Q721" t="s">
        <v>62</v>
      </c>
      <c r="R721">
        <v>1.0000051898459599E+18</v>
      </c>
      <c r="S721">
        <v>1000000000</v>
      </c>
      <c r="T721">
        <v>1.0000051898459599E+18</v>
      </c>
      <c r="U721">
        <v>1000000000</v>
      </c>
      <c r="V721" t="s">
        <v>75</v>
      </c>
      <c r="W721">
        <v>80</v>
      </c>
      <c r="X721">
        <v>999999999</v>
      </c>
      <c r="Y721">
        <v>1000000000</v>
      </c>
      <c r="Z721">
        <v>1999999999</v>
      </c>
      <c r="AA721">
        <v>1000000000</v>
      </c>
      <c r="AB721">
        <v>2</v>
      </c>
      <c r="AC721">
        <v>1</v>
      </c>
      <c r="AD721">
        <v>1.5</v>
      </c>
      <c r="AE721">
        <v>39.914099999999998</v>
      </c>
      <c r="AF721">
        <v>63999999968</v>
      </c>
      <c r="AJ721" t="s">
        <v>878</v>
      </c>
      <c r="AM721">
        <v>1144017216</v>
      </c>
      <c r="AN721">
        <v>0</v>
      </c>
      <c r="AO721">
        <v>0</v>
      </c>
      <c r="AP721">
        <v>1144017216</v>
      </c>
      <c r="AQ721">
        <v>1144017216</v>
      </c>
      <c r="AR721">
        <v>38133907</v>
      </c>
      <c r="AS721">
        <v>0</v>
      </c>
      <c r="AT721">
        <v>0</v>
      </c>
      <c r="AU721">
        <v>38133907</v>
      </c>
      <c r="AV721">
        <v>38133907</v>
      </c>
      <c r="AW721">
        <v>53.987400000000001</v>
      </c>
      <c r="AX721">
        <v>31.5867</v>
      </c>
      <c r="AY721">
        <v>13879.7</v>
      </c>
      <c r="AZ721">
        <v>12642.5</v>
      </c>
      <c r="BA721">
        <v>65695</v>
      </c>
      <c r="BB721">
        <v>33702</v>
      </c>
      <c r="BC721" t="str">
        <f t="shared" si="22"/>
        <v>u=0%, k=2x10^9</v>
      </c>
      <c r="BD721">
        <f t="shared" si="23"/>
        <v>0</v>
      </c>
    </row>
    <row r="722" spans="1:56">
      <c r="A722" t="s">
        <v>879</v>
      </c>
      <c r="B722" t="s">
        <v>64</v>
      </c>
      <c r="C722">
        <v>72</v>
      </c>
      <c r="D722" t="s">
        <v>65</v>
      </c>
      <c r="E722" t="s">
        <v>60</v>
      </c>
      <c r="F722" t="s">
        <v>61</v>
      </c>
      <c r="G722">
        <v>30000</v>
      </c>
      <c r="H722">
        <v>0.5</v>
      </c>
      <c r="I722">
        <v>0.5</v>
      </c>
      <c r="J722">
        <v>0</v>
      </c>
      <c r="K722">
        <v>1</v>
      </c>
      <c r="L722">
        <v>2000000</v>
      </c>
      <c r="M722">
        <v>24</v>
      </c>
      <c r="N722">
        <v>24</v>
      </c>
      <c r="O722">
        <v>24</v>
      </c>
      <c r="P722">
        <v>0</v>
      </c>
      <c r="Q722" t="s">
        <v>62</v>
      </c>
      <c r="R722">
        <v>1000325621326</v>
      </c>
      <c r="S722">
        <v>999386</v>
      </c>
      <c r="T722">
        <v>1000325621326</v>
      </c>
      <c r="U722">
        <v>999386</v>
      </c>
      <c r="V722" t="s">
        <v>75</v>
      </c>
      <c r="W722">
        <v>6</v>
      </c>
      <c r="X722">
        <v>51898</v>
      </c>
      <c r="Y722">
        <v>1069443</v>
      </c>
      <c r="Z722">
        <v>1121341</v>
      </c>
      <c r="AA722">
        <v>999386</v>
      </c>
      <c r="AB722">
        <v>21.6066</v>
      </c>
      <c r="AC722">
        <v>0.93449199999999999</v>
      </c>
      <c r="AD722">
        <v>1.89124</v>
      </c>
      <c r="AE722">
        <v>3.0389900000000001</v>
      </c>
      <c r="AF722">
        <v>21275536</v>
      </c>
      <c r="AG722" t="s">
        <v>880</v>
      </c>
      <c r="AH722" t="s">
        <v>881</v>
      </c>
      <c r="AI722">
        <v>3896</v>
      </c>
      <c r="AJ722">
        <v>892326</v>
      </c>
      <c r="AM722">
        <v>2382891121</v>
      </c>
      <c r="AN722">
        <v>0</v>
      </c>
      <c r="AO722">
        <v>24069882</v>
      </c>
      <c r="AP722">
        <v>2382891121</v>
      </c>
      <c r="AQ722">
        <v>2406961003</v>
      </c>
      <c r="AR722">
        <v>79429704</v>
      </c>
      <c r="AS722">
        <v>0</v>
      </c>
      <c r="AT722">
        <v>802329</v>
      </c>
      <c r="AU722">
        <v>79429704</v>
      </c>
      <c r="AV722">
        <v>80232033</v>
      </c>
      <c r="AW722">
        <v>8.5425400000000007</v>
      </c>
      <c r="AX722">
        <v>9.5369200000000001E-2</v>
      </c>
      <c r="AY722">
        <v>833.7</v>
      </c>
      <c r="AZ722">
        <v>271.71300000000002</v>
      </c>
      <c r="BA722">
        <v>1186</v>
      </c>
      <c r="BB722">
        <v>28</v>
      </c>
      <c r="BC722" t="str">
        <f t="shared" si="22"/>
        <v>u=1%, k=2x10^6</v>
      </c>
      <c r="BD722" t="str">
        <f t="shared" si="23"/>
        <v>48</v>
      </c>
    </row>
    <row r="723" spans="1:56">
      <c r="A723" t="s">
        <v>882</v>
      </c>
      <c r="B723" t="s">
        <v>64</v>
      </c>
      <c r="C723">
        <v>72</v>
      </c>
      <c r="D723" t="s">
        <v>65</v>
      </c>
      <c r="E723" t="s">
        <v>60</v>
      </c>
      <c r="F723" t="s">
        <v>61</v>
      </c>
      <c r="G723">
        <v>30000</v>
      </c>
      <c r="H723">
        <v>0.5</v>
      </c>
      <c r="I723">
        <v>0.5</v>
      </c>
      <c r="J723">
        <v>0</v>
      </c>
      <c r="K723">
        <v>1</v>
      </c>
      <c r="L723">
        <v>2000000</v>
      </c>
      <c r="M723">
        <v>48</v>
      </c>
      <c r="N723">
        <v>48</v>
      </c>
      <c r="O723">
        <v>48</v>
      </c>
      <c r="P723">
        <v>0</v>
      </c>
      <c r="Q723" t="s">
        <v>62</v>
      </c>
      <c r="R723">
        <v>1001599485921</v>
      </c>
      <c r="S723">
        <v>1000780</v>
      </c>
      <c r="T723">
        <v>1001599485921</v>
      </c>
      <c r="U723">
        <v>1000780</v>
      </c>
      <c r="V723" t="s">
        <v>75</v>
      </c>
      <c r="W723">
        <v>6</v>
      </c>
      <c r="X723">
        <v>67348</v>
      </c>
      <c r="Y723">
        <v>1104677</v>
      </c>
      <c r="Z723">
        <v>1172025</v>
      </c>
      <c r="AA723">
        <v>1000780</v>
      </c>
      <c r="AB723">
        <v>17.4025</v>
      </c>
      <c r="AC723">
        <v>0.90594799999999998</v>
      </c>
      <c r="AD723">
        <v>1.85389</v>
      </c>
      <c r="AE723">
        <v>3.0747100000000001</v>
      </c>
      <c r="AF723">
        <v>23131536</v>
      </c>
      <c r="AG723" t="s">
        <v>883</v>
      </c>
      <c r="AH723" t="s">
        <v>884</v>
      </c>
      <c r="AI723">
        <v>15766</v>
      </c>
      <c r="AJ723">
        <v>331500</v>
      </c>
      <c r="AM723">
        <v>3600824951</v>
      </c>
      <c r="AN723">
        <v>0</v>
      </c>
      <c r="AO723">
        <v>36372893</v>
      </c>
      <c r="AP723">
        <v>3600824951</v>
      </c>
      <c r="AQ723">
        <v>3637197844</v>
      </c>
      <c r="AR723">
        <v>120027498</v>
      </c>
      <c r="AS723">
        <v>0</v>
      </c>
      <c r="AT723">
        <v>1212429</v>
      </c>
      <c r="AU723">
        <v>120027498</v>
      </c>
      <c r="AV723">
        <v>121239928</v>
      </c>
      <c r="AW723">
        <v>8.4709500000000002</v>
      </c>
      <c r="AX723">
        <v>0.11371100000000001</v>
      </c>
      <c r="AY723">
        <v>1097.49</v>
      </c>
      <c r="AZ723">
        <v>404.483</v>
      </c>
      <c r="BA723">
        <v>1214</v>
      </c>
      <c r="BB723">
        <v>34</v>
      </c>
      <c r="BC723" t="str">
        <f t="shared" si="22"/>
        <v>u=1%, k=2x10^6</v>
      </c>
      <c r="BD723" t="str">
        <f t="shared" si="23"/>
        <v>72</v>
      </c>
    </row>
    <row r="724" spans="1:56">
      <c r="A724" t="s">
        <v>885</v>
      </c>
      <c r="B724" t="s">
        <v>64</v>
      </c>
      <c r="C724">
        <v>72</v>
      </c>
      <c r="D724" t="s">
        <v>65</v>
      </c>
      <c r="E724" t="s">
        <v>60</v>
      </c>
      <c r="F724" t="s">
        <v>61</v>
      </c>
      <c r="G724">
        <v>30000</v>
      </c>
      <c r="H724">
        <v>0.5</v>
      </c>
      <c r="I724">
        <v>0.5</v>
      </c>
      <c r="J724">
        <v>0</v>
      </c>
      <c r="K724">
        <v>1</v>
      </c>
      <c r="L724">
        <v>2000000</v>
      </c>
      <c r="M724">
        <v>96</v>
      </c>
      <c r="N724">
        <v>96</v>
      </c>
      <c r="O724">
        <v>96</v>
      </c>
      <c r="P724">
        <v>0</v>
      </c>
      <c r="Q724" t="s">
        <v>62</v>
      </c>
      <c r="R724">
        <v>999902394419</v>
      </c>
      <c r="S724">
        <v>1000155</v>
      </c>
      <c r="T724">
        <v>999902394419</v>
      </c>
      <c r="U724">
        <v>1000155</v>
      </c>
      <c r="V724" t="s">
        <v>75</v>
      </c>
      <c r="W724">
        <v>6</v>
      </c>
      <c r="X724">
        <v>62231</v>
      </c>
      <c r="Y724">
        <v>1091842</v>
      </c>
      <c r="Z724">
        <v>1154073</v>
      </c>
      <c r="AA724">
        <v>1000155</v>
      </c>
      <c r="AB724">
        <v>18.545000000000002</v>
      </c>
      <c r="AC724">
        <v>0.91602499999999998</v>
      </c>
      <c r="AD724">
        <v>1.86663</v>
      </c>
      <c r="AE724">
        <v>3.0619000000000001</v>
      </c>
      <c r="AF724">
        <v>22485136</v>
      </c>
      <c r="AG724" t="s">
        <v>886</v>
      </c>
      <c r="AH724" t="s">
        <v>887</v>
      </c>
      <c r="AI724">
        <v>77426</v>
      </c>
      <c r="AJ724">
        <v>152302</v>
      </c>
      <c r="AM724">
        <v>6575618484</v>
      </c>
      <c r="AN724">
        <v>0</v>
      </c>
      <c r="AO724">
        <v>66418238</v>
      </c>
      <c r="AP724">
        <v>6575618484</v>
      </c>
      <c r="AQ724">
        <v>6642036722</v>
      </c>
      <c r="AR724">
        <v>219187282</v>
      </c>
      <c r="AS724">
        <v>0</v>
      </c>
      <c r="AT724">
        <v>2213941</v>
      </c>
      <c r="AU724">
        <v>219187282</v>
      </c>
      <c r="AV724">
        <v>221401224</v>
      </c>
      <c r="AW724">
        <v>8.5501900000000006</v>
      </c>
      <c r="AX724">
        <v>0.25610300000000003</v>
      </c>
      <c r="AY724">
        <v>1203.8599999999999</v>
      </c>
      <c r="AZ724">
        <v>476.89699999999999</v>
      </c>
      <c r="BA724">
        <v>1276</v>
      </c>
      <c r="BB724">
        <v>138</v>
      </c>
      <c r="BC724" t="str">
        <f t="shared" si="22"/>
        <v>u=1%, k=2x10^6</v>
      </c>
      <c r="BD724" t="str">
        <f t="shared" si="23"/>
        <v>132</v>
      </c>
    </row>
    <row r="725" spans="1:56">
      <c r="A725" t="s">
        <v>888</v>
      </c>
      <c r="B725" t="s">
        <v>64</v>
      </c>
      <c r="C725">
        <v>72</v>
      </c>
      <c r="D725" t="s">
        <v>65</v>
      </c>
      <c r="E725" t="s">
        <v>60</v>
      </c>
      <c r="F725" t="s">
        <v>61</v>
      </c>
      <c r="G725">
        <v>30000</v>
      </c>
      <c r="H725">
        <v>0.5</v>
      </c>
      <c r="I725">
        <v>0.5</v>
      </c>
      <c r="J725">
        <v>0</v>
      </c>
      <c r="K725">
        <v>1</v>
      </c>
      <c r="L725">
        <v>2000000</v>
      </c>
      <c r="M725">
        <v>144</v>
      </c>
      <c r="N725">
        <v>144</v>
      </c>
      <c r="O725">
        <v>144</v>
      </c>
      <c r="P725">
        <v>0</v>
      </c>
      <c r="Q725" t="s">
        <v>62</v>
      </c>
      <c r="R725">
        <v>1000219414222</v>
      </c>
      <c r="S725">
        <v>1000424</v>
      </c>
      <c r="T725">
        <v>1000219414222</v>
      </c>
      <c r="U725">
        <v>1000424</v>
      </c>
      <c r="V725" t="s">
        <v>75</v>
      </c>
      <c r="W725">
        <v>6</v>
      </c>
      <c r="X725">
        <v>51166</v>
      </c>
      <c r="Y725">
        <v>1068810</v>
      </c>
      <c r="Z725">
        <v>1119976</v>
      </c>
      <c r="AA725">
        <v>1000424</v>
      </c>
      <c r="AB725">
        <v>21.889099999999999</v>
      </c>
      <c r="AC725">
        <v>0.93601699999999999</v>
      </c>
      <c r="AD725">
        <v>1.8932500000000001</v>
      </c>
      <c r="AE725">
        <v>3.0373000000000001</v>
      </c>
      <c r="AF725">
        <v>21205520</v>
      </c>
      <c r="AG725" t="s">
        <v>889</v>
      </c>
      <c r="AH725" t="s">
        <v>890</v>
      </c>
      <c r="AI725">
        <v>182483</v>
      </c>
      <c r="AJ725">
        <v>96544</v>
      </c>
      <c r="AM725">
        <v>9307172936</v>
      </c>
      <c r="AN725">
        <v>0</v>
      </c>
      <c r="AO725">
        <v>93999505</v>
      </c>
      <c r="AP725">
        <v>9307172936</v>
      </c>
      <c r="AQ725">
        <v>9401172441</v>
      </c>
      <c r="AR725">
        <v>310239097</v>
      </c>
      <c r="AS725">
        <v>0</v>
      </c>
      <c r="AT725">
        <v>3133316</v>
      </c>
      <c r="AU725">
        <v>310239097</v>
      </c>
      <c r="AV725">
        <v>313372414</v>
      </c>
      <c r="AW725">
        <v>8.6755399999999998</v>
      </c>
      <c r="AX725">
        <v>0.36468400000000001</v>
      </c>
      <c r="AY725">
        <v>1263.07</v>
      </c>
      <c r="AZ725">
        <v>531.62900000000002</v>
      </c>
      <c r="BA725">
        <v>1348</v>
      </c>
      <c r="BB725">
        <v>245</v>
      </c>
      <c r="BC725" t="str">
        <f t="shared" si="22"/>
        <v>u=1%, k=2x10^6</v>
      </c>
      <c r="BD725" t="str">
        <f t="shared" si="23"/>
        <v>188</v>
      </c>
    </row>
    <row r="726" spans="1:56">
      <c r="A726" t="s">
        <v>891</v>
      </c>
      <c r="B726" t="s">
        <v>64</v>
      </c>
      <c r="C726">
        <v>72</v>
      </c>
      <c r="D726" t="s">
        <v>65</v>
      </c>
      <c r="E726" t="s">
        <v>60</v>
      </c>
      <c r="F726" t="s">
        <v>61</v>
      </c>
      <c r="G726">
        <v>30000</v>
      </c>
      <c r="H726">
        <v>0.5</v>
      </c>
      <c r="I726">
        <v>0.5</v>
      </c>
      <c r="J726">
        <v>0</v>
      </c>
      <c r="K726">
        <v>1</v>
      </c>
      <c r="L726">
        <v>2000000</v>
      </c>
      <c r="M726">
        <v>190</v>
      </c>
      <c r="N726">
        <v>190</v>
      </c>
      <c r="O726">
        <v>190</v>
      </c>
      <c r="P726">
        <v>0</v>
      </c>
      <c r="Q726" t="s">
        <v>62</v>
      </c>
      <c r="R726">
        <v>1000180919672</v>
      </c>
      <c r="S726">
        <v>999847</v>
      </c>
      <c r="T726">
        <v>1000180919672</v>
      </c>
      <c r="U726">
        <v>999847</v>
      </c>
      <c r="V726" t="s">
        <v>75</v>
      </c>
      <c r="W726">
        <v>6</v>
      </c>
      <c r="X726">
        <v>52180</v>
      </c>
      <c r="Y726">
        <v>1071078</v>
      </c>
      <c r="Z726">
        <v>1123258</v>
      </c>
      <c r="AA726">
        <v>999847</v>
      </c>
      <c r="AB726">
        <v>21.526599999999998</v>
      </c>
      <c r="AC726">
        <v>0.93349599999999999</v>
      </c>
      <c r="AD726">
        <v>1.8901300000000001</v>
      </c>
      <c r="AE726">
        <v>3.04</v>
      </c>
      <c r="AF726">
        <v>21330544</v>
      </c>
      <c r="AG726" t="s">
        <v>892</v>
      </c>
      <c r="AH726" t="s">
        <v>893</v>
      </c>
      <c r="AI726">
        <v>259832</v>
      </c>
      <c r="AJ726">
        <v>79796</v>
      </c>
      <c r="AM726">
        <v>11495600490</v>
      </c>
      <c r="AN726">
        <v>0</v>
      </c>
      <c r="AO726">
        <v>116130737</v>
      </c>
      <c r="AP726">
        <v>11495600490</v>
      </c>
      <c r="AQ726">
        <v>11611731227</v>
      </c>
      <c r="AR726">
        <v>383186683</v>
      </c>
      <c r="AS726">
        <v>0</v>
      </c>
      <c r="AT726">
        <v>3871024</v>
      </c>
      <c r="AU726">
        <v>383186683</v>
      </c>
      <c r="AV726">
        <v>387057707</v>
      </c>
      <c r="AW726">
        <v>8.7907100000000007</v>
      </c>
      <c r="AX726">
        <v>0.42146800000000001</v>
      </c>
      <c r="AY726">
        <v>1355.94</v>
      </c>
      <c r="AZ726">
        <v>609.40700000000004</v>
      </c>
      <c r="BA726">
        <v>1418</v>
      </c>
      <c r="BB726">
        <v>315</v>
      </c>
      <c r="BC726" t="str">
        <f t="shared" si="22"/>
        <v>u=1%, k=2x10^6</v>
      </c>
      <c r="BD726" t="str">
        <f t="shared" si="23"/>
        <v>232</v>
      </c>
    </row>
    <row r="727" spans="1:56">
      <c r="A727" t="s">
        <v>894</v>
      </c>
      <c r="B727" t="s">
        <v>66</v>
      </c>
      <c r="C727">
        <v>208</v>
      </c>
      <c r="D727" t="s">
        <v>65</v>
      </c>
      <c r="E727" t="s">
        <v>60</v>
      </c>
      <c r="F727" t="s">
        <v>61</v>
      </c>
      <c r="G727">
        <v>30000</v>
      </c>
      <c r="H727">
        <v>0.5</v>
      </c>
      <c r="I727">
        <v>0.5</v>
      </c>
      <c r="J727">
        <v>0</v>
      </c>
      <c r="K727">
        <v>1</v>
      </c>
      <c r="L727">
        <v>2000000</v>
      </c>
      <c r="M727">
        <v>24</v>
      </c>
      <c r="N727">
        <v>24</v>
      </c>
      <c r="O727">
        <v>24</v>
      </c>
      <c r="P727">
        <v>0</v>
      </c>
      <c r="Q727" t="s">
        <v>62</v>
      </c>
      <c r="R727">
        <v>999481365559</v>
      </c>
      <c r="S727">
        <v>999630</v>
      </c>
      <c r="T727">
        <v>999481365559</v>
      </c>
      <c r="U727">
        <v>999630</v>
      </c>
      <c r="V727" t="s">
        <v>75</v>
      </c>
      <c r="W727">
        <v>8</v>
      </c>
      <c r="X727">
        <v>27909</v>
      </c>
      <c r="Y727">
        <v>188439</v>
      </c>
      <c r="Z727">
        <v>216348</v>
      </c>
      <c r="AA727">
        <v>999630</v>
      </c>
      <c r="AB727">
        <v>7.7519099999999996</v>
      </c>
      <c r="AC727">
        <v>5.3047899999999997</v>
      </c>
      <c r="AD727">
        <v>5.6204700000000001</v>
      </c>
      <c r="AE727">
        <v>7</v>
      </c>
      <c r="AF727">
        <v>45000384</v>
      </c>
      <c r="AJ727" t="s">
        <v>895</v>
      </c>
      <c r="AM727">
        <v>1776416869</v>
      </c>
      <c r="AN727">
        <v>0</v>
      </c>
      <c r="AO727">
        <v>17939134</v>
      </c>
      <c r="AP727">
        <v>1776416869</v>
      </c>
      <c r="AQ727">
        <v>1794356003</v>
      </c>
      <c r="AR727">
        <v>59213895</v>
      </c>
      <c r="AS727">
        <v>0</v>
      </c>
      <c r="AT727">
        <v>597971</v>
      </c>
      <c r="AU727">
        <v>59213895</v>
      </c>
      <c r="AV727">
        <v>59811866</v>
      </c>
      <c r="AW727">
        <v>9.5296099999999999</v>
      </c>
      <c r="AX727">
        <v>0.73217299999999996</v>
      </c>
      <c r="AY727">
        <v>1119.03</v>
      </c>
      <c r="AZ727">
        <v>328.255</v>
      </c>
      <c r="BA727">
        <v>1117</v>
      </c>
      <c r="BB727">
        <v>156</v>
      </c>
      <c r="BC727" t="str">
        <f t="shared" si="22"/>
        <v>u=1%, k=2x10^6</v>
      </c>
      <c r="BD727">
        <f t="shared" si="23"/>
        <v>0</v>
      </c>
    </row>
    <row r="728" spans="1:56">
      <c r="A728" t="s">
        <v>896</v>
      </c>
      <c r="B728" t="s">
        <v>66</v>
      </c>
      <c r="C728">
        <v>208</v>
      </c>
      <c r="D728" t="s">
        <v>65</v>
      </c>
      <c r="E728" t="s">
        <v>60</v>
      </c>
      <c r="F728" t="s">
        <v>61</v>
      </c>
      <c r="G728">
        <v>30000</v>
      </c>
      <c r="H728">
        <v>0.5</v>
      </c>
      <c r="I728">
        <v>0.5</v>
      </c>
      <c r="J728">
        <v>0</v>
      </c>
      <c r="K728">
        <v>1</v>
      </c>
      <c r="L728">
        <v>2000000</v>
      </c>
      <c r="M728">
        <v>48</v>
      </c>
      <c r="N728">
        <v>48</v>
      </c>
      <c r="O728">
        <v>48</v>
      </c>
      <c r="P728">
        <v>0</v>
      </c>
      <c r="Q728" t="s">
        <v>62</v>
      </c>
      <c r="R728">
        <v>1000573981359</v>
      </c>
      <c r="S728">
        <v>1000015</v>
      </c>
      <c r="T728">
        <v>1000573981359</v>
      </c>
      <c r="U728">
        <v>1000015</v>
      </c>
      <c r="V728" t="s">
        <v>75</v>
      </c>
      <c r="W728">
        <v>8</v>
      </c>
      <c r="X728">
        <v>29085</v>
      </c>
      <c r="Y728">
        <v>193955</v>
      </c>
      <c r="Z728">
        <v>223040</v>
      </c>
      <c r="AA728">
        <v>1000015</v>
      </c>
      <c r="AB728">
        <v>7.6685600000000003</v>
      </c>
      <c r="AC728">
        <v>5.1559100000000004</v>
      </c>
      <c r="AD728">
        <v>5.4835700000000003</v>
      </c>
      <c r="AE728">
        <v>7</v>
      </c>
      <c r="AF728">
        <v>46392320</v>
      </c>
      <c r="AJ728" t="s">
        <v>897</v>
      </c>
      <c r="AM728">
        <v>2794097708</v>
      </c>
      <c r="AN728">
        <v>0</v>
      </c>
      <c r="AO728">
        <v>28219471</v>
      </c>
      <c r="AP728">
        <v>2794097708</v>
      </c>
      <c r="AQ728">
        <v>2822317179</v>
      </c>
      <c r="AR728">
        <v>93136590</v>
      </c>
      <c r="AS728">
        <v>0</v>
      </c>
      <c r="AT728">
        <v>940649</v>
      </c>
      <c r="AU728">
        <v>93136590</v>
      </c>
      <c r="AV728">
        <v>94077239</v>
      </c>
      <c r="AW728">
        <v>9.5071100000000008</v>
      </c>
      <c r="AX728">
        <v>0.79060799999999998</v>
      </c>
      <c r="AY728">
        <v>1394.85</v>
      </c>
      <c r="AZ728">
        <v>547.97699999999998</v>
      </c>
      <c r="BA728">
        <v>1128</v>
      </c>
      <c r="BB728">
        <v>188</v>
      </c>
      <c r="BC728" t="str">
        <f t="shared" si="22"/>
        <v>u=1%, k=2x10^6</v>
      </c>
      <c r="BD728">
        <f t="shared" si="23"/>
        <v>0</v>
      </c>
    </row>
    <row r="729" spans="1:56">
      <c r="A729" t="s">
        <v>898</v>
      </c>
      <c r="B729" t="s">
        <v>66</v>
      </c>
      <c r="C729">
        <v>208</v>
      </c>
      <c r="D729" t="s">
        <v>65</v>
      </c>
      <c r="E729" t="s">
        <v>60</v>
      </c>
      <c r="F729" t="s">
        <v>61</v>
      </c>
      <c r="G729">
        <v>30000</v>
      </c>
      <c r="H729">
        <v>0.5</v>
      </c>
      <c r="I729">
        <v>0.5</v>
      </c>
      <c r="J729">
        <v>0</v>
      </c>
      <c r="K729">
        <v>1</v>
      </c>
      <c r="L729">
        <v>2000000</v>
      </c>
      <c r="M729">
        <v>96</v>
      </c>
      <c r="N729">
        <v>96</v>
      </c>
      <c r="O729">
        <v>96</v>
      </c>
      <c r="P729">
        <v>0</v>
      </c>
      <c r="Q729" t="s">
        <v>62</v>
      </c>
      <c r="R729">
        <v>999655284980</v>
      </c>
      <c r="S729">
        <v>999554</v>
      </c>
      <c r="T729">
        <v>999655284980</v>
      </c>
      <c r="U729">
        <v>999554</v>
      </c>
      <c r="V729" t="s">
        <v>75</v>
      </c>
      <c r="W729">
        <v>8</v>
      </c>
      <c r="X729">
        <v>30812</v>
      </c>
      <c r="Y729">
        <v>196305</v>
      </c>
      <c r="Z729">
        <v>227117</v>
      </c>
      <c r="AA729">
        <v>999554</v>
      </c>
      <c r="AB729">
        <v>7.3710599999999999</v>
      </c>
      <c r="AC729">
        <v>5.0918400000000004</v>
      </c>
      <c r="AD729">
        <v>5.4010499999999997</v>
      </c>
      <c r="AE729">
        <v>7</v>
      </c>
      <c r="AF729">
        <v>47240336</v>
      </c>
      <c r="AJ729">
        <v>125004</v>
      </c>
      <c r="AM729">
        <v>5468545619</v>
      </c>
      <c r="AN729">
        <v>0</v>
      </c>
      <c r="AO729">
        <v>55222878</v>
      </c>
      <c r="AP729">
        <v>5468545619</v>
      </c>
      <c r="AQ729">
        <v>5523768497</v>
      </c>
      <c r="AR729">
        <v>182284853</v>
      </c>
      <c r="AS729">
        <v>0</v>
      </c>
      <c r="AT729">
        <v>1840762</v>
      </c>
      <c r="AU729">
        <v>182284853</v>
      </c>
      <c r="AV729">
        <v>184125616</v>
      </c>
      <c r="AW729">
        <v>9.7738399999999999</v>
      </c>
      <c r="AX729">
        <v>1.1081700000000001</v>
      </c>
      <c r="AY729">
        <v>1412.45</v>
      </c>
      <c r="AZ729">
        <v>529.50900000000001</v>
      </c>
      <c r="BA729">
        <v>1146</v>
      </c>
      <c r="BB729">
        <v>368</v>
      </c>
      <c r="BC729" t="str">
        <f t="shared" si="22"/>
        <v>u=1%, k=2x10^6</v>
      </c>
      <c r="BD729">
        <f t="shared" si="23"/>
        <v>0</v>
      </c>
    </row>
    <row r="730" spans="1:56">
      <c r="A730" t="s">
        <v>899</v>
      </c>
      <c r="B730" t="s">
        <v>66</v>
      </c>
      <c r="C730">
        <v>208</v>
      </c>
      <c r="D730" t="s">
        <v>65</v>
      </c>
      <c r="E730" t="s">
        <v>60</v>
      </c>
      <c r="F730" t="s">
        <v>61</v>
      </c>
      <c r="G730">
        <v>30000</v>
      </c>
      <c r="H730">
        <v>0.5</v>
      </c>
      <c r="I730">
        <v>0.5</v>
      </c>
      <c r="J730">
        <v>0</v>
      </c>
      <c r="K730">
        <v>1</v>
      </c>
      <c r="L730">
        <v>2000000</v>
      </c>
      <c r="M730">
        <v>144</v>
      </c>
      <c r="N730">
        <v>144</v>
      </c>
      <c r="O730">
        <v>144</v>
      </c>
      <c r="P730">
        <v>0</v>
      </c>
      <c r="Q730" t="s">
        <v>62</v>
      </c>
      <c r="R730">
        <v>1000966988600</v>
      </c>
      <c r="S730">
        <v>1000658</v>
      </c>
      <c r="T730">
        <v>1000966988600</v>
      </c>
      <c r="U730">
        <v>1000658</v>
      </c>
      <c r="V730" t="s">
        <v>75</v>
      </c>
      <c r="W730">
        <v>8</v>
      </c>
      <c r="X730">
        <v>31645</v>
      </c>
      <c r="Y730">
        <v>196174</v>
      </c>
      <c r="Z730">
        <v>227819</v>
      </c>
      <c r="AA730">
        <v>1000658</v>
      </c>
      <c r="AB730">
        <v>7.1992099999999999</v>
      </c>
      <c r="AC730">
        <v>5.1008699999999996</v>
      </c>
      <c r="AD730">
        <v>5.3923399999999999</v>
      </c>
      <c r="AE730">
        <v>7</v>
      </c>
      <c r="AF730">
        <v>47386352</v>
      </c>
      <c r="AJ730">
        <v>81918</v>
      </c>
      <c r="AM730">
        <v>8044351370</v>
      </c>
      <c r="AN730">
        <v>0</v>
      </c>
      <c r="AO730">
        <v>81245220</v>
      </c>
      <c r="AP730">
        <v>8044351370</v>
      </c>
      <c r="AQ730">
        <v>8125596590</v>
      </c>
      <c r="AR730">
        <v>268145045</v>
      </c>
      <c r="AS730">
        <v>0</v>
      </c>
      <c r="AT730">
        <v>2708174</v>
      </c>
      <c r="AU730">
        <v>268145045</v>
      </c>
      <c r="AV730">
        <v>270853219</v>
      </c>
      <c r="AW730">
        <v>10.048</v>
      </c>
      <c r="AX730">
        <v>1.23068</v>
      </c>
      <c r="AY730">
        <v>1427.68</v>
      </c>
      <c r="AZ730">
        <v>538.73099999999999</v>
      </c>
      <c r="BA730">
        <v>1160</v>
      </c>
      <c r="BB730">
        <v>258</v>
      </c>
      <c r="BC730" t="str">
        <f t="shared" si="22"/>
        <v>u=1%, k=2x10^6</v>
      </c>
      <c r="BD730">
        <f t="shared" si="23"/>
        <v>0</v>
      </c>
    </row>
    <row r="731" spans="1:56">
      <c r="A731" t="s">
        <v>900</v>
      </c>
      <c r="B731" t="s">
        <v>66</v>
      </c>
      <c r="C731">
        <v>208</v>
      </c>
      <c r="D731" t="s">
        <v>65</v>
      </c>
      <c r="E731" t="s">
        <v>60</v>
      </c>
      <c r="F731" t="s">
        <v>61</v>
      </c>
      <c r="G731">
        <v>30000</v>
      </c>
      <c r="H731">
        <v>0.5</v>
      </c>
      <c r="I731">
        <v>0.5</v>
      </c>
      <c r="J731">
        <v>0</v>
      </c>
      <c r="K731">
        <v>1</v>
      </c>
      <c r="L731">
        <v>2000000</v>
      </c>
      <c r="M731">
        <v>190</v>
      </c>
      <c r="N731">
        <v>190</v>
      </c>
      <c r="O731">
        <v>190</v>
      </c>
      <c r="P731">
        <v>0</v>
      </c>
      <c r="Q731" t="s">
        <v>62</v>
      </c>
      <c r="R731">
        <v>1000209696123</v>
      </c>
      <c r="S731">
        <v>1000044</v>
      </c>
      <c r="T731">
        <v>1000209696123</v>
      </c>
      <c r="U731">
        <v>1000044</v>
      </c>
      <c r="V731" t="s">
        <v>75</v>
      </c>
      <c r="W731">
        <v>8</v>
      </c>
      <c r="X731">
        <v>32101</v>
      </c>
      <c r="Y731">
        <v>195806</v>
      </c>
      <c r="Z731">
        <v>227907</v>
      </c>
      <c r="AA731">
        <v>1000044</v>
      </c>
      <c r="AB731">
        <v>7.0996899999999998</v>
      </c>
      <c r="AC731">
        <v>5.1073199999999996</v>
      </c>
      <c r="AD731">
        <v>5.38795</v>
      </c>
      <c r="AE731">
        <v>7</v>
      </c>
      <c r="AF731">
        <v>47404656</v>
      </c>
      <c r="AJ731">
        <v>70994</v>
      </c>
      <c r="AM731">
        <v>10506400485</v>
      </c>
      <c r="AN731">
        <v>0</v>
      </c>
      <c r="AO731">
        <v>106121322</v>
      </c>
      <c r="AP731">
        <v>10506400485</v>
      </c>
      <c r="AQ731">
        <v>10612521807</v>
      </c>
      <c r="AR731">
        <v>350213349</v>
      </c>
      <c r="AS731">
        <v>0</v>
      </c>
      <c r="AT731">
        <v>3537377</v>
      </c>
      <c r="AU731">
        <v>350213349</v>
      </c>
      <c r="AV731">
        <v>353750726</v>
      </c>
      <c r="AW731">
        <v>10.282500000000001</v>
      </c>
      <c r="AX731">
        <v>1.3006800000000001</v>
      </c>
      <c r="AY731">
        <v>1446.33</v>
      </c>
      <c r="AZ731">
        <v>549.84</v>
      </c>
      <c r="BA731">
        <v>1175</v>
      </c>
      <c r="BB731">
        <v>315</v>
      </c>
      <c r="BC731" t="str">
        <f t="shared" si="22"/>
        <v>u=1%, k=2x10^6</v>
      </c>
      <c r="BD731">
        <f t="shared" si="23"/>
        <v>0</v>
      </c>
    </row>
    <row r="732" spans="1:56">
      <c r="A732" t="s">
        <v>901</v>
      </c>
      <c r="B732" t="s">
        <v>67</v>
      </c>
      <c r="D732" t="s">
        <v>65</v>
      </c>
      <c r="E732" t="s">
        <v>60</v>
      </c>
      <c r="F732" t="s">
        <v>61</v>
      </c>
      <c r="G732">
        <v>30000</v>
      </c>
      <c r="H732">
        <v>0.5</v>
      </c>
      <c r="I732">
        <v>0.5</v>
      </c>
      <c r="J732">
        <v>0</v>
      </c>
      <c r="K732">
        <v>1</v>
      </c>
      <c r="L732">
        <v>2000000</v>
      </c>
      <c r="M732">
        <v>24</v>
      </c>
      <c r="N732">
        <v>24</v>
      </c>
      <c r="O732">
        <v>24</v>
      </c>
      <c r="P732">
        <v>0</v>
      </c>
      <c r="Q732" t="s">
        <v>62</v>
      </c>
      <c r="R732">
        <v>998847050523</v>
      </c>
      <c r="S732">
        <v>999380</v>
      </c>
      <c r="T732">
        <v>998847050523</v>
      </c>
      <c r="U732">
        <v>999380</v>
      </c>
      <c r="V732" t="s">
        <v>75</v>
      </c>
      <c r="W732">
        <v>25</v>
      </c>
      <c r="X732">
        <v>683790</v>
      </c>
      <c r="Y732">
        <v>519000</v>
      </c>
      <c r="Z732">
        <v>1202790</v>
      </c>
      <c r="AA732">
        <v>999380</v>
      </c>
      <c r="AB732">
        <v>1.7589999999999999</v>
      </c>
      <c r="AC732">
        <v>1.9255899999999999</v>
      </c>
      <c r="AD732">
        <v>1.8308800000000001</v>
      </c>
      <c r="AE732">
        <v>19.888300000000001</v>
      </c>
      <c r="AF732">
        <v>67356240</v>
      </c>
      <c r="AJ732" t="s">
        <v>902</v>
      </c>
      <c r="AM732">
        <v>860026823</v>
      </c>
      <c r="AN732">
        <v>0</v>
      </c>
      <c r="AO732">
        <v>8686953</v>
      </c>
      <c r="AP732">
        <v>860026823</v>
      </c>
      <c r="AQ732">
        <v>868713776</v>
      </c>
      <c r="AR732">
        <v>28667560</v>
      </c>
      <c r="AS732">
        <v>0</v>
      </c>
      <c r="AT732">
        <v>289565</v>
      </c>
      <c r="AU732">
        <v>28667560</v>
      </c>
      <c r="AV732">
        <v>28957125</v>
      </c>
      <c r="AW732">
        <v>15.379899999999999</v>
      </c>
      <c r="AX732">
        <v>2.2372299999999998</v>
      </c>
      <c r="AY732">
        <v>2311.92</v>
      </c>
      <c r="AZ732">
        <v>1219.0899999999999</v>
      </c>
      <c r="BA732">
        <v>1146</v>
      </c>
      <c r="BB732">
        <v>189</v>
      </c>
      <c r="BC732" t="str">
        <f t="shared" si="22"/>
        <v>u=1%, k=2x10^6</v>
      </c>
      <c r="BD732">
        <f t="shared" si="23"/>
        <v>0</v>
      </c>
    </row>
    <row r="733" spans="1:56">
      <c r="A733" t="s">
        <v>903</v>
      </c>
      <c r="B733" t="s">
        <v>67</v>
      </c>
      <c r="D733" t="s">
        <v>65</v>
      </c>
      <c r="E733" t="s">
        <v>60</v>
      </c>
      <c r="F733" t="s">
        <v>61</v>
      </c>
      <c r="G733">
        <v>30000</v>
      </c>
      <c r="H733">
        <v>0.5</v>
      </c>
      <c r="I733">
        <v>0.5</v>
      </c>
      <c r="J733">
        <v>0</v>
      </c>
      <c r="K733">
        <v>1</v>
      </c>
      <c r="L733">
        <v>2000000</v>
      </c>
      <c r="M733">
        <v>48</v>
      </c>
      <c r="N733">
        <v>48</v>
      </c>
      <c r="O733">
        <v>48</v>
      </c>
      <c r="P733">
        <v>0</v>
      </c>
      <c r="Q733" t="s">
        <v>62</v>
      </c>
      <c r="R733">
        <v>999762803195</v>
      </c>
      <c r="S733">
        <v>1000136</v>
      </c>
      <c r="T733">
        <v>999762803195</v>
      </c>
      <c r="U733">
        <v>1000136</v>
      </c>
      <c r="V733" t="s">
        <v>75</v>
      </c>
      <c r="W733">
        <v>25</v>
      </c>
      <c r="X733">
        <v>685699</v>
      </c>
      <c r="Y733">
        <v>520282</v>
      </c>
      <c r="Z733">
        <v>1205981</v>
      </c>
      <c r="AA733">
        <v>1000136</v>
      </c>
      <c r="AB733">
        <v>1.7587600000000001</v>
      </c>
      <c r="AC733">
        <v>1.9222999999999999</v>
      </c>
      <c r="AD733">
        <v>1.82931</v>
      </c>
      <c r="AE733">
        <v>19.870200000000001</v>
      </c>
      <c r="AF733">
        <v>67534936</v>
      </c>
      <c r="AJ733" t="s">
        <v>904</v>
      </c>
      <c r="AM733">
        <v>1486950305</v>
      </c>
      <c r="AN733">
        <v>0</v>
      </c>
      <c r="AO733">
        <v>15021314</v>
      </c>
      <c r="AP733">
        <v>1486950305</v>
      </c>
      <c r="AQ733">
        <v>1501971619</v>
      </c>
      <c r="AR733">
        <v>49565010</v>
      </c>
      <c r="AS733">
        <v>0</v>
      </c>
      <c r="AT733">
        <v>500710</v>
      </c>
      <c r="AU733">
        <v>49565010</v>
      </c>
      <c r="AV733">
        <v>50065720</v>
      </c>
      <c r="AW733">
        <v>16.3369</v>
      </c>
      <c r="AX733">
        <v>2.35507</v>
      </c>
      <c r="AY733">
        <v>2669.36</v>
      </c>
      <c r="AZ733">
        <v>1454.87</v>
      </c>
      <c r="BA733">
        <v>1151</v>
      </c>
      <c r="BB733">
        <v>228</v>
      </c>
      <c r="BC733" t="str">
        <f t="shared" si="22"/>
        <v>u=1%, k=2x10^6</v>
      </c>
      <c r="BD733">
        <f t="shared" si="23"/>
        <v>0</v>
      </c>
    </row>
    <row r="734" spans="1:56">
      <c r="A734" t="s">
        <v>905</v>
      </c>
      <c r="B734" t="s">
        <v>67</v>
      </c>
      <c r="D734" t="s">
        <v>65</v>
      </c>
      <c r="E734" t="s">
        <v>60</v>
      </c>
      <c r="F734" t="s">
        <v>61</v>
      </c>
      <c r="G734">
        <v>30000</v>
      </c>
      <c r="H734">
        <v>0.5</v>
      </c>
      <c r="I734">
        <v>0.5</v>
      </c>
      <c r="J734">
        <v>0</v>
      </c>
      <c r="K734">
        <v>1</v>
      </c>
      <c r="L734">
        <v>2000000</v>
      </c>
      <c r="M734">
        <v>96</v>
      </c>
      <c r="N734">
        <v>96</v>
      </c>
      <c r="O734">
        <v>96</v>
      </c>
      <c r="P734">
        <v>0</v>
      </c>
      <c r="Q734" t="s">
        <v>62</v>
      </c>
      <c r="R734">
        <v>1000154236496</v>
      </c>
      <c r="S734">
        <v>999609</v>
      </c>
      <c r="T734">
        <v>1000154236496</v>
      </c>
      <c r="U734">
        <v>999609</v>
      </c>
      <c r="V734" t="s">
        <v>75</v>
      </c>
      <c r="W734">
        <v>25</v>
      </c>
      <c r="X734">
        <v>685388</v>
      </c>
      <c r="Y734">
        <v>520557</v>
      </c>
      <c r="Z734">
        <v>1205945</v>
      </c>
      <c r="AA734">
        <v>999609</v>
      </c>
      <c r="AB734">
        <v>1.7595099999999999</v>
      </c>
      <c r="AC734">
        <v>1.9202699999999999</v>
      </c>
      <c r="AD734">
        <v>1.8289</v>
      </c>
      <c r="AE734">
        <v>19.838799999999999</v>
      </c>
      <c r="AF734">
        <v>67532920</v>
      </c>
      <c r="AJ734" t="s">
        <v>906</v>
      </c>
      <c r="AM734">
        <v>3103393182</v>
      </c>
      <c r="AN734">
        <v>0</v>
      </c>
      <c r="AO734">
        <v>31351667</v>
      </c>
      <c r="AP734">
        <v>3103393182</v>
      </c>
      <c r="AQ734">
        <v>3134744849</v>
      </c>
      <c r="AR734">
        <v>103446439</v>
      </c>
      <c r="AS734">
        <v>0</v>
      </c>
      <c r="AT734">
        <v>1045055</v>
      </c>
      <c r="AU734">
        <v>103446439</v>
      </c>
      <c r="AV734">
        <v>104491494</v>
      </c>
      <c r="AW734">
        <v>16.549700000000001</v>
      </c>
      <c r="AX734">
        <v>2.7312799999999999</v>
      </c>
      <c r="AY734">
        <v>2541.15</v>
      </c>
      <c r="AZ734">
        <v>1276.6300000000001</v>
      </c>
      <c r="BA734">
        <v>1163</v>
      </c>
      <c r="BB734">
        <v>343</v>
      </c>
      <c r="BC734" t="str">
        <f t="shared" si="22"/>
        <v>u=1%, k=2x10^6</v>
      </c>
      <c r="BD734">
        <f t="shared" si="23"/>
        <v>0</v>
      </c>
    </row>
    <row r="735" spans="1:56">
      <c r="A735" t="s">
        <v>907</v>
      </c>
      <c r="B735" t="s">
        <v>67</v>
      </c>
      <c r="D735" t="s">
        <v>65</v>
      </c>
      <c r="E735" t="s">
        <v>60</v>
      </c>
      <c r="F735" t="s">
        <v>61</v>
      </c>
      <c r="G735">
        <v>30000</v>
      </c>
      <c r="H735">
        <v>0.5</v>
      </c>
      <c r="I735">
        <v>0.5</v>
      </c>
      <c r="J735">
        <v>0</v>
      </c>
      <c r="K735">
        <v>1</v>
      </c>
      <c r="L735">
        <v>2000000</v>
      </c>
      <c r="M735">
        <v>144</v>
      </c>
      <c r="N735">
        <v>144</v>
      </c>
      <c r="O735">
        <v>144</v>
      </c>
      <c r="P735">
        <v>0</v>
      </c>
      <c r="Q735" t="s">
        <v>62</v>
      </c>
      <c r="R735">
        <v>1001345029989</v>
      </c>
      <c r="S735">
        <v>1000374</v>
      </c>
      <c r="T735">
        <v>1001345029989</v>
      </c>
      <c r="U735">
        <v>1000374</v>
      </c>
      <c r="V735" t="s">
        <v>75</v>
      </c>
      <c r="W735">
        <v>25</v>
      </c>
      <c r="X735">
        <v>686456</v>
      </c>
      <c r="Y735">
        <v>520568</v>
      </c>
      <c r="Z735">
        <v>1207024</v>
      </c>
      <c r="AA735">
        <v>1000374</v>
      </c>
      <c r="AB735">
        <v>1.75834</v>
      </c>
      <c r="AC735">
        <v>1.9217</v>
      </c>
      <c r="AD735">
        <v>1.8287899999999999</v>
      </c>
      <c r="AE735">
        <v>19.857800000000001</v>
      </c>
      <c r="AF735">
        <v>67593344</v>
      </c>
      <c r="AJ735">
        <v>46560</v>
      </c>
      <c r="AM735">
        <v>4587745456</v>
      </c>
      <c r="AN735">
        <v>0</v>
      </c>
      <c r="AO735">
        <v>46348568</v>
      </c>
      <c r="AP735">
        <v>4587745456</v>
      </c>
      <c r="AQ735">
        <v>4634094024</v>
      </c>
      <c r="AR735">
        <v>152924848</v>
      </c>
      <c r="AS735">
        <v>0</v>
      </c>
      <c r="AT735">
        <v>1544952</v>
      </c>
      <c r="AU735">
        <v>152924848</v>
      </c>
      <c r="AV735">
        <v>154469800</v>
      </c>
      <c r="AW735">
        <v>16.679400000000001</v>
      </c>
      <c r="AX735">
        <v>2.8040799999999999</v>
      </c>
      <c r="AY735">
        <v>2534.15</v>
      </c>
      <c r="AZ735">
        <v>1259.96</v>
      </c>
      <c r="BA735">
        <v>1175</v>
      </c>
      <c r="BB735">
        <v>264</v>
      </c>
      <c r="BC735" t="str">
        <f t="shared" si="22"/>
        <v>u=1%, k=2x10^6</v>
      </c>
      <c r="BD735">
        <f t="shared" si="23"/>
        <v>0</v>
      </c>
    </row>
    <row r="736" spans="1:56">
      <c r="A736" t="s">
        <v>908</v>
      </c>
      <c r="B736" t="s">
        <v>67</v>
      </c>
      <c r="D736" t="s">
        <v>65</v>
      </c>
      <c r="E736" t="s">
        <v>60</v>
      </c>
      <c r="F736" t="s">
        <v>61</v>
      </c>
      <c r="G736">
        <v>30000</v>
      </c>
      <c r="H736">
        <v>0.5</v>
      </c>
      <c r="I736">
        <v>0.5</v>
      </c>
      <c r="J736">
        <v>0</v>
      </c>
      <c r="K736">
        <v>1</v>
      </c>
      <c r="L736">
        <v>2000000</v>
      </c>
      <c r="M736">
        <v>190</v>
      </c>
      <c r="N736">
        <v>190</v>
      </c>
      <c r="O736">
        <v>190</v>
      </c>
      <c r="P736">
        <v>0</v>
      </c>
      <c r="Q736" t="s">
        <v>62</v>
      </c>
      <c r="R736">
        <v>998521309168</v>
      </c>
      <c r="S736">
        <v>998929</v>
      </c>
      <c r="T736">
        <v>998521309168</v>
      </c>
      <c r="U736">
        <v>998929</v>
      </c>
      <c r="V736" t="s">
        <v>75</v>
      </c>
      <c r="W736">
        <v>25</v>
      </c>
      <c r="X736">
        <v>685158</v>
      </c>
      <c r="Y736">
        <v>519985</v>
      </c>
      <c r="Z736">
        <v>1205143</v>
      </c>
      <c r="AA736">
        <v>998929</v>
      </c>
      <c r="AB736">
        <v>1.7589300000000001</v>
      </c>
      <c r="AC736">
        <v>1.9210700000000001</v>
      </c>
      <c r="AD736">
        <v>1.8288899999999999</v>
      </c>
      <c r="AE736">
        <v>19.8354</v>
      </c>
      <c r="AF736">
        <v>67488008</v>
      </c>
      <c r="AJ736">
        <v>38716</v>
      </c>
      <c r="AM736">
        <v>6061524639</v>
      </c>
      <c r="AN736">
        <v>0</v>
      </c>
      <c r="AO736">
        <v>61219537</v>
      </c>
      <c r="AP736">
        <v>6061524639</v>
      </c>
      <c r="AQ736">
        <v>6122744176</v>
      </c>
      <c r="AR736">
        <v>202050821</v>
      </c>
      <c r="AS736">
        <v>0</v>
      </c>
      <c r="AT736">
        <v>2040651</v>
      </c>
      <c r="AU736">
        <v>202050821</v>
      </c>
      <c r="AV736">
        <v>204091472</v>
      </c>
      <c r="AW736">
        <v>16.8035</v>
      </c>
      <c r="AX736">
        <v>2.85982</v>
      </c>
      <c r="AY736">
        <v>2531.1</v>
      </c>
      <c r="AZ736">
        <v>1257.01</v>
      </c>
      <c r="BA736">
        <v>1188</v>
      </c>
      <c r="BB736">
        <v>299</v>
      </c>
      <c r="BC736" t="str">
        <f t="shared" si="22"/>
        <v>u=1%, k=2x10^6</v>
      </c>
      <c r="BD736">
        <f t="shared" si="23"/>
        <v>0</v>
      </c>
    </row>
    <row r="737" spans="1:56">
      <c r="A737" t="s">
        <v>909</v>
      </c>
      <c r="B737" t="s">
        <v>68</v>
      </c>
      <c r="D737" t="s">
        <v>65</v>
      </c>
      <c r="E737" t="s">
        <v>60</v>
      </c>
      <c r="F737" t="s">
        <v>61</v>
      </c>
      <c r="G737">
        <v>30000</v>
      </c>
      <c r="H737">
        <v>0.5</v>
      </c>
      <c r="I737">
        <v>0.5</v>
      </c>
      <c r="J737">
        <v>0</v>
      </c>
      <c r="K737">
        <v>1</v>
      </c>
      <c r="L737">
        <v>2000000</v>
      </c>
      <c r="M737">
        <v>24</v>
      </c>
      <c r="N737">
        <v>24</v>
      </c>
      <c r="O737">
        <v>24</v>
      </c>
      <c r="P737">
        <v>0</v>
      </c>
      <c r="Q737" t="s">
        <v>62</v>
      </c>
      <c r="R737">
        <v>1000402907532</v>
      </c>
      <c r="S737">
        <v>999640</v>
      </c>
      <c r="T737">
        <v>1000402907532</v>
      </c>
      <c r="U737">
        <v>999640</v>
      </c>
      <c r="V737" t="s">
        <v>75</v>
      </c>
      <c r="W737">
        <v>52</v>
      </c>
      <c r="X737">
        <v>999639</v>
      </c>
      <c r="Y737">
        <v>999640</v>
      </c>
      <c r="Z737">
        <v>1999279</v>
      </c>
      <c r="AA737">
        <v>999640</v>
      </c>
      <c r="AB737">
        <v>2</v>
      </c>
      <c r="AC737">
        <v>1</v>
      </c>
      <c r="AD737">
        <v>1.5</v>
      </c>
      <c r="AE737">
        <v>26.471800000000002</v>
      </c>
      <c r="AF737">
        <v>63976928</v>
      </c>
      <c r="AJ737" t="s">
        <v>910</v>
      </c>
      <c r="AM737">
        <v>763866790</v>
      </c>
      <c r="AN737">
        <v>0</v>
      </c>
      <c r="AO737">
        <v>7715674</v>
      </c>
      <c r="AP737">
        <v>763866790</v>
      </c>
      <c r="AQ737">
        <v>771582464</v>
      </c>
      <c r="AR737">
        <v>25462226</v>
      </c>
      <c r="AS737">
        <v>0</v>
      </c>
      <c r="AT737">
        <v>257189</v>
      </c>
      <c r="AU737">
        <v>25462226</v>
      </c>
      <c r="AV737">
        <v>25719415</v>
      </c>
      <c r="AW737">
        <v>12.271699999999999</v>
      </c>
      <c r="AX737">
        <v>1.7756400000000001</v>
      </c>
      <c r="AY737">
        <v>2603.13</v>
      </c>
      <c r="AZ737">
        <v>1637.3</v>
      </c>
      <c r="BA737">
        <v>1135</v>
      </c>
      <c r="BB737">
        <v>178</v>
      </c>
      <c r="BC737" t="str">
        <f t="shared" si="22"/>
        <v>u=1%, k=2x10^6</v>
      </c>
      <c r="BD737">
        <f t="shared" si="23"/>
        <v>0</v>
      </c>
    </row>
    <row r="738" spans="1:56">
      <c r="A738" t="s">
        <v>911</v>
      </c>
      <c r="B738" t="s">
        <v>68</v>
      </c>
      <c r="D738" t="s">
        <v>65</v>
      </c>
      <c r="E738" t="s">
        <v>60</v>
      </c>
      <c r="F738" t="s">
        <v>61</v>
      </c>
      <c r="G738">
        <v>30000</v>
      </c>
      <c r="H738">
        <v>0.5</v>
      </c>
      <c r="I738">
        <v>0.5</v>
      </c>
      <c r="J738">
        <v>0</v>
      </c>
      <c r="K738">
        <v>1</v>
      </c>
      <c r="L738">
        <v>2000000</v>
      </c>
      <c r="M738">
        <v>48</v>
      </c>
      <c r="N738">
        <v>48</v>
      </c>
      <c r="O738">
        <v>48</v>
      </c>
      <c r="P738">
        <v>0</v>
      </c>
      <c r="Q738" t="s">
        <v>62</v>
      </c>
      <c r="R738">
        <v>1001433962084</v>
      </c>
      <c r="S738">
        <v>1001210</v>
      </c>
      <c r="T738">
        <v>1001433962084</v>
      </c>
      <c r="U738">
        <v>1001210</v>
      </c>
      <c r="V738" t="s">
        <v>75</v>
      </c>
      <c r="W738">
        <v>47</v>
      </c>
      <c r="X738">
        <v>1001209</v>
      </c>
      <c r="Y738">
        <v>1001210</v>
      </c>
      <c r="Z738">
        <v>2002419</v>
      </c>
      <c r="AA738">
        <v>1001210</v>
      </c>
      <c r="AB738">
        <v>2</v>
      </c>
      <c r="AC738">
        <v>1</v>
      </c>
      <c r="AD738">
        <v>1.5</v>
      </c>
      <c r="AE738">
        <v>25.944900000000001</v>
      </c>
      <c r="AF738">
        <v>64077408</v>
      </c>
      <c r="AJ738" t="s">
        <v>912</v>
      </c>
      <c r="AM738">
        <v>1383211875</v>
      </c>
      <c r="AN738">
        <v>0</v>
      </c>
      <c r="AO738">
        <v>13973113</v>
      </c>
      <c r="AP738">
        <v>1383211875</v>
      </c>
      <c r="AQ738">
        <v>1397184988</v>
      </c>
      <c r="AR738">
        <v>46107062</v>
      </c>
      <c r="AS738">
        <v>0</v>
      </c>
      <c r="AT738">
        <v>465770</v>
      </c>
      <c r="AU738">
        <v>46107062</v>
      </c>
      <c r="AV738">
        <v>46572832</v>
      </c>
      <c r="AW738">
        <v>12.1083</v>
      </c>
      <c r="AX738">
        <v>1.8188800000000001</v>
      </c>
      <c r="AY738">
        <v>2874.14</v>
      </c>
      <c r="AZ738">
        <v>1995.17</v>
      </c>
      <c r="BA738">
        <v>1140</v>
      </c>
      <c r="BB738">
        <v>213</v>
      </c>
      <c r="BC738" t="str">
        <f t="shared" si="22"/>
        <v>u=1%, k=2x10^6</v>
      </c>
      <c r="BD738">
        <f t="shared" si="23"/>
        <v>0</v>
      </c>
    </row>
    <row r="739" spans="1:56">
      <c r="A739" t="s">
        <v>913</v>
      </c>
      <c r="B739" t="s">
        <v>68</v>
      </c>
      <c r="D739" t="s">
        <v>65</v>
      </c>
      <c r="E739" t="s">
        <v>60</v>
      </c>
      <c r="F739" t="s">
        <v>61</v>
      </c>
      <c r="G739">
        <v>30000</v>
      </c>
      <c r="H739">
        <v>0.5</v>
      </c>
      <c r="I739">
        <v>0.5</v>
      </c>
      <c r="J739">
        <v>0</v>
      </c>
      <c r="K739">
        <v>1</v>
      </c>
      <c r="L739">
        <v>2000000</v>
      </c>
      <c r="M739">
        <v>96</v>
      </c>
      <c r="N739">
        <v>96</v>
      </c>
      <c r="O739">
        <v>96</v>
      </c>
      <c r="P739">
        <v>0</v>
      </c>
      <c r="Q739" t="s">
        <v>62</v>
      </c>
      <c r="R739">
        <v>999380098024</v>
      </c>
      <c r="S739">
        <v>999352</v>
      </c>
      <c r="T739">
        <v>999380098024</v>
      </c>
      <c r="U739">
        <v>999352</v>
      </c>
      <c r="V739" t="s">
        <v>75</v>
      </c>
      <c r="W739">
        <v>49</v>
      </c>
      <c r="X739">
        <v>999351</v>
      </c>
      <c r="Y739">
        <v>999352</v>
      </c>
      <c r="Z739">
        <v>1998703</v>
      </c>
      <c r="AA739">
        <v>999352</v>
      </c>
      <c r="AB739">
        <v>2</v>
      </c>
      <c r="AC739">
        <v>1</v>
      </c>
      <c r="AD739">
        <v>1.5</v>
      </c>
      <c r="AE739">
        <v>26.493300000000001</v>
      </c>
      <c r="AF739">
        <v>63958496</v>
      </c>
      <c r="AJ739">
        <v>67632</v>
      </c>
      <c r="AM739">
        <v>2973884833</v>
      </c>
      <c r="AN739">
        <v>0</v>
      </c>
      <c r="AO739">
        <v>30027123</v>
      </c>
      <c r="AP739">
        <v>2973884833</v>
      </c>
      <c r="AQ739">
        <v>3003911956</v>
      </c>
      <c r="AR739">
        <v>99129494</v>
      </c>
      <c r="AS739">
        <v>0</v>
      </c>
      <c r="AT739">
        <v>1000904</v>
      </c>
      <c r="AU739">
        <v>99129494</v>
      </c>
      <c r="AV739">
        <v>100130398</v>
      </c>
      <c r="AW739">
        <v>12.357900000000001</v>
      </c>
      <c r="AX739">
        <v>2.1169099999999998</v>
      </c>
      <c r="AY739">
        <v>2670.02</v>
      </c>
      <c r="AZ739">
        <v>1746.95</v>
      </c>
      <c r="BA739">
        <v>1153</v>
      </c>
      <c r="BB739">
        <v>255</v>
      </c>
      <c r="BC739" t="str">
        <f t="shared" si="22"/>
        <v>u=1%, k=2x10^6</v>
      </c>
      <c r="BD739">
        <f t="shared" si="23"/>
        <v>0</v>
      </c>
    </row>
    <row r="740" spans="1:56">
      <c r="A740" t="s">
        <v>914</v>
      </c>
      <c r="B740" t="s">
        <v>68</v>
      </c>
      <c r="D740" t="s">
        <v>65</v>
      </c>
      <c r="E740" t="s">
        <v>60</v>
      </c>
      <c r="F740" t="s">
        <v>61</v>
      </c>
      <c r="G740">
        <v>30000</v>
      </c>
      <c r="H740">
        <v>0.5</v>
      </c>
      <c r="I740">
        <v>0.5</v>
      </c>
      <c r="J740">
        <v>0</v>
      </c>
      <c r="K740">
        <v>1</v>
      </c>
      <c r="L740">
        <v>2000000</v>
      </c>
      <c r="M740">
        <v>144</v>
      </c>
      <c r="N740">
        <v>144</v>
      </c>
      <c r="O740">
        <v>144</v>
      </c>
      <c r="P740">
        <v>0</v>
      </c>
      <c r="Q740" t="s">
        <v>62</v>
      </c>
      <c r="R740">
        <v>999482843226</v>
      </c>
      <c r="S740">
        <v>999598</v>
      </c>
      <c r="T740">
        <v>999482843226</v>
      </c>
      <c r="U740">
        <v>999598</v>
      </c>
      <c r="V740" t="s">
        <v>75</v>
      </c>
      <c r="W740">
        <v>48</v>
      </c>
      <c r="X740">
        <v>999597</v>
      </c>
      <c r="Y740">
        <v>999598</v>
      </c>
      <c r="Z740">
        <v>1999195</v>
      </c>
      <c r="AA740">
        <v>999598</v>
      </c>
      <c r="AB740">
        <v>2</v>
      </c>
      <c r="AC740">
        <v>1</v>
      </c>
      <c r="AD740">
        <v>1.5</v>
      </c>
      <c r="AE740">
        <v>25.602699999999999</v>
      </c>
      <c r="AF740">
        <v>63974240</v>
      </c>
      <c r="AJ740">
        <v>45722</v>
      </c>
      <c r="AM740">
        <v>4538819441</v>
      </c>
      <c r="AN740">
        <v>0</v>
      </c>
      <c r="AO740">
        <v>45843149</v>
      </c>
      <c r="AP740">
        <v>4538819441</v>
      </c>
      <c r="AQ740">
        <v>4584662590</v>
      </c>
      <c r="AR740">
        <v>151293981</v>
      </c>
      <c r="AS740">
        <v>0</v>
      </c>
      <c r="AT740">
        <v>1528104</v>
      </c>
      <c r="AU740">
        <v>151293981</v>
      </c>
      <c r="AV740">
        <v>152822086</v>
      </c>
      <c r="AW740">
        <v>12.277200000000001</v>
      </c>
      <c r="AX740">
        <v>2.1874600000000002</v>
      </c>
      <c r="AY740">
        <v>2623.61</v>
      </c>
      <c r="AZ740">
        <v>1695.21</v>
      </c>
      <c r="BA740">
        <v>1166</v>
      </c>
      <c r="BB740">
        <v>271</v>
      </c>
      <c r="BC740" t="str">
        <f t="shared" si="22"/>
        <v>u=1%, k=2x10^6</v>
      </c>
      <c r="BD740">
        <f t="shared" si="23"/>
        <v>0</v>
      </c>
    </row>
    <row r="741" spans="1:56">
      <c r="A741" t="s">
        <v>915</v>
      </c>
      <c r="B741" t="s">
        <v>68</v>
      </c>
      <c r="D741" t="s">
        <v>65</v>
      </c>
      <c r="E741" t="s">
        <v>60</v>
      </c>
      <c r="F741" t="s">
        <v>61</v>
      </c>
      <c r="G741">
        <v>30000</v>
      </c>
      <c r="H741">
        <v>0.5</v>
      </c>
      <c r="I741">
        <v>0.5</v>
      </c>
      <c r="J741">
        <v>0</v>
      </c>
      <c r="K741">
        <v>1</v>
      </c>
      <c r="L741">
        <v>2000000</v>
      </c>
      <c r="M741">
        <v>190</v>
      </c>
      <c r="N741">
        <v>190</v>
      </c>
      <c r="O741">
        <v>190</v>
      </c>
      <c r="P741">
        <v>0</v>
      </c>
      <c r="Q741" t="s">
        <v>62</v>
      </c>
      <c r="R741">
        <v>1001247299279</v>
      </c>
      <c r="S741">
        <v>1000930</v>
      </c>
      <c r="T741">
        <v>1001247299279</v>
      </c>
      <c r="U741">
        <v>1000930</v>
      </c>
      <c r="V741" t="s">
        <v>75</v>
      </c>
      <c r="W741">
        <v>47</v>
      </c>
      <c r="X741">
        <v>1000929</v>
      </c>
      <c r="Y741">
        <v>1000930</v>
      </c>
      <c r="Z741">
        <v>2001859</v>
      </c>
      <c r="AA741">
        <v>1000930</v>
      </c>
      <c r="AB741">
        <v>2</v>
      </c>
      <c r="AC741">
        <v>1</v>
      </c>
      <c r="AD741">
        <v>1.5</v>
      </c>
      <c r="AE741">
        <v>26.3142</v>
      </c>
      <c r="AF741">
        <v>64059488</v>
      </c>
      <c r="AJ741">
        <v>37796</v>
      </c>
      <c r="AM741">
        <v>6033921260</v>
      </c>
      <c r="AN741">
        <v>0</v>
      </c>
      <c r="AO741">
        <v>60945915</v>
      </c>
      <c r="AP741">
        <v>6033921260</v>
      </c>
      <c r="AQ741">
        <v>6094867175</v>
      </c>
      <c r="AR741">
        <v>201130708</v>
      </c>
      <c r="AS741">
        <v>0</v>
      </c>
      <c r="AT741">
        <v>2031530</v>
      </c>
      <c r="AU741">
        <v>201130708</v>
      </c>
      <c r="AV741">
        <v>203162239</v>
      </c>
      <c r="AW741">
        <v>12.414899999999999</v>
      </c>
      <c r="AX741">
        <v>2.2347199999999998</v>
      </c>
      <c r="AY741">
        <v>2603.04</v>
      </c>
      <c r="AZ741">
        <v>1674.36</v>
      </c>
      <c r="BA741">
        <v>1179</v>
      </c>
      <c r="BB741">
        <v>415</v>
      </c>
      <c r="BC741" t="str">
        <f t="shared" si="22"/>
        <v>u=1%, k=2x10^6</v>
      </c>
      <c r="BD741">
        <f t="shared" si="23"/>
        <v>0</v>
      </c>
    </row>
    <row r="742" spans="1:56">
      <c r="A742" t="s">
        <v>916</v>
      </c>
      <c r="B742" t="s">
        <v>64</v>
      </c>
      <c r="C742">
        <v>72</v>
      </c>
      <c r="D742" t="s">
        <v>65</v>
      </c>
      <c r="E742" t="s">
        <v>60</v>
      </c>
      <c r="F742" t="s">
        <v>61</v>
      </c>
      <c r="G742">
        <v>30000</v>
      </c>
      <c r="H742">
        <v>0.5</v>
      </c>
      <c r="I742">
        <v>0.5</v>
      </c>
      <c r="J742">
        <v>0</v>
      </c>
      <c r="K742">
        <v>1</v>
      </c>
      <c r="L742">
        <v>20000000</v>
      </c>
      <c r="M742">
        <v>24</v>
      </c>
      <c r="N742">
        <v>24</v>
      </c>
      <c r="O742">
        <v>24</v>
      </c>
      <c r="P742">
        <v>0</v>
      </c>
      <c r="Q742" t="s">
        <v>62</v>
      </c>
      <c r="R742">
        <v>99968205256128</v>
      </c>
      <c r="S742">
        <v>9997520</v>
      </c>
      <c r="T742">
        <v>99968205256128</v>
      </c>
      <c r="U742">
        <v>9997520</v>
      </c>
      <c r="V742" t="s">
        <v>75</v>
      </c>
      <c r="W742">
        <v>7</v>
      </c>
      <c r="X742">
        <v>1732878</v>
      </c>
      <c r="Y742">
        <v>11657982</v>
      </c>
      <c r="Z742">
        <v>13390860</v>
      </c>
      <c r="AA742">
        <v>9997520</v>
      </c>
      <c r="AB742">
        <v>7.7275299999999998</v>
      </c>
      <c r="AC742">
        <v>0.85756900000000003</v>
      </c>
      <c r="AD742">
        <v>1.7465900000000001</v>
      </c>
      <c r="AE742">
        <v>4.0215300000000003</v>
      </c>
      <c r="AF742">
        <v>325158288</v>
      </c>
      <c r="AG742" t="s">
        <v>917</v>
      </c>
      <c r="AH742" t="s">
        <v>918</v>
      </c>
      <c r="AI742">
        <v>426</v>
      </c>
      <c r="AJ742">
        <v>380138</v>
      </c>
      <c r="AM742">
        <v>1042511905</v>
      </c>
      <c r="AN742">
        <v>0</v>
      </c>
      <c r="AO742">
        <v>10527072</v>
      </c>
      <c r="AP742">
        <v>1042511905</v>
      </c>
      <c r="AQ742">
        <v>1053038977</v>
      </c>
      <c r="AR742">
        <v>34750396</v>
      </c>
      <c r="AS742">
        <v>0</v>
      </c>
      <c r="AT742">
        <v>350902</v>
      </c>
      <c r="AU742">
        <v>34750396</v>
      </c>
      <c r="AV742">
        <v>35101299</v>
      </c>
      <c r="AW742">
        <v>16.172000000000001</v>
      </c>
      <c r="AX742">
        <v>5.8968100000000003</v>
      </c>
      <c r="AY742">
        <v>1904.51</v>
      </c>
      <c r="AZ742">
        <v>1229.9100000000001</v>
      </c>
      <c r="BA742">
        <v>2439</v>
      </c>
      <c r="BB742">
        <v>158</v>
      </c>
      <c r="BC742" t="str">
        <f t="shared" si="22"/>
        <v>u=1%, k=2x10^7</v>
      </c>
      <c r="BD742" t="str">
        <f t="shared" si="23"/>
        <v>2</v>
      </c>
    </row>
    <row r="743" spans="1:56">
      <c r="A743" t="s">
        <v>919</v>
      </c>
      <c r="B743" t="s">
        <v>64</v>
      </c>
      <c r="C743">
        <v>72</v>
      </c>
      <c r="D743" t="s">
        <v>65</v>
      </c>
      <c r="E743" t="s">
        <v>60</v>
      </c>
      <c r="F743" t="s">
        <v>61</v>
      </c>
      <c r="G743">
        <v>30000</v>
      </c>
      <c r="H743">
        <v>0.5</v>
      </c>
      <c r="I743">
        <v>0.5</v>
      </c>
      <c r="J743">
        <v>0</v>
      </c>
      <c r="K743">
        <v>1</v>
      </c>
      <c r="L743">
        <v>20000000</v>
      </c>
      <c r="M743">
        <v>48</v>
      </c>
      <c r="N743">
        <v>48</v>
      </c>
      <c r="O743">
        <v>48</v>
      </c>
      <c r="P743">
        <v>0</v>
      </c>
      <c r="Q743" t="s">
        <v>62</v>
      </c>
      <c r="R743">
        <v>99989922425641</v>
      </c>
      <c r="S743">
        <v>10000955</v>
      </c>
      <c r="T743">
        <v>99989922425641</v>
      </c>
      <c r="U743">
        <v>10000955</v>
      </c>
      <c r="V743" t="s">
        <v>75</v>
      </c>
      <c r="W743">
        <v>7</v>
      </c>
      <c r="X743">
        <v>1904164</v>
      </c>
      <c r="Y743">
        <v>12035341</v>
      </c>
      <c r="Z743">
        <v>13939505</v>
      </c>
      <c r="AA743">
        <v>10000955</v>
      </c>
      <c r="AB743">
        <v>7.3205400000000003</v>
      </c>
      <c r="AC743">
        <v>0.83096599999999998</v>
      </c>
      <c r="AD743">
        <v>1.7174499999999999</v>
      </c>
      <c r="AE743">
        <v>4.0553100000000004</v>
      </c>
      <c r="AF743">
        <v>344942144</v>
      </c>
      <c r="AG743" t="s">
        <v>920</v>
      </c>
      <c r="AH743" t="s">
        <v>921</v>
      </c>
      <c r="AI743">
        <v>1427</v>
      </c>
      <c r="AJ743">
        <v>161166</v>
      </c>
      <c r="AM743">
        <v>1816534278</v>
      </c>
      <c r="AN743">
        <v>0</v>
      </c>
      <c r="AO743">
        <v>18346695</v>
      </c>
      <c r="AP743">
        <v>1816534278</v>
      </c>
      <c r="AQ743">
        <v>1834880973</v>
      </c>
      <c r="AR743">
        <v>60551142</v>
      </c>
      <c r="AS743">
        <v>0</v>
      </c>
      <c r="AT743">
        <v>611556</v>
      </c>
      <c r="AU743">
        <v>60551142</v>
      </c>
      <c r="AV743">
        <v>61162699</v>
      </c>
      <c r="AW743">
        <v>16.092500000000001</v>
      </c>
      <c r="AX743">
        <v>5.9880000000000004</v>
      </c>
      <c r="AY743">
        <v>2180.85</v>
      </c>
      <c r="AZ743">
        <v>1506.38</v>
      </c>
      <c r="BA743">
        <v>2470</v>
      </c>
      <c r="BB743">
        <v>154</v>
      </c>
      <c r="BC743" t="str">
        <f t="shared" si="22"/>
        <v>u=1%, k=2x10^7</v>
      </c>
      <c r="BD743" t="str">
        <f t="shared" si="23"/>
        <v>3</v>
      </c>
    </row>
    <row r="744" spans="1:56">
      <c r="A744" t="s">
        <v>922</v>
      </c>
      <c r="B744" t="s">
        <v>64</v>
      </c>
      <c r="C744">
        <v>72</v>
      </c>
      <c r="D744" t="s">
        <v>65</v>
      </c>
      <c r="E744" t="s">
        <v>60</v>
      </c>
      <c r="F744" t="s">
        <v>61</v>
      </c>
      <c r="G744">
        <v>30000</v>
      </c>
      <c r="H744">
        <v>0.5</v>
      </c>
      <c r="I744">
        <v>0.5</v>
      </c>
      <c r="J744">
        <v>0</v>
      </c>
      <c r="K744">
        <v>1</v>
      </c>
      <c r="L744">
        <v>20000000</v>
      </c>
      <c r="M744">
        <v>96</v>
      </c>
      <c r="N744">
        <v>96</v>
      </c>
      <c r="O744">
        <v>96</v>
      </c>
      <c r="P744">
        <v>0</v>
      </c>
      <c r="Q744" t="s">
        <v>62</v>
      </c>
      <c r="R744">
        <v>99992670029941</v>
      </c>
      <c r="S744">
        <v>10001184</v>
      </c>
      <c r="T744">
        <v>99992670029941</v>
      </c>
      <c r="U744">
        <v>10001184</v>
      </c>
      <c r="V744" t="s">
        <v>75</v>
      </c>
      <c r="W744">
        <v>7</v>
      </c>
      <c r="X744">
        <v>1775684</v>
      </c>
      <c r="Y744">
        <v>11765461</v>
      </c>
      <c r="Z744">
        <v>13541145</v>
      </c>
      <c r="AA744">
        <v>10001184</v>
      </c>
      <c r="AB744">
        <v>7.6258800000000004</v>
      </c>
      <c r="AC744">
        <v>0.85004599999999997</v>
      </c>
      <c r="AD744">
        <v>1.73858</v>
      </c>
      <c r="AE744">
        <v>4.0294499999999998</v>
      </c>
      <c r="AF744">
        <v>330325312</v>
      </c>
      <c r="AG744" t="s">
        <v>923</v>
      </c>
      <c r="AH744" t="s">
        <v>924</v>
      </c>
      <c r="AI744">
        <v>9455</v>
      </c>
      <c r="AJ744">
        <v>84022</v>
      </c>
      <c r="AM744">
        <v>3872086383</v>
      </c>
      <c r="AN744">
        <v>0</v>
      </c>
      <c r="AO744">
        <v>39108736</v>
      </c>
      <c r="AP744">
        <v>3872086383</v>
      </c>
      <c r="AQ744">
        <v>3911195119</v>
      </c>
      <c r="AR744">
        <v>129069546</v>
      </c>
      <c r="AS744">
        <v>0</v>
      </c>
      <c r="AT744">
        <v>1303624</v>
      </c>
      <c r="AU744">
        <v>129069546</v>
      </c>
      <c r="AV744">
        <v>130373170</v>
      </c>
      <c r="AW744">
        <v>16.221299999999999</v>
      </c>
      <c r="AX744">
        <v>6.42835</v>
      </c>
      <c r="AY744">
        <v>2026.62</v>
      </c>
      <c r="AZ744">
        <v>1285.3800000000001</v>
      </c>
      <c r="BA744">
        <v>2544</v>
      </c>
      <c r="BB744">
        <v>204</v>
      </c>
      <c r="BC744" t="str">
        <f t="shared" si="22"/>
        <v>u=1%, k=2x10^7</v>
      </c>
      <c r="BD744" t="str">
        <f t="shared" si="23"/>
        <v>7</v>
      </c>
    </row>
    <row r="745" spans="1:56">
      <c r="A745" t="s">
        <v>925</v>
      </c>
      <c r="B745" t="s">
        <v>64</v>
      </c>
      <c r="C745">
        <v>72</v>
      </c>
      <c r="D745" t="s">
        <v>65</v>
      </c>
      <c r="E745" t="s">
        <v>60</v>
      </c>
      <c r="F745" t="s">
        <v>61</v>
      </c>
      <c r="G745">
        <v>30000</v>
      </c>
      <c r="H745">
        <v>0.5</v>
      </c>
      <c r="I745">
        <v>0.5</v>
      </c>
      <c r="J745">
        <v>0</v>
      </c>
      <c r="K745">
        <v>1</v>
      </c>
      <c r="L745">
        <v>20000000</v>
      </c>
      <c r="M745">
        <v>144</v>
      </c>
      <c r="N745">
        <v>144</v>
      </c>
      <c r="O745">
        <v>144</v>
      </c>
      <c r="P745">
        <v>0</v>
      </c>
      <c r="Q745" t="s">
        <v>62</v>
      </c>
      <c r="R745">
        <v>99983867462624</v>
      </c>
      <c r="S745">
        <v>10000484</v>
      </c>
      <c r="T745">
        <v>99983867462624</v>
      </c>
      <c r="U745">
        <v>10000484</v>
      </c>
      <c r="V745" t="s">
        <v>75</v>
      </c>
      <c r="W745">
        <v>7</v>
      </c>
      <c r="X745">
        <v>1899960</v>
      </c>
      <c r="Y745">
        <v>12017322</v>
      </c>
      <c r="Z745">
        <v>13917282</v>
      </c>
      <c r="AA745">
        <v>10000484</v>
      </c>
      <c r="AB745">
        <v>7.3250400000000004</v>
      </c>
      <c r="AC745">
        <v>0.83217200000000002</v>
      </c>
      <c r="AD745">
        <v>1.7185699999999999</v>
      </c>
      <c r="AE745">
        <v>4.0548999999999999</v>
      </c>
      <c r="AF745">
        <v>344301184</v>
      </c>
      <c r="AG745" t="s">
        <v>926</v>
      </c>
      <c r="AH745" t="s">
        <v>927</v>
      </c>
      <c r="AI745">
        <v>18253</v>
      </c>
      <c r="AJ745">
        <v>56446</v>
      </c>
      <c r="AM745">
        <v>5690549532</v>
      </c>
      <c r="AN745">
        <v>0</v>
      </c>
      <c r="AO745">
        <v>57485880</v>
      </c>
      <c r="AP745">
        <v>5690549532</v>
      </c>
      <c r="AQ745">
        <v>5748035412</v>
      </c>
      <c r="AR745">
        <v>189684984</v>
      </c>
      <c r="AS745">
        <v>0</v>
      </c>
      <c r="AT745">
        <v>1916196</v>
      </c>
      <c r="AU745">
        <v>189684984</v>
      </c>
      <c r="AV745">
        <v>191601180</v>
      </c>
      <c r="AW745">
        <v>16.3401</v>
      </c>
      <c r="AX745">
        <v>6.5706899999999999</v>
      </c>
      <c r="AY745">
        <v>2067.06</v>
      </c>
      <c r="AZ745">
        <v>1299.32</v>
      </c>
      <c r="BA745">
        <v>2681</v>
      </c>
      <c r="BB745">
        <v>283</v>
      </c>
      <c r="BC745" t="str">
        <f t="shared" si="22"/>
        <v>u=1%, k=2x10^7</v>
      </c>
      <c r="BD745" t="str">
        <f t="shared" si="23"/>
        <v>11</v>
      </c>
    </row>
    <row r="746" spans="1:56">
      <c r="A746" t="s">
        <v>928</v>
      </c>
      <c r="B746" t="s">
        <v>64</v>
      </c>
      <c r="C746">
        <v>72</v>
      </c>
      <c r="D746" t="s">
        <v>65</v>
      </c>
      <c r="E746" t="s">
        <v>60</v>
      </c>
      <c r="F746" t="s">
        <v>61</v>
      </c>
      <c r="G746">
        <v>30000</v>
      </c>
      <c r="H746">
        <v>0.5</v>
      </c>
      <c r="I746">
        <v>0.5</v>
      </c>
      <c r="J746">
        <v>0</v>
      </c>
      <c r="K746">
        <v>1</v>
      </c>
      <c r="L746">
        <v>20000000</v>
      </c>
      <c r="M746">
        <v>190</v>
      </c>
      <c r="N746">
        <v>190</v>
      </c>
      <c r="O746">
        <v>190</v>
      </c>
      <c r="P746">
        <v>0</v>
      </c>
      <c r="Q746" t="s">
        <v>62</v>
      </c>
      <c r="R746">
        <v>100034473144026</v>
      </c>
      <c r="S746">
        <v>10002677</v>
      </c>
      <c r="T746">
        <v>100034473144026</v>
      </c>
      <c r="U746">
        <v>10002677</v>
      </c>
      <c r="V746" t="s">
        <v>75</v>
      </c>
      <c r="W746">
        <v>7</v>
      </c>
      <c r="X746">
        <v>1707654</v>
      </c>
      <c r="Y746">
        <v>11610299</v>
      </c>
      <c r="Z746">
        <v>13317953</v>
      </c>
      <c r="AA746">
        <v>10002677</v>
      </c>
      <c r="AB746">
        <v>7.7989800000000002</v>
      </c>
      <c r="AC746">
        <v>0.86153500000000005</v>
      </c>
      <c r="AD746">
        <v>1.7510699999999999</v>
      </c>
      <c r="AE746">
        <v>4.0163700000000002</v>
      </c>
      <c r="AF746">
        <v>322377328</v>
      </c>
      <c r="AG746" t="s">
        <v>929</v>
      </c>
      <c r="AH746" t="s">
        <v>930</v>
      </c>
      <c r="AI746">
        <v>37664</v>
      </c>
      <c r="AJ746">
        <v>46600</v>
      </c>
      <c r="AM746">
        <v>7464103901</v>
      </c>
      <c r="AN746">
        <v>0</v>
      </c>
      <c r="AO746">
        <v>75392942</v>
      </c>
      <c r="AP746">
        <v>7464103901</v>
      </c>
      <c r="AQ746">
        <v>7539496843</v>
      </c>
      <c r="AR746">
        <v>248803463</v>
      </c>
      <c r="AS746">
        <v>0</v>
      </c>
      <c r="AT746">
        <v>2513098</v>
      </c>
      <c r="AU746">
        <v>248803463</v>
      </c>
      <c r="AV746">
        <v>251316561</v>
      </c>
      <c r="AW746">
        <v>16.306000000000001</v>
      </c>
      <c r="AX746">
        <v>6.6595899999999997</v>
      </c>
      <c r="AY746">
        <v>2077.4</v>
      </c>
      <c r="AZ746">
        <v>1304.1099999999999</v>
      </c>
      <c r="BA746">
        <v>2768</v>
      </c>
      <c r="BB746">
        <v>361</v>
      </c>
      <c r="BC746" t="str">
        <f t="shared" si="22"/>
        <v>u=1%, k=2x10^7</v>
      </c>
      <c r="BD746" t="str">
        <f t="shared" si="23"/>
        <v>15</v>
      </c>
    </row>
    <row r="747" spans="1:56">
      <c r="A747" t="s">
        <v>931</v>
      </c>
      <c r="B747" t="s">
        <v>66</v>
      </c>
      <c r="C747">
        <v>208</v>
      </c>
      <c r="D747" t="s">
        <v>65</v>
      </c>
      <c r="E747" t="s">
        <v>60</v>
      </c>
      <c r="F747" t="s">
        <v>61</v>
      </c>
      <c r="G747">
        <v>30000</v>
      </c>
      <c r="H747">
        <v>0.5</v>
      </c>
      <c r="I747">
        <v>0.5</v>
      </c>
      <c r="J747">
        <v>0</v>
      </c>
      <c r="K747">
        <v>1</v>
      </c>
      <c r="L747">
        <v>20000000</v>
      </c>
      <c r="M747">
        <v>24</v>
      </c>
      <c r="N747">
        <v>24</v>
      </c>
      <c r="O747">
        <v>24</v>
      </c>
      <c r="P747">
        <v>0</v>
      </c>
      <c r="Q747" t="s">
        <v>62</v>
      </c>
      <c r="R747">
        <v>100004874669789</v>
      </c>
      <c r="S747">
        <v>10001319</v>
      </c>
      <c r="T747">
        <v>100004874669789</v>
      </c>
      <c r="U747">
        <v>10001319</v>
      </c>
      <c r="V747" t="s">
        <v>75</v>
      </c>
      <c r="W747">
        <v>9</v>
      </c>
      <c r="X747">
        <v>207720</v>
      </c>
      <c r="Y747">
        <v>1429280</v>
      </c>
      <c r="Z747">
        <v>1637000</v>
      </c>
      <c r="AA747">
        <v>10001319</v>
      </c>
      <c r="AB747">
        <v>7.8807999999999998</v>
      </c>
      <c r="AC747">
        <v>6.9974499999999997</v>
      </c>
      <c r="AD747">
        <v>7.10954</v>
      </c>
      <c r="AE747">
        <v>8</v>
      </c>
      <c r="AF747">
        <v>340496000</v>
      </c>
      <c r="AJ747" t="s">
        <v>932</v>
      </c>
      <c r="AM747">
        <v>908939430</v>
      </c>
      <c r="AN747">
        <v>0</v>
      </c>
      <c r="AO747">
        <v>9181033</v>
      </c>
      <c r="AP747">
        <v>908939430</v>
      </c>
      <c r="AQ747">
        <v>918120463</v>
      </c>
      <c r="AR747">
        <v>30297981</v>
      </c>
      <c r="AS747">
        <v>0</v>
      </c>
      <c r="AT747">
        <v>306034</v>
      </c>
      <c r="AU747">
        <v>30297981</v>
      </c>
      <c r="AV747">
        <v>30604015</v>
      </c>
      <c r="AW747">
        <v>16.666399999999999</v>
      </c>
      <c r="AX747">
        <v>5.0430099999999998</v>
      </c>
      <c r="AY747">
        <v>2187.1999999999998</v>
      </c>
      <c r="AZ747">
        <v>1186.3</v>
      </c>
      <c r="BA747">
        <v>1439</v>
      </c>
      <c r="BB747">
        <v>834</v>
      </c>
      <c r="BC747" t="str">
        <f t="shared" si="22"/>
        <v>u=1%, k=2x10^7</v>
      </c>
      <c r="BD747">
        <f t="shared" si="23"/>
        <v>0</v>
      </c>
    </row>
    <row r="748" spans="1:56">
      <c r="A748" t="s">
        <v>933</v>
      </c>
      <c r="B748" t="s">
        <v>66</v>
      </c>
      <c r="C748">
        <v>208</v>
      </c>
      <c r="D748" t="s">
        <v>65</v>
      </c>
      <c r="E748" t="s">
        <v>60</v>
      </c>
      <c r="F748" t="s">
        <v>61</v>
      </c>
      <c r="G748">
        <v>30000</v>
      </c>
      <c r="H748">
        <v>0.5</v>
      </c>
      <c r="I748">
        <v>0.5</v>
      </c>
      <c r="J748">
        <v>0</v>
      </c>
      <c r="K748">
        <v>1</v>
      </c>
      <c r="L748">
        <v>20000000</v>
      </c>
      <c r="M748">
        <v>48</v>
      </c>
      <c r="N748">
        <v>48</v>
      </c>
      <c r="O748">
        <v>48</v>
      </c>
      <c r="P748">
        <v>0</v>
      </c>
      <c r="Q748" t="s">
        <v>62</v>
      </c>
      <c r="R748">
        <v>100005976584860</v>
      </c>
      <c r="S748">
        <v>10000087</v>
      </c>
      <c r="T748">
        <v>100005976584860</v>
      </c>
      <c r="U748">
        <v>10000087</v>
      </c>
      <c r="V748" t="s">
        <v>75</v>
      </c>
      <c r="W748">
        <v>9</v>
      </c>
      <c r="X748">
        <v>217560</v>
      </c>
      <c r="Y748">
        <v>1496795</v>
      </c>
      <c r="Z748">
        <v>1714355</v>
      </c>
      <c r="AA748">
        <v>10000087</v>
      </c>
      <c r="AB748">
        <v>7.8799200000000003</v>
      </c>
      <c r="AC748">
        <v>6.681</v>
      </c>
      <c r="AD748">
        <v>6.8331499999999998</v>
      </c>
      <c r="AE748">
        <v>8</v>
      </c>
      <c r="AF748">
        <v>356585840</v>
      </c>
      <c r="AJ748" t="s">
        <v>934</v>
      </c>
      <c r="AM748">
        <v>1635000114</v>
      </c>
      <c r="AN748">
        <v>0</v>
      </c>
      <c r="AO748">
        <v>16518007</v>
      </c>
      <c r="AP748">
        <v>1635000114</v>
      </c>
      <c r="AQ748">
        <v>1651518121</v>
      </c>
      <c r="AR748">
        <v>54500003</v>
      </c>
      <c r="AS748">
        <v>0</v>
      </c>
      <c r="AT748">
        <v>550600</v>
      </c>
      <c r="AU748">
        <v>54500003</v>
      </c>
      <c r="AV748">
        <v>55050604</v>
      </c>
      <c r="AW748">
        <v>16.720300000000002</v>
      </c>
      <c r="AX748">
        <v>5.0902799999999999</v>
      </c>
      <c r="AY748">
        <v>2430.96</v>
      </c>
      <c r="AZ748">
        <v>1576.07</v>
      </c>
      <c r="BA748">
        <v>1505</v>
      </c>
      <c r="BB748">
        <v>764</v>
      </c>
      <c r="BC748" t="str">
        <f t="shared" si="22"/>
        <v>u=1%, k=2x10^7</v>
      </c>
      <c r="BD748">
        <f t="shared" si="23"/>
        <v>0</v>
      </c>
    </row>
    <row r="749" spans="1:56">
      <c r="A749" t="s">
        <v>935</v>
      </c>
      <c r="B749" t="s">
        <v>66</v>
      </c>
      <c r="C749">
        <v>208</v>
      </c>
      <c r="D749" t="s">
        <v>65</v>
      </c>
      <c r="E749" t="s">
        <v>60</v>
      </c>
      <c r="F749" t="s">
        <v>61</v>
      </c>
      <c r="G749">
        <v>30000</v>
      </c>
      <c r="H749">
        <v>0.5</v>
      </c>
      <c r="I749">
        <v>0.5</v>
      </c>
      <c r="J749">
        <v>0</v>
      </c>
      <c r="K749">
        <v>1</v>
      </c>
      <c r="L749">
        <v>20000000</v>
      </c>
      <c r="M749">
        <v>96</v>
      </c>
      <c r="N749">
        <v>96</v>
      </c>
      <c r="O749">
        <v>96</v>
      </c>
      <c r="P749">
        <v>0</v>
      </c>
      <c r="Q749" t="s">
        <v>62</v>
      </c>
      <c r="R749">
        <v>99994171478834</v>
      </c>
      <c r="S749">
        <v>9999414</v>
      </c>
      <c r="T749">
        <v>99994171478834</v>
      </c>
      <c r="U749">
        <v>9999414</v>
      </c>
      <c r="V749" t="s">
        <v>75</v>
      </c>
      <c r="W749">
        <v>9</v>
      </c>
      <c r="X749">
        <v>234645</v>
      </c>
      <c r="Y749">
        <v>1612767</v>
      </c>
      <c r="Z749">
        <v>1847412</v>
      </c>
      <c r="AA749">
        <v>9999414</v>
      </c>
      <c r="AB749">
        <v>7.8732199999999999</v>
      </c>
      <c r="AC749">
        <v>6.2001600000000003</v>
      </c>
      <c r="AD749">
        <v>6.4126599999999998</v>
      </c>
      <c r="AE749">
        <v>8</v>
      </c>
      <c r="AF749">
        <v>384261696</v>
      </c>
      <c r="AJ749" t="s">
        <v>936</v>
      </c>
      <c r="AM749">
        <v>3506708392</v>
      </c>
      <c r="AN749">
        <v>0</v>
      </c>
      <c r="AO749">
        <v>35427310</v>
      </c>
      <c r="AP749">
        <v>3506708392</v>
      </c>
      <c r="AQ749">
        <v>3542135702</v>
      </c>
      <c r="AR749">
        <v>116890279</v>
      </c>
      <c r="AS749">
        <v>0</v>
      </c>
      <c r="AT749">
        <v>1180910</v>
      </c>
      <c r="AU749">
        <v>116890279</v>
      </c>
      <c r="AV749">
        <v>118071190</v>
      </c>
      <c r="AW749">
        <v>17.0336</v>
      </c>
      <c r="AX749">
        <v>5.62242</v>
      </c>
      <c r="AY749">
        <v>2256.31</v>
      </c>
      <c r="AZ749">
        <v>1362.74</v>
      </c>
      <c r="BA749">
        <v>1623</v>
      </c>
      <c r="BB749">
        <v>935</v>
      </c>
      <c r="BC749" t="str">
        <f t="shared" si="22"/>
        <v>u=1%, k=2x10^7</v>
      </c>
      <c r="BD749">
        <f t="shared" si="23"/>
        <v>0</v>
      </c>
    </row>
    <row r="750" spans="1:56">
      <c r="A750" t="s">
        <v>937</v>
      </c>
      <c r="B750" t="s">
        <v>66</v>
      </c>
      <c r="C750">
        <v>208</v>
      </c>
      <c r="D750" t="s">
        <v>65</v>
      </c>
      <c r="E750" t="s">
        <v>60</v>
      </c>
      <c r="F750" t="s">
        <v>61</v>
      </c>
      <c r="G750">
        <v>30000</v>
      </c>
      <c r="H750">
        <v>0.5</v>
      </c>
      <c r="I750">
        <v>0.5</v>
      </c>
      <c r="J750">
        <v>0</v>
      </c>
      <c r="K750">
        <v>1</v>
      </c>
      <c r="L750">
        <v>20000000</v>
      </c>
      <c r="M750">
        <v>144</v>
      </c>
      <c r="N750">
        <v>144</v>
      </c>
      <c r="O750">
        <v>144</v>
      </c>
      <c r="P750">
        <v>0</v>
      </c>
      <c r="Q750" t="s">
        <v>62</v>
      </c>
      <c r="R750">
        <v>100011614663130</v>
      </c>
      <c r="S750">
        <v>10000430</v>
      </c>
      <c r="T750">
        <v>100011614663130</v>
      </c>
      <c r="U750">
        <v>10000430</v>
      </c>
      <c r="V750" t="s">
        <v>75</v>
      </c>
      <c r="W750">
        <v>9</v>
      </c>
      <c r="X750">
        <v>244665</v>
      </c>
      <c r="Y750">
        <v>1680506</v>
      </c>
      <c r="Z750">
        <v>1925171</v>
      </c>
      <c r="AA750">
        <v>10000430</v>
      </c>
      <c r="AB750">
        <v>7.8685999999999998</v>
      </c>
      <c r="AC750">
        <v>5.9508400000000004</v>
      </c>
      <c r="AD750">
        <v>6.1945699999999997</v>
      </c>
      <c r="AE750">
        <v>8</v>
      </c>
      <c r="AF750">
        <v>400435568</v>
      </c>
      <c r="AJ750" t="s">
        <v>938</v>
      </c>
      <c r="AM750">
        <v>5139489288</v>
      </c>
      <c r="AN750">
        <v>0</v>
      </c>
      <c r="AO750">
        <v>51913345</v>
      </c>
      <c r="AP750">
        <v>5139489288</v>
      </c>
      <c r="AQ750">
        <v>5191402633</v>
      </c>
      <c r="AR750">
        <v>171316309</v>
      </c>
      <c r="AS750">
        <v>0</v>
      </c>
      <c r="AT750">
        <v>1730444</v>
      </c>
      <c r="AU750">
        <v>171316309</v>
      </c>
      <c r="AV750">
        <v>173046754</v>
      </c>
      <c r="AW750">
        <v>17.217300000000002</v>
      </c>
      <c r="AX750">
        <v>5.79582</v>
      </c>
      <c r="AY750">
        <v>2306.5</v>
      </c>
      <c r="AZ750">
        <v>1395.51</v>
      </c>
      <c r="BA750">
        <v>1657</v>
      </c>
      <c r="BB750">
        <v>946</v>
      </c>
      <c r="BC750" t="str">
        <f t="shared" si="22"/>
        <v>u=1%, k=2x10^7</v>
      </c>
      <c r="BD750">
        <f t="shared" si="23"/>
        <v>0</v>
      </c>
    </row>
    <row r="751" spans="1:56">
      <c r="A751" t="s">
        <v>939</v>
      </c>
      <c r="B751" t="s">
        <v>66</v>
      </c>
      <c r="C751">
        <v>208</v>
      </c>
      <c r="D751" t="s">
        <v>65</v>
      </c>
      <c r="E751" t="s">
        <v>60</v>
      </c>
      <c r="F751" t="s">
        <v>61</v>
      </c>
      <c r="G751">
        <v>30000</v>
      </c>
      <c r="H751">
        <v>0.5</v>
      </c>
      <c r="I751">
        <v>0.5</v>
      </c>
      <c r="J751">
        <v>0</v>
      </c>
      <c r="K751">
        <v>1</v>
      </c>
      <c r="L751">
        <v>20000000</v>
      </c>
      <c r="M751">
        <v>190</v>
      </c>
      <c r="N751">
        <v>190</v>
      </c>
      <c r="O751">
        <v>190</v>
      </c>
      <c r="P751">
        <v>0</v>
      </c>
      <c r="Q751" t="s">
        <v>62</v>
      </c>
      <c r="R751">
        <v>99954778438903</v>
      </c>
      <c r="S751">
        <v>9996874</v>
      </c>
      <c r="T751">
        <v>99954778438903</v>
      </c>
      <c r="U751">
        <v>9996874</v>
      </c>
      <c r="V751" t="s">
        <v>75</v>
      </c>
      <c r="W751">
        <v>9</v>
      </c>
      <c r="X751">
        <v>251626</v>
      </c>
      <c r="Y751">
        <v>1727580</v>
      </c>
      <c r="Z751">
        <v>1979206</v>
      </c>
      <c r="AA751">
        <v>9996874</v>
      </c>
      <c r="AB751">
        <v>7.8656699999999997</v>
      </c>
      <c r="AC751">
        <v>5.7866299999999997</v>
      </c>
      <c r="AD751">
        <v>6.0509500000000003</v>
      </c>
      <c r="AE751">
        <v>8</v>
      </c>
      <c r="AF751">
        <v>411674848</v>
      </c>
      <c r="AJ751" t="s">
        <v>940</v>
      </c>
      <c r="AM751">
        <v>6721342536</v>
      </c>
      <c r="AN751">
        <v>0</v>
      </c>
      <c r="AO751">
        <v>67897453</v>
      </c>
      <c r="AP751">
        <v>6721342536</v>
      </c>
      <c r="AQ751">
        <v>6789239989</v>
      </c>
      <c r="AR751">
        <v>224044751</v>
      </c>
      <c r="AS751">
        <v>0</v>
      </c>
      <c r="AT751">
        <v>2263248</v>
      </c>
      <c r="AU751">
        <v>224044751</v>
      </c>
      <c r="AV751">
        <v>226307999</v>
      </c>
      <c r="AW751">
        <v>17.400400000000001</v>
      </c>
      <c r="AX751">
        <v>5.9004700000000003</v>
      </c>
      <c r="AY751">
        <v>2321.62</v>
      </c>
      <c r="AZ751">
        <v>1402.08</v>
      </c>
      <c r="BA751">
        <v>1705</v>
      </c>
      <c r="BB751">
        <v>996</v>
      </c>
      <c r="BC751" t="str">
        <f t="shared" si="22"/>
        <v>u=1%, k=2x10^7</v>
      </c>
      <c r="BD751">
        <f t="shared" si="23"/>
        <v>0</v>
      </c>
    </row>
    <row r="752" spans="1:56">
      <c r="A752" t="s">
        <v>941</v>
      </c>
      <c r="B752" t="s">
        <v>67</v>
      </c>
      <c r="D752" t="s">
        <v>65</v>
      </c>
      <c r="E752" t="s">
        <v>60</v>
      </c>
      <c r="F752" t="s">
        <v>61</v>
      </c>
      <c r="G752">
        <v>30000</v>
      </c>
      <c r="H752">
        <v>0.5</v>
      </c>
      <c r="I752">
        <v>0.5</v>
      </c>
      <c r="J752">
        <v>0</v>
      </c>
      <c r="K752">
        <v>1</v>
      </c>
      <c r="L752">
        <v>20000000</v>
      </c>
      <c r="M752">
        <v>24</v>
      </c>
      <c r="N752">
        <v>24</v>
      </c>
      <c r="O752">
        <v>24</v>
      </c>
      <c r="P752">
        <v>0</v>
      </c>
      <c r="Q752" t="s">
        <v>62</v>
      </c>
      <c r="R752">
        <v>100015476400220</v>
      </c>
      <c r="S752">
        <v>10001567</v>
      </c>
      <c r="T752">
        <v>100015476400220</v>
      </c>
      <c r="U752">
        <v>10001567</v>
      </c>
      <c r="V752" t="s">
        <v>75</v>
      </c>
      <c r="W752">
        <v>29</v>
      </c>
      <c r="X752">
        <v>5931993</v>
      </c>
      <c r="Y752">
        <v>4465584</v>
      </c>
      <c r="Z752">
        <v>10397577</v>
      </c>
      <c r="AA752">
        <v>10001567</v>
      </c>
      <c r="AB752">
        <v>1.7527999999999999</v>
      </c>
      <c r="AC752">
        <v>2.2397</v>
      </c>
      <c r="AD752">
        <v>1.96191</v>
      </c>
      <c r="AE752">
        <v>22.786999999999999</v>
      </c>
      <c r="AF752">
        <v>582264312</v>
      </c>
      <c r="AJ752" t="s">
        <v>942</v>
      </c>
      <c r="AM752">
        <v>409708386</v>
      </c>
      <c r="AN752">
        <v>0</v>
      </c>
      <c r="AO752">
        <v>4141384</v>
      </c>
      <c r="AP752">
        <v>409708386</v>
      </c>
      <c r="AQ752">
        <v>413849770</v>
      </c>
      <c r="AR752">
        <v>13656946</v>
      </c>
      <c r="AS752">
        <v>0</v>
      </c>
      <c r="AT752">
        <v>138046</v>
      </c>
      <c r="AU752">
        <v>13656946</v>
      </c>
      <c r="AV752">
        <v>13794992</v>
      </c>
      <c r="AW752">
        <v>27.636700000000001</v>
      </c>
      <c r="AX752">
        <v>9.2527299999999997</v>
      </c>
      <c r="AY752">
        <v>4853.34</v>
      </c>
      <c r="AZ752">
        <v>3592.8</v>
      </c>
      <c r="BA752">
        <v>1741</v>
      </c>
      <c r="BB752">
        <v>1456</v>
      </c>
      <c r="BC752" t="str">
        <f t="shared" si="22"/>
        <v>u=1%, k=2x10^7</v>
      </c>
      <c r="BD752">
        <f t="shared" si="23"/>
        <v>0</v>
      </c>
    </row>
    <row r="753" spans="1:56">
      <c r="A753" t="s">
        <v>943</v>
      </c>
      <c r="B753" t="s">
        <v>67</v>
      </c>
      <c r="D753" t="s">
        <v>65</v>
      </c>
      <c r="E753" t="s">
        <v>60</v>
      </c>
      <c r="F753" t="s">
        <v>61</v>
      </c>
      <c r="G753">
        <v>30000</v>
      </c>
      <c r="H753">
        <v>0.5</v>
      </c>
      <c r="I753">
        <v>0.5</v>
      </c>
      <c r="J753">
        <v>0</v>
      </c>
      <c r="K753">
        <v>1</v>
      </c>
      <c r="L753">
        <v>20000000</v>
      </c>
      <c r="M753">
        <v>48</v>
      </c>
      <c r="N753">
        <v>48</v>
      </c>
      <c r="O753">
        <v>48</v>
      </c>
      <c r="P753">
        <v>0</v>
      </c>
      <c r="Q753" t="s">
        <v>62</v>
      </c>
      <c r="R753">
        <v>100020935517956</v>
      </c>
      <c r="S753">
        <v>10001055</v>
      </c>
      <c r="T753">
        <v>100020935517956</v>
      </c>
      <c r="U753">
        <v>10001055</v>
      </c>
      <c r="V753" t="s">
        <v>75</v>
      </c>
      <c r="W753">
        <v>29</v>
      </c>
      <c r="X753">
        <v>6087854</v>
      </c>
      <c r="Y753">
        <v>4589861</v>
      </c>
      <c r="Z753">
        <v>10677715</v>
      </c>
      <c r="AA753">
        <v>10001055</v>
      </c>
      <c r="AB753">
        <v>1.7539400000000001</v>
      </c>
      <c r="AC753">
        <v>2.1789499999999999</v>
      </c>
      <c r="AD753">
        <v>1.9366300000000001</v>
      </c>
      <c r="AE753">
        <v>22.876999999999999</v>
      </c>
      <c r="AF753">
        <v>597952040</v>
      </c>
      <c r="AJ753" t="s">
        <v>944</v>
      </c>
      <c r="AM753">
        <v>769354222</v>
      </c>
      <c r="AN753">
        <v>0</v>
      </c>
      <c r="AO753">
        <v>7773281</v>
      </c>
      <c r="AP753">
        <v>769354222</v>
      </c>
      <c r="AQ753">
        <v>777127503</v>
      </c>
      <c r="AR753">
        <v>25645140</v>
      </c>
      <c r="AS753">
        <v>0</v>
      </c>
      <c r="AT753">
        <v>259109</v>
      </c>
      <c r="AU753">
        <v>25645140</v>
      </c>
      <c r="AV753">
        <v>25904250</v>
      </c>
      <c r="AW753">
        <v>28.4496</v>
      </c>
      <c r="AX753">
        <v>9.3862299999999994</v>
      </c>
      <c r="AY753">
        <v>5167.76</v>
      </c>
      <c r="AZ753">
        <v>3903.37</v>
      </c>
      <c r="BA753">
        <v>1766</v>
      </c>
      <c r="BB753">
        <v>1039</v>
      </c>
      <c r="BC753" t="str">
        <f t="shared" si="22"/>
        <v>u=1%, k=2x10^7</v>
      </c>
      <c r="BD753">
        <f t="shared" si="23"/>
        <v>0</v>
      </c>
    </row>
    <row r="754" spans="1:56">
      <c r="A754" t="s">
        <v>945</v>
      </c>
      <c r="B754" t="s">
        <v>67</v>
      </c>
      <c r="D754" t="s">
        <v>65</v>
      </c>
      <c r="E754" t="s">
        <v>60</v>
      </c>
      <c r="F754" t="s">
        <v>61</v>
      </c>
      <c r="G754">
        <v>30000</v>
      </c>
      <c r="H754">
        <v>0.5</v>
      </c>
      <c r="I754">
        <v>0.5</v>
      </c>
      <c r="J754">
        <v>0</v>
      </c>
      <c r="K754">
        <v>1</v>
      </c>
      <c r="L754">
        <v>20000000</v>
      </c>
      <c r="M754">
        <v>96</v>
      </c>
      <c r="N754">
        <v>96</v>
      </c>
      <c r="O754">
        <v>96</v>
      </c>
      <c r="P754">
        <v>0</v>
      </c>
      <c r="Q754" t="s">
        <v>62</v>
      </c>
      <c r="R754">
        <v>99992152779976</v>
      </c>
      <c r="S754">
        <v>9999229</v>
      </c>
      <c r="T754">
        <v>99992152779976</v>
      </c>
      <c r="U754">
        <v>9999229</v>
      </c>
      <c r="V754" t="s">
        <v>75</v>
      </c>
      <c r="W754">
        <v>29</v>
      </c>
      <c r="X754">
        <v>6376964</v>
      </c>
      <c r="Y754">
        <v>4819375</v>
      </c>
      <c r="Z754">
        <v>11196339</v>
      </c>
      <c r="AA754">
        <v>9999229</v>
      </c>
      <c r="AB754">
        <v>1.7557499999999999</v>
      </c>
      <c r="AC754">
        <v>2.0748000000000002</v>
      </c>
      <c r="AD754">
        <v>1.8930800000000001</v>
      </c>
      <c r="AE754">
        <v>23.035699999999999</v>
      </c>
      <c r="AF754">
        <v>626994984</v>
      </c>
      <c r="AJ754" t="s">
        <v>946</v>
      </c>
      <c r="AM754">
        <v>1682714523</v>
      </c>
      <c r="AN754">
        <v>0</v>
      </c>
      <c r="AO754">
        <v>16997698</v>
      </c>
      <c r="AP754">
        <v>1682714523</v>
      </c>
      <c r="AQ754">
        <v>1699712221</v>
      </c>
      <c r="AR754">
        <v>56090484</v>
      </c>
      <c r="AS754">
        <v>0</v>
      </c>
      <c r="AT754">
        <v>566589</v>
      </c>
      <c r="AU754">
        <v>56090484</v>
      </c>
      <c r="AV754">
        <v>56657074</v>
      </c>
      <c r="AW754">
        <v>29.038599999999999</v>
      </c>
      <c r="AX754">
        <v>10.6035</v>
      </c>
      <c r="AY754">
        <v>4718.18</v>
      </c>
      <c r="AZ754">
        <v>3306.33</v>
      </c>
      <c r="BA754">
        <v>1813</v>
      </c>
      <c r="BB754">
        <v>786</v>
      </c>
      <c r="BC754" t="str">
        <f t="shared" si="22"/>
        <v>u=1%, k=2x10^7</v>
      </c>
      <c r="BD754">
        <f t="shared" si="23"/>
        <v>0</v>
      </c>
    </row>
    <row r="755" spans="1:56">
      <c r="A755" t="s">
        <v>947</v>
      </c>
      <c r="B755" t="s">
        <v>67</v>
      </c>
      <c r="D755" t="s">
        <v>65</v>
      </c>
      <c r="E755" t="s">
        <v>60</v>
      </c>
      <c r="F755" t="s">
        <v>61</v>
      </c>
      <c r="G755">
        <v>30000</v>
      </c>
      <c r="H755">
        <v>0.5</v>
      </c>
      <c r="I755">
        <v>0.5</v>
      </c>
      <c r="J755">
        <v>0</v>
      </c>
      <c r="K755">
        <v>1</v>
      </c>
      <c r="L755">
        <v>20000000</v>
      </c>
      <c r="M755">
        <v>144</v>
      </c>
      <c r="N755">
        <v>144</v>
      </c>
      <c r="O755">
        <v>144</v>
      </c>
      <c r="P755">
        <v>0</v>
      </c>
      <c r="Q755" t="s">
        <v>62</v>
      </c>
      <c r="R755">
        <v>99961489774806</v>
      </c>
      <c r="S755">
        <v>9997440</v>
      </c>
      <c r="T755">
        <v>99961489774806</v>
      </c>
      <c r="U755">
        <v>9997440</v>
      </c>
      <c r="V755" t="s">
        <v>75</v>
      </c>
      <c r="W755">
        <v>29</v>
      </c>
      <c r="X755">
        <v>6545973</v>
      </c>
      <c r="Y755">
        <v>4953203</v>
      </c>
      <c r="Z755">
        <v>11499176</v>
      </c>
      <c r="AA755">
        <v>9997440</v>
      </c>
      <c r="AB755">
        <v>1.75668</v>
      </c>
      <c r="AC755">
        <v>2.0183800000000001</v>
      </c>
      <c r="AD755">
        <v>1.8694</v>
      </c>
      <c r="AE755">
        <v>23.085599999999999</v>
      </c>
      <c r="AF755">
        <v>643953856</v>
      </c>
      <c r="AJ755" t="s">
        <v>948</v>
      </c>
      <c r="AM755">
        <v>2550628901</v>
      </c>
      <c r="AN755">
        <v>0</v>
      </c>
      <c r="AO755">
        <v>25759577</v>
      </c>
      <c r="AP755">
        <v>2550628901</v>
      </c>
      <c r="AQ755">
        <v>2576388478</v>
      </c>
      <c r="AR755">
        <v>85020963</v>
      </c>
      <c r="AS755">
        <v>0</v>
      </c>
      <c r="AT755">
        <v>858652</v>
      </c>
      <c r="AU755">
        <v>85020963</v>
      </c>
      <c r="AV755">
        <v>85879615</v>
      </c>
      <c r="AW755">
        <v>29.3047</v>
      </c>
      <c r="AX755">
        <v>10.7925</v>
      </c>
      <c r="AY755">
        <v>4661.37</v>
      </c>
      <c r="AZ755">
        <v>3290.26</v>
      </c>
      <c r="BA755">
        <v>1843</v>
      </c>
      <c r="BB755">
        <v>473</v>
      </c>
      <c r="BC755" t="str">
        <f t="shared" si="22"/>
        <v>u=1%, k=2x10^7</v>
      </c>
      <c r="BD755">
        <f t="shared" si="23"/>
        <v>0</v>
      </c>
    </row>
    <row r="756" spans="1:56">
      <c r="A756" t="s">
        <v>949</v>
      </c>
      <c r="B756" t="s">
        <v>67</v>
      </c>
      <c r="D756" t="s">
        <v>65</v>
      </c>
      <c r="E756" t="s">
        <v>60</v>
      </c>
      <c r="F756" t="s">
        <v>61</v>
      </c>
      <c r="G756">
        <v>30000</v>
      </c>
      <c r="H756">
        <v>0.5</v>
      </c>
      <c r="I756">
        <v>0.5</v>
      </c>
      <c r="J756">
        <v>0</v>
      </c>
      <c r="K756">
        <v>1</v>
      </c>
      <c r="L756">
        <v>20000000</v>
      </c>
      <c r="M756">
        <v>190</v>
      </c>
      <c r="N756">
        <v>190</v>
      </c>
      <c r="O756">
        <v>190</v>
      </c>
      <c r="P756">
        <v>0</v>
      </c>
      <c r="Q756" t="s">
        <v>62</v>
      </c>
      <c r="R756">
        <v>100007950294297</v>
      </c>
      <c r="S756">
        <v>10000945</v>
      </c>
      <c r="T756">
        <v>100007950294297</v>
      </c>
      <c r="U756">
        <v>10000945</v>
      </c>
      <c r="V756" t="s">
        <v>75</v>
      </c>
      <c r="W756">
        <v>29</v>
      </c>
      <c r="X756">
        <v>6652240</v>
      </c>
      <c r="Y756">
        <v>5038997</v>
      </c>
      <c r="Z756">
        <v>11691237</v>
      </c>
      <c r="AA756">
        <v>10000945</v>
      </c>
      <c r="AB756">
        <v>1.75749</v>
      </c>
      <c r="AC756">
        <v>1.98471</v>
      </c>
      <c r="AD756">
        <v>1.8554200000000001</v>
      </c>
      <c r="AE756">
        <v>23.150099999999998</v>
      </c>
      <c r="AF756">
        <v>654709272</v>
      </c>
      <c r="AJ756">
        <v>20184</v>
      </c>
      <c r="AM756">
        <v>3357074875</v>
      </c>
      <c r="AN756">
        <v>0</v>
      </c>
      <c r="AO756">
        <v>33910472</v>
      </c>
      <c r="AP756">
        <v>3357074875</v>
      </c>
      <c r="AQ756">
        <v>3390985347</v>
      </c>
      <c r="AR756">
        <v>111902495</v>
      </c>
      <c r="AS756">
        <v>0</v>
      </c>
      <c r="AT756">
        <v>1130349</v>
      </c>
      <c r="AU756">
        <v>111902495</v>
      </c>
      <c r="AV756">
        <v>113032844</v>
      </c>
      <c r="AW756">
        <v>29.3261</v>
      </c>
      <c r="AX756">
        <v>10.898</v>
      </c>
      <c r="AY756">
        <v>4665.2</v>
      </c>
      <c r="AZ756">
        <v>3275.25</v>
      </c>
      <c r="BA756">
        <v>1863</v>
      </c>
      <c r="BB756">
        <v>466</v>
      </c>
      <c r="BC756" t="str">
        <f t="shared" si="22"/>
        <v>u=1%, k=2x10^7</v>
      </c>
      <c r="BD756">
        <f t="shared" si="23"/>
        <v>0</v>
      </c>
    </row>
    <row r="757" spans="1:56">
      <c r="A757" t="s">
        <v>950</v>
      </c>
      <c r="B757" t="s">
        <v>68</v>
      </c>
      <c r="D757" t="s">
        <v>65</v>
      </c>
      <c r="E757" t="s">
        <v>60</v>
      </c>
      <c r="F757" t="s">
        <v>61</v>
      </c>
      <c r="G757">
        <v>30000</v>
      </c>
      <c r="H757">
        <v>0.5</v>
      </c>
      <c r="I757">
        <v>0.5</v>
      </c>
      <c r="J757">
        <v>0</v>
      </c>
      <c r="K757">
        <v>1</v>
      </c>
      <c r="L757">
        <v>20000000</v>
      </c>
      <c r="M757">
        <v>24</v>
      </c>
      <c r="N757">
        <v>24</v>
      </c>
      <c r="O757">
        <v>24</v>
      </c>
      <c r="P757">
        <v>0</v>
      </c>
      <c r="Q757" t="s">
        <v>62</v>
      </c>
      <c r="R757">
        <v>100016226158086</v>
      </c>
      <c r="S757">
        <v>9999768</v>
      </c>
      <c r="T757">
        <v>100016226158086</v>
      </c>
      <c r="U757">
        <v>9999768</v>
      </c>
      <c r="V757" t="s">
        <v>75</v>
      </c>
      <c r="W757">
        <v>62</v>
      </c>
      <c r="X757">
        <v>9999767</v>
      </c>
      <c r="Y757">
        <v>9999768</v>
      </c>
      <c r="Z757">
        <v>19999535</v>
      </c>
      <c r="AA757">
        <v>9999768</v>
      </c>
      <c r="AB757">
        <v>2</v>
      </c>
      <c r="AC757">
        <v>1</v>
      </c>
      <c r="AD757">
        <v>1.5</v>
      </c>
      <c r="AE757">
        <v>31.709700000000002</v>
      </c>
      <c r="AF757">
        <v>639985120</v>
      </c>
      <c r="AJ757" t="s">
        <v>951</v>
      </c>
      <c r="AM757">
        <v>333729464</v>
      </c>
      <c r="AN757">
        <v>0</v>
      </c>
      <c r="AO757">
        <v>3370161</v>
      </c>
      <c r="AP757">
        <v>333729464</v>
      </c>
      <c r="AQ757">
        <v>337099625</v>
      </c>
      <c r="AR757">
        <v>11124315</v>
      </c>
      <c r="AS757">
        <v>0</v>
      </c>
      <c r="AT757">
        <v>112338</v>
      </c>
      <c r="AU757">
        <v>11124315</v>
      </c>
      <c r="AV757">
        <v>11236654</v>
      </c>
      <c r="AW757">
        <v>24.289000000000001</v>
      </c>
      <c r="AX757">
        <v>8.6970399999999994</v>
      </c>
      <c r="AY757">
        <v>5958.48</v>
      </c>
      <c r="AZ757">
        <v>4522.72</v>
      </c>
      <c r="BA757">
        <v>1718</v>
      </c>
      <c r="BB757">
        <v>1508</v>
      </c>
      <c r="BC757" t="str">
        <f t="shared" si="22"/>
        <v>u=1%, k=2x10^7</v>
      </c>
      <c r="BD757">
        <f t="shared" si="23"/>
        <v>0</v>
      </c>
    </row>
    <row r="758" spans="1:56">
      <c r="A758" t="s">
        <v>952</v>
      </c>
      <c r="B758" t="s">
        <v>68</v>
      </c>
      <c r="D758" t="s">
        <v>65</v>
      </c>
      <c r="E758" t="s">
        <v>60</v>
      </c>
      <c r="F758" t="s">
        <v>61</v>
      </c>
      <c r="G758">
        <v>30000</v>
      </c>
      <c r="H758">
        <v>0.5</v>
      </c>
      <c r="I758">
        <v>0.5</v>
      </c>
      <c r="J758">
        <v>0</v>
      </c>
      <c r="K758">
        <v>1</v>
      </c>
      <c r="L758">
        <v>20000000</v>
      </c>
      <c r="M758">
        <v>48</v>
      </c>
      <c r="N758">
        <v>48</v>
      </c>
      <c r="O758">
        <v>48</v>
      </c>
      <c r="P758">
        <v>0</v>
      </c>
      <c r="Q758" t="s">
        <v>62</v>
      </c>
      <c r="R758">
        <v>99982541960479</v>
      </c>
      <c r="S758">
        <v>10000334</v>
      </c>
      <c r="T758">
        <v>99982541960479</v>
      </c>
      <c r="U758">
        <v>10000334</v>
      </c>
      <c r="V758" t="s">
        <v>75</v>
      </c>
      <c r="W758">
        <v>60</v>
      </c>
      <c r="X758">
        <v>10000333</v>
      </c>
      <c r="Y758">
        <v>10000334</v>
      </c>
      <c r="Z758">
        <v>20000667</v>
      </c>
      <c r="AA758">
        <v>10000334</v>
      </c>
      <c r="AB758">
        <v>2</v>
      </c>
      <c r="AC758">
        <v>1</v>
      </c>
      <c r="AD758">
        <v>1.5</v>
      </c>
      <c r="AE758">
        <v>31.250800000000002</v>
      </c>
      <c r="AF758">
        <v>640021344</v>
      </c>
      <c r="AJ758" t="s">
        <v>953</v>
      </c>
      <c r="AM758">
        <v>638641681</v>
      </c>
      <c r="AN758">
        <v>0</v>
      </c>
      <c r="AO758">
        <v>6448976</v>
      </c>
      <c r="AP758">
        <v>638641681</v>
      </c>
      <c r="AQ758">
        <v>645090657</v>
      </c>
      <c r="AR758">
        <v>21288056</v>
      </c>
      <c r="AS758">
        <v>0</v>
      </c>
      <c r="AT758">
        <v>214965</v>
      </c>
      <c r="AU758">
        <v>21288056</v>
      </c>
      <c r="AV758">
        <v>21503021</v>
      </c>
      <c r="AW758">
        <v>24.299199999999999</v>
      </c>
      <c r="AX758">
        <v>8.7371800000000004</v>
      </c>
      <c r="AY758">
        <v>6226.75</v>
      </c>
      <c r="AZ758">
        <v>5217.41</v>
      </c>
      <c r="BA758">
        <v>1722</v>
      </c>
      <c r="BB758">
        <v>1074</v>
      </c>
      <c r="BC758" t="str">
        <f t="shared" si="22"/>
        <v>u=1%, k=2x10^7</v>
      </c>
      <c r="BD758">
        <f t="shared" si="23"/>
        <v>0</v>
      </c>
    </row>
    <row r="759" spans="1:56">
      <c r="A759" t="s">
        <v>954</v>
      </c>
      <c r="B759" t="s">
        <v>68</v>
      </c>
      <c r="D759" t="s">
        <v>65</v>
      </c>
      <c r="E759" t="s">
        <v>60</v>
      </c>
      <c r="F759" t="s">
        <v>61</v>
      </c>
      <c r="G759">
        <v>30000</v>
      </c>
      <c r="H759">
        <v>0.5</v>
      </c>
      <c r="I759">
        <v>0.5</v>
      </c>
      <c r="J759">
        <v>0</v>
      </c>
      <c r="K759">
        <v>1</v>
      </c>
      <c r="L759">
        <v>20000000</v>
      </c>
      <c r="M759">
        <v>96</v>
      </c>
      <c r="N759">
        <v>96</v>
      </c>
      <c r="O759">
        <v>96</v>
      </c>
      <c r="P759">
        <v>0</v>
      </c>
      <c r="Q759" t="s">
        <v>62</v>
      </c>
      <c r="R759">
        <v>99976302832378</v>
      </c>
      <c r="S759">
        <v>9998278</v>
      </c>
      <c r="T759">
        <v>99976302832378</v>
      </c>
      <c r="U759">
        <v>9998278</v>
      </c>
      <c r="V759" t="s">
        <v>75</v>
      </c>
      <c r="W759">
        <v>60</v>
      </c>
      <c r="X759">
        <v>9998277</v>
      </c>
      <c r="Y759">
        <v>9998278</v>
      </c>
      <c r="Z759">
        <v>19996555</v>
      </c>
      <c r="AA759">
        <v>9998278</v>
      </c>
      <c r="AB759">
        <v>2</v>
      </c>
      <c r="AC759">
        <v>1</v>
      </c>
      <c r="AD759">
        <v>1.5</v>
      </c>
      <c r="AE759">
        <v>32.166600000000003</v>
      </c>
      <c r="AF759">
        <v>639889760</v>
      </c>
      <c r="AJ759" t="s">
        <v>955</v>
      </c>
      <c r="AM759">
        <v>1460110471</v>
      </c>
      <c r="AN759">
        <v>0</v>
      </c>
      <c r="AO759">
        <v>14751400</v>
      </c>
      <c r="AP759">
        <v>1460110471</v>
      </c>
      <c r="AQ759">
        <v>1474861871</v>
      </c>
      <c r="AR759">
        <v>48670349</v>
      </c>
      <c r="AS759">
        <v>0</v>
      </c>
      <c r="AT759">
        <v>491713</v>
      </c>
      <c r="AU759">
        <v>48670349</v>
      </c>
      <c r="AV759">
        <v>49162062</v>
      </c>
      <c r="AW759">
        <v>25.053599999999999</v>
      </c>
      <c r="AX759">
        <v>10.057</v>
      </c>
      <c r="AY759">
        <v>5438.64</v>
      </c>
      <c r="AZ759">
        <v>4432.18</v>
      </c>
      <c r="BA759">
        <v>1739</v>
      </c>
      <c r="BB759">
        <v>727</v>
      </c>
      <c r="BC759" t="str">
        <f t="shared" si="22"/>
        <v>u=1%, k=2x10^7</v>
      </c>
      <c r="BD759">
        <f t="shared" si="23"/>
        <v>0</v>
      </c>
    </row>
    <row r="760" spans="1:56">
      <c r="A760" t="s">
        <v>956</v>
      </c>
      <c r="B760" t="s">
        <v>68</v>
      </c>
      <c r="D760" t="s">
        <v>65</v>
      </c>
      <c r="E760" t="s">
        <v>60</v>
      </c>
      <c r="F760" t="s">
        <v>61</v>
      </c>
      <c r="G760">
        <v>30000</v>
      </c>
      <c r="H760">
        <v>0.5</v>
      </c>
      <c r="I760">
        <v>0.5</v>
      </c>
      <c r="J760">
        <v>0</v>
      </c>
      <c r="K760">
        <v>1</v>
      </c>
      <c r="L760">
        <v>20000000</v>
      </c>
      <c r="M760">
        <v>144</v>
      </c>
      <c r="N760">
        <v>144</v>
      </c>
      <c r="O760">
        <v>144</v>
      </c>
      <c r="P760">
        <v>0</v>
      </c>
      <c r="Q760" t="s">
        <v>62</v>
      </c>
      <c r="R760">
        <v>100028249141514</v>
      </c>
      <c r="S760">
        <v>10001954</v>
      </c>
      <c r="T760">
        <v>100028249141514</v>
      </c>
      <c r="U760">
        <v>10001954</v>
      </c>
      <c r="V760" t="s">
        <v>75</v>
      </c>
      <c r="W760">
        <v>62</v>
      </c>
      <c r="X760">
        <v>10001953</v>
      </c>
      <c r="Y760">
        <v>10001954</v>
      </c>
      <c r="Z760">
        <v>20003907</v>
      </c>
      <c r="AA760">
        <v>10001954</v>
      </c>
      <c r="AB760">
        <v>2</v>
      </c>
      <c r="AC760">
        <v>1</v>
      </c>
      <c r="AD760">
        <v>1.5</v>
      </c>
      <c r="AE760">
        <v>31.953600000000002</v>
      </c>
      <c r="AF760">
        <v>640125024</v>
      </c>
      <c r="AJ760" t="s">
        <v>957</v>
      </c>
      <c r="AM760">
        <v>2222236920</v>
      </c>
      <c r="AN760">
        <v>0</v>
      </c>
      <c r="AO760">
        <v>22447199</v>
      </c>
      <c r="AP760">
        <v>2222236920</v>
      </c>
      <c r="AQ760">
        <v>2244684119</v>
      </c>
      <c r="AR760">
        <v>74074564</v>
      </c>
      <c r="AS760">
        <v>0</v>
      </c>
      <c r="AT760">
        <v>748239</v>
      </c>
      <c r="AU760">
        <v>74074564</v>
      </c>
      <c r="AV760">
        <v>74822803</v>
      </c>
      <c r="AW760">
        <v>25.250800000000002</v>
      </c>
      <c r="AX760">
        <v>10.255000000000001</v>
      </c>
      <c r="AY760">
        <v>5357.11</v>
      </c>
      <c r="AZ760">
        <v>4355.3</v>
      </c>
      <c r="BA760">
        <v>1750</v>
      </c>
      <c r="BB760">
        <v>432</v>
      </c>
      <c r="BC760" t="str">
        <f t="shared" si="22"/>
        <v>u=1%, k=2x10^7</v>
      </c>
      <c r="BD760">
        <f t="shared" si="23"/>
        <v>0</v>
      </c>
    </row>
    <row r="761" spans="1:56">
      <c r="A761" t="s">
        <v>958</v>
      </c>
      <c r="B761" t="s">
        <v>68</v>
      </c>
      <c r="D761" t="s">
        <v>65</v>
      </c>
      <c r="E761" t="s">
        <v>60</v>
      </c>
      <c r="F761" t="s">
        <v>61</v>
      </c>
      <c r="G761">
        <v>30000</v>
      </c>
      <c r="H761">
        <v>0.5</v>
      </c>
      <c r="I761">
        <v>0.5</v>
      </c>
      <c r="J761">
        <v>0</v>
      </c>
      <c r="K761">
        <v>1</v>
      </c>
      <c r="L761">
        <v>20000000</v>
      </c>
      <c r="M761">
        <v>190</v>
      </c>
      <c r="N761">
        <v>190</v>
      </c>
      <c r="O761">
        <v>190</v>
      </c>
      <c r="P761">
        <v>0</v>
      </c>
      <c r="Q761" t="s">
        <v>62</v>
      </c>
      <c r="R761">
        <v>99987385677288</v>
      </c>
      <c r="S761">
        <v>9998732</v>
      </c>
      <c r="T761">
        <v>99987385677288</v>
      </c>
      <c r="U761">
        <v>9998732</v>
      </c>
      <c r="V761" t="s">
        <v>75</v>
      </c>
      <c r="W761">
        <v>61</v>
      </c>
      <c r="X761">
        <v>9998731</v>
      </c>
      <c r="Y761">
        <v>9998732</v>
      </c>
      <c r="Z761">
        <v>19997463</v>
      </c>
      <c r="AA761">
        <v>9998732</v>
      </c>
      <c r="AB761">
        <v>2</v>
      </c>
      <c r="AC761">
        <v>1</v>
      </c>
      <c r="AD761">
        <v>1.5</v>
      </c>
      <c r="AE761">
        <v>30.966899999999999</v>
      </c>
      <c r="AF761">
        <v>639918816</v>
      </c>
      <c r="AJ761" t="s">
        <v>959</v>
      </c>
      <c r="AM761">
        <v>2959561391</v>
      </c>
      <c r="AN761">
        <v>0</v>
      </c>
      <c r="AO761">
        <v>29898295</v>
      </c>
      <c r="AP761">
        <v>2959561391</v>
      </c>
      <c r="AQ761">
        <v>2989459686</v>
      </c>
      <c r="AR761">
        <v>98652046</v>
      </c>
      <c r="AS761">
        <v>0</v>
      </c>
      <c r="AT761">
        <v>996609</v>
      </c>
      <c r="AU761">
        <v>98652046</v>
      </c>
      <c r="AV761">
        <v>99648656</v>
      </c>
      <c r="AW761">
        <v>25.303100000000001</v>
      </c>
      <c r="AX761">
        <v>10.348599999999999</v>
      </c>
      <c r="AY761">
        <v>5305.54</v>
      </c>
      <c r="AZ761">
        <v>4305.6000000000004</v>
      </c>
      <c r="BA761">
        <v>1759</v>
      </c>
      <c r="BB761">
        <v>427</v>
      </c>
      <c r="BC761" t="str">
        <f t="shared" si="22"/>
        <v>u=1%, k=2x10^7</v>
      </c>
      <c r="BD761">
        <f t="shared" si="23"/>
        <v>0</v>
      </c>
    </row>
    <row r="762" spans="1:56">
      <c r="A762" t="s">
        <v>960</v>
      </c>
      <c r="B762" t="s">
        <v>64</v>
      </c>
      <c r="C762">
        <v>72</v>
      </c>
      <c r="D762" t="s">
        <v>65</v>
      </c>
      <c r="E762" t="s">
        <v>60</v>
      </c>
      <c r="F762" t="s">
        <v>61</v>
      </c>
      <c r="G762">
        <v>30000</v>
      </c>
      <c r="H762">
        <v>0.5</v>
      </c>
      <c r="I762">
        <v>0.5</v>
      </c>
      <c r="J762">
        <v>0</v>
      </c>
      <c r="K762">
        <v>1</v>
      </c>
      <c r="L762">
        <v>200000000</v>
      </c>
      <c r="M762">
        <v>24</v>
      </c>
      <c r="N762">
        <v>24</v>
      </c>
      <c r="O762">
        <v>24</v>
      </c>
      <c r="P762">
        <v>0</v>
      </c>
      <c r="Q762" t="s">
        <v>62</v>
      </c>
      <c r="R762">
        <v>1.00002995398671E+16</v>
      </c>
      <c r="S762">
        <v>99999785</v>
      </c>
      <c r="T762">
        <v>1.00002995398671E+16</v>
      </c>
      <c r="U762">
        <v>99999785</v>
      </c>
      <c r="V762" t="s">
        <v>75</v>
      </c>
      <c r="W762">
        <v>7</v>
      </c>
      <c r="X762">
        <v>12904765</v>
      </c>
      <c r="Y762">
        <v>113840426</v>
      </c>
      <c r="Z762">
        <v>126745191</v>
      </c>
      <c r="AA762">
        <v>99999785</v>
      </c>
      <c r="AB762">
        <v>9.8215800000000009</v>
      </c>
      <c r="AC762">
        <v>0.87842100000000001</v>
      </c>
      <c r="AD762">
        <v>1.78898</v>
      </c>
      <c r="AE762">
        <v>4.0387399999999998</v>
      </c>
      <c r="AF762">
        <v>2854770512</v>
      </c>
      <c r="AG762" t="s">
        <v>961</v>
      </c>
      <c r="AH762" t="s">
        <v>961</v>
      </c>
      <c r="AJ762">
        <v>316704</v>
      </c>
      <c r="AM762">
        <v>852636691</v>
      </c>
      <c r="AN762">
        <v>0</v>
      </c>
      <c r="AO762">
        <v>8610106</v>
      </c>
      <c r="AP762">
        <v>852636691</v>
      </c>
      <c r="AQ762">
        <v>861246797</v>
      </c>
      <c r="AR762">
        <v>28421223</v>
      </c>
      <c r="AS762">
        <v>0</v>
      </c>
      <c r="AT762">
        <v>287003</v>
      </c>
      <c r="AU762">
        <v>28421223</v>
      </c>
      <c r="AV762">
        <v>28708226</v>
      </c>
      <c r="AW762">
        <v>18.849900000000002</v>
      </c>
      <c r="AX762">
        <v>8.1974199999999993</v>
      </c>
      <c r="AY762">
        <v>2330.81</v>
      </c>
      <c r="AZ762">
        <v>1738.53</v>
      </c>
      <c r="BA762">
        <v>7280</v>
      </c>
      <c r="BB762">
        <v>1549</v>
      </c>
      <c r="BC762" t="str">
        <f t="shared" si="22"/>
        <v>u=1%, k=2x10^8</v>
      </c>
      <c r="BD762" t="str">
        <f t="shared" si="23"/>
        <v>0</v>
      </c>
    </row>
    <row r="763" spans="1:56">
      <c r="A763" t="s">
        <v>962</v>
      </c>
      <c r="B763" t="s">
        <v>64</v>
      </c>
      <c r="C763">
        <v>72</v>
      </c>
      <c r="D763" t="s">
        <v>65</v>
      </c>
      <c r="E763" t="s">
        <v>60</v>
      </c>
      <c r="F763" t="s">
        <v>61</v>
      </c>
      <c r="G763">
        <v>30000</v>
      </c>
      <c r="H763">
        <v>0.5</v>
      </c>
      <c r="I763">
        <v>0.5</v>
      </c>
      <c r="J763">
        <v>0</v>
      </c>
      <c r="K763">
        <v>1</v>
      </c>
      <c r="L763">
        <v>200000000</v>
      </c>
      <c r="M763">
        <v>48</v>
      </c>
      <c r="N763">
        <v>48</v>
      </c>
      <c r="O763">
        <v>48</v>
      </c>
      <c r="P763">
        <v>0</v>
      </c>
      <c r="Q763" t="s">
        <v>62</v>
      </c>
      <c r="R763">
        <v>1.00005599281629E+16</v>
      </c>
      <c r="S763">
        <v>100000217</v>
      </c>
      <c r="T763">
        <v>1.00005599281629E+16</v>
      </c>
      <c r="U763">
        <v>100000217</v>
      </c>
      <c r="V763" t="s">
        <v>75</v>
      </c>
      <c r="W763">
        <v>7</v>
      </c>
      <c r="X763">
        <v>13898774</v>
      </c>
      <c r="Y763">
        <v>115923453</v>
      </c>
      <c r="Z763">
        <v>129822227</v>
      </c>
      <c r="AA763">
        <v>100000217</v>
      </c>
      <c r="AB763">
        <v>9.3405500000000004</v>
      </c>
      <c r="AC763">
        <v>0.86263999999999996</v>
      </c>
      <c r="AD763">
        <v>1.7702899999999999</v>
      </c>
      <c r="AE763">
        <v>4.0596699999999997</v>
      </c>
      <c r="AF763">
        <v>2968801216</v>
      </c>
      <c r="AG763" t="s">
        <v>963</v>
      </c>
      <c r="AH763" t="s">
        <v>963</v>
      </c>
      <c r="AJ763">
        <v>137184</v>
      </c>
      <c r="AM763">
        <v>1505034723</v>
      </c>
      <c r="AN763">
        <v>0</v>
      </c>
      <c r="AO763">
        <v>15206472</v>
      </c>
      <c r="AP763">
        <v>1505034723</v>
      </c>
      <c r="AQ763">
        <v>1520241195</v>
      </c>
      <c r="AR763">
        <v>50167824</v>
      </c>
      <c r="AS763">
        <v>0</v>
      </c>
      <c r="AT763">
        <v>506882</v>
      </c>
      <c r="AU763">
        <v>50167824</v>
      </c>
      <c r="AV763">
        <v>50674706</v>
      </c>
      <c r="AW763">
        <v>19.001300000000001</v>
      </c>
      <c r="AX763">
        <v>8.2640700000000002</v>
      </c>
      <c r="AY763">
        <v>2638.29</v>
      </c>
      <c r="AZ763">
        <v>1958.32</v>
      </c>
      <c r="BA763">
        <v>7480</v>
      </c>
      <c r="BB763">
        <v>1256</v>
      </c>
      <c r="BC763" t="str">
        <f t="shared" si="22"/>
        <v>u=1%, k=2x10^8</v>
      </c>
      <c r="BD763" t="str">
        <f t="shared" si="23"/>
        <v>0</v>
      </c>
    </row>
    <row r="764" spans="1:56">
      <c r="A764" t="s">
        <v>964</v>
      </c>
      <c r="B764" t="s">
        <v>64</v>
      </c>
      <c r="C764">
        <v>72</v>
      </c>
      <c r="D764" t="s">
        <v>65</v>
      </c>
      <c r="E764" t="s">
        <v>60</v>
      </c>
      <c r="F764" t="s">
        <v>61</v>
      </c>
      <c r="G764">
        <v>30000</v>
      </c>
      <c r="H764">
        <v>0.5</v>
      </c>
      <c r="I764">
        <v>0.5</v>
      </c>
      <c r="J764">
        <v>0</v>
      </c>
      <c r="K764">
        <v>1</v>
      </c>
      <c r="L764">
        <v>200000000</v>
      </c>
      <c r="M764">
        <v>96</v>
      </c>
      <c r="N764">
        <v>96</v>
      </c>
      <c r="O764">
        <v>96</v>
      </c>
      <c r="P764">
        <v>0</v>
      </c>
      <c r="Q764" t="s">
        <v>62</v>
      </c>
      <c r="R764">
        <v>9999334873918810</v>
      </c>
      <c r="S764">
        <v>99998594</v>
      </c>
      <c r="T764">
        <v>9999334873918810</v>
      </c>
      <c r="U764">
        <v>99998594</v>
      </c>
      <c r="V764" t="s">
        <v>75</v>
      </c>
      <c r="W764">
        <v>7</v>
      </c>
      <c r="X764">
        <v>14929752</v>
      </c>
      <c r="Y764">
        <v>118221438</v>
      </c>
      <c r="Z764">
        <v>133151190</v>
      </c>
      <c r="AA764">
        <v>99998594</v>
      </c>
      <c r="AB764">
        <v>8.9185099999999995</v>
      </c>
      <c r="AC764">
        <v>0.845858</v>
      </c>
      <c r="AD764">
        <v>1.75102</v>
      </c>
      <c r="AE764">
        <v>4.0818500000000002</v>
      </c>
      <c r="AF764">
        <v>3090095360</v>
      </c>
      <c r="AG764" t="s">
        <v>965</v>
      </c>
      <c r="AH764" t="s">
        <v>965</v>
      </c>
      <c r="AJ764">
        <v>67956</v>
      </c>
      <c r="AM764">
        <v>3006850468</v>
      </c>
      <c r="AN764">
        <v>0</v>
      </c>
      <c r="AO764">
        <v>30380017</v>
      </c>
      <c r="AP764">
        <v>3006850468</v>
      </c>
      <c r="AQ764">
        <v>3037230485</v>
      </c>
      <c r="AR764">
        <v>100228348</v>
      </c>
      <c r="AS764">
        <v>0</v>
      </c>
      <c r="AT764">
        <v>1012667</v>
      </c>
      <c r="AU764">
        <v>100228348</v>
      </c>
      <c r="AV764">
        <v>101241016</v>
      </c>
      <c r="AW764">
        <v>19.185600000000001</v>
      </c>
      <c r="AX764">
        <v>9.1701499999999996</v>
      </c>
      <c r="AY764">
        <v>2638.4</v>
      </c>
      <c r="AZ764">
        <v>1912.62</v>
      </c>
      <c r="BA764">
        <v>7906</v>
      </c>
      <c r="BB764">
        <v>1034</v>
      </c>
      <c r="BC764" t="str">
        <f t="shared" si="22"/>
        <v>u=1%, k=2x10^8</v>
      </c>
      <c r="BD764" t="str">
        <f t="shared" si="23"/>
        <v>0</v>
      </c>
    </row>
    <row r="765" spans="1:56">
      <c r="A765" t="s">
        <v>966</v>
      </c>
      <c r="B765" t="s">
        <v>64</v>
      </c>
      <c r="C765">
        <v>72</v>
      </c>
      <c r="D765" t="s">
        <v>65</v>
      </c>
      <c r="E765" t="s">
        <v>60</v>
      </c>
      <c r="F765" t="s">
        <v>61</v>
      </c>
      <c r="G765">
        <v>30000</v>
      </c>
      <c r="H765">
        <v>0.5</v>
      </c>
      <c r="I765">
        <v>0.5</v>
      </c>
      <c r="J765">
        <v>0</v>
      </c>
      <c r="K765">
        <v>1</v>
      </c>
      <c r="L765">
        <v>200000000</v>
      </c>
      <c r="M765">
        <v>144</v>
      </c>
      <c r="N765">
        <v>144</v>
      </c>
      <c r="O765">
        <v>144</v>
      </c>
      <c r="P765">
        <v>0</v>
      </c>
      <c r="Q765" t="s">
        <v>62</v>
      </c>
      <c r="R765">
        <v>1.00003602203306E+16</v>
      </c>
      <c r="S765">
        <v>100000420</v>
      </c>
      <c r="T765">
        <v>1.00003602203306E+16</v>
      </c>
      <c r="U765">
        <v>100000420</v>
      </c>
      <c r="V765" t="s">
        <v>75</v>
      </c>
      <c r="W765">
        <v>7</v>
      </c>
      <c r="X765">
        <v>13768538</v>
      </c>
      <c r="Y765">
        <v>115704069</v>
      </c>
      <c r="Z765">
        <v>129472607</v>
      </c>
      <c r="AA765">
        <v>100000420</v>
      </c>
      <c r="AB765">
        <v>9.4035100000000007</v>
      </c>
      <c r="AC765">
        <v>0.86427699999999996</v>
      </c>
      <c r="AD765">
        <v>1.77237</v>
      </c>
      <c r="AE765">
        <v>4.0548700000000002</v>
      </c>
      <c r="AF765">
        <v>2955702048</v>
      </c>
      <c r="AG765" t="s">
        <v>967</v>
      </c>
      <c r="AH765" t="s">
        <v>968</v>
      </c>
      <c r="AI765">
        <v>440</v>
      </c>
      <c r="AJ765">
        <v>43406</v>
      </c>
      <c r="AM765">
        <v>4402937298</v>
      </c>
      <c r="AN765">
        <v>0</v>
      </c>
      <c r="AO765">
        <v>44478347</v>
      </c>
      <c r="AP765">
        <v>4402937298</v>
      </c>
      <c r="AQ765">
        <v>4447415645</v>
      </c>
      <c r="AR765">
        <v>146764576</v>
      </c>
      <c r="AS765">
        <v>0</v>
      </c>
      <c r="AT765">
        <v>1482611</v>
      </c>
      <c r="AU765">
        <v>146764576</v>
      </c>
      <c r="AV765">
        <v>148247188</v>
      </c>
      <c r="AW765">
        <v>19.381399999999999</v>
      </c>
      <c r="AX765">
        <v>9.4746199999999998</v>
      </c>
      <c r="AY765">
        <v>2696.62</v>
      </c>
      <c r="AZ765">
        <v>1951.64</v>
      </c>
      <c r="BA765">
        <v>8843</v>
      </c>
      <c r="BB765">
        <v>1020</v>
      </c>
      <c r="BC765" t="str">
        <f t="shared" si="22"/>
        <v>u=1%, k=2x10^8</v>
      </c>
      <c r="BD765" t="str">
        <f t="shared" si="23"/>
        <v>0</v>
      </c>
    </row>
    <row r="766" spans="1:56">
      <c r="A766" t="s">
        <v>969</v>
      </c>
      <c r="B766" t="s">
        <v>64</v>
      </c>
      <c r="C766">
        <v>72</v>
      </c>
      <c r="D766" t="s">
        <v>65</v>
      </c>
      <c r="E766" t="s">
        <v>60</v>
      </c>
      <c r="F766" t="s">
        <v>61</v>
      </c>
      <c r="G766">
        <v>30000</v>
      </c>
      <c r="H766">
        <v>0.5</v>
      </c>
      <c r="I766">
        <v>0.5</v>
      </c>
      <c r="J766">
        <v>0</v>
      </c>
      <c r="K766">
        <v>1</v>
      </c>
      <c r="L766">
        <v>200000000</v>
      </c>
      <c r="M766">
        <v>190</v>
      </c>
      <c r="N766">
        <v>190</v>
      </c>
      <c r="O766">
        <v>190</v>
      </c>
      <c r="P766">
        <v>0</v>
      </c>
      <c r="Q766" t="s">
        <v>62</v>
      </c>
      <c r="R766">
        <v>9999740839479560</v>
      </c>
      <c r="S766">
        <v>99997239</v>
      </c>
      <c r="T766">
        <v>9999740839479560</v>
      </c>
      <c r="U766">
        <v>99997239</v>
      </c>
      <c r="V766" t="s">
        <v>75</v>
      </c>
      <c r="W766">
        <v>7</v>
      </c>
      <c r="X766">
        <v>12592244</v>
      </c>
      <c r="Y766">
        <v>113197089</v>
      </c>
      <c r="Z766">
        <v>125789333</v>
      </c>
      <c r="AA766">
        <v>99997239</v>
      </c>
      <c r="AB766">
        <v>9.9894300000000005</v>
      </c>
      <c r="AC766">
        <v>0.88339100000000004</v>
      </c>
      <c r="AD766">
        <v>1.7949600000000001</v>
      </c>
      <c r="AE766">
        <v>4.0322399999999998</v>
      </c>
      <c r="AF766">
        <v>2819201904</v>
      </c>
      <c r="AG766" t="s">
        <v>970</v>
      </c>
      <c r="AH766" t="s">
        <v>970</v>
      </c>
      <c r="AI766">
        <v>4066</v>
      </c>
      <c r="AJ766">
        <v>32444</v>
      </c>
      <c r="AM766">
        <v>5639880434</v>
      </c>
      <c r="AN766">
        <v>0</v>
      </c>
      <c r="AO766">
        <v>56970927</v>
      </c>
      <c r="AP766">
        <v>5639880434</v>
      </c>
      <c r="AQ766">
        <v>5696851361</v>
      </c>
      <c r="AR766">
        <v>187996014</v>
      </c>
      <c r="AS766">
        <v>0</v>
      </c>
      <c r="AT766">
        <v>1899030</v>
      </c>
      <c r="AU766">
        <v>187996014</v>
      </c>
      <c r="AV766">
        <v>189895045</v>
      </c>
      <c r="AW766">
        <v>19.423200000000001</v>
      </c>
      <c r="AX766">
        <v>9.5677400000000006</v>
      </c>
      <c r="AY766">
        <v>2727.68</v>
      </c>
      <c r="AZ766">
        <v>1976.25</v>
      </c>
      <c r="BA766">
        <v>13319</v>
      </c>
      <c r="BB766">
        <v>1137</v>
      </c>
      <c r="BC766" t="str">
        <f t="shared" si="22"/>
        <v>u=1%, k=2x10^8</v>
      </c>
      <c r="BD766" t="str">
        <f t="shared" si="23"/>
        <v>1</v>
      </c>
    </row>
    <row r="767" spans="1:56">
      <c r="A767" t="s">
        <v>971</v>
      </c>
      <c r="B767" t="s">
        <v>66</v>
      </c>
      <c r="C767">
        <v>208</v>
      </c>
      <c r="D767" t="s">
        <v>65</v>
      </c>
      <c r="E767" t="s">
        <v>60</v>
      </c>
      <c r="F767" t="s">
        <v>61</v>
      </c>
      <c r="G767">
        <v>30000</v>
      </c>
      <c r="H767">
        <v>0.5</v>
      </c>
      <c r="I767">
        <v>0.5</v>
      </c>
      <c r="J767">
        <v>0</v>
      </c>
      <c r="K767">
        <v>1</v>
      </c>
      <c r="L767">
        <v>200000000</v>
      </c>
      <c r="M767">
        <v>24</v>
      </c>
      <c r="N767">
        <v>24</v>
      </c>
      <c r="O767">
        <v>24</v>
      </c>
      <c r="P767">
        <v>0</v>
      </c>
      <c r="Q767" t="s">
        <v>62</v>
      </c>
      <c r="R767">
        <v>9999905157669870</v>
      </c>
      <c r="S767">
        <v>99998577</v>
      </c>
      <c r="T767">
        <v>9999905157669870</v>
      </c>
      <c r="U767">
        <v>99998577</v>
      </c>
      <c r="V767" t="s">
        <v>75</v>
      </c>
      <c r="W767">
        <v>10</v>
      </c>
      <c r="X767">
        <v>1879427</v>
      </c>
      <c r="Y767">
        <v>12934477</v>
      </c>
      <c r="Z767">
        <v>14813904</v>
      </c>
      <c r="AA767">
        <v>99998577</v>
      </c>
      <c r="AB767">
        <v>7.8821399999999997</v>
      </c>
      <c r="AC767">
        <v>7.7311699999999997</v>
      </c>
      <c r="AD767">
        <v>7.7503200000000003</v>
      </c>
      <c r="AE767">
        <v>9</v>
      </c>
      <c r="AF767">
        <v>3081292032</v>
      </c>
      <c r="AJ767" t="s">
        <v>972</v>
      </c>
      <c r="AM767">
        <v>597145978</v>
      </c>
      <c r="AN767">
        <v>0</v>
      </c>
      <c r="AO767">
        <v>6032614</v>
      </c>
      <c r="AP767">
        <v>597145978</v>
      </c>
      <c r="AQ767">
        <v>603178592</v>
      </c>
      <c r="AR767">
        <v>19904865</v>
      </c>
      <c r="AS767">
        <v>0</v>
      </c>
      <c r="AT767">
        <v>201087</v>
      </c>
      <c r="AU767">
        <v>19904865</v>
      </c>
      <c r="AV767">
        <v>20105953</v>
      </c>
      <c r="AW767">
        <v>23.740300000000001</v>
      </c>
      <c r="AX767">
        <v>9.5187600000000003</v>
      </c>
      <c r="AY767">
        <v>3329.36</v>
      </c>
      <c r="AZ767">
        <v>2243.3000000000002</v>
      </c>
      <c r="BA767">
        <v>4342</v>
      </c>
      <c r="BB767">
        <v>9616</v>
      </c>
      <c r="BC767" t="str">
        <f t="shared" si="22"/>
        <v>u=1%, k=2x10^8</v>
      </c>
      <c r="BD767">
        <f t="shared" si="23"/>
        <v>0</v>
      </c>
    </row>
    <row r="768" spans="1:56">
      <c r="A768" t="s">
        <v>973</v>
      </c>
      <c r="B768" t="s">
        <v>66</v>
      </c>
      <c r="C768">
        <v>208</v>
      </c>
      <c r="D768" t="s">
        <v>65</v>
      </c>
      <c r="E768" t="s">
        <v>60</v>
      </c>
      <c r="F768" t="s">
        <v>61</v>
      </c>
      <c r="G768">
        <v>30000</v>
      </c>
      <c r="H768">
        <v>0.5</v>
      </c>
      <c r="I768">
        <v>0.5</v>
      </c>
      <c r="J768">
        <v>0</v>
      </c>
      <c r="K768">
        <v>1</v>
      </c>
      <c r="L768">
        <v>200000000</v>
      </c>
      <c r="M768">
        <v>48</v>
      </c>
      <c r="N768">
        <v>48</v>
      </c>
      <c r="O768">
        <v>48</v>
      </c>
      <c r="P768">
        <v>0</v>
      </c>
      <c r="Q768" t="s">
        <v>62</v>
      </c>
      <c r="R768">
        <v>9999063273390000</v>
      </c>
      <c r="S768">
        <v>99999579</v>
      </c>
      <c r="T768">
        <v>9999063273390000</v>
      </c>
      <c r="U768">
        <v>99999579</v>
      </c>
      <c r="V768" t="s">
        <v>75</v>
      </c>
      <c r="W768">
        <v>10</v>
      </c>
      <c r="X768">
        <v>1898401</v>
      </c>
      <c r="Y768">
        <v>13065971</v>
      </c>
      <c r="Z768">
        <v>14964372</v>
      </c>
      <c r="AA768">
        <v>99999579</v>
      </c>
      <c r="AB768">
        <v>7.8826200000000002</v>
      </c>
      <c r="AC768">
        <v>7.6534399999999998</v>
      </c>
      <c r="AD768">
        <v>7.6825099999999997</v>
      </c>
      <c r="AE768">
        <v>9</v>
      </c>
      <c r="AF768">
        <v>3112589376</v>
      </c>
      <c r="AJ768" t="s">
        <v>974</v>
      </c>
      <c r="AM768">
        <v>1112232435</v>
      </c>
      <c r="AN768">
        <v>0</v>
      </c>
      <c r="AO768">
        <v>11231375</v>
      </c>
      <c r="AP768">
        <v>1112232435</v>
      </c>
      <c r="AQ768">
        <v>1123463810</v>
      </c>
      <c r="AR768">
        <v>37074414</v>
      </c>
      <c r="AS768">
        <v>0</v>
      </c>
      <c r="AT768">
        <v>374379</v>
      </c>
      <c r="AU768">
        <v>37074414</v>
      </c>
      <c r="AV768">
        <v>37448793</v>
      </c>
      <c r="AW768">
        <v>23.4893</v>
      </c>
      <c r="AX768">
        <v>9.4953800000000008</v>
      </c>
      <c r="AY768">
        <v>3573.97</v>
      </c>
      <c r="AZ768">
        <v>2681.48</v>
      </c>
      <c r="BA768">
        <v>4458</v>
      </c>
      <c r="BB768">
        <v>6522</v>
      </c>
      <c r="BC768" t="str">
        <f t="shared" si="22"/>
        <v>u=1%, k=2x10^8</v>
      </c>
      <c r="BD768">
        <f t="shared" si="23"/>
        <v>0</v>
      </c>
    </row>
    <row r="769" spans="1:56">
      <c r="A769" t="s">
        <v>975</v>
      </c>
      <c r="B769" t="s">
        <v>66</v>
      </c>
      <c r="C769">
        <v>208</v>
      </c>
      <c r="D769" t="s">
        <v>65</v>
      </c>
      <c r="E769" t="s">
        <v>60</v>
      </c>
      <c r="F769" t="s">
        <v>61</v>
      </c>
      <c r="G769">
        <v>30000</v>
      </c>
      <c r="H769">
        <v>0.5</v>
      </c>
      <c r="I769">
        <v>0.5</v>
      </c>
      <c r="J769">
        <v>0</v>
      </c>
      <c r="K769">
        <v>1</v>
      </c>
      <c r="L769">
        <v>200000000</v>
      </c>
      <c r="M769">
        <v>96</v>
      </c>
      <c r="N769">
        <v>96</v>
      </c>
      <c r="O769">
        <v>96</v>
      </c>
      <c r="P769">
        <v>0</v>
      </c>
      <c r="Q769" t="s">
        <v>62</v>
      </c>
      <c r="R769">
        <v>1.00004652733432E+16</v>
      </c>
      <c r="S769">
        <v>99998235</v>
      </c>
      <c r="T769">
        <v>1.00004652733432E+16</v>
      </c>
      <c r="U769">
        <v>99998235</v>
      </c>
      <c r="V769" t="s">
        <v>75</v>
      </c>
      <c r="W769">
        <v>10</v>
      </c>
      <c r="X769">
        <v>1937021</v>
      </c>
      <c r="Y769">
        <v>13334959</v>
      </c>
      <c r="Z769">
        <v>15271980</v>
      </c>
      <c r="AA769">
        <v>99998235</v>
      </c>
      <c r="AB769">
        <v>7.8842600000000003</v>
      </c>
      <c r="AC769">
        <v>7.4989499999999998</v>
      </c>
      <c r="AD769">
        <v>7.5478199999999998</v>
      </c>
      <c r="AE769">
        <v>9</v>
      </c>
      <c r="AF769">
        <v>3176571840</v>
      </c>
      <c r="AJ769" t="s">
        <v>976</v>
      </c>
      <c r="AM769">
        <v>2348843910</v>
      </c>
      <c r="AN769">
        <v>0</v>
      </c>
      <c r="AO769">
        <v>23727504</v>
      </c>
      <c r="AP769">
        <v>2348843910</v>
      </c>
      <c r="AQ769">
        <v>2372571414</v>
      </c>
      <c r="AR769">
        <v>78294797</v>
      </c>
      <c r="AS769">
        <v>0</v>
      </c>
      <c r="AT769">
        <v>790916</v>
      </c>
      <c r="AU769">
        <v>78294797</v>
      </c>
      <c r="AV769">
        <v>79085713</v>
      </c>
      <c r="AW769">
        <v>23.564599999999999</v>
      </c>
      <c r="AX769">
        <v>10.248200000000001</v>
      </c>
      <c r="AY769">
        <v>3379.5</v>
      </c>
      <c r="AZ769">
        <v>2431.19</v>
      </c>
      <c r="BA769">
        <v>4816</v>
      </c>
      <c r="BB769">
        <v>6482</v>
      </c>
      <c r="BC769" t="str">
        <f t="shared" si="22"/>
        <v>u=1%, k=2x10^8</v>
      </c>
      <c r="BD769">
        <f t="shared" si="23"/>
        <v>0</v>
      </c>
    </row>
    <row r="770" spans="1:56">
      <c r="A770" t="s">
        <v>977</v>
      </c>
      <c r="B770" t="s">
        <v>66</v>
      </c>
      <c r="C770">
        <v>208</v>
      </c>
      <c r="D770" t="s">
        <v>65</v>
      </c>
      <c r="E770" t="s">
        <v>60</v>
      </c>
      <c r="F770" t="s">
        <v>61</v>
      </c>
      <c r="G770">
        <v>30000</v>
      </c>
      <c r="H770">
        <v>0.5</v>
      </c>
      <c r="I770">
        <v>0.5</v>
      </c>
      <c r="J770">
        <v>0</v>
      </c>
      <c r="K770">
        <v>1</v>
      </c>
      <c r="L770">
        <v>200000000</v>
      </c>
      <c r="M770">
        <v>144</v>
      </c>
      <c r="N770">
        <v>144</v>
      </c>
      <c r="O770">
        <v>144</v>
      </c>
      <c r="P770">
        <v>0</v>
      </c>
      <c r="Q770" t="s">
        <v>62</v>
      </c>
      <c r="R770">
        <v>1.00008020832574E+16</v>
      </c>
      <c r="S770">
        <v>100004543</v>
      </c>
      <c r="T770">
        <v>1.00008020832574E+16</v>
      </c>
      <c r="U770">
        <v>100004543</v>
      </c>
      <c r="V770" t="s">
        <v>75</v>
      </c>
      <c r="W770">
        <v>10</v>
      </c>
      <c r="X770">
        <v>1969084</v>
      </c>
      <c r="Y770">
        <v>13549057</v>
      </c>
      <c r="Z770">
        <v>15518141</v>
      </c>
      <c r="AA770">
        <v>100004543</v>
      </c>
      <c r="AB770">
        <v>7.88089</v>
      </c>
      <c r="AC770">
        <v>7.3809199999999997</v>
      </c>
      <c r="AD770">
        <v>7.4443599999999996</v>
      </c>
      <c r="AE770">
        <v>9</v>
      </c>
      <c r="AF770">
        <v>3227773328</v>
      </c>
      <c r="AJ770" t="s">
        <v>978</v>
      </c>
      <c r="AM770">
        <v>3523486725</v>
      </c>
      <c r="AN770">
        <v>0</v>
      </c>
      <c r="AO770">
        <v>35593666</v>
      </c>
      <c r="AP770">
        <v>3523486725</v>
      </c>
      <c r="AQ770">
        <v>3559080391</v>
      </c>
      <c r="AR770">
        <v>117449557</v>
      </c>
      <c r="AS770">
        <v>0</v>
      </c>
      <c r="AT770">
        <v>1186455</v>
      </c>
      <c r="AU770">
        <v>117449557</v>
      </c>
      <c r="AV770">
        <v>118636013</v>
      </c>
      <c r="AW770">
        <v>23.6675</v>
      </c>
      <c r="AX770">
        <v>10.514799999999999</v>
      </c>
      <c r="AY770">
        <v>3371.36</v>
      </c>
      <c r="AZ770">
        <v>2412.67</v>
      </c>
      <c r="BA770">
        <v>4966</v>
      </c>
      <c r="BB770">
        <v>6058</v>
      </c>
      <c r="BC770" t="str">
        <f t="shared" ref="BC770:BC833" si="24">"u="&amp;(H770+I770)&amp;"%, k=2x10^"&amp;LOG10(L770/2)</f>
        <v>u=1%, k=2x10^8</v>
      </c>
      <c r="BD770">
        <f t="shared" ref="BD770:BD833" si="25">IF(AH770="",0,LEFT(AH770,IF(ISNUMBER(FIND(" ",AH770)),FIND(" ",AH770)-1,LEN(AH770))))</f>
        <v>0</v>
      </c>
    </row>
    <row r="771" spans="1:56">
      <c r="A771" t="s">
        <v>979</v>
      </c>
      <c r="B771" t="s">
        <v>66</v>
      </c>
      <c r="C771">
        <v>208</v>
      </c>
      <c r="D771" t="s">
        <v>65</v>
      </c>
      <c r="E771" t="s">
        <v>60</v>
      </c>
      <c r="F771" t="s">
        <v>61</v>
      </c>
      <c r="G771">
        <v>30000</v>
      </c>
      <c r="H771">
        <v>0.5</v>
      </c>
      <c r="I771">
        <v>0.5</v>
      </c>
      <c r="J771">
        <v>0</v>
      </c>
      <c r="K771">
        <v>1</v>
      </c>
      <c r="L771">
        <v>200000000</v>
      </c>
      <c r="M771">
        <v>190</v>
      </c>
      <c r="N771">
        <v>190</v>
      </c>
      <c r="O771">
        <v>190</v>
      </c>
      <c r="P771">
        <v>0</v>
      </c>
      <c r="Q771" t="s">
        <v>62</v>
      </c>
      <c r="R771">
        <v>9999154709930150</v>
      </c>
      <c r="S771">
        <v>99992539</v>
      </c>
      <c r="T771">
        <v>9999154709930150</v>
      </c>
      <c r="U771">
        <v>99992539</v>
      </c>
      <c r="V771" t="s">
        <v>75</v>
      </c>
      <c r="W771">
        <v>10</v>
      </c>
      <c r="X771">
        <v>1993556</v>
      </c>
      <c r="Y771">
        <v>13718931</v>
      </c>
      <c r="Z771">
        <v>15712487</v>
      </c>
      <c r="AA771">
        <v>99992539</v>
      </c>
      <c r="AB771">
        <v>7.88164</v>
      </c>
      <c r="AC771">
        <v>7.2886499999999996</v>
      </c>
      <c r="AD771">
        <v>7.3638899999999996</v>
      </c>
      <c r="AE771">
        <v>9</v>
      </c>
      <c r="AF771">
        <v>3268197296</v>
      </c>
      <c r="AJ771" t="s">
        <v>980</v>
      </c>
      <c r="AM771">
        <v>4605165110</v>
      </c>
      <c r="AN771">
        <v>0</v>
      </c>
      <c r="AO771">
        <v>46517372</v>
      </c>
      <c r="AP771">
        <v>4605165110</v>
      </c>
      <c r="AQ771">
        <v>4651682482</v>
      </c>
      <c r="AR771">
        <v>153505503</v>
      </c>
      <c r="AS771">
        <v>0</v>
      </c>
      <c r="AT771">
        <v>1550579</v>
      </c>
      <c r="AU771">
        <v>153505503</v>
      </c>
      <c r="AV771">
        <v>155056082</v>
      </c>
      <c r="AW771">
        <v>23.715</v>
      </c>
      <c r="AX771">
        <v>10.755599999999999</v>
      </c>
      <c r="AY771">
        <v>3404.9</v>
      </c>
      <c r="AZ771">
        <v>2434.8200000000002</v>
      </c>
      <c r="BA771">
        <v>5380</v>
      </c>
      <c r="BB771">
        <v>6127</v>
      </c>
      <c r="BC771" t="str">
        <f t="shared" si="24"/>
        <v>u=1%, k=2x10^8</v>
      </c>
      <c r="BD771">
        <f t="shared" si="25"/>
        <v>0</v>
      </c>
    </row>
    <row r="772" spans="1:56">
      <c r="A772" t="s">
        <v>981</v>
      </c>
      <c r="B772" t="s">
        <v>67</v>
      </c>
      <c r="D772" t="s">
        <v>65</v>
      </c>
      <c r="E772" t="s">
        <v>60</v>
      </c>
      <c r="F772" t="s">
        <v>61</v>
      </c>
      <c r="G772">
        <v>30000</v>
      </c>
      <c r="H772">
        <v>0.5</v>
      </c>
      <c r="I772">
        <v>0.5</v>
      </c>
      <c r="J772">
        <v>0</v>
      </c>
      <c r="K772">
        <v>1</v>
      </c>
      <c r="L772">
        <v>200000000</v>
      </c>
      <c r="M772">
        <v>24</v>
      </c>
      <c r="N772">
        <v>24</v>
      </c>
      <c r="O772">
        <v>24</v>
      </c>
      <c r="P772">
        <v>0</v>
      </c>
      <c r="Q772" t="s">
        <v>62</v>
      </c>
      <c r="R772">
        <v>1.00000810898841E+16</v>
      </c>
      <c r="S772">
        <v>100000869</v>
      </c>
      <c r="T772">
        <v>1.00000810898841E+16</v>
      </c>
      <c r="U772">
        <v>100000869</v>
      </c>
      <c r="V772" t="s">
        <v>75</v>
      </c>
      <c r="W772">
        <v>33</v>
      </c>
      <c r="X772">
        <v>57292212</v>
      </c>
      <c r="Y772">
        <v>42980809</v>
      </c>
      <c r="Z772">
        <v>100273021</v>
      </c>
      <c r="AA772">
        <v>100000869</v>
      </c>
      <c r="AB772">
        <v>1.7502</v>
      </c>
      <c r="AC772">
        <v>2.3266399999999998</v>
      </c>
      <c r="AD772">
        <v>1.99729</v>
      </c>
      <c r="AE772">
        <v>26.083500000000001</v>
      </c>
      <c r="AF772">
        <v>5615289176</v>
      </c>
      <c r="AJ772" t="s">
        <v>982</v>
      </c>
      <c r="AM772">
        <v>253873746</v>
      </c>
      <c r="AN772">
        <v>0</v>
      </c>
      <c r="AO772">
        <v>2564848</v>
      </c>
      <c r="AP772">
        <v>253873746</v>
      </c>
      <c r="AQ772">
        <v>256438594</v>
      </c>
      <c r="AR772">
        <v>8462458</v>
      </c>
      <c r="AS772">
        <v>0</v>
      </c>
      <c r="AT772">
        <v>85494</v>
      </c>
      <c r="AU772">
        <v>8462458</v>
      </c>
      <c r="AV772">
        <v>8547953</v>
      </c>
      <c r="AW772">
        <v>39.799999999999997</v>
      </c>
      <c r="AX772">
        <v>17.490100000000002</v>
      </c>
      <c r="AY772">
        <v>7832.42</v>
      </c>
      <c r="AZ772">
        <v>6453.87</v>
      </c>
      <c r="BA772">
        <v>7544</v>
      </c>
      <c r="BB772">
        <v>17239</v>
      </c>
      <c r="BC772" t="str">
        <f t="shared" si="24"/>
        <v>u=1%, k=2x10^8</v>
      </c>
      <c r="BD772">
        <f t="shared" si="25"/>
        <v>0</v>
      </c>
    </row>
    <row r="773" spans="1:56">
      <c r="A773" t="s">
        <v>983</v>
      </c>
      <c r="B773" t="s">
        <v>67</v>
      </c>
      <c r="D773" t="s">
        <v>65</v>
      </c>
      <c r="E773" t="s">
        <v>60</v>
      </c>
      <c r="F773" t="s">
        <v>61</v>
      </c>
      <c r="G773">
        <v>30000</v>
      </c>
      <c r="H773">
        <v>0.5</v>
      </c>
      <c r="I773">
        <v>0.5</v>
      </c>
      <c r="J773">
        <v>0</v>
      </c>
      <c r="K773">
        <v>1</v>
      </c>
      <c r="L773">
        <v>200000000</v>
      </c>
      <c r="M773">
        <v>48</v>
      </c>
      <c r="N773">
        <v>48</v>
      </c>
      <c r="O773">
        <v>48</v>
      </c>
      <c r="P773">
        <v>0</v>
      </c>
      <c r="Q773" t="s">
        <v>62</v>
      </c>
      <c r="R773">
        <v>1.00002213197095E+16</v>
      </c>
      <c r="S773">
        <v>99998208</v>
      </c>
      <c r="T773">
        <v>1.00002213197095E+16</v>
      </c>
      <c r="U773">
        <v>99998208</v>
      </c>
      <c r="V773" t="s">
        <v>75</v>
      </c>
      <c r="W773">
        <v>33</v>
      </c>
      <c r="X773">
        <v>57425661</v>
      </c>
      <c r="Y773">
        <v>43091400</v>
      </c>
      <c r="Z773">
        <v>100517061</v>
      </c>
      <c r="AA773">
        <v>99998208</v>
      </c>
      <c r="AB773">
        <v>1.7503899999999999</v>
      </c>
      <c r="AC773">
        <v>2.3206099999999998</v>
      </c>
      <c r="AD773">
        <v>1.9948399999999999</v>
      </c>
      <c r="AE773">
        <v>26.079499999999999</v>
      </c>
      <c r="AF773">
        <v>5628955416</v>
      </c>
      <c r="AJ773" t="s">
        <v>984</v>
      </c>
      <c r="AM773">
        <v>485749763</v>
      </c>
      <c r="AN773">
        <v>0</v>
      </c>
      <c r="AO773">
        <v>4908403</v>
      </c>
      <c r="AP773">
        <v>485749763</v>
      </c>
      <c r="AQ773">
        <v>490658166</v>
      </c>
      <c r="AR773">
        <v>16191658</v>
      </c>
      <c r="AS773">
        <v>0</v>
      </c>
      <c r="AT773">
        <v>163613</v>
      </c>
      <c r="AU773">
        <v>16191658</v>
      </c>
      <c r="AV773">
        <v>16355272</v>
      </c>
      <c r="AW773">
        <v>40.558100000000003</v>
      </c>
      <c r="AX773">
        <v>17.677800000000001</v>
      </c>
      <c r="AY773">
        <v>8184.98</v>
      </c>
      <c r="AZ773">
        <v>6826.11</v>
      </c>
      <c r="BA773">
        <v>7567</v>
      </c>
      <c r="BB773">
        <v>9186</v>
      </c>
      <c r="BC773" t="str">
        <f t="shared" si="24"/>
        <v>u=1%, k=2x10^8</v>
      </c>
      <c r="BD773">
        <f t="shared" si="25"/>
        <v>0</v>
      </c>
    </row>
    <row r="774" spans="1:56">
      <c r="A774" t="s">
        <v>985</v>
      </c>
      <c r="B774" t="s">
        <v>67</v>
      </c>
      <c r="D774" t="s">
        <v>65</v>
      </c>
      <c r="E774" t="s">
        <v>60</v>
      </c>
      <c r="F774" t="s">
        <v>61</v>
      </c>
      <c r="G774">
        <v>30000</v>
      </c>
      <c r="H774">
        <v>0.5</v>
      </c>
      <c r="I774">
        <v>0.5</v>
      </c>
      <c r="J774">
        <v>0</v>
      </c>
      <c r="K774">
        <v>1</v>
      </c>
      <c r="L774">
        <v>200000000</v>
      </c>
      <c r="M774">
        <v>96</v>
      </c>
      <c r="N774">
        <v>96</v>
      </c>
      <c r="O774">
        <v>96</v>
      </c>
      <c r="P774">
        <v>0</v>
      </c>
      <c r="Q774" t="s">
        <v>62</v>
      </c>
      <c r="R774">
        <v>9999552343869530</v>
      </c>
      <c r="S774">
        <v>99998071</v>
      </c>
      <c r="T774">
        <v>9999552343869530</v>
      </c>
      <c r="U774">
        <v>99998071</v>
      </c>
      <c r="V774" t="s">
        <v>75</v>
      </c>
      <c r="W774">
        <v>33</v>
      </c>
      <c r="X774">
        <v>57731958</v>
      </c>
      <c r="Y774">
        <v>43351169</v>
      </c>
      <c r="Z774">
        <v>101083127</v>
      </c>
      <c r="AA774">
        <v>99998071</v>
      </c>
      <c r="AB774">
        <v>1.7508999999999999</v>
      </c>
      <c r="AC774">
        <v>2.3067000000000002</v>
      </c>
      <c r="AD774">
        <v>1.9892700000000001</v>
      </c>
      <c r="AE774">
        <v>26.122199999999999</v>
      </c>
      <c r="AF774">
        <v>5660655112</v>
      </c>
      <c r="AJ774" t="s">
        <v>986</v>
      </c>
      <c r="AM774">
        <v>1032042505</v>
      </c>
      <c r="AN774">
        <v>0</v>
      </c>
      <c r="AO774">
        <v>10421053</v>
      </c>
      <c r="AP774">
        <v>1032042505</v>
      </c>
      <c r="AQ774">
        <v>1042463558</v>
      </c>
      <c r="AR774">
        <v>34401416</v>
      </c>
      <c r="AS774">
        <v>0</v>
      </c>
      <c r="AT774">
        <v>347368</v>
      </c>
      <c r="AU774">
        <v>34401416</v>
      </c>
      <c r="AV774">
        <v>34748785</v>
      </c>
      <c r="AW774">
        <v>41.081899999999997</v>
      </c>
      <c r="AX774">
        <v>19.497800000000002</v>
      </c>
      <c r="AY774">
        <v>7694.4</v>
      </c>
      <c r="AZ774">
        <v>6178.55</v>
      </c>
      <c r="BA774">
        <v>7617</v>
      </c>
      <c r="BB774">
        <v>4713</v>
      </c>
      <c r="BC774" t="str">
        <f t="shared" si="24"/>
        <v>u=1%, k=2x10^8</v>
      </c>
      <c r="BD774">
        <f t="shared" si="25"/>
        <v>0</v>
      </c>
    </row>
    <row r="775" spans="1:56">
      <c r="A775" t="s">
        <v>987</v>
      </c>
      <c r="B775" t="s">
        <v>67</v>
      </c>
      <c r="D775" t="s">
        <v>65</v>
      </c>
      <c r="E775" t="s">
        <v>60</v>
      </c>
      <c r="F775" t="s">
        <v>61</v>
      </c>
      <c r="G775">
        <v>30000</v>
      </c>
      <c r="H775">
        <v>0.5</v>
      </c>
      <c r="I775">
        <v>0.5</v>
      </c>
      <c r="J775">
        <v>0</v>
      </c>
      <c r="K775">
        <v>1</v>
      </c>
      <c r="L775">
        <v>200000000</v>
      </c>
      <c r="M775">
        <v>144</v>
      </c>
      <c r="N775">
        <v>144</v>
      </c>
      <c r="O775">
        <v>144</v>
      </c>
      <c r="P775">
        <v>0</v>
      </c>
      <c r="Q775" t="s">
        <v>62</v>
      </c>
      <c r="R775">
        <v>9999704525567730</v>
      </c>
      <c r="S775">
        <v>100002820</v>
      </c>
      <c r="T775">
        <v>9999704525567730</v>
      </c>
      <c r="U775">
        <v>100002820</v>
      </c>
      <c r="V775" t="s">
        <v>75</v>
      </c>
      <c r="W775">
        <v>33</v>
      </c>
      <c r="X775">
        <v>58030575</v>
      </c>
      <c r="Y775">
        <v>43595833</v>
      </c>
      <c r="Z775">
        <v>101626408</v>
      </c>
      <c r="AA775">
        <v>100002820</v>
      </c>
      <c r="AB775">
        <v>1.75126</v>
      </c>
      <c r="AC775">
        <v>2.29386</v>
      </c>
      <c r="AD775">
        <v>1.9840199999999999</v>
      </c>
      <c r="AE775">
        <v>26.1157</v>
      </c>
      <c r="AF775">
        <v>5691078848</v>
      </c>
      <c r="AJ775" t="s">
        <v>988</v>
      </c>
      <c r="AM775">
        <v>1567792774</v>
      </c>
      <c r="AN775">
        <v>0</v>
      </c>
      <c r="AO775">
        <v>15840527</v>
      </c>
      <c r="AP775">
        <v>1567792774</v>
      </c>
      <c r="AQ775">
        <v>1583633301</v>
      </c>
      <c r="AR775">
        <v>52259759</v>
      </c>
      <c r="AS775">
        <v>0</v>
      </c>
      <c r="AT775">
        <v>528017</v>
      </c>
      <c r="AU775">
        <v>52259759</v>
      </c>
      <c r="AV775">
        <v>52787776</v>
      </c>
      <c r="AW775">
        <v>41.456699999999998</v>
      </c>
      <c r="AX775">
        <v>19.848600000000001</v>
      </c>
      <c r="AY775">
        <v>7594.9</v>
      </c>
      <c r="AZ775">
        <v>6132.92</v>
      </c>
      <c r="BA775">
        <v>7665</v>
      </c>
      <c r="BB775">
        <v>3102</v>
      </c>
      <c r="BC775" t="str">
        <f t="shared" si="24"/>
        <v>u=1%, k=2x10^8</v>
      </c>
      <c r="BD775">
        <f t="shared" si="25"/>
        <v>0</v>
      </c>
    </row>
    <row r="776" spans="1:56">
      <c r="A776" t="s">
        <v>989</v>
      </c>
      <c r="B776" t="s">
        <v>67</v>
      </c>
      <c r="D776" t="s">
        <v>65</v>
      </c>
      <c r="E776" t="s">
        <v>60</v>
      </c>
      <c r="F776" t="s">
        <v>61</v>
      </c>
      <c r="G776">
        <v>30000</v>
      </c>
      <c r="H776">
        <v>0.5</v>
      </c>
      <c r="I776">
        <v>0.5</v>
      </c>
      <c r="J776">
        <v>0</v>
      </c>
      <c r="K776">
        <v>1</v>
      </c>
      <c r="L776">
        <v>200000000</v>
      </c>
      <c r="M776">
        <v>190</v>
      </c>
      <c r="N776">
        <v>190</v>
      </c>
      <c r="O776">
        <v>190</v>
      </c>
      <c r="P776">
        <v>0</v>
      </c>
      <c r="Q776" t="s">
        <v>62</v>
      </c>
      <c r="R776">
        <v>9998725683355810</v>
      </c>
      <c r="S776">
        <v>99996774</v>
      </c>
      <c r="T776">
        <v>9998725683355810</v>
      </c>
      <c r="U776">
        <v>99996774</v>
      </c>
      <c r="V776" t="s">
        <v>75</v>
      </c>
      <c r="W776">
        <v>33</v>
      </c>
      <c r="X776">
        <v>58303932</v>
      </c>
      <c r="Y776">
        <v>43822651</v>
      </c>
      <c r="Z776">
        <v>102126583</v>
      </c>
      <c r="AA776">
        <v>99996774</v>
      </c>
      <c r="AB776">
        <v>1.75162</v>
      </c>
      <c r="AC776">
        <v>2.2818499999999999</v>
      </c>
      <c r="AD776">
        <v>1.97915</v>
      </c>
      <c r="AE776">
        <v>26.113900000000001</v>
      </c>
      <c r="AF776">
        <v>5719088648</v>
      </c>
      <c r="AJ776" t="s">
        <v>990</v>
      </c>
      <c r="AM776">
        <v>2083010806</v>
      </c>
      <c r="AN776">
        <v>0</v>
      </c>
      <c r="AO776">
        <v>21033286</v>
      </c>
      <c r="AP776">
        <v>2083010806</v>
      </c>
      <c r="AQ776">
        <v>2104044092</v>
      </c>
      <c r="AR776">
        <v>69433693</v>
      </c>
      <c r="AS776">
        <v>0</v>
      </c>
      <c r="AT776">
        <v>701109</v>
      </c>
      <c r="AU776">
        <v>69433693</v>
      </c>
      <c r="AV776">
        <v>70134803</v>
      </c>
      <c r="AW776">
        <v>41.158700000000003</v>
      </c>
      <c r="AX776">
        <v>20.073599999999999</v>
      </c>
      <c r="AY776">
        <v>7542.51</v>
      </c>
      <c r="AZ776">
        <v>6074.79</v>
      </c>
      <c r="BA776">
        <v>7714</v>
      </c>
      <c r="BB776">
        <v>2770</v>
      </c>
      <c r="BC776" t="str">
        <f t="shared" si="24"/>
        <v>u=1%, k=2x10^8</v>
      </c>
      <c r="BD776">
        <f t="shared" si="25"/>
        <v>0</v>
      </c>
    </row>
    <row r="777" spans="1:56">
      <c r="A777" t="s">
        <v>991</v>
      </c>
      <c r="B777" t="s">
        <v>68</v>
      </c>
      <c r="D777" t="s">
        <v>65</v>
      </c>
      <c r="E777" t="s">
        <v>60</v>
      </c>
      <c r="F777" t="s">
        <v>61</v>
      </c>
      <c r="G777">
        <v>30000</v>
      </c>
      <c r="H777">
        <v>0.5</v>
      </c>
      <c r="I777">
        <v>0.5</v>
      </c>
      <c r="J777">
        <v>0</v>
      </c>
      <c r="K777">
        <v>1</v>
      </c>
      <c r="L777">
        <v>200000000</v>
      </c>
      <c r="M777">
        <v>24</v>
      </c>
      <c r="N777">
        <v>24</v>
      </c>
      <c r="O777">
        <v>24</v>
      </c>
      <c r="P777">
        <v>0</v>
      </c>
      <c r="Q777" t="s">
        <v>62</v>
      </c>
      <c r="R777">
        <v>1.00000539640115E+16</v>
      </c>
      <c r="S777">
        <v>99998036</v>
      </c>
      <c r="T777">
        <v>1.00000539640115E+16</v>
      </c>
      <c r="U777">
        <v>99998036</v>
      </c>
      <c r="V777" t="s">
        <v>75</v>
      </c>
      <c r="W777">
        <v>76</v>
      </c>
      <c r="X777">
        <v>99998035</v>
      </c>
      <c r="Y777">
        <v>99998036</v>
      </c>
      <c r="Z777">
        <v>199996071</v>
      </c>
      <c r="AA777">
        <v>99998036</v>
      </c>
      <c r="AB777">
        <v>2</v>
      </c>
      <c r="AC777">
        <v>1</v>
      </c>
      <c r="AD777">
        <v>1.5</v>
      </c>
      <c r="AE777">
        <v>36.936300000000003</v>
      </c>
      <c r="AF777">
        <v>6399874272</v>
      </c>
      <c r="AJ777" t="s">
        <v>992</v>
      </c>
      <c r="AM777">
        <v>202875899</v>
      </c>
      <c r="AN777">
        <v>0</v>
      </c>
      <c r="AO777">
        <v>2045734</v>
      </c>
      <c r="AP777">
        <v>202875899</v>
      </c>
      <c r="AQ777">
        <v>204921633</v>
      </c>
      <c r="AR777">
        <v>6762529</v>
      </c>
      <c r="AS777">
        <v>0</v>
      </c>
      <c r="AT777">
        <v>68191</v>
      </c>
      <c r="AU777">
        <v>6762529</v>
      </c>
      <c r="AV777">
        <v>6830721</v>
      </c>
      <c r="AW777">
        <v>37.723599999999998</v>
      </c>
      <c r="AX777">
        <v>16.948699999999999</v>
      </c>
      <c r="AY777">
        <v>9801.5499999999993</v>
      </c>
      <c r="AZ777">
        <v>8024.94</v>
      </c>
      <c r="BA777">
        <v>7527</v>
      </c>
      <c r="BB777">
        <v>19018</v>
      </c>
      <c r="BC777" t="str">
        <f t="shared" si="24"/>
        <v>u=1%, k=2x10^8</v>
      </c>
      <c r="BD777">
        <f t="shared" si="25"/>
        <v>0</v>
      </c>
    </row>
    <row r="778" spans="1:56">
      <c r="A778" t="s">
        <v>993</v>
      </c>
      <c r="B778" t="s">
        <v>68</v>
      </c>
      <c r="D778" t="s">
        <v>65</v>
      </c>
      <c r="E778" t="s">
        <v>60</v>
      </c>
      <c r="F778" t="s">
        <v>61</v>
      </c>
      <c r="G778">
        <v>30000</v>
      </c>
      <c r="H778">
        <v>0.5</v>
      </c>
      <c r="I778">
        <v>0.5</v>
      </c>
      <c r="J778">
        <v>0</v>
      </c>
      <c r="K778">
        <v>1</v>
      </c>
      <c r="L778">
        <v>200000000</v>
      </c>
      <c r="M778">
        <v>48</v>
      </c>
      <c r="N778">
        <v>48</v>
      </c>
      <c r="O778">
        <v>48</v>
      </c>
      <c r="P778">
        <v>0</v>
      </c>
      <c r="Q778" t="s">
        <v>62</v>
      </c>
      <c r="R778">
        <v>9999555533137780</v>
      </c>
      <c r="S778">
        <v>100000426</v>
      </c>
      <c r="T778">
        <v>9999555533137780</v>
      </c>
      <c r="U778">
        <v>100000426</v>
      </c>
      <c r="V778" t="s">
        <v>75</v>
      </c>
      <c r="W778">
        <v>70</v>
      </c>
      <c r="X778">
        <v>100000425</v>
      </c>
      <c r="Y778">
        <v>100000426</v>
      </c>
      <c r="Z778">
        <v>200000851</v>
      </c>
      <c r="AA778">
        <v>100000426</v>
      </c>
      <c r="AB778">
        <v>2</v>
      </c>
      <c r="AC778">
        <v>1</v>
      </c>
      <c r="AD778">
        <v>1.5</v>
      </c>
      <c r="AE778">
        <v>36.056199999999997</v>
      </c>
      <c r="AF778">
        <v>6400027232</v>
      </c>
      <c r="AJ778" t="s">
        <v>994</v>
      </c>
      <c r="AM778">
        <v>394749673</v>
      </c>
      <c r="AN778">
        <v>0</v>
      </c>
      <c r="AO778">
        <v>3987247</v>
      </c>
      <c r="AP778">
        <v>394749673</v>
      </c>
      <c r="AQ778">
        <v>398736920</v>
      </c>
      <c r="AR778">
        <v>13158322</v>
      </c>
      <c r="AS778">
        <v>0</v>
      </c>
      <c r="AT778">
        <v>132908</v>
      </c>
      <c r="AU778">
        <v>13158322</v>
      </c>
      <c r="AV778">
        <v>13291230</v>
      </c>
      <c r="AW778">
        <v>37.580500000000001</v>
      </c>
      <c r="AX778">
        <v>16.909800000000001</v>
      </c>
      <c r="AY778">
        <v>10073.700000000001</v>
      </c>
      <c r="AZ778">
        <v>8986.94</v>
      </c>
      <c r="BA778">
        <v>7535</v>
      </c>
      <c r="BB778">
        <v>9980</v>
      </c>
      <c r="BC778" t="str">
        <f t="shared" si="24"/>
        <v>u=1%, k=2x10^8</v>
      </c>
      <c r="BD778">
        <f t="shared" si="25"/>
        <v>0</v>
      </c>
    </row>
    <row r="779" spans="1:56">
      <c r="A779" t="s">
        <v>995</v>
      </c>
      <c r="B779" t="s">
        <v>68</v>
      </c>
      <c r="D779" t="s">
        <v>65</v>
      </c>
      <c r="E779" t="s">
        <v>60</v>
      </c>
      <c r="F779" t="s">
        <v>61</v>
      </c>
      <c r="G779">
        <v>30000</v>
      </c>
      <c r="H779">
        <v>0.5</v>
      </c>
      <c r="I779">
        <v>0.5</v>
      </c>
      <c r="J779">
        <v>0</v>
      </c>
      <c r="K779">
        <v>1</v>
      </c>
      <c r="L779">
        <v>200000000</v>
      </c>
      <c r="M779">
        <v>96</v>
      </c>
      <c r="N779">
        <v>96</v>
      </c>
      <c r="O779">
        <v>96</v>
      </c>
      <c r="P779">
        <v>0</v>
      </c>
      <c r="Q779" t="s">
        <v>62</v>
      </c>
      <c r="R779">
        <v>9999626906292970</v>
      </c>
      <c r="S779">
        <v>99998221</v>
      </c>
      <c r="T779">
        <v>9999626906292970</v>
      </c>
      <c r="U779">
        <v>99998221</v>
      </c>
      <c r="V779" t="s">
        <v>75</v>
      </c>
      <c r="W779">
        <v>71</v>
      </c>
      <c r="X779">
        <v>99998220</v>
      </c>
      <c r="Y779">
        <v>99998221</v>
      </c>
      <c r="Z779">
        <v>199996441</v>
      </c>
      <c r="AA779">
        <v>99998221</v>
      </c>
      <c r="AB779">
        <v>2</v>
      </c>
      <c r="AC779">
        <v>1</v>
      </c>
      <c r="AD779">
        <v>1.5</v>
      </c>
      <c r="AE779">
        <v>35.753399999999999</v>
      </c>
      <c r="AF779">
        <v>6399886112</v>
      </c>
      <c r="AJ779" t="s">
        <v>996</v>
      </c>
      <c r="AM779">
        <v>867104260</v>
      </c>
      <c r="AN779">
        <v>0</v>
      </c>
      <c r="AO779">
        <v>8760875</v>
      </c>
      <c r="AP779">
        <v>867104260</v>
      </c>
      <c r="AQ779">
        <v>875865135</v>
      </c>
      <c r="AR779">
        <v>28903475</v>
      </c>
      <c r="AS779">
        <v>0</v>
      </c>
      <c r="AT779">
        <v>292029</v>
      </c>
      <c r="AU779">
        <v>28903475</v>
      </c>
      <c r="AV779">
        <v>29195504</v>
      </c>
      <c r="AW779">
        <v>38.149799999999999</v>
      </c>
      <c r="AX779">
        <v>18.8248</v>
      </c>
      <c r="AY779">
        <v>9161.26</v>
      </c>
      <c r="AZ779">
        <v>8026.54</v>
      </c>
      <c r="BA779">
        <v>7550</v>
      </c>
      <c r="BB779">
        <v>4767</v>
      </c>
      <c r="BC779" t="str">
        <f t="shared" si="24"/>
        <v>u=1%, k=2x10^8</v>
      </c>
      <c r="BD779">
        <f t="shared" si="25"/>
        <v>0</v>
      </c>
    </row>
    <row r="780" spans="1:56">
      <c r="A780" t="s">
        <v>997</v>
      </c>
      <c r="B780" t="s">
        <v>68</v>
      </c>
      <c r="D780" t="s">
        <v>65</v>
      </c>
      <c r="E780" t="s">
        <v>60</v>
      </c>
      <c r="F780" t="s">
        <v>61</v>
      </c>
      <c r="G780">
        <v>30000</v>
      </c>
      <c r="H780">
        <v>0.5</v>
      </c>
      <c r="I780">
        <v>0.5</v>
      </c>
      <c r="J780">
        <v>0</v>
      </c>
      <c r="K780">
        <v>1</v>
      </c>
      <c r="L780">
        <v>200000000</v>
      </c>
      <c r="M780">
        <v>144</v>
      </c>
      <c r="N780">
        <v>144</v>
      </c>
      <c r="O780">
        <v>144</v>
      </c>
      <c r="P780">
        <v>0</v>
      </c>
      <c r="Q780" t="s">
        <v>62</v>
      </c>
      <c r="R780">
        <v>1.00003075476923E+16</v>
      </c>
      <c r="S780">
        <v>100001818</v>
      </c>
      <c r="T780">
        <v>1.00003075476923E+16</v>
      </c>
      <c r="U780">
        <v>100001818</v>
      </c>
      <c r="V780" t="s">
        <v>75</v>
      </c>
      <c r="W780">
        <v>73</v>
      </c>
      <c r="X780">
        <v>100001817</v>
      </c>
      <c r="Y780">
        <v>100001818</v>
      </c>
      <c r="Z780">
        <v>200003635</v>
      </c>
      <c r="AA780">
        <v>100001818</v>
      </c>
      <c r="AB780">
        <v>2</v>
      </c>
      <c r="AC780">
        <v>1</v>
      </c>
      <c r="AD780">
        <v>1.5</v>
      </c>
      <c r="AE780">
        <v>35.7209</v>
      </c>
      <c r="AF780">
        <v>6400116320</v>
      </c>
      <c r="AJ780" t="s">
        <v>998</v>
      </c>
      <c r="AM780">
        <v>1320166962</v>
      </c>
      <c r="AN780">
        <v>0</v>
      </c>
      <c r="AO780">
        <v>13335681</v>
      </c>
      <c r="AP780">
        <v>1320166962</v>
      </c>
      <c r="AQ780">
        <v>1333502643</v>
      </c>
      <c r="AR780">
        <v>44005565</v>
      </c>
      <c r="AS780">
        <v>0</v>
      </c>
      <c r="AT780">
        <v>444522</v>
      </c>
      <c r="AU780">
        <v>44005565</v>
      </c>
      <c r="AV780">
        <v>44450088</v>
      </c>
      <c r="AW780">
        <v>38.305700000000002</v>
      </c>
      <c r="AX780">
        <v>19.1355</v>
      </c>
      <c r="AY780">
        <v>9023.18</v>
      </c>
      <c r="AZ780">
        <v>7877.53</v>
      </c>
      <c r="BA780">
        <v>7564</v>
      </c>
      <c r="BB780">
        <v>3150</v>
      </c>
      <c r="BC780" t="str">
        <f t="shared" si="24"/>
        <v>u=1%, k=2x10^8</v>
      </c>
      <c r="BD780">
        <f t="shared" si="25"/>
        <v>0</v>
      </c>
    </row>
    <row r="781" spans="1:56">
      <c r="A781" t="s">
        <v>999</v>
      </c>
      <c r="B781" t="s">
        <v>68</v>
      </c>
      <c r="D781" t="s">
        <v>65</v>
      </c>
      <c r="E781" t="s">
        <v>60</v>
      </c>
      <c r="F781" t="s">
        <v>61</v>
      </c>
      <c r="G781">
        <v>30000</v>
      </c>
      <c r="H781">
        <v>0.5</v>
      </c>
      <c r="I781">
        <v>0.5</v>
      </c>
      <c r="J781">
        <v>0</v>
      </c>
      <c r="K781">
        <v>1</v>
      </c>
      <c r="L781">
        <v>200000000</v>
      </c>
      <c r="M781">
        <v>190</v>
      </c>
      <c r="N781">
        <v>190</v>
      </c>
      <c r="O781">
        <v>190</v>
      </c>
      <c r="P781">
        <v>0</v>
      </c>
      <c r="Q781" t="s">
        <v>62</v>
      </c>
      <c r="R781">
        <v>1.00008256628608E+16</v>
      </c>
      <c r="S781">
        <v>99997091</v>
      </c>
      <c r="T781">
        <v>1.00008256628608E+16</v>
      </c>
      <c r="U781">
        <v>99997091</v>
      </c>
      <c r="V781" t="s">
        <v>75</v>
      </c>
      <c r="W781">
        <v>74</v>
      </c>
      <c r="X781">
        <v>99997090</v>
      </c>
      <c r="Y781">
        <v>99997091</v>
      </c>
      <c r="Z781">
        <v>199994181</v>
      </c>
      <c r="AA781">
        <v>99997091</v>
      </c>
      <c r="AB781">
        <v>2</v>
      </c>
      <c r="AC781">
        <v>1</v>
      </c>
      <c r="AD781">
        <v>1.5</v>
      </c>
      <c r="AE781">
        <v>35.930500000000002</v>
      </c>
      <c r="AF781">
        <v>6399813792</v>
      </c>
      <c r="AJ781" t="s">
        <v>1000</v>
      </c>
      <c r="AM781">
        <v>1761044497</v>
      </c>
      <c r="AN781">
        <v>0</v>
      </c>
      <c r="AO781">
        <v>17779637</v>
      </c>
      <c r="AP781">
        <v>1761044497</v>
      </c>
      <c r="AQ781">
        <v>1778824134</v>
      </c>
      <c r="AR781">
        <v>58701483</v>
      </c>
      <c r="AS781">
        <v>0</v>
      </c>
      <c r="AT781">
        <v>592654</v>
      </c>
      <c r="AU781">
        <v>58701483</v>
      </c>
      <c r="AV781">
        <v>59294137</v>
      </c>
      <c r="AW781">
        <v>38.362900000000003</v>
      </c>
      <c r="AX781">
        <v>19.365300000000001</v>
      </c>
      <c r="AY781">
        <v>8923.4699999999993</v>
      </c>
      <c r="AZ781">
        <v>7770.85</v>
      </c>
      <c r="BA781">
        <v>7579</v>
      </c>
      <c r="BB781">
        <v>2861</v>
      </c>
      <c r="BC781" t="str">
        <f t="shared" si="24"/>
        <v>u=1%, k=2x10^8</v>
      </c>
      <c r="BD781">
        <f t="shared" si="25"/>
        <v>0</v>
      </c>
    </row>
    <row r="782" spans="1:56">
      <c r="A782" t="s">
        <v>1001</v>
      </c>
      <c r="B782" t="s">
        <v>64</v>
      </c>
      <c r="C782">
        <v>72</v>
      </c>
      <c r="D782" t="s">
        <v>65</v>
      </c>
      <c r="E782" t="s">
        <v>60</v>
      </c>
      <c r="F782" t="s">
        <v>61</v>
      </c>
      <c r="G782">
        <v>30000</v>
      </c>
      <c r="H782">
        <v>0.5</v>
      </c>
      <c r="I782">
        <v>0.5</v>
      </c>
      <c r="J782">
        <v>0</v>
      </c>
      <c r="K782">
        <v>1</v>
      </c>
      <c r="L782">
        <v>2000000000</v>
      </c>
      <c r="M782">
        <v>24</v>
      </c>
      <c r="N782">
        <v>24</v>
      </c>
      <c r="O782">
        <v>24</v>
      </c>
      <c r="P782">
        <v>0</v>
      </c>
      <c r="Q782" t="s">
        <v>62</v>
      </c>
      <c r="R782">
        <v>1.00000751308979E+18</v>
      </c>
      <c r="S782">
        <v>999998190</v>
      </c>
      <c r="T782">
        <v>1.00000751308979E+18</v>
      </c>
      <c r="U782">
        <v>999998190</v>
      </c>
      <c r="V782" t="s">
        <v>75</v>
      </c>
      <c r="W782">
        <v>7</v>
      </c>
      <c r="X782">
        <v>85846459</v>
      </c>
      <c r="Y782">
        <v>1081569280</v>
      </c>
      <c r="Z782">
        <v>1167415739</v>
      </c>
      <c r="AA782">
        <v>999998190</v>
      </c>
      <c r="AB782">
        <v>13.5989</v>
      </c>
      <c r="AC782">
        <v>0.92458099999999999</v>
      </c>
      <c r="AD782">
        <v>1.85659</v>
      </c>
      <c r="AE782">
        <v>4.0027699999999999</v>
      </c>
      <c r="AF782">
        <v>24172885552</v>
      </c>
      <c r="AG782" t="s">
        <v>1002</v>
      </c>
      <c r="AH782" t="s">
        <v>1002</v>
      </c>
      <c r="AJ782">
        <v>203998</v>
      </c>
      <c r="AM782">
        <v>550039899</v>
      </c>
      <c r="AN782">
        <v>0</v>
      </c>
      <c r="AO782">
        <v>5556264</v>
      </c>
      <c r="AP782">
        <v>550039899</v>
      </c>
      <c r="AQ782">
        <v>555596163</v>
      </c>
      <c r="AR782">
        <v>18334663</v>
      </c>
      <c r="AS782">
        <v>0</v>
      </c>
      <c r="AT782">
        <v>185208</v>
      </c>
      <c r="AU782">
        <v>18334663</v>
      </c>
      <c r="AV782">
        <v>18519872</v>
      </c>
      <c r="AW782">
        <v>22.0136</v>
      </c>
      <c r="AX782">
        <v>12.8711</v>
      </c>
      <c r="AY782">
        <v>3611.39</v>
      </c>
      <c r="AZ782">
        <v>2891.79</v>
      </c>
      <c r="BA782">
        <v>59294</v>
      </c>
      <c r="BB782">
        <v>15875</v>
      </c>
      <c r="BC782" t="str">
        <f t="shared" si="24"/>
        <v>u=1%, k=2x10^9</v>
      </c>
      <c r="BD782" t="str">
        <f t="shared" si="25"/>
        <v>0</v>
      </c>
    </row>
    <row r="783" spans="1:56">
      <c r="A783" t="s">
        <v>1003</v>
      </c>
      <c r="B783" t="s">
        <v>64</v>
      </c>
      <c r="C783">
        <v>72</v>
      </c>
      <c r="D783" t="s">
        <v>65</v>
      </c>
      <c r="E783" t="s">
        <v>60</v>
      </c>
      <c r="F783" t="s">
        <v>61</v>
      </c>
      <c r="G783">
        <v>30000</v>
      </c>
      <c r="H783">
        <v>0.5</v>
      </c>
      <c r="I783">
        <v>0.5</v>
      </c>
      <c r="J783">
        <v>0</v>
      </c>
      <c r="K783">
        <v>1</v>
      </c>
      <c r="L783">
        <v>2000000000</v>
      </c>
      <c r="M783">
        <v>48</v>
      </c>
      <c r="N783">
        <v>48</v>
      </c>
      <c r="O783">
        <v>48</v>
      </c>
      <c r="P783">
        <v>0</v>
      </c>
      <c r="Q783" t="s">
        <v>62</v>
      </c>
      <c r="R783">
        <v>9.9999481687752602E+17</v>
      </c>
      <c r="S783">
        <v>999998978</v>
      </c>
      <c r="T783">
        <v>9.9999481687752602E+17</v>
      </c>
      <c r="U783">
        <v>999998978</v>
      </c>
      <c r="V783" t="s">
        <v>75</v>
      </c>
      <c r="W783">
        <v>7</v>
      </c>
      <c r="X783">
        <v>86971418</v>
      </c>
      <c r="Y783">
        <v>1083823545</v>
      </c>
      <c r="Z783">
        <v>1170794963</v>
      </c>
      <c r="AA783">
        <v>999998978</v>
      </c>
      <c r="AB783">
        <v>13.4618</v>
      </c>
      <c r="AC783">
        <v>0.92265799999999998</v>
      </c>
      <c r="AD783">
        <v>1.85412</v>
      </c>
      <c r="AE783">
        <v>4.0050299999999996</v>
      </c>
      <c r="AF783">
        <v>24299095216</v>
      </c>
      <c r="AG783" t="s">
        <v>1004</v>
      </c>
      <c r="AH783" t="s">
        <v>1004</v>
      </c>
      <c r="AJ783">
        <v>91020</v>
      </c>
      <c r="AM783">
        <v>1000884901</v>
      </c>
      <c r="AN783">
        <v>0</v>
      </c>
      <c r="AO783">
        <v>10108677</v>
      </c>
      <c r="AP783">
        <v>1000884901</v>
      </c>
      <c r="AQ783">
        <v>1010993578</v>
      </c>
      <c r="AR783">
        <v>33362830</v>
      </c>
      <c r="AS783">
        <v>0</v>
      </c>
      <c r="AT783">
        <v>336955</v>
      </c>
      <c r="AU783">
        <v>33362830</v>
      </c>
      <c r="AV783">
        <v>33699785</v>
      </c>
      <c r="AW783">
        <v>21.9572</v>
      </c>
      <c r="AX783">
        <v>12.914899999999999</v>
      </c>
      <c r="AY783">
        <v>3968.72</v>
      </c>
      <c r="AZ783">
        <v>3317.26</v>
      </c>
      <c r="BA783">
        <v>59542</v>
      </c>
      <c r="BB783">
        <v>12259</v>
      </c>
      <c r="BC783" t="str">
        <f t="shared" si="24"/>
        <v>u=1%, k=2x10^9</v>
      </c>
      <c r="BD783" t="str">
        <f t="shared" si="25"/>
        <v>0</v>
      </c>
    </row>
    <row r="784" spans="1:56">
      <c r="A784" t="s">
        <v>1005</v>
      </c>
      <c r="B784" t="s">
        <v>64</v>
      </c>
      <c r="C784">
        <v>72</v>
      </c>
      <c r="D784" t="s">
        <v>65</v>
      </c>
      <c r="E784" t="s">
        <v>60</v>
      </c>
      <c r="F784" t="s">
        <v>61</v>
      </c>
      <c r="G784">
        <v>30000</v>
      </c>
      <c r="H784">
        <v>0.5</v>
      </c>
      <c r="I784">
        <v>0.5</v>
      </c>
      <c r="J784">
        <v>0</v>
      </c>
      <c r="K784">
        <v>1</v>
      </c>
      <c r="L784">
        <v>2000000000</v>
      </c>
      <c r="M784">
        <v>96</v>
      </c>
      <c r="N784">
        <v>96</v>
      </c>
      <c r="O784">
        <v>96</v>
      </c>
      <c r="P784">
        <v>0</v>
      </c>
      <c r="Q784" t="s">
        <v>62</v>
      </c>
      <c r="R784">
        <v>9.9999229617703898E+17</v>
      </c>
      <c r="S784">
        <v>1000002000</v>
      </c>
      <c r="T784">
        <v>9.9999229617703898E+17</v>
      </c>
      <c r="U784">
        <v>1000002000</v>
      </c>
      <c r="V784" t="s">
        <v>75</v>
      </c>
      <c r="W784">
        <v>7</v>
      </c>
      <c r="X784">
        <v>89940504</v>
      </c>
      <c r="Y784">
        <v>1089786989</v>
      </c>
      <c r="Z784">
        <v>1179727493</v>
      </c>
      <c r="AA784">
        <v>1000002000</v>
      </c>
      <c r="AB784">
        <v>13.1168</v>
      </c>
      <c r="AC784">
        <v>0.91761199999999998</v>
      </c>
      <c r="AD784">
        <v>1.8476600000000001</v>
      </c>
      <c r="AE784">
        <v>4.0110400000000004</v>
      </c>
      <c r="AF784">
        <v>24632766640</v>
      </c>
      <c r="AG784" t="s">
        <v>1006</v>
      </c>
      <c r="AH784" t="s">
        <v>1006</v>
      </c>
      <c r="AJ784">
        <v>49686</v>
      </c>
      <c r="AM784">
        <v>2209621678</v>
      </c>
      <c r="AN784">
        <v>0</v>
      </c>
      <c r="AO784">
        <v>22313699</v>
      </c>
      <c r="AP784">
        <v>2209621678</v>
      </c>
      <c r="AQ784">
        <v>2231935377</v>
      </c>
      <c r="AR784">
        <v>73654055</v>
      </c>
      <c r="AS784">
        <v>0</v>
      </c>
      <c r="AT784">
        <v>743789</v>
      </c>
      <c r="AU784">
        <v>73654055</v>
      </c>
      <c r="AV784">
        <v>74397845</v>
      </c>
      <c r="AW784">
        <v>22.062200000000001</v>
      </c>
      <c r="AX784">
        <v>13.656499999999999</v>
      </c>
      <c r="AY784">
        <v>3592.97</v>
      </c>
      <c r="AZ784">
        <v>2885.36</v>
      </c>
      <c r="BA784">
        <v>60120</v>
      </c>
      <c r="BB784">
        <v>9791</v>
      </c>
      <c r="BC784" t="str">
        <f t="shared" si="24"/>
        <v>u=1%, k=2x10^9</v>
      </c>
      <c r="BD784" t="str">
        <f t="shared" si="25"/>
        <v>0</v>
      </c>
    </row>
    <row r="785" spans="1:56">
      <c r="A785" t="s">
        <v>1007</v>
      </c>
      <c r="B785" t="s">
        <v>64</v>
      </c>
      <c r="C785">
        <v>72</v>
      </c>
      <c r="D785" t="s">
        <v>65</v>
      </c>
      <c r="E785" t="s">
        <v>60</v>
      </c>
      <c r="F785" t="s">
        <v>61</v>
      </c>
      <c r="G785">
        <v>30000</v>
      </c>
      <c r="H785">
        <v>0.5</v>
      </c>
      <c r="I785">
        <v>0.5</v>
      </c>
      <c r="J785">
        <v>0</v>
      </c>
      <c r="K785">
        <v>1</v>
      </c>
      <c r="L785">
        <v>2000000000</v>
      </c>
      <c r="M785">
        <v>144</v>
      </c>
      <c r="N785">
        <v>144</v>
      </c>
      <c r="O785">
        <v>144</v>
      </c>
      <c r="P785">
        <v>0</v>
      </c>
      <c r="Q785" t="s">
        <v>62</v>
      </c>
      <c r="R785">
        <v>1.00000679119184E+18</v>
      </c>
      <c r="S785">
        <v>999994570</v>
      </c>
      <c r="T785">
        <v>1.00000679119184E+18</v>
      </c>
      <c r="U785">
        <v>999994570</v>
      </c>
      <c r="V785" t="s">
        <v>75</v>
      </c>
      <c r="W785">
        <v>7</v>
      </c>
      <c r="X785">
        <v>92585955</v>
      </c>
      <c r="Y785">
        <v>1095118011</v>
      </c>
      <c r="Z785">
        <v>1187703966</v>
      </c>
      <c r="AA785">
        <v>999994570</v>
      </c>
      <c r="AB785">
        <v>12.828099999999999</v>
      </c>
      <c r="AC785">
        <v>0.91313900000000003</v>
      </c>
      <c r="AD785">
        <v>1.84196</v>
      </c>
      <c r="AE785">
        <v>4.0164299999999997</v>
      </c>
      <c r="AF785">
        <v>24930804384</v>
      </c>
      <c r="AG785" t="s">
        <v>1008</v>
      </c>
      <c r="AH785" t="s">
        <v>1008</v>
      </c>
      <c r="AJ785">
        <v>33002</v>
      </c>
      <c r="AM785">
        <v>3318668013</v>
      </c>
      <c r="AN785">
        <v>0</v>
      </c>
      <c r="AO785">
        <v>33511791</v>
      </c>
      <c r="AP785">
        <v>3318668013</v>
      </c>
      <c r="AQ785">
        <v>3352179804</v>
      </c>
      <c r="AR785">
        <v>110622267</v>
      </c>
      <c r="AS785">
        <v>0</v>
      </c>
      <c r="AT785">
        <v>1117059</v>
      </c>
      <c r="AU785">
        <v>110622267</v>
      </c>
      <c r="AV785">
        <v>111739326</v>
      </c>
      <c r="AW785">
        <v>22.052399999999999</v>
      </c>
      <c r="AX785">
        <v>13.889200000000001</v>
      </c>
      <c r="AY785">
        <v>3588.07</v>
      </c>
      <c r="AZ785">
        <v>2868.87</v>
      </c>
      <c r="BA785">
        <v>60707</v>
      </c>
      <c r="BB785">
        <v>9222</v>
      </c>
      <c r="BC785" t="str">
        <f t="shared" si="24"/>
        <v>u=1%, k=2x10^9</v>
      </c>
      <c r="BD785" t="str">
        <f t="shared" si="25"/>
        <v>0</v>
      </c>
    </row>
    <row r="786" spans="1:56">
      <c r="A786" t="s">
        <v>1009</v>
      </c>
      <c r="B786" t="s">
        <v>64</v>
      </c>
      <c r="C786">
        <v>72</v>
      </c>
      <c r="D786" t="s">
        <v>65</v>
      </c>
      <c r="E786" t="s">
        <v>60</v>
      </c>
      <c r="F786" t="s">
        <v>61</v>
      </c>
      <c r="G786">
        <v>30000</v>
      </c>
      <c r="H786">
        <v>0.5</v>
      </c>
      <c r="I786">
        <v>0.5</v>
      </c>
      <c r="J786">
        <v>0</v>
      </c>
      <c r="K786">
        <v>1</v>
      </c>
      <c r="L786">
        <v>2000000000</v>
      </c>
      <c r="M786">
        <v>190</v>
      </c>
      <c r="N786">
        <v>190</v>
      </c>
      <c r="O786">
        <v>190</v>
      </c>
      <c r="P786">
        <v>0</v>
      </c>
      <c r="Q786" t="s">
        <v>62</v>
      </c>
      <c r="R786">
        <v>9.9998572695860698E+17</v>
      </c>
      <c r="S786">
        <v>999996948</v>
      </c>
      <c r="T786">
        <v>9.9998572695860698E+17</v>
      </c>
      <c r="U786">
        <v>999996948</v>
      </c>
      <c r="V786" t="s">
        <v>75</v>
      </c>
      <c r="W786">
        <v>7</v>
      </c>
      <c r="X786">
        <v>94955120</v>
      </c>
      <c r="Y786">
        <v>1099908957</v>
      </c>
      <c r="Z786">
        <v>1194864077</v>
      </c>
      <c r="AA786">
        <v>999996948</v>
      </c>
      <c r="AB786">
        <v>12.583500000000001</v>
      </c>
      <c r="AC786">
        <v>0.90916300000000005</v>
      </c>
      <c r="AD786">
        <v>1.83691</v>
      </c>
      <c r="AE786">
        <v>4.0213000000000001</v>
      </c>
      <c r="AF786">
        <v>25198335968</v>
      </c>
      <c r="AG786" t="s">
        <v>1010</v>
      </c>
      <c r="AH786" t="s">
        <v>1010</v>
      </c>
      <c r="AJ786">
        <v>25662</v>
      </c>
      <c r="AM786">
        <v>4335935122</v>
      </c>
      <c r="AN786">
        <v>0</v>
      </c>
      <c r="AO786">
        <v>43794884</v>
      </c>
      <c r="AP786">
        <v>4335935122</v>
      </c>
      <c r="AQ786">
        <v>4379730006</v>
      </c>
      <c r="AR786">
        <v>144531170</v>
      </c>
      <c r="AS786">
        <v>0</v>
      </c>
      <c r="AT786">
        <v>1459829</v>
      </c>
      <c r="AU786">
        <v>144531170</v>
      </c>
      <c r="AV786">
        <v>145991000</v>
      </c>
      <c r="AW786">
        <v>22.076000000000001</v>
      </c>
      <c r="AX786">
        <v>14.0314</v>
      </c>
      <c r="AY786">
        <v>3622.83</v>
      </c>
      <c r="AZ786">
        <v>2899.22</v>
      </c>
      <c r="BA786">
        <v>61152</v>
      </c>
      <c r="BB786">
        <v>9362</v>
      </c>
      <c r="BC786" t="str">
        <f t="shared" si="24"/>
        <v>u=1%, k=2x10^9</v>
      </c>
      <c r="BD786" t="str">
        <f t="shared" si="25"/>
        <v>0</v>
      </c>
    </row>
    <row r="787" spans="1:56">
      <c r="A787" t="s">
        <v>1011</v>
      </c>
      <c r="B787" t="s">
        <v>66</v>
      </c>
      <c r="C787">
        <v>208</v>
      </c>
      <c r="D787" t="s">
        <v>65</v>
      </c>
      <c r="E787" t="s">
        <v>60</v>
      </c>
      <c r="F787" t="s">
        <v>61</v>
      </c>
      <c r="G787">
        <v>30000</v>
      </c>
      <c r="H787">
        <v>0.5</v>
      </c>
      <c r="I787">
        <v>0.5</v>
      </c>
      <c r="J787">
        <v>0</v>
      </c>
      <c r="K787">
        <v>1</v>
      </c>
      <c r="L787">
        <v>2000000000</v>
      </c>
      <c r="M787">
        <v>24</v>
      </c>
      <c r="N787">
        <v>24</v>
      </c>
      <c r="O787">
        <v>24</v>
      </c>
      <c r="P787">
        <v>0</v>
      </c>
      <c r="Q787" t="s">
        <v>62</v>
      </c>
      <c r="R787">
        <v>9.9997979819422502E+17</v>
      </c>
      <c r="S787">
        <v>999999192</v>
      </c>
      <c r="T787">
        <v>9.9997979819422502E+17</v>
      </c>
      <c r="U787">
        <v>999999192</v>
      </c>
      <c r="V787" t="s">
        <v>75</v>
      </c>
      <c r="W787">
        <v>12</v>
      </c>
      <c r="X787">
        <v>18555413</v>
      </c>
      <c r="Y787">
        <v>127686248</v>
      </c>
      <c r="Z787">
        <v>146241661</v>
      </c>
      <c r="AA787">
        <v>999999192</v>
      </c>
      <c r="AB787">
        <v>7.8813500000000003</v>
      </c>
      <c r="AC787">
        <v>7.83169</v>
      </c>
      <c r="AD787">
        <v>7.8379899999999996</v>
      </c>
      <c r="AE787">
        <v>11</v>
      </c>
      <c r="AF787">
        <v>30418265488</v>
      </c>
      <c r="AJ787" t="s">
        <v>1012</v>
      </c>
      <c r="AM787">
        <v>339869416</v>
      </c>
      <c r="AN787">
        <v>0</v>
      </c>
      <c r="AO787">
        <v>3435187</v>
      </c>
      <c r="AP787">
        <v>339869416</v>
      </c>
      <c r="AQ787">
        <v>343304603</v>
      </c>
      <c r="AR787">
        <v>11328980</v>
      </c>
      <c r="AS787">
        <v>0</v>
      </c>
      <c r="AT787">
        <v>114506</v>
      </c>
      <c r="AU787">
        <v>11328980</v>
      </c>
      <c r="AV787">
        <v>11443486</v>
      </c>
      <c r="AW787">
        <v>30.447299999999998</v>
      </c>
      <c r="AX787">
        <v>16.4557</v>
      </c>
      <c r="AY787">
        <v>5849.83</v>
      </c>
      <c r="AZ787">
        <v>4612.3900000000003</v>
      </c>
      <c r="BA787">
        <v>33276</v>
      </c>
      <c r="BB787">
        <v>154904</v>
      </c>
      <c r="BC787" t="str">
        <f t="shared" si="24"/>
        <v>u=1%, k=2x10^9</v>
      </c>
      <c r="BD787">
        <f t="shared" si="25"/>
        <v>0</v>
      </c>
    </row>
    <row r="788" spans="1:56">
      <c r="A788" t="s">
        <v>1013</v>
      </c>
      <c r="B788" t="s">
        <v>66</v>
      </c>
      <c r="C788">
        <v>208</v>
      </c>
      <c r="D788" t="s">
        <v>65</v>
      </c>
      <c r="E788" t="s">
        <v>60</v>
      </c>
      <c r="F788" t="s">
        <v>61</v>
      </c>
      <c r="G788">
        <v>30000</v>
      </c>
      <c r="H788">
        <v>0.5</v>
      </c>
      <c r="I788">
        <v>0.5</v>
      </c>
      <c r="J788">
        <v>0</v>
      </c>
      <c r="K788">
        <v>1</v>
      </c>
      <c r="L788">
        <v>2000000000</v>
      </c>
      <c r="M788">
        <v>48</v>
      </c>
      <c r="N788">
        <v>48</v>
      </c>
      <c r="O788">
        <v>48</v>
      </c>
      <c r="P788">
        <v>0</v>
      </c>
      <c r="Q788" t="s">
        <v>62</v>
      </c>
      <c r="R788">
        <v>9.9999027943436902E+17</v>
      </c>
      <c r="S788">
        <v>999997607</v>
      </c>
      <c r="T788">
        <v>9.9999027943436902E+17</v>
      </c>
      <c r="U788">
        <v>999997607</v>
      </c>
      <c r="V788" t="s">
        <v>75</v>
      </c>
      <c r="W788">
        <v>12</v>
      </c>
      <c r="X788">
        <v>18569635</v>
      </c>
      <c r="Y788">
        <v>127784390</v>
      </c>
      <c r="Z788">
        <v>146354025</v>
      </c>
      <c r="AA788">
        <v>999997607</v>
      </c>
      <c r="AB788">
        <v>7.8813599999999999</v>
      </c>
      <c r="AC788">
        <v>7.8256600000000001</v>
      </c>
      <c r="AD788">
        <v>7.8327299999999997</v>
      </c>
      <c r="AE788">
        <v>11</v>
      </c>
      <c r="AF788">
        <v>30441637200</v>
      </c>
      <c r="AJ788" t="s">
        <v>1014</v>
      </c>
      <c r="AM788">
        <v>645811570</v>
      </c>
      <c r="AN788">
        <v>0</v>
      </c>
      <c r="AO788">
        <v>6523776</v>
      </c>
      <c r="AP788">
        <v>645811570</v>
      </c>
      <c r="AQ788">
        <v>652335346</v>
      </c>
      <c r="AR788">
        <v>21527052</v>
      </c>
      <c r="AS788">
        <v>0</v>
      </c>
      <c r="AT788">
        <v>217459</v>
      </c>
      <c r="AU788">
        <v>21527052</v>
      </c>
      <c r="AV788">
        <v>21744511</v>
      </c>
      <c r="AW788">
        <v>30.039100000000001</v>
      </c>
      <c r="AX788">
        <v>16.424700000000001</v>
      </c>
      <c r="AY788">
        <v>6156.36</v>
      </c>
      <c r="AZ788">
        <v>5231.6000000000004</v>
      </c>
      <c r="BA788">
        <v>33417</v>
      </c>
      <c r="BB788">
        <v>94202</v>
      </c>
      <c r="BC788" t="str">
        <f t="shared" si="24"/>
        <v>u=1%, k=2x10^9</v>
      </c>
      <c r="BD788">
        <f t="shared" si="25"/>
        <v>0</v>
      </c>
    </row>
    <row r="789" spans="1:56">
      <c r="A789" t="s">
        <v>1015</v>
      </c>
      <c r="B789" t="s">
        <v>66</v>
      </c>
      <c r="C789">
        <v>208</v>
      </c>
      <c r="D789" t="s">
        <v>65</v>
      </c>
      <c r="E789" t="s">
        <v>60</v>
      </c>
      <c r="F789" t="s">
        <v>61</v>
      </c>
      <c r="G789">
        <v>30000</v>
      </c>
      <c r="H789">
        <v>0.5</v>
      </c>
      <c r="I789">
        <v>0.5</v>
      </c>
      <c r="J789">
        <v>0</v>
      </c>
      <c r="K789">
        <v>1</v>
      </c>
      <c r="L789">
        <v>2000000000</v>
      </c>
      <c r="M789">
        <v>96</v>
      </c>
      <c r="N789">
        <v>96</v>
      </c>
      <c r="O789">
        <v>96</v>
      </c>
      <c r="P789">
        <v>0</v>
      </c>
      <c r="Q789" t="s">
        <v>62</v>
      </c>
      <c r="R789">
        <v>1.00000513615802E+18</v>
      </c>
      <c r="S789">
        <v>999994443</v>
      </c>
      <c r="T789">
        <v>1.00000513615802E+18</v>
      </c>
      <c r="U789">
        <v>999994443</v>
      </c>
      <c r="V789" t="s">
        <v>75</v>
      </c>
      <c r="W789">
        <v>12</v>
      </c>
      <c r="X789">
        <v>18605838</v>
      </c>
      <c r="Y789">
        <v>128035345</v>
      </c>
      <c r="Z789">
        <v>146641183</v>
      </c>
      <c r="AA789">
        <v>999994443</v>
      </c>
      <c r="AB789">
        <v>7.8814599999999997</v>
      </c>
      <c r="AC789">
        <v>7.8102999999999998</v>
      </c>
      <c r="AD789">
        <v>7.8193299999999999</v>
      </c>
      <c r="AE789">
        <v>11</v>
      </c>
      <c r="AF789">
        <v>30501366064</v>
      </c>
      <c r="AJ789" t="s">
        <v>1016</v>
      </c>
      <c r="AM789">
        <v>1446636232</v>
      </c>
      <c r="AN789">
        <v>0</v>
      </c>
      <c r="AO789">
        <v>14612258</v>
      </c>
      <c r="AP789">
        <v>1446636232</v>
      </c>
      <c r="AQ789">
        <v>1461248490</v>
      </c>
      <c r="AR789">
        <v>48221207</v>
      </c>
      <c r="AS789">
        <v>0</v>
      </c>
      <c r="AT789">
        <v>487075</v>
      </c>
      <c r="AU789">
        <v>48221207</v>
      </c>
      <c r="AV789">
        <v>48708283</v>
      </c>
      <c r="AW789">
        <v>30.417000000000002</v>
      </c>
      <c r="AX789">
        <v>17.499199999999998</v>
      </c>
      <c r="AY789">
        <v>5488.1</v>
      </c>
      <c r="AZ789">
        <v>4495.6899999999996</v>
      </c>
      <c r="BA789">
        <v>33700</v>
      </c>
      <c r="BB789">
        <v>71571</v>
      </c>
      <c r="BC789" t="str">
        <f t="shared" si="24"/>
        <v>u=1%, k=2x10^9</v>
      </c>
      <c r="BD789">
        <f t="shared" si="25"/>
        <v>0</v>
      </c>
    </row>
    <row r="790" spans="1:56">
      <c r="A790" t="s">
        <v>1017</v>
      </c>
      <c r="B790" t="s">
        <v>66</v>
      </c>
      <c r="C790">
        <v>208</v>
      </c>
      <c r="D790" t="s">
        <v>65</v>
      </c>
      <c r="E790" t="s">
        <v>60</v>
      </c>
      <c r="F790" t="s">
        <v>61</v>
      </c>
      <c r="G790">
        <v>30000</v>
      </c>
      <c r="H790">
        <v>0.5</v>
      </c>
      <c r="I790">
        <v>0.5</v>
      </c>
      <c r="J790">
        <v>0</v>
      </c>
      <c r="K790">
        <v>1</v>
      </c>
      <c r="L790">
        <v>2000000000</v>
      </c>
      <c r="M790">
        <v>144</v>
      </c>
      <c r="N790">
        <v>144</v>
      </c>
      <c r="O790">
        <v>144</v>
      </c>
      <c r="P790">
        <v>0</v>
      </c>
      <c r="Q790" t="s">
        <v>62</v>
      </c>
      <c r="R790">
        <v>9.9999102381093402E+17</v>
      </c>
      <c r="S790">
        <v>1000001857</v>
      </c>
      <c r="T790">
        <v>9.9999102381093402E+17</v>
      </c>
      <c r="U790">
        <v>1000001857</v>
      </c>
      <c r="V790" t="s">
        <v>75</v>
      </c>
      <c r="W790">
        <v>11</v>
      </c>
      <c r="X790">
        <v>18634679</v>
      </c>
      <c r="Y790">
        <v>128252879</v>
      </c>
      <c r="Z790">
        <v>146887558</v>
      </c>
      <c r="AA790">
        <v>1000001857</v>
      </c>
      <c r="AB790">
        <v>7.8824800000000002</v>
      </c>
      <c r="AC790">
        <v>7.79711</v>
      </c>
      <c r="AD790">
        <v>7.8079400000000003</v>
      </c>
      <c r="AE790">
        <v>10</v>
      </c>
      <c r="AF790">
        <v>30552612064</v>
      </c>
      <c r="AJ790" t="s">
        <v>1018</v>
      </c>
      <c r="AM790">
        <v>2178497491</v>
      </c>
      <c r="AN790">
        <v>0</v>
      </c>
      <c r="AO790">
        <v>21999680</v>
      </c>
      <c r="AP790">
        <v>2178497491</v>
      </c>
      <c r="AQ790">
        <v>2200497171</v>
      </c>
      <c r="AR790">
        <v>72616583</v>
      </c>
      <c r="AS790">
        <v>0</v>
      </c>
      <c r="AT790">
        <v>733322</v>
      </c>
      <c r="AU790">
        <v>72616583</v>
      </c>
      <c r="AV790">
        <v>73349905</v>
      </c>
      <c r="AW790">
        <v>30.616399999999999</v>
      </c>
      <c r="AX790">
        <v>17.7301</v>
      </c>
      <c r="AY790">
        <v>5465.06</v>
      </c>
      <c r="AZ790">
        <v>4471.2</v>
      </c>
      <c r="BA790">
        <v>34015</v>
      </c>
      <c r="BB790">
        <v>64302</v>
      </c>
      <c r="BC790" t="str">
        <f t="shared" si="24"/>
        <v>u=1%, k=2x10^9</v>
      </c>
      <c r="BD790">
        <f t="shared" si="25"/>
        <v>0</v>
      </c>
    </row>
    <row r="791" spans="1:56">
      <c r="A791" t="s">
        <v>1019</v>
      </c>
      <c r="B791" t="s">
        <v>66</v>
      </c>
      <c r="C791">
        <v>208</v>
      </c>
      <c r="D791" t="s">
        <v>65</v>
      </c>
      <c r="E791" t="s">
        <v>60</v>
      </c>
      <c r="F791" t="s">
        <v>61</v>
      </c>
      <c r="G791">
        <v>30000</v>
      </c>
      <c r="H791">
        <v>0.5</v>
      </c>
      <c r="I791">
        <v>0.5</v>
      </c>
      <c r="J791">
        <v>0</v>
      </c>
      <c r="K791">
        <v>1</v>
      </c>
      <c r="L791">
        <v>2000000000</v>
      </c>
      <c r="M791">
        <v>190</v>
      </c>
      <c r="N791">
        <v>190</v>
      </c>
      <c r="O791">
        <v>190</v>
      </c>
      <c r="P791">
        <v>0</v>
      </c>
      <c r="Q791" t="s">
        <v>62</v>
      </c>
      <c r="R791">
        <v>9.9995983701762099E+17</v>
      </c>
      <c r="S791">
        <v>999993978</v>
      </c>
      <c r="T791">
        <v>9.9995983701762099E+17</v>
      </c>
      <c r="U791">
        <v>999993978</v>
      </c>
      <c r="V791" t="s">
        <v>75</v>
      </c>
      <c r="W791">
        <v>12</v>
      </c>
      <c r="X791">
        <v>18667374</v>
      </c>
      <c r="Y791">
        <v>128457966</v>
      </c>
      <c r="Z791">
        <v>147125340</v>
      </c>
      <c r="AA791">
        <v>999993978</v>
      </c>
      <c r="AB791">
        <v>7.8814200000000003</v>
      </c>
      <c r="AC791">
        <v>7.7846000000000002</v>
      </c>
      <c r="AD791">
        <v>7.7968799999999998</v>
      </c>
      <c r="AE791">
        <v>11</v>
      </c>
      <c r="AF791">
        <v>30602070720</v>
      </c>
      <c r="AJ791" t="s">
        <v>1020</v>
      </c>
      <c r="AM791">
        <v>2860933067</v>
      </c>
      <c r="AN791">
        <v>0</v>
      </c>
      <c r="AO791">
        <v>28895395</v>
      </c>
      <c r="AP791">
        <v>2860933067</v>
      </c>
      <c r="AQ791">
        <v>2889828462</v>
      </c>
      <c r="AR791">
        <v>95364435</v>
      </c>
      <c r="AS791">
        <v>0</v>
      </c>
      <c r="AT791">
        <v>963179</v>
      </c>
      <c r="AU791">
        <v>95364435</v>
      </c>
      <c r="AV791">
        <v>96327615</v>
      </c>
      <c r="AW791">
        <v>30.700500000000002</v>
      </c>
      <c r="AX791">
        <v>17.841899999999999</v>
      </c>
      <c r="AY791">
        <v>5489.81</v>
      </c>
      <c r="AZ791">
        <v>4467.84</v>
      </c>
      <c r="BA791">
        <v>34281</v>
      </c>
      <c r="BB791">
        <v>60612</v>
      </c>
      <c r="BC791" t="str">
        <f t="shared" si="24"/>
        <v>u=1%, k=2x10^9</v>
      </c>
      <c r="BD791">
        <f t="shared" si="25"/>
        <v>0</v>
      </c>
    </row>
    <row r="792" spans="1:56">
      <c r="A792" t="s">
        <v>1021</v>
      </c>
      <c r="B792" t="s">
        <v>67</v>
      </c>
      <c r="D792" t="s">
        <v>65</v>
      </c>
      <c r="E792" t="s">
        <v>60</v>
      </c>
      <c r="F792" t="s">
        <v>61</v>
      </c>
      <c r="G792">
        <v>30000</v>
      </c>
      <c r="H792">
        <v>0.5</v>
      </c>
      <c r="I792">
        <v>0.5</v>
      </c>
      <c r="J792">
        <v>0</v>
      </c>
      <c r="K792">
        <v>1</v>
      </c>
      <c r="L792">
        <v>2000000000</v>
      </c>
      <c r="M792">
        <v>24</v>
      </c>
      <c r="N792">
        <v>24</v>
      </c>
      <c r="O792">
        <v>24</v>
      </c>
      <c r="P792">
        <v>0</v>
      </c>
      <c r="Q792" t="s">
        <v>62</v>
      </c>
      <c r="R792">
        <v>9.9998881707906496E+17</v>
      </c>
      <c r="S792">
        <v>1000000659</v>
      </c>
      <c r="T792">
        <v>9.9998881707906496E+17</v>
      </c>
      <c r="U792">
        <v>1000000659</v>
      </c>
      <c r="V792" t="s">
        <v>75</v>
      </c>
      <c r="W792">
        <v>37</v>
      </c>
      <c r="X792">
        <v>571526119</v>
      </c>
      <c r="Y792">
        <v>428644189</v>
      </c>
      <c r="Z792">
        <v>1000170308</v>
      </c>
      <c r="AA792">
        <v>1000000659</v>
      </c>
      <c r="AB792">
        <v>1.75</v>
      </c>
      <c r="AC792">
        <v>2.3329399999999998</v>
      </c>
      <c r="AD792">
        <v>1.99983</v>
      </c>
      <c r="AE792">
        <v>29.427499999999998</v>
      </c>
      <c r="AF792">
        <v>56009537248</v>
      </c>
      <c r="AJ792" t="s">
        <v>1022</v>
      </c>
      <c r="AM792">
        <v>157119492</v>
      </c>
      <c r="AN792">
        <v>0</v>
      </c>
      <c r="AO792">
        <v>1586633</v>
      </c>
      <c r="AP792">
        <v>157119492</v>
      </c>
      <c r="AQ792">
        <v>158706125</v>
      </c>
      <c r="AR792">
        <v>5237316</v>
      </c>
      <c r="AS792">
        <v>0</v>
      </c>
      <c r="AT792">
        <v>52887</v>
      </c>
      <c r="AU792">
        <v>5237316</v>
      </c>
      <c r="AV792">
        <v>5290204</v>
      </c>
      <c r="AW792">
        <v>54.228499999999997</v>
      </c>
      <c r="AX792">
        <v>28.7791</v>
      </c>
      <c r="AY792">
        <v>12655.8</v>
      </c>
      <c r="AZ792">
        <v>11123.7</v>
      </c>
      <c r="BA792">
        <v>65655</v>
      </c>
      <c r="BB792">
        <v>273378</v>
      </c>
      <c r="BC792" t="str">
        <f t="shared" si="24"/>
        <v>u=1%, k=2x10^9</v>
      </c>
      <c r="BD792">
        <f t="shared" si="25"/>
        <v>0</v>
      </c>
    </row>
    <row r="793" spans="1:56">
      <c r="A793" t="s">
        <v>1023</v>
      </c>
      <c r="B793" t="s">
        <v>67</v>
      </c>
      <c r="D793" t="s">
        <v>65</v>
      </c>
      <c r="E793" t="s">
        <v>60</v>
      </c>
      <c r="F793" t="s">
        <v>61</v>
      </c>
      <c r="G793">
        <v>30000</v>
      </c>
      <c r="H793">
        <v>0.5</v>
      </c>
      <c r="I793">
        <v>0.5</v>
      </c>
      <c r="J793">
        <v>0</v>
      </c>
      <c r="K793">
        <v>1</v>
      </c>
      <c r="L793">
        <v>2000000000</v>
      </c>
      <c r="M793">
        <v>48</v>
      </c>
      <c r="N793">
        <v>48</v>
      </c>
      <c r="O793">
        <v>48</v>
      </c>
      <c r="P793">
        <v>0</v>
      </c>
      <c r="Q793" t="s">
        <v>62</v>
      </c>
      <c r="R793">
        <v>9.9997354250161702E+17</v>
      </c>
      <c r="S793">
        <v>1000001566</v>
      </c>
      <c r="T793">
        <v>9.9997354250161702E+17</v>
      </c>
      <c r="U793">
        <v>1000001566</v>
      </c>
      <c r="V793" t="s">
        <v>75</v>
      </c>
      <c r="W793">
        <v>37</v>
      </c>
      <c r="X793">
        <v>571614007</v>
      </c>
      <c r="Y793">
        <v>428715399</v>
      </c>
      <c r="Z793">
        <v>1000329406</v>
      </c>
      <c r="AA793">
        <v>1000001566</v>
      </c>
      <c r="AB793">
        <v>1.7500100000000001</v>
      </c>
      <c r="AC793">
        <v>2.3325499999999999</v>
      </c>
      <c r="AD793">
        <v>1.9996700000000001</v>
      </c>
      <c r="AE793">
        <v>29.427</v>
      </c>
      <c r="AF793">
        <v>56018446736</v>
      </c>
      <c r="AJ793" t="s">
        <v>1024</v>
      </c>
      <c r="AM793">
        <v>303454324</v>
      </c>
      <c r="AN793">
        <v>0</v>
      </c>
      <c r="AO793">
        <v>3065789</v>
      </c>
      <c r="AP793">
        <v>303454324</v>
      </c>
      <c r="AQ793">
        <v>306520113</v>
      </c>
      <c r="AR793">
        <v>10115144</v>
      </c>
      <c r="AS793">
        <v>0</v>
      </c>
      <c r="AT793">
        <v>102192</v>
      </c>
      <c r="AU793">
        <v>10115144</v>
      </c>
      <c r="AV793">
        <v>10217337</v>
      </c>
      <c r="AW793">
        <v>54.92</v>
      </c>
      <c r="AX793">
        <v>29.013000000000002</v>
      </c>
      <c r="AY793">
        <v>13103.2</v>
      </c>
      <c r="AZ793">
        <v>11648.1</v>
      </c>
      <c r="BA793">
        <v>65673</v>
      </c>
      <c r="BB793">
        <v>143058</v>
      </c>
      <c r="BC793" t="str">
        <f t="shared" si="24"/>
        <v>u=1%, k=2x10^9</v>
      </c>
      <c r="BD793">
        <f t="shared" si="25"/>
        <v>0</v>
      </c>
    </row>
    <row r="794" spans="1:56">
      <c r="A794" t="s">
        <v>1025</v>
      </c>
      <c r="B794" t="s">
        <v>67</v>
      </c>
      <c r="D794" t="s">
        <v>65</v>
      </c>
      <c r="E794" t="s">
        <v>60</v>
      </c>
      <c r="F794" t="s">
        <v>61</v>
      </c>
      <c r="G794">
        <v>30000</v>
      </c>
      <c r="H794">
        <v>0.5</v>
      </c>
      <c r="I794">
        <v>0.5</v>
      </c>
      <c r="J794">
        <v>0</v>
      </c>
      <c r="K794">
        <v>1</v>
      </c>
      <c r="L794">
        <v>2000000000</v>
      </c>
      <c r="M794">
        <v>96</v>
      </c>
      <c r="N794">
        <v>96</v>
      </c>
      <c r="O794">
        <v>96</v>
      </c>
      <c r="P794">
        <v>0</v>
      </c>
      <c r="Q794" t="s">
        <v>62</v>
      </c>
      <c r="R794">
        <v>9.99984719446768E+17</v>
      </c>
      <c r="S794">
        <v>1000001771</v>
      </c>
      <c r="T794">
        <v>9.99984719446768E+17</v>
      </c>
      <c r="U794">
        <v>1000001771</v>
      </c>
      <c r="V794" t="s">
        <v>75</v>
      </c>
      <c r="W794">
        <v>37</v>
      </c>
      <c r="X794">
        <v>571828293</v>
      </c>
      <c r="Y794">
        <v>428902268</v>
      </c>
      <c r="Z794">
        <v>1000730561</v>
      </c>
      <c r="AA794">
        <v>1000001771</v>
      </c>
      <c r="AB794">
        <v>1.7500500000000001</v>
      </c>
      <c r="AC794">
        <v>2.3315399999999999</v>
      </c>
      <c r="AD794">
        <v>1.9992700000000001</v>
      </c>
      <c r="AE794">
        <v>29.517299999999999</v>
      </c>
      <c r="AF794">
        <v>56040911416</v>
      </c>
      <c r="AJ794" t="s">
        <v>1026</v>
      </c>
      <c r="AM794">
        <v>675589974</v>
      </c>
      <c r="AN794">
        <v>0</v>
      </c>
      <c r="AO794">
        <v>6825414</v>
      </c>
      <c r="AP794">
        <v>675589974</v>
      </c>
      <c r="AQ794">
        <v>682415388</v>
      </c>
      <c r="AR794">
        <v>22519665</v>
      </c>
      <c r="AS794">
        <v>0</v>
      </c>
      <c r="AT794">
        <v>227513</v>
      </c>
      <c r="AU794">
        <v>22519665</v>
      </c>
      <c r="AV794">
        <v>22747179</v>
      </c>
      <c r="AW794">
        <v>55.171700000000001</v>
      </c>
      <c r="AX794">
        <v>31.1403</v>
      </c>
      <c r="AY794">
        <v>11758.3</v>
      </c>
      <c r="AZ794">
        <v>10202.6</v>
      </c>
      <c r="BA794">
        <v>65712</v>
      </c>
      <c r="BB794">
        <v>63527</v>
      </c>
      <c r="BC794" t="str">
        <f t="shared" si="24"/>
        <v>u=1%, k=2x10^9</v>
      </c>
      <c r="BD794">
        <f t="shared" si="25"/>
        <v>0</v>
      </c>
    </row>
    <row r="795" spans="1:56">
      <c r="A795" t="s">
        <v>1027</v>
      </c>
      <c r="B795" t="s">
        <v>67</v>
      </c>
      <c r="D795" t="s">
        <v>65</v>
      </c>
      <c r="E795" t="s">
        <v>60</v>
      </c>
      <c r="F795" t="s">
        <v>61</v>
      </c>
      <c r="G795">
        <v>30000</v>
      </c>
      <c r="H795">
        <v>0.5</v>
      </c>
      <c r="I795">
        <v>0.5</v>
      </c>
      <c r="J795">
        <v>0</v>
      </c>
      <c r="K795">
        <v>1</v>
      </c>
      <c r="L795">
        <v>2000000000</v>
      </c>
      <c r="M795">
        <v>144</v>
      </c>
      <c r="N795">
        <v>144</v>
      </c>
      <c r="O795">
        <v>144</v>
      </c>
      <c r="P795">
        <v>0</v>
      </c>
      <c r="Q795" t="s">
        <v>62</v>
      </c>
      <c r="R795">
        <v>9.9999258970814797E+17</v>
      </c>
      <c r="S795">
        <v>1000003015</v>
      </c>
      <c r="T795">
        <v>9.9999258970814797E+17</v>
      </c>
      <c r="U795">
        <v>1000003015</v>
      </c>
      <c r="V795" t="s">
        <v>75</v>
      </c>
      <c r="W795">
        <v>37</v>
      </c>
      <c r="X795">
        <v>572032017</v>
      </c>
      <c r="Y795">
        <v>429068100</v>
      </c>
      <c r="Z795">
        <v>1001100117</v>
      </c>
      <c r="AA795">
        <v>1000003015</v>
      </c>
      <c r="AB795">
        <v>1.7500800000000001</v>
      </c>
      <c r="AC795">
        <v>2.3306399999999998</v>
      </c>
      <c r="AD795">
        <v>1.9988999999999999</v>
      </c>
      <c r="AE795">
        <v>29.397500000000001</v>
      </c>
      <c r="AF795">
        <v>56061606552</v>
      </c>
      <c r="AJ795" t="s">
        <v>1028</v>
      </c>
      <c r="AM795">
        <v>1015755471</v>
      </c>
      <c r="AN795">
        <v>0</v>
      </c>
      <c r="AO795">
        <v>10260140</v>
      </c>
      <c r="AP795">
        <v>1015755471</v>
      </c>
      <c r="AQ795">
        <v>1026015611</v>
      </c>
      <c r="AR795">
        <v>33858515</v>
      </c>
      <c r="AS795">
        <v>0</v>
      </c>
      <c r="AT795">
        <v>342004</v>
      </c>
      <c r="AU795">
        <v>33858515</v>
      </c>
      <c r="AV795">
        <v>34200520</v>
      </c>
      <c r="AW795">
        <v>55.4221</v>
      </c>
      <c r="AX795">
        <v>31.376799999999999</v>
      </c>
      <c r="AY795">
        <v>11729.7</v>
      </c>
      <c r="AZ795">
        <v>10161.200000000001</v>
      </c>
      <c r="BA795">
        <v>65752</v>
      </c>
      <c r="BB795">
        <v>42706</v>
      </c>
      <c r="BC795" t="str">
        <f t="shared" si="24"/>
        <v>u=1%, k=2x10^9</v>
      </c>
      <c r="BD795">
        <f t="shared" si="25"/>
        <v>0</v>
      </c>
    </row>
    <row r="796" spans="1:56">
      <c r="A796" t="s">
        <v>1029</v>
      </c>
      <c r="B796" t="s">
        <v>67</v>
      </c>
      <c r="D796" t="s">
        <v>65</v>
      </c>
      <c r="E796" t="s">
        <v>60</v>
      </c>
      <c r="F796" t="s">
        <v>61</v>
      </c>
      <c r="G796">
        <v>30000</v>
      </c>
      <c r="H796">
        <v>0.5</v>
      </c>
      <c r="I796">
        <v>0.5</v>
      </c>
      <c r="J796">
        <v>0</v>
      </c>
      <c r="K796">
        <v>1</v>
      </c>
      <c r="L796">
        <v>2000000000</v>
      </c>
      <c r="M796">
        <v>190</v>
      </c>
      <c r="N796">
        <v>190</v>
      </c>
      <c r="O796">
        <v>190</v>
      </c>
      <c r="P796">
        <v>0</v>
      </c>
      <c r="Q796" t="s">
        <v>62</v>
      </c>
      <c r="R796">
        <v>9.9997703670017894E+17</v>
      </c>
      <c r="S796">
        <v>1000001524</v>
      </c>
      <c r="T796">
        <v>9.9997703670017894E+17</v>
      </c>
      <c r="U796">
        <v>1000001524</v>
      </c>
      <c r="V796" t="s">
        <v>75</v>
      </c>
      <c r="W796">
        <v>37</v>
      </c>
      <c r="X796">
        <v>572218220</v>
      </c>
      <c r="Y796">
        <v>429231716</v>
      </c>
      <c r="Z796">
        <v>1001449936</v>
      </c>
      <c r="AA796">
        <v>1000001524</v>
      </c>
      <c r="AB796">
        <v>1.7501199999999999</v>
      </c>
      <c r="AC796">
        <v>2.3297500000000002</v>
      </c>
      <c r="AD796">
        <v>1.99855</v>
      </c>
      <c r="AE796">
        <v>29.4238</v>
      </c>
      <c r="AF796">
        <v>56081196416</v>
      </c>
      <c r="AJ796" t="s">
        <v>1030</v>
      </c>
      <c r="AM796">
        <v>1342391016</v>
      </c>
      <c r="AN796">
        <v>0</v>
      </c>
      <c r="AO796">
        <v>13566521</v>
      </c>
      <c r="AP796">
        <v>1342391016</v>
      </c>
      <c r="AQ796">
        <v>1355957537</v>
      </c>
      <c r="AR796">
        <v>44746367</v>
      </c>
      <c r="AS796">
        <v>0</v>
      </c>
      <c r="AT796">
        <v>452217</v>
      </c>
      <c r="AU796">
        <v>44746367</v>
      </c>
      <c r="AV796">
        <v>45198584</v>
      </c>
      <c r="AW796">
        <v>55.310299999999998</v>
      </c>
      <c r="AX796">
        <v>31.540199999999999</v>
      </c>
      <c r="AY796">
        <v>11707.9</v>
      </c>
      <c r="AZ796">
        <v>10125.799999999999</v>
      </c>
      <c r="BA796">
        <v>65786</v>
      </c>
      <c r="BB796">
        <v>32822</v>
      </c>
      <c r="BC796" t="str">
        <f t="shared" si="24"/>
        <v>u=1%, k=2x10^9</v>
      </c>
      <c r="BD796">
        <f t="shared" si="25"/>
        <v>0</v>
      </c>
    </row>
    <row r="797" spans="1:56">
      <c r="A797" t="s">
        <v>1031</v>
      </c>
      <c r="B797" t="s">
        <v>68</v>
      </c>
      <c r="D797" t="s">
        <v>65</v>
      </c>
      <c r="E797" t="s">
        <v>60</v>
      </c>
      <c r="F797" t="s">
        <v>61</v>
      </c>
      <c r="G797">
        <v>30000</v>
      </c>
      <c r="H797">
        <v>0.5</v>
      </c>
      <c r="I797">
        <v>0.5</v>
      </c>
      <c r="J797">
        <v>0</v>
      </c>
      <c r="K797">
        <v>1</v>
      </c>
      <c r="L797">
        <v>2000000000</v>
      </c>
      <c r="M797">
        <v>24</v>
      </c>
      <c r="N797">
        <v>24</v>
      </c>
      <c r="O797">
        <v>24</v>
      </c>
      <c r="P797">
        <v>0</v>
      </c>
      <c r="Q797" t="s">
        <v>62</v>
      </c>
      <c r="R797">
        <v>1.00000071096215E+18</v>
      </c>
      <c r="S797">
        <v>1000000122</v>
      </c>
      <c r="T797">
        <v>1.00000071096215E+18</v>
      </c>
      <c r="U797">
        <v>1000000122</v>
      </c>
      <c r="V797" t="s">
        <v>75</v>
      </c>
      <c r="W797">
        <v>81</v>
      </c>
      <c r="X797">
        <v>1000000121</v>
      </c>
      <c r="Y797">
        <v>1000000122</v>
      </c>
      <c r="Z797">
        <v>2000000243</v>
      </c>
      <c r="AA797">
        <v>1000000122</v>
      </c>
      <c r="AB797">
        <v>2</v>
      </c>
      <c r="AC797">
        <v>1</v>
      </c>
      <c r="AD797">
        <v>1.5</v>
      </c>
      <c r="AE797">
        <v>40.564900000000002</v>
      </c>
      <c r="AF797">
        <v>64000007776</v>
      </c>
      <c r="AJ797" t="s">
        <v>1032</v>
      </c>
      <c r="AM797">
        <v>127880756</v>
      </c>
      <c r="AN797">
        <v>0</v>
      </c>
      <c r="AO797">
        <v>1290607</v>
      </c>
      <c r="AP797">
        <v>127880756</v>
      </c>
      <c r="AQ797">
        <v>129171363</v>
      </c>
      <c r="AR797">
        <v>4262691</v>
      </c>
      <c r="AS797">
        <v>0</v>
      </c>
      <c r="AT797">
        <v>43020</v>
      </c>
      <c r="AU797">
        <v>4262691</v>
      </c>
      <c r="AV797">
        <v>4305712</v>
      </c>
      <c r="AW797">
        <v>53.457099999999997</v>
      </c>
      <c r="AX797">
        <v>28.672699999999999</v>
      </c>
      <c r="AY797">
        <v>15550.2</v>
      </c>
      <c r="AZ797">
        <v>13500.7</v>
      </c>
      <c r="BA797">
        <v>65644</v>
      </c>
      <c r="BB797">
        <v>299677</v>
      </c>
      <c r="BC797" t="str">
        <f t="shared" si="24"/>
        <v>u=1%, k=2x10^9</v>
      </c>
      <c r="BD797">
        <f t="shared" si="25"/>
        <v>0</v>
      </c>
    </row>
    <row r="798" spans="1:56">
      <c r="A798" t="s">
        <v>1033</v>
      </c>
      <c r="B798" t="s">
        <v>68</v>
      </c>
      <c r="D798" t="s">
        <v>65</v>
      </c>
      <c r="E798" t="s">
        <v>60</v>
      </c>
      <c r="F798" t="s">
        <v>61</v>
      </c>
      <c r="G798">
        <v>30000</v>
      </c>
      <c r="H798">
        <v>0.5</v>
      </c>
      <c r="I798">
        <v>0.5</v>
      </c>
      <c r="J798">
        <v>0</v>
      </c>
      <c r="K798">
        <v>1</v>
      </c>
      <c r="L798">
        <v>2000000000</v>
      </c>
      <c r="M798">
        <v>48</v>
      </c>
      <c r="N798">
        <v>48</v>
      </c>
      <c r="O798">
        <v>48</v>
      </c>
      <c r="P798">
        <v>0</v>
      </c>
      <c r="Q798" t="s">
        <v>62</v>
      </c>
      <c r="R798">
        <v>1.00000998645169E+18</v>
      </c>
      <c r="S798">
        <v>1000001588</v>
      </c>
      <c r="T798">
        <v>1.00000998645169E+18</v>
      </c>
      <c r="U798">
        <v>1000001588</v>
      </c>
      <c r="V798" t="s">
        <v>75</v>
      </c>
      <c r="W798">
        <v>77</v>
      </c>
      <c r="X798">
        <v>1000001587</v>
      </c>
      <c r="Y798">
        <v>1000001588</v>
      </c>
      <c r="Z798">
        <v>2000003175</v>
      </c>
      <c r="AA798">
        <v>1000001588</v>
      </c>
      <c r="AB798">
        <v>2</v>
      </c>
      <c r="AC798">
        <v>1</v>
      </c>
      <c r="AD798">
        <v>1.5</v>
      </c>
      <c r="AE798">
        <v>40.218400000000003</v>
      </c>
      <c r="AF798">
        <v>64000101600</v>
      </c>
      <c r="AJ798" t="s">
        <v>1034</v>
      </c>
      <c r="AM798">
        <v>249920698</v>
      </c>
      <c r="AN798">
        <v>0</v>
      </c>
      <c r="AO798">
        <v>2525653</v>
      </c>
      <c r="AP798">
        <v>249920698</v>
      </c>
      <c r="AQ798">
        <v>252446351</v>
      </c>
      <c r="AR798">
        <v>8330689</v>
      </c>
      <c r="AS798">
        <v>0</v>
      </c>
      <c r="AT798">
        <v>84188</v>
      </c>
      <c r="AU798">
        <v>8330689</v>
      </c>
      <c r="AV798">
        <v>8414878</v>
      </c>
      <c r="AW798">
        <v>53.411000000000001</v>
      </c>
      <c r="AX798">
        <v>28.716899999999999</v>
      </c>
      <c r="AY798">
        <v>15912.2</v>
      </c>
      <c r="AZ798">
        <v>14778.9</v>
      </c>
      <c r="BA798">
        <v>65652</v>
      </c>
      <c r="BB798">
        <v>153708</v>
      </c>
      <c r="BC798" t="str">
        <f t="shared" si="24"/>
        <v>u=1%, k=2x10^9</v>
      </c>
      <c r="BD798">
        <f t="shared" si="25"/>
        <v>0</v>
      </c>
    </row>
    <row r="799" spans="1:56">
      <c r="A799" t="s">
        <v>1035</v>
      </c>
      <c r="B799" t="s">
        <v>68</v>
      </c>
      <c r="D799" t="s">
        <v>65</v>
      </c>
      <c r="E799" t="s">
        <v>60</v>
      </c>
      <c r="F799" t="s">
        <v>61</v>
      </c>
      <c r="G799">
        <v>30000</v>
      </c>
      <c r="H799">
        <v>0.5</v>
      </c>
      <c r="I799">
        <v>0.5</v>
      </c>
      <c r="J799">
        <v>0</v>
      </c>
      <c r="K799">
        <v>1</v>
      </c>
      <c r="L799">
        <v>2000000000</v>
      </c>
      <c r="M799">
        <v>96</v>
      </c>
      <c r="N799">
        <v>96</v>
      </c>
      <c r="O799">
        <v>96</v>
      </c>
      <c r="P799">
        <v>0</v>
      </c>
      <c r="Q799" t="s">
        <v>62</v>
      </c>
      <c r="R799">
        <v>9.9999640755071104E+17</v>
      </c>
      <c r="S799">
        <v>999999139</v>
      </c>
      <c r="T799">
        <v>9.9999640755071104E+17</v>
      </c>
      <c r="U799">
        <v>999999139</v>
      </c>
      <c r="V799" t="s">
        <v>75</v>
      </c>
      <c r="W799">
        <v>78</v>
      </c>
      <c r="X799">
        <v>999999138</v>
      </c>
      <c r="Y799">
        <v>999999139</v>
      </c>
      <c r="Z799">
        <v>1999998277</v>
      </c>
      <c r="AA799">
        <v>999999139</v>
      </c>
      <c r="AB799">
        <v>2</v>
      </c>
      <c r="AC799">
        <v>1</v>
      </c>
      <c r="AD799">
        <v>1.5</v>
      </c>
      <c r="AE799">
        <v>39.952100000000002</v>
      </c>
      <c r="AF799">
        <v>63999944864</v>
      </c>
      <c r="AJ799" t="s">
        <v>1036</v>
      </c>
      <c r="AM799">
        <v>563105408</v>
      </c>
      <c r="AN799">
        <v>0</v>
      </c>
      <c r="AO799">
        <v>5693482</v>
      </c>
      <c r="AP799">
        <v>563105408</v>
      </c>
      <c r="AQ799">
        <v>568798890</v>
      </c>
      <c r="AR799">
        <v>18770180</v>
      </c>
      <c r="AS799">
        <v>0</v>
      </c>
      <c r="AT799">
        <v>189782</v>
      </c>
      <c r="AU799">
        <v>18770180</v>
      </c>
      <c r="AV799">
        <v>18959963</v>
      </c>
      <c r="AW799">
        <v>54.183900000000001</v>
      </c>
      <c r="AX799">
        <v>31.294699999999999</v>
      </c>
      <c r="AY799">
        <v>14109.2</v>
      </c>
      <c r="AZ799">
        <v>12893.5</v>
      </c>
      <c r="BA799">
        <v>65667</v>
      </c>
      <c r="BB799">
        <v>66410</v>
      </c>
      <c r="BC799" t="str">
        <f t="shared" si="24"/>
        <v>u=1%, k=2x10^9</v>
      </c>
      <c r="BD799">
        <f t="shared" si="25"/>
        <v>0</v>
      </c>
    </row>
    <row r="800" spans="1:56">
      <c r="A800" t="s">
        <v>1037</v>
      </c>
      <c r="B800" t="s">
        <v>68</v>
      </c>
      <c r="D800" t="s">
        <v>65</v>
      </c>
      <c r="E800" t="s">
        <v>60</v>
      </c>
      <c r="F800" t="s">
        <v>61</v>
      </c>
      <c r="G800">
        <v>30000</v>
      </c>
      <c r="H800">
        <v>0.5</v>
      </c>
      <c r="I800">
        <v>0.5</v>
      </c>
      <c r="J800">
        <v>0</v>
      </c>
      <c r="K800">
        <v>1</v>
      </c>
      <c r="L800">
        <v>2000000000</v>
      </c>
      <c r="M800">
        <v>144</v>
      </c>
      <c r="N800">
        <v>144</v>
      </c>
      <c r="O800">
        <v>144</v>
      </c>
      <c r="P800">
        <v>0</v>
      </c>
      <c r="Q800" t="s">
        <v>62</v>
      </c>
      <c r="R800">
        <v>1.00000690907119E+18</v>
      </c>
      <c r="S800">
        <v>1000003169</v>
      </c>
      <c r="T800">
        <v>1.00000690907119E+18</v>
      </c>
      <c r="U800">
        <v>1000003169</v>
      </c>
      <c r="V800" t="s">
        <v>75</v>
      </c>
      <c r="W800">
        <v>85</v>
      </c>
      <c r="X800">
        <v>1000003168</v>
      </c>
      <c r="Y800">
        <v>1000003169</v>
      </c>
      <c r="Z800">
        <v>2000006337</v>
      </c>
      <c r="AA800">
        <v>1000003169</v>
      </c>
      <c r="AB800">
        <v>2</v>
      </c>
      <c r="AC800">
        <v>1</v>
      </c>
      <c r="AD800">
        <v>1.5</v>
      </c>
      <c r="AE800">
        <v>41.1038</v>
      </c>
      <c r="AF800">
        <v>64000202784</v>
      </c>
      <c r="AJ800" t="s">
        <v>1038</v>
      </c>
      <c r="AM800">
        <v>853486787</v>
      </c>
      <c r="AN800">
        <v>0</v>
      </c>
      <c r="AO800">
        <v>8615306</v>
      </c>
      <c r="AP800">
        <v>853486787</v>
      </c>
      <c r="AQ800">
        <v>862102093</v>
      </c>
      <c r="AR800">
        <v>28449559</v>
      </c>
      <c r="AS800">
        <v>0</v>
      </c>
      <c r="AT800">
        <v>287176</v>
      </c>
      <c r="AU800">
        <v>28449559</v>
      </c>
      <c r="AV800">
        <v>28736736</v>
      </c>
      <c r="AW800">
        <v>54.055999999999997</v>
      </c>
      <c r="AX800">
        <v>31.494700000000002</v>
      </c>
      <c r="AY800">
        <v>13960.5</v>
      </c>
      <c r="AZ800">
        <v>12726.6</v>
      </c>
      <c r="BA800">
        <v>65678</v>
      </c>
      <c r="BB800">
        <v>44115</v>
      </c>
      <c r="BC800" t="str">
        <f t="shared" si="24"/>
        <v>u=1%, k=2x10^9</v>
      </c>
      <c r="BD800">
        <f t="shared" si="25"/>
        <v>0</v>
      </c>
    </row>
    <row r="801" spans="1:56">
      <c r="A801" t="s">
        <v>1039</v>
      </c>
      <c r="B801" t="s">
        <v>68</v>
      </c>
      <c r="D801" t="s">
        <v>65</v>
      </c>
      <c r="E801" t="s">
        <v>60</v>
      </c>
      <c r="F801" t="s">
        <v>61</v>
      </c>
      <c r="G801">
        <v>30000</v>
      </c>
      <c r="H801">
        <v>0.5</v>
      </c>
      <c r="I801">
        <v>0.5</v>
      </c>
      <c r="J801">
        <v>0</v>
      </c>
      <c r="K801">
        <v>1</v>
      </c>
      <c r="L801">
        <v>2000000000</v>
      </c>
      <c r="M801">
        <v>190</v>
      </c>
      <c r="N801">
        <v>190</v>
      </c>
      <c r="O801">
        <v>190</v>
      </c>
      <c r="P801">
        <v>0</v>
      </c>
      <c r="Q801" t="s">
        <v>62</v>
      </c>
      <c r="R801">
        <v>9.9998366435702899E+17</v>
      </c>
      <c r="S801">
        <v>999997379</v>
      </c>
      <c r="T801">
        <v>9.9998366435702899E+17</v>
      </c>
      <c r="U801">
        <v>999997379</v>
      </c>
      <c r="V801" t="s">
        <v>75</v>
      </c>
      <c r="W801">
        <v>80</v>
      </c>
      <c r="X801">
        <v>999997378</v>
      </c>
      <c r="Y801">
        <v>999997379</v>
      </c>
      <c r="Z801">
        <v>1999994757</v>
      </c>
      <c r="AA801">
        <v>999997379</v>
      </c>
      <c r="AB801">
        <v>2</v>
      </c>
      <c r="AC801">
        <v>1</v>
      </c>
      <c r="AD801">
        <v>1.5</v>
      </c>
      <c r="AE801">
        <v>40.928199999999997</v>
      </c>
      <c r="AF801">
        <v>63999832224</v>
      </c>
      <c r="AJ801" t="s">
        <v>1040</v>
      </c>
      <c r="AM801">
        <v>1132247402</v>
      </c>
      <c r="AN801">
        <v>0</v>
      </c>
      <c r="AO801">
        <v>11436485</v>
      </c>
      <c r="AP801">
        <v>1132247402</v>
      </c>
      <c r="AQ801">
        <v>1143683887</v>
      </c>
      <c r="AR801">
        <v>37741580</v>
      </c>
      <c r="AS801">
        <v>0</v>
      </c>
      <c r="AT801">
        <v>381216</v>
      </c>
      <c r="AU801">
        <v>37741580</v>
      </c>
      <c r="AV801">
        <v>38122796</v>
      </c>
      <c r="AW801">
        <v>54.165599999999998</v>
      </c>
      <c r="AX801">
        <v>31.6371</v>
      </c>
      <c r="AY801">
        <v>13883.8</v>
      </c>
      <c r="AZ801">
        <v>12647.9</v>
      </c>
      <c r="BA801">
        <v>65694</v>
      </c>
      <c r="BB801">
        <v>33821</v>
      </c>
      <c r="BC801" t="str">
        <f t="shared" si="24"/>
        <v>u=1%, k=2x10^9</v>
      </c>
      <c r="BD801">
        <f t="shared" si="25"/>
        <v>0</v>
      </c>
    </row>
    <row r="802" spans="1:56">
      <c r="A802" t="s">
        <v>1041</v>
      </c>
      <c r="B802" t="s">
        <v>64</v>
      </c>
      <c r="C802">
        <v>72</v>
      </c>
      <c r="D802" t="s">
        <v>65</v>
      </c>
      <c r="E802" t="s">
        <v>60</v>
      </c>
      <c r="F802" t="s">
        <v>61</v>
      </c>
      <c r="G802">
        <v>30000</v>
      </c>
      <c r="H802">
        <v>5</v>
      </c>
      <c r="I802">
        <v>5</v>
      </c>
      <c r="J802">
        <v>0</v>
      </c>
      <c r="K802">
        <v>1</v>
      </c>
      <c r="L802">
        <v>2000000</v>
      </c>
      <c r="M802">
        <v>24</v>
      </c>
      <c r="N802">
        <v>24</v>
      </c>
      <c r="O802">
        <v>24</v>
      </c>
      <c r="P802">
        <v>0</v>
      </c>
      <c r="Q802" t="s">
        <v>62</v>
      </c>
      <c r="R802">
        <v>999644183869</v>
      </c>
      <c r="S802">
        <v>1000003</v>
      </c>
      <c r="T802">
        <v>999644183869</v>
      </c>
      <c r="U802">
        <v>1000003</v>
      </c>
      <c r="V802" t="s">
        <v>75</v>
      </c>
      <c r="W802">
        <v>6</v>
      </c>
      <c r="X802">
        <v>71213</v>
      </c>
      <c r="Y802">
        <v>1112603</v>
      </c>
      <c r="Z802">
        <v>1183816</v>
      </c>
      <c r="AA802">
        <v>1000003</v>
      </c>
      <c r="AB802">
        <v>16.6236</v>
      </c>
      <c r="AC802">
        <v>0.89879600000000004</v>
      </c>
      <c r="AD802">
        <v>1.84473</v>
      </c>
      <c r="AE802">
        <v>3.0838399999999999</v>
      </c>
      <c r="AF802">
        <v>23581856</v>
      </c>
      <c r="AG802" t="s">
        <v>1042</v>
      </c>
      <c r="AH802" t="s">
        <v>1043</v>
      </c>
      <c r="AI802">
        <v>83368</v>
      </c>
      <c r="AJ802">
        <v>751820</v>
      </c>
      <c r="AM802">
        <v>1777055542</v>
      </c>
      <c r="AN802">
        <v>0</v>
      </c>
      <c r="AO802">
        <v>197445646</v>
      </c>
      <c r="AP802">
        <v>1777055542</v>
      </c>
      <c r="AQ802">
        <v>1974501188</v>
      </c>
      <c r="AR802">
        <v>59235184</v>
      </c>
      <c r="AS802">
        <v>0</v>
      </c>
      <c r="AT802">
        <v>6581521</v>
      </c>
      <c r="AU802">
        <v>59235184</v>
      </c>
      <c r="AV802">
        <v>65816706</v>
      </c>
      <c r="AW802">
        <v>10.147600000000001</v>
      </c>
      <c r="AX802">
        <v>0.369979</v>
      </c>
      <c r="AY802">
        <v>1016.01</v>
      </c>
      <c r="AZ802">
        <v>359.48399999999998</v>
      </c>
      <c r="BA802">
        <v>1197</v>
      </c>
      <c r="BB802">
        <v>27</v>
      </c>
      <c r="BC802" t="str">
        <f t="shared" si="24"/>
        <v>u=10%, k=2x10^6</v>
      </c>
      <c r="BD802" t="str">
        <f t="shared" si="25"/>
        <v>394</v>
      </c>
    </row>
    <row r="803" spans="1:56">
      <c r="A803" t="s">
        <v>1044</v>
      </c>
      <c r="B803" t="s">
        <v>64</v>
      </c>
      <c r="C803">
        <v>72</v>
      </c>
      <c r="D803" t="s">
        <v>65</v>
      </c>
      <c r="E803" t="s">
        <v>60</v>
      </c>
      <c r="F803" t="s">
        <v>61</v>
      </c>
      <c r="G803">
        <v>30000</v>
      </c>
      <c r="H803">
        <v>5</v>
      </c>
      <c r="I803">
        <v>5</v>
      </c>
      <c r="J803">
        <v>0</v>
      </c>
      <c r="K803">
        <v>1</v>
      </c>
      <c r="L803">
        <v>2000000</v>
      </c>
      <c r="M803">
        <v>48</v>
      </c>
      <c r="N803">
        <v>48</v>
      </c>
      <c r="O803">
        <v>48</v>
      </c>
      <c r="P803">
        <v>0</v>
      </c>
      <c r="Q803" t="s">
        <v>62</v>
      </c>
      <c r="R803">
        <v>999295550237</v>
      </c>
      <c r="S803">
        <v>998332</v>
      </c>
      <c r="T803">
        <v>999295550237</v>
      </c>
      <c r="U803">
        <v>998332</v>
      </c>
      <c r="V803" t="s">
        <v>75</v>
      </c>
      <c r="W803">
        <v>6</v>
      </c>
      <c r="X803">
        <v>55097</v>
      </c>
      <c r="Y803">
        <v>1075103</v>
      </c>
      <c r="Z803">
        <v>1130200</v>
      </c>
      <c r="AA803">
        <v>998332</v>
      </c>
      <c r="AB803">
        <v>20.512899999999998</v>
      </c>
      <c r="AC803">
        <v>0.92859199999999997</v>
      </c>
      <c r="AD803">
        <v>1.8833200000000001</v>
      </c>
      <c r="AE803">
        <v>3.0463200000000001</v>
      </c>
      <c r="AF803">
        <v>21631344</v>
      </c>
      <c r="AG803" t="s">
        <v>1045</v>
      </c>
      <c r="AH803" t="s">
        <v>1046</v>
      </c>
      <c r="AI803">
        <v>329473</v>
      </c>
      <c r="AJ803">
        <v>269344</v>
      </c>
      <c r="AM803">
        <v>2559474863</v>
      </c>
      <c r="AN803">
        <v>0</v>
      </c>
      <c r="AO803">
        <v>284403410</v>
      </c>
      <c r="AP803">
        <v>2559474863</v>
      </c>
      <c r="AQ803">
        <v>2843878273</v>
      </c>
      <c r="AR803">
        <v>85315828</v>
      </c>
      <c r="AS803">
        <v>0</v>
      </c>
      <c r="AT803">
        <v>9480113</v>
      </c>
      <c r="AU803">
        <v>85315828</v>
      </c>
      <c r="AV803">
        <v>94795942</v>
      </c>
      <c r="AW803">
        <v>10.4465</v>
      </c>
      <c r="AX803">
        <v>0.47488900000000001</v>
      </c>
      <c r="AY803">
        <v>1401.88</v>
      </c>
      <c r="AZ803">
        <v>620.49699999999996</v>
      </c>
      <c r="BA803">
        <v>1237</v>
      </c>
      <c r="BB803">
        <v>30</v>
      </c>
      <c r="BC803" t="str">
        <f t="shared" si="24"/>
        <v>u=10%, k=2x10^6</v>
      </c>
      <c r="BD803" t="str">
        <f t="shared" si="25"/>
        <v>568</v>
      </c>
    </row>
    <row r="804" spans="1:56">
      <c r="A804" t="s">
        <v>1047</v>
      </c>
      <c r="B804" t="s">
        <v>64</v>
      </c>
      <c r="C804">
        <v>72</v>
      </c>
      <c r="D804" t="s">
        <v>65</v>
      </c>
      <c r="E804" t="s">
        <v>60</v>
      </c>
      <c r="F804" t="s">
        <v>61</v>
      </c>
      <c r="G804">
        <v>30000</v>
      </c>
      <c r="H804">
        <v>5</v>
      </c>
      <c r="I804">
        <v>5</v>
      </c>
      <c r="J804">
        <v>0</v>
      </c>
      <c r="K804">
        <v>1</v>
      </c>
      <c r="L804">
        <v>2000000</v>
      </c>
      <c r="M804">
        <v>96</v>
      </c>
      <c r="N804">
        <v>96</v>
      </c>
      <c r="O804">
        <v>96</v>
      </c>
      <c r="P804">
        <v>0</v>
      </c>
      <c r="Q804" t="s">
        <v>62</v>
      </c>
      <c r="R804">
        <v>1001310338899</v>
      </c>
      <c r="S804">
        <v>1000851</v>
      </c>
      <c r="T804">
        <v>1001310338899</v>
      </c>
      <c r="U804">
        <v>1000851</v>
      </c>
      <c r="V804" t="s">
        <v>75</v>
      </c>
      <c r="W804">
        <v>6</v>
      </c>
      <c r="X804">
        <v>59503</v>
      </c>
      <c r="Y804">
        <v>1087412</v>
      </c>
      <c r="Z804">
        <v>1146915</v>
      </c>
      <c r="AA804">
        <v>1000851</v>
      </c>
      <c r="AB804">
        <v>19.274899999999999</v>
      </c>
      <c r="AC804">
        <v>0.92039700000000002</v>
      </c>
      <c r="AD804">
        <v>1.8726499999999999</v>
      </c>
      <c r="AE804">
        <v>3.0564</v>
      </c>
      <c r="AF804">
        <v>22197632</v>
      </c>
      <c r="AG804" t="s">
        <v>1048</v>
      </c>
      <c r="AH804" t="s">
        <v>1049</v>
      </c>
      <c r="AI804">
        <v>1555179</v>
      </c>
      <c r="AJ804">
        <v>104916</v>
      </c>
      <c r="AM804">
        <v>3829693853</v>
      </c>
      <c r="AN804">
        <v>0</v>
      </c>
      <c r="AO804">
        <v>425527129</v>
      </c>
      <c r="AP804">
        <v>3829693853</v>
      </c>
      <c r="AQ804">
        <v>4255220982</v>
      </c>
      <c r="AR804">
        <v>127656461</v>
      </c>
      <c r="AS804">
        <v>0</v>
      </c>
      <c r="AT804">
        <v>14184237</v>
      </c>
      <c r="AU804">
        <v>127656461</v>
      </c>
      <c r="AV804">
        <v>141840699</v>
      </c>
      <c r="AW804">
        <v>11.332100000000001</v>
      </c>
      <c r="AX804">
        <v>1.6434</v>
      </c>
      <c r="AY804">
        <v>1883.39</v>
      </c>
      <c r="AZ804">
        <v>1078.5899999999999</v>
      </c>
      <c r="BA804">
        <v>1333</v>
      </c>
      <c r="BB804">
        <v>144</v>
      </c>
      <c r="BC804" t="str">
        <f t="shared" si="24"/>
        <v>u=10%, k=2x10^6</v>
      </c>
      <c r="BD804" t="str">
        <f t="shared" si="25"/>
        <v>851</v>
      </c>
    </row>
    <row r="805" spans="1:56">
      <c r="A805" t="s">
        <v>1050</v>
      </c>
      <c r="B805" t="s">
        <v>64</v>
      </c>
      <c r="C805">
        <v>72</v>
      </c>
      <c r="D805" t="s">
        <v>65</v>
      </c>
      <c r="E805" t="s">
        <v>60</v>
      </c>
      <c r="F805" t="s">
        <v>61</v>
      </c>
      <c r="G805">
        <v>30000</v>
      </c>
      <c r="H805">
        <v>5</v>
      </c>
      <c r="I805">
        <v>5</v>
      </c>
      <c r="J805">
        <v>0</v>
      </c>
      <c r="K805">
        <v>1</v>
      </c>
      <c r="L805">
        <v>2000000</v>
      </c>
      <c r="M805">
        <v>144</v>
      </c>
      <c r="N805">
        <v>144</v>
      </c>
      <c r="O805">
        <v>144</v>
      </c>
      <c r="P805">
        <v>0</v>
      </c>
      <c r="Q805" t="s">
        <v>62</v>
      </c>
      <c r="R805">
        <v>1000273709687</v>
      </c>
      <c r="S805">
        <v>1000169</v>
      </c>
      <c r="T805">
        <v>1000273709687</v>
      </c>
      <c r="U805">
        <v>1000169</v>
      </c>
      <c r="V805" t="s">
        <v>75</v>
      </c>
      <c r="W805">
        <v>6</v>
      </c>
      <c r="X805">
        <v>51387</v>
      </c>
      <c r="Y805">
        <v>1069348</v>
      </c>
      <c r="Z805">
        <v>1120735</v>
      </c>
      <c r="AA805">
        <v>1000169</v>
      </c>
      <c r="AB805">
        <v>21.809699999999999</v>
      </c>
      <c r="AC805">
        <v>0.935307</v>
      </c>
      <c r="AD805">
        <v>1.89242</v>
      </c>
      <c r="AE805">
        <v>3.0381499999999999</v>
      </c>
      <c r="AF805">
        <v>21236464</v>
      </c>
      <c r="AG805" t="s">
        <v>1051</v>
      </c>
      <c r="AH805" t="s">
        <v>1052</v>
      </c>
      <c r="AI805">
        <v>4095720</v>
      </c>
      <c r="AJ805">
        <v>59198</v>
      </c>
      <c r="AM805">
        <v>4734613437</v>
      </c>
      <c r="AN805">
        <v>0</v>
      </c>
      <c r="AO805">
        <v>526094353</v>
      </c>
      <c r="AP805">
        <v>4734613437</v>
      </c>
      <c r="AQ805">
        <v>5260707790</v>
      </c>
      <c r="AR805">
        <v>157820447</v>
      </c>
      <c r="AS805">
        <v>0</v>
      </c>
      <c r="AT805">
        <v>17536478</v>
      </c>
      <c r="AU805">
        <v>157820447</v>
      </c>
      <c r="AV805">
        <v>175356926</v>
      </c>
      <c r="AW805">
        <v>12.5456</v>
      </c>
      <c r="AX805">
        <v>2.7423099999999998</v>
      </c>
      <c r="AY805">
        <v>2284.73</v>
      </c>
      <c r="AZ805">
        <v>1461.04</v>
      </c>
      <c r="BA805">
        <v>1468</v>
      </c>
      <c r="BB805">
        <v>204</v>
      </c>
      <c r="BC805" t="str">
        <f t="shared" si="24"/>
        <v>u=10%, k=2x10^6</v>
      </c>
      <c r="BD805" t="str">
        <f t="shared" si="25"/>
        <v>1052</v>
      </c>
    </row>
    <row r="806" spans="1:56">
      <c r="A806" t="s">
        <v>1053</v>
      </c>
      <c r="B806" t="s">
        <v>64</v>
      </c>
      <c r="C806">
        <v>72</v>
      </c>
      <c r="D806" t="s">
        <v>65</v>
      </c>
      <c r="E806" t="s">
        <v>60</v>
      </c>
      <c r="F806" t="s">
        <v>61</v>
      </c>
      <c r="G806">
        <v>30000</v>
      </c>
      <c r="H806">
        <v>5</v>
      </c>
      <c r="I806">
        <v>5</v>
      </c>
      <c r="J806">
        <v>0</v>
      </c>
      <c r="K806">
        <v>1</v>
      </c>
      <c r="L806">
        <v>2000000</v>
      </c>
      <c r="M806">
        <v>190</v>
      </c>
      <c r="N806">
        <v>190</v>
      </c>
      <c r="O806">
        <v>190</v>
      </c>
      <c r="P806">
        <v>0</v>
      </c>
      <c r="Q806" t="s">
        <v>62</v>
      </c>
      <c r="R806">
        <v>998940900968</v>
      </c>
      <c r="S806">
        <v>999726</v>
      </c>
      <c r="T806">
        <v>998940900968</v>
      </c>
      <c r="U806">
        <v>999726</v>
      </c>
      <c r="V806" t="s">
        <v>75</v>
      </c>
      <c r="W806">
        <v>6</v>
      </c>
      <c r="X806">
        <v>49314</v>
      </c>
      <c r="Y806">
        <v>1064759</v>
      </c>
      <c r="Z806">
        <v>1114073</v>
      </c>
      <c r="AA806">
        <v>999726</v>
      </c>
      <c r="AB806">
        <v>22.5914</v>
      </c>
      <c r="AC806">
        <v>0.93892200000000003</v>
      </c>
      <c r="AD806">
        <v>1.8973599999999999</v>
      </c>
      <c r="AE806">
        <v>3.0335100000000002</v>
      </c>
      <c r="AF806">
        <v>20990800</v>
      </c>
      <c r="AG806" t="s">
        <v>1054</v>
      </c>
      <c r="AH806" t="s">
        <v>1055</v>
      </c>
      <c r="AI806">
        <v>5101139</v>
      </c>
      <c r="AJ806">
        <v>39266</v>
      </c>
      <c r="AM806">
        <v>5385858840</v>
      </c>
      <c r="AN806">
        <v>0</v>
      </c>
      <c r="AO806">
        <v>598426835</v>
      </c>
      <c r="AP806">
        <v>5385858840</v>
      </c>
      <c r="AQ806">
        <v>5984285675</v>
      </c>
      <c r="AR806">
        <v>179528628</v>
      </c>
      <c r="AS806">
        <v>0</v>
      </c>
      <c r="AT806">
        <v>19947561</v>
      </c>
      <c r="AU806">
        <v>179528628</v>
      </c>
      <c r="AV806">
        <v>199476189</v>
      </c>
      <c r="AW806">
        <v>12.9063</v>
      </c>
      <c r="AX806">
        <v>3.15598</v>
      </c>
      <c r="AY806">
        <v>2649.43</v>
      </c>
      <c r="AZ806">
        <v>1821.1</v>
      </c>
      <c r="BA806">
        <v>1582</v>
      </c>
      <c r="BB806">
        <v>245</v>
      </c>
      <c r="BC806" t="str">
        <f t="shared" si="24"/>
        <v>u=10%, k=2x10^6</v>
      </c>
      <c r="BD806" t="str">
        <f t="shared" si="25"/>
        <v>1198</v>
      </c>
    </row>
    <row r="807" spans="1:56">
      <c r="A807" t="s">
        <v>1056</v>
      </c>
      <c r="B807" t="s">
        <v>66</v>
      </c>
      <c r="C807">
        <v>208</v>
      </c>
      <c r="D807" t="s">
        <v>65</v>
      </c>
      <c r="E807" t="s">
        <v>60</v>
      </c>
      <c r="F807" t="s">
        <v>61</v>
      </c>
      <c r="G807">
        <v>30000</v>
      </c>
      <c r="H807">
        <v>5</v>
      </c>
      <c r="I807">
        <v>5</v>
      </c>
      <c r="J807">
        <v>0</v>
      </c>
      <c r="K807">
        <v>1</v>
      </c>
      <c r="L807">
        <v>2000000</v>
      </c>
      <c r="M807">
        <v>24</v>
      </c>
      <c r="N807">
        <v>24</v>
      </c>
      <c r="O807">
        <v>24</v>
      </c>
      <c r="P807">
        <v>0</v>
      </c>
      <c r="Q807" t="s">
        <v>62</v>
      </c>
      <c r="R807">
        <v>1000253070678</v>
      </c>
      <c r="S807">
        <v>999715</v>
      </c>
      <c r="T807">
        <v>1000253070678</v>
      </c>
      <c r="U807">
        <v>999715</v>
      </c>
      <c r="V807" t="s">
        <v>75</v>
      </c>
      <c r="W807">
        <v>8</v>
      </c>
      <c r="X807">
        <v>32851</v>
      </c>
      <c r="Y807">
        <v>195713</v>
      </c>
      <c r="Z807">
        <v>228564</v>
      </c>
      <c r="AA807">
        <v>999715</v>
      </c>
      <c r="AB807">
        <v>6.9576000000000002</v>
      </c>
      <c r="AC807">
        <v>5.1080699999999997</v>
      </c>
      <c r="AD807">
        <v>5.3738999999999999</v>
      </c>
      <c r="AE807">
        <v>7</v>
      </c>
      <c r="AF807">
        <v>47541312</v>
      </c>
      <c r="AJ807" t="s">
        <v>1057</v>
      </c>
      <c r="AM807">
        <v>1453702312</v>
      </c>
      <c r="AN807">
        <v>0</v>
      </c>
      <c r="AO807">
        <v>161513554</v>
      </c>
      <c r="AP807">
        <v>1453702312</v>
      </c>
      <c r="AQ807">
        <v>1615215866</v>
      </c>
      <c r="AR807">
        <v>48456743</v>
      </c>
      <c r="AS807">
        <v>0</v>
      </c>
      <c r="AT807">
        <v>5383785</v>
      </c>
      <c r="AU807">
        <v>48456743</v>
      </c>
      <c r="AV807">
        <v>53840528</v>
      </c>
      <c r="AW807">
        <v>10.4039</v>
      </c>
      <c r="AX807">
        <v>0.99133099999999996</v>
      </c>
      <c r="AY807">
        <v>1243.03</v>
      </c>
      <c r="AZ807">
        <v>410.61099999999999</v>
      </c>
      <c r="BA807">
        <v>1125</v>
      </c>
      <c r="BB807">
        <v>156</v>
      </c>
      <c r="BC807" t="str">
        <f t="shared" si="24"/>
        <v>u=10%, k=2x10^6</v>
      </c>
      <c r="BD807">
        <f t="shared" si="25"/>
        <v>0</v>
      </c>
    </row>
    <row r="808" spans="1:56">
      <c r="A808" t="s">
        <v>1058</v>
      </c>
      <c r="B808" t="s">
        <v>66</v>
      </c>
      <c r="C808">
        <v>208</v>
      </c>
      <c r="D808" t="s">
        <v>65</v>
      </c>
      <c r="E808" t="s">
        <v>60</v>
      </c>
      <c r="F808" t="s">
        <v>61</v>
      </c>
      <c r="G808">
        <v>30000</v>
      </c>
      <c r="H808">
        <v>5</v>
      </c>
      <c r="I808">
        <v>5</v>
      </c>
      <c r="J808">
        <v>0</v>
      </c>
      <c r="K808">
        <v>1</v>
      </c>
      <c r="L808">
        <v>2000000</v>
      </c>
      <c r="M808">
        <v>48</v>
      </c>
      <c r="N808">
        <v>48</v>
      </c>
      <c r="O808">
        <v>48</v>
      </c>
      <c r="P808">
        <v>0</v>
      </c>
      <c r="Q808" t="s">
        <v>62</v>
      </c>
      <c r="R808">
        <v>1000012411357</v>
      </c>
      <c r="S808">
        <v>1000515</v>
      </c>
      <c r="T808">
        <v>1000012411357</v>
      </c>
      <c r="U808">
        <v>1000515</v>
      </c>
      <c r="V808" t="s">
        <v>75</v>
      </c>
      <c r="W808">
        <v>8</v>
      </c>
      <c r="X808">
        <v>33663</v>
      </c>
      <c r="Y808">
        <v>195246</v>
      </c>
      <c r="Z808">
        <v>228909</v>
      </c>
      <c r="AA808">
        <v>1000515</v>
      </c>
      <c r="AB808">
        <v>6.80002</v>
      </c>
      <c r="AC808">
        <v>5.1243800000000004</v>
      </c>
      <c r="AD808">
        <v>5.3708</v>
      </c>
      <c r="AE808">
        <v>7</v>
      </c>
      <c r="AF808">
        <v>47613072</v>
      </c>
      <c r="AJ808" t="s">
        <v>1059</v>
      </c>
      <c r="AM808">
        <v>2296722805</v>
      </c>
      <c r="AN808">
        <v>0</v>
      </c>
      <c r="AO808">
        <v>255185303</v>
      </c>
      <c r="AP808">
        <v>2296722805</v>
      </c>
      <c r="AQ808">
        <v>2551908108</v>
      </c>
      <c r="AR808">
        <v>76557426</v>
      </c>
      <c r="AS808">
        <v>0</v>
      </c>
      <c r="AT808">
        <v>8506176</v>
      </c>
      <c r="AU808">
        <v>76557426</v>
      </c>
      <c r="AV808">
        <v>85063603</v>
      </c>
      <c r="AW808">
        <v>10.5741</v>
      </c>
      <c r="AX808">
        <v>1.091</v>
      </c>
      <c r="AY808">
        <v>1540.73</v>
      </c>
      <c r="AZ808">
        <v>654.55799999999999</v>
      </c>
      <c r="BA808">
        <v>1143</v>
      </c>
      <c r="BB808">
        <v>192</v>
      </c>
      <c r="BC808" t="str">
        <f t="shared" si="24"/>
        <v>u=10%, k=2x10^6</v>
      </c>
      <c r="BD808">
        <f t="shared" si="25"/>
        <v>0</v>
      </c>
    </row>
    <row r="809" spans="1:56">
      <c r="A809" t="s">
        <v>1060</v>
      </c>
      <c r="B809" t="s">
        <v>66</v>
      </c>
      <c r="C809">
        <v>208</v>
      </c>
      <c r="D809" t="s">
        <v>65</v>
      </c>
      <c r="E809" t="s">
        <v>60</v>
      </c>
      <c r="F809" t="s">
        <v>61</v>
      </c>
      <c r="G809">
        <v>30000</v>
      </c>
      <c r="H809">
        <v>5</v>
      </c>
      <c r="I809">
        <v>5</v>
      </c>
      <c r="J809">
        <v>0</v>
      </c>
      <c r="K809">
        <v>1</v>
      </c>
      <c r="L809">
        <v>2000000</v>
      </c>
      <c r="M809">
        <v>96</v>
      </c>
      <c r="N809">
        <v>96</v>
      </c>
      <c r="O809">
        <v>96</v>
      </c>
      <c r="P809">
        <v>0</v>
      </c>
      <c r="Q809" t="s">
        <v>62</v>
      </c>
      <c r="R809">
        <v>999979290757</v>
      </c>
      <c r="S809">
        <v>999915</v>
      </c>
      <c r="T809">
        <v>999979290757</v>
      </c>
      <c r="U809">
        <v>999915</v>
      </c>
      <c r="V809" t="s">
        <v>75</v>
      </c>
      <c r="W809">
        <v>8</v>
      </c>
      <c r="X809">
        <v>34484</v>
      </c>
      <c r="Y809">
        <v>194855</v>
      </c>
      <c r="Z809">
        <v>229339</v>
      </c>
      <c r="AA809">
        <v>999915</v>
      </c>
      <c r="AB809">
        <v>6.6505900000000002</v>
      </c>
      <c r="AC809">
        <v>5.1315900000000001</v>
      </c>
      <c r="AD809">
        <v>5.3599899999999998</v>
      </c>
      <c r="AE809">
        <v>7</v>
      </c>
      <c r="AF809">
        <v>47702512</v>
      </c>
      <c r="AJ809">
        <v>109878</v>
      </c>
      <c r="AM809">
        <v>4330104600</v>
      </c>
      <c r="AN809">
        <v>0</v>
      </c>
      <c r="AO809">
        <v>481140556</v>
      </c>
      <c r="AP809">
        <v>4330104600</v>
      </c>
      <c r="AQ809">
        <v>4811245156</v>
      </c>
      <c r="AR809">
        <v>144336820</v>
      </c>
      <c r="AS809">
        <v>0</v>
      </c>
      <c r="AT809">
        <v>16038018</v>
      </c>
      <c r="AU809">
        <v>144336820</v>
      </c>
      <c r="AV809">
        <v>160374838</v>
      </c>
      <c r="AW809">
        <v>10.9557</v>
      </c>
      <c r="AX809">
        <v>1.8323</v>
      </c>
      <c r="AY809">
        <v>1634.63</v>
      </c>
      <c r="AZ809">
        <v>715.70699999999999</v>
      </c>
      <c r="BA809">
        <v>1173</v>
      </c>
      <c r="BB809">
        <v>272</v>
      </c>
      <c r="BC809" t="str">
        <f t="shared" si="24"/>
        <v>u=10%, k=2x10^6</v>
      </c>
      <c r="BD809">
        <f t="shared" si="25"/>
        <v>0</v>
      </c>
    </row>
    <row r="810" spans="1:56">
      <c r="A810" t="s">
        <v>1061</v>
      </c>
      <c r="B810" t="s">
        <v>66</v>
      </c>
      <c r="C810">
        <v>208</v>
      </c>
      <c r="D810" t="s">
        <v>65</v>
      </c>
      <c r="E810" t="s">
        <v>60</v>
      </c>
      <c r="F810" t="s">
        <v>61</v>
      </c>
      <c r="G810">
        <v>30000</v>
      </c>
      <c r="H810">
        <v>5</v>
      </c>
      <c r="I810">
        <v>5</v>
      </c>
      <c r="J810">
        <v>0</v>
      </c>
      <c r="K810">
        <v>1</v>
      </c>
      <c r="L810">
        <v>2000000</v>
      </c>
      <c r="M810">
        <v>144</v>
      </c>
      <c r="N810">
        <v>144</v>
      </c>
      <c r="O810">
        <v>144</v>
      </c>
      <c r="P810">
        <v>0</v>
      </c>
      <c r="Q810" t="s">
        <v>62</v>
      </c>
      <c r="R810">
        <v>999254743075</v>
      </c>
      <c r="S810">
        <v>999741</v>
      </c>
      <c r="T810">
        <v>999254743075</v>
      </c>
      <c r="U810">
        <v>999741</v>
      </c>
      <c r="V810" t="s">
        <v>75</v>
      </c>
      <c r="W810">
        <v>8</v>
      </c>
      <c r="X810">
        <v>34993</v>
      </c>
      <c r="Y810">
        <v>194560</v>
      </c>
      <c r="Z810">
        <v>229553</v>
      </c>
      <c r="AA810">
        <v>999741</v>
      </c>
      <c r="AB810">
        <v>6.5599699999999999</v>
      </c>
      <c r="AC810">
        <v>5.1384699999999999</v>
      </c>
      <c r="AD810">
        <v>5.3551599999999997</v>
      </c>
      <c r="AE810">
        <v>7</v>
      </c>
      <c r="AF810">
        <v>47747024</v>
      </c>
      <c r="AJ810" t="s">
        <v>1062</v>
      </c>
      <c r="AM810">
        <v>6219762715</v>
      </c>
      <c r="AN810">
        <v>0</v>
      </c>
      <c r="AO810">
        <v>691106458</v>
      </c>
      <c r="AP810">
        <v>6219762715</v>
      </c>
      <c r="AQ810">
        <v>6910869173</v>
      </c>
      <c r="AR810">
        <v>207325423</v>
      </c>
      <c r="AS810">
        <v>0</v>
      </c>
      <c r="AT810">
        <v>23036881</v>
      </c>
      <c r="AU810">
        <v>207325423</v>
      </c>
      <c r="AV810">
        <v>230362305</v>
      </c>
      <c r="AW810">
        <v>11.586600000000001</v>
      </c>
      <c r="AX810">
        <v>2.1656399999999998</v>
      </c>
      <c r="AY810">
        <v>1690.76</v>
      </c>
      <c r="AZ810">
        <v>767.52800000000002</v>
      </c>
      <c r="BA810">
        <v>1258</v>
      </c>
      <c r="BB810">
        <v>334</v>
      </c>
      <c r="BC810" t="str">
        <f t="shared" si="24"/>
        <v>u=10%, k=2x10^6</v>
      </c>
      <c r="BD810">
        <f t="shared" si="25"/>
        <v>0</v>
      </c>
    </row>
    <row r="811" spans="1:56">
      <c r="A811" t="s">
        <v>1063</v>
      </c>
      <c r="B811" t="s">
        <v>66</v>
      </c>
      <c r="C811">
        <v>208</v>
      </c>
      <c r="D811" t="s">
        <v>65</v>
      </c>
      <c r="E811" t="s">
        <v>60</v>
      </c>
      <c r="F811" t="s">
        <v>61</v>
      </c>
      <c r="G811">
        <v>30000</v>
      </c>
      <c r="H811">
        <v>5</v>
      </c>
      <c r="I811">
        <v>5</v>
      </c>
      <c r="J811">
        <v>0</v>
      </c>
      <c r="K811">
        <v>1</v>
      </c>
      <c r="L811">
        <v>2000000</v>
      </c>
      <c r="M811">
        <v>190</v>
      </c>
      <c r="N811">
        <v>190</v>
      </c>
      <c r="O811">
        <v>190</v>
      </c>
      <c r="P811">
        <v>0</v>
      </c>
      <c r="Q811" t="s">
        <v>62</v>
      </c>
      <c r="R811">
        <v>1000275370561</v>
      </c>
      <c r="S811">
        <v>999679</v>
      </c>
      <c r="T811">
        <v>1000275370561</v>
      </c>
      <c r="U811">
        <v>999679</v>
      </c>
      <c r="V811" t="s">
        <v>75</v>
      </c>
      <c r="W811">
        <v>8</v>
      </c>
      <c r="X811">
        <v>35265</v>
      </c>
      <c r="Y811">
        <v>195053</v>
      </c>
      <c r="Z811">
        <v>230318</v>
      </c>
      <c r="AA811">
        <v>999679</v>
      </c>
      <c r="AB811">
        <v>6.5310600000000001</v>
      </c>
      <c r="AC811">
        <v>5.1251699999999998</v>
      </c>
      <c r="AD811">
        <v>5.3404299999999996</v>
      </c>
      <c r="AE811">
        <v>7</v>
      </c>
      <c r="AF811">
        <v>47906144</v>
      </c>
      <c r="AJ811">
        <v>57456</v>
      </c>
      <c r="AM811">
        <v>8021024566</v>
      </c>
      <c r="AN811">
        <v>0</v>
      </c>
      <c r="AO811">
        <v>891214365</v>
      </c>
      <c r="AP811">
        <v>8021024566</v>
      </c>
      <c r="AQ811">
        <v>8912238931</v>
      </c>
      <c r="AR811">
        <v>267367485</v>
      </c>
      <c r="AS811">
        <v>0</v>
      </c>
      <c r="AT811">
        <v>29707145</v>
      </c>
      <c r="AU811">
        <v>267367485</v>
      </c>
      <c r="AV811">
        <v>297074631</v>
      </c>
      <c r="AW811">
        <v>11.97</v>
      </c>
      <c r="AX811">
        <v>2.3940600000000001</v>
      </c>
      <c r="AY811">
        <v>1734.27</v>
      </c>
      <c r="AZ811">
        <v>804.524</v>
      </c>
      <c r="BA811">
        <v>1291</v>
      </c>
      <c r="BB811">
        <v>266</v>
      </c>
      <c r="BC811" t="str">
        <f t="shared" si="24"/>
        <v>u=10%, k=2x10^6</v>
      </c>
      <c r="BD811">
        <f t="shared" si="25"/>
        <v>0</v>
      </c>
    </row>
    <row r="812" spans="1:56">
      <c r="A812" t="s">
        <v>1064</v>
      </c>
      <c r="B812" t="s">
        <v>67</v>
      </c>
      <c r="D812" t="s">
        <v>65</v>
      </c>
      <c r="E812" t="s">
        <v>60</v>
      </c>
      <c r="F812" t="s">
        <v>61</v>
      </c>
      <c r="G812">
        <v>30000</v>
      </c>
      <c r="H812">
        <v>5</v>
      </c>
      <c r="I812">
        <v>5</v>
      </c>
      <c r="J812">
        <v>0</v>
      </c>
      <c r="K812">
        <v>1</v>
      </c>
      <c r="L812">
        <v>2000000</v>
      </c>
      <c r="M812">
        <v>24</v>
      </c>
      <c r="N812">
        <v>24</v>
      </c>
      <c r="O812">
        <v>24</v>
      </c>
      <c r="P812">
        <v>0</v>
      </c>
      <c r="Q812" t="s">
        <v>62</v>
      </c>
      <c r="R812">
        <v>998537236246</v>
      </c>
      <c r="S812">
        <v>999098</v>
      </c>
      <c r="T812">
        <v>998537236246</v>
      </c>
      <c r="U812">
        <v>999098</v>
      </c>
      <c r="V812" t="s">
        <v>75</v>
      </c>
      <c r="W812">
        <v>25</v>
      </c>
      <c r="X812">
        <v>685105</v>
      </c>
      <c r="Y812">
        <v>519848</v>
      </c>
      <c r="Z812">
        <v>1204953</v>
      </c>
      <c r="AA812">
        <v>999098</v>
      </c>
      <c r="AB812">
        <v>1.7587900000000001</v>
      </c>
      <c r="AC812">
        <v>1.9218999999999999</v>
      </c>
      <c r="AD812">
        <v>1.8291599999999999</v>
      </c>
      <c r="AE812">
        <v>19.842099999999999</v>
      </c>
      <c r="AF812">
        <v>67477368</v>
      </c>
      <c r="AJ812" t="s">
        <v>1065</v>
      </c>
      <c r="AM812">
        <v>731234010</v>
      </c>
      <c r="AN812">
        <v>0</v>
      </c>
      <c r="AO812">
        <v>81269216</v>
      </c>
      <c r="AP812">
        <v>731234010</v>
      </c>
      <c r="AQ812">
        <v>812503226</v>
      </c>
      <c r="AR812">
        <v>24374467</v>
      </c>
      <c r="AS812">
        <v>0</v>
      </c>
      <c r="AT812">
        <v>2708973</v>
      </c>
      <c r="AU812">
        <v>24374467</v>
      </c>
      <c r="AV812">
        <v>27083440</v>
      </c>
      <c r="AW812">
        <v>16.277999999999999</v>
      </c>
      <c r="AX812">
        <v>2.6125799999999999</v>
      </c>
      <c r="AY812">
        <v>2471.7600000000002</v>
      </c>
      <c r="AZ812">
        <v>1341.13</v>
      </c>
      <c r="BA812">
        <v>1154</v>
      </c>
      <c r="BB812">
        <v>189</v>
      </c>
      <c r="BC812" t="str">
        <f t="shared" si="24"/>
        <v>u=10%, k=2x10^6</v>
      </c>
      <c r="BD812">
        <f t="shared" si="25"/>
        <v>0</v>
      </c>
    </row>
    <row r="813" spans="1:56">
      <c r="A813" t="s">
        <v>1066</v>
      </c>
      <c r="B813" t="s">
        <v>67</v>
      </c>
      <c r="D813" t="s">
        <v>65</v>
      </c>
      <c r="E813" t="s">
        <v>60</v>
      </c>
      <c r="F813" t="s">
        <v>61</v>
      </c>
      <c r="G813">
        <v>30000</v>
      </c>
      <c r="H813">
        <v>5</v>
      </c>
      <c r="I813">
        <v>5</v>
      </c>
      <c r="J813">
        <v>0</v>
      </c>
      <c r="K813">
        <v>1</v>
      </c>
      <c r="L813">
        <v>2000000</v>
      </c>
      <c r="M813">
        <v>48</v>
      </c>
      <c r="N813">
        <v>48</v>
      </c>
      <c r="O813">
        <v>48</v>
      </c>
      <c r="P813">
        <v>0</v>
      </c>
      <c r="Q813" t="s">
        <v>62</v>
      </c>
      <c r="R813">
        <v>999706881133</v>
      </c>
      <c r="S813">
        <v>1000627</v>
      </c>
      <c r="T813">
        <v>999706881133</v>
      </c>
      <c r="U813">
        <v>1000627</v>
      </c>
      <c r="V813" t="s">
        <v>75</v>
      </c>
      <c r="W813">
        <v>25</v>
      </c>
      <c r="X813">
        <v>686543</v>
      </c>
      <c r="Y813">
        <v>520515</v>
      </c>
      <c r="Z813">
        <v>1207058</v>
      </c>
      <c r="AA813">
        <v>1000627</v>
      </c>
      <c r="AB813">
        <v>1.75817</v>
      </c>
      <c r="AC813">
        <v>1.92238</v>
      </c>
      <c r="AD813">
        <v>1.8289800000000001</v>
      </c>
      <c r="AE813">
        <v>19.811</v>
      </c>
      <c r="AF813">
        <v>67595248</v>
      </c>
      <c r="AJ813" t="s">
        <v>1067</v>
      </c>
      <c r="AM813">
        <v>1264832532</v>
      </c>
      <c r="AN813">
        <v>0</v>
      </c>
      <c r="AO813">
        <v>140535686</v>
      </c>
      <c r="AP813">
        <v>1264832532</v>
      </c>
      <c r="AQ813">
        <v>1405368218</v>
      </c>
      <c r="AR813">
        <v>42161084</v>
      </c>
      <c r="AS813">
        <v>0</v>
      </c>
      <c r="AT813">
        <v>4684522</v>
      </c>
      <c r="AU813">
        <v>42161084</v>
      </c>
      <c r="AV813">
        <v>46845607</v>
      </c>
      <c r="AW813">
        <v>17.1616</v>
      </c>
      <c r="AX813">
        <v>2.7356500000000001</v>
      </c>
      <c r="AY813">
        <v>2849.21</v>
      </c>
      <c r="AZ813">
        <v>1589.91</v>
      </c>
      <c r="BA813">
        <v>1166</v>
      </c>
      <c r="BB813">
        <v>216</v>
      </c>
      <c r="BC813" t="str">
        <f t="shared" si="24"/>
        <v>u=10%, k=2x10^6</v>
      </c>
      <c r="BD813">
        <f t="shared" si="25"/>
        <v>0</v>
      </c>
    </row>
    <row r="814" spans="1:56">
      <c r="A814" t="s">
        <v>1068</v>
      </c>
      <c r="B814" t="s">
        <v>67</v>
      </c>
      <c r="D814" t="s">
        <v>65</v>
      </c>
      <c r="E814" t="s">
        <v>60</v>
      </c>
      <c r="F814" t="s">
        <v>61</v>
      </c>
      <c r="G814">
        <v>30000</v>
      </c>
      <c r="H814">
        <v>5</v>
      </c>
      <c r="I814">
        <v>5</v>
      </c>
      <c r="J814">
        <v>0</v>
      </c>
      <c r="K814">
        <v>1</v>
      </c>
      <c r="L814">
        <v>2000000</v>
      </c>
      <c r="M814">
        <v>96</v>
      </c>
      <c r="N814">
        <v>96</v>
      </c>
      <c r="O814">
        <v>96</v>
      </c>
      <c r="P814">
        <v>0</v>
      </c>
      <c r="Q814" t="s">
        <v>62</v>
      </c>
      <c r="R814">
        <v>999957447636</v>
      </c>
      <c r="S814">
        <v>1000249</v>
      </c>
      <c r="T814">
        <v>999957447636</v>
      </c>
      <c r="U814">
        <v>1000249</v>
      </c>
      <c r="V814" t="s">
        <v>75</v>
      </c>
      <c r="W814">
        <v>25</v>
      </c>
      <c r="X814">
        <v>685801</v>
      </c>
      <c r="Y814">
        <v>520137</v>
      </c>
      <c r="Z814">
        <v>1205938</v>
      </c>
      <c r="AA814">
        <v>1000249</v>
      </c>
      <c r="AB814">
        <v>1.75844</v>
      </c>
      <c r="AC814">
        <v>1.9230499999999999</v>
      </c>
      <c r="AD814">
        <v>1.82944</v>
      </c>
      <c r="AE814">
        <v>19.894400000000001</v>
      </c>
      <c r="AF814">
        <v>67532528</v>
      </c>
      <c r="AJ814">
        <v>63546</v>
      </c>
      <c r="AM814">
        <v>2517905887</v>
      </c>
      <c r="AN814">
        <v>0</v>
      </c>
      <c r="AO814">
        <v>279757608</v>
      </c>
      <c r="AP814">
        <v>2517905887</v>
      </c>
      <c r="AQ814">
        <v>2797663495</v>
      </c>
      <c r="AR814">
        <v>83930196</v>
      </c>
      <c r="AS814">
        <v>0</v>
      </c>
      <c r="AT814">
        <v>9325253</v>
      </c>
      <c r="AU814">
        <v>83930196</v>
      </c>
      <c r="AV814">
        <v>93255449</v>
      </c>
      <c r="AW814">
        <v>17.8322</v>
      </c>
      <c r="AX814">
        <v>3.2086600000000001</v>
      </c>
      <c r="AY814">
        <v>2854.68</v>
      </c>
      <c r="AZ814">
        <v>1551.76</v>
      </c>
      <c r="BA814">
        <v>1190</v>
      </c>
      <c r="BB814">
        <v>358</v>
      </c>
      <c r="BC814" t="str">
        <f t="shared" si="24"/>
        <v>u=10%, k=2x10^6</v>
      </c>
      <c r="BD814">
        <f t="shared" si="25"/>
        <v>0</v>
      </c>
    </row>
    <row r="815" spans="1:56">
      <c r="A815" t="s">
        <v>1069</v>
      </c>
      <c r="B815" t="s">
        <v>67</v>
      </c>
      <c r="D815" t="s">
        <v>65</v>
      </c>
      <c r="E815" t="s">
        <v>60</v>
      </c>
      <c r="F815" t="s">
        <v>61</v>
      </c>
      <c r="G815">
        <v>30000</v>
      </c>
      <c r="H815">
        <v>5</v>
      </c>
      <c r="I815">
        <v>5</v>
      </c>
      <c r="J815">
        <v>0</v>
      </c>
      <c r="K815">
        <v>1</v>
      </c>
      <c r="L815">
        <v>2000000</v>
      </c>
      <c r="M815">
        <v>144</v>
      </c>
      <c r="N815">
        <v>144</v>
      </c>
      <c r="O815">
        <v>144</v>
      </c>
      <c r="P815">
        <v>0</v>
      </c>
      <c r="Q815" t="s">
        <v>62</v>
      </c>
      <c r="R815">
        <v>999137260051</v>
      </c>
      <c r="S815">
        <v>998667</v>
      </c>
      <c r="T815">
        <v>999137260051</v>
      </c>
      <c r="U815">
        <v>998667</v>
      </c>
      <c r="V815" t="s">
        <v>75</v>
      </c>
      <c r="W815">
        <v>25</v>
      </c>
      <c r="X815">
        <v>684910</v>
      </c>
      <c r="Y815">
        <v>519963</v>
      </c>
      <c r="Z815">
        <v>1204873</v>
      </c>
      <c r="AA815">
        <v>998667</v>
      </c>
      <c r="AB815">
        <v>1.7591699999999999</v>
      </c>
      <c r="AC815">
        <v>1.92065</v>
      </c>
      <c r="AD815">
        <v>1.8288599999999999</v>
      </c>
      <c r="AE815">
        <v>19.791699999999999</v>
      </c>
      <c r="AF815">
        <v>67472888</v>
      </c>
      <c r="AJ815" t="s">
        <v>1070</v>
      </c>
      <c r="AM815">
        <v>3724233625</v>
      </c>
      <c r="AN815">
        <v>0</v>
      </c>
      <c r="AO815">
        <v>413758675</v>
      </c>
      <c r="AP815">
        <v>3724233625</v>
      </c>
      <c r="AQ815">
        <v>4137992300</v>
      </c>
      <c r="AR815">
        <v>124141120</v>
      </c>
      <c r="AS815">
        <v>0</v>
      </c>
      <c r="AT815">
        <v>13791955</v>
      </c>
      <c r="AU815">
        <v>124141120</v>
      </c>
      <c r="AV815">
        <v>137933076</v>
      </c>
      <c r="AW815">
        <v>18.2712</v>
      </c>
      <c r="AX815">
        <v>3.38849</v>
      </c>
      <c r="AY815">
        <v>2865.98</v>
      </c>
      <c r="AZ815">
        <v>1555.07</v>
      </c>
      <c r="BA815">
        <v>1213</v>
      </c>
      <c r="BB815">
        <v>341</v>
      </c>
      <c r="BC815" t="str">
        <f t="shared" si="24"/>
        <v>u=10%, k=2x10^6</v>
      </c>
      <c r="BD815">
        <f t="shared" si="25"/>
        <v>0</v>
      </c>
    </row>
    <row r="816" spans="1:56">
      <c r="A816" t="s">
        <v>1071</v>
      </c>
      <c r="B816" t="s">
        <v>67</v>
      </c>
      <c r="D816" t="s">
        <v>65</v>
      </c>
      <c r="E816" t="s">
        <v>60</v>
      </c>
      <c r="F816" t="s">
        <v>61</v>
      </c>
      <c r="G816">
        <v>30000</v>
      </c>
      <c r="H816">
        <v>5</v>
      </c>
      <c r="I816">
        <v>5</v>
      </c>
      <c r="J816">
        <v>0</v>
      </c>
      <c r="K816">
        <v>1</v>
      </c>
      <c r="L816">
        <v>2000000</v>
      </c>
      <c r="M816">
        <v>190</v>
      </c>
      <c r="N816">
        <v>190</v>
      </c>
      <c r="O816">
        <v>190</v>
      </c>
      <c r="P816">
        <v>0</v>
      </c>
      <c r="Q816" t="s">
        <v>62</v>
      </c>
      <c r="R816">
        <v>1000019073417</v>
      </c>
      <c r="S816">
        <v>1001064</v>
      </c>
      <c r="T816">
        <v>1000019073417</v>
      </c>
      <c r="U816">
        <v>1001064</v>
      </c>
      <c r="V816" t="s">
        <v>75</v>
      </c>
      <c r="W816">
        <v>25</v>
      </c>
      <c r="X816">
        <v>686727</v>
      </c>
      <c r="Y816">
        <v>520916</v>
      </c>
      <c r="Z816">
        <v>1207643</v>
      </c>
      <c r="AA816">
        <v>1001064</v>
      </c>
      <c r="AB816">
        <v>1.7585500000000001</v>
      </c>
      <c r="AC816">
        <v>1.92174</v>
      </c>
      <c r="AD816">
        <v>1.82894</v>
      </c>
      <c r="AE816">
        <v>19.8704</v>
      </c>
      <c r="AF816">
        <v>67628008</v>
      </c>
      <c r="AJ816">
        <v>33642</v>
      </c>
      <c r="AM816">
        <v>4900807108</v>
      </c>
      <c r="AN816">
        <v>0</v>
      </c>
      <c r="AO816">
        <v>544533836</v>
      </c>
      <c r="AP816">
        <v>4900807108</v>
      </c>
      <c r="AQ816">
        <v>5445340944</v>
      </c>
      <c r="AR816">
        <v>163360236</v>
      </c>
      <c r="AS816">
        <v>0</v>
      </c>
      <c r="AT816">
        <v>18151127</v>
      </c>
      <c r="AU816">
        <v>163360236</v>
      </c>
      <c r="AV816">
        <v>181511364</v>
      </c>
      <c r="AW816">
        <v>18.8216</v>
      </c>
      <c r="AX816">
        <v>3.4994100000000001</v>
      </c>
      <c r="AY816">
        <v>2869.83</v>
      </c>
      <c r="AZ816">
        <v>1561.13</v>
      </c>
      <c r="BA816">
        <v>1233</v>
      </c>
      <c r="BB816">
        <v>281</v>
      </c>
      <c r="BC816" t="str">
        <f t="shared" si="24"/>
        <v>u=10%, k=2x10^6</v>
      </c>
      <c r="BD816">
        <f t="shared" si="25"/>
        <v>0</v>
      </c>
    </row>
    <row r="817" spans="1:56">
      <c r="A817" t="s">
        <v>1072</v>
      </c>
      <c r="B817" t="s">
        <v>68</v>
      </c>
      <c r="D817" t="s">
        <v>65</v>
      </c>
      <c r="E817" t="s">
        <v>60</v>
      </c>
      <c r="F817" t="s">
        <v>61</v>
      </c>
      <c r="G817">
        <v>30000</v>
      </c>
      <c r="H817">
        <v>5</v>
      </c>
      <c r="I817">
        <v>5</v>
      </c>
      <c r="J817">
        <v>0</v>
      </c>
      <c r="K817">
        <v>1</v>
      </c>
      <c r="L817">
        <v>2000000</v>
      </c>
      <c r="M817">
        <v>24</v>
      </c>
      <c r="N817">
        <v>24</v>
      </c>
      <c r="O817">
        <v>24</v>
      </c>
      <c r="P817">
        <v>0</v>
      </c>
      <c r="Q817" t="s">
        <v>62</v>
      </c>
      <c r="R817">
        <v>999441574287</v>
      </c>
      <c r="S817">
        <v>998760</v>
      </c>
      <c r="T817">
        <v>999441574287</v>
      </c>
      <c r="U817">
        <v>998760</v>
      </c>
      <c r="V817" t="s">
        <v>75</v>
      </c>
      <c r="W817">
        <v>51</v>
      </c>
      <c r="X817">
        <v>998759</v>
      </c>
      <c r="Y817">
        <v>998760</v>
      </c>
      <c r="Z817">
        <v>1997519</v>
      </c>
      <c r="AA817">
        <v>998760</v>
      </c>
      <c r="AB817">
        <v>2</v>
      </c>
      <c r="AC817">
        <v>1</v>
      </c>
      <c r="AD817">
        <v>1.5</v>
      </c>
      <c r="AE817">
        <v>27.276700000000002</v>
      </c>
      <c r="AF817">
        <v>63920608</v>
      </c>
      <c r="AJ817" t="s">
        <v>1073</v>
      </c>
      <c r="AM817">
        <v>659035284</v>
      </c>
      <c r="AN817">
        <v>0</v>
      </c>
      <c r="AO817">
        <v>73236197</v>
      </c>
      <c r="AP817">
        <v>659035284</v>
      </c>
      <c r="AQ817">
        <v>732271481</v>
      </c>
      <c r="AR817">
        <v>21967842</v>
      </c>
      <c r="AS817">
        <v>0</v>
      </c>
      <c r="AT817">
        <v>2441206</v>
      </c>
      <c r="AU817">
        <v>21967842</v>
      </c>
      <c r="AV817">
        <v>24409049</v>
      </c>
      <c r="AW817">
        <v>12.441000000000001</v>
      </c>
      <c r="AX817">
        <v>2.0516100000000002</v>
      </c>
      <c r="AY817">
        <v>2742.83</v>
      </c>
      <c r="AZ817">
        <v>1789.7</v>
      </c>
      <c r="BA817">
        <v>1147</v>
      </c>
      <c r="BB817">
        <v>173</v>
      </c>
      <c r="BC817" t="str">
        <f t="shared" si="24"/>
        <v>u=10%, k=2x10^6</v>
      </c>
      <c r="BD817">
        <f t="shared" si="25"/>
        <v>0</v>
      </c>
    </row>
    <row r="818" spans="1:56">
      <c r="A818" t="s">
        <v>1074</v>
      </c>
      <c r="B818" t="s">
        <v>68</v>
      </c>
      <c r="D818" t="s">
        <v>65</v>
      </c>
      <c r="E818" t="s">
        <v>60</v>
      </c>
      <c r="F818" t="s">
        <v>61</v>
      </c>
      <c r="G818">
        <v>30000</v>
      </c>
      <c r="H818">
        <v>5</v>
      </c>
      <c r="I818">
        <v>5</v>
      </c>
      <c r="J818">
        <v>0</v>
      </c>
      <c r="K818">
        <v>1</v>
      </c>
      <c r="L818">
        <v>2000000</v>
      </c>
      <c r="M818">
        <v>48</v>
      </c>
      <c r="N818">
        <v>48</v>
      </c>
      <c r="O818">
        <v>48</v>
      </c>
      <c r="P818">
        <v>0</v>
      </c>
      <c r="Q818" t="s">
        <v>62</v>
      </c>
      <c r="R818">
        <v>999233916180</v>
      </c>
      <c r="S818">
        <v>999808</v>
      </c>
      <c r="T818">
        <v>999233916180</v>
      </c>
      <c r="U818">
        <v>999808</v>
      </c>
      <c r="V818" t="s">
        <v>75</v>
      </c>
      <c r="W818">
        <v>48</v>
      </c>
      <c r="X818">
        <v>999807</v>
      </c>
      <c r="Y818">
        <v>999808</v>
      </c>
      <c r="Z818">
        <v>1999615</v>
      </c>
      <c r="AA818">
        <v>999808</v>
      </c>
      <c r="AB818">
        <v>2</v>
      </c>
      <c r="AC818">
        <v>1</v>
      </c>
      <c r="AD818">
        <v>1.5</v>
      </c>
      <c r="AE818">
        <v>26.707899999999999</v>
      </c>
      <c r="AF818">
        <v>63987680</v>
      </c>
      <c r="AJ818" t="s">
        <v>1075</v>
      </c>
      <c r="AM818">
        <v>1183825068</v>
      </c>
      <c r="AN818">
        <v>0</v>
      </c>
      <c r="AO818">
        <v>131534402</v>
      </c>
      <c r="AP818">
        <v>1183825068</v>
      </c>
      <c r="AQ818">
        <v>1315359470</v>
      </c>
      <c r="AR818">
        <v>39460835</v>
      </c>
      <c r="AS818">
        <v>0</v>
      </c>
      <c r="AT818">
        <v>4384480</v>
      </c>
      <c r="AU818">
        <v>39460835</v>
      </c>
      <c r="AV818">
        <v>43845315</v>
      </c>
      <c r="AW818">
        <v>12.4771</v>
      </c>
      <c r="AX818">
        <v>2.1393300000000002</v>
      </c>
      <c r="AY818">
        <v>3052.99</v>
      </c>
      <c r="AZ818">
        <v>2133.73</v>
      </c>
      <c r="BA818">
        <v>1162</v>
      </c>
      <c r="BB818">
        <v>196</v>
      </c>
      <c r="BC818" t="str">
        <f t="shared" si="24"/>
        <v>u=10%, k=2x10^6</v>
      </c>
      <c r="BD818">
        <f t="shared" si="25"/>
        <v>0</v>
      </c>
    </row>
    <row r="819" spans="1:56">
      <c r="A819" t="s">
        <v>1076</v>
      </c>
      <c r="B819" t="s">
        <v>68</v>
      </c>
      <c r="D819" t="s">
        <v>65</v>
      </c>
      <c r="E819" t="s">
        <v>60</v>
      </c>
      <c r="F819" t="s">
        <v>61</v>
      </c>
      <c r="G819">
        <v>30000</v>
      </c>
      <c r="H819">
        <v>5</v>
      </c>
      <c r="I819">
        <v>5</v>
      </c>
      <c r="J819">
        <v>0</v>
      </c>
      <c r="K819">
        <v>1</v>
      </c>
      <c r="L819">
        <v>2000000</v>
      </c>
      <c r="M819">
        <v>96</v>
      </c>
      <c r="N819">
        <v>96</v>
      </c>
      <c r="O819">
        <v>96</v>
      </c>
      <c r="P819">
        <v>0</v>
      </c>
      <c r="Q819" t="s">
        <v>62</v>
      </c>
      <c r="R819">
        <v>1000682090952</v>
      </c>
      <c r="S819">
        <v>1000500</v>
      </c>
      <c r="T819">
        <v>1000682090952</v>
      </c>
      <c r="U819">
        <v>1000500</v>
      </c>
      <c r="V819" t="s">
        <v>75</v>
      </c>
      <c r="W819">
        <v>46</v>
      </c>
      <c r="X819">
        <v>1000499</v>
      </c>
      <c r="Y819">
        <v>1000500</v>
      </c>
      <c r="Z819">
        <v>2000999</v>
      </c>
      <c r="AA819">
        <v>1000500</v>
      </c>
      <c r="AB819">
        <v>2</v>
      </c>
      <c r="AC819">
        <v>1</v>
      </c>
      <c r="AD819">
        <v>1.5</v>
      </c>
      <c r="AE819">
        <v>25.434899999999999</v>
      </c>
      <c r="AF819">
        <v>64031968</v>
      </c>
      <c r="AJ819">
        <v>63400</v>
      </c>
      <c r="AM819">
        <v>2523739619</v>
      </c>
      <c r="AN819">
        <v>0</v>
      </c>
      <c r="AO819">
        <v>280414702</v>
      </c>
      <c r="AP819">
        <v>2523739619</v>
      </c>
      <c r="AQ819">
        <v>2804154321</v>
      </c>
      <c r="AR819">
        <v>84124653</v>
      </c>
      <c r="AS819">
        <v>0</v>
      </c>
      <c r="AT819">
        <v>9347156</v>
      </c>
      <c r="AU819">
        <v>84124653</v>
      </c>
      <c r="AV819">
        <v>93471810</v>
      </c>
      <c r="AW819">
        <v>12.9102</v>
      </c>
      <c r="AX819">
        <v>2.55667</v>
      </c>
      <c r="AY819">
        <v>2859.99</v>
      </c>
      <c r="AZ819">
        <v>1915.71</v>
      </c>
      <c r="BA819">
        <v>1191</v>
      </c>
      <c r="BB819">
        <v>311</v>
      </c>
      <c r="BC819" t="str">
        <f t="shared" si="24"/>
        <v>u=10%, k=2x10^6</v>
      </c>
      <c r="BD819">
        <f t="shared" si="25"/>
        <v>0</v>
      </c>
    </row>
    <row r="820" spans="1:56">
      <c r="A820" t="s">
        <v>1077</v>
      </c>
      <c r="B820" t="s">
        <v>68</v>
      </c>
      <c r="D820" t="s">
        <v>65</v>
      </c>
      <c r="E820" t="s">
        <v>60</v>
      </c>
      <c r="F820" t="s">
        <v>61</v>
      </c>
      <c r="G820">
        <v>30000</v>
      </c>
      <c r="H820">
        <v>5</v>
      </c>
      <c r="I820">
        <v>5</v>
      </c>
      <c r="J820">
        <v>0</v>
      </c>
      <c r="K820">
        <v>1</v>
      </c>
      <c r="L820">
        <v>2000000</v>
      </c>
      <c r="M820">
        <v>144</v>
      </c>
      <c r="N820">
        <v>144</v>
      </c>
      <c r="O820">
        <v>144</v>
      </c>
      <c r="P820">
        <v>0</v>
      </c>
      <c r="Q820" t="s">
        <v>62</v>
      </c>
      <c r="R820">
        <v>999551919213</v>
      </c>
      <c r="S820">
        <v>999383</v>
      </c>
      <c r="T820">
        <v>999551919213</v>
      </c>
      <c r="U820">
        <v>999383</v>
      </c>
      <c r="V820" t="s">
        <v>75</v>
      </c>
      <c r="W820">
        <v>49</v>
      </c>
      <c r="X820">
        <v>999382</v>
      </c>
      <c r="Y820">
        <v>999383</v>
      </c>
      <c r="Z820">
        <v>1998765</v>
      </c>
      <c r="AA820">
        <v>999383</v>
      </c>
      <c r="AB820">
        <v>2</v>
      </c>
      <c r="AC820">
        <v>1</v>
      </c>
      <c r="AD820">
        <v>1.5</v>
      </c>
      <c r="AE820">
        <v>25.992899999999999</v>
      </c>
      <c r="AF820">
        <v>63960480</v>
      </c>
      <c r="AJ820" t="s">
        <v>1078</v>
      </c>
      <c r="AM820">
        <v>3837164299</v>
      </c>
      <c r="AN820">
        <v>0</v>
      </c>
      <c r="AO820">
        <v>426357434</v>
      </c>
      <c r="AP820">
        <v>3837164299</v>
      </c>
      <c r="AQ820">
        <v>4263521733</v>
      </c>
      <c r="AR820">
        <v>127905476</v>
      </c>
      <c r="AS820">
        <v>0</v>
      </c>
      <c r="AT820">
        <v>14211914</v>
      </c>
      <c r="AU820">
        <v>127905476</v>
      </c>
      <c r="AV820">
        <v>142117391</v>
      </c>
      <c r="AW820">
        <v>13.2652</v>
      </c>
      <c r="AX820">
        <v>2.6442299999999999</v>
      </c>
      <c r="AY820">
        <v>2821.33</v>
      </c>
      <c r="AZ820">
        <v>1872.78</v>
      </c>
      <c r="BA820">
        <v>1216</v>
      </c>
      <c r="BB820">
        <v>292</v>
      </c>
      <c r="BC820" t="str">
        <f t="shared" si="24"/>
        <v>u=10%, k=2x10^6</v>
      </c>
      <c r="BD820">
        <f t="shared" si="25"/>
        <v>0</v>
      </c>
    </row>
    <row r="821" spans="1:56">
      <c r="A821" t="s">
        <v>1079</v>
      </c>
      <c r="B821" t="s">
        <v>68</v>
      </c>
      <c r="D821" t="s">
        <v>65</v>
      </c>
      <c r="E821" t="s">
        <v>60</v>
      </c>
      <c r="F821" t="s">
        <v>61</v>
      </c>
      <c r="G821">
        <v>30000</v>
      </c>
      <c r="H821">
        <v>5</v>
      </c>
      <c r="I821">
        <v>5</v>
      </c>
      <c r="J821">
        <v>0</v>
      </c>
      <c r="K821">
        <v>1</v>
      </c>
      <c r="L821">
        <v>2000000</v>
      </c>
      <c r="M821">
        <v>190</v>
      </c>
      <c r="N821">
        <v>190</v>
      </c>
      <c r="O821">
        <v>190</v>
      </c>
      <c r="P821">
        <v>0</v>
      </c>
      <c r="Q821" t="s">
        <v>62</v>
      </c>
      <c r="R821">
        <v>999598687450</v>
      </c>
      <c r="S821">
        <v>999571</v>
      </c>
      <c r="T821">
        <v>999598687450</v>
      </c>
      <c r="U821">
        <v>999571</v>
      </c>
      <c r="V821" t="s">
        <v>75</v>
      </c>
      <c r="W821">
        <v>49</v>
      </c>
      <c r="X821">
        <v>999570</v>
      </c>
      <c r="Y821">
        <v>999571</v>
      </c>
      <c r="Z821">
        <v>1999141</v>
      </c>
      <c r="AA821">
        <v>999571</v>
      </c>
      <c r="AB821">
        <v>2</v>
      </c>
      <c r="AC821">
        <v>1</v>
      </c>
      <c r="AD821">
        <v>1.5</v>
      </c>
      <c r="AE821">
        <v>25.485600000000002</v>
      </c>
      <c r="AF821">
        <v>63972512</v>
      </c>
      <c r="AJ821">
        <v>34074</v>
      </c>
      <c r="AM821">
        <v>5042258309</v>
      </c>
      <c r="AN821">
        <v>0</v>
      </c>
      <c r="AO821">
        <v>560261883</v>
      </c>
      <c r="AP821">
        <v>5042258309</v>
      </c>
      <c r="AQ821">
        <v>5602520192</v>
      </c>
      <c r="AR821">
        <v>168075276</v>
      </c>
      <c r="AS821">
        <v>0</v>
      </c>
      <c r="AT821">
        <v>18675396</v>
      </c>
      <c r="AU821">
        <v>168075276</v>
      </c>
      <c r="AV821">
        <v>186750673</v>
      </c>
      <c r="AW821">
        <v>13.808999999999999</v>
      </c>
      <c r="AX821">
        <v>2.6947399999999999</v>
      </c>
      <c r="AY821">
        <v>2831.9</v>
      </c>
      <c r="AZ821">
        <v>1870.33</v>
      </c>
      <c r="BA821">
        <v>1231</v>
      </c>
      <c r="BB821">
        <v>275</v>
      </c>
      <c r="BC821" t="str">
        <f t="shared" si="24"/>
        <v>u=10%, k=2x10^6</v>
      </c>
      <c r="BD821">
        <f t="shared" si="25"/>
        <v>0</v>
      </c>
    </row>
    <row r="822" spans="1:56">
      <c r="A822" t="s">
        <v>1080</v>
      </c>
      <c r="B822" t="s">
        <v>64</v>
      </c>
      <c r="C822">
        <v>72</v>
      </c>
      <c r="D822" t="s">
        <v>65</v>
      </c>
      <c r="E822" t="s">
        <v>60</v>
      </c>
      <c r="F822" t="s">
        <v>61</v>
      </c>
      <c r="G822">
        <v>30000</v>
      </c>
      <c r="H822">
        <v>5</v>
      </c>
      <c r="I822">
        <v>5</v>
      </c>
      <c r="J822">
        <v>0</v>
      </c>
      <c r="K822">
        <v>1</v>
      </c>
      <c r="L822">
        <v>20000000</v>
      </c>
      <c r="M822">
        <v>24</v>
      </c>
      <c r="N822">
        <v>24</v>
      </c>
      <c r="O822">
        <v>24</v>
      </c>
      <c r="P822">
        <v>0</v>
      </c>
      <c r="Q822" t="s">
        <v>62</v>
      </c>
      <c r="R822">
        <v>100022969924528</v>
      </c>
      <c r="S822">
        <v>10001796</v>
      </c>
      <c r="T822">
        <v>100022969924528</v>
      </c>
      <c r="U822">
        <v>10001796</v>
      </c>
      <c r="V822" t="s">
        <v>75</v>
      </c>
      <c r="W822">
        <v>7</v>
      </c>
      <c r="X822">
        <v>1901308</v>
      </c>
      <c r="Y822">
        <v>12021813</v>
      </c>
      <c r="Z822">
        <v>13923121</v>
      </c>
      <c r="AA822">
        <v>10001796</v>
      </c>
      <c r="AB822">
        <v>7.3229199999999999</v>
      </c>
      <c r="AC822">
        <v>0.83197100000000002</v>
      </c>
      <c r="AD822">
        <v>1.7183600000000001</v>
      </c>
      <c r="AE822">
        <v>4.05518</v>
      </c>
      <c r="AF822">
        <v>344480320</v>
      </c>
      <c r="AG822" t="s">
        <v>1081</v>
      </c>
      <c r="AH822" t="s">
        <v>1082</v>
      </c>
      <c r="AI822">
        <v>11842</v>
      </c>
      <c r="AJ822">
        <v>311736</v>
      </c>
      <c r="AM822">
        <v>787655731</v>
      </c>
      <c r="AN822">
        <v>0</v>
      </c>
      <c r="AO822">
        <v>87525622</v>
      </c>
      <c r="AP822">
        <v>787655731</v>
      </c>
      <c r="AQ822">
        <v>875181353</v>
      </c>
      <c r="AR822">
        <v>26255191</v>
      </c>
      <c r="AS822">
        <v>0</v>
      </c>
      <c r="AT822">
        <v>2917520</v>
      </c>
      <c r="AU822">
        <v>26255191</v>
      </c>
      <c r="AV822">
        <v>29172711</v>
      </c>
      <c r="AW822">
        <v>18.451499999999999</v>
      </c>
      <c r="AX822">
        <v>7.3209600000000004</v>
      </c>
      <c r="AY822">
        <v>2272.38</v>
      </c>
      <c r="AZ822">
        <v>1488.82</v>
      </c>
      <c r="BA822">
        <v>2437</v>
      </c>
      <c r="BB822">
        <v>154</v>
      </c>
      <c r="BC822" t="str">
        <f t="shared" si="24"/>
        <v>u=10%, k=2x10^7</v>
      </c>
      <c r="BD822" t="str">
        <f t="shared" si="25"/>
        <v>17</v>
      </c>
    </row>
    <row r="823" spans="1:56">
      <c r="A823" t="s">
        <v>1083</v>
      </c>
      <c r="B823" t="s">
        <v>64</v>
      </c>
      <c r="C823">
        <v>72</v>
      </c>
      <c r="D823" t="s">
        <v>65</v>
      </c>
      <c r="E823" t="s">
        <v>60</v>
      </c>
      <c r="F823" t="s">
        <v>61</v>
      </c>
      <c r="G823">
        <v>30000</v>
      </c>
      <c r="H823">
        <v>5</v>
      </c>
      <c r="I823">
        <v>5</v>
      </c>
      <c r="J823">
        <v>0</v>
      </c>
      <c r="K823">
        <v>1</v>
      </c>
      <c r="L823">
        <v>20000000</v>
      </c>
      <c r="M823">
        <v>48</v>
      </c>
      <c r="N823">
        <v>48</v>
      </c>
      <c r="O823">
        <v>48</v>
      </c>
      <c r="P823">
        <v>0</v>
      </c>
      <c r="Q823" t="s">
        <v>62</v>
      </c>
      <c r="R823">
        <v>99986906348381</v>
      </c>
      <c r="S823">
        <v>10000657</v>
      </c>
      <c r="T823">
        <v>99986906348381</v>
      </c>
      <c r="U823">
        <v>10000657</v>
      </c>
      <c r="V823" t="s">
        <v>75</v>
      </c>
      <c r="W823">
        <v>7</v>
      </c>
      <c r="X823">
        <v>1868372</v>
      </c>
      <c r="Y823">
        <v>11967281</v>
      </c>
      <c r="Z823">
        <v>13835653</v>
      </c>
      <c r="AA823">
        <v>10000657</v>
      </c>
      <c r="AB823">
        <v>7.4051900000000002</v>
      </c>
      <c r="AC823">
        <v>0.83566700000000005</v>
      </c>
      <c r="AD823">
        <v>1.72282</v>
      </c>
      <c r="AE823">
        <v>4.0468000000000002</v>
      </c>
      <c r="AF823">
        <v>340993424</v>
      </c>
      <c r="AG823" t="s">
        <v>1084</v>
      </c>
      <c r="AH823" t="s">
        <v>1085</v>
      </c>
      <c r="AI823">
        <v>51927</v>
      </c>
      <c r="AJ823">
        <v>131632</v>
      </c>
      <c r="AM823">
        <v>1341724198</v>
      </c>
      <c r="AN823">
        <v>0</v>
      </c>
      <c r="AO823">
        <v>149100178</v>
      </c>
      <c r="AP823">
        <v>1341724198</v>
      </c>
      <c r="AQ823">
        <v>1490824376</v>
      </c>
      <c r="AR823">
        <v>44724139</v>
      </c>
      <c r="AS823">
        <v>0</v>
      </c>
      <c r="AT823">
        <v>4970005</v>
      </c>
      <c r="AU823">
        <v>44724139</v>
      </c>
      <c r="AV823">
        <v>49694145</v>
      </c>
      <c r="AW823">
        <v>18.731999999999999</v>
      </c>
      <c r="AX823">
        <v>7.5214100000000004</v>
      </c>
      <c r="AY823">
        <v>2663.95</v>
      </c>
      <c r="AZ823">
        <v>1831.46</v>
      </c>
      <c r="BA823">
        <v>2491</v>
      </c>
      <c r="BB823">
        <v>199</v>
      </c>
      <c r="BC823" t="str">
        <f t="shared" si="24"/>
        <v>u=10%, k=2x10^7</v>
      </c>
      <c r="BD823" t="str">
        <f t="shared" si="25"/>
        <v>29</v>
      </c>
    </row>
    <row r="824" spans="1:56">
      <c r="A824" t="s">
        <v>1086</v>
      </c>
      <c r="B824" t="s">
        <v>64</v>
      </c>
      <c r="C824">
        <v>72</v>
      </c>
      <c r="D824" t="s">
        <v>65</v>
      </c>
      <c r="E824" t="s">
        <v>60</v>
      </c>
      <c r="F824" t="s">
        <v>61</v>
      </c>
      <c r="G824">
        <v>30000</v>
      </c>
      <c r="H824">
        <v>5</v>
      </c>
      <c r="I824">
        <v>5</v>
      </c>
      <c r="J824">
        <v>0</v>
      </c>
      <c r="K824">
        <v>1</v>
      </c>
      <c r="L824">
        <v>20000000</v>
      </c>
      <c r="M824">
        <v>96</v>
      </c>
      <c r="N824">
        <v>96</v>
      </c>
      <c r="O824">
        <v>96</v>
      </c>
      <c r="P824">
        <v>0</v>
      </c>
      <c r="Q824" t="s">
        <v>62</v>
      </c>
      <c r="R824">
        <v>99981148717835</v>
      </c>
      <c r="S824">
        <v>10000382</v>
      </c>
      <c r="T824">
        <v>99981148717835</v>
      </c>
      <c r="U824">
        <v>10000382</v>
      </c>
      <c r="V824" t="s">
        <v>75</v>
      </c>
      <c r="W824">
        <v>7</v>
      </c>
      <c r="X824">
        <v>1733873</v>
      </c>
      <c r="Y824">
        <v>11673208</v>
      </c>
      <c r="Z824">
        <v>13407081</v>
      </c>
      <c r="AA824">
        <v>10000382</v>
      </c>
      <c r="AB824">
        <v>7.73245</v>
      </c>
      <c r="AC824">
        <v>0.85669499999999998</v>
      </c>
      <c r="AD824">
        <v>1.7459</v>
      </c>
      <c r="AE824">
        <v>4.0217700000000001</v>
      </c>
      <c r="AF824">
        <v>325492624</v>
      </c>
      <c r="AG824" t="s">
        <v>1087</v>
      </c>
      <c r="AH824" t="s">
        <v>1088</v>
      </c>
      <c r="AI824">
        <v>221679</v>
      </c>
      <c r="AJ824">
        <v>67558</v>
      </c>
      <c r="AM824">
        <v>2648691280</v>
      </c>
      <c r="AN824">
        <v>0</v>
      </c>
      <c r="AO824">
        <v>294308967</v>
      </c>
      <c r="AP824">
        <v>2648691280</v>
      </c>
      <c r="AQ824">
        <v>2943000247</v>
      </c>
      <c r="AR824">
        <v>88289709</v>
      </c>
      <c r="AS824">
        <v>0</v>
      </c>
      <c r="AT824">
        <v>9810298</v>
      </c>
      <c r="AU824">
        <v>88289709</v>
      </c>
      <c r="AV824">
        <v>98100008</v>
      </c>
      <c r="AW824">
        <v>18.990500000000001</v>
      </c>
      <c r="AX824">
        <v>7.9777399999999998</v>
      </c>
      <c r="AY824">
        <v>2690.06</v>
      </c>
      <c r="AZ824">
        <v>1805.74</v>
      </c>
      <c r="BA824">
        <v>2603</v>
      </c>
      <c r="BB824">
        <v>220</v>
      </c>
      <c r="BC824" t="str">
        <f t="shared" si="24"/>
        <v>u=10%, k=2x10^7</v>
      </c>
      <c r="BD824" t="str">
        <f t="shared" si="25"/>
        <v>58</v>
      </c>
    </row>
    <row r="825" spans="1:56">
      <c r="A825" t="s">
        <v>1089</v>
      </c>
      <c r="B825" t="s">
        <v>64</v>
      </c>
      <c r="C825">
        <v>72</v>
      </c>
      <c r="D825" t="s">
        <v>65</v>
      </c>
      <c r="E825" t="s">
        <v>60</v>
      </c>
      <c r="F825" t="s">
        <v>61</v>
      </c>
      <c r="G825">
        <v>30000</v>
      </c>
      <c r="H825">
        <v>5</v>
      </c>
      <c r="I825">
        <v>5</v>
      </c>
      <c r="J825">
        <v>0</v>
      </c>
      <c r="K825">
        <v>1</v>
      </c>
      <c r="L825">
        <v>20000000</v>
      </c>
      <c r="M825">
        <v>144</v>
      </c>
      <c r="N825">
        <v>144</v>
      </c>
      <c r="O825">
        <v>144</v>
      </c>
      <c r="P825">
        <v>0</v>
      </c>
      <c r="Q825" t="s">
        <v>62</v>
      </c>
      <c r="R825">
        <v>99966057919958</v>
      </c>
      <c r="S825">
        <v>9996045</v>
      </c>
      <c r="T825">
        <v>99966057919958</v>
      </c>
      <c r="U825">
        <v>9996045</v>
      </c>
      <c r="V825" t="s">
        <v>75</v>
      </c>
      <c r="W825">
        <v>7</v>
      </c>
      <c r="X825">
        <v>1832046</v>
      </c>
      <c r="Y825">
        <v>11863665</v>
      </c>
      <c r="Z825">
        <v>13695711</v>
      </c>
      <c r="AA825">
        <v>9996045</v>
      </c>
      <c r="AB825">
        <v>7.4756400000000003</v>
      </c>
      <c r="AC825">
        <v>0.84257599999999999</v>
      </c>
      <c r="AD825">
        <v>1.72987</v>
      </c>
      <c r="AE825">
        <v>4.0414099999999999</v>
      </c>
      <c r="AF825">
        <v>336387616</v>
      </c>
      <c r="AG825" t="s">
        <v>1090</v>
      </c>
      <c r="AH825" t="s">
        <v>1091</v>
      </c>
      <c r="AI825">
        <v>476145</v>
      </c>
      <c r="AJ825">
        <v>45468</v>
      </c>
      <c r="AM825">
        <v>3881685100</v>
      </c>
      <c r="AN825">
        <v>0</v>
      </c>
      <c r="AO825">
        <v>431277903</v>
      </c>
      <c r="AP825">
        <v>3881685100</v>
      </c>
      <c r="AQ825">
        <v>4312963003</v>
      </c>
      <c r="AR825">
        <v>129389503</v>
      </c>
      <c r="AS825">
        <v>0</v>
      </c>
      <c r="AT825">
        <v>14375930</v>
      </c>
      <c r="AU825">
        <v>129389503</v>
      </c>
      <c r="AV825">
        <v>143765433</v>
      </c>
      <c r="AW825">
        <v>19.070799999999998</v>
      </c>
      <c r="AX825">
        <v>8.2904499999999999</v>
      </c>
      <c r="AY825">
        <v>2744.39</v>
      </c>
      <c r="AZ825">
        <v>1847.23</v>
      </c>
      <c r="BA825">
        <v>2772</v>
      </c>
      <c r="BB825">
        <v>410</v>
      </c>
      <c r="BC825" t="str">
        <f t="shared" si="24"/>
        <v>u=10%, k=2x10^7</v>
      </c>
      <c r="BD825" t="str">
        <f t="shared" si="25"/>
        <v>86</v>
      </c>
    </row>
    <row r="826" spans="1:56">
      <c r="A826" t="s">
        <v>1092</v>
      </c>
      <c r="B826" t="s">
        <v>64</v>
      </c>
      <c r="C826">
        <v>72</v>
      </c>
      <c r="D826" t="s">
        <v>65</v>
      </c>
      <c r="E826" t="s">
        <v>60</v>
      </c>
      <c r="F826" t="s">
        <v>61</v>
      </c>
      <c r="G826">
        <v>30000</v>
      </c>
      <c r="H826">
        <v>5</v>
      </c>
      <c r="I826">
        <v>5</v>
      </c>
      <c r="J826">
        <v>0</v>
      </c>
      <c r="K826">
        <v>1</v>
      </c>
      <c r="L826">
        <v>20000000</v>
      </c>
      <c r="M826">
        <v>190</v>
      </c>
      <c r="N826">
        <v>190</v>
      </c>
      <c r="O826">
        <v>190</v>
      </c>
      <c r="P826">
        <v>0</v>
      </c>
      <c r="Q826" t="s">
        <v>62</v>
      </c>
      <c r="R826">
        <v>100027315583336</v>
      </c>
      <c r="S826">
        <v>10000451</v>
      </c>
      <c r="T826">
        <v>100027315583336</v>
      </c>
      <c r="U826">
        <v>10000451</v>
      </c>
      <c r="V826" t="s">
        <v>75</v>
      </c>
      <c r="W826">
        <v>7</v>
      </c>
      <c r="X826">
        <v>1829524</v>
      </c>
      <c r="Y826">
        <v>11876294</v>
      </c>
      <c r="Z826">
        <v>13705818</v>
      </c>
      <c r="AA826">
        <v>10000451</v>
      </c>
      <c r="AB826">
        <v>7.4914699999999996</v>
      </c>
      <c r="AC826">
        <v>0.84205099999999999</v>
      </c>
      <c r="AD826">
        <v>1.7296499999999999</v>
      </c>
      <c r="AE826">
        <v>4.04054</v>
      </c>
      <c r="AF826">
        <v>336413216</v>
      </c>
      <c r="AG826" t="s">
        <v>1093</v>
      </c>
      <c r="AH826" t="s">
        <v>1094</v>
      </c>
      <c r="AI826">
        <v>770916</v>
      </c>
      <c r="AJ826">
        <v>34422</v>
      </c>
      <c r="AM826">
        <v>4754390998</v>
      </c>
      <c r="AN826">
        <v>0</v>
      </c>
      <c r="AO826">
        <v>528290314</v>
      </c>
      <c r="AP826">
        <v>4754390998</v>
      </c>
      <c r="AQ826">
        <v>5282681312</v>
      </c>
      <c r="AR826">
        <v>158479699</v>
      </c>
      <c r="AS826">
        <v>0</v>
      </c>
      <c r="AT826">
        <v>17609677</v>
      </c>
      <c r="AU826">
        <v>158479699</v>
      </c>
      <c r="AV826">
        <v>176089377</v>
      </c>
      <c r="AW826">
        <v>19.328099999999999</v>
      </c>
      <c r="AX826">
        <v>8.5624199999999995</v>
      </c>
      <c r="AY826">
        <v>2946.48</v>
      </c>
      <c r="AZ826">
        <v>2023.55</v>
      </c>
      <c r="BA826">
        <v>2867</v>
      </c>
      <c r="BB826">
        <v>446</v>
      </c>
      <c r="BC826" t="str">
        <f t="shared" si="24"/>
        <v>u=10%, k=2x10^7</v>
      </c>
      <c r="BD826" t="str">
        <f t="shared" si="25"/>
        <v>105</v>
      </c>
    </row>
    <row r="827" spans="1:56">
      <c r="A827" t="s">
        <v>1095</v>
      </c>
      <c r="B827" t="s">
        <v>66</v>
      </c>
      <c r="C827">
        <v>208</v>
      </c>
      <c r="D827" t="s">
        <v>65</v>
      </c>
      <c r="E827" t="s">
        <v>60</v>
      </c>
      <c r="F827" t="s">
        <v>61</v>
      </c>
      <c r="G827">
        <v>30000</v>
      </c>
      <c r="H827">
        <v>5</v>
      </c>
      <c r="I827">
        <v>5</v>
      </c>
      <c r="J827">
        <v>0</v>
      </c>
      <c r="K827">
        <v>1</v>
      </c>
      <c r="L827">
        <v>20000000</v>
      </c>
      <c r="M827">
        <v>24</v>
      </c>
      <c r="N827">
        <v>24</v>
      </c>
      <c r="O827">
        <v>24</v>
      </c>
      <c r="P827">
        <v>0</v>
      </c>
      <c r="Q827" t="s">
        <v>62</v>
      </c>
      <c r="R827">
        <v>100026743602721</v>
      </c>
      <c r="S827">
        <v>10003893</v>
      </c>
      <c r="T827">
        <v>100026743602721</v>
      </c>
      <c r="U827">
        <v>10003893</v>
      </c>
      <c r="V827" t="s">
        <v>75</v>
      </c>
      <c r="W827">
        <v>9</v>
      </c>
      <c r="X827">
        <v>257402</v>
      </c>
      <c r="Y827">
        <v>1765775</v>
      </c>
      <c r="Z827">
        <v>2023177</v>
      </c>
      <c r="AA827">
        <v>10003893</v>
      </c>
      <c r="AB827">
        <v>7.8599899999999998</v>
      </c>
      <c r="AC827">
        <v>5.6654400000000003</v>
      </c>
      <c r="AD827">
        <v>5.9446500000000002</v>
      </c>
      <c r="AE827">
        <v>8</v>
      </c>
      <c r="AF827">
        <v>420820816</v>
      </c>
      <c r="AJ827" t="s">
        <v>1096</v>
      </c>
      <c r="AM827">
        <v>760549793</v>
      </c>
      <c r="AN827">
        <v>0</v>
      </c>
      <c r="AO827">
        <v>84525600</v>
      </c>
      <c r="AP827">
        <v>760549793</v>
      </c>
      <c r="AQ827">
        <v>845075393</v>
      </c>
      <c r="AR827">
        <v>25351659</v>
      </c>
      <c r="AS827">
        <v>0</v>
      </c>
      <c r="AT827">
        <v>2817520</v>
      </c>
      <c r="AU827">
        <v>25351659</v>
      </c>
      <c r="AV827">
        <v>28169179</v>
      </c>
      <c r="AW827">
        <v>17.914999999999999</v>
      </c>
      <c r="AX827">
        <v>5.6996700000000002</v>
      </c>
      <c r="AY827">
        <v>2375.9699999999998</v>
      </c>
      <c r="AZ827">
        <v>1382.68</v>
      </c>
      <c r="BA827">
        <v>1525</v>
      </c>
      <c r="BB827">
        <v>833</v>
      </c>
      <c r="BC827" t="str">
        <f t="shared" si="24"/>
        <v>u=10%, k=2x10^7</v>
      </c>
      <c r="BD827">
        <f t="shared" si="25"/>
        <v>0</v>
      </c>
    </row>
    <row r="828" spans="1:56">
      <c r="A828" t="s">
        <v>1097</v>
      </c>
      <c r="B828" t="s">
        <v>66</v>
      </c>
      <c r="C828">
        <v>208</v>
      </c>
      <c r="D828" t="s">
        <v>65</v>
      </c>
      <c r="E828" t="s">
        <v>60</v>
      </c>
      <c r="F828" t="s">
        <v>61</v>
      </c>
      <c r="G828">
        <v>30000</v>
      </c>
      <c r="H828">
        <v>5</v>
      </c>
      <c r="I828">
        <v>5</v>
      </c>
      <c r="J828">
        <v>0</v>
      </c>
      <c r="K828">
        <v>1</v>
      </c>
      <c r="L828">
        <v>20000000</v>
      </c>
      <c r="M828">
        <v>48</v>
      </c>
      <c r="N828">
        <v>48</v>
      </c>
      <c r="O828">
        <v>48</v>
      </c>
      <c r="P828">
        <v>0</v>
      </c>
      <c r="Q828" t="s">
        <v>62</v>
      </c>
      <c r="R828">
        <v>99988195657147</v>
      </c>
      <c r="S828">
        <v>9999271</v>
      </c>
      <c r="T828">
        <v>99988195657147</v>
      </c>
      <c r="U828">
        <v>9999271</v>
      </c>
      <c r="V828" t="s">
        <v>75</v>
      </c>
      <c r="W828">
        <v>9</v>
      </c>
      <c r="X828">
        <v>274666</v>
      </c>
      <c r="Y828">
        <v>1865458</v>
      </c>
      <c r="Z828">
        <v>2140124</v>
      </c>
      <c r="AA828">
        <v>9999271</v>
      </c>
      <c r="AB828">
        <v>7.7917300000000003</v>
      </c>
      <c r="AC828">
        <v>5.36022</v>
      </c>
      <c r="AD828">
        <v>5.6722900000000003</v>
      </c>
      <c r="AE828">
        <v>8</v>
      </c>
      <c r="AF828">
        <v>445145792</v>
      </c>
      <c r="AJ828" t="s">
        <v>1098</v>
      </c>
      <c r="AM828">
        <v>1372173615</v>
      </c>
      <c r="AN828">
        <v>0</v>
      </c>
      <c r="AO828">
        <v>152452859</v>
      </c>
      <c r="AP828">
        <v>1372173615</v>
      </c>
      <c r="AQ828">
        <v>1524626474</v>
      </c>
      <c r="AR828">
        <v>45739120</v>
      </c>
      <c r="AS828">
        <v>0</v>
      </c>
      <c r="AT828">
        <v>5081761</v>
      </c>
      <c r="AU828">
        <v>45739120</v>
      </c>
      <c r="AV828">
        <v>50820882</v>
      </c>
      <c r="AW828">
        <v>18.064699999999998</v>
      </c>
      <c r="AX828">
        <v>5.8451599999999999</v>
      </c>
      <c r="AY828">
        <v>2632.9</v>
      </c>
      <c r="AZ828">
        <v>1755.43</v>
      </c>
      <c r="BA828">
        <v>1601</v>
      </c>
      <c r="BB828">
        <v>758</v>
      </c>
      <c r="BC828" t="str">
        <f t="shared" si="24"/>
        <v>u=10%, k=2x10^7</v>
      </c>
      <c r="BD828">
        <f t="shared" si="25"/>
        <v>0</v>
      </c>
    </row>
    <row r="829" spans="1:56">
      <c r="A829" t="s">
        <v>1099</v>
      </c>
      <c r="B829" t="s">
        <v>66</v>
      </c>
      <c r="C829">
        <v>208</v>
      </c>
      <c r="D829" t="s">
        <v>65</v>
      </c>
      <c r="E829" t="s">
        <v>60</v>
      </c>
      <c r="F829" t="s">
        <v>61</v>
      </c>
      <c r="G829">
        <v>30000</v>
      </c>
      <c r="H829">
        <v>5</v>
      </c>
      <c r="I829">
        <v>5</v>
      </c>
      <c r="J829">
        <v>0</v>
      </c>
      <c r="K829">
        <v>1</v>
      </c>
      <c r="L829">
        <v>20000000</v>
      </c>
      <c r="M829">
        <v>96</v>
      </c>
      <c r="N829">
        <v>96</v>
      </c>
      <c r="O829">
        <v>96</v>
      </c>
      <c r="P829">
        <v>0</v>
      </c>
      <c r="Q829" t="s">
        <v>62</v>
      </c>
      <c r="R829">
        <v>99990376150677</v>
      </c>
      <c r="S829">
        <v>10000572</v>
      </c>
      <c r="T829">
        <v>99990376150677</v>
      </c>
      <c r="U829">
        <v>10000572</v>
      </c>
      <c r="V829" t="s">
        <v>75</v>
      </c>
      <c r="W829">
        <v>10</v>
      </c>
      <c r="X829">
        <v>293154</v>
      </c>
      <c r="Y829">
        <v>1945979</v>
      </c>
      <c r="Z829">
        <v>2239133</v>
      </c>
      <c r="AA829">
        <v>10000572</v>
      </c>
      <c r="AB829">
        <v>7.6380800000000004</v>
      </c>
      <c r="AC829">
        <v>5.1391</v>
      </c>
      <c r="AD829">
        <v>5.4662699999999997</v>
      </c>
      <c r="AE829">
        <v>9</v>
      </c>
      <c r="AF829">
        <v>465739664</v>
      </c>
      <c r="AJ829" t="s">
        <v>1100</v>
      </c>
      <c r="AM829">
        <v>2784017979</v>
      </c>
      <c r="AN829">
        <v>0</v>
      </c>
      <c r="AO829">
        <v>309347335</v>
      </c>
      <c r="AP829">
        <v>2784017979</v>
      </c>
      <c r="AQ829">
        <v>3093365314</v>
      </c>
      <c r="AR829">
        <v>92800599</v>
      </c>
      <c r="AS829">
        <v>0</v>
      </c>
      <c r="AT829">
        <v>10311577</v>
      </c>
      <c r="AU829">
        <v>92800599</v>
      </c>
      <c r="AV829">
        <v>103112177</v>
      </c>
      <c r="AW829">
        <v>18.371300000000002</v>
      </c>
      <c r="AX829">
        <v>6.1321599999999998</v>
      </c>
      <c r="AY829">
        <v>2586.2800000000002</v>
      </c>
      <c r="AZ829">
        <v>1649.03</v>
      </c>
      <c r="BA829">
        <v>1719</v>
      </c>
      <c r="BB829">
        <v>891</v>
      </c>
      <c r="BC829" t="str">
        <f t="shared" si="24"/>
        <v>u=10%, k=2x10^7</v>
      </c>
      <c r="BD829">
        <f t="shared" si="25"/>
        <v>0</v>
      </c>
    </row>
    <row r="830" spans="1:56">
      <c r="A830" t="s">
        <v>1101</v>
      </c>
      <c r="B830" t="s">
        <v>66</v>
      </c>
      <c r="C830">
        <v>208</v>
      </c>
      <c r="D830" t="s">
        <v>65</v>
      </c>
      <c r="E830" t="s">
        <v>60</v>
      </c>
      <c r="F830" t="s">
        <v>61</v>
      </c>
      <c r="G830">
        <v>30000</v>
      </c>
      <c r="H830">
        <v>5</v>
      </c>
      <c r="I830">
        <v>5</v>
      </c>
      <c r="J830">
        <v>0</v>
      </c>
      <c r="K830">
        <v>1</v>
      </c>
      <c r="L830">
        <v>20000000</v>
      </c>
      <c r="M830">
        <v>144</v>
      </c>
      <c r="N830">
        <v>144</v>
      </c>
      <c r="O830">
        <v>144</v>
      </c>
      <c r="P830">
        <v>0</v>
      </c>
      <c r="Q830" t="s">
        <v>62</v>
      </c>
      <c r="R830">
        <v>99998534074934</v>
      </c>
      <c r="S830">
        <v>9999564</v>
      </c>
      <c r="T830">
        <v>99998534074934</v>
      </c>
      <c r="U830">
        <v>9999564</v>
      </c>
      <c r="V830" t="s">
        <v>75</v>
      </c>
      <c r="W830">
        <v>9</v>
      </c>
      <c r="X830">
        <v>303646</v>
      </c>
      <c r="Y830">
        <v>1963674</v>
      </c>
      <c r="Z830">
        <v>2267320</v>
      </c>
      <c r="AA830">
        <v>9999564</v>
      </c>
      <c r="AB830">
        <v>7.4669800000000004</v>
      </c>
      <c r="AC830">
        <v>5.0922700000000001</v>
      </c>
      <c r="AD830">
        <v>5.4103000000000003</v>
      </c>
      <c r="AE830">
        <v>8</v>
      </c>
      <c r="AF830">
        <v>471602560</v>
      </c>
      <c r="AJ830">
        <v>46384</v>
      </c>
      <c r="AM830">
        <v>4127837580</v>
      </c>
      <c r="AN830">
        <v>0</v>
      </c>
      <c r="AO830">
        <v>458611477</v>
      </c>
      <c r="AP830">
        <v>4127837580</v>
      </c>
      <c r="AQ830">
        <v>4586449057</v>
      </c>
      <c r="AR830">
        <v>137594586</v>
      </c>
      <c r="AS830">
        <v>0</v>
      </c>
      <c r="AT830">
        <v>15287049</v>
      </c>
      <c r="AU830">
        <v>137594586</v>
      </c>
      <c r="AV830">
        <v>152881635</v>
      </c>
      <c r="AW830">
        <v>18.604600000000001</v>
      </c>
      <c r="AX830">
        <v>6.40212</v>
      </c>
      <c r="AY830">
        <v>2610.79</v>
      </c>
      <c r="AZ830">
        <v>1661.3</v>
      </c>
      <c r="BA830">
        <v>1746</v>
      </c>
      <c r="BB830">
        <v>837</v>
      </c>
      <c r="BC830" t="str">
        <f t="shared" si="24"/>
        <v>u=10%, k=2x10^7</v>
      </c>
      <c r="BD830">
        <f t="shared" si="25"/>
        <v>0</v>
      </c>
    </row>
    <row r="831" spans="1:56">
      <c r="A831" t="s">
        <v>1102</v>
      </c>
      <c r="B831" t="s">
        <v>66</v>
      </c>
      <c r="C831">
        <v>208</v>
      </c>
      <c r="D831" t="s">
        <v>65</v>
      </c>
      <c r="E831" t="s">
        <v>60</v>
      </c>
      <c r="F831" t="s">
        <v>61</v>
      </c>
      <c r="G831">
        <v>30000</v>
      </c>
      <c r="H831">
        <v>5</v>
      </c>
      <c r="I831">
        <v>5</v>
      </c>
      <c r="J831">
        <v>0</v>
      </c>
      <c r="K831">
        <v>1</v>
      </c>
      <c r="L831">
        <v>20000000</v>
      </c>
      <c r="M831">
        <v>190</v>
      </c>
      <c r="N831">
        <v>190</v>
      </c>
      <c r="O831">
        <v>190</v>
      </c>
      <c r="P831">
        <v>0</v>
      </c>
      <c r="Q831" t="s">
        <v>62</v>
      </c>
      <c r="R831">
        <v>99995457054792</v>
      </c>
      <c r="S831">
        <v>9999377</v>
      </c>
      <c r="T831">
        <v>99995457054792</v>
      </c>
      <c r="U831">
        <v>9999377</v>
      </c>
      <c r="V831" t="s">
        <v>75</v>
      </c>
      <c r="W831">
        <v>9</v>
      </c>
      <c r="X831">
        <v>309797</v>
      </c>
      <c r="Y831">
        <v>1966219</v>
      </c>
      <c r="Z831">
        <v>2276016</v>
      </c>
      <c r="AA831">
        <v>9999377</v>
      </c>
      <c r="AB831">
        <v>7.3468</v>
      </c>
      <c r="AC831">
        <v>5.0855899999999998</v>
      </c>
      <c r="AD831">
        <v>5.39337</v>
      </c>
      <c r="AE831">
        <v>8</v>
      </c>
      <c r="AF831">
        <v>473411328</v>
      </c>
      <c r="AJ831" t="s">
        <v>1103</v>
      </c>
      <c r="AM831">
        <v>5371192857</v>
      </c>
      <c r="AN831">
        <v>0</v>
      </c>
      <c r="AO831">
        <v>596746024</v>
      </c>
      <c r="AP831">
        <v>5371192857</v>
      </c>
      <c r="AQ831">
        <v>5967938881</v>
      </c>
      <c r="AR831">
        <v>179039761</v>
      </c>
      <c r="AS831">
        <v>0</v>
      </c>
      <c r="AT831">
        <v>19891534</v>
      </c>
      <c r="AU831">
        <v>179039761</v>
      </c>
      <c r="AV831">
        <v>198931296</v>
      </c>
      <c r="AW831">
        <v>18.8416</v>
      </c>
      <c r="AX831">
        <v>6.5784000000000002</v>
      </c>
      <c r="AY831">
        <v>2648.32</v>
      </c>
      <c r="AZ831">
        <v>1683.49</v>
      </c>
      <c r="BA831">
        <v>1858</v>
      </c>
      <c r="BB831">
        <v>907</v>
      </c>
      <c r="BC831" t="str">
        <f t="shared" si="24"/>
        <v>u=10%, k=2x10^7</v>
      </c>
      <c r="BD831">
        <f t="shared" si="25"/>
        <v>0</v>
      </c>
    </row>
    <row r="832" spans="1:56">
      <c r="A832" t="s">
        <v>1104</v>
      </c>
      <c r="B832" t="s">
        <v>67</v>
      </c>
      <c r="D832" t="s">
        <v>65</v>
      </c>
      <c r="E832" t="s">
        <v>60</v>
      </c>
      <c r="F832" t="s">
        <v>61</v>
      </c>
      <c r="G832">
        <v>30000</v>
      </c>
      <c r="H832">
        <v>5</v>
      </c>
      <c r="I832">
        <v>5</v>
      </c>
      <c r="J832">
        <v>0</v>
      </c>
      <c r="K832">
        <v>1</v>
      </c>
      <c r="L832">
        <v>20000000</v>
      </c>
      <c r="M832">
        <v>24</v>
      </c>
      <c r="N832">
        <v>24</v>
      </c>
      <c r="O832">
        <v>24</v>
      </c>
      <c r="P832">
        <v>0</v>
      </c>
      <c r="Q832" t="s">
        <v>62</v>
      </c>
      <c r="R832">
        <v>100030610846892</v>
      </c>
      <c r="S832">
        <v>10002737</v>
      </c>
      <c r="T832">
        <v>100030610846892</v>
      </c>
      <c r="U832">
        <v>10002737</v>
      </c>
      <c r="V832" t="s">
        <v>75</v>
      </c>
      <c r="W832">
        <v>29</v>
      </c>
      <c r="X832">
        <v>6709586</v>
      </c>
      <c r="Y832">
        <v>5081804</v>
      </c>
      <c r="Z832">
        <v>11791390</v>
      </c>
      <c r="AA832">
        <v>10002737</v>
      </c>
      <c r="AB832">
        <v>1.75739</v>
      </c>
      <c r="AC832">
        <v>1.96834</v>
      </c>
      <c r="AD832">
        <v>1.8483099999999999</v>
      </c>
      <c r="AE832">
        <v>23.180700000000002</v>
      </c>
      <c r="AF832">
        <v>660317840</v>
      </c>
      <c r="AJ832" t="s">
        <v>1105</v>
      </c>
      <c r="AM832">
        <v>360434454</v>
      </c>
      <c r="AN832">
        <v>0</v>
      </c>
      <c r="AO832">
        <v>40044729</v>
      </c>
      <c r="AP832">
        <v>360434454</v>
      </c>
      <c r="AQ832">
        <v>400479183</v>
      </c>
      <c r="AR832">
        <v>12014481</v>
      </c>
      <c r="AS832">
        <v>0</v>
      </c>
      <c r="AT832">
        <v>1334824</v>
      </c>
      <c r="AU832">
        <v>12014481</v>
      </c>
      <c r="AV832">
        <v>13349306</v>
      </c>
      <c r="AW832">
        <v>28.381</v>
      </c>
      <c r="AX832">
        <v>9.6693499999999997</v>
      </c>
      <c r="AY832">
        <v>5014.3900000000003</v>
      </c>
      <c r="AZ832">
        <v>3710.19</v>
      </c>
      <c r="BA832">
        <v>1831</v>
      </c>
      <c r="BB832">
        <v>1460</v>
      </c>
      <c r="BC832" t="str">
        <f t="shared" si="24"/>
        <v>u=10%, k=2x10^7</v>
      </c>
      <c r="BD832">
        <f t="shared" si="25"/>
        <v>0</v>
      </c>
    </row>
    <row r="833" spans="1:56">
      <c r="A833" t="s">
        <v>1106</v>
      </c>
      <c r="B833" t="s">
        <v>67</v>
      </c>
      <c r="D833" t="s">
        <v>65</v>
      </c>
      <c r="E833" t="s">
        <v>60</v>
      </c>
      <c r="F833" t="s">
        <v>61</v>
      </c>
      <c r="G833">
        <v>30000</v>
      </c>
      <c r="H833">
        <v>5</v>
      </c>
      <c r="I833">
        <v>5</v>
      </c>
      <c r="J833">
        <v>0</v>
      </c>
      <c r="K833">
        <v>1</v>
      </c>
      <c r="L833">
        <v>20000000</v>
      </c>
      <c r="M833">
        <v>48</v>
      </c>
      <c r="N833">
        <v>48</v>
      </c>
      <c r="O833">
        <v>48</v>
      </c>
      <c r="P833">
        <v>0</v>
      </c>
      <c r="Q833" t="s">
        <v>62</v>
      </c>
      <c r="R833">
        <v>99985798907373</v>
      </c>
      <c r="S833">
        <v>9999485</v>
      </c>
      <c r="T833">
        <v>99985798907373</v>
      </c>
      <c r="U833">
        <v>9999485</v>
      </c>
      <c r="V833" t="s">
        <v>75</v>
      </c>
      <c r="W833">
        <v>29</v>
      </c>
      <c r="X833">
        <v>6821608</v>
      </c>
      <c r="Y833">
        <v>5176941</v>
      </c>
      <c r="Z833">
        <v>11998549</v>
      </c>
      <c r="AA833">
        <v>9999485</v>
      </c>
      <c r="AB833">
        <v>1.7588999999999999</v>
      </c>
      <c r="AC833">
        <v>1.93154</v>
      </c>
      <c r="AD833">
        <v>1.8333900000000001</v>
      </c>
      <c r="AE833">
        <v>23.249400000000001</v>
      </c>
      <c r="AF833">
        <v>671918744</v>
      </c>
      <c r="AJ833" t="s">
        <v>1107</v>
      </c>
      <c r="AM833">
        <v>676738848</v>
      </c>
      <c r="AN833">
        <v>0</v>
      </c>
      <c r="AO833">
        <v>75194789</v>
      </c>
      <c r="AP833">
        <v>676738848</v>
      </c>
      <c r="AQ833">
        <v>751933637</v>
      </c>
      <c r="AR833">
        <v>22557961</v>
      </c>
      <c r="AS833">
        <v>0</v>
      </c>
      <c r="AT833">
        <v>2506492</v>
      </c>
      <c r="AU833">
        <v>22557961</v>
      </c>
      <c r="AV833">
        <v>25064454</v>
      </c>
      <c r="AW833">
        <v>29.222899999999999</v>
      </c>
      <c r="AX833">
        <v>9.7875800000000002</v>
      </c>
      <c r="AY833">
        <v>5340.59</v>
      </c>
      <c r="AZ833">
        <v>4020.91</v>
      </c>
      <c r="BA833">
        <v>1852</v>
      </c>
      <c r="BB833">
        <v>1068</v>
      </c>
      <c r="BC833" t="str">
        <f t="shared" si="24"/>
        <v>u=10%, k=2x10^7</v>
      </c>
      <c r="BD833">
        <f t="shared" si="25"/>
        <v>0</v>
      </c>
    </row>
    <row r="834" spans="1:56">
      <c r="A834" t="s">
        <v>1108</v>
      </c>
      <c r="B834" t="s">
        <v>67</v>
      </c>
      <c r="D834" t="s">
        <v>65</v>
      </c>
      <c r="E834" t="s">
        <v>60</v>
      </c>
      <c r="F834" t="s">
        <v>61</v>
      </c>
      <c r="G834">
        <v>30000</v>
      </c>
      <c r="H834">
        <v>5</v>
      </c>
      <c r="I834">
        <v>5</v>
      </c>
      <c r="J834">
        <v>0</v>
      </c>
      <c r="K834">
        <v>1</v>
      </c>
      <c r="L834">
        <v>20000000</v>
      </c>
      <c r="M834">
        <v>96</v>
      </c>
      <c r="N834">
        <v>96</v>
      </c>
      <c r="O834">
        <v>96</v>
      </c>
      <c r="P834">
        <v>0</v>
      </c>
      <c r="Q834" t="s">
        <v>62</v>
      </c>
      <c r="R834">
        <v>100009666519829</v>
      </c>
      <c r="S834">
        <v>10000534</v>
      </c>
      <c r="T834">
        <v>100009666519829</v>
      </c>
      <c r="U834">
        <v>10000534</v>
      </c>
      <c r="V834" t="s">
        <v>75</v>
      </c>
      <c r="W834">
        <v>29</v>
      </c>
      <c r="X834">
        <v>6857895</v>
      </c>
      <c r="Y834">
        <v>5203669</v>
      </c>
      <c r="Z834">
        <v>12061564</v>
      </c>
      <c r="AA834">
        <v>10000534</v>
      </c>
      <c r="AB834">
        <v>1.7587900000000001</v>
      </c>
      <c r="AC834">
        <v>1.9218200000000001</v>
      </c>
      <c r="AD834">
        <v>1.8291200000000001</v>
      </c>
      <c r="AE834">
        <v>23.229399999999998</v>
      </c>
      <c r="AF834">
        <v>675447584</v>
      </c>
      <c r="AJ834" t="s">
        <v>1109</v>
      </c>
      <c r="AM834">
        <v>1426646464</v>
      </c>
      <c r="AN834">
        <v>0</v>
      </c>
      <c r="AO834">
        <v>158521904</v>
      </c>
      <c r="AP834">
        <v>1426646464</v>
      </c>
      <c r="AQ834">
        <v>1585168368</v>
      </c>
      <c r="AR834">
        <v>47554882</v>
      </c>
      <c r="AS834">
        <v>0</v>
      </c>
      <c r="AT834">
        <v>5284063</v>
      </c>
      <c r="AU834">
        <v>47554882</v>
      </c>
      <c r="AV834">
        <v>52838945</v>
      </c>
      <c r="AW834">
        <v>29.849299999999999</v>
      </c>
      <c r="AX834">
        <v>10.6349</v>
      </c>
      <c r="AY834">
        <v>5060.88</v>
      </c>
      <c r="AZ834">
        <v>3631.29</v>
      </c>
      <c r="BA834">
        <v>1882</v>
      </c>
      <c r="BB834">
        <v>788</v>
      </c>
      <c r="BC834" t="str">
        <f t="shared" ref="BC834:BC897" si="26">"u="&amp;(H834+I834)&amp;"%, k=2x10^"&amp;LOG10(L834/2)</f>
        <v>u=10%, k=2x10^7</v>
      </c>
      <c r="BD834">
        <f t="shared" ref="BD834:BD897" si="27">IF(AH834="",0,LEFT(AH834,IF(ISNUMBER(FIND(" ",AH834)),FIND(" ",AH834)-1,LEN(AH834))))</f>
        <v>0</v>
      </c>
    </row>
    <row r="835" spans="1:56">
      <c r="A835" t="s">
        <v>1110</v>
      </c>
      <c r="B835" t="s">
        <v>67</v>
      </c>
      <c r="D835" t="s">
        <v>65</v>
      </c>
      <c r="E835" t="s">
        <v>60</v>
      </c>
      <c r="F835" t="s">
        <v>61</v>
      </c>
      <c r="G835">
        <v>30000</v>
      </c>
      <c r="H835">
        <v>5</v>
      </c>
      <c r="I835">
        <v>5</v>
      </c>
      <c r="J835">
        <v>0</v>
      </c>
      <c r="K835">
        <v>1</v>
      </c>
      <c r="L835">
        <v>20000000</v>
      </c>
      <c r="M835">
        <v>144</v>
      </c>
      <c r="N835">
        <v>144</v>
      </c>
      <c r="O835">
        <v>144</v>
      </c>
      <c r="P835">
        <v>0</v>
      </c>
      <c r="Q835" t="s">
        <v>62</v>
      </c>
      <c r="R835">
        <v>99992755560130</v>
      </c>
      <c r="S835">
        <v>10000824</v>
      </c>
      <c r="T835">
        <v>99992755560130</v>
      </c>
      <c r="U835">
        <v>10000824</v>
      </c>
      <c r="V835" t="s">
        <v>75</v>
      </c>
      <c r="W835">
        <v>29</v>
      </c>
      <c r="X835">
        <v>6859040</v>
      </c>
      <c r="Y835">
        <v>5203480</v>
      </c>
      <c r="Z835">
        <v>12062520</v>
      </c>
      <c r="AA835">
        <v>10000824</v>
      </c>
      <c r="AB835">
        <v>1.7586299999999999</v>
      </c>
      <c r="AC835">
        <v>1.92195</v>
      </c>
      <c r="AD835">
        <v>1.82908</v>
      </c>
      <c r="AE835">
        <v>23.260100000000001</v>
      </c>
      <c r="AF835">
        <v>675501120</v>
      </c>
      <c r="AJ835" t="s">
        <v>1111</v>
      </c>
      <c r="AM835">
        <v>2163773658</v>
      </c>
      <c r="AN835">
        <v>0</v>
      </c>
      <c r="AO835">
        <v>240428901</v>
      </c>
      <c r="AP835">
        <v>2163773658</v>
      </c>
      <c r="AQ835">
        <v>2404202559</v>
      </c>
      <c r="AR835">
        <v>72125788</v>
      </c>
      <c r="AS835">
        <v>0</v>
      </c>
      <c r="AT835">
        <v>8014296</v>
      </c>
      <c r="AU835">
        <v>72125788</v>
      </c>
      <c r="AV835">
        <v>80140085</v>
      </c>
      <c r="AW835">
        <v>29.891200000000001</v>
      </c>
      <c r="AX835">
        <v>10.903499999999999</v>
      </c>
      <c r="AY835">
        <v>4999.1099999999997</v>
      </c>
      <c r="AZ835">
        <v>3604.51</v>
      </c>
      <c r="BA835">
        <v>1907</v>
      </c>
      <c r="BB835">
        <v>484</v>
      </c>
      <c r="BC835" t="str">
        <f t="shared" si="26"/>
        <v>u=10%, k=2x10^7</v>
      </c>
      <c r="BD835">
        <f t="shared" si="27"/>
        <v>0</v>
      </c>
    </row>
    <row r="836" spans="1:56">
      <c r="A836" t="s">
        <v>1112</v>
      </c>
      <c r="B836" t="s">
        <v>67</v>
      </c>
      <c r="D836" t="s">
        <v>65</v>
      </c>
      <c r="E836" t="s">
        <v>60</v>
      </c>
      <c r="F836" t="s">
        <v>61</v>
      </c>
      <c r="G836">
        <v>30000</v>
      </c>
      <c r="H836">
        <v>5</v>
      </c>
      <c r="I836">
        <v>5</v>
      </c>
      <c r="J836">
        <v>0</v>
      </c>
      <c r="K836">
        <v>1</v>
      </c>
      <c r="L836">
        <v>20000000</v>
      </c>
      <c r="M836">
        <v>190</v>
      </c>
      <c r="N836">
        <v>190</v>
      </c>
      <c r="O836">
        <v>190</v>
      </c>
      <c r="P836">
        <v>0</v>
      </c>
      <c r="Q836" t="s">
        <v>62</v>
      </c>
      <c r="R836">
        <v>100042110080189</v>
      </c>
      <c r="S836">
        <v>10002046</v>
      </c>
      <c r="T836">
        <v>100042110080189</v>
      </c>
      <c r="U836">
        <v>10002046</v>
      </c>
      <c r="V836" t="s">
        <v>75</v>
      </c>
      <c r="W836">
        <v>29</v>
      </c>
      <c r="X836">
        <v>6860046</v>
      </c>
      <c r="Y836">
        <v>5202179</v>
      </c>
      <c r="Z836">
        <v>12062225</v>
      </c>
      <c r="AA836">
        <v>10002046</v>
      </c>
      <c r="AB836">
        <v>1.7583299999999999</v>
      </c>
      <c r="AC836">
        <v>1.92266</v>
      </c>
      <c r="AD836">
        <v>1.8291999999999999</v>
      </c>
      <c r="AE836">
        <v>23.2453</v>
      </c>
      <c r="AF836">
        <v>675484600</v>
      </c>
      <c r="AJ836" t="s">
        <v>1113</v>
      </c>
      <c r="AM836">
        <v>2858218172</v>
      </c>
      <c r="AN836">
        <v>0</v>
      </c>
      <c r="AO836">
        <v>317555755</v>
      </c>
      <c r="AP836">
        <v>2858218172</v>
      </c>
      <c r="AQ836">
        <v>3175773927</v>
      </c>
      <c r="AR836">
        <v>95273939</v>
      </c>
      <c r="AS836">
        <v>0</v>
      </c>
      <c r="AT836">
        <v>10585191</v>
      </c>
      <c r="AU836">
        <v>95273939</v>
      </c>
      <c r="AV836">
        <v>105859130</v>
      </c>
      <c r="AW836">
        <v>29.930299999999999</v>
      </c>
      <c r="AX836">
        <v>11.071099999999999</v>
      </c>
      <c r="AY836">
        <v>4985.68</v>
      </c>
      <c r="AZ836">
        <v>3581.28</v>
      </c>
      <c r="BA836">
        <v>1932</v>
      </c>
      <c r="BB836">
        <v>465</v>
      </c>
      <c r="BC836" t="str">
        <f t="shared" si="26"/>
        <v>u=10%, k=2x10^7</v>
      </c>
      <c r="BD836">
        <f t="shared" si="27"/>
        <v>0</v>
      </c>
    </row>
    <row r="837" spans="1:56">
      <c r="A837" t="s">
        <v>1114</v>
      </c>
      <c r="B837" t="s">
        <v>68</v>
      </c>
      <c r="D837" t="s">
        <v>65</v>
      </c>
      <c r="E837" t="s">
        <v>60</v>
      </c>
      <c r="F837" t="s">
        <v>61</v>
      </c>
      <c r="G837">
        <v>30000</v>
      </c>
      <c r="H837">
        <v>5</v>
      </c>
      <c r="I837">
        <v>5</v>
      </c>
      <c r="J837">
        <v>0</v>
      </c>
      <c r="K837">
        <v>1</v>
      </c>
      <c r="L837">
        <v>20000000</v>
      </c>
      <c r="M837">
        <v>24</v>
      </c>
      <c r="N837">
        <v>24</v>
      </c>
      <c r="O837">
        <v>24</v>
      </c>
      <c r="P837">
        <v>0</v>
      </c>
      <c r="Q837" t="s">
        <v>62</v>
      </c>
      <c r="R837">
        <v>100010864827584</v>
      </c>
      <c r="S837">
        <v>10001456</v>
      </c>
      <c r="T837">
        <v>100010864827584</v>
      </c>
      <c r="U837">
        <v>10001456</v>
      </c>
      <c r="V837" t="s">
        <v>75</v>
      </c>
      <c r="W837">
        <v>61</v>
      </c>
      <c r="X837">
        <v>10001455</v>
      </c>
      <c r="Y837">
        <v>10001456</v>
      </c>
      <c r="Z837">
        <v>20002911</v>
      </c>
      <c r="AA837">
        <v>10001456</v>
      </c>
      <c r="AB837">
        <v>2</v>
      </c>
      <c r="AC837">
        <v>1</v>
      </c>
      <c r="AD837">
        <v>1.5</v>
      </c>
      <c r="AE837">
        <v>31.651499999999999</v>
      </c>
      <c r="AF837">
        <v>640093152</v>
      </c>
      <c r="AJ837" t="s">
        <v>1115</v>
      </c>
      <c r="AM837">
        <v>293087364</v>
      </c>
      <c r="AN837">
        <v>0</v>
      </c>
      <c r="AO837">
        <v>32567646</v>
      </c>
      <c r="AP837">
        <v>293087364</v>
      </c>
      <c r="AQ837">
        <v>325655010</v>
      </c>
      <c r="AR837">
        <v>9769578</v>
      </c>
      <c r="AS837">
        <v>0</v>
      </c>
      <c r="AT837">
        <v>1085588</v>
      </c>
      <c r="AU837">
        <v>9769578</v>
      </c>
      <c r="AV837">
        <v>10855167</v>
      </c>
      <c r="AW837">
        <v>25.026</v>
      </c>
      <c r="AX837">
        <v>9.1519399999999997</v>
      </c>
      <c r="AY837">
        <v>6167.73</v>
      </c>
      <c r="AZ837">
        <v>4755.26</v>
      </c>
      <c r="BA837">
        <v>1723</v>
      </c>
      <c r="BB837">
        <v>1507</v>
      </c>
      <c r="BC837" t="str">
        <f t="shared" si="26"/>
        <v>u=10%, k=2x10^7</v>
      </c>
      <c r="BD837">
        <f t="shared" si="27"/>
        <v>0</v>
      </c>
    </row>
    <row r="838" spans="1:56">
      <c r="A838" t="s">
        <v>1116</v>
      </c>
      <c r="B838" t="s">
        <v>68</v>
      </c>
      <c r="D838" t="s">
        <v>65</v>
      </c>
      <c r="E838" t="s">
        <v>60</v>
      </c>
      <c r="F838" t="s">
        <v>61</v>
      </c>
      <c r="G838">
        <v>30000</v>
      </c>
      <c r="H838">
        <v>5</v>
      </c>
      <c r="I838">
        <v>5</v>
      </c>
      <c r="J838">
        <v>0</v>
      </c>
      <c r="K838">
        <v>1</v>
      </c>
      <c r="L838">
        <v>20000000</v>
      </c>
      <c r="M838">
        <v>48</v>
      </c>
      <c r="N838">
        <v>48</v>
      </c>
      <c r="O838">
        <v>48</v>
      </c>
      <c r="P838">
        <v>0</v>
      </c>
      <c r="Q838" t="s">
        <v>62</v>
      </c>
      <c r="R838">
        <v>99930594843419</v>
      </c>
      <c r="S838">
        <v>9998523</v>
      </c>
      <c r="T838">
        <v>99930594843419</v>
      </c>
      <c r="U838">
        <v>9998523</v>
      </c>
      <c r="V838" t="s">
        <v>75</v>
      </c>
      <c r="W838">
        <v>59</v>
      </c>
      <c r="X838">
        <v>9998522</v>
      </c>
      <c r="Y838">
        <v>9998523</v>
      </c>
      <c r="Z838">
        <v>19997045</v>
      </c>
      <c r="AA838">
        <v>9998523</v>
      </c>
      <c r="AB838">
        <v>2</v>
      </c>
      <c r="AC838">
        <v>1</v>
      </c>
      <c r="AD838">
        <v>1.5</v>
      </c>
      <c r="AE838">
        <v>31.4833</v>
      </c>
      <c r="AF838">
        <v>639905440</v>
      </c>
      <c r="AJ838" t="s">
        <v>1117</v>
      </c>
      <c r="AM838">
        <v>561584284</v>
      </c>
      <c r="AN838">
        <v>0</v>
      </c>
      <c r="AO838">
        <v>62383542</v>
      </c>
      <c r="AP838">
        <v>561584284</v>
      </c>
      <c r="AQ838">
        <v>623967826</v>
      </c>
      <c r="AR838">
        <v>18719476</v>
      </c>
      <c r="AS838">
        <v>0</v>
      </c>
      <c r="AT838">
        <v>2079451</v>
      </c>
      <c r="AU838">
        <v>18719476</v>
      </c>
      <c r="AV838">
        <v>20798927</v>
      </c>
      <c r="AW838">
        <v>25.0641</v>
      </c>
      <c r="AX838">
        <v>9.1329499999999992</v>
      </c>
      <c r="AY838">
        <v>6437.21</v>
      </c>
      <c r="AZ838">
        <v>5409.47</v>
      </c>
      <c r="BA838">
        <v>1736</v>
      </c>
      <c r="BB838">
        <v>1074</v>
      </c>
      <c r="BC838" t="str">
        <f t="shared" si="26"/>
        <v>u=10%, k=2x10^7</v>
      </c>
      <c r="BD838">
        <f t="shared" si="27"/>
        <v>0</v>
      </c>
    </row>
    <row r="839" spans="1:56">
      <c r="A839" t="s">
        <v>1118</v>
      </c>
      <c r="B839" t="s">
        <v>68</v>
      </c>
      <c r="D839" t="s">
        <v>65</v>
      </c>
      <c r="E839" t="s">
        <v>60</v>
      </c>
      <c r="F839" t="s">
        <v>61</v>
      </c>
      <c r="G839">
        <v>30000</v>
      </c>
      <c r="H839">
        <v>5</v>
      </c>
      <c r="I839">
        <v>5</v>
      </c>
      <c r="J839">
        <v>0</v>
      </c>
      <c r="K839">
        <v>1</v>
      </c>
      <c r="L839">
        <v>20000000</v>
      </c>
      <c r="M839">
        <v>96</v>
      </c>
      <c r="N839">
        <v>96</v>
      </c>
      <c r="O839">
        <v>96</v>
      </c>
      <c r="P839">
        <v>0</v>
      </c>
      <c r="Q839" t="s">
        <v>62</v>
      </c>
      <c r="R839">
        <v>99990395676364</v>
      </c>
      <c r="S839">
        <v>10001449</v>
      </c>
      <c r="T839">
        <v>99990395676364</v>
      </c>
      <c r="U839">
        <v>10001449</v>
      </c>
      <c r="V839" t="s">
        <v>75</v>
      </c>
      <c r="W839">
        <v>67</v>
      </c>
      <c r="X839">
        <v>10001448</v>
      </c>
      <c r="Y839">
        <v>10001449</v>
      </c>
      <c r="Z839">
        <v>20002897</v>
      </c>
      <c r="AA839">
        <v>10001449</v>
      </c>
      <c r="AB839">
        <v>2</v>
      </c>
      <c r="AC839">
        <v>1</v>
      </c>
      <c r="AD839">
        <v>1.5</v>
      </c>
      <c r="AE839">
        <v>32.451900000000002</v>
      </c>
      <c r="AF839">
        <v>640092704</v>
      </c>
      <c r="AJ839" t="s">
        <v>1119</v>
      </c>
      <c r="AM839">
        <v>1246251611</v>
      </c>
      <c r="AN839">
        <v>0</v>
      </c>
      <c r="AO839">
        <v>138502732</v>
      </c>
      <c r="AP839">
        <v>1246251611</v>
      </c>
      <c r="AQ839">
        <v>1384754343</v>
      </c>
      <c r="AR839">
        <v>41541720</v>
      </c>
      <c r="AS839">
        <v>0</v>
      </c>
      <c r="AT839">
        <v>4616757</v>
      </c>
      <c r="AU839">
        <v>41541720</v>
      </c>
      <c r="AV839">
        <v>46158478</v>
      </c>
      <c r="AW839">
        <v>25.813600000000001</v>
      </c>
      <c r="AX839">
        <v>10.110099999999999</v>
      </c>
      <c r="AY839">
        <v>5795.01</v>
      </c>
      <c r="AZ839">
        <v>4753.3999999999996</v>
      </c>
      <c r="BA839">
        <v>1775</v>
      </c>
      <c r="BB839">
        <v>731</v>
      </c>
      <c r="BC839" t="str">
        <f t="shared" si="26"/>
        <v>u=10%, k=2x10^7</v>
      </c>
      <c r="BD839">
        <f t="shared" si="27"/>
        <v>0</v>
      </c>
    </row>
    <row r="840" spans="1:56">
      <c r="A840" t="s">
        <v>1120</v>
      </c>
      <c r="B840" t="s">
        <v>68</v>
      </c>
      <c r="D840" t="s">
        <v>65</v>
      </c>
      <c r="E840" t="s">
        <v>60</v>
      </c>
      <c r="F840" t="s">
        <v>61</v>
      </c>
      <c r="G840">
        <v>30000</v>
      </c>
      <c r="H840">
        <v>5</v>
      </c>
      <c r="I840">
        <v>5</v>
      </c>
      <c r="J840">
        <v>0</v>
      </c>
      <c r="K840">
        <v>1</v>
      </c>
      <c r="L840">
        <v>20000000</v>
      </c>
      <c r="M840">
        <v>144</v>
      </c>
      <c r="N840">
        <v>144</v>
      </c>
      <c r="O840">
        <v>144</v>
      </c>
      <c r="P840">
        <v>0</v>
      </c>
      <c r="Q840" t="s">
        <v>62</v>
      </c>
      <c r="R840">
        <v>99995782668855</v>
      </c>
      <c r="S840">
        <v>9999480</v>
      </c>
      <c r="T840">
        <v>99995782668855</v>
      </c>
      <c r="U840">
        <v>9999480</v>
      </c>
      <c r="V840" t="s">
        <v>75</v>
      </c>
      <c r="W840">
        <v>56</v>
      </c>
      <c r="X840">
        <v>9999479</v>
      </c>
      <c r="Y840">
        <v>9999480</v>
      </c>
      <c r="Z840">
        <v>19998959</v>
      </c>
      <c r="AA840">
        <v>9999480</v>
      </c>
      <c r="AB840">
        <v>2</v>
      </c>
      <c r="AC840">
        <v>1</v>
      </c>
      <c r="AD840">
        <v>1.5</v>
      </c>
      <c r="AE840">
        <v>30.5747</v>
      </c>
      <c r="AF840">
        <v>639966688</v>
      </c>
      <c r="AJ840" t="s">
        <v>1121</v>
      </c>
      <c r="AM840">
        <v>1902859986</v>
      </c>
      <c r="AN840">
        <v>0</v>
      </c>
      <c r="AO840">
        <v>211420153</v>
      </c>
      <c r="AP840">
        <v>1902859986</v>
      </c>
      <c r="AQ840">
        <v>2114280139</v>
      </c>
      <c r="AR840">
        <v>63428666</v>
      </c>
      <c r="AS840">
        <v>0</v>
      </c>
      <c r="AT840">
        <v>7047338</v>
      </c>
      <c r="AU840">
        <v>63428666</v>
      </c>
      <c r="AV840">
        <v>70476004</v>
      </c>
      <c r="AW840">
        <v>25.865600000000001</v>
      </c>
      <c r="AX840">
        <v>10.3002</v>
      </c>
      <c r="AY840">
        <v>5690.15</v>
      </c>
      <c r="AZ840">
        <v>4647.93</v>
      </c>
      <c r="BA840">
        <v>1815</v>
      </c>
      <c r="BB840">
        <v>460</v>
      </c>
      <c r="BC840" t="str">
        <f t="shared" si="26"/>
        <v>u=10%, k=2x10^7</v>
      </c>
      <c r="BD840">
        <f t="shared" si="27"/>
        <v>0</v>
      </c>
    </row>
    <row r="841" spans="1:56">
      <c r="A841" t="s">
        <v>1122</v>
      </c>
      <c r="B841" t="s">
        <v>68</v>
      </c>
      <c r="D841" t="s">
        <v>65</v>
      </c>
      <c r="E841" t="s">
        <v>60</v>
      </c>
      <c r="F841" t="s">
        <v>61</v>
      </c>
      <c r="G841">
        <v>30000</v>
      </c>
      <c r="H841">
        <v>5</v>
      </c>
      <c r="I841">
        <v>5</v>
      </c>
      <c r="J841">
        <v>0</v>
      </c>
      <c r="K841">
        <v>1</v>
      </c>
      <c r="L841">
        <v>20000000</v>
      </c>
      <c r="M841">
        <v>190</v>
      </c>
      <c r="N841">
        <v>190</v>
      </c>
      <c r="O841">
        <v>190</v>
      </c>
      <c r="P841">
        <v>0</v>
      </c>
      <c r="Q841" t="s">
        <v>62</v>
      </c>
      <c r="R841">
        <v>99974602872829</v>
      </c>
      <c r="S841">
        <v>9999108</v>
      </c>
      <c r="T841">
        <v>99974602872829</v>
      </c>
      <c r="U841">
        <v>9999108</v>
      </c>
      <c r="V841" t="s">
        <v>75</v>
      </c>
      <c r="W841">
        <v>57</v>
      </c>
      <c r="X841">
        <v>9999107</v>
      </c>
      <c r="Y841">
        <v>9999108</v>
      </c>
      <c r="Z841">
        <v>19998215</v>
      </c>
      <c r="AA841">
        <v>9999108</v>
      </c>
      <c r="AB841">
        <v>2</v>
      </c>
      <c r="AC841">
        <v>1</v>
      </c>
      <c r="AD841">
        <v>1.5</v>
      </c>
      <c r="AE841">
        <v>30.4193</v>
      </c>
      <c r="AF841">
        <v>639942880</v>
      </c>
      <c r="AJ841">
        <v>16442</v>
      </c>
      <c r="AM841">
        <v>2531719626</v>
      </c>
      <c r="AN841">
        <v>0</v>
      </c>
      <c r="AO841">
        <v>281286232</v>
      </c>
      <c r="AP841">
        <v>2531719626</v>
      </c>
      <c r="AQ841">
        <v>2813005858</v>
      </c>
      <c r="AR841">
        <v>84390654</v>
      </c>
      <c r="AS841">
        <v>0</v>
      </c>
      <c r="AT841">
        <v>9376207</v>
      </c>
      <c r="AU841">
        <v>84390654</v>
      </c>
      <c r="AV841">
        <v>93766861</v>
      </c>
      <c r="AW841">
        <v>26.093499999999999</v>
      </c>
      <c r="AX841">
        <v>10.4209</v>
      </c>
      <c r="AY841">
        <v>5641.76</v>
      </c>
      <c r="AZ841">
        <v>4594.09</v>
      </c>
      <c r="BA841">
        <v>1869</v>
      </c>
      <c r="BB841">
        <v>450</v>
      </c>
      <c r="BC841" t="str">
        <f t="shared" si="26"/>
        <v>u=10%, k=2x10^7</v>
      </c>
      <c r="BD841">
        <f t="shared" si="27"/>
        <v>0</v>
      </c>
    </row>
    <row r="842" spans="1:56">
      <c r="A842" t="s">
        <v>1123</v>
      </c>
      <c r="B842" t="s">
        <v>64</v>
      </c>
      <c r="C842">
        <v>72</v>
      </c>
      <c r="D842" t="s">
        <v>65</v>
      </c>
      <c r="E842" t="s">
        <v>60</v>
      </c>
      <c r="F842" t="s">
        <v>61</v>
      </c>
      <c r="G842">
        <v>30000</v>
      </c>
      <c r="H842">
        <v>5</v>
      </c>
      <c r="I842">
        <v>5</v>
      </c>
      <c r="J842">
        <v>0</v>
      </c>
      <c r="K842">
        <v>1</v>
      </c>
      <c r="L842">
        <v>200000000</v>
      </c>
      <c r="M842">
        <v>24</v>
      </c>
      <c r="N842">
        <v>24</v>
      </c>
      <c r="O842">
        <v>24</v>
      </c>
      <c r="P842">
        <v>0</v>
      </c>
      <c r="Q842" t="s">
        <v>62</v>
      </c>
      <c r="R842">
        <v>9999732292135480</v>
      </c>
      <c r="S842">
        <v>99999309</v>
      </c>
      <c r="T842">
        <v>9999732292135480</v>
      </c>
      <c r="U842">
        <v>99999309</v>
      </c>
      <c r="V842" t="s">
        <v>75</v>
      </c>
      <c r="W842">
        <v>7</v>
      </c>
      <c r="X842">
        <v>14703358</v>
      </c>
      <c r="Y842">
        <v>117689938</v>
      </c>
      <c r="Z842">
        <v>132393296</v>
      </c>
      <c r="AA842">
        <v>99999309</v>
      </c>
      <c r="AB842">
        <v>9.0042899999999992</v>
      </c>
      <c r="AC842">
        <v>0.84968399999999999</v>
      </c>
      <c r="AD842">
        <v>1.75532</v>
      </c>
      <c r="AE842">
        <v>4.077</v>
      </c>
      <c r="AF842">
        <v>3062835760</v>
      </c>
      <c r="AG842" t="s">
        <v>1124</v>
      </c>
      <c r="AH842" t="s">
        <v>1125</v>
      </c>
      <c r="AI842">
        <v>1087</v>
      </c>
      <c r="AJ842">
        <v>271404</v>
      </c>
      <c r="AM842">
        <v>669693542</v>
      </c>
      <c r="AN842">
        <v>0</v>
      </c>
      <c r="AO842">
        <v>74403213</v>
      </c>
      <c r="AP842">
        <v>669693542</v>
      </c>
      <c r="AQ842">
        <v>744096755</v>
      </c>
      <c r="AR842">
        <v>22323118</v>
      </c>
      <c r="AS842">
        <v>0</v>
      </c>
      <c r="AT842">
        <v>2480107</v>
      </c>
      <c r="AU842">
        <v>22323118</v>
      </c>
      <c r="AV842">
        <v>24803225</v>
      </c>
      <c r="AW842">
        <v>20.683900000000001</v>
      </c>
      <c r="AX842">
        <v>9.2916699999999999</v>
      </c>
      <c r="AY842">
        <v>2672.12</v>
      </c>
      <c r="AZ842">
        <v>1983.51</v>
      </c>
      <c r="BA842">
        <v>9448</v>
      </c>
      <c r="BB842">
        <v>1550</v>
      </c>
      <c r="BC842" t="str">
        <f t="shared" si="26"/>
        <v>u=10%, k=2x10^8</v>
      </c>
      <c r="BD842" t="str">
        <f t="shared" si="27"/>
        <v>1</v>
      </c>
    </row>
    <row r="843" spans="1:56">
      <c r="A843" t="s">
        <v>1126</v>
      </c>
      <c r="B843" t="s">
        <v>64</v>
      </c>
      <c r="C843">
        <v>72</v>
      </c>
      <c r="D843" t="s">
        <v>65</v>
      </c>
      <c r="E843" t="s">
        <v>60</v>
      </c>
      <c r="F843" t="s">
        <v>61</v>
      </c>
      <c r="G843">
        <v>30000</v>
      </c>
      <c r="H843">
        <v>5</v>
      </c>
      <c r="I843">
        <v>5</v>
      </c>
      <c r="J843">
        <v>0</v>
      </c>
      <c r="K843">
        <v>1</v>
      </c>
      <c r="L843">
        <v>200000000</v>
      </c>
      <c r="M843">
        <v>48</v>
      </c>
      <c r="N843">
        <v>48</v>
      </c>
      <c r="O843">
        <v>48</v>
      </c>
      <c r="P843">
        <v>0</v>
      </c>
      <c r="Q843" t="s">
        <v>62</v>
      </c>
      <c r="R843">
        <v>9998413273896510</v>
      </c>
      <c r="S843">
        <v>99993963</v>
      </c>
      <c r="T843">
        <v>9998413273896510</v>
      </c>
      <c r="U843">
        <v>99993963</v>
      </c>
      <c r="V843" t="s">
        <v>75</v>
      </c>
      <c r="W843">
        <v>7</v>
      </c>
      <c r="X843">
        <v>14739676</v>
      </c>
      <c r="Y843">
        <v>117768075</v>
      </c>
      <c r="Z843">
        <v>132507751</v>
      </c>
      <c r="AA843">
        <v>99993963</v>
      </c>
      <c r="AB843">
        <v>8.9898699999999998</v>
      </c>
      <c r="AC843">
        <v>0.84907500000000002</v>
      </c>
      <c r="AD843">
        <v>1.7546299999999999</v>
      </c>
      <c r="AE843">
        <v>4.0777999999999999</v>
      </c>
      <c r="AF843">
        <v>3067115824</v>
      </c>
      <c r="AG843" t="s">
        <v>1127</v>
      </c>
      <c r="AH843" t="s">
        <v>1128</v>
      </c>
      <c r="AI843">
        <v>6432</v>
      </c>
      <c r="AJ843">
        <v>109846</v>
      </c>
      <c r="AM843">
        <v>1125913412</v>
      </c>
      <c r="AN843">
        <v>0</v>
      </c>
      <c r="AO843">
        <v>125115244</v>
      </c>
      <c r="AP843">
        <v>1125913412</v>
      </c>
      <c r="AQ843">
        <v>1251028656</v>
      </c>
      <c r="AR843">
        <v>37530447</v>
      </c>
      <c r="AS843">
        <v>0</v>
      </c>
      <c r="AT843">
        <v>4170508</v>
      </c>
      <c r="AU843">
        <v>37530447</v>
      </c>
      <c r="AV843">
        <v>41700955</v>
      </c>
      <c r="AW843">
        <v>21.3733</v>
      </c>
      <c r="AX843">
        <v>9.7168899999999994</v>
      </c>
      <c r="AY843">
        <v>3161.22</v>
      </c>
      <c r="AZ843">
        <v>2365.31</v>
      </c>
      <c r="BA843">
        <v>13507</v>
      </c>
      <c r="BB843">
        <v>1243</v>
      </c>
      <c r="BC843" t="str">
        <f t="shared" si="26"/>
        <v>u=10%, k=2x10^8</v>
      </c>
      <c r="BD843" t="str">
        <f t="shared" si="27"/>
        <v>2</v>
      </c>
    </row>
    <row r="844" spans="1:56">
      <c r="A844" t="s">
        <v>1129</v>
      </c>
      <c r="B844" t="s">
        <v>64</v>
      </c>
      <c r="C844">
        <v>72</v>
      </c>
      <c r="D844" t="s">
        <v>65</v>
      </c>
      <c r="E844" t="s">
        <v>60</v>
      </c>
      <c r="F844" t="s">
        <v>61</v>
      </c>
      <c r="G844">
        <v>30000</v>
      </c>
      <c r="H844">
        <v>5</v>
      </c>
      <c r="I844">
        <v>5</v>
      </c>
      <c r="J844">
        <v>0</v>
      </c>
      <c r="K844">
        <v>1</v>
      </c>
      <c r="L844">
        <v>200000000</v>
      </c>
      <c r="M844">
        <v>96</v>
      </c>
      <c r="N844">
        <v>96</v>
      </c>
      <c r="O844">
        <v>96</v>
      </c>
      <c r="P844">
        <v>0</v>
      </c>
      <c r="Q844" t="s">
        <v>62</v>
      </c>
      <c r="R844">
        <v>9999153777027350</v>
      </c>
      <c r="S844">
        <v>99992560</v>
      </c>
      <c r="T844">
        <v>9999153777027350</v>
      </c>
      <c r="U844">
        <v>99992560</v>
      </c>
      <c r="V844" t="s">
        <v>75</v>
      </c>
      <c r="W844">
        <v>7</v>
      </c>
      <c r="X844">
        <v>14901512</v>
      </c>
      <c r="Y844">
        <v>118178316</v>
      </c>
      <c r="Z844">
        <v>133079828</v>
      </c>
      <c r="AA844">
        <v>99992560</v>
      </c>
      <c r="AB844">
        <v>8.9306300000000007</v>
      </c>
      <c r="AC844">
        <v>0.84611599999999998</v>
      </c>
      <c r="AD844">
        <v>1.7513700000000001</v>
      </c>
      <c r="AE844">
        <v>4.0807599999999997</v>
      </c>
      <c r="AF844">
        <v>3087320752</v>
      </c>
      <c r="AG844" t="s">
        <v>1130</v>
      </c>
      <c r="AH844" t="s">
        <v>1131</v>
      </c>
      <c r="AI844">
        <v>33475</v>
      </c>
      <c r="AJ844">
        <v>45900</v>
      </c>
      <c r="AM844">
        <v>2123797526</v>
      </c>
      <c r="AN844">
        <v>0</v>
      </c>
      <c r="AO844">
        <v>235955829</v>
      </c>
      <c r="AP844">
        <v>2123797526</v>
      </c>
      <c r="AQ844">
        <v>2359753355</v>
      </c>
      <c r="AR844">
        <v>70793250</v>
      </c>
      <c r="AS844">
        <v>0</v>
      </c>
      <c r="AT844">
        <v>7865194</v>
      </c>
      <c r="AU844">
        <v>70793250</v>
      </c>
      <c r="AV844">
        <v>78658445</v>
      </c>
      <c r="AW844">
        <v>21.854199999999999</v>
      </c>
      <c r="AX844">
        <v>10.6357</v>
      </c>
      <c r="AY844">
        <v>3255.9</v>
      </c>
      <c r="AZ844">
        <v>2411.44</v>
      </c>
      <c r="BA844">
        <v>13205</v>
      </c>
      <c r="BB844">
        <v>1188</v>
      </c>
      <c r="BC844" t="str">
        <f t="shared" si="26"/>
        <v>u=10%, k=2x10^8</v>
      </c>
      <c r="BD844" t="str">
        <f t="shared" si="27"/>
        <v>4</v>
      </c>
    </row>
    <row r="845" spans="1:56">
      <c r="A845" t="s">
        <v>1132</v>
      </c>
      <c r="B845" t="s">
        <v>64</v>
      </c>
      <c r="C845">
        <v>72</v>
      </c>
      <c r="D845" t="s">
        <v>65</v>
      </c>
      <c r="E845" t="s">
        <v>60</v>
      </c>
      <c r="F845" t="s">
        <v>61</v>
      </c>
      <c r="G845">
        <v>30000</v>
      </c>
      <c r="H845">
        <v>5</v>
      </c>
      <c r="I845">
        <v>5</v>
      </c>
      <c r="J845">
        <v>0</v>
      </c>
      <c r="K845">
        <v>1</v>
      </c>
      <c r="L845">
        <v>200000000</v>
      </c>
      <c r="M845">
        <v>144</v>
      </c>
      <c r="N845">
        <v>144</v>
      </c>
      <c r="O845">
        <v>144</v>
      </c>
      <c r="P845">
        <v>0</v>
      </c>
      <c r="Q845" t="s">
        <v>62</v>
      </c>
      <c r="R845">
        <v>9999099897241210</v>
      </c>
      <c r="S845">
        <v>99990365</v>
      </c>
      <c r="T845">
        <v>9999099897241210</v>
      </c>
      <c r="U845">
        <v>99990365</v>
      </c>
      <c r="V845" t="s">
        <v>75</v>
      </c>
      <c r="W845">
        <v>7</v>
      </c>
      <c r="X845">
        <v>14798778</v>
      </c>
      <c r="Y845">
        <v>117951163</v>
      </c>
      <c r="Z845">
        <v>132749941</v>
      </c>
      <c r="AA845">
        <v>99990365</v>
      </c>
      <c r="AB845">
        <v>8.9703300000000006</v>
      </c>
      <c r="AC845">
        <v>0.84772700000000001</v>
      </c>
      <c r="AD845">
        <v>1.75322</v>
      </c>
      <c r="AE845">
        <v>4.0780099999999999</v>
      </c>
      <c r="AF845">
        <v>3075366416</v>
      </c>
      <c r="AG845" t="s">
        <v>1133</v>
      </c>
      <c r="AH845" t="s">
        <v>1134</v>
      </c>
      <c r="AI845">
        <v>76261</v>
      </c>
      <c r="AJ845">
        <v>26960</v>
      </c>
      <c r="AM845">
        <v>3047402606</v>
      </c>
      <c r="AN845">
        <v>0</v>
      </c>
      <c r="AO845">
        <v>338564493</v>
      </c>
      <c r="AP845">
        <v>3047402606</v>
      </c>
      <c r="AQ845">
        <v>3385967099</v>
      </c>
      <c r="AR845">
        <v>101580086</v>
      </c>
      <c r="AS845">
        <v>0</v>
      </c>
      <c r="AT845">
        <v>11285483</v>
      </c>
      <c r="AU845">
        <v>101580086</v>
      </c>
      <c r="AV845">
        <v>112865569</v>
      </c>
      <c r="AW845">
        <v>22.062899999999999</v>
      </c>
      <c r="AX845">
        <v>11.013400000000001</v>
      </c>
      <c r="AY845">
        <v>3343.39</v>
      </c>
      <c r="AZ845">
        <v>2472.44</v>
      </c>
      <c r="BA845">
        <v>14070</v>
      </c>
      <c r="BB845">
        <v>1011</v>
      </c>
      <c r="BC845" t="str">
        <f t="shared" si="26"/>
        <v>u=10%, k=2x10^8</v>
      </c>
      <c r="BD845" t="str">
        <f t="shared" si="27"/>
        <v>6</v>
      </c>
    </row>
    <row r="846" spans="1:56">
      <c r="A846" t="s">
        <v>1135</v>
      </c>
      <c r="B846" t="s">
        <v>64</v>
      </c>
      <c r="C846">
        <v>72</v>
      </c>
      <c r="D846" t="s">
        <v>65</v>
      </c>
      <c r="E846" t="s">
        <v>60</v>
      </c>
      <c r="F846" t="s">
        <v>61</v>
      </c>
      <c r="G846">
        <v>30000</v>
      </c>
      <c r="H846">
        <v>5</v>
      </c>
      <c r="I846">
        <v>5</v>
      </c>
      <c r="J846">
        <v>0</v>
      </c>
      <c r="K846">
        <v>1</v>
      </c>
      <c r="L846">
        <v>200000000</v>
      </c>
      <c r="M846">
        <v>190</v>
      </c>
      <c r="N846">
        <v>190</v>
      </c>
      <c r="O846">
        <v>190</v>
      </c>
      <c r="P846">
        <v>0</v>
      </c>
      <c r="Q846" t="s">
        <v>62</v>
      </c>
      <c r="R846">
        <v>9999595319245490</v>
      </c>
      <c r="S846">
        <v>99995165</v>
      </c>
      <c r="T846">
        <v>9999595319245490</v>
      </c>
      <c r="U846">
        <v>99995165</v>
      </c>
      <c r="V846" t="s">
        <v>75</v>
      </c>
      <c r="W846">
        <v>7</v>
      </c>
      <c r="X846">
        <v>14801579</v>
      </c>
      <c r="Y846">
        <v>117915565</v>
      </c>
      <c r="Z846">
        <v>132717144</v>
      </c>
      <c r="AA846">
        <v>99995165</v>
      </c>
      <c r="AB846">
        <v>8.9664199999999994</v>
      </c>
      <c r="AC846">
        <v>0.84802299999999997</v>
      </c>
      <c r="AD846">
        <v>1.75345</v>
      </c>
      <c r="AE846">
        <v>4.0791399999999998</v>
      </c>
      <c r="AF846">
        <v>3074540096</v>
      </c>
      <c r="AG846" t="s">
        <v>1136</v>
      </c>
      <c r="AH846" t="s">
        <v>1137</v>
      </c>
      <c r="AI846">
        <v>131705</v>
      </c>
      <c r="AJ846">
        <v>18876</v>
      </c>
      <c r="AM846">
        <v>3837818492</v>
      </c>
      <c r="AN846">
        <v>0</v>
      </c>
      <c r="AO846">
        <v>426389039</v>
      </c>
      <c r="AP846">
        <v>3837818492</v>
      </c>
      <c r="AQ846">
        <v>4264207531</v>
      </c>
      <c r="AR846">
        <v>127927283</v>
      </c>
      <c r="AS846">
        <v>0</v>
      </c>
      <c r="AT846">
        <v>14212967</v>
      </c>
      <c r="AU846">
        <v>127927283</v>
      </c>
      <c r="AV846">
        <v>142140251</v>
      </c>
      <c r="AW846">
        <v>22.206700000000001</v>
      </c>
      <c r="AX846">
        <v>11.2858</v>
      </c>
      <c r="AY846">
        <v>3443.01</v>
      </c>
      <c r="AZ846">
        <v>2567.33</v>
      </c>
      <c r="BA846">
        <v>14260</v>
      </c>
      <c r="BB846">
        <v>1186</v>
      </c>
      <c r="BC846" t="str">
        <f t="shared" si="26"/>
        <v>u=10%, k=2x10^8</v>
      </c>
      <c r="BD846" t="str">
        <f t="shared" si="27"/>
        <v>8</v>
      </c>
    </row>
    <row r="847" spans="1:56">
      <c r="A847" t="s">
        <v>1138</v>
      </c>
      <c r="B847" t="s">
        <v>66</v>
      </c>
      <c r="C847">
        <v>208</v>
      </c>
      <c r="D847" t="s">
        <v>65</v>
      </c>
      <c r="E847" t="s">
        <v>60</v>
      </c>
      <c r="F847" t="s">
        <v>61</v>
      </c>
      <c r="G847">
        <v>30000</v>
      </c>
      <c r="H847">
        <v>5</v>
      </c>
      <c r="I847">
        <v>5</v>
      </c>
      <c r="J847">
        <v>0</v>
      </c>
      <c r="K847">
        <v>1</v>
      </c>
      <c r="L847">
        <v>200000000</v>
      </c>
      <c r="M847">
        <v>24</v>
      </c>
      <c r="N847">
        <v>24</v>
      </c>
      <c r="O847">
        <v>24</v>
      </c>
      <c r="P847">
        <v>0</v>
      </c>
      <c r="Q847" t="s">
        <v>62</v>
      </c>
      <c r="R847">
        <v>1.00003536904308E+16</v>
      </c>
      <c r="S847">
        <v>99998906</v>
      </c>
      <c r="T847">
        <v>1.00003536904308E+16</v>
      </c>
      <c r="U847">
        <v>99998906</v>
      </c>
      <c r="V847" t="s">
        <v>75</v>
      </c>
      <c r="W847">
        <v>10</v>
      </c>
      <c r="X847">
        <v>2017122</v>
      </c>
      <c r="Y847">
        <v>13880330</v>
      </c>
      <c r="Z847">
        <v>15897452</v>
      </c>
      <c r="AA847">
        <v>99998906</v>
      </c>
      <c r="AB847">
        <v>7.8812499999999996</v>
      </c>
      <c r="AC847">
        <v>7.2043600000000003</v>
      </c>
      <c r="AD847">
        <v>7.2902500000000003</v>
      </c>
      <c r="AE847">
        <v>9</v>
      </c>
      <c r="AF847">
        <v>3306670016</v>
      </c>
      <c r="AJ847" t="s">
        <v>1139</v>
      </c>
      <c r="AM847">
        <v>521009726</v>
      </c>
      <c r="AN847">
        <v>0</v>
      </c>
      <c r="AO847">
        <v>57878877</v>
      </c>
      <c r="AP847">
        <v>521009726</v>
      </c>
      <c r="AQ847">
        <v>578888603</v>
      </c>
      <c r="AR847">
        <v>17366990</v>
      </c>
      <c r="AS847">
        <v>0</v>
      </c>
      <c r="AT847">
        <v>1929295</v>
      </c>
      <c r="AU847">
        <v>17366990</v>
      </c>
      <c r="AV847">
        <v>19296286</v>
      </c>
      <c r="AW847">
        <v>24.400700000000001</v>
      </c>
      <c r="AX847">
        <v>10.0108</v>
      </c>
      <c r="AY847">
        <v>3467.51</v>
      </c>
      <c r="AZ847">
        <v>2367.4299999999998</v>
      </c>
      <c r="BA847">
        <v>4581</v>
      </c>
      <c r="BB847">
        <v>9650</v>
      </c>
      <c r="BC847" t="str">
        <f t="shared" si="26"/>
        <v>u=10%, k=2x10^8</v>
      </c>
      <c r="BD847">
        <f t="shared" si="27"/>
        <v>0</v>
      </c>
    </row>
    <row r="848" spans="1:56">
      <c r="A848" t="s">
        <v>1140</v>
      </c>
      <c r="B848" t="s">
        <v>66</v>
      </c>
      <c r="C848">
        <v>208</v>
      </c>
      <c r="D848" t="s">
        <v>65</v>
      </c>
      <c r="E848" t="s">
        <v>60</v>
      </c>
      <c r="F848" t="s">
        <v>61</v>
      </c>
      <c r="G848">
        <v>30000</v>
      </c>
      <c r="H848">
        <v>5</v>
      </c>
      <c r="I848">
        <v>5</v>
      </c>
      <c r="J848">
        <v>0</v>
      </c>
      <c r="K848">
        <v>1</v>
      </c>
      <c r="L848">
        <v>200000000</v>
      </c>
      <c r="M848">
        <v>48</v>
      </c>
      <c r="N848">
        <v>48</v>
      </c>
      <c r="O848">
        <v>48</v>
      </c>
      <c r="P848">
        <v>0</v>
      </c>
      <c r="Q848" t="s">
        <v>62</v>
      </c>
      <c r="R848">
        <v>1.00001273278885E+16</v>
      </c>
      <c r="S848">
        <v>100007973</v>
      </c>
      <c r="T848">
        <v>1.00001273278885E+16</v>
      </c>
      <c r="U848">
        <v>100007973</v>
      </c>
      <c r="V848" t="s">
        <v>75</v>
      </c>
      <c r="W848">
        <v>10</v>
      </c>
      <c r="X848">
        <v>2102714</v>
      </c>
      <c r="Y848">
        <v>14463502</v>
      </c>
      <c r="Z848">
        <v>16566216</v>
      </c>
      <c r="AA848">
        <v>100007973</v>
      </c>
      <c r="AB848">
        <v>7.8784900000000002</v>
      </c>
      <c r="AC848">
        <v>6.9145099999999999</v>
      </c>
      <c r="AD848">
        <v>7.0368599999999999</v>
      </c>
      <c r="AE848">
        <v>9</v>
      </c>
      <c r="AF848">
        <v>3445772928</v>
      </c>
      <c r="AJ848" t="s">
        <v>1141</v>
      </c>
      <c r="AM848">
        <v>976160777</v>
      </c>
      <c r="AN848">
        <v>0</v>
      </c>
      <c r="AO848">
        <v>108456583</v>
      </c>
      <c r="AP848">
        <v>976160777</v>
      </c>
      <c r="AQ848">
        <v>1084617360</v>
      </c>
      <c r="AR848">
        <v>32538692</v>
      </c>
      <c r="AS848">
        <v>0</v>
      </c>
      <c r="AT848">
        <v>3615219</v>
      </c>
      <c r="AU848">
        <v>32538692</v>
      </c>
      <c r="AV848">
        <v>36153912</v>
      </c>
      <c r="AW848">
        <v>24.234999999999999</v>
      </c>
      <c r="AX848">
        <v>9.9641900000000003</v>
      </c>
      <c r="AY848">
        <v>3700.58</v>
      </c>
      <c r="AZ848">
        <v>2782.91</v>
      </c>
      <c r="BA848">
        <v>4814</v>
      </c>
      <c r="BB848">
        <v>6545</v>
      </c>
      <c r="BC848" t="str">
        <f t="shared" si="26"/>
        <v>u=10%, k=2x10^8</v>
      </c>
      <c r="BD848">
        <f t="shared" si="27"/>
        <v>0</v>
      </c>
    </row>
    <row r="849" spans="1:56">
      <c r="A849" t="s">
        <v>1142</v>
      </c>
      <c r="B849" t="s">
        <v>66</v>
      </c>
      <c r="C849">
        <v>208</v>
      </c>
      <c r="D849" t="s">
        <v>65</v>
      </c>
      <c r="E849" t="s">
        <v>60</v>
      </c>
      <c r="F849" t="s">
        <v>61</v>
      </c>
      <c r="G849">
        <v>30000</v>
      </c>
      <c r="H849">
        <v>5</v>
      </c>
      <c r="I849">
        <v>5</v>
      </c>
      <c r="J849">
        <v>0</v>
      </c>
      <c r="K849">
        <v>1</v>
      </c>
      <c r="L849">
        <v>200000000</v>
      </c>
      <c r="M849">
        <v>96</v>
      </c>
      <c r="N849">
        <v>96</v>
      </c>
      <c r="O849">
        <v>96</v>
      </c>
      <c r="P849">
        <v>0</v>
      </c>
      <c r="Q849" t="s">
        <v>62</v>
      </c>
      <c r="R849">
        <v>9998367316474880</v>
      </c>
      <c r="S849">
        <v>99984214</v>
      </c>
      <c r="T849">
        <v>9998367316474880</v>
      </c>
      <c r="U849">
        <v>99984214</v>
      </c>
      <c r="V849" t="s">
        <v>75</v>
      </c>
      <c r="W849">
        <v>10</v>
      </c>
      <c r="X849">
        <v>2239383</v>
      </c>
      <c r="Y849">
        <v>15401619</v>
      </c>
      <c r="Z849">
        <v>17641002</v>
      </c>
      <c r="AA849">
        <v>99984214</v>
      </c>
      <c r="AB849">
        <v>7.8776200000000003</v>
      </c>
      <c r="AC849">
        <v>6.4917999999999996</v>
      </c>
      <c r="AD849">
        <v>6.6677200000000001</v>
      </c>
      <c r="AE849">
        <v>9</v>
      </c>
      <c r="AF849">
        <v>3669328416</v>
      </c>
      <c r="AJ849" t="s">
        <v>1143</v>
      </c>
      <c r="AM849">
        <v>2021590443</v>
      </c>
      <c r="AN849">
        <v>0</v>
      </c>
      <c r="AO849">
        <v>224644307</v>
      </c>
      <c r="AP849">
        <v>2021590443</v>
      </c>
      <c r="AQ849">
        <v>2246234750</v>
      </c>
      <c r="AR849">
        <v>67386348</v>
      </c>
      <c r="AS849">
        <v>0</v>
      </c>
      <c r="AT849">
        <v>7488143</v>
      </c>
      <c r="AU849">
        <v>67386348</v>
      </c>
      <c r="AV849">
        <v>74874491</v>
      </c>
      <c r="AW849">
        <v>24.433700000000002</v>
      </c>
      <c r="AX849">
        <v>10.4085</v>
      </c>
      <c r="AY849">
        <v>3569.51</v>
      </c>
      <c r="AZ849">
        <v>2607.44</v>
      </c>
      <c r="BA849">
        <v>5238</v>
      </c>
      <c r="BB849">
        <v>6287</v>
      </c>
      <c r="BC849" t="str">
        <f t="shared" si="26"/>
        <v>u=10%, k=2x10^8</v>
      </c>
      <c r="BD849">
        <f t="shared" si="27"/>
        <v>0</v>
      </c>
    </row>
    <row r="850" spans="1:56">
      <c r="A850" t="s">
        <v>1144</v>
      </c>
      <c r="B850" t="s">
        <v>66</v>
      </c>
      <c r="C850">
        <v>208</v>
      </c>
      <c r="D850" t="s">
        <v>65</v>
      </c>
      <c r="E850" t="s">
        <v>60</v>
      </c>
      <c r="F850" t="s">
        <v>61</v>
      </c>
      <c r="G850">
        <v>30000</v>
      </c>
      <c r="H850">
        <v>5</v>
      </c>
      <c r="I850">
        <v>5</v>
      </c>
      <c r="J850">
        <v>0</v>
      </c>
      <c r="K850">
        <v>1</v>
      </c>
      <c r="L850">
        <v>200000000</v>
      </c>
      <c r="M850">
        <v>144</v>
      </c>
      <c r="N850">
        <v>144</v>
      </c>
      <c r="O850">
        <v>144</v>
      </c>
      <c r="P850">
        <v>0</v>
      </c>
      <c r="Q850" t="s">
        <v>62</v>
      </c>
      <c r="R850">
        <v>1.00007583042852E+16</v>
      </c>
      <c r="S850">
        <v>100006493</v>
      </c>
      <c r="T850">
        <v>1.00007583042852E+16</v>
      </c>
      <c r="U850">
        <v>100006493</v>
      </c>
      <c r="V850" t="s">
        <v>75</v>
      </c>
      <c r="W850">
        <v>10</v>
      </c>
      <c r="X850">
        <v>2329476</v>
      </c>
      <c r="Y850">
        <v>16018821</v>
      </c>
      <c r="Z850">
        <v>18348297</v>
      </c>
      <c r="AA850">
        <v>100006493</v>
      </c>
      <c r="AB850">
        <v>7.8765799999999997</v>
      </c>
      <c r="AC850">
        <v>6.2430599999999998</v>
      </c>
      <c r="AD850">
        <v>6.45045</v>
      </c>
      <c r="AE850">
        <v>9</v>
      </c>
      <c r="AF850">
        <v>3816445776</v>
      </c>
      <c r="AJ850" t="s">
        <v>1145</v>
      </c>
      <c r="AM850">
        <v>2991647645</v>
      </c>
      <c r="AN850">
        <v>0</v>
      </c>
      <c r="AO850">
        <v>332402472</v>
      </c>
      <c r="AP850">
        <v>2991647645</v>
      </c>
      <c r="AQ850">
        <v>3324050117</v>
      </c>
      <c r="AR850">
        <v>99721588</v>
      </c>
      <c r="AS850">
        <v>0</v>
      </c>
      <c r="AT850">
        <v>11080082</v>
      </c>
      <c r="AU850">
        <v>99721588</v>
      </c>
      <c r="AV850">
        <v>110801670</v>
      </c>
      <c r="AW850">
        <v>24.621700000000001</v>
      </c>
      <c r="AX850">
        <v>10.706899999999999</v>
      </c>
      <c r="AY850">
        <v>3609.85</v>
      </c>
      <c r="AZ850">
        <v>2631.76</v>
      </c>
      <c r="BA850">
        <v>5470</v>
      </c>
      <c r="BB850">
        <v>5733</v>
      </c>
      <c r="BC850" t="str">
        <f t="shared" si="26"/>
        <v>u=10%, k=2x10^8</v>
      </c>
      <c r="BD850">
        <f t="shared" si="27"/>
        <v>0</v>
      </c>
    </row>
    <row r="851" spans="1:56">
      <c r="A851" t="s">
        <v>1146</v>
      </c>
      <c r="B851" t="s">
        <v>66</v>
      </c>
      <c r="C851">
        <v>208</v>
      </c>
      <c r="D851" t="s">
        <v>65</v>
      </c>
      <c r="E851" t="s">
        <v>60</v>
      </c>
      <c r="F851" t="s">
        <v>61</v>
      </c>
      <c r="G851">
        <v>30000</v>
      </c>
      <c r="H851">
        <v>5</v>
      </c>
      <c r="I851">
        <v>5</v>
      </c>
      <c r="J851">
        <v>0</v>
      </c>
      <c r="K851">
        <v>1</v>
      </c>
      <c r="L851">
        <v>200000000</v>
      </c>
      <c r="M851">
        <v>190</v>
      </c>
      <c r="N851">
        <v>190</v>
      </c>
      <c r="O851">
        <v>190</v>
      </c>
      <c r="P851">
        <v>0</v>
      </c>
      <c r="Q851" t="s">
        <v>62</v>
      </c>
      <c r="R851">
        <v>9999211888735500</v>
      </c>
      <c r="S851">
        <v>100003101</v>
      </c>
      <c r="T851">
        <v>9999211888735500</v>
      </c>
      <c r="U851">
        <v>100003101</v>
      </c>
      <c r="V851" t="s">
        <v>75</v>
      </c>
      <c r="W851">
        <v>10</v>
      </c>
      <c r="X851">
        <v>2395325</v>
      </c>
      <c r="Y851">
        <v>16463251</v>
      </c>
      <c r="Z851">
        <v>18858576</v>
      </c>
      <c r="AA851">
        <v>100003101</v>
      </c>
      <c r="AB851">
        <v>7.8730799999999999</v>
      </c>
      <c r="AC851">
        <v>6.0743200000000002</v>
      </c>
      <c r="AD851">
        <v>6.3027899999999999</v>
      </c>
      <c r="AE851">
        <v>9</v>
      </c>
      <c r="AF851">
        <v>3922583808</v>
      </c>
      <c r="AJ851" t="s">
        <v>1147</v>
      </c>
      <c r="AM851">
        <v>3870715645</v>
      </c>
      <c r="AN851">
        <v>0</v>
      </c>
      <c r="AO851">
        <v>430087311</v>
      </c>
      <c r="AP851">
        <v>3870715645</v>
      </c>
      <c r="AQ851">
        <v>4300802956</v>
      </c>
      <c r="AR851">
        <v>129023854</v>
      </c>
      <c r="AS851">
        <v>0</v>
      </c>
      <c r="AT851">
        <v>14336243</v>
      </c>
      <c r="AU851">
        <v>129023854</v>
      </c>
      <c r="AV851">
        <v>143360098</v>
      </c>
      <c r="AW851">
        <v>24.794899999999998</v>
      </c>
      <c r="AX851">
        <v>11.072800000000001</v>
      </c>
      <c r="AY851">
        <v>3685.94</v>
      </c>
      <c r="AZ851">
        <v>2699.68</v>
      </c>
      <c r="BA851">
        <v>6294</v>
      </c>
      <c r="BB851">
        <v>6072</v>
      </c>
      <c r="BC851" t="str">
        <f t="shared" si="26"/>
        <v>u=10%, k=2x10^8</v>
      </c>
      <c r="BD851">
        <f t="shared" si="27"/>
        <v>0</v>
      </c>
    </row>
    <row r="852" spans="1:56">
      <c r="A852" t="s">
        <v>1148</v>
      </c>
      <c r="B852" t="s">
        <v>67</v>
      </c>
      <c r="D852" t="s">
        <v>65</v>
      </c>
      <c r="E852" t="s">
        <v>60</v>
      </c>
      <c r="F852" t="s">
        <v>61</v>
      </c>
      <c r="G852">
        <v>30000</v>
      </c>
      <c r="H852">
        <v>5</v>
      </c>
      <c r="I852">
        <v>5</v>
      </c>
      <c r="J852">
        <v>0</v>
      </c>
      <c r="K852">
        <v>1</v>
      </c>
      <c r="L852">
        <v>200000000</v>
      </c>
      <c r="M852">
        <v>24</v>
      </c>
      <c r="N852">
        <v>24</v>
      </c>
      <c r="O852">
        <v>24</v>
      </c>
      <c r="P852">
        <v>0</v>
      </c>
      <c r="Q852" t="s">
        <v>62</v>
      </c>
      <c r="R852">
        <v>1.00003724520667E+16</v>
      </c>
      <c r="S852">
        <v>100000150</v>
      </c>
      <c r="T852">
        <v>1.00003724520667E+16</v>
      </c>
      <c r="U852">
        <v>100000150</v>
      </c>
      <c r="V852" t="s">
        <v>75</v>
      </c>
      <c r="W852">
        <v>33</v>
      </c>
      <c r="X852">
        <v>58521800</v>
      </c>
      <c r="Y852">
        <v>43999079</v>
      </c>
      <c r="Z852">
        <v>102520879</v>
      </c>
      <c r="AA852">
        <v>100000150</v>
      </c>
      <c r="AB852">
        <v>1.7518400000000001</v>
      </c>
      <c r="AC852">
        <v>2.27278</v>
      </c>
      <c r="AD852">
        <v>1.9754100000000001</v>
      </c>
      <c r="AE852">
        <v>26.1494</v>
      </c>
      <c r="AF852">
        <v>5741169224</v>
      </c>
      <c r="AJ852" t="s">
        <v>1149</v>
      </c>
      <c r="AM852">
        <v>226973358</v>
      </c>
      <c r="AN852">
        <v>0</v>
      </c>
      <c r="AO852">
        <v>25218697</v>
      </c>
      <c r="AP852">
        <v>226973358</v>
      </c>
      <c r="AQ852">
        <v>252192055</v>
      </c>
      <c r="AR852">
        <v>7565778</v>
      </c>
      <c r="AS852">
        <v>0</v>
      </c>
      <c r="AT852">
        <v>840623</v>
      </c>
      <c r="AU852">
        <v>7565778</v>
      </c>
      <c r="AV852">
        <v>8406401</v>
      </c>
      <c r="AW852">
        <v>40.316000000000003</v>
      </c>
      <c r="AX852">
        <v>17.817599999999999</v>
      </c>
      <c r="AY852">
        <v>7962.45</v>
      </c>
      <c r="AZ852">
        <v>6526.29</v>
      </c>
      <c r="BA852">
        <v>7689</v>
      </c>
      <c r="BB852">
        <v>17233</v>
      </c>
      <c r="BC852" t="str">
        <f t="shared" si="26"/>
        <v>u=10%, k=2x10^8</v>
      </c>
      <c r="BD852">
        <f t="shared" si="27"/>
        <v>0</v>
      </c>
    </row>
    <row r="853" spans="1:56">
      <c r="A853" t="s">
        <v>1150</v>
      </c>
      <c r="B853" t="s">
        <v>67</v>
      </c>
      <c r="D853" t="s">
        <v>65</v>
      </c>
      <c r="E853" t="s">
        <v>60</v>
      </c>
      <c r="F853" t="s">
        <v>61</v>
      </c>
      <c r="G853">
        <v>30000</v>
      </c>
      <c r="H853">
        <v>5</v>
      </c>
      <c r="I853">
        <v>5</v>
      </c>
      <c r="J853">
        <v>0</v>
      </c>
      <c r="K853">
        <v>1</v>
      </c>
      <c r="L853">
        <v>200000000</v>
      </c>
      <c r="M853">
        <v>48</v>
      </c>
      <c r="N853">
        <v>48</v>
      </c>
      <c r="O853">
        <v>48</v>
      </c>
      <c r="P853">
        <v>0</v>
      </c>
      <c r="Q853" t="s">
        <v>62</v>
      </c>
      <c r="R853">
        <v>9999416895310380</v>
      </c>
      <c r="S853">
        <v>99995542</v>
      </c>
      <c r="T853">
        <v>9999416895310380</v>
      </c>
      <c r="U853">
        <v>99995542</v>
      </c>
      <c r="V853" t="s">
        <v>75</v>
      </c>
      <c r="W853">
        <v>33</v>
      </c>
      <c r="X853">
        <v>59615868</v>
      </c>
      <c r="Y853">
        <v>44897333</v>
      </c>
      <c r="Z853">
        <v>104513201</v>
      </c>
      <c r="AA853">
        <v>99995542</v>
      </c>
      <c r="AB853">
        <v>1.7531099999999999</v>
      </c>
      <c r="AC853">
        <v>2.2271999999999998</v>
      </c>
      <c r="AD853">
        <v>1.9567699999999999</v>
      </c>
      <c r="AE853">
        <v>26.175599999999999</v>
      </c>
      <c r="AF853">
        <v>5852739256</v>
      </c>
      <c r="AJ853" t="s">
        <v>1151</v>
      </c>
      <c r="AM853">
        <v>432908838</v>
      </c>
      <c r="AN853">
        <v>0</v>
      </c>
      <c r="AO853">
        <v>48096738</v>
      </c>
      <c r="AP853">
        <v>432908838</v>
      </c>
      <c r="AQ853">
        <v>481005576</v>
      </c>
      <c r="AR853">
        <v>14430294</v>
      </c>
      <c r="AS853">
        <v>0</v>
      </c>
      <c r="AT853">
        <v>1603224</v>
      </c>
      <c r="AU853">
        <v>14430294</v>
      </c>
      <c r="AV853">
        <v>16033519</v>
      </c>
      <c r="AW853">
        <v>40.959099999999999</v>
      </c>
      <c r="AX853">
        <v>17.905200000000001</v>
      </c>
      <c r="AY853">
        <v>8347.5499999999993</v>
      </c>
      <c r="AZ853">
        <v>6886.93</v>
      </c>
      <c r="BA853">
        <v>7826</v>
      </c>
      <c r="BB853">
        <v>9212</v>
      </c>
      <c r="BC853" t="str">
        <f t="shared" si="26"/>
        <v>u=10%, k=2x10^8</v>
      </c>
      <c r="BD853">
        <f t="shared" si="27"/>
        <v>0</v>
      </c>
    </row>
    <row r="854" spans="1:56">
      <c r="A854" t="s">
        <v>1152</v>
      </c>
      <c r="B854" t="s">
        <v>67</v>
      </c>
      <c r="D854" t="s">
        <v>65</v>
      </c>
      <c r="E854" t="s">
        <v>60</v>
      </c>
      <c r="F854" t="s">
        <v>61</v>
      </c>
      <c r="G854">
        <v>30000</v>
      </c>
      <c r="H854">
        <v>5</v>
      </c>
      <c r="I854">
        <v>5</v>
      </c>
      <c r="J854">
        <v>0</v>
      </c>
      <c r="K854">
        <v>1</v>
      </c>
      <c r="L854">
        <v>200000000</v>
      </c>
      <c r="M854">
        <v>96</v>
      </c>
      <c r="N854">
        <v>96</v>
      </c>
      <c r="O854">
        <v>96</v>
      </c>
      <c r="P854">
        <v>0</v>
      </c>
      <c r="Q854" t="s">
        <v>62</v>
      </c>
      <c r="R854">
        <v>1.00005332548474E+16</v>
      </c>
      <c r="S854">
        <v>100007076</v>
      </c>
      <c r="T854">
        <v>1.00005332548474E+16</v>
      </c>
      <c r="U854">
        <v>100007076</v>
      </c>
      <c r="V854" t="s">
        <v>75</v>
      </c>
      <c r="W854">
        <v>33</v>
      </c>
      <c r="X854">
        <v>61772667</v>
      </c>
      <c r="Y854">
        <v>46629576</v>
      </c>
      <c r="Z854">
        <v>108402243</v>
      </c>
      <c r="AA854">
        <v>100007076</v>
      </c>
      <c r="AB854">
        <v>1.7548600000000001</v>
      </c>
      <c r="AC854">
        <v>2.1447099999999999</v>
      </c>
      <c r="AD854">
        <v>1.92256</v>
      </c>
      <c r="AE854">
        <v>26.3065</v>
      </c>
      <c r="AF854">
        <v>6070525608</v>
      </c>
      <c r="AJ854" t="s">
        <v>1153</v>
      </c>
      <c r="AM854">
        <v>919798161</v>
      </c>
      <c r="AN854">
        <v>0</v>
      </c>
      <c r="AO854">
        <v>102205041</v>
      </c>
      <c r="AP854">
        <v>919798161</v>
      </c>
      <c r="AQ854">
        <v>1022003202</v>
      </c>
      <c r="AR854">
        <v>30659938</v>
      </c>
      <c r="AS854">
        <v>0</v>
      </c>
      <c r="AT854">
        <v>3406834</v>
      </c>
      <c r="AU854">
        <v>30659938</v>
      </c>
      <c r="AV854">
        <v>34066773</v>
      </c>
      <c r="AW854">
        <v>41.578899999999997</v>
      </c>
      <c r="AX854">
        <v>19.620999999999999</v>
      </c>
      <c r="AY854">
        <v>7848.8</v>
      </c>
      <c r="AZ854">
        <v>6372.69</v>
      </c>
      <c r="BA854">
        <v>8091</v>
      </c>
      <c r="BB854">
        <v>4730</v>
      </c>
      <c r="BC854" t="str">
        <f t="shared" si="26"/>
        <v>u=10%, k=2x10^8</v>
      </c>
      <c r="BD854">
        <f t="shared" si="27"/>
        <v>0</v>
      </c>
    </row>
    <row r="855" spans="1:56">
      <c r="A855" t="s">
        <v>1154</v>
      </c>
      <c r="B855" t="s">
        <v>67</v>
      </c>
      <c r="D855" t="s">
        <v>65</v>
      </c>
      <c r="E855" t="s">
        <v>60</v>
      </c>
      <c r="F855" t="s">
        <v>61</v>
      </c>
      <c r="G855">
        <v>30000</v>
      </c>
      <c r="H855">
        <v>5</v>
      </c>
      <c r="I855">
        <v>5</v>
      </c>
      <c r="J855">
        <v>0</v>
      </c>
      <c r="K855">
        <v>1</v>
      </c>
      <c r="L855">
        <v>200000000</v>
      </c>
      <c r="M855">
        <v>144</v>
      </c>
      <c r="N855">
        <v>144</v>
      </c>
      <c r="O855">
        <v>144</v>
      </c>
      <c r="P855">
        <v>0</v>
      </c>
      <c r="Q855" t="s">
        <v>62</v>
      </c>
      <c r="R855">
        <v>9998346007755030</v>
      </c>
      <c r="S855">
        <v>99984554</v>
      </c>
      <c r="T855">
        <v>9998346007755030</v>
      </c>
      <c r="U855">
        <v>99984554</v>
      </c>
      <c r="V855" t="s">
        <v>75</v>
      </c>
      <c r="W855">
        <v>33</v>
      </c>
      <c r="X855">
        <v>63356147</v>
      </c>
      <c r="Y855">
        <v>47884898</v>
      </c>
      <c r="Z855">
        <v>111241045</v>
      </c>
      <c r="AA855">
        <v>99984554</v>
      </c>
      <c r="AB855">
        <v>1.7558100000000001</v>
      </c>
      <c r="AC855">
        <v>2.0880200000000002</v>
      </c>
      <c r="AD855">
        <v>1.8988100000000001</v>
      </c>
      <c r="AE855">
        <v>26.382899999999999</v>
      </c>
      <c r="AF855">
        <v>6229498520</v>
      </c>
      <c r="AJ855" t="s">
        <v>1155</v>
      </c>
      <c r="AM855">
        <v>1387895710</v>
      </c>
      <c r="AN855">
        <v>0</v>
      </c>
      <c r="AO855">
        <v>154206479</v>
      </c>
      <c r="AP855">
        <v>1387895710</v>
      </c>
      <c r="AQ855">
        <v>1542102189</v>
      </c>
      <c r="AR855">
        <v>46263190</v>
      </c>
      <c r="AS855">
        <v>0</v>
      </c>
      <c r="AT855">
        <v>5140215</v>
      </c>
      <c r="AU855">
        <v>46263190</v>
      </c>
      <c r="AV855">
        <v>51403406</v>
      </c>
      <c r="AW855">
        <v>41.741900000000001</v>
      </c>
      <c r="AX855">
        <v>19.972300000000001</v>
      </c>
      <c r="AY855">
        <v>7800.51</v>
      </c>
      <c r="AZ855">
        <v>6316.53</v>
      </c>
      <c r="BA855">
        <v>8288</v>
      </c>
      <c r="BB855">
        <v>3102</v>
      </c>
      <c r="BC855" t="str">
        <f t="shared" si="26"/>
        <v>u=10%, k=2x10^8</v>
      </c>
      <c r="BD855">
        <f t="shared" si="27"/>
        <v>0</v>
      </c>
    </row>
    <row r="856" spans="1:56">
      <c r="A856" t="s">
        <v>1156</v>
      </c>
      <c r="B856" t="s">
        <v>67</v>
      </c>
      <c r="D856" t="s">
        <v>65</v>
      </c>
      <c r="E856" t="s">
        <v>60</v>
      </c>
      <c r="F856" t="s">
        <v>61</v>
      </c>
      <c r="G856">
        <v>30000</v>
      </c>
      <c r="H856">
        <v>5</v>
      </c>
      <c r="I856">
        <v>5</v>
      </c>
      <c r="J856">
        <v>0</v>
      </c>
      <c r="K856">
        <v>1</v>
      </c>
      <c r="L856">
        <v>200000000</v>
      </c>
      <c r="M856">
        <v>190</v>
      </c>
      <c r="N856">
        <v>190</v>
      </c>
      <c r="O856">
        <v>190</v>
      </c>
      <c r="P856">
        <v>0</v>
      </c>
      <c r="Q856" t="s">
        <v>62</v>
      </c>
      <c r="R856">
        <v>9999416417588030</v>
      </c>
      <c r="S856">
        <v>100000866</v>
      </c>
      <c r="T856">
        <v>9999416417588030</v>
      </c>
      <c r="U856">
        <v>100000866</v>
      </c>
      <c r="V856" t="s">
        <v>75</v>
      </c>
      <c r="W856">
        <v>33</v>
      </c>
      <c r="X856">
        <v>64457765</v>
      </c>
      <c r="Y856">
        <v>48753719</v>
      </c>
      <c r="Z856">
        <v>113211484</v>
      </c>
      <c r="AA856">
        <v>100000866</v>
      </c>
      <c r="AB856">
        <v>1.75637</v>
      </c>
      <c r="AC856">
        <v>2.0511400000000002</v>
      </c>
      <c r="AD856">
        <v>1.88331</v>
      </c>
      <c r="AE856">
        <v>26.432099999999998</v>
      </c>
      <c r="AF856">
        <v>6339843104</v>
      </c>
      <c r="AJ856" t="s">
        <v>1157</v>
      </c>
      <c r="AM856">
        <v>1818581700</v>
      </c>
      <c r="AN856">
        <v>0</v>
      </c>
      <c r="AO856">
        <v>202077697</v>
      </c>
      <c r="AP856">
        <v>1818581700</v>
      </c>
      <c r="AQ856">
        <v>2020659397</v>
      </c>
      <c r="AR856">
        <v>60619390</v>
      </c>
      <c r="AS856">
        <v>0</v>
      </c>
      <c r="AT856">
        <v>6735923</v>
      </c>
      <c r="AU856">
        <v>60619390</v>
      </c>
      <c r="AV856">
        <v>67355313</v>
      </c>
      <c r="AW856">
        <v>42.603400000000001</v>
      </c>
      <c r="AX856">
        <v>20.189599999999999</v>
      </c>
      <c r="AY856">
        <v>7853.04</v>
      </c>
      <c r="AZ856">
        <v>6286.37</v>
      </c>
      <c r="BA856">
        <v>8431</v>
      </c>
      <c r="BB856">
        <v>2769</v>
      </c>
      <c r="BC856" t="str">
        <f t="shared" si="26"/>
        <v>u=10%, k=2x10^8</v>
      </c>
      <c r="BD856">
        <f t="shared" si="27"/>
        <v>0</v>
      </c>
    </row>
    <row r="857" spans="1:56">
      <c r="A857" t="s">
        <v>1158</v>
      </c>
      <c r="B857" t="s">
        <v>68</v>
      </c>
      <c r="D857" t="s">
        <v>65</v>
      </c>
      <c r="E857" t="s">
        <v>60</v>
      </c>
      <c r="F857" t="s">
        <v>61</v>
      </c>
      <c r="G857">
        <v>30000</v>
      </c>
      <c r="H857">
        <v>5</v>
      </c>
      <c r="I857">
        <v>5</v>
      </c>
      <c r="J857">
        <v>0</v>
      </c>
      <c r="K857">
        <v>1</v>
      </c>
      <c r="L857">
        <v>200000000</v>
      </c>
      <c r="M857">
        <v>24</v>
      </c>
      <c r="N857">
        <v>24</v>
      </c>
      <c r="O857">
        <v>24</v>
      </c>
      <c r="P857">
        <v>0</v>
      </c>
      <c r="Q857" t="s">
        <v>62</v>
      </c>
      <c r="R857">
        <v>1.00001968064919E+16</v>
      </c>
      <c r="S857">
        <v>100002577</v>
      </c>
      <c r="T857">
        <v>1.00001968064919E+16</v>
      </c>
      <c r="U857">
        <v>100002577</v>
      </c>
      <c r="V857" t="s">
        <v>75</v>
      </c>
      <c r="W857">
        <v>70</v>
      </c>
      <c r="X857">
        <v>100002576</v>
      </c>
      <c r="Y857">
        <v>100002577</v>
      </c>
      <c r="Z857">
        <v>200005153</v>
      </c>
      <c r="AA857">
        <v>100002577</v>
      </c>
      <c r="AB857">
        <v>2</v>
      </c>
      <c r="AC857">
        <v>1</v>
      </c>
      <c r="AD857">
        <v>1.5</v>
      </c>
      <c r="AE857">
        <v>36.167499999999997</v>
      </c>
      <c r="AF857">
        <v>6400164896</v>
      </c>
      <c r="AJ857" t="s">
        <v>1159</v>
      </c>
      <c r="AM857">
        <v>182699814</v>
      </c>
      <c r="AN857">
        <v>0</v>
      </c>
      <c r="AO857">
        <v>20290922</v>
      </c>
      <c r="AP857">
        <v>182699814</v>
      </c>
      <c r="AQ857">
        <v>202990736</v>
      </c>
      <c r="AR857">
        <v>6089993</v>
      </c>
      <c r="AS857">
        <v>0</v>
      </c>
      <c r="AT857">
        <v>676364</v>
      </c>
      <c r="AU857">
        <v>6089993</v>
      </c>
      <c r="AV857">
        <v>6766357</v>
      </c>
      <c r="AW857">
        <v>38.039099999999998</v>
      </c>
      <c r="AX857">
        <v>17.1633</v>
      </c>
      <c r="AY857">
        <v>9894.77</v>
      </c>
      <c r="AZ857">
        <v>8239.31</v>
      </c>
      <c r="BA857">
        <v>7531</v>
      </c>
      <c r="BB857">
        <v>19020</v>
      </c>
      <c r="BC857" t="str">
        <f t="shared" si="26"/>
        <v>u=10%, k=2x10^8</v>
      </c>
      <c r="BD857">
        <f t="shared" si="27"/>
        <v>0</v>
      </c>
    </row>
    <row r="858" spans="1:56">
      <c r="A858" t="s">
        <v>1160</v>
      </c>
      <c r="B858" t="s">
        <v>68</v>
      </c>
      <c r="D858" t="s">
        <v>65</v>
      </c>
      <c r="E858" t="s">
        <v>60</v>
      </c>
      <c r="F858" t="s">
        <v>61</v>
      </c>
      <c r="G858">
        <v>30000</v>
      </c>
      <c r="H858">
        <v>5</v>
      </c>
      <c r="I858">
        <v>5</v>
      </c>
      <c r="J858">
        <v>0</v>
      </c>
      <c r="K858">
        <v>1</v>
      </c>
      <c r="L858">
        <v>200000000</v>
      </c>
      <c r="M858">
        <v>48</v>
      </c>
      <c r="N858">
        <v>48</v>
      </c>
      <c r="O858">
        <v>48</v>
      </c>
      <c r="P858">
        <v>0</v>
      </c>
      <c r="Q858" t="s">
        <v>62</v>
      </c>
      <c r="R858">
        <v>1.00000998559798E+16</v>
      </c>
      <c r="S858">
        <v>99999574</v>
      </c>
      <c r="T858">
        <v>1.00000998559798E+16</v>
      </c>
      <c r="U858">
        <v>99999574</v>
      </c>
      <c r="V858" t="s">
        <v>75</v>
      </c>
      <c r="W858">
        <v>67</v>
      </c>
      <c r="X858">
        <v>99999573</v>
      </c>
      <c r="Y858">
        <v>99999574</v>
      </c>
      <c r="Z858">
        <v>199999147</v>
      </c>
      <c r="AA858">
        <v>99999574</v>
      </c>
      <c r="AB858">
        <v>2</v>
      </c>
      <c r="AC858">
        <v>1</v>
      </c>
      <c r="AD858">
        <v>1.5</v>
      </c>
      <c r="AE858">
        <v>35.409500000000001</v>
      </c>
      <c r="AF858">
        <v>6399972704</v>
      </c>
      <c r="AJ858" t="s">
        <v>1161</v>
      </c>
      <c r="AM858">
        <v>356088945</v>
      </c>
      <c r="AN858">
        <v>0</v>
      </c>
      <c r="AO858">
        <v>39553182</v>
      </c>
      <c r="AP858">
        <v>356088945</v>
      </c>
      <c r="AQ858">
        <v>395642127</v>
      </c>
      <c r="AR858">
        <v>11869631</v>
      </c>
      <c r="AS858">
        <v>0</v>
      </c>
      <c r="AT858">
        <v>1318439</v>
      </c>
      <c r="AU858">
        <v>11869631</v>
      </c>
      <c r="AV858">
        <v>13188070</v>
      </c>
      <c r="AW858">
        <v>37.805999999999997</v>
      </c>
      <c r="AX858">
        <v>17.083100000000002</v>
      </c>
      <c r="AY858">
        <v>10152</v>
      </c>
      <c r="AZ858">
        <v>9029.99</v>
      </c>
      <c r="BA858">
        <v>7544</v>
      </c>
      <c r="BB858">
        <v>9965</v>
      </c>
      <c r="BC858" t="str">
        <f t="shared" si="26"/>
        <v>u=10%, k=2x10^8</v>
      </c>
      <c r="BD858">
        <f t="shared" si="27"/>
        <v>0</v>
      </c>
    </row>
    <row r="859" spans="1:56">
      <c r="A859" t="s">
        <v>1162</v>
      </c>
      <c r="B859" t="s">
        <v>68</v>
      </c>
      <c r="D859" t="s">
        <v>65</v>
      </c>
      <c r="E859" t="s">
        <v>60</v>
      </c>
      <c r="F859" t="s">
        <v>61</v>
      </c>
      <c r="G859">
        <v>30000</v>
      </c>
      <c r="H859">
        <v>5</v>
      </c>
      <c r="I859">
        <v>5</v>
      </c>
      <c r="J859">
        <v>0</v>
      </c>
      <c r="K859">
        <v>1</v>
      </c>
      <c r="L859">
        <v>200000000</v>
      </c>
      <c r="M859">
        <v>96</v>
      </c>
      <c r="N859">
        <v>96</v>
      </c>
      <c r="O859">
        <v>96</v>
      </c>
      <c r="P859">
        <v>0</v>
      </c>
      <c r="Q859" t="s">
        <v>62</v>
      </c>
      <c r="R859">
        <v>1.00007057544285E+16</v>
      </c>
      <c r="S859">
        <v>100005607</v>
      </c>
      <c r="T859">
        <v>1.00007057544285E+16</v>
      </c>
      <c r="U859">
        <v>100005607</v>
      </c>
      <c r="V859" t="s">
        <v>75</v>
      </c>
      <c r="W859">
        <v>73</v>
      </c>
      <c r="X859">
        <v>100005606</v>
      </c>
      <c r="Y859">
        <v>100005607</v>
      </c>
      <c r="Z859">
        <v>200011213</v>
      </c>
      <c r="AA859">
        <v>100005607</v>
      </c>
      <c r="AB859">
        <v>2</v>
      </c>
      <c r="AC859">
        <v>1</v>
      </c>
      <c r="AD859">
        <v>1.5</v>
      </c>
      <c r="AE859">
        <v>36.8489</v>
      </c>
      <c r="AF859">
        <v>6400358816</v>
      </c>
      <c r="AJ859" t="s">
        <v>1163</v>
      </c>
      <c r="AM859">
        <v>773397588</v>
      </c>
      <c r="AN859">
        <v>0</v>
      </c>
      <c r="AO859">
        <v>85939313</v>
      </c>
      <c r="AP859">
        <v>773397588</v>
      </c>
      <c r="AQ859">
        <v>859336901</v>
      </c>
      <c r="AR859">
        <v>25779919</v>
      </c>
      <c r="AS859">
        <v>0</v>
      </c>
      <c r="AT859">
        <v>2864643</v>
      </c>
      <c r="AU859">
        <v>25779919</v>
      </c>
      <c r="AV859">
        <v>28644563</v>
      </c>
      <c r="AW859">
        <v>38.545000000000002</v>
      </c>
      <c r="AX859">
        <v>19.008400000000002</v>
      </c>
      <c r="AY859">
        <v>9337.11</v>
      </c>
      <c r="AZ859">
        <v>8153.22</v>
      </c>
      <c r="BA859">
        <v>7573</v>
      </c>
      <c r="BB859">
        <v>4777</v>
      </c>
      <c r="BC859" t="str">
        <f t="shared" si="26"/>
        <v>u=10%, k=2x10^8</v>
      </c>
      <c r="BD859">
        <f t="shared" si="27"/>
        <v>0</v>
      </c>
    </row>
    <row r="860" spans="1:56">
      <c r="A860" t="s">
        <v>1164</v>
      </c>
      <c r="B860" t="s">
        <v>68</v>
      </c>
      <c r="D860" t="s">
        <v>65</v>
      </c>
      <c r="E860" t="s">
        <v>60</v>
      </c>
      <c r="F860" t="s">
        <v>61</v>
      </c>
      <c r="G860">
        <v>30000</v>
      </c>
      <c r="H860">
        <v>5</v>
      </c>
      <c r="I860">
        <v>5</v>
      </c>
      <c r="J860">
        <v>0</v>
      </c>
      <c r="K860">
        <v>1</v>
      </c>
      <c r="L860">
        <v>200000000</v>
      </c>
      <c r="M860">
        <v>144</v>
      </c>
      <c r="N860">
        <v>144</v>
      </c>
      <c r="O860">
        <v>144</v>
      </c>
      <c r="P860">
        <v>0</v>
      </c>
      <c r="Q860" t="s">
        <v>62</v>
      </c>
      <c r="R860">
        <v>1.00019838047059E+16</v>
      </c>
      <c r="S860">
        <v>100009846</v>
      </c>
      <c r="T860">
        <v>1.00019838047059E+16</v>
      </c>
      <c r="U860">
        <v>100009846</v>
      </c>
      <c r="V860" t="s">
        <v>75</v>
      </c>
      <c r="W860">
        <v>75</v>
      </c>
      <c r="X860">
        <v>100009845</v>
      </c>
      <c r="Y860">
        <v>100009846</v>
      </c>
      <c r="Z860">
        <v>200019691</v>
      </c>
      <c r="AA860">
        <v>100009846</v>
      </c>
      <c r="AB860">
        <v>2</v>
      </c>
      <c r="AC860">
        <v>1</v>
      </c>
      <c r="AD860">
        <v>1.5</v>
      </c>
      <c r="AE860">
        <v>37.218400000000003</v>
      </c>
      <c r="AF860">
        <v>6400630112</v>
      </c>
      <c r="AJ860" t="s">
        <v>1165</v>
      </c>
      <c r="AM860">
        <v>1174039366</v>
      </c>
      <c r="AN860">
        <v>0</v>
      </c>
      <c r="AO860">
        <v>130461346</v>
      </c>
      <c r="AP860">
        <v>1174039366</v>
      </c>
      <c r="AQ860">
        <v>1304500712</v>
      </c>
      <c r="AR860">
        <v>39134645</v>
      </c>
      <c r="AS860">
        <v>0</v>
      </c>
      <c r="AT860">
        <v>4348711</v>
      </c>
      <c r="AU860">
        <v>39134645</v>
      </c>
      <c r="AV860">
        <v>43483357</v>
      </c>
      <c r="AW860">
        <v>38.920200000000001</v>
      </c>
      <c r="AX860">
        <v>19.389299999999999</v>
      </c>
      <c r="AY860">
        <v>9224.67</v>
      </c>
      <c r="AZ860">
        <v>8045.91</v>
      </c>
      <c r="BA860">
        <v>7609</v>
      </c>
      <c r="BB860">
        <v>3157</v>
      </c>
      <c r="BC860" t="str">
        <f t="shared" si="26"/>
        <v>u=10%, k=2x10^8</v>
      </c>
      <c r="BD860">
        <f t="shared" si="27"/>
        <v>0</v>
      </c>
    </row>
    <row r="861" spans="1:56">
      <c r="A861" t="s">
        <v>1166</v>
      </c>
      <c r="B861" t="s">
        <v>68</v>
      </c>
      <c r="D861" t="s">
        <v>65</v>
      </c>
      <c r="E861" t="s">
        <v>60</v>
      </c>
      <c r="F861" t="s">
        <v>61</v>
      </c>
      <c r="G861">
        <v>30000</v>
      </c>
      <c r="H861">
        <v>5</v>
      </c>
      <c r="I861">
        <v>5</v>
      </c>
      <c r="J861">
        <v>0</v>
      </c>
      <c r="K861">
        <v>1</v>
      </c>
      <c r="L861">
        <v>200000000</v>
      </c>
      <c r="M861">
        <v>190</v>
      </c>
      <c r="N861">
        <v>190</v>
      </c>
      <c r="O861">
        <v>190</v>
      </c>
      <c r="P861">
        <v>0</v>
      </c>
      <c r="Q861" t="s">
        <v>62</v>
      </c>
      <c r="R861">
        <v>1.00004481639388E+16</v>
      </c>
      <c r="S861">
        <v>100007158</v>
      </c>
      <c r="T861">
        <v>1.00004481639388E+16</v>
      </c>
      <c r="U861">
        <v>100007158</v>
      </c>
      <c r="V861" t="s">
        <v>75</v>
      </c>
      <c r="W861">
        <v>73</v>
      </c>
      <c r="X861">
        <v>100007157</v>
      </c>
      <c r="Y861">
        <v>100007158</v>
      </c>
      <c r="Z861">
        <v>200014315</v>
      </c>
      <c r="AA861">
        <v>100007158</v>
      </c>
      <c r="AB861">
        <v>2</v>
      </c>
      <c r="AC861">
        <v>1</v>
      </c>
      <c r="AD861">
        <v>1.5</v>
      </c>
      <c r="AE861">
        <v>36.597499999999997</v>
      </c>
      <c r="AF861">
        <v>6400458080</v>
      </c>
      <c r="AJ861" t="s">
        <v>1167</v>
      </c>
      <c r="AM861">
        <v>1562054180</v>
      </c>
      <c r="AN861">
        <v>0</v>
      </c>
      <c r="AO861">
        <v>173549738</v>
      </c>
      <c r="AP861">
        <v>1562054180</v>
      </c>
      <c r="AQ861">
        <v>1735603918</v>
      </c>
      <c r="AR861">
        <v>52068472</v>
      </c>
      <c r="AS861">
        <v>0</v>
      </c>
      <c r="AT861">
        <v>5784991</v>
      </c>
      <c r="AU861">
        <v>52068472</v>
      </c>
      <c r="AV861">
        <v>57853463</v>
      </c>
      <c r="AW861">
        <v>38.922199999999997</v>
      </c>
      <c r="AX861">
        <v>19.6389</v>
      </c>
      <c r="AY861">
        <v>9146.34</v>
      </c>
      <c r="AZ861">
        <v>7958.99</v>
      </c>
      <c r="BA861">
        <v>7656</v>
      </c>
      <c r="BB861">
        <v>2896</v>
      </c>
      <c r="BC861" t="str">
        <f t="shared" si="26"/>
        <v>u=10%, k=2x10^8</v>
      </c>
      <c r="BD861">
        <f t="shared" si="27"/>
        <v>0</v>
      </c>
    </row>
    <row r="862" spans="1:56">
      <c r="A862" t="s">
        <v>1168</v>
      </c>
      <c r="B862" t="s">
        <v>64</v>
      </c>
      <c r="C862">
        <v>72</v>
      </c>
      <c r="D862" t="s">
        <v>65</v>
      </c>
      <c r="E862" t="s">
        <v>60</v>
      </c>
      <c r="F862" t="s">
        <v>61</v>
      </c>
      <c r="G862">
        <v>30000</v>
      </c>
      <c r="H862">
        <v>5</v>
      </c>
      <c r="I862">
        <v>5</v>
      </c>
      <c r="J862">
        <v>0</v>
      </c>
      <c r="K862">
        <v>1</v>
      </c>
      <c r="L862">
        <v>2000000000</v>
      </c>
      <c r="M862">
        <v>24</v>
      </c>
      <c r="N862">
        <v>24</v>
      </c>
      <c r="O862">
        <v>24</v>
      </c>
      <c r="P862">
        <v>0</v>
      </c>
      <c r="Q862" t="s">
        <v>62</v>
      </c>
      <c r="R862">
        <v>9.9997553769202995E+17</v>
      </c>
      <c r="S862">
        <v>999990229</v>
      </c>
      <c r="T862">
        <v>9.9997553769202995E+17</v>
      </c>
      <c r="U862">
        <v>999990229</v>
      </c>
      <c r="V862" t="s">
        <v>75</v>
      </c>
      <c r="W862">
        <v>7</v>
      </c>
      <c r="X862">
        <v>97080830</v>
      </c>
      <c r="Y862">
        <v>1104217412</v>
      </c>
      <c r="Z862">
        <v>1201298242</v>
      </c>
      <c r="AA862">
        <v>999990229</v>
      </c>
      <c r="AB862">
        <v>12.3742</v>
      </c>
      <c r="AC862">
        <v>0.90561000000000003</v>
      </c>
      <c r="AD862">
        <v>1.8324199999999999</v>
      </c>
      <c r="AE862">
        <v>4.02569</v>
      </c>
      <c r="AF862">
        <v>25438848192</v>
      </c>
      <c r="AG862" t="s">
        <v>1169</v>
      </c>
      <c r="AH862" t="s">
        <v>1169</v>
      </c>
      <c r="AJ862">
        <v>196800</v>
      </c>
      <c r="AM862">
        <v>479744200</v>
      </c>
      <c r="AN862">
        <v>0</v>
      </c>
      <c r="AO862">
        <v>53308671</v>
      </c>
      <c r="AP862">
        <v>479744200</v>
      </c>
      <c r="AQ862">
        <v>533052871</v>
      </c>
      <c r="AR862">
        <v>15991473</v>
      </c>
      <c r="AS862">
        <v>0</v>
      </c>
      <c r="AT862">
        <v>1776955</v>
      </c>
      <c r="AU862">
        <v>15991473</v>
      </c>
      <c r="AV862">
        <v>17768429</v>
      </c>
      <c r="AW862">
        <v>22.7911</v>
      </c>
      <c r="AX862">
        <v>13.4095</v>
      </c>
      <c r="AY862">
        <v>3757.73</v>
      </c>
      <c r="AZ862">
        <v>3011.66</v>
      </c>
      <c r="BA862">
        <v>60553</v>
      </c>
      <c r="BB862">
        <v>16280</v>
      </c>
      <c r="BC862" t="str">
        <f t="shared" si="26"/>
        <v>u=10%, k=2x10^9</v>
      </c>
      <c r="BD862" t="str">
        <f t="shared" si="27"/>
        <v>0</v>
      </c>
    </row>
    <row r="863" spans="1:56">
      <c r="A863" t="s">
        <v>1170</v>
      </c>
      <c r="B863" t="s">
        <v>64</v>
      </c>
      <c r="C863">
        <v>72</v>
      </c>
      <c r="D863" t="s">
        <v>65</v>
      </c>
      <c r="E863" t="s">
        <v>60</v>
      </c>
      <c r="F863" t="s">
        <v>61</v>
      </c>
      <c r="G863">
        <v>30000</v>
      </c>
      <c r="H863">
        <v>5</v>
      </c>
      <c r="I863">
        <v>5</v>
      </c>
      <c r="J863">
        <v>0</v>
      </c>
      <c r="K863">
        <v>1</v>
      </c>
      <c r="L863">
        <v>2000000000</v>
      </c>
      <c r="M863">
        <v>48</v>
      </c>
      <c r="N863">
        <v>48</v>
      </c>
      <c r="O863">
        <v>48</v>
      </c>
      <c r="P863">
        <v>0</v>
      </c>
      <c r="Q863" t="s">
        <v>62</v>
      </c>
      <c r="R863">
        <v>9.9998527835671795E+17</v>
      </c>
      <c r="S863">
        <v>999982313</v>
      </c>
      <c r="T863">
        <v>9.9998527835671795E+17</v>
      </c>
      <c r="U863">
        <v>999982313</v>
      </c>
      <c r="V863" t="s">
        <v>75</v>
      </c>
      <c r="W863">
        <v>7</v>
      </c>
      <c r="X863">
        <v>105818230</v>
      </c>
      <c r="Y863">
        <v>1122097191</v>
      </c>
      <c r="Z863">
        <v>1227915421</v>
      </c>
      <c r="AA863">
        <v>999982313</v>
      </c>
      <c r="AB863">
        <v>11.603999999999999</v>
      </c>
      <c r="AC863">
        <v>0.89117299999999999</v>
      </c>
      <c r="AD863">
        <v>1.81437</v>
      </c>
      <c r="AE863">
        <v>4.0439699999999998</v>
      </c>
      <c r="AF863">
        <v>26432698000</v>
      </c>
      <c r="AG863" t="s">
        <v>1171</v>
      </c>
      <c r="AH863" t="s">
        <v>1171</v>
      </c>
      <c r="AJ863">
        <v>87200</v>
      </c>
      <c r="AM863">
        <v>865690390</v>
      </c>
      <c r="AN863">
        <v>0</v>
      </c>
      <c r="AO863">
        <v>96186038</v>
      </c>
      <c r="AP863">
        <v>865690390</v>
      </c>
      <c r="AQ863">
        <v>961876428</v>
      </c>
      <c r="AR863">
        <v>28856346</v>
      </c>
      <c r="AS863">
        <v>0</v>
      </c>
      <c r="AT863">
        <v>3206201</v>
      </c>
      <c r="AU863">
        <v>28856346</v>
      </c>
      <c r="AV863">
        <v>32062547</v>
      </c>
      <c r="AW863">
        <v>22.8384</v>
      </c>
      <c r="AX863">
        <v>13.5182</v>
      </c>
      <c r="AY863">
        <v>4162.97</v>
      </c>
      <c r="AZ863">
        <v>3470.46</v>
      </c>
      <c r="BA863">
        <v>61723</v>
      </c>
      <c r="BB863">
        <v>11509</v>
      </c>
      <c r="BC863" t="str">
        <f t="shared" si="26"/>
        <v>u=10%, k=2x10^9</v>
      </c>
      <c r="BD863" t="str">
        <f t="shared" si="27"/>
        <v>0</v>
      </c>
    </row>
    <row r="864" spans="1:56">
      <c r="A864" t="s">
        <v>1172</v>
      </c>
      <c r="B864" t="s">
        <v>64</v>
      </c>
      <c r="C864">
        <v>72</v>
      </c>
      <c r="D864" t="s">
        <v>65</v>
      </c>
      <c r="E864" t="s">
        <v>60</v>
      </c>
      <c r="F864" t="s">
        <v>61</v>
      </c>
      <c r="G864">
        <v>30000</v>
      </c>
      <c r="H864">
        <v>5</v>
      </c>
      <c r="I864">
        <v>5</v>
      </c>
      <c r="J864">
        <v>0</v>
      </c>
      <c r="K864">
        <v>1</v>
      </c>
      <c r="L864">
        <v>2000000000</v>
      </c>
      <c r="M864">
        <v>96</v>
      </c>
      <c r="N864">
        <v>96</v>
      </c>
      <c r="O864">
        <v>96</v>
      </c>
      <c r="P864">
        <v>0</v>
      </c>
      <c r="Q864" t="s">
        <v>62</v>
      </c>
      <c r="R864">
        <v>1.00001903929845E+18</v>
      </c>
      <c r="S864">
        <v>1000018758</v>
      </c>
      <c r="T864">
        <v>1.00001903929845E+18</v>
      </c>
      <c r="U864">
        <v>1000018758</v>
      </c>
      <c r="V864" t="s">
        <v>75</v>
      </c>
      <c r="W864">
        <v>7</v>
      </c>
      <c r="X864">
        <v>121184941</v>
      </c>
      <c r="Y864">
        <v>1154593245</v>
      </c>
      <c r="Z864">
        <v>1275778186</v>
      </c>
      <c r="AA864">
        <v>1000018758</v>
      </c>
      <c r="AB864">
        <v>10.5275</v>
      </c>
      <c r="AC864">
        <v>0.86612199999999995</v>
      </c>
      <c r="AD864">
        <v>1.7838499999999999</v>
      </c>
      <c r="AE864">
        <v>4.0771499999999996</v>
      </c>
      <c r="AF864">
        <v>28209159888</v>
      </c>
      <c r="AG864" t="s">
        <v>1173</v>
      </c>
      <c r="AH864" t="s">
        <v>1174</v>
      </c>
      <c r="AJ864">
        <v>46490</v>
      </c>
      <c r="AM864">
        <v>1863199668</v>
      </c>
      <c r="AN864">
        <v>0</v>
      </c>
      <c r="AO864">
        <v>207005798</v>
      </c>
      <c r="AP864">
        <v>1863199668</v>
      </c>
      <c r="AQ864">
        <v>2070205466</v>
      </c>
      <c r="AR864">
        <v>62106655</v>
      </c>
      <c r="AS864">
        <v>0</v>
      </c>
      <c r="AT864">
        <v>6900193</v>
      </c>
      <c r="AU864">
        <v>62106655</v>
      </c>
      <c r="AV864">
        <v>69006848</v>
      </c>
      <c r="AW864">
        <v>23.1496</v>
      </c>
      <c r="AX864">
        <v>14.316599999999999</v>
      </c>
      <c r="AY864">
        <v>3866.9</v>
      </c>
      <c r="AZ864">
        <v>3123.87</v>
      </c>
      <c r="BA864">
        <v>64252</v>
      </c>
      <c r="BB864">
        <v>9694</v>
      </c>
      <c r="BC864" t="str">
        <f t="shared" si="26"/>
        <v>u=10%, k=2x10^9</v>
      </c>
      <c r="BD864" t="str">
        <f t="shared" si="27"/>
        <v>0</v>
      </c>
    </row>
    <row r="865" spans="1:56">
      <c r="A865" t="s">
        <v>1175</v>
      </c>
      <c r="B865" t="s">
        <v>64</v>
      </c>
      <c r="C865">
        <v>72</v>
      </c>
      <c r="D865" t="s">
        <v>65</v>
      </c>
      <c r="E865" t="s">
        <v>60</v>
      </c>
      <c r="F865" t="s">
        <v>61</v>
      </c>
      <c r="G865">
        <v>30000</v>
      </c>
      <c r="H865">
        <v>5</v>
      </c>
      <c r="I865">
        <v>5</v>
      </c>
      <c r="J865">
        <v>0</v>
      </c>
      <c r="K865">
        <v>1</v>
      </c>
      <c r="L865">
        <v>2000000000</v>
      </c>
      <c r="M865">
        <v>144</v>
      </c>
      <c r="N865">
        <v>144</v>
      </c>
      <c r="O865">
        <v>144</v>
      </c>
      <c r="P865">
        <v>0</v>
      </c>
      <c r="Q865" t="s">
        <v>62</v>
      </c>
      <c r="R865">
        <v>1.00000769448091E+18</v>
      </c>
      <c r="S865">
        <v>999993343</v>
      </c>
      <c r="T865">
        <v>1.00000769448091E+18</v>
      </c>
      <c r="U865">
        <v>999993343</v>
      </c>
      <c r="V865" t="s">
        <v>75</v>
      </c>
      <c r="W865">
        <v>7</v>
      </c>
      <c r="X865">
        <v>127269625</v>
      </c>
      <c r="Y865">
        <v>1168383951</v>
      </c>
      <c r="Z865">
        <v>1295653576</v>
      </c>
      <c r="AA865">
        <v>999993343</v>
      </c>
      <c r="AB865">
        <v>10.180400000000001</v>
      </c>
      <c r="AC865">
        <v>0.855877</v>
      </c>
      <c r="AD865">
        <v>1.7718100000000001</v>
      </c>
      <c r="AE865">
        <v>4.0909000000000004</v>
      </c>
      <c r="AF865">
        <v>28934898880</v>
      </c>
      <c r="AG865" t="s">
        <v>1176</v>
      </c>
      <c r="AH865" t="s">
        <v>1177</v>
      </c>
      <c r="AJ865">
        <v>30240</v>
      </c>
      <c r="AM865">
        <v>2736872564</v>
      </c>
      <c r="AN865">
        <v>0</v>
      </c>
      <c r="AO865">
        <v>304091793</v>
      </c>
      <c r="AP865">
        <v>2736872564</v>
      </c>
      <c r="AQ865">
        <v>3040964357</v>
      </c>
      <c r="AR865">
        <v>91229085</v>
      </c>
      <c r="AS865">
        <v>0</v>
      </c>
      <c r="AT865">
        <v>10136393</v>
      </c>
      <c r="AU865">
        <v>91229085</v>
      </c>
      <c r="AV865">
        <v>101365478</v>
      </c>
      <c r="AW865">
        <v>23.3094</v>
      </c>
      <c r="AX865">
        <v>14.681800000000001</v>
      </c>
      <c r="AY865">
        <v>3948.12</v>
      </c>
      <c r="AZ865">
        <v>3196.61</v>
      </c>
      <c r="BA865">
        <v>66100</v>
      </c>
      <c r="BB865">
        <v>8970</v>
      </c>
      <c r="BC865" t="str">
        <f t="shared" si="26"/>
        <v>u=10%, k=2x10^9</v>
      </c>
      <c r="BD865" t="str">
        <f t="shared" si="27"/>
        <v>0</v>
      </c>
    </row>
    <row r="866" spans="1:56">
      <c r="A866" t="s">
        <v>1178</v>
      </c>
      <c r="B866" t="s">
        <v>64</v>
      </c>
      <c r="C866">
        <v>72</v>
      </c>
      <c r="D866" t="s">
        <v>65</v>
      </c>
      <c r="E866" t="s">
        <v>60</v>
      </c>
      <c r="F866" t="s">
        <v>61</v>
      </c>
      <c r="G866">
        <v>30000</v>
      </c>
      <c r="H866">
        <v>5</v>
      </c>
      <c r="I866">
        <v>5</v>
      </c>
      <c r="J866">
        <v>0</v>
      </c>
      <c r="K866">
        <v>1</v>
      </c>
      <c r="L866">
        <v>2000000000</v>
      </c>
      <c r="M866">
        <v>190</v>
      </c>
      <c r="N866">
        <v>190</v>
      </c>
      <c r="O866">
        <v>190</v>
      </c>
      <c r="P866">
        <v>0</v>
      </c>
      <c r="Q866" t="s">
        <v>62</v>
      </c>
      <c r="R866">
        <v>9.9999832325172595E+17</v>
      </c>
      <c r="S866">
        <v>1000003808</v>
      </c>
      <c r="T866">
        <v>9.9999832325172595E+17</v>
      </c>
      <c r="U866">
        <v>1000003808</v>
      </c>
      <c r="V866" t="s">
        <v>75</v>
      </c>
      <c r="W866">
        <v>7</v>
      </c>
      <c r="X866">
        <v>127089653</v>
      </c>
      <c r="Y866">
        <v>1168939517</v>
      </c>
      <c r="Z866">
        <v>1296029170</v>
      </c>
      <c r="AA866">
        <v>1000003808</v>
      </c>
      <c r="AB866">
        <v>10.197800000000001</v>
      </c>
      <c r="AC866">
        <v>0.85548000000000002</v>
      </c>
      <c r="AD866">
        <v>1.77159</v>
      </c>
      <c r="AE866">
        <v>4.0910299999999999</v>
      </c>
      <c r="AF866">
        <v>28935424176</v>
      </c>
      <c r="AG866" t="s">
        <v>1179</v>
      </c>
      <c r="AH866" t="s">
        <v>1180</v>
      </c>
      <c r="AI866">
        <v>17</v>
      </c>
      <c r="AJ866">
        <v>22858</v>
      </c>
      <c r="AM866">
        <v>3486920795</v>
      </c>
      <c r="AN866">
        <v>0</v>
      </c>
      <c r="AO866">
        <v>387476181</v>
      </c>
      <c r="AP866">
        <v>3486920795</v>
      </c>
      <c r="AQ866">
        <v>3874396976</v>
      </c>
      <c r="AR866">
        <v>116230693</v>
      </c>
      <c r="AS866">
        <v>0</v>
      </c>
      <c r="AT866">
        <v>12915872</v>
      </c>
      <c r="AU866">
        <v>116230693</v>
      </c>
      <c r="AV866">
        <v>129146565</v>
      </c>
      <c r="AW866">
        <v>23.577400000000001</v>
      </c>
      <c r="AX866">
        <v>14.9384</v>
      </c>
      <c r="AY866">
        <v>4088.62</v>
      </c>
      <c r="AZ866">
        <v>3319.01</v>
      </c>
      <c r="BA866">
        <v>67103</v>
      </c>
      <c r="BB866">
        <v>8938</v>
      </c>
      <c r="BC866" t="str">
        <f t="shared" si="26"/>
        <v>u=10%, k=2x10^9</v>
      </c>
      <c r="BD866" t="str">
        <f t="shared" si="27"/>
        <v>0</v>
      </c>
    </row>
    <row r="867" spans="1:56">
      <c r="A867" t="s">
        <v>1181</v>
      </c>
      <c r="B867" t="s">
        <v>66</v>
      </c>
      <c r="C867">
        <v>208</v>
      </c>
      <c r="D867" t="s">
        <v>65</v>
      </c>
      <c r="E867" t="s">
        <v>60</v>
      </c>
      <c r="F867" t="s">
        <v>61</v>
      </c>
      <c r="G867">
        <v>30000</v>
      </c>
      <c r="H867">
        <v>5</v>
      </c>
      <c r="I867">
        <v>5</v>
      </c>
      <c r="J867">
        <v>0</v>
      </c>
      <c r="K867">
        <v>1</v>
      </c>
      <c r="L867">
        <v>2000000000</v>
      </c>
      <c r="M867">
        <v>24</v>
      </c>
      <c r="N867">
        <v>24</v>
      </c>
      <c r="O867">
        <v>24</v>
      </c>
      <c r="P867">
        <v>0</v>
      </c>
      <c r="Q867" t="s">
        <v>62</v>
      </c>
      <c r="R867">
        <v>9.9999636234092006E+17</v>
      </c>
      <c r="S867">
        <v>1000003065</v>
      </c>
      <c r="T867">
        <v>9.9999636234092006E+17</v>
      </c>
      <c r="U867">
        <v>1000003065</v>
      </c>
      <c r="V867" t="s">
        <v>75</v>
      </c>
      <c r="W867">
        <v>12</v>
      </c>
      <c r="X867">
        <v>18685941</v>
      </c>
      <c r="Y867">
        <v>128579067</v>
      </c>
      <c r="Z867">
        <v>147265008</v>
      </c>
      <c r="AA867">
        <v>1000003065</v>
      </c>
      <c r="AB867">
        <v>7.8810599999999997</v>
      </c>
      <c r="AC867">
        <v>7.7773399999999997</v>
      </c>
      <c r="AD867">
        <v>7.7904999999999998</v>
      </c>
      <c r="AE867">
        <v>11</v>
      </c>
      <c r="AF867">
        <v>30631121664</v>
      </c>
      <c r="AJ867" t="s">
        <v>1182</v>
      </c>
      <c r="AM867">
        <v>299530006</v>
      </c>
      <c r="AN867">
        <v>0</v>
      </c>
      <c r="AO867">
        <v>33286366</v>
      </c>
      <c r="AP867">
        <v>299530006</v>
      </c>
      <c r="AQ867">
        <v>332816372</v>
      </c>
      <c r="AR867">
        <v>9984333</v>
      </c>
      <c r="AS867">
        <v>0</v>
      </c>
      <c r="AT867">
        <v>1109545</v>
      </c>
      <c r="AU867">
        <v>9984333</v>
      </c>
      <c r="AV867">
        <v>11093879</v>
      </c>
      <c r="AW867">
        <v>31.183800000000002</v>
      </c>
      <c r="AX867">
        <v>16.953800000000001</v>
      </c>
      <c r="AY867">
        <v>6031.96</v>
      </c>
      <c r="AZ867">
        <v>4806.32</v>
      </c>
      <c r="BA867">
        <v>33502</v>
      </c>
      <c r="BB867">
        <v>154891</v>
      </c>
      <c r="BC867" t="str">
        <f t="shared" si="26"/>
        <v>u=10%, k=2x10^9</v>
      </c>
      <c r="BD867">
        <f t="shared" si="27"/>
        <v>0</v>
      </c>
    </row>
    <row r="868" spans="1:56">
      <c r="A868" t="s">
        <v>1183</v>
      </c>
      <c r="B868" t="s">
        <v>66</v>
      </c>
      <c r="C868">
        <v>208</v>
      </c>
      <c r="D868" t="s">
        <v>65</v>
      </c>
      <c r="E868" t="s">
        <v>60</v>
      </c>
      <c r="F868" t="s">
        <v>61</v>
      </c>
      <c r="G868">
        <v>30000</v>
      </c>
      <c r="H868">
        <v>5</v>
      </c>
      <c r="I868">
        <v>5</v>
      </c>
      <c r="J868">
        <v>0</v>
      </c>
      <c r="K868">
        <v>1</v>
      </c>
      <c r="L868">
        <v>2000000000</v>
      </c>
      <c r="M868">
        <v>48</v>
      </c>
      <c r="N868">
        <v>48</v>
      </c>
      <c r="O868">
        <v>48</v>
      </c>
      <c r="P868">
        <v>0</v>
      </c>
      <c r="Q868" t="s">
        <v>62</v>
      </c>
      <c r="R868">
        <v>1.0000026932190799E+18</v>
      </c>
      <c r="S868">
        <v>999998485</v>
      </c>
      <c r="T868">
        <v>1.0000026932190799E+18</v>
      </c>
      <c r="U868">
        <v>999998485</v>
      </c>
      <c r="V868" t="s">
        <v>75</v>
      </c>
      <c r="W868">
        <v>12</v>
      </c>
      <c r="X868">
        <v>18809104</v>
      </c>
      <c r="Y868">
        <v>129433278</v>
      </c>
      <c r="Z868">
        <v>148242382</v>
      </c>
      <c r="AA868">
        <v>999998485</v>
      </c>
      <c r="AB868">
        <v>7.8814200000000003</v>
      </c>
      <c r="AC868">
        <v>7.7259799999999998</v>
      </c>
      <c r="AD868">
        <v>7.7457000000000003</v>
      </c>
      <c r="AE868">
        <v>11</v>
      </c>
      <c r="AF868">
        <v>30834415456</v>
      </c>
      <c r="AJ868" t="s">
        <v>1184</v>
      </c>
      <c r="AM868">
        <v>571883402</v>
      </c>
      <c r="AN868">
        <v>0</v>
      </c>
      <c r="AO868">
        <v>63544571</v>
      </c>
      <c r="AP868">
        <v>571883402</v>
      </c>
      <c r="AQ868">
        <v>635427973</v>
      </c>
      <c r="AR868">
        <v>19062780</v>
      </c>
      <c r="AS868">
        <v>0</v>
      </c>
      <c r="AT868">
        <v>2118152</v>
      </c>
      <c r="AU868">
        <v>19062780</v>
      </c>
      <c r="AV868">
        <v>21180932</v>
      </c>
      <c r="AW868">
        <v>30.767099999999999</v>
      </c>
      <c r="AX868">
        <v>16.7928</v>
      </c>
      <c r="AY868">
        <v>6317.17</v>
      </c>
      <c r="AZ868">
        <v>5354.78</v>
      </c>
      <c r="BA868">
        <v>33821</v>
      </c>
      <c r="BB868">
        <v>94318</v>
      </c>
      <c r="BC868" t="str">
        <f t="shared" si="26"/>
        <v>u=10%, k=2x10^9</v>
      </c>
      <c r="BD868">
        <f t="shared" si="27"/>
        <v>0</v>
      </c>
    </row>
    <row r="869" spans="1:56">
      <c r="A869" t="s">
        <v>1185</v>
      </c>
      <c r="B869" t="s">
        <v>66</v>
      </c>
      <c r="C869">
        <v>208</v>
      </c>
      <c r="D869" t="s">
        <v>65</v>
      </c>
      <c r="E869" t="s">
        <v>60</v>
      </c>
      <c r="F869" t="s">
        <v>61</v>
      </c>
      <c r="G869">
        <v>30000</v>
      </c>
      <c r="H869">
        <v>5</v>
      </c>
      <c r="I869">
        <v>5</v>
      </c>
      <c r="J869">
        <v>0</v>
      </c>
      <c r="K869">
        <v>1</v>
      </c>
      <c r="L869">
        <v>2000000000</v>
      </c>
      <c r="M869">
        <v>96</v>
      </c>
      <c r="N869">
        <v>96</v>
      </c>
      <c r="O869">
        <v>96</v>
      </c>
      <c r="P869">
        <v>0</v>
      </c>
      <c r="Q869" t="s">
        <v>62</v>
      </c>
      <c r="R869">
        <v>9.9997882619250202E+17</v>
      </c>
      <c r="S869">
        <v>1000001490</v>
      </c>
      <c r="T869">
        <v>9.9997882619250202E+17</v>
      </c>
      <c r="U869">
        <v>1000001490</v>
      </c>
      <c r="V869" t="s">
        <v>75</v>
      </c>
      <c r="W869">
        <v>12</v>
      </c>
      <c r="X869">
        <v>19089982</v>
      </c>
      <c r="Y869">
        <v>131363387</v>
      </c>
      <c r="Z869">
        <v>150453369</v>
      </c>
      <c r="AA869">
        <v>1000001490</v>
      </c>
      <c r="AB869">
        <v>7.8812699999999998</v>
      </c>
      <c r="AC869">
        <v>7.6124799999999997</v>
      </c>
      <c r="AD869">
        <v>7.6465899999999998</v>
      </c>
      <c r="AE869">
        <v>11</v>
      </c>
      <c r="AF869">
        <v>31294300752</v>
      </c>
      <c r="AJ869" t="s">
        <v>1186</v>
      </c>
      <c r="AM869">
        <v>1277849792</v>
      </c>
      <c r="AN869">
        <v>0</v>
      </c>
      <c r="AO869">
        <v>141984545</v>
      </c>
      <c r="AP869">
        <v>1277849792</v>
      </c>
      <c r="AQ869">
        <v>1419834337</v>
      </c>
      <c r="AR869">
        <v>42594993</v>
      </c>
      <c r="AS869">
        <v>0</v>
      </c>
      <c r="AT869">
        <v>4732818</v>
      </c>
      <c r="AU869">
        <v>42594993</v>
      </c>
      <c r="AV869">
        <v>47327811</v>
      </c>
      <c r="AW869">
        <v>31.165400000000002</v>
      </c>
      <c r="AX869">
        <v>17.876899999999999</v>
      </c>
      <c r="AY869">
        <v>5646.87</v>
      </c>
      <c r="AZ869">
        <v>4627.1099999999997</v>
      </c>
      <c r="BA869">
        <v>34536</v>
      </c>
      <c r="BB869">
        <v>71398</v>
      </c>
      <c r="BC869" t="str">
        <f t="shared" si="26"/>
        <v>u=10%, k=2x10^9</v>
      </c>
      <c r="BD869">
        <f t="shared" si="27"/>
        <v>0</v>
      </c>
    </row>
    <row r="870" spans="1:56">
      <c r="A870" t="s">
        <v>1187</v>
      </c>
      <c r="B870" t="s">
        <v>66</v>
      </c>
      <c r="C870">
        <v>208</v>
      </c>
      <c r="D870" t="s">
        <v>65</v>
      </c>
      <c r="E870" t="s">
        <v>60</v>
      </c>
      <c r="F870" t="s">
        <v>61</v>
      </c>
      <c r="G870">
        <v>30000</v>
      </c>
      <c r="H870">
        <v>5</v>
      </c>
      <c r="I870">
        <v>5</v>
      </c>
      <c r="J870">
        <v>0</v>
      </c>
      <c r="K870">
        <v>1</v>
      </c>
      <c r="L870">
        <v>2000000000</v>
      </c>
      <c r="M870">
        <v>144</v>
      </c>
      <c r="N870">
        <v>144</v>
      </c>
      <c r="O870">
        <v>144</v>
      </c>
      <c r="P870">
        <v>0</v>
      </c>
      <c r="Q870" t="s">
        <v>62</v>
      </c>
      <c r="R870">
        <v>1.00001189562744E+18</v>
      </c>
      <c r="S870">
        <v>1000005472</v>
      </c>
      <c r="T870">
        <v>1.00001189562744E+18</v>
      </c>
      <c r="U870">
        <v>1000005472</v>
      </c>
      <c r="V870" t="s">
        <v>75</v>
      </c>
      <c r="W870">
        <v>12</v>
      </c>
      <c r="X870">
        <v>19312858</v>
      </c>
      <c r="Y870">
        <v>132892422</v>
      </c>
      <c r="Z870">
        <v>152205280</v>
      </c>
      <c r="AA870">
        <v>1000005472</v>
      </c>
      <c r="AB870">
        <v>7.88103</v>
      </c>
      <c r="AC870">
        <v>7.5249199999999998</v>
      </c>
      <c r="AD870">
        <v>7.5701099999999997</v>
      </c>
      <c r="AE870">
        <v>11</v>
      </c>
      <c r="AF870">
        <v>31658698240</v>
      </c>
      <c r="AJ870" t="s">
        <v>1188</v>
      </c>
      <c r="AM870">
        <v>1922996924</v>
      </c>
      <c r="AN870">
        <v>0</v>
      </c>
      <c r="AO870">
        <v>213671247</v>
      </c>
      <c r="AP870">
        <v>1922996924</v>
      </c>
      <c r="AQ870">
        <v>2136668171</v>
      </c>
      <c r="AR870">
        <v>64099897</v>
      </c>
      <c r="AS870">
        <v>0</v>
      </c>
      <c r="AT870">
        <v>7122374</v>
      </c>
      <c r="AU870">
        <v>64099897</v>
      </c>
      <c r="AV870">
        <v>71222272</v>
      </c>
      <c r="AW870">
        <v>31.374700000000001</v>
      </c>
      <c r="AX870">
        <v>18.139099999999999</v>
      </c>
      <c r="AY870">
        <v>5625.83</v>
      </c>
      <c r="AZ870">
        <v>4600.53</v>
      </c>
      <c r="BA870">
        <v>35207</v>
      </c>
      <c r="BB870">
        <v>65679</v>
      </c>
      <c r="BC870" t="str">
        <f t="shared" si="26"/>
        <v>u=10%, k=2x10^9</v>
      </c>
      <c r="BD870">
        <f t="shared" si="27"/>
        <v>0</v>
      </c>
    </row>
    <row r="871" spans="1:56">
      <c r="A871" t="s">
        <v>1189</v>
      </c>
      <c r="B871" t="s">
        <v>66</v>
      </c>
      <c r="C871">
        <v>208</v>
      </c>
      <c r="D871" t="s">
        <v>65</v>
      </c>
      <c r="E871" t="s">
        <v>60</v>
      </c>
      <c r="F871" t="s">
        <v>61</v>
      </c>
      <c r="G871">
        <v>30000</v>
      </c>
      <c r="H871">
        <v>5</v>
      </c>
      <c r="I871">
        <v>5</v>
      </c>
      <c r="J871">
        <v>0</v>
      </c>
      <c r="K871">
        <v>1</v>
      </c>
      <c r="L871">
        <v>2000000000</v>
      </c>
      <c r="M871">
        <v>190</v>
      </c>
      <c r="N871">
        <v>190</v>
      </c>
      <c r="O871">
        <v>190</v>
      </c>
      <c r="P871">
        <v>0</v>
      </c>
      <c r="Q871" t="s">
        <v>62</v>
      </c>
      <c r="R871">
        <v>9.9997587329971098E+17</v>
      </c>
      <c r="S871">
        <v>999983595</v>
      </c>
      <c r="T871">
        <v>9.9997587329971098E+17</v>
      </c>
      <c r="U871">
        <v>999983595</v>
      </c>
      <c r="V871" t="s">
        <v>75</v>
      </c>
      <c r="W871">
        <v>12</v>
      </c>
      <c r="X871">
        <v>19493973</v>
      </c>
      <c r="Y871">
        <v>134143199</v>
      </c>
      <c r="Z871">
        <v>153637172</v>
      </c>
      <c r="AA871">
        <v>999983595</v>
      </c>
      <c r="AB871">
        <v>7.8812699999999998</v>
      </c>
      <c r="AC871">
        <v>7.4546000000000001</v>
      </c>
      <c r="AD871">
        <v>7.5087299999999999</v>
      </c>
      <c r="AE871">
        <v>11</v>
      </c>
      <c r="AF871">
        <v>31956531776</v>
      </c>
      <c r="AJ871" t="s">
        <v>1190</v>
      </c>
      <c r="AM871">
        <v>2513865910</v>
      </c>
      <c r="AN871">
        <v>0</v>
      </c>
      <c r="AO871">
        <v>279316686</v>
      </c>
      <c r="AP871">
        <v>2513865910</v>
      </c>
      <c r="AQ871">
        <v>2793182596</v>
      </c>
      <c r="AR871">
        <v>83795530</v>
      </c>
      <c r="AS871">
        <v>0</v>
      </c>
      <c r="AT871">
        <v>9310556</v>
      </c>
      <c r="AU871">
        <v>83795530</v>
      </c>
      <c r="AV871">
        <v>93106086</v>
      </c>
      <c r="AW871">
        <v>31.459099999999999</v>
      </c>
      <c r="AX871">
        <v>18.269200000000001</v>
      </c>
      <c r="AY871">
        <v>5676.41</v>
      </c>
      <c r="AZ871">
        <v>4624.0600000000004</v>
      </c>
      <c r="BA871">
        <v>35974</v>
      </c>
      <c r="BB871">
        <v>61034</v>
      </c>
      <c r="BC871" t="str">
        <f t="shared" si="26"/>
        <v>u=10%, k=2x10^9</v>
      </c>
      <c r="BD871">
        <f t="shared" si="27"/>
        <v>0</v>
      </c>
    </row>
    <row r="872" spans="1:56">
      <c r="A872" t="s">
        <v>1191</v>
      </c>
      <c r="B872" t="s">
        <v>67</v>
      </c>
      <c r="D872" t="s">
        <v>65</v>
      </c>
      <c r="E872" t="s">
        <v>60</v>
      </c>
      <c r="F872" t="s">
        <v>61</v>
      </c>
      <c r="G872">
        <v>30000</v>
      </c>
      <c r="H872">
        <v>5</v>
      </c>
      <c r="I872">
        <v>5</v>
      </c>
      <c r="J872">
        <v>0</v>
      </c>
      <c r="K872">
        <v>1</v>
      </c>
      <c r="L872">
        <v>2000000000</v>
      </c>
      <c r="M872">
        <v>24</v>
      </c>
      <c r="N872">
        <v>24</v>
      </c>
      <c r="O872">
        <v>24</v>
      </c>
      <c r="P872">
        <v>0</v>
      </c>
      <c r="Q872" t="s">
        <v>62</v>
      </c>
      <c r="R872">
        <v>1.00000054125515E+18</v>
      </c>
      <c r="S872">
        <v>1000005665</v>
      </c>
      <c r="T872">
        <v>1.00000054125515E+18</v>
      </c>
      <c r="U872">
        <v>1000005665</v>
      </c>
      <c r="V872" t="s">
        <v>75</v>
      </c>
      <c r="W872">
        <v>37</v>
      </c>
      <c r="X872">
        <v>572345507</v>
      </c>
      <c r="Y872">
        <v>429333634</v>
      </c>
      <c r="Z872">
        <v>1001679141</v>
      </c>
      <c r="AA872">
        <v>1000005665</v>
      </c>
      <c r="AB872">
        <v>1.75013</v>
      </c>
      <c r="AC872">
        <v>2.3292000000000002</v>
      </c>
      <c r="AD872">
        <v>1.9983299999999999</v>
      </c>
      <c r="AE872">
        <v>29.485099999999999</v>
      </c>
      <c r="AF872">
        <v>56094031896</v>
      </c>
      <c r="AJ872" t="s">
        <v>1192</v>
      </c>
      <c r="AM872">
        <v>141148491</v>
      </c>
      <c r="AN872">
        <v>0</v>
      </c>
      <c r="AO872">
        <v>15685657</v>
      </c>
      <c r="AP872">
        <v>141148491</v>
      </c>
      <c r="AQ872">
        <v>156834148</v>
      </c>
      <c r="AR872">
        <v>4704949</v>
      </c>
      <c r="AS872">
        <v>0</v>
      </c>
      <c r="AT872">
        <v>522855</v>
      </c>
      <c r="AU872">
        <v>4704949</v>
      </c>
      <c r="AV872">
        <v>5227804</v>
      </c>
      <c r="AW872">
        <v>54.691200000000002</v>
      </c>
      <c r="AX872">
        <v>29.143699999999999</v>
      </c>
      <c r="AY872">
        <v>12804.8</v>
      </c>
      <c r="AZ872">
        <v>11219.1</v>
      </c>
      <c r="BA872">
        <v>65753</v>
      </c>
      <c r="BB872">
        <v>273235</v>
      </c>
      <c r="BC872" t="str">
        <f t="shared" si="26"/>
        <v>u=10%, k=2x10^9</v>
      </c>
      <c r="BD872">
        <f t="shared" si="27"/>
        <v>0</v>
      </c>
    </row>
    <row r="873" spans="1:56">
      <c r="A873" t="s">
        <v>1193</v>
      </c>
      <c r="B873" t="s">
        <v>67</v>
      </c>
      <c r="D873" t="s">
        <v>65</v>
      </c>
      <c r="E873" t="s">
        <v>60</v>
      </c>
      <c r="F873" t="s">
        <v>61</v>
      </c>
      <c r="G873">
        <v>30000</v>
      </c>
      <c r="H873">
        <v>5</v>
      </c>
      <c r="I873">
        <v>5</v>
      </c>
      <c r="J873">
        <v>0</v>
      </c>
      <c r="K873">
        <v>1</v>
      </c>
      <c r="L873">
        <v>2000000000</v>
      </c>
      <c r="M873">
        <v>48</v>
      </c>
      <c r="N873">
        <v>48</v>
      </c>
      <c r="O873">
        <v>48</v>
      </c>
      <c r="P873">
        <v>0</v>
      </c>
      <c r="Q873" t="s">
        <v>62</v>
      </c>
      <c r="R873">
        <v>9.9998467913271398E+17</v>
      </c>
      <c r="S873">
        <v>999997500</v>
      </c>
      <c r="T873">
        <v>9.9998467913271398E+17</v>
      </c>
      <c r="U873">
        <v>999997500</v>
      </c>
      <c r="V873" t="s">
        <v>75</v>
      </c>
      <c r="W873">
        <v>37</v>
      </c>
      <c r="X873">
        <v>573172172</v>
      </c>
      <c r="Y873">
        <v>430043409</v>
      </c>
      <c r="Z873">
        <v>1003215581</v>
      </c>
      <c r="AA873">
        <v>999997500</v>
      </c>
      <c r="AB873">
        <v>1.7502899999999999</v>
      </c>
      <c r="AC873">
        <v>2.3253400000000002</v>
      </c>
      <c r="AD873">
        <v>1.9967900000000001</v>
      </c>
      <c r="AE873">
        <v>29.454599999999999</v>
      </c>
      <c r="AF873">
        <v>56180072536</v>
      </c>
      <c r="AJ873" t="s">
        <v>1194</v>
      </c>
      <c r="AM873">
        <v>272645734</v>
      </c>
      <c r="AN873">
        <v>0</v>
      </c>
      <c r="AO873">
        <v>30287535</v>
      </c>
      <c r="AP873">
        <v>272645734</v>
      </c>
      <c r="AQ873">
        <v>302933269</v>
      </c>
      <c r="AR873">
        <v>9088191</v>
      </c>
      <c r="AS873">
        <v>0</v>
      </c>
      <c r="AT873">
        <v>1009584</v>
      </c>
      <c r="AU873">
        <v>9088191</v>
      </c>
      <c r="AV873">
        <v>10097775</v>
      </c>
      <c r="AW873">
        <v>55.356200000000001</v>
      </c>
      <c r="AX873">
        <v>29.299199999999999</v>
      </c>
      <c r="AY873">
        <v>13257.4</v>
      </c>
      <c r="AZ873">
        <v>11753.7</v>
      </c>
      <c r="BA873">
        <v>65859</v>
      </c>
      <c r="BB873">
        <v>143141</v>
      </c>
      <c r="BC873" t="str">
        <f t="shared" si="26"/>
        <v>u=10%, k=2x10^9</v>
      </c>
      <c r="BD873">
        <f t="shared" si="27"/>
        <v>0</v>
      </c>
    </row>
    <row r="874" spans="1:56">
      <c r="A874" t="s">
        <v>1195</v>
      </c>
      <c r="B874" t="s">
        <v>67</v>
      </c>
      <c r="D874" t="s">
        <v>65</v>
      </c>
      <c r="E874" t="s">
        <v>60</v>
      </c>
      <c r="F874" t="s">
        <v>61</v>
      </c>
      <c r="G874">
        <v>30000</v>
      </c>
      <c r="H874">
        <v>5</v>
      </c>
      <c r="I874">
        <v>5</v>
      </c>
      <c r="J874">
        <v>0</v>
      </c>
      <c r="K874">
        <v>1</v>
      </c>
      <c r="L874">
        <v>2000000000</v>
      </c>
      <c r="M874">
        <v>96</v>
      </c>
      <c r="N874">
        <v>96</v>
      </c>
      <c r="O874">
        <v>96</v>
      </c>
      <c r="P874">
        <v>0</v>
      </c>
      <c r="Q874" t="s">
        <v>62</v>
      </c>
      <c r="R874">
        <v>9.9999425106019994E+17</v>
      </c>
      <c r="S874">
        <v>999989475</v>
      </c>
      <c r="T874">
        <v>9.9999425106019994E+17</v>
      </c>
      <c r="U874">
        <v>999989475</v>
      </c>
      <c r="V874" t="s">
        <v>75</v>
      </c>
      <c r="W874">
        <v>37</v>
      </c>
      <c r="X874">
        <v>575276941</v>
      </c>
      <c r="Y874">
        <v>431782253</v>
      </c>
      <c r="Z874">
        <v>1007059194</v>
      </c>
      <c r="AA874">
        <v>999989475</v>
      </c>
      <c r="AB874">
        <v>1.7505599999999999</v>
      </c>
      <c r="AC874">
        <v>2.31596</v>
      </c>
      <c r="AD874">
        <v>1.99298</v>
      </c>
      <c r="AE874">
        <v>29.490200000000002</v>
      </c>
      <c r="AF874">
        <v>56395314864</v>
      </c>
      <c r="AJ874" t="s">
        <v>1196</v>
      </c>
      <c r="AM874">
        <v>604664254</v>
      </c>
      <c r="AN874">
        <v>0</v>
      </c>
      <c r="AO874">
        <v>67186127</v>
      </c>
      <c r="AP874">
        <v>604664254</v>
      </c>
      <c r="AQ874">
        <v>671850381</v>
      </c>
      <c r="AR874">
        <v>20155475</v>
      </c>
      <c r="AS874">
        <v>0</v>
      </c>
      <c r="AT874">
        <v>2239537</v>
      </c>
      <c r="AU874">
        <v>20155475</v>
      </c>
      <c r="AV874">
        <v>22395012</v>
      </c>
      <c r="AW874">
        <v>56.171399999999998</v>
      </c>
      <c r="AX874">
        <v>31.4072</v>
      </c>
      <c r="AY874">
        <v>11942.9</v>
      </c>
      <c r="AZ874">
        <v>10360.700000000001</v>
      </c>
      <c r="BA874">
        <v>66123</v>
      </c>
      <c r="BB874">
        <v>63864</v>
      </c>
      <c r="BC874" t="str">
        <f t="shared" si="26"/>
        <v>u=10%, k=2x10^9</v>
      </c>
      <c r="BD874">
        <f t="shared" si="27"/>
        <v>0</v>
      </c>
    </row>
    <row r="875" spans="1:56">
      <c r="A875" t="s">
        <v>1197</v>
      </c>
      <c r="B875" t="s">
        <v>67</v>
      </c>
      <c r="D875" t="s">
        <v>65</v>
      </c>
      <c r="E875" t="s">
        <v>60</v>
      </c>
      <c r="F875" t="s">
        <v>61</v>
      </c>
      <c r="G875">
        <v>30000</v>
      </c>
      <c r="H875">
        <v>5</v>
      </c>
      <c r="I875">
        <v>5</v>
      </c>
      <c r="J875">
        <v>0</v>
      </c>
      <c r="K875">
        <v>1</v>
      </c>
      <c r="L875">
        <v>2000000000</v>
      </c>
      <c r="M875">
        <v>144</v>
      </c>
      <c r="N875">
        <v>144</v>
      </c>
      <c r="O875">
        <v>144</v>
      </c>
      <c r="P875">
        <v>0</v>
      </c>
      <c r="Q875" t="s">
        <v>62</v>
      </c>
      <c r="R875">
        <v>1.0000235056076401E+18</v>
      </c>
      <c r="S875">
        <v>1000001321</v>
      </c>
      <c r="T875">
        <v>1.0000235056076401E+18</v>
      </c>
      <c r="U875">
        <v>1000001321</v>
      </c>
      <c r="V875" t="s">
        <v>75</v>
      </c>
      <c r="W875">
        <v>37</v>
      </c>
      <c r="X875">
        <v>577195878</v>
      </c>
      <c r="Y875">
        <v>433385420</v>
      </c>
      <c r="Z875">
        <v>1010581298</v>
      </c>
      <c r="AA875">
        <v>1000001321</v>
      </c>
      <c r="AB875">
        <v>1.75085</v>
      </c>
      <c r="AC875">
        <v>2.30742</v>
      </c>
      <c r="AD875">
        <v>1.98953</v>
      </c>
      <c r="AE875">
        <v>29.454000000000001</v>
      </c>
      <c r="AF875">
        <v>56592552688</v>
      </c>
      <c r="AJ875" t="s">
        <v>1198</v>
      </c>
      <c r="AM875">
        <v>913360465</v>
      </c>
      <c r="AN875">
        <v>0</v>
      </c>
      <c r="AO875">
        <v>101514203</v>
      </c>
      <c r="AP875">
        <v>913360465</v>
      </c>
      <c r="AQ875">
        <v>1014874668</v>
      </c>
      <c r="AR875">
        <v>30445348</v>
      </c>
      <c r="AS875">
        <v>0</v>
      </c>
      <c r="AT875">
        <v>3383806</v>
      </c>
      <c r="AU875">
        <v>30445348</v>
      </c>
      <c r="AV875">
        <v>33829155</v>
      </c>
      <c r="AW875">
        <v>56.07</v>
      </c>
      <c r="AX875">
        <v>31.684000000000001</v>
      </c>
      <c r="AY875">
        <v>11856.4</v>
      </c>
      <c r="AZ875">
        <v>10260.299999999999</v>
      </c>
      <c r="BA875">
        <v>66364</v>
      </c>
      <c r="BB875">
        <v>42694</v>
      </c>
      <c r="BC875" t="str">
        <f t="shared" si="26"/>
        <v>u=10%, k=2x10^9</v>
      </c>
      <c r="BD875">
        <f t="shared" si="27"/>
        <v>0</v>
      </c>
    </row>
    <row r="876" spans="1:56">
      <c r="A876" t="s">
        <v>1199</v>
      </c>
      <c r="B876" t="s">
        <v>67</v>
      </c>
      <c r="D876" t="s">
        <v>65</v>
      </c>
      <c r="E876" t="s">
        <v>60</v>
      </c>
      <c r="F876" t="s">
        <v>61</v>
      </c>
      <c r="G876">
        <v>30000</v>
      </c>
      <c r="H876">
        <v>5</v>
      </c>
      <c r="I876">
        <v>5</v>
      </c>
      <c r="J876">
        <v>0</v>
      </c>
      <c r="K876">
        <v>1</v>
      </c>
      <c r="L876">
        <v>2000000000</v>
      </c>
      <c r="M876">
        <v>190</v>
      </c>
      <c r="N876">
        <v>190</v>
      </c>
      <c r="O876">
        <v>190</v>
      </c>
      <c r="P876">
        <v>0</v>
      </c>
      <c r="Q876" t="s">
        <v>62</v>
      </c>
      <c r="R876">
        <v>9.9997667980119501E+17</v>
      </c>
      <c r="S876">
        <v>999993107</v>
      </c>
      <c r="T876">
        <v>9.9997667980119501E+17</v>
      </c>
      <c r="U876">
        <v>999993107</v>
      </c>
      <c r="V876" t="s">
        <v>75</v>
      </c>
      <c r="W876">
        <v>37</v>
      </c>
      <c r="X876">
        <v>578976820</v>
      </c>
      <c r="Y876">
        <v>434863729</v>
      </c>
      <c r="Z876">
        <v>1013840549</v>
      </c>
      <c r="AA876">
        <v>999993107</v>
      </c>
      <c r="AB876">
        <v>1.75109</v>
      </c>
      <c r="AC876">
        <v>2.29956</v>
      </c>
      <c r="AD876">
        <v>1.98634</v>
      </c>
      <c r="AE876">
        <v>29.470199999999998</v>
      </c>
      <c r="AF876">
        <v>56775070744</v>
      </c>
      <c r="AJ876" t="s">
        <v>1200</v>
      </c>
      <c r="AM876">
        <v>1207049055</v>
      </c>
      <c r="AN876">
        <v>0</v>
      </c>
      <c r="AO876">
        <v>134102642</v>
      </c>
      <c r="AP876">
        <v>1207049055</v>
      </c>
      <c r="AQ876">
        <v>1341151697</v>
      </c>
      <c r="AR876">
        <v>40234968</v>
      </c>
      <c r="AS876">
        <v>0</v>
      </c>
      <c r="AT876">
        <v>4470088</v>
      </c>
      <c r="AU876">
        <v>40234968</v>
      </c>
      <c r="AV876">
        <v>44705056</v>
      </c>
      <c r="AW876">
        <v>56.247300000000003</v>
      </c>
      <c r="AX876">
        <v>31.809899999999999</v>
      </c>
      <c r="AY876">
        <v>11838.4</v>
      </c>
      <c r="AZ876">
        <v>10246.5</v>
      </c>
      <c r="BA876">
        <v>66591</v>
      </c>
      <c r="BB876">
        <v>32736</v>
      </c>
      <c r="BC876" t="str">
        <f t="shared" si="26"/>
        <v>u=10%, k=2x10^9</v>
      </c>
      <c r="BD876">
        <f t="shared" si="27"/>
        <v>0</v>
      </c>
    </row>
    <row r="877" spans="1:56">
      <c r="A877" t="s">
        <v>1201</v>
      </c>
      <c r="B877" t="s">
        <v>68</v>
      </c>
      <c r="D877" t="s">
        <v>65</v>
      </c>
      <c r="E877" t="s">
        <v>60</v>
      </c>
      <c r="F877" t="s">
        <v>61</v>
      </c>
      <c r="G877">
        <v>30000</v>
      </c>
      <c r="H877">
        <v>5</v>
      </c>
      <c r="I877">
        <v>5</v>
      </c>
      <c r="J877">
        <v>0</v>
      </c>
      <c r="K877">
        <v>1</v>
      </c>
      <c r="L877">
        <v>2000000000</v>
      </c>
      <c r="M877">
        <v>24</v>
      </c>
      <c r="N877">
        <v>24</v>
      </c>
      <c r="O877">
        <v>24</v>
      </c>
      <c r="P877">
        <v>0</v>
      </c>
      <c r="Q877" t="s">
        <v>62</v>
      </c>
      <c r="R877">
        <v>9.9997410913045402E+17</v>
      </c>
      <c r="S877">
        <v>999994399</v>
      </c>
      <c r="T877">
        <v>9.9997410913045402E+17</v>
      </c>
      <c r="U877">
        <v>999994399</v>
      </c>
      <c r="V877" t="s">
        <v>75</v>
      </c>
      <c r="W877">
        <v>80</v>
      </c>
      <c r="X877">
        <v>999994398</v>
      </c>
      <c r="Y877">
        <v>999994399</v>
      </c>
      <c r="Z877">
        <v>1999988797</v>
      </c>
      <c r="AA877">
        <v>999994399</v>
      </c>
      <c r="AB877">
        <v>2</v>
      </c>
      <c r="AC877">
        <v>1</v>
      </c>
      <c r="AD877">
        <v>1.5</v>
      </c>
      <c r="AE877">
        <v>40.316899999999997</v>
      </c>
      <c r="AF877">
        <v>63999641504</v>
      </c>
      <c r="AJ877" t="s">
        <v>1202</v>
      </c>
      <c r="AM877">
        <v>115286930</v>
      </c>
      <c r="AN877">
        <v>0</v>
      </c>
      <c r="AO877">
        <v>12809046</v>
      </c>
      <c r="AP877">
        <v>115286930</v>
      </c>
      <c r="AQ877">
        <v>128095976</v>
      </c>
      <c r="AR877">
        <v>3842897</v>
      </c>
      <c r="AS877">
        <v>0</v>
      </c>
      <c r="AT877">
        <v>426968</v>
      </c>
      <c r="AU877">
        <v>3842897</v>
      </c>
      <c r="AV877">
        <v>4269865</v>
      </c>
      <c r="AW877">
        <v>53.750799999999998</v>
      </c>
      <c r="AX877">
        <v>28.9086</v>
      </c>
      <c r="AY877">
        <v>15679.9</v>
      </c>
      <c r="AZ877">
        <v>13707.9</v>
      </c>
      <c r="BA877">
        <v>65647</v>
      </c>
      <c r="BB877">
        <v>299618</v>
      </c>
      <c r="BC877" t="str">
        <f t="shared" si="26"/>
        <v>u=10%, k=2x10^9</v>
      </c>
      <c r="BD877">
        <f t="shared" si="27"/>
        <v>0</v>
      </c>
    </row>
    <row r="878" spans="1:56">
      <c r="A878" t="s">
        <v>1203</v>
      </c>
      <c r="B878" t="s">
        <v>68</v>
      </c>
      <c r="D878" t="s">
        <v>65</v>
      </c>
      <c r="E878" t="s">
        <v>60</v>
      </c>
      <c r="F878" t="s">
        <v>61</v>
      </c>
      <c r="G878">
        <v>30000</v>
      </c>
      <c r="H878">
        <v>5</v>
      </c>
      <c r="I878">
        <v>5</v>
      </c>
      <c r="J878">
        <v>0</v>
      </c>
      <c r="K878">
        <v>1</v>
      </c>
      <c r="L878">
        <v>2000000000</v>
      </c>
      <c r="M878">
        <v>48</v>
      </c>
      <c r="N878">
        <v>48</v>
      </c>
      <c r="O878">
        <v>48</v>
      </c>
      <c r="P878">
        <v>0</v>
      </c>
      <c r="Q878" t="s">
        <v>62</v>
      </c>
      <c r="R878">
        <v>1.00000996811099E+18</v>
      </c>
      <c r="S878">
        <v>999999920</v>
      </c>
      <c r="T878">
        <v>1.00000996811099E+18</v>
      </c>
      <c r="U878">
        <v>999999920</v>
      </c>
      <c r="V878" t="s">
        <v>75</v>
      </c>
      <c r="W878">
        <v>83</v>
      </c>
      <c r="X878">
        <v>999999919</v>
      </c>
      <c r="Y878">
        <v>999999920</v>
      </c>
      <c r="Z878">
        <v>1999999839</v>
      </c>
      <c r="AA878">
        <v>999999920</v>
      </c>
      <c r="AB878">
        <v>2</v>
      </c>
      <c r="AC878">
        <v>1</v>
      </c>
      <c r="AD878">
        <v>1.5</v>
      </c>
      <c r="AE878">
        <v>40.833300000000001</v>
      </c>
      <c r="AF878">
        <v>63999994848</v>
      </c>
      <c r="AJ878" t="s">
        <v>1204</v>
      </c>
      <c r="AM878">
        <v>225555047</v>
      </c>
      <c r="AN878">
        <v>0</v>
      </c>
      <c r="AO878">
        <v>25067376</v>
      </c>
      <c r="AP878">
        <v>225555047</v>
      </c>
      <c r="AQ878">
        <v>250622423</v>
      </c>
      <c r="AR878">
        <v>7518501</v>
      </c>
      <c r="AS878">
        <v>0</v>
      </c>
      <c r="AT878">
        <v>835579</v>
      </c>
      <c r="AU878">
        <v>7518501</v>
      </c>
      <c r="AV878">
        <v>8354080</v>
      </c>
      <c r="AW878">
        <v>53.693899999999999</v>
      </c>
      <c r="AX878">
        <v>28.895499999999998</v>
      </c>
      <c r="AY878">
        <v>16027.2</v>
      </c>
      <c r="AZ878">
        <v>14842.6</v>
      </c>
      <c r="BA878">
        <v>65658</v>
      </c>
      <c r="BB878">
        <v>153739</v>
      </c>
      <c r="BC878" t="str">
        <f t="shared" si="26"/>
        <v>u=10%, k=2x10^9</v>
      </c>
      <c r="BD878">
        <f t="shared" si="27"/>
        <v>0</v>
      </c>
    </row>
    <row r="879" spans="1:56">
      <c r="A879" t="s">
        <v>1205</v>
      </c>
      <c r="B879" t="s">
        <v>68</v>
      </c>
      <c r="D879" t="s">
        <v>65</v>
      </c>
      <c r="E879" t="s">
        <v>60</v>
      </c>
      <c r="F879" t="s">
        <v>61</v>
      </c>
      <c r="G879">
        <v>30000</v>
      </c>
      <c r="H879">
        <v>5</v>
      </c>
      <c r="I879">
        <v>5</v>
      </c>
      <c r="J879">
        <v>0</v>
      </c>
      <c r="K879">
        <v>1</v>
      </c>
      <c r="L879">
        <v>2000000000</v>
      </c>
      <c r="M879">
        <v>96</v>
      </c>
      <c r="N879">
        <v>96</v>
      </c>
      <c r="O879">
        <v>96</v>
      </c>
      <c r="P879">
        <v>0</v>
      </c>
      <c r="Q879" t="s">
        <v>62</v>
      </c>
      <c r="R879">
        <v>9.99976101509008E+17</v>
      </c>
      <c r="S879">
        <v>1000001883</v>
      </c>
      <c r="T879">
        <v>9.99976101509008E+17</v>
      </c>
      <c r="U879">
        <v>1000001883</v>
      </c>
      <c r="V879" t="s">
        <v>75</v>
      </c>
      <c r="W879">
        <v>81</v>
      </c>
      <c r="X879">
        <v>1000001882</v>
      </c>
      <c r="Y879">
        <v>1000001883</v>
      </c>
      <c r="Z879">
        <v>2000003765</v>
      </c>
      <c r="AA879">
        <v>1000001883</v>
      </c>
      <c r="AB879">
        <v>2</v>
      </c>
      <c r="AC879">
        <v>1</v>
      </c>
      <c r="AD879">
        <v>1.5</v>
      </c>
      <c r="AE879">
        <v>40.700600000000001</v>
      </c>
      <c r="AF879">
        <v>64000120480</v>
      </c>
      <c r="AJ879" t="s">
        <v>1206</v>
      </c>
      <c r="AM879">
        <v>508697013</v>
      </c>
      <c r="AN879">
        <v>0</v>
      </c>
      <c r="AO879">
        <v>56518499</v>
      </c>
      <c r="AP879">
        <v>508697013</v>
      </c>
      <c r="AQ879">
        <v>565215512</v>
      </c>
      <c r="AR879">
        <v>16956567</v>
      </c>
      <c r="AS879">
        <v>0</v>
      </c>
      <c r="AT879">
        <v>1883949</v>
      </c>
      <c r="AU879">
        <v>16956567</v>
      </c>
      <c r="AV879">
        <v>18840517</v>
      </c>
      <c r="AW879">
        <v>54.370899999999999</v>
      </c>
      <c r="AX879">
        <v>31.444800000000001</v>
      </c>
      <c r="AY879">
        <v>14199.7</v>
      </c>
      <c r="AZ879">
        <v>12927.9</v>
      </c>
      <c r="BA879">
        <v>65682</v>
      </c>
      <c r="BB879">
        <v>66332</v>
      </c>
      <c r="BC879" t="str">
        <f t="shared" si="26"/>
        <v>u=10%, k=2x10^9</v>
      </c>
      <c r="BD879">
        <f t="shared" si="27"/>
        <v>0</v>
      </c>
    </row>
    <row r="880" spans="1:56">
      <c r="A880" t="s">
        <v>1207</v>
      </c>
      <c r="B880" t="s">
        <v>68</v>
      </c>
      <c r="D880" t="s">
        <v>65</v>
      </c>
      <c r="E880" t="s">
        <v>60</v>
      </c>
      <c r="F880" t="s">
        <v>61</v>
      </c>
      <c r="G880">
        <v>30000</v>
      </c>
      <c r="H880">
        <v>5</v>
      </c>
      <c r="I880">
        <v>5</v>
      </c>
      <c r="J880">
        <v>0</v>
      </c>
      <c r="K880">
        <v>1</v>
      </c>
      <c r="L880">
        <v>2000000000</v>
      </c>
      <c r="M880">
        <v>144</v>
      </c>
      <c r="N880">
        <v>144</v>
      </c>
      <c r="O880">
        <v>144</v>
      </c>
      <c r="P880">
        <v>0</v>
      </c>
      <c r="Q880" t="s">
        <v>62</v>
      </c>
      <c r="R880">
        <v>1.00001990170446E+18</v>
      </c>
      <c r="S880">
        <v>999996079</v>
      </c>
      <c r="T880">
        <v>1.00001990170446E+18</v>
      </c>
      <c r="U880">
        <v>999996079</v>
      </c>
      <c r="V880" t="s">
        <v>75</v>
      </c>
      <c r="W880">
        <v>86</v>
      </c>
      <c r="X880">
        <v>999996078</v>
      </c>
      <c r="Y880">
        <v>999996079</v>
      </c>
      <c r="Z880">
        <v>1999992157</v>
      </c>
      <c r="AA880">
        <v>999996079</v>
      </c>
      <c r="AB880">
        <v>2</v>
      </c>
      <c r="AC880">
        <v>1</v>
      </c>
      <c r="AD880">
        <v>1.5</v>
      </c>
      <c r="AE880">
        <v>40.741500000000002</v>
      </c>
      <c r="AF880">
        <v>63999749024</v>
      </c>
      <c r="AJ880" t="s">
        <v>1208</v>
      </c>
      <c r="AM880">
        <v>769653188</v>
      </c>
      <c r="AN880">
        <v>0</v>
      </c>
      <c r="AO880">
        <v>85514865</v>
      </c>
      <c r="AP880">
        <v>769653188</v>
      </c>
      <c r="AQ880">
        <v>855168053</v>
      </c>
      <c r="AR880">
        <v>25655106</v>
      </c>
      <c r="AS880">
        <v>0</v>
      </c>
      <c r="AT880">
        <v>2850495</v>
      </c>
      <c r="AU880">
        <v>25655106</v>
      </c>
      <c r="AV880">
        <v>28505601</v>
      </c>
      <c r="AW880">
        <v>54.3504</v>
      </c>
      <c r="AX880">
        <v>31.668800000000001</v>
      </c>
      <c r="AY880">
        <v>14074.5</v>
      </c>
      <c r="AZ880">
        <v>12804.7</v>
      </c>
      <c r="BA880">
        <v>65707</v>
      </c>
      <c r="BB880">
        <v>44184</v>
      </c>
      <c r="BC880" t="str">
        <f t="shared" si="26"/>
        <v>u=10%, k=2x10^9</v>
      </c>
      <c r="BD880">
        <f t="shared" si="27"/>
        <v>0</v>
      </c>
    </row>
    <row r="881" spans="1:56">
      <c r="A881" t="s">
        <v>1209</v>
      </c>
      <c r="B881" t="s">
        <v>68</v>
      </c>
      <c r="D881" t="s">
        <v>65</v>
      </c>
      <c r="E881" t="s">
        <v>60</v>
      </c>
      <c r="F881" t="s">
        <v>61</v>
      </c>
      <c r="G881">
        <v>30000</v>
      </c>
      <c r="H881">
        <v>5</v>
      </c>
      <c r="I881">
        <v>5</v>
      </c>
      <c r="J881">
        <v>0</v>
      </c>
      <c r="K881">
        <v>1</v>
      </c>
      <c r="L881">
        <v>2000000000</v>
      </c>
      <c r="M881">
        <v>190</v>
      </c>
      <c r="N881">
        <v>190</v>
      </c>
      <c r="O881">
        <v>190</v>
      </c>
      <c r="P881">
        <v>0</v>
      </c>
      <c r="Q881" t="s">
        <v>62</v>
      </c>
      <c r="R881">
        <v>9.9999581807828698E+17</v>
      </c>
      <c r="S881">
        <v>1000004998</v>
      </c>
      <c r="T881">
        <v>9.9999581807828698E+17</v>
      </c>
      <c r="U881">
        <v>1000004998</v>
      </c>
      <c r="V881" t="s">
        <v>75</v>
      </c>
      <c r="W881">
        <v>80</v>
      </c>
      <c r="X881">
        <v>1000004997</v>
      </c>
      <c r="Y881">
        <v>1000004998</v>
      </c>
      <c r="Z881">
        <v>2000009995</v>
      </c>
      <c r="AA881">
        <v>1000004998</v>
      </c>
      <c r="AB881">
        <v>2</v>
      </c>
      <c r="AC881">
        <v>1</v>
      </c>
      <c r="AD881">
        <v>1.5</v>
      </c>
      <c r="AE881">
        <v>39.867100000000001</v>
      </c>
      <c r="AF881">
        <v>64000319840</v>
      </c>
      <c r="AJ881" t="s">
        <v>1210</v>
      </c>
      <c r="AM881">
        <v>1021072891</v>
      </c>
      <c r="AN881">
        <v>0</v>
      </c>
      <c r="AO881">
        <v>113442105</v>
      </c>
      <c r="AP881">
        <v>1021072891</v>
      </c>
      <c r="AQ881">
        <v>1134514996</v>
      </c>
      <c r="AR881">
        <v>34035763</v>
      </c>
      <c r="AS881">
        <v>0</v>
      </c>
      <c r="AT881">
        <v>3781403</v>
      </c>
      <c r="AU881">
        <v>34035763</v>
      </c>
      <c r="AV881">
        <v>37817166</v>
      </c>
      <c r="AW881">
        <v>54.5428</v>
      </c>
      <c r="AX881">
        <v>31.815100000000001</v>
      </c>
      <c r="AY881">
        <v>13995.8</v>
      </c>
      <c r="AZ881">
        <v>12711.8</v>
      </c>
      <c r="BA881">
        <v>65743</v>
      </c>
      <c r="BB881">
        <v>33682</v>
      </c>
      <c r="BC881" t="str">
        <f t="shared" si="26"/>
        <v>u=10%, k=2x10^9</v>
      </c>
      <c r="BD881">
        <f t="shared" si="27"/>
        <v>0</v>
      </c>
    </row>
    <row r="882" spans="1:56">
      <c r="A882" t="s">
        <v>1211</v>
      </c>
      <c r="B882" t="s">
        <v>64</v>
      </c>
      <c r="C882">
        <v>72</v>
      </c>
      <c r="D882" t="s">
        <v>65</v>
      </c>
      <c r="E882" t="s">
        <v>60</v>
      </c>
      <c r="F882" t="s">
        <v>61</v>
      </c>
      <c r="G882">
        <v>30000</v>
      </c>
      <c r="H882">
        <v>20</v>
      </c>
      <c r="I882">
        <v>20</v>
      </c>
      <c r="J882">
        <v>0</v>
      </c>
      <c r="K882">
        <v>1</v>
      </c>
      <c r="L882">
        <v>2000000</v>
      </c>
      <c r="M882">
        <v>24</v>
      </c>
      <c r="N882">
        <v>24</v>
      </c>
      <c r="O882">
        <v>24</v>
      </c>
      <c r="P882">
        <v>0</v>
      </c>
      <c r="Q882" t="s">
        <v>62</v>
      </c>
      <c r="R882">
        <v>1000481864221</v>
      </c>
      <c r="S882">
        <v>1000303</v>
      </c>
      <c r="T882">
        <v>1000481864221</v>
      </c>
      <c r="U882">
        <v>1000303</v>
      </c>
      <c r="V882" t="s">
        <v>75</v>
      </c>
      <c r="W882">
        <v>6</v>
      </c>
      <c r="X882">
        <v>54079</v>
      </c>
      <c r="Y882">
        <v>1075071</v>
      </c>
      <c r="Z882">
        <v>1129150</v>
      </c>
      <c r="AA882">
        <v>1000303</v>
      </c>
      <c r="AB882">
        <v>20.8796</v>
      </c>
      <c r="AC882">
        <v>0.93045299999999997</v>
      </c>
      <c r="AD882">
        <v>1.8858900000000001</v>
      </c>
      <c r="AE882">
        <v>3.0435099999999999</v>
      </c>
      <c r="AF882">
        <v>21542960</v>
      </c>
      <c r="AG882" t="s">
        <v>1212</v>
      </c>
      <c r="AH882" t="s">
        <v>1213</v>
      </c>
      <c r="AI882">
        <v>427442</v>
      </c>
      <c r="AJ882">
        <v>531796</v>
      </c>
      <c r="AM882">
        <v>786037644</v>
      </c>
      <c r="AN882">
        <v>0</v>
      </c>
      <c r="AO882">
        <v>524065015</v>
      </c>
      <c r="AP882">
        <v>786037644</v>
      </c>
      <c r="AQ882">
        <v>1310102659</v>
      </c>
      <c r="AR882">
        <v>26201254</v>
      </c>
      <c r="AS882">
        <v>0</v>
      </c>
      <c r="AT882">
        <v>17468833</v>
      </c>
      <c r="AU882">
        <v>26201254</v>
      </c>
      <c r="AV882">
        <v>43670088</v>
      </c>
      <c r="AW882">
        <v>15.7439</v>
      </c>
      <c r="AX882">
        <v>1.0476399999999999</v>
      </c>
      <c r="AY882">
        <v>1530.69</v>
      </c>
      <c r="AZ882">
        <v>616.20299999999997</v>
      </c>
      <c r="BA882">
        <v>1215</v>
      </c>
      <c r="BB882">
        <v>27</v>
      </c>
      <c r="BC882" t="str">
        <f t="shared" si="26"/>
        <v>u=40%, k=2x10^6</v>
      </c>
      <c r="BD882" t="str">
        <f t="shared" si="27"/>
        <v>1048</v>
      </c>
    </row>
    <row r="883" spans="1:56">
      <c r="A883" t="s">
        <v>1214</v>
      </c>
      <c r="B883" t="s">
        <v>64</v>
      </c>
      <c r="C883">
        <v>72</v>
      </c>
      <c r="D883" t="s">
        <v>65</v>
      </c>
      <c r="E883" t="s">
        <v>60</v>
      </c>
      <c r="F883" t="s">
        <v>61</v>
      </c>
      <c r="G883">
        <v>30000</v>
      </c>
      <c r="H883">
        <v>20</v>
      </c>
      <c r="I883">
        <v>20</v>
      </c>
      <c r="J883">
        <v>0</v>
      </c>
      <c r="K883">
        <v>1</v>
      </c>
      <c r="L883">
        <v>2000000</v>
      </c>
      <c r="M883">
        <v>48</v>
      </c>
      <c r="N883">
        <v>48</v>
      </c>
      <c r="O883">
        <v>48</v>
      </c>
      <c r="P883">
        <v>0</v>
      </c>
      <c r="Q883" t="s">
        <v>62</v>
      </c>
      <c r="R883">
        <v>1000300981238</v>
      </c>
      <c r="S883">
        <v>1000108</v>
      </c>
      <c r="T883">
        <v>1000300981238</v>
      </c>
      <c r="U883">
        <v>1000108</v>
      </c>
      <c r="V883" t="s">
        <v>75</v>
      </c>
      <c r="W883">
        <v>6</v>
      </c>
      <c r="X883">
        <v>37877</v>
      </c>
      <c r="Y883">
        <v>1041742</v>
      </c>
      <c r="Z883">
        <v>1079619</v>
      </c>
      <c r="AA883">
        <v>1000108</v>
      </c>
      <c r="AB883">
        <v>28.503299999999999</v>
      </c>
      <c r="AC883">
        <v>0.96003400000000005</v>
      </c>
      <c r="AD883">
        <v>1.92635</v>
      </c>
      <c r="AE883">
        <v>3.00983</v>
      </c>
      <c r="AF883">
        <v>19698864</v>
      </c>
      <c r="AG883" t="s">
        <v>1215</v>
      </c>
      <c r="AH883" t="s">
        <v>1216</v>
      </c>
      <c r="AI883">
        <v>1712695</v>
      </c>
      <c r="AJ883">
        <v>192340</v>
      </c>
      <c r="AM883">
        <v>1119541709</v>
      </c>
      <c r="AN883">
        <v>0</v>
      </c>
      <c r="AO883">
        <v>746334335</v>
      </c>
      <c r="AP883">
        <v>1119541709</v>
      </c>
      <c r="AQ883">
        <v>1865876044</v>
      </c>
      <c r="AR883">
        <v>37318056</v>
      </c>
      <c r="AS883">
        <v>0</v>
      </c>
      <c r="AT883">
        <v>24877811</v>
      </c>
      <c r="AU883">
        <v>37318056</v>
      </c>
      <c r="AV883">
        <v>62195868</v>
      </c>
      <c r="AW883">
        <v>16.226900000000001</v>
      </c>
      <c r="AX883">
        <v>1.52952</v>
      </c>
      <c r="AY883">
        <v>2108.14</v>
      </c>
      <c r="AZ883">
        <v>1009.41</v>
      </c>
      <c r="BA883">
        <v>1265</v>
      </c>
      <c r="BB883">
        <v>86</v>
      </c>
      <c r="BC883" t="str">
        <f t="shared" si="26"/>
        <v>u=40%, k=2x10^6</v>
      </c>
      <c r="BD883" t="str">
        <f t="shared" si="27"/>
        <v>1493</v>
      </c>
    </row>
    <row r="884" spans="1:56">
      <c r="A884" t="s">
        <v>1217</v>
      </c>
      <c r="B884" t="s">
        <v>64</v>
      </c>
      <c r="C884">
        <v>72</v>
      </c>
      <c r="D884" t="s">
        <v>65</v>
      </c>
      <c r="E884" t="s">
        <v>60</v>
      </c>
      <c r="F884" t="s">
        <v>61</v>
      </c>
      <c r="G884">
        <v>30000</v>
      </c>
      <c r="H884">
        <v>20</v>
      </c>
      <c r="I884">
        <v>20</v>
      </c>
      <c r="J884">
        <v>0</v>
      </c>
      <c r="K884">
        <v>1</v>
      </c>
      <c r="L884">
        <v>2000000</v>
      </c>
      <c r="M884">
        <v>96</v>
      </c>
      <c r="N884">
        <v>96</v>
      </c>
      <c r="O884">
        <v>96</v>
      </c>
      <c r="P884">
        <v>0</v>
      </c>
      <c r="Q884" t="s">
        <v>62</v>
      </c>
      <c r="R884">
        <v>999986751650</v>
      </c>
      <c r="S884">
        <v>999968</v>
      </c>
      <c r="T884">
        <v>999986751650</v>
      </c>
      <c r="U884">
        <v>999968</v>
      </c>
      <c r="V884" t="s">
        <v>75</v>
      </c>
      <c r="W884">
        <v>6</v>
      </c>
      <c r="X884">
        <v>36658</v>
      </c>
      <c r="Y884">
        <v>1039288</v>
      </c>
      <c r="Z884">
        <v>1075946</v>
      </c>
      <c r="AA884">
        <v>999968</v>
      </c>
      <c r="AB884">
        <v>29.350899999999999</v>
      </c>
      <c r="AC884">
        <v>0.96216599999999997</v>
      </c>
      <c r="AD884">
        <v>1.9293800000000001</v>
      </c>
      <c r="AE884">
        <v>3.0073599999999998</v>
      </c>
      <c r="AF884">
        <v>19561792</v>
      </c>
      <c r="AG884" t="s">
        <v>1218</v>
      </c>
      <c r="AH884" t="s">
        <v>1219</v>
      </c>
      <c r="AI884">
        <v>6992740</v>
      </c>
      <c r="AJ884">
        <v>63422</v>
      </c>
      <c r="AM884">
        <v>1359910429</v>
      </c>
      <c r="AN884">
        <v>0</v>
      </c>
      <c r="AO884">
        <v>906573759</v>
      </c>
      <c r="AP884">
        <v>1359910429</v>
      </c>
      <c r="AQ884">
        <v>2266484188</v>
      </c>
      <c r="AR884">
        <v>45330347</v>
      </c>
      <c r="AS884">
        <v>0</v>
      </c>
      <c r="AT884">
        <v>30219125</v>
      </c>
      <c r="AU884">
        <v>45330347</v>
      </c>
      <c r="AV884">
        <v>75549472</v>
      </c>
      <c r="AW884">
        <v>19.501300000000001</v>
      </c>
      <c r="AX884">
        <v>6.13157</v>
      </c>
      <c r="AY884">
        <v>3536.13</v>
      </c>
      <c r="AZ884">
        <v>2392.75</v>
      </c>
      <c r="BA884">
        <v>1385</v>
      </c>
      <c r="BB884">
        <v>150</v>
      </c>
      <c r="BC884" t="str">
        <f t="shared" si="26"/>
        <v>u=40%, k=2x10^6</v>
      </c>
      <c r="BD884" t="str">
        <f t="shared" si="27"/>
        <v>1814</v>
      </c>
    </row>
    <row r="885" spans="1:56">
      <c r="A885" t="s">
        <v>1220</v>
      </c>
      <c r="B885" t="s">
        <v>64</v>
      </c>
      <c r="C885">
        <v>72</v>
      </c>
      <c r="D885" t="s">
        <v>65</v>
      </c>
      <c r="E885" t="s">
        <v>60</v>
      </c>
      <c r="F885" t="s">
        <v>61</v>
      </c>
      <c r="G885">
        <v>30000</v>
      </c>
      <c r="H885">
        <v>20</v>
      </c>
      <c r="I885">
        <v>20</v>
      </c>
      <c r="J885">
        <v>0</v>
      </c>
      <c r="K885">
        <v>1</v>
      </c>
      <c r="L885">
        <v>2000000</v>
      </c>
      <c r="M885">
        <v>144</v>
      </c>
      <c r="N885">
        <v>144</v>
      </c>
      <c r="O885">
        <v>144</v>
      </c>
      <c r="P885">
        <v>0</v>
      </c>
      <c r="Q885" t="s">
        <v>62</v>
      </c>
      <c r="R885">
        <v>999977721568</v>
      </c>
      <c r="S885">
        <v>999534</v>
      </c>
      <c r="T885">
        <v>999977721568</v>
      </c>
      <c r="U885">
        <v>999534</v>
      </c>
      <c r="V885" t="s">
        <v>75</v>
      </c>
      <c r="W885">
        <v>6</v>
      </c>
      <c r="X885">
        <v>36789</v>
      </c>
      <c r="Y885">
        <v>1038986</v>
      </c>
      <c r="Z885">
        <v>1075775</v>
      </c>
      <c r="AA885">
        <v>999534</v>
      </c>
      <c r="AB885">
        <v>29.241800000000001</v>
      </c>
      <c r="AC885">
        <v>0.96202799999999999</v>
      </c>
      <c r="AD885">
        <v>1.92913</v>
      </c>
      <c r="AE885">
        <v>3.0076200000000002</v>
      </c>
      <c r="AF885">
        <v>19567328</v>
      </c>
      <c r="AG885" t="s">
        <v>1221</v>
      </c>
      <c r="AH885" t="s">
        <v>1222</v>
      </c>
      <c r="AI885">
        <v>17213329</v>
      </c>
      <c r="AJ885">
        <v>31310</v>
      </c>
      <c r="AM885">
        <v>1489170356</v>
      </c>
      <c r="AN885">
        <v>0</v>
      </c>
      <c r="AO885">
        <v>992752164</v>
      </c>
      <c r="AP885">
        <v>1489170356</v>
      </c>
      <c r="AQ885">
        <v>2481922520</v>
      </c>
      <c r="AR885">
        <v>49639011</v>
      </c>
      <c r="AS885">
        <v>0</v>
      </c>
      <c r="AT885">
        <v>33091738</v>
      </c>
      <c r="AU885">
        <v>49639011</v>
      </c>
      <c r="AV885">
        <v>82730750</v>
      </c>
      <c r="AW885">
        <v>24.450900000000001</v>
      </c>
      <c r="AX885">
        <v>10.616099999999999</v>
      </c>
      <c r="AY885">
        <v>4843.07</v>
      </c>
      <c r="AZ885">
        <v>3561.79</v>
      </c>
      <c r="BA885">
        <v>1574</v>
      </c>
      <c r="BB885">
        <v>339</v>
      </c>
      <c r="BC885" t="str">
        <f t="shared" si="26"/>
        <v>u=40%, k=2x10^6</v>
      </c>
      <c r="BD885" t="str">
        <f t="shared" si="27"/>
        <v>1987</v>
      </c>
    </row>
    <row r="886" spans="1:56">
      <c r="A886" t="s">
        <v>1223</v>
      </c>
      <c r="B886" t="s">
        <v>64</v>
      </c>
      <c r="C886">
        <v>72</v>
      </c>
      <c r="D886" t="s">
        <v>65</v>
      </c>
      <c r="E886" t="s">
        <v>60</v>
      </c>
      <c r="F886" t="s">
        <v>61</v>
      </c>
      <c r="G886">
        <v>30000</v>
      </c>
      <c r="H886">
        <v>20</v>
      </c>
      <c r="I886">
        <v>20</v>
      </c>
      <c r="J886">
        <v>0</v>
      </c>
      <c r="K886">
        <v>1</v>
      </c>
      <c r="L886">
        <v>2000000</v>
      </c>
      <c r="M886">
        <v>190</v>
      </c>
      <c r="N886">
        <v>190</v>
      </c>
      <c r="O886">
        <v>190</v>
      </c>
      <c r="P886">
        <v>0</v>
      </c>
      <c r="Q886" t="s">
        <v>62</v>
      </c>
      <c r="R886">
        <v>999394192551</v>
      </c>
      <c r="S886">
        <v>999551</v>
      </c>
      <c r="T886">
        <v>999394192551</v>
      </c>
      <c r="U886">
        <v>999551</v>
      </c>
      <c r="V886" t="s">
        <v>75</v>
      </c>
      <c r="W886">
        <v>6</v>
      </c>
      <c r="X886">
        <v>57670</v>
      </c>
      <c r="Y886">
        <v>1081679</v>
      </c>
      <c r="Z886">
        <v>1139349</v>
      </c>
      <c r="AA886">
        <v>999551</v>
      </c>
      <c r="AB886">
        <v>19.756399999999999</v>
      </c>
      <c r="AC886">
        <v>0.92407399999999995</v>
      </c>
      <c r="AD886">
        <v>1.8773</v>
      </c>
      <c r="AE886">
        <v>3.05186</v>
      </c>
      <c r="AF886">
        <v>21946800</v>
      </c>
      <c r="AG886" t="s">
        <v>1224</v>
      </c>
      <c r="AH886" t="s">
        <v>1225</v>
      </c>
      <c r="AI886">
        <v>23359234</v>
      </c>
      <c r="AJ886">
        <v>20344</v>
      </c>
      <c r="AM886">
        <v>1700853897</v>
      </c>
      <c r="AN886">
        <v>0</v>
      </c>
      <c r="AO886">
        <v>1133932791</v>
      </c>
      <c r="AP886">
        <v>1700853897</v>
      </c>
      <c r="AQ886">
        <v>2834786688</v>
      </c>
      <c r="AR886">
        <v>56695129</v>
      </c>
      <c r="AS886">
        <v>0</v>
      </c>
      <c r="AT886">
        <v>37797759</v>
      </c>
      <c r="AU886">
        <v>56695129</v>
      </c>
      <c r="AV886">
        <v>94492889</v>
      </c>
      <c r="AW886">
        <v>25.0426</v>
      </c>
      <c r="AX886">
        <v>11.9015</v>
      </c>
      <c r="AY886">
        <v>5595.32</v>
      </c>
      <c r="AZ886">
        <v>4314.82</v>
      </c>
      <c r="BA886">
        <v>1753</v>
      </c>
      <c r="BB886">
        <v>268</v>
      </c>
      <c r="BC886" t="str">
        <f t="shared" si="26"/>
        <v>u=40%, k=2x10^6</v>
      </c>
      <c r="BD886" t="str">
        <f t="shared" si="27"/>
        <v>2270</v>
      </c>
    </row>
    <row r="887" spans="1:56">
      <c r="A887" t="s">
        <v>1226</v>
      </c>
      <c r="B887" t="s">
        <v>66</v>
      </c>
      <c r="C887">
        <v>208</v>
      </c>
      <c r="D887" t="s">
        <v>65</v>
      </c>
      <c r="E887" t="s">
        <v>60</v>
      </c>
      <c r="F887" t="s">
        <v>61</v>
      </c>
      <c r="G887">
        <v>30000</v>
      </c>
      <c r="H887">
        <v>20</v>
      </c>
      <c r="I887">
        <v>20</v>
      </c>
      <c r="J887">
        <v>0</v>
      </c>
      <c r="K887">
        <v>1</v>
      </c>
      <c r="L887">
        <v>2000000</v>
      </c>
      <c r="M887">
        <v>24</v>
      </c>
      <c r="N887">
        <v>24</v>
      </c>
      <c r="O887">
        <v>24</v>
      </c>
      <c r="P887">
        <v>0</v>
      </c>
      <c r="Q887" t="s">
        <v>62</v>
      </c>
      <c r="R887">
        <v>999012694136</v>
      </c>
      <c r="S887">
        <v>999102</v>
      </c>
      <c r="T887">
        <v>999012694136</v>
      </c>
      <c r="U887">
        <v>999102</v>
      </c>
      <c r="V887" t="s">
        <v>75</v>
      </c>
      <c r="W887">
        <v>8</v>
      </c>
      <c r="X887">
        <v>34611</v>
      </c>
      <c r="Y887">
        <v>195241</v>
      </c>
      <c r="Z887">
        <v>229852</v>
      </c>
      <c r="AA887">
        <v>999102</v>
      </c>
      <c r="AB887">
        <v>6.6410099999999996</v>
      </c>
      <c r="AC887">
        <v>5.1172800000000001</v>
      </c>
      <c r="AD887">
        <v>5.3467200000000004</v>
      </c>
      <c r="AE887">
        <v>7</v>
      </c>
      <c r="AF887">
        <v>47809216</v>
      </c>
      <c r="AJ887" t="s">
        <v>1227</v>
      </c>
      <c r="AM887">
        <v>852598039</v>
      </c>
      <c r="AN887">
        <v>0</v>
      </c>
      <c r="AO887">
        <v>568398755</v>
      </c>
      <c r="AP887">
        <v>852598039</v>
      </c>
      <c r="AQ887">
        <v>1420996794</v>
      </c>
      <c r="AR887">
        <v>28419934</v>
      </c>
      <c r="AS887">
        <v>0</v>
      </c>
      <c r="AT887">
        <v>18946625</v>
      </c>
      <c r="AU887">
        <v>28419934</v>
      </c>
      <c r="AV887">
        <v>47366559</v>
      </c>
      <c r="AW887">
        <v>11.8209</v>
      </c>
      <c r="AX887">
        <v>1.11493</v>
      </c>
      <c r="AY887">
        <v>1412.89</v>
      </c>
      <c r="AZ887">
        <v>511.99700000000001</v>
      </c>
      <c r="BA887">
        <v>1139</v>
      </c>
      <c r="BB887">
        <v>158</v>
      </c>
      <c r="BC887" t="str">
        <f t="shared" si="26"/>
        <v>u=40%, k=2x10^6</v>
      </c>
      <c r="BD887">
        <f t="shared" si="27"/>
        <v>0</v>
      </c>
    </row>
    <row r="888" spans="1:56">
      <c r="A888" t="s">
        <v>1228</v>
      </c>
      <c r="B888" t="s">
        <v>66</v>
      </c>
      <c r="C888">
        <v>208</v>
      </c>
      <c r="D888" t="s">
        <v>65</v>
      </c>
      <c r="E888" t="s">
        <v>60</v>
      </c>
      <c r="F888" t="s">
        <v>61</v>
      </c>
      <c r="G888">
        <v>30000</v>
      </c>
      <c r="H888">
        <v>20</v>
      </c>
      <c r="I888">
        <v>20</v>
      </c>
      <c r="J888">
        <v>0</v>
      </c>
      <c r="K888">
        <v>1</v>
      </c>
      <c r="L888">
        <v>2000000</v>
      </c>
      <c r="M888">
        <v>48</v>
      </c>
      <c r="N888">
        <v>48</v>
      </c>
      <c r="O888">
        <v>48</v>
      </c>
      <c r="P888">
        <v>0</v>
      </c>
      <c r="Q888" t="s">
        <v>62</v>
      </c>
      <c r="R888">
        <v>998535252397</v>
      </c>
      <c r="S888">
        <v>999084</v>
      </c>
      <c r="T888">
        <v>998535252397</v>
      </c>
      <c r="U888">
        <v>999084</v>
      </c>
      <c r="V888" t="s">
        <v>75</v>
      </c>
      <c r="W888">
        <v>8</v>
      </c>
      <c r="X888">
        <v>35317</v>
      </c>
      <c r="Y888">
        <v>194780</v>
      </c>
      <c r="Z888">
        <v>230097</v>
      </c>
      <c r="AA888">
        <v>999084</v>
      </c>
      <c r="AB888">
        <v>6.5151899999999996</v>
      </c>
      <c r="AC888">
        <v>5.1292900000000001</v>
      </c>
      <c r="AD888">
        <v>5.3420100000000001</v>
      </c>
      <c r="AE888">
        <v>7</v>
      </c>
      <c r="AF888">
        <v>47860176</v>
      </c>
      <c r="AJ888" t="s">
        <v>1229</v>
      </c>
      <c r="AM888">
        <v>1303041333</v>
      </c>
      <c r="AN888">
        <v>0</v>
      </c>
      <c r="AO888">
        <v>868681846</v>
      </c>
      <c r="AP888">
        <v>1303041333</v>
      </c>
      <c r="AQ888">
        <v>2171723179</v>
      </c>
      <c r="AR888">
        <v>43434711</v>
      </c>
      <c r="AS888">
        <v>0</v>
      </c>
      <c r="AT888">
        <v>28956061</v>
      </c>
      <c r="AU888">
        <v>43434711</v>
      </c>
      <c r="AV888">
        <v>72390772</v>
      </c>
      <c r="AW888">
        <v>12.447699999999999</v>
      </c>
      <c r="AX888">
        <v>1.39845</v>
      </c>
      <c r="AY888">
        <v>1794.23</v>
      </c>
      <c r="AZ888">
        <v>798.28499999999997</v>
      </c>
      <c r="BA888">
        <v>1163</v>
      </c>
      <c r="BB888">
        <v>204</v>
      </c>
      <c r="BC888" t="str">
        <f t="shared" si="26"/>
        <v>u=40%, k=2x10^6</v>
      </c>
      <c r="BD888">
        <f t="shared" si="27"/>
        <v>0</v>
      </c>
    </row>
    <row r="889" spans="1:56">
      <c r="A889" t="s">
        <v>1230</v>
      </c>
      <c r="B889" t="s">
        <v>66</v>
      </c>
      <c r="C889">
        <v>208</v>
      </c>
      <c r="D889" t="s">
        <v>65</v>
      </c>
      <c r="E889" t="s">
        <v>60</v>
      </c>
      <c r="F889" t="s">
        <v>61</v>
      </c>
      <c r="G889">
        <v>30000</v>
      </c>
      <c r="H889">
        <v>20</v>
      </c>
      <c r="I889">
        <v>20</v>
      </c>
      <c r="J889">
        <v>0</v>
      </c>
      <c r="K889">
        <v>1</v>
      </c>
      <c r="L889">
        <v>2000000</v>
      </c>
      <c r="M889">
        <v>96</v>
      </c>
      <c r="N889">
        <v>96</v>
      </c>
      <c r="O889">
        <v>96</v>
      </c>
      <c r="P889">
        <v>0</v>
      </c>
      <c r="Q889" t="s">
        <v>62</v>
      </c>
      <c r="R889">
        <v>998779799987</v>
      </c>
      <c r="S889">
        <v>998174</v>
      </c>
      <c r="T889">
        <v>998779799987</v>
      </c>
      <c r="U889">
        <v>998174</v>
      </c>
      <c r="V889" t="s">
        <v>75</v>
      </c>
      <c r="W889">
        <v>8</v>
      </c>
      <c r="X889">
        <v>35897</v>
      </c>
      <c r="Y889">
        <v>194775</v>
      </c>
      <c r="Z889">
        <v>230672</v>
      </c>
      <c r="AA889">
        <v>998174</v>
      </c>
      <c r="AB889">
        <v>6.4259399999999998</v>
      </c>
      <c r="AC889">
        <v>5.1247499999999997</v>
      </c>
      <c r="AD889">
        <v>5.3272399999999998</v>
      </c>
      <c r="AE889">
        <v>7</v>
      </c>
      <c r="AF889">
        <v>47979776</v>
      </c>
      <c r="AJ889">
        <v>84296</v>
      </c>
      <c r="AM889">
        <v>2052417814</v>
      </c>
      <c r="AN889">
        <v>0</v>
      </c>
      <c r="AO889">
        <v>1368282527</v>
      </c>
      <c r="AP889">
        <v>2052417814</v>
      </c>
      <c r="AQ889">
        <v>3420700341</v>
      </c>
      <c r="AR889">
        <v>68413927</v>
      </c>
      <c r="AS889">
        <v>0</v>
      </c>
      <c r="AT889">
        <v>45609417</v>
      </c>
      <c r="AU889">
        <v>68413927</v>
      </c>
      <c r="AV889">
        <v>114023344</v>
      </c>
      <c r="AW889">
        <v>13.772399999999999</v>
      </c>
      <c r="AX889">
        <v>3.73237</v>
      </c>
      <c r="AY889">
        <v>2337.5500000000002</v>
      </c>
      <c r="AZ889">
        <v>1218.68</v>
      </c>
      <c r="BA889">
        <v>1220</v>
      </c>
      <c r="BB889">
        <v>319</v>
      </c>
      <c r="BC889" t="str">
        <f t="shared" si="26"/>
        <v>u=40%, k=2x10^6</v>
      </c>
      <c r="BD889">
        <f t="shared" si="27"/>
        <v>0</v>
      </c>
    </row>
    <row r="890" spans="1:56">
      <c r="A890" t="s">
        <v>1231</v>
      </c>
      <c r="B890" t="s">
        <v>66</v>
      </c>
      <c r="C890">
        <v>208</v>
      </c>
      <c r="D890" t="s">
        <v>65</v>
      </c>
      <c r="E890" t="s">
        <v>60</v>
      </c>
      <c r="F890" t="s">
        <v>61</v>
      </c>
      <c r="G890">
        <v>30000</v>
      </c>
      <c r="H890">
        <v>20</v>
      </c>
      <c r="I890">
        <v>20</v>
      </c>
      <c r="J890">
        <v>0</v>
      </c>
      <c r="K890">
        <v>1</v>
      </c>
      <c r="L890">
        <v>2000000</v>
      </c>
      <c r="M890">
        <v>144</v>
      </c>
      <c r="N890">
        <v>144</v>
      </c>
      <c r="O890">
        <v>144</v>
      </c>
      <c r="P890">
        <v>0</v>
      </c>
      <c r="Q890" t="s">
        <v>62</v>
      </c>
      <c r="R890">
        <v>1000608533151</v>
      </c>
      <c r="S890">
        <v>1000428</v>
      </c>
      <c r="T890">
        <v>1000608533151</v>
      </c>
      <c r="U890">
        <v>1000428</v>
      </c>
      <c r="V890" t="s">
        <v>75</v>
      </c>
      <c r="W890">
        <v>8</v>
      </c>
      <c r="X890">
        <v>36093</v>
      </c>
      <c r="Y890">
        <v>194896</v>
      </c>
      <c r="Z890">
        <v>230989</v>
      </c>
      <c r="AA890">
        <v>1000428</v>
      </c>
      <c r="AB890">
        <v>6.3998299999999997</v>
      </c>
      <c r="AC890">
        <v>5.13314</v>
      </c>
      <c r="AD890">
        <v>5.3310599999999999</v>
      </c>
      <c r="AE890">
        <v>7</v>
      </c>
      <c r="AF890">
        <v>48045712</v>
      </c>
      <c r="AJ890">
        <v>52396</v>
      </c>
      <c r="AM890">
        <v>2567388874</v>
      </c>
      <c r="AN890">
        <v>0</v>
      </c>
      <c r="AO890">
        <v>1711595551</v>
      </c>
      <c r="AP890">
        <v>2567388874</v>
      </c>
      <c r="AQ890">
        <v>4278984425</v>
      </c>
      <c r="AR890">
        <v>85579629</v>
      </c>
      <c r="AS890">
        <v>0</v>
      </c>
      <c r="AT890">
        <v>57053185</v>
      </c>
      <c r="AU890">
        <v>85579629</v>
      </c>
      <c r="AV890">
        <v>142632814</v>
      </c>
      <c r="AW890">
        <v>15.01</v>
      </c>
      <c r="AX890">
        <v>5.0211499999999996</v>
      </c>
      <c r="AY890">
        <v>2796.33</v>
      </c>
      <c r="AZ890">
        <v>1458.54</v>
      </c>
      <c r="BA890">
        <v>1231</v>
      </c>
      <c r="BB890">
        <v>327</v>
      </c>
      <c r="BC890" t="str">
        <f t="shared" si="26"/>
        <v>u=40%, k=2x10^6</v>
      </c>
      <c r="BD890">
        <f t="shared" si="27"/>
        <v>0</v>
      </c>
    </row>
    <row r="891" spans="1:56">
      <c r="A891" t="s">
        <v>1232</v>
      </c>
      <c r="B891" t="s">
        <v>66</v>
      </c>
      <c r="C891">
        <v>208</v>
      </c>
      <c r="D891" t="s">
        <v>65</v>
      </c>
      <c r="E891" t="s">
        <v>60</v>
      </c>
      <c r="F891" t="s">
        <v>61</v>
      </c>
      <c r="G891">
        <v>30000</v>
      </c>
      <c r="H891">
        <v>20</v>
      </c>
      <c r="I891">
        <v>20</v>
      </c>
      <c r="J891">
        <v>0</v>
      </c>
      <c r="K891">
        <v>1</v>
      </c>
      <c r="L891">
        <v>2000000</v>
      </c>
      <c r="M891">
        <v>190</v>
      </c>
      <c r="N891">
        <v>190</v>
      </c>
      <c r="O891">
        <v>190</v>
      </c>
      <c r="P891">
        <v>0</v>
      </c>
      <c r="Q891" t="s">
        <v>62</v>
      </c>
      <c r="R891">
        <v>999395577631</v>
      </c>
      <c r="S891">
        <v>999309</v>
      </c>
      <c r="T891">
        <v>999395577631</v>
      </c>
      <c r="U891">
        <v>999309</v>
      </c>
      <c r="V891" t="s">
        <v>75</v>
      </c>
      <c r="W891">
        <v>8</v>
      </c>
      <c r="X891">
        <v>35986</v>
      </c>
      <c r="Y891">
        <v>194637</v>
      </c>
      <c r="Z891">
        <v>230623</v>
      </c>
      <c r="AA891">
        <v>999309</v>
      </c>
      <c r="AB891">
        <v>6.40869</v>
      </c>
      <c r="AC891">
        <v>5.13422</v>
      </c>
      <c r="AD891">
        <v>5.3330799999999998</v>
      </c>
      <c r="AE891">
        <v>7</v>
      </c>
      <c r="AF891">
        <v>47969584</v>
      </c>
      <c r="AJ891">
        <v>40714</v>
      </c>
      <c r="AM891">
        <v>2216039229</v>
      </c>
      <c r="AN891">
        <v>0</v>
      </c>
      <c r="AO891">
        <v>1477331155</v>
      </c>
      <c r="AP891">
        <v>2216039229</v>
      </c>
      <c r="AQ891">
        <v>3693370384</v>
      </c>
      <c r="AR891">
        <v>73867974</v>
      </c>
      <c r="AS891">
        <v>0</v>
      </c>
      <c r="AT891">
        <v>49244371</v>
      </c>
      <c r="AU891">
        <v>73867974</v>
      </c>
      <c r="AV891">
        <v>123112346</v>
      </c>
      <c r="AW891">
        <v>16.003799999999998</v>
      </c>
      <c r="AX891">
        <v>5.8855899999999997</v>
      </c>
      <c r="AY891">
        <v>3891.21</v>
      </c>
      <c r="AZ891">
        <v>1693.11</v>
      </c>
      <c r="BA891">
        <v>1283</v>
      </c>
      <c r="BB891">
        <v>315</v>
      </c>
      <c r="BC891" t="str">
        <f t="shared" si="26"/>
        <v>u=40%, k=2x10^6</v>
      </c>
      <c r="BD891">
        <f t="shared" si="27"/>
        <v>0</v>
      </c>
    </row>
    <row r="892" spans="1:56">
      <c r="A892" t="s">
        <v>1233</v>
      </c>
      <c r="B892" t="s">
        <v>67</v>
      </c>
      <c r="D892" t="s">
        <v>65</v>
      </c>
      <c r="E892" t="s">
        <v>60</v>
      </c>
      <c r="F892" t="s">
        <v>61</v>
      </c>
      <c r="G892">
        <v>30000</v>
      </c>
      <c r="H892">
        <v>20</v>
      </c>
      <c r="I892">
        <v>20</v>
      </c>
      <c r="J892">
        <v>0</v>
      </c>
      <c r="K892">
        <v>1</v>
      </c>
      <c r="L892">
        <v>2000000</v>
      </c>
      <c r="M892">
        <v>24</v>
      </c>
      <c r="N892">
        <v>24</v>
      </c>
      <c r="O892">
        <v>24</v>
      </c>
      <c r="P892">
        <v>0</v>
      </c>
      <c r="Q892" t="s">
        <v>62</v>
      </c>
      <c r="R892">
        <v>1000141699557</v>
      </c>
      <c r="S892">
        <v>1000044</v>
      </c>
      <c r="T892">
        <v>1000141699557</v>
      </c>
      <c r="U892">
        <v>1000044</v>
      </c>
      <c r="V892" t="s">
        <v>75</v>
      </c>
      <c r="W892">
        <v>25</v>
      </c>
      <c r="X892">
        <v>686466</v>
      </c>
      <c r="Y892">
        <v>521980</v>
      </c>
      <c r="Z892">
        <v>1208446</v>
      </c>
      <c r="AA892">
        <v>1000044</v>
      </c>
      <c r="AB892">
        <v>1.7603899999999999</v>
      </c>
      <c r="AC892">
        <v>1.91587</v>
      </c>
      <c r="AD892">
        <v>1.82755</v>
      </c>
      <c r="AE892">
        <v>19.823699999999999</v>
      </c>
      <c r="AF892">
        <v>67672976</v>
      </c>
      <c r="AJ892" t="s">
        <v>1234</v>
      </c>
      <c r="AM892">
        <v>438919951</v>
      </c>
      <c r="AN892">
        <v>0</v>
      </c>
      <c r="AO892">
        <v>292572104</v>
      </c>
      <c r="AP892">
        <v>438919951</v>
      </c>
      <c r="AQ892">
        <v>731492055</v>
      </c>
      <c r="AR892">
        <v>14630665</v>
      </c>
      <c r="AS892">
        <v>0</v>
      </c>
      <c r="AT892">
        <v>9752403</v>
      </c>
      <c r="AU892">
        <v>14630665</v>
      </c>
      <c r="AV892">
        <v>24383068</v>
      </c>
      <c r="AW892">
        <v>17.939699999999998</v>
      </c>
      <c r="AX892">
        <v>3.1160000000000001</v>
      </c>
      <c r="AY892">
        <v>2745.36</v>
      </c>
      <c r="AZ892">
        <v>1470.23</v>
      </c>
      <c r="BA892">
        <v>1177</v>
      </c>
      <c r="BB892">
        <v>193</v>
      </c>
      <c r="BC892" t="str">
        <f t="shared" si="26"/>
        <v>u=40%, k=2x10^6</v>
      </c>
      <c r="BD892">
        <f t="shared" si="27"/>
        <v>0</v>
      </c>
    </row>
    <row r="893" spans="1:56">
      <c r="A893" t="s">
        <v>1235</v>
      </c>
      <c r="B893" t="s">
        <v>67</v>
      </c>
      <c r="D893" t="s">
        <v>65</v>
      </c>
      <c r="E893" t="s">
        <v>60</v>
      </c>
      <c r="F893" t="s">
        <v>61</v>
      </c>
      <c r="G893">
        <v>30000</v>
      </c>
      <c r="H893">
        <v>20</v>
      </c>
      <c r="I893">
        <v>20</v>
      </c>
      <c r="J893">
        <v>0</v>
      </c>
      <c r="K893">
        <v>1</v>
      </c>
      <c r="L893">
        <v>2000000</v>
      </c>
      <c r="M893">
        <v>48</v>
      </c>
      <c r="N893">
        <v>48</v>
      </c>
      <c r="O893">
        <v>48</v>
      </c>
      <c r="P893">
        <v>0</v>
      </c>
      <c r="Q893" t="s">
        <v>62</v>
      </c>
      <c r="R893">
        <v>999628698678</v>
      </c>
      <c r="S893">
        <v>999584</v>
      </c>
      <c r="T893">
        <v>999628698678</v>
      </c>
      <c r="U893">
        <v>999584</v>
      </c>
      <c r="V893" t="s">
        <v>75</v>
      </c>
      <c r="W893">
        <v>25</v>
      </c>
      <c r="X893">
        <v>685815</v>
      </c>
      <c r="Y893">
        <v>520520</v>
      </c>
      <c r="Z893">
        <v>1206335</v>
      </c>
      <c r="AA893">
        <v>999584</v>
      </c>
      <c r="AB893">
        <v>1.75898</v>
      </c>
      <c r="AC893">
        <v>1.9203600000000001</v>
      </c>
      <c r="AD893">
        <v>1.8286100000000001</v>
      </c>
      <c r="AE893">
        <v>19.817299999999999</v>
      </c>
      <c r="AF893">
        <v>67554760</v>
      </c>
      <c r="AJ893" t="s">
        <v>1236</v>
      </c>
      <c r="AM893">
        <v>748418193</v>
      </c>
      <c r="AN893">
        <v>0</v>
      </c>
      <c r="AO893">
        <v>498953722</v>
      </c>
      <c r="AP893">
        <v>748418193</v>
      </c>
      <c r="AQ893">
        <v>1247371915</v>
      </c>
      <c r="AR893">
        <v>24947273</v>
      </c>
      <c r="AS893">
        <v>0</v>
      </c>
      <c r="AT893">
        <v>16631790</v>
      </c>
      <c r="AU893">
        <v>24947273</v>
      </c>
      <c r="AV893">
        <v>41579063</v>
      </c>
      <c r="AW893">
        <v>19.04</v>
      </c>
      <c r="AX893">
        <v>3.2770100000000002</v>
      </c>
      <c r="AY893">
        <v>3206.51</v>
      </c>
      <c r="AZ893">
        <v>1796.41</v>
      </c>
      <c r="BA893">
        <v>1198</v>
      </c>
      <c r="BB893">
        <v>237</v>
      </c>
      <c r="BC893" t="str">
        <f t="shared" si="26"/>
        <v>u=40%, k=2x10^6</v>
      </c>
      <c r="BD893">
        <f t="shared" si="27"/>
        <v>0</v>
      </c>
    </row>
    <row r="894" spans="1:56">
      <c r="A894" t="s">
        <v>1237</v>
      </c>
      <c r="B894" t="s">
        <v>67</v>
      </c>
      <c r="D894" t="s">
        <v>65</v>
      </c>
      <c r="E894" t="s">
        <v>60</v>
      </c>
      <c r="F894" t="s">
        <v>61</v>
      </c>
      <c r="G894">
        <v>30000</v>
      </c>
      <c r="H894">
        <v>20</v>
      </c>
      <c r="I894">
        <v>20</v>
      </c>
      <c r="J894">
        <v>0</v>
      </c>
      <c r="K894">
        <v>1</v>
      </c>
      <c r="L894">
        <v>2000000</v>
      </c>
      <c r="M894">
        <v>96</v>
      </c>
      <c r="N894">
        <v>96</v>
      </c>
      <c r="O894">
        <v>96</v>
      </c>
      <c r="P894">
        <v>0</v>
      </c>
      <c r="Q894" t="s">
        <v>62</v>
      </c>
      <c r="R894">
        <v>999918339047</v>
      </c>
      <c r="S894">
        <v>999530</v>
      </c>
      <c r="T894">
        <v>999918339047</v>
      </c>
      <c r="U894">
        <v>999530</v>
      </c>
      <c r="V894" t="s">
        <v>75</v>
      </c>
      <c r="W894">
        <v>25</v>
      </c>
      <c r="X894">
        <v>685524</v>
      </c>
      <c r="Y894">
        <v>520202</v>
      </c>
      <c r="Z894">
        <v>1205726</v>
      </c>
      <c r="AA894">
        <v>999530</v>
      </c>
      <c r="AB894">
        <v>1.75884</v>
      </c>
      <c r="AC894">
        <v>1.92143</v>
      </c>
      <c r="AD894">
        <v>1.8289899999999999</v>
      </c>
      <c r="AE894">
        <v>19.884599999999999</v>
      </c>
      <c r="AF894">
        <v>67520656</v>
      </c>
      <c r="AJ894" t="s">
        <v>1238</v>
      </c>
      <c r="AM894">
        <v>1405868215</v>
      </c>
      <c r="AN894">
        <v>0</v>
      </c>
      <c r="AO894">
        <v>937259144</v>
      </c>
      <c r="AP894">
        <v>1405868215</v>
      </c>
      <c r="AQ894">
        <v>2343127359</v>
      </c>
      <c r="AR894">
        <v>46862273</v>
      </c>
      <c r="AS894">
        <v>0</v>
      </c>
      <c r="AT894">
        <v>31241971</v>
      </c>
      <c r="AU894">
        <v>46862273</v>
      </c>
      <c r="AV894">
        <v>78104245</v>
      </c>
      <c r="AW894">
        <v>20.018699999999999</v>
      </c>
      <c r="AX894">
        <v>4.0049099999999997</v>
      </c>
      <c r="AY894">
        <v>3410.74</v>
      </c>
      <c r="AZ894">
        <v>1950.77</v>
      </c>
      <c r="BA894">
        <v>1228</v>
      </c>
      <c r="BB894">
        <v>341</v>
      </c>
      <c r="BC894" t="str">
        <f t="shared" si="26"/>
        <v>u=40%, k=2x10^6</v>
      </c>
      <c r="BD894">
        <f t="shared" si="27"/>
        <v>0</v>
      </c>
    </row>
    <row r="895" spans="1:56">
      <c r="A895" t="s">
        <v>1239</v>
      </c>
      <c r="B895" t="s">
        <v>67</v>
      </c>
      <c r="D895" t="s">
        <v>65</v>
      </c>
      <c r="E895" t="s">
        <v>60</v>
      </c>
      <c r="F895" t="s">
        <v>61</v>
      </c>
      <c r="G895">
        <v>30000</v>
      </c>
      <c r="H895">
        <v>20</v>
      </c>
      <c r="I895">
        <v>20</v>
      </c>
      <c r="J895">
        <v>0</v>
      </c>
      <c r="K895">
        <v>1</v>
      </c>
      <c r="L895">
        <v>2000000</v>
      </c>
      <c r="M895">
        <v>144</v>
      </c>
      <c r="N895">
        <v>144</v>
      </c>
      <c r="O895">
        <v>144</v>
      </c>
      <c r="P895">
        <v>0</v>
      </c>
      <c r="Q895" t="s">
        <v>62</v>
      </c>
      <c r="R895">
        <v>1000815138118</v>
      </c>
      <c r="S895">
        <v>1000961</v>
      </c>
      <c r="T895">
        <v>1000815138118</v>
      </c>
      <c r="U895">
        <v>1000961</v>
      </c>
      <c r="V895" t="s">
        <v>75</v>
      </c>
      <c r="W895">
        <v>25</v>
      </c>
      <c r="X895">
        <v>685931</v>
      </c>
      <c r="Y895">
        <v>520872</v>
      </c>
      <c r="Z895">
        <v>1206803</v>
      </c>
      <c r="AA895">
        <v>1000961</v>
      </c>
      <c r="AB895">
        <v>1.7593700000000001</v>
      </c>
      <c r="AC895">
        <v>1.9217</v>
      </c>
      <c r="AD895">
        <v>1.8294299999999999</v>
      </c>
      <c r="AE895">
        <v>19.829000000000001</v>
      </c>
      <c r="AF895">
        <v>67580968</v>
      </c>
      <c r="AJ895">
        <v>34534</v>
      </c>
      <c r="AM895">
        <v>2014591662</v>
      </c>
      <c r="AN895">
        <v>0</v>
      </c>
      <c r="AO895">
        <v>1342996939</v>
      </c>
      <c r="AP895">
        <v>2014591662</v>
      </c>
      <c r="AQ895">
        <v>3357588601</v>
      </c>
      <c r="AR895">
        <v>67153055</v>
      </c>
      <c r="AS895">
        <v>0</v>
      </c>
      <c r="AT895">
        <v>44766564</v>
      </c>
      <c r="AU895">
        <v>67153055</v>
      </c>
      <c r="AV895">
        <v>111919620</v>
      </c>
      <c r="AW895">
        <v>20.777899999999999</v>
      </c>
      <c r="AX895">
        <v>4.4533899999999997</v>
      </c>
      <c r="AY895">
        <v>3539.01</v>
      </c>
      <c r="AZ895">
        <v>2025.87</v>
      </c>
      <c r="BA895">
        <v>1244</v>
      </c>
      <c r="BB895">
        <v>345</v>
      </c>
      <c r="BC895" t="str">
        <f t="shared" si="26"/>
        <v>u=40%, k=2x10^6</v>
      </c>
      <c r="BD895">
        <f t="shared" si="27"/>
        <v>0</v>
      </c>
    </row>
    <row r="896" spans="1:56">
      <c r="A896" t="s">
        <v>1240</v>
      </c>
      <c r="B896" t="s">
        <v>67</v>
      </c>
      <c r="D896" t="s">
        <v>65</v>
      </c>
      <c r="E896" t="s">
        <v>60</v>
      </c>
      <c r="F896" t="s">
        <v>61</v>
      </c>
      <c r="G896">
        <v>30000</v>
      </c>
      <c r="H896">
        <v>20</v>
      </c>
      <c r="I896">
        <v>20</v>
      </c>
      <c r="J896">
        <v>0</v>
      </c>
      <c r="K896">
        <v>1</v>
      </c>
      <c r="L896">
        <v>2000000</v>
      </c>
      <c r="M896">
        <v>190</v>
      </c>
      <c r="N896">
        <v>190</v>
      </c>
      <c r="O896">
        <v>190</v>
      </c>
      <c r="P896">
        <v>0</v>
      </c>
      <c r="Q896" t="s">
        <v>62</v>
      </c>
      <c r="R896">
        <v>998849967697</v>
      </c>
      <c r="S896">
        <v>998779</v>
      </c>
      <c r="T896">
        <v>998849967697</v>
      </c>
      <c r="U896">
        <v>998779</v>
      </c>
      <c r="V896" t="s">
        <v>75</v>
      </c>
      <c r="W896">
        <v>25</v>
      </c>
      <c r="X896">
        <v>684940</v>
      </c>
      <c r="Y896">
        <v>519793</v>
      </c>
      <c r="Z896">
        <v>1204733</v>
      </c>
      <c r="AA896">
        <v>998779</v>
      </c>
      <c r="AB896">
        <v>1.7588900000000001</v>
      </c>
      <c r="AC896">
        <v>1.9214899999999999</v>
      </c>
      <c r="AD896">
        <v>1.8290500000000001</v>
      </c>
      <c r="AE896">
        <v>19.844999999999999</v>
      </c>
      <c r="AF896">
        <v>67465048</v>
      </c>
      <c r="AJ896" t="s">
        <v>1241</v>
      </c>
      <c r="AM896">
        <v>2552860952</v>
      </c>
      <c r="AN896">
        <v>0</v>
      </c>
      <c r="AO896">
        <v>1701813048</v>
      </c>
      <c r="AP896">
        <v>2552860952</v>
      </c>
      <c r="AQ896">
        <v>4254674000</v>
      </c>
      <c r="AR896">
        <v>85095365</v>
      </c>
      <c r="AS896">
        <v>0</v>
      </c>
      <c r="AT896">
        <v>56727101</v>
      </c>
      <c r="AU896">
        <v>85095365</v>
      </c>
      <c r="AV896">
        <v>141822466</v>
      </c>
      <c r="AW896">
        <v>21.742799999999999</v>
      </c>
      <c r="AX896">
        <v>4.8949299999999996</v>
      </c>
      <c r="AY896">
        <v>3690.24</v>
      </c>
      <c r="AZ896">
        <v>2129.39</v>
      </c>
      <c r="BA896">
        <v>1257</v>
      </c>
      <c r="BB896">
        <v>390</v>
      </c>
      <c r="BC896" t="str">
        <f t="shared" si="26"/>
        <v>u=40%, k=2x10^6</v>
      </c>
      <c r="BD896">
        <f t="shared" si="27"/>
        <v>0</v>
      </c>
    </row>
    <row r="897" spans="1:56">
      <c r="A897" t="s">
        <v>1242</v>
      </c>
      <c r="B897" t="s">
        <v>68</v>
      </c>
      <c r="D897" t="s">
        <v>65</v>
      </c>
      <c r="E897" t="s">
        <v>60</v>
      </c>
      <c r="F897" t="s">
        <v>61</v>
      </c>
      <c r="G897">
        <v>30000</v>
      </c>
      <c r="H897">
        <v>20</v>
      </c>
      <c r="I897">
        <v>20</v>
      </c>
      <c r="J897">
        <v>0</v>
      </c>
      <c r="K897">
        <v>1</v>
      </c>
      <c r="L897">
        <v>2000000</v>
      </c>
      <c r="M897">
        <v>24</v>
      </c>
      <c r="N897">
        <v>24</v>
      </c>
      <c r="O897">
        <v>24</v>
      </c>
      <c r="P897">
        <v>0</v>
      </c>
      <c r="Q897" t="s">
        <v>62</v>
      </c>
      <c r="R897">
        <v>999074882769</v>
      </c>
      <c r="S897">
        <v>999174</v>
      </c>
      <c r="T897">
        <v>999074882769</v>
      </c>
      <c r="U897">
        <v>999174</v>
      </c>
      <c r="V897" t="s">
        <v>75</v>
      </c>
      <c r="W897">
        <v>46</v>
      </c>
      <c r="X897">
        <v>999173</v>
      </c>
      <c r="Y897">
        <v>999174</v>
      </c>
      <c r="Z897">
        <v>1998347</v>
      </c>
      <c r="AA897">
        <v>999174</v>
      </c>
      <c r="AB897">
        <v>2</v>
      </c>
      <c r="AC897">
        <v>1</v>
      </c>
      <c r="AD897">
        <v>1.5</v>
      </c>
      <c r="AE897">
        <v>25.955400000000001</v>
      </c>
      <c r="AF897">
        <v>63947104</v>
      </c>
      <c r="AJ897" t="s">
        <v>1243</v>
      </c>
      <c r="AM897">
        <v>413390113</v>
      </c>
      <c r="AN897">
        <v>0</v>
      </c>
      <c r="AO897">
        <v>275610125</v>
      </c>
      <c r="AP897">
        <v>413390113</v>
      </c>
      <c r="AQ897">
        <v>689000238</v>
      </c>
      <c r="AR897">
        <v>13779670</v>
      </c>
      <c r="AS897">
        <v>0</v>
      </c>
      <c r="AT897">
        <v>9187004</v>
      </c>
      <c r="AU897">
        <v>13779670</v>
      </c>
      <c r="AV897">
        <v>22966674</v>
      </c>
      <c r="AW897">
        <v>13.124599999999999</v>
      </c>
      <c r="AX897">
        <v>2.3704399999999999</v>
      </c>
      <c r="AY897">
        <v>2914.93</v>
      </c>
      <c r="AZ897">
        <v>1872.64</v>
      </c>
      <c r="BA897">
        <v>1176</v>
      </c>
      <c r="BB897">
        <v>179</v>
      </c>
      <c r="BC897" t="str">
        <f t="shared" si="26"/>
        <v>u=40%, k=2x10^6</v>
      </c>
      <c r="BD897">
        <f t="shared" si="27"/>
        <v>0</v>
      </c>
    </row>
    <row r="898" spans="1:56">
      <c r="A898" t="s">
        <v>1244</v>
      </c>
      <c r="B898" t="s">
        <v>68</v>
      </c>
      <c r="D898" t="s">
        <v>65</v>
      </c>
      <c r="E898" t="s">
        <v>60</v>
      </c>
      <c r="F898" t="s">
        <v>61</v>
      </c>
      <c r="G898">
        <v>30000</v>
      </c>
      <c r="H898">
        <v>20</v>
      </c>
      <c r="I898">
        <v>20</v>
      </c>
      <c r="J898">
        <v>0</v>
      </c>
      <c r="K898">
        <v>1</v>
      </c>
      <c r="L898">
        <v>2000000</v>
      </c>
      <c r="M898">
        <v>48</v>
      </c>
      <c r="N898">
        <v>48</v>
      </c>
      <c r="O898">
        <v>48</v>
      </c>
      <c r="P898">
        <v>0</v>
      </c>
      <c r="Q898" t="s">
        <v>62</v>
      </c>
      <c r="R898">
        <v>999041114141</v>
      </c>
      <c r="S898">
        <v>999743</v>
      </c>
      <c r="T898">
        <v>999041114141</v>
      </c>
      <c r="U898">
        <v>999743</v>
      </c>
      <c r="V898" t="s">
        <v>75</v>
      </c>
      <c r="W898">
        <v>46</v>
      </c>
      <c r="X898">
        <v>999742</v>
      </c>
      <c r="Y898">
        <v>999743</v>
      </c>
      <c r="Z898">
        <v>1999485</v>
      </c>
      <c r="AA898">
        <v>999743</v>
      </c>
      <c r="AB898">
        <v>2</v>
      </c>
      <c r="AC898">
        <v>1</v>
      </c>
      <c r="AD898">
        <v>1.5</v>
      </c>
      <c r="AE898">
        <v>26.0883</v>
      </c>
      <c r="AF898">
        <v>63983520</v>
      </c>
      <c r="AJ898" t="s">
        <v>1245</v>
      </c>
      <c r="AM898">
        <v>743407271</v>
      </c>
      <c r="AN898">
        <v>0</v>
      </c>
      <c r="AO898">
        <v>495626551</v>
      </c>
      <c r="AP898">
        <v>743407271</v>
      </c>
      <c r="AQ898">
        <v>1239033822</v>
      </c>
      <c r="AR898">
        <v>24780242</v>
      </c>
      <c r="AS898">
        <v>0</v>
      </c>
      <c r="AT898">
        <v>16520885</v>
      </c>
      <c r="AU898">
        <v>24780242</v>
      </c>
      <c r="AV898">
        <v>41301127</v>
      </c>
      <c r="AW898">
        <v>13.473699999999999</v>
      </c>
      <c r="AX898">
        <v>2.4117199999999999</v>
      </c>
      <c r="AY898">
        <v>3240.68</v>
      </c>
      <c r="AZ898">
        <v>2173.84</v>
      </c>
      <c r="BA898">
        <v>1200</v>
      </c>
      <c r="BB898">
        <v>199</v>
      </c>
      <c r="BC898" t="str">
        <f t="shared" ref="BC898:BC961" si="28">"u="&amp;(H898+I898)&amp;"%, k=2x10^"&amp;LOG10(L898/2)</f>
        <v>u=40%, k=2x10^6</v>
      </c>
      <c r="BD898">
        <f t="shared" ref="BD898:BD961" si="29">IF(AH898="",0,LEFT(AH898,IF(ISNUMBER(FIND(" ",AH898)),FIND(" ",AH898)-1,LEN(AH898))))</f>
        <v>0</v>
      </c>
    </row>
    <row r="899" spans="1:56">
      <c r="A899" t="s">
        <v>1246</v>
      </c>
      <c r="B899" t="s">
        <v>68</v>
      </c>
      <c r="D899" t="s">
        <v>65</v>
      </c>
      <c r="E899" t="s">
        <v>60</v>
      </c>
      <c r="F899" t="s">
        <v>61</v>
      </c>
      <c r="G899">
        <v>30000</v>
      </c>
      <c r="H899">
        <v>20</v>
      </c>
      <c r="I899">
        <v>20</v>
      </c>
      <c r="J899">
        <v>0</v>
      </c>
      <c r="K899">
        <v>1</v>
      </c>
      <c r="L899">
        <v>2000000</v>
      </c>
      <c r="M899">
        <v>96</v>
      </c>
      <c r="N899">
        <v>96</v>
      </c>
      <c r="O899">
        <v>96</v>
      </c>
      <c r="P899">
        <v>0</v>
      </c>
      <c r="Q899" t="s">
        <v>62</v>
      </c>
      <c r="R899">
        <v>1001667159079</v>
      </c>
      <c r="S899">
        <v>1001473</v>
      </c>
      <c r="T899">
        <v>1001667159079</v>
      </c>
      <c r="U899">
        <v>1001473</v>
      </c>
      <c r="V899" t="s">
        <v>75</v>
      </c>
      <c r="W899">
        <v>48</v>
      </c>
      <c r="X899">
        <v>1001472</v>
      </c>
      <c r="Y899">
        <v>1001473</v>
      </c>
      <c r="Z899">
        <v>2002945</v>
      </c>
      <c r="AA899">
        <v>1001473</v>
      </c>
      <c r="AB899">
        <v>2</v>
      </c>
      <c r="AC899">
        <v>1</v>
      </c>
      <c r="AD899">
        <v>1.5</v>
      </c>
      <c r="AE899">
        <v>25.625800000000002</v>
      </c>
      <c r="AF899">
        <v>64094240</v>
      </c>
      <c r="AJ899" t="s">
        <v>1247</v>
      </c>
      <c r="AM899">
        <v>1449722960</v>
      </c>
      <c r="AN899">
        <v>0</v>
      </c>
      <c r="AO899">
        <v>966532019</v>
      </c>
      <c r="AP899">
        <v>1449722960</v>
      </c>
      <c r="AQ899">
        <v>2416254979</v>
      </c>
      <c r="AR899">
        <v>48324098</v>
      </c>
      <c r="AS899">
        <v>0</v>
      </c>
      <c r="AT899">
        <v>32217733</v>
      </c>
      <c r="AU899">
        <v>48324098</v>
      </c>
      <c r="AV899">
        <v>80541832</v>
      </c>
      <c r="AW899">
        <v>14.843</v>
      </c>
      <c r="AX899">
        <v>3.22052</v>
      </c>
      <c r="AY899">
        <v>3319.1</v>
      </c>
      <c r="AZ899">
        <v>2151.56</v>
      </c>
      <c r="BA899">
        <v>1209</v>
      </c>
      <c r="BB899">
        <v>220</v>
      </c>
      <c r="BC899" t="str">
        <f t="shared" si="28"/>
        <v>u=40%, k=2x10^6</v>
      </c>
      <c r="BD899">
        <f t="shared" si="29"/>
        <v>0</v>
      </c>
    </row>
    <row r="900" spans="1:56">
      <c r="A900" t="s">
        <v>1248</v>
      </c>
      <c r="B900" t="s">
        <v>68</v>
      </c>
      <c r="D900" t="s">
        <v>65</v>
      </c>
      <c r="E900" t="s">
        <v>60</v>
      </c>
      <c r="F900" t="s">
        <v>61</v>
      </c>
      <c r="G900">
        <v>30000</v>
      </c>
      <c r="H900">
        <v>20</v>
      </c>
      <c r="I900">
        <v>20</v>
      </c>
      <c r="J900">
        <v>0</v>
      </c>
      <c r="K900">
        <v>1</v>
      </c>
      <c r="L900">
        <v>2000000</v>
      </c>
      <c r="M900">
        <v>144</v>
      </c>
      <c r="N900">
        <v>144</v>
      </c>
      <c r="O900">
        <v>144</v>
      </c>
      <c r="P900">
        <v>0</v>
      </c>
      <c r="Q900" t="s">
        <v>62</v>
      </c>
      <c r="R900">
        <v>1001088137536</v>
      </c>
      <c r="S900">
        <v>1000866</v>
      </c>
      <c r="T900">
        <v>1001088137536</v>
      </c>
      <c r="U900">
        <v>1000866</v>
      </c>
      <c r="V900" t="s">
        <v>75</v>
      </c>
      <c r="W900">
        <v>49</v>
      </c>
      <c r="X900">
        <v>1000865</v>
      </c>
      <c r="Y900">
        <v>1000866</v>
      </c>
      <c r="Z900">
        <v>2001731</v>
      </c>
      <c r="AA900">
        <v>1000866</v>
      </c>
      <c r="AB900">
        <v>2</v>
      </c>
      <c r="AC900">
        <v>1</v>
      </c>
      <c r="AD900">
        <v>1.5</v>
      </c>
      <c r="AE900">
        <v>26.253900000000002</v>
      </c>
      <c r="AF900">
        <v>64055392</v>
      </c>
      <c r="AJ900" t="s">
        <v>1249</v>
      </c>
      <c r="AM900">
        <v>1923470827</v>
      </c>
      <c r="AN900">
        <v>0</v>
      </c>
      <c r="AO900">
        <v>1282368582</v>
      </c>
      <c r="AP900">
        <v>1923470827</v>
      </c>
      <c r="AQ900">
        <v>3205839409</v>
      </c>
      <c r="AR900">
        <v>64115694</v>
      </c>
      <c r="AS900">
        <v>0</v>
      </c>
      <c r="AT900">
        <v>42745619</v>
      </c>
      <c r="AU900">
        <v>64115694</v>
      </c>
      <c r="AV900">
        <v>106861313</v>
      </c>
      <c r="AW900">
        <v>15.956</v>
      </c>
      <c r="AX900">
        <v>3.9468399999999999</v>
      </c>
      <c r="AY900">
        <v>3746.64</v>
      </c>
      <c r="AZ900">
        <v>2300.16</v>
      </c>
      <c r="BA900">
        <v>1227</v>
      </c>
      <c r="BB900">
        <v>333</v>
      </c>
      <c r="BC900" t="str">
        <f t="shared" si="28"/>
        <v>u=40%, k=2x10^6</v>
      </c>
      <c r="BD900">
        <f t="shared" si="29"/>
        <v>0</v>
      </c>
    </row>
    <row r="901" spans="1:56">
      <c r="A901" t="s">
        <v>1250</v>
      </c>
      <c r="B901" t="s">
        <v>68</v>
      </c>
      <c r="D901" t="s">
        <v>65</v>
      </c>
      <c r="E901" t="s">
        <v>60</v>
      </c>
      <c r="F901" t="s">
        <v>61</v>
      </c>
      <c r="G901">
        <v>30000</v>
      </c>
      <c r="H901">
        <v>20</v>
      </c>
      <c r="I901">
        <v>20</v>
      </c>
      <c r="J901">
        <v>0</v>
      </c>
      <c r="K901">
        <v>1</v>
      </c>
      <c r="L901">
        <v>2000000</v>
      </c>
      <c r="M901">
        <v>190</v>
      </c>
      <c r="N901">
        <v>190</v>
      </c>
      <c r="O901">
        <v>190</v>
      </c>
      <c r="P901">
        <v>0</v>
      </c>
      <c r="Q901" t="s">
        <v>62</v>
      </c>
      <c r="R901">
        <v>998750754938</v>
      </c>
      <c r="S901">
        <v>999427</v>
      </c>
      <c r="T901">
        <v>998750754938</v>
      </c>
      <c r="U901">
        <v>999427</v>
      </c>
      <c r="V901" t="s">
        <v>75</v>
      </c>
      <c r="W901">
        <v>49</v>
      </c>
      <c r="X901">
        <v>999426</v>
      </c>
      <c r="Y901">
        <v>999427</v>
      </c>
      <c r="Z901">
        <v>1998853</v>
      </c>
      <c r="AA901">
        <v>999427</v>
      </c>
      <c r="AB901">
        <v>2</v>
      </c>
      <c r="AC901">
        <v>1</v>
      </c>
      <c r="AD901">
        <v>1.5</v>
      </c>
      <c r="AE901">
        <v>25.2028</v>
      </c>
      <c r="AF901">
        <v>63963296</v>
      </c>
      <c r="AJ901">
        <v>27416</v>
      </c>
      <c r="AM901">
        <v>2206523563</v>
      </c>
      <c r="AN901">
        <v>0</v>
      </c>
      <c r="AO901">
        <v>1470906890</v>
      </c>
      <c r="AP901">
        <v>2206523563</v>
      </c>
      <c r="AQ901">
        <v>3677430453</v>
      </c>
      <c r="AR901">
        <v>73550785</v>
      </c>
      <c r="AS901">
        <v>0</v>
      </c>
      <c r="AT901">
        <v>49030229</v>
      </c>
      <c r="AU901">
        <v>73550785</v>
      </c>
      <c r="AV901">
        <v>122581015</v>
      </c>
      <c r="AW901">
        <v>16.744700000000002</v>
      </c>
      <c r="AX901">
        <v>4.3588100000000001</v>
      </c>
      <c r="AY901">
        <v>4285.55</v>
      </c>
      <c r="AZ901">
        <v>2456.17</v>
      </c>
      <c r="BA901">
        <v>1223</v>
      </c>
      <c r="BB901">
        <v>307</v>
      </c>
      <c r="BC901" t="str">
        <f t="shared" si="28"/>
        <v>u=40%, k=2x10^6</v>
      </c>
      <c r="BD901">
        <f t="shared" si="29"/>
        <v>0</v>
      </c>
    </row>
    <row r="902" spans="1:56">
      <c r="A902" t="s">
        <v>1251</v>
      </c>
      <c r="B902" t="s">
        <v>64</v>
      </c>
      <c r="C902">
        <v>72</v>
      </c>
      <c r="D902" t="s">
        <v>65</v>
      </c>
      <c r="E902" t="s">
        <v>60</v>
      </c>
      <c r="F902" t="s">
        <v>61</v>
      </c>
      <c r="G902">
        <v>30000</v>
      </c>
      <c r="H902">
        <v>20</v>
      </c>
      <c r="I902">
        <v>20</v>
      </c>
      <c r="J902">
        <v>0</v>
      </c>
      <c r="K902">
        <v>1</v>
      </c>
      <c r="L902">
        <v>20000000</v>
      </c>
      <c r="M902">
        <v>24</v>
      </c>
      <c r="N902">
        <v>24</v>
      </c>
      <c r="O902">
        <v>24</v>
      </c>
      <c r="P902">
        <v>0</v>
      </c>
      <c r="Q902" t="s">
        <v>62</v>
      </c>
      <c r="R902">
        <v>100015870994975</v>
      </c>
      <c r="S902">
        <v>10001524</v>
      </c>
      <c r="T902">
        <v>100015870994975</v>
      </c>
      <c r="U902">
        <v>10001524</v>
      </c>
      <c r="V902" t="s">
        <v>75</v>
      </c>
      <c r="W902">
        <v>7</v>
      </c>
      <c r="X902">
        <v>1889651</v>
      </c>
      <c r="Y902">
        <v>11993620</v>
      </c>
      <c r="Z902">
        <v>13883271</v>
      </c>
      <c r="AA902">
        <v>10001524</v>
      </c>
      <c r="AB902">
        <v>7.3470000000000004</v>
      </c>
      <c r="AC902">
        <v>0.83390399999999998</v>
      </c>
      <c r="AD902">
        <v>1.7203999999999999</v>
      </c>
      <c r="AE902">
        <v>4.0528700000000004</v>
      </c>
      <c r="AF902">
        <v>343090224</v>
      </c>
      <c r="AG902" t="s">
        <v>1252</v>
      </c>
      <c r="AH902" t="s">
        <v>1253</v>
      </c>
      <c r="AI902">
        <v>62927</v>
      </c>
      <c r="AJ902">
        <v>229668</v>
      </c>
      <c r="AM902">
        <v>363262886</v>
      </c>
      <c r="AN902">
        <v>0</v>
      </c>
      <c r="AO902">
        <v>242184087</v>
      </c>
      <c r="AP902">
        <v>363262886</v>
      </c>
      <c r="AQ902">
        <v>605446973</v>
      </c>
      <c r="AR902">
        <v>12108762</v>
      </c>
      <c r="AS902">
        <v>0</v>
      </c>
      <c r="AT902">
        <v>8072802</v>
      </c>
      <c r="AU902">
        <v>12108762</v>
      </c>
      <c r="AV902">
        <v>20181565</v>
      </c>
      <c r="AW902">
        <v>26.0321</v>
      </c>
      <c r="AX902">
        <v>11.172800000000001</v>
      </c>
      <c r="AY902">
        <v>3287.78</v>
      </c>
      <c r="AZ902">
        <v>2141.94</v>
      </c>
      <c r="BA902">
        <v>2449</v>
      </c>
      <c r="BB902">
        <v>155</v>
      </c>
      <c r="BC902" t="str">
        <f t="shared" si="28"/>
        <v>u=40%, k=2x10^7</v>
      </c>
      <c r="BD902" t="str">
        <f t="shared" si="29"/>
        <v>48</v>
      </c>
    </row>
    <row r="903" spans="1:56">
      <c r="A903" t="s">
        <v>1254</v>
      </c>
      <c r="B903" t="s">
        <v>64</v>
      </c>
      <c r="C903">
        <v>72</v>
      </c>
      <c r="D903" t="s">
        <v>65</v>
      </c>
      <c r="E903" t="s">
        <v>60</v>
      </c>
      <c r="F903" t="s">
        <v>61</v>
      </c>
      <c r="G903">
        <v>30000</v>
      </c>
      <c r="H903">
        <v>20</v>
      </c>
      <c r="I903">
        <v>20</v>
      </c>
      <c r="J903">
        <v>0</v>
      </c>
      <c r="K903">
        <v>1</v>
      </c>
      <c r="L903">
        <v>20000000</v>
      </c>
      <c r="M903">
        <v>48</v>
      </c>
      <c r="N903">
        <v>48</v>
      </c>
      <c r="O903">
        <v>48</v>
      </c>
      <c r="P903">
        <v>0</v>
      </c>
      <c r="Q903" t="s">
        <v>62</v>
      </c>
      <c r="R903">
        <v>99983034991223</v>
      </c>
      <c r="S903">
        <v>9997112</v>
      </c>
      <c r="T903">
        <v>99983034991223</v>
      </c>
      <c r="U903">
        <v>9997112</v>
      </c>
      <c r="V903" t="s">
        <v>75</v>
      </c>
      <c r="W903">
        <v>7</v>
      </c>
      <c r="X903">
        <v>1906292</v>
      </c>
      <c r="Y903">
        <v>12033943</v>
      </c>
      <c r="Z903">
        <v>13940235</v>
      </c>
      <c r="AA903">
        <v>9997112</v>
      </c>
      <c r="AB903">
        <v>7.3127500000000003</v>
      </c>
      <c r="AC903">
        <v>0.83074300000000001</v>
      </c>
      <c r="AD903">
        <v>1.7171400000000001</v>
      </c>
      <c r="AE903">
        <v>4.0560600000000004</v>
      </c>
      <c r="AF903">
        <v>345083808</v>
      </c>
      <c r="AG903" t="s">
        <v>1255</v>
      </c>
      <c r="AH903" t="s">
        <v>1256</v>
      </c>
      <c r="AI903">
        <v>249280</v>
      </c>
      <c r="AJ903">
        <v>96522</v>
      </c>
      <c r="AM903">
        <v>589632163</v>
      </c>
      <c r="AN903">
        <v>0</v>
      </c>
      <c r="AO903">
        <v>393060459</v>
      </c>
      <c r="AP903">
        <v>589632163</v>
      </c>
      <c r="AQ903">
        <v>982692622</v>
      </c>
      <c r="AR903">
        <v>19654405</v>
      </c>
      <c r="AS903">
        <v>0</v>
      </c>
      <c r="AT903">
        <v>13102015</v>
      </c>
      <c r="AU903">
        <v>19654405</v>
      </c>
      <c r="AV903">
        <v>32756420</v>
      </c>
      <c r="AW903">
        <v>26.821300000000001</v>
      </c>
      <c r="AX903">
        <v>11.8255</v>
      </c>
      <c r="AY903">
        <v>4046.46</v>
      </c>
      <c r="AZ903">
        <v>2730.78</v>
      </c>
      <c r="BA903">
        <v>2509</v>
      </c>
      <c r="BB903">
        <v>191</v>
      </c>
      <c r="BC903" t="str">
        <f t="shared" si="28"/>
        <v>u=40%, k=2x10^7</v>
      </c>
      <c r="BD903" t="str">
        <f t="shared" si="29"/>
        <v>78</v>
      </c>
    </row>
    <row r="904" spans="1:56">
      <c r="A904" t="s">
        <v>1257</v>
      </c>
      <c r="B904" t="s">
        <v>64</v>
      </c>
      <c r="C904">
        <v>72</v>
      </c>
      <c r="D904" t="s">
        <v>65</v>
      </c>
      <c r="E904" t="s">
        <v>60</v>
      </c>
      <c r="F904" t="s">
        <v>61</v>
      </c>
      <c r="G904">
        <v>30000</v>
      </c>
      <c r="H904">
        <v>20</v>
      </c>
      <c r="I904">
        <v>20</v>
      </c>
      <c r="J904">
        <v>0</v>
      </c>
      <c r="K904">
        <v>1</v>
      </c>
      <c r="L904">
        <v>20000000</v>
      </c>
      <c r="M904">
        <v>96</v>
      </c>
      <c r="N904">
        <v>96</v>
      </c>
      <c r="O904">
        <v>96</v>
      </c>
      <c r="P904">
        <v>0</v>
      </c>
      <c r="Q904" t="s">
        <v>62</v>
      </c>
      <c r="R904">
        <v>99974073395184</v>
      </c>
      <c r="S904">
        <v>9998320</v>
      </c>
      <c r="T904">
        <v>99974073395184</v>
      </c>
      <c r="U904">
        <v>9998320</v>
      </c>
      <c r="V904" t="s">
        <v>75</v>
      </c>
      <c r="W904">
        <v>7</v>
      </c>
      <c r="X904">
        <v>1752451</v>
      </c>
      <c r="Y904">
        <v>11712364</v>
      </c>
      <c r="Z904">
        <v>13464815</v>
      </c>
      <c r="AA904">
        <v>9998320</v>
      </c>
      <c r="AB904">
        <v>7.6834199999999999</v>
      </c>
      <c r="AC904">
        <v>0.85365500000000005</v>
      </c>
      <c r="AD904">
        <v>1.74255</v>
      </c>
      <c r="AE904">
        <v>4.0252699999999999</v>
      </c>
      <c r="AF904">
        <v>327610928</v>
      </c>
      <c r="AG904" t="s">
        <v>1258</v>
      </c>
      <c r="AH904" t="s">
        <v>1259</v>
      </c>
      <c r="AI904">
        <v>903718</v>
      </c>
      <c r="AJ904">
        <v>45768</v>
      </c>
      <c r="AM904">
        <v>1026143545</v>
      </c>
      <c r="AN904">
        <v>0</v>
      </c>
      <c r="AO904">
        <v>684131707</v>
      </c>
      <c r="AP904">
        <v>1026143545</v>
      </c>
      <c r="AQ904">
        <v>1710275252</v>
      </c>
      <c r="AR904">
        <v>34204784</v>
      </c>
      <c r="AS904">
        <v>0</v>
      </c>
      <c r="AT904">
        <v>22804390</v>
      </c>
      <c r="AU904">
        <v>34204784</v>
      </c>
      <c r="AV904">
        <v>57009175</v>
      </c>
      <c r="AW904">
        <v>27.652699999999999</v>
      </c>
      <c r="AX904">
        <v>13.680300000000001</v>
      </c>
      <c r="AY904">
        <v>4604.63</v>
      </c>
      <c r="AZ904">
        <v>3185.75</v>
      </c>
      <c r="BA904">
        <v>2643</v>
      </c>
      <c r="BB904">
        <v>328</v>
      </c>
      <c r="BC904" t="str">
        <f t="shared" si="28"/>
        <v>u=40%, k=2x10^7</v>
      </c>
      <c r="BD904" t="str">
        <f t="shared" si="29"/>
        <v>136</v>
      </c>
    </row>
    <row r="905" spans="1:56">
      <c r="A905" t="s">
        <v>1260</v>
      </c>
      <c r="B905" t="s">
        <v>64</v>
      </c>
      <c r="C905">
        <v>72</v>
      </c>
      <c r="D905" t="s">
        <v>65</v>
      </c>
      <c r="E905" t="s">
        <v>60</v>
      </c>
      <c r="F905" t="s">
        <v>61</v>
      </c>
      <c r="G905">
        <v>30000</v>
      </c>
      <c r="H905">
        <v>20</v>
      </c>
      <c r="I905">
        <v>20</v>
      </c>
      <c r="J905">
        <v>0</v>
      </c>
      <c r="K905">
        <v>1</v>
      </c>
      <c r="L905">
        <v>20000000</v>
      </c>
      <c r="M905">
        <v>144</v>
      </c>
      <c r="N905">
        <v>144</v>
      </c>
      <c r="O905">
        <v>144</v>
      </c>
      <c r="P905">
        <v>0</v>
      </c>
      <c r="Q905" t="s">
        <v>62</v>
      </c>
      <c r="R905">
        <v>99985333503895</v>
      </c>
      <c r="S905">
        <v>9997317</v>
      </c>
      <c r="T905">
        <v>99985333503895</v>
      </c>
      <c r="U905">
        <v>9997317</v>
      </c>
      <c r="V905" t="s">
        <v>75</v>
      </c>
      <c r="W905">
        <v>7</v>
      </c>
      <c r="X905">
        <v>1812709</v>
      </c>
      <c r="Y905">
        <v>11838288</v>
      </c>
      <c r="Z905">
        <v>13650997</v>
      </c>
      <c r="AA905">
        <v>9997317</v>
      </c>
      <c r="AB905">
        <v>7.5307199999999996</v>
      </c>
      <c r="AC905">
        <v>0.84448999999999996</v>
      </c>
      <c r="AD905">
        <v>1.7323500000000001</v>
      </c>
      <c r="AE905">
        <v>4.03728</v>
      </c>
      <c r="AF905">
        <v>334457360</v>
      </c>
      <c r="AG905" t="s">
        <v>1261</v>
      </c>
      <c r="AH905" t="s">
        <v>1262</v>
      </c>
      <c r="AI905">
        <v>1857735</v>
      </c>
      <c r="AJ905">
        <v>29764</v>
      </c>
      <c r="AM905">
        <v>1445158415</v>
      </c>
      <c r="AN905">
        <v>0</v>
      </c>
      <c r="AO905">
        <v>963429383</v>
      </c>
      <c r="AP905">
        <v>1445158415</v>
      </c>
      <c r="AQ905">
        <v>2408587798</v>
      </c>
      <c r="AR905">
        <v>48171947</v>
      </c>
      <c r="AS905">
        <v>0</v>
      </c>
      <c r="AT905">
        <v>32114312</v>
      </c>
      <c r="AU905">
        <v>48171947</v>
      </c>
      <c r="AV905">
        <v>80286259</v>
      </c>
      <c r="AW905">
        <v>28.002400000000002</v>
      </c>
      <c r="AX905">
        <v>14.5054</v>
      </c>
      <c r="AY905">
        <v>4866.7700000000004</v>
      </c>
      <c r="AZ905">
        <v>3375.88</v>
      </c>
      <c r="BA905">
        <v>2818</v>
      </c>
      <c r="BB905">
        <v>356</v>
      </c>
      <c r="BC905" t="str">
        <f t="shared" si="28"/>
        <v>u=40%, k=2x10^7</v>
      </c>
      <c r="BD905" t="str">
        <f t="shared" si="29"/>
        <v>192</v>
      </c>
    </row>
    <row r="906" spans="1:56">
      <c r="A906" t="s">
        <v>1263</v>
      </c>
      <c r="B906" t="s">
        <v>64</v>
      </c>
      <c r="C906">
        <v>72</v>
      </c>
      <c r="D906" t="s">
        <v>65</v>
      </c>
      <c r="E906" t="s">
        <v>60</v>
      </c>
      <c r="F906" t="s">
        <v>61</v>
      </c>
      <c r="G906">
        <v>30000</v>
      </c>
      <c r="H906">
        <v>20</v>
      </c>
      <c r="I906">
        <v>20</v>
      </c>
      <c r="J906">
        <v>0</v>
      </c>
      <c r="K906">
        <v>1</v>
      </c>
      <c r="L906">
        <v>20000000</v>
      </c>
      <c r="M906">
        <v>190</v>
      </c>
      <c r="N906">
        <v>190</v>
      </c>
      <c r="O906">
        <v>190</v>
      </c>
      <c r="P906">
        <v>0</v>
      </c>
      <c r="Q906" t="s">
        <v>62</v>
      </c>
      <c r="R906">
        <v>100019351050199</v>
      </c>
      <c r="S906">
        <v>10000917</v>
      </c>
      <c r="T906">
        <v>100019351050199</v>
      </c>
      <c r="U906">
        <v>10000917</v>
      </c>
      <c r="V906" t="s">
        <v>75</v>
      </c>
      <c r="W906">
        <v>7</v>
      </c>
      <c r="X906">
        <v>1805382</v>
      </c>
      <c r="Y906">
        <v>11811458</v>
      </c>
      <c r="Z906">
        <v>13616840</v>
      </c>
      <c r="AA906">
        <v>10000917</v>
      </c>
      <c r="AB906">
        <v>7.5423600000000004</v>
      </c>
      <c r="AC906">
        <v>0.84671300000000005</v>
      </c>
      <c r="AD906">
        <v>1.73445</v>
      </c>
      <c r="AE906">
        <v>4.0359400000000001</v>
      </c>
      <c r="AF906">
        <v>333417024</v>
      </c>
      <c r="AG906" t="s">
        <v>1264</v>
      </c>
      <c r="AH906" t="s">
        <v>1265</v>
      </c>
      <c r="AI906">
        <v>2905557</v>
      </c>
      <c r="AJ906">
        <v>22188</v>
      </c>
      <c r="AM906">
        <v>1733779204</v>
      </c>
      <c r="AN906">
        <v>0</v>
      </c>
      <c r="AO906">
        <v>1155857594</v>
      </c>
      <c r="AP906">
        <v>1733779204</v>
      </c>
      <c r="AQ906">
        <v>2889636798</v>
      </c>
      <c r="AR906">
        <v>57792640</v>
      </c>
      <c r="AS906">
        <v>0</v>
      </c>
      <c r="AT906">
        <v>38528586</v>
      </c>
      <c r="AU906">
        <v>57792640</v>
      </c>
      <c r="AV906">
        <v>96321226</v>
      </c>
      <c r="AW906">
        <v>28.645</v>
      </c>
      <c r="AX906">
        <v>15.3131</v>
      </c>
      <c r="AY906">
        <v>5311.19</v>
      </c>
      <c r="AZ906">
        <v>3660.29</v>
      </c>
      <c r="BA906">
        <v>2941</v>
      </c>
      <c r="BB906">
        <v>411</v>
      </c>
      <c r="BC906" t="str">
        <f t="shared" si="28"/>
        <v>u=40%, k=2x10^7</v>
      </c>
      <c r="BD906" t="str">
        <f t="shared" si="29"/>
        <v>231</v>
      </c>
    </row>
    <row r="907" spans="1:56">
      <c r="A907" t="s">
        <v>1266</v>
      </c>
      <c r="B907" t="s">
        <v>66</v>
      </c>
      <c r="C907">
        <v>208</v>
      </c>
      <c r="D907" t="s">
        <v>65</v>
      </c>
      <c r="E907" t="s">
        <v>60</v>
      </c>
      <c r="F907" t="s">
        <v>61</v>
      </c>
      <c r="G907">
        <v>30000</v>
      </c>
      <c r="H907">
        <v>20</v>
      </c>
      <c r="I907">
        <v>20</v>
      </c>
      <c r="J907">
        <v>0</v>
      </c>
      <c r="K907">
        <v>1</v>
      </c>
      <c r="L907">
        <v>20000000</v>
      </c>
      <c r="M907">
        <v>24</v>
      </c>
      <c r="N907">
        <v>24</v>
      </c>
      <c r="O907">
        <v>24</v>
      </c>
      <c r="P907">
        <v>0</v>
      </c>
      <c r="Q907" t="s">
        <v>62</v>
      </c>
      <c r="R907">
        <v>99988562935929</v>
      </c>
      <c r="S907">
        <v>10000447</v>
      </c>
      <c r="T907">
        <v>99988562935929</v>
      </c>
      <c r="U907">
        <v>10000447</v>
      </c>
      <c r="V907" t="s">
        <v>75</v>
      </c>
      <c r="W907">
        <v>9</v>
      </c>
      <c r="X907">
        <v>293290</v>
      </c>
      <c r="Y907">
        <v>1945570</v>
      </c>
      <c r="Z907">
        <v>2238860</v>
      </c>
      <c r="AA907">
        <v>10000447</v>
      </c>
      <c r="AB907">
        <v>7.6336000000000004</v>
      </c>
      <c r="AC907">
        <v>5.14011</v>
      </c>
      <c r="AD907">
        <v>5.4667599999999998</v>
      </c>
      <c r="AE907">
        <v>8</v>
      </c>
      <c r="AF907">
        <v>465682880</v>
      </c>
      <c r="AJ907" t="s">
        <v>1267</v>
      </c>
      <c r="AM907">
        <v>463995594</v>
      </c>
      <c r="AN907">
        <v>0</v>
      </c>
      <c r="AO907">
        <v>309303379</v>
      </c>
      <c r="AP907">
        <v>463995594</v>
      </c>
      <c r="AQ907">
        <v>773298973</v>
      </c>
      <c r="AR907">
        <v>15466519</v>
      </c>
      <c r="AS907">
        <v>0</v>
      </c>
      <c r="AT907">
        <v>10310112</v>
      </c>
      <c r="AU907">
        <v>15466519</v>
      </c>
      <c r="AV907">
        <v>25776632</v>
      </c>
      <c r="AW907">
        <v>19.536899999999999</v>
      </c>
      <c r="AX907">
        <v>6.4005900000000002</v>
      </c>
      <c r="AY907">
        <v>2595.98</v>
      </c>
      <c r="AZ907">
        <v>1589.2</v>
      </c>
      <c r="BA907">
        <v>1576</v>
      </c>
      <c r="BB907">
        <v>897</v>
      </c>
      <c r="BC907" t="str">
        <f t="shared" si="28"/>
        <v>u=40%, k=2x10^7</v>
      </c>
      <c r="BD907">
        <f t="shared" si="29"/>
        <v>0</v>
      </c>
    </row>
    <row r="908" spans="1:56">
      <c r="A908" t="s">
        <v>1268</v>
      </c>
      <c r="B908" t="s">
        <v>66</v>
      </c>
      <c r="C908">
        <v>208</v>
      </c>
      <c r="D908" t="s">
        <v>65</v>
      </c>
      <c r="E908" t="s">
        <v>60</v>
      </c>
      <c r="F908" t="s">
        <v>61</v>
      </c>
      <c r="G908">
        <v>30000</v>
      </c>
      <c r="H908">
        <v>20</v>
      </c>
      <c r="I908">
        <v>20</v>
      </c>
      <c r="J908">
        <v>0</v>
      </c>
      <c r="K908">
        <v>1</v>
      </c>
      <c r="L908">
        <v>20000000</v>
      </c>
      <c r="M908">
        <v>48</v>
      </c>
      <c r="N908">
        <v>48</v>
      </c>
      <c r="O908">
        <v>48</v>
      </c>
      <c r="P908">
        <v>0</v>
      </c>
      <c r="Q908" t="s">
        <v>62</v>
      </c>
      <c r="R908">
        <v>99992597516517</v>
      </c>
      <c r="S908">
        <v>9999454</v>
      </c>
      <c r="T908">
        <v>99992597516517</v>
      </c>
      <c r="U908">
        <v>9999454</v>
      </c>
      <c r="V908" t="s">
        <v>75</v>
      </c>
      <c r="W908">
        <v>9</v>
      </c>
      <c r="X908">
        <v>308307</v>
      </c>
      <c r="Y908">
        <v>1965603</v>
      </c>
      <c r="Z908">
        <v>2273910</v>
      </c>
      <c r="AA908">
        <v>9999454</v>
      </c>
      <c r="AB908">
        <v>7.37547</v>
      </c>
      <c r="AC908">
        <v>5.0872200000000003</v>
      </c>
      <c r="AD908">
        <v>5.3974700000000002</v>
      </c>
      <c r="AE908">
        <v>8</v>
      </c>
      <c r="AF908">
        <v>472973280</v>
      </c>
      <c r="AJ908" t="s">
        <v>1269</v>
      </c>
      <c r="AM908">
        <v>826334920</v>
      </c>
      <c r="AN908">
        <v>0</v>
      </c>
      <c r="AO908">
        <v>550914271</v>
      </c>
      <c r="AP908">
        <v>826334920</v>
      </c>
      <c r="AQ908">
        <v>1377249191</v>
      </c>
      <c r="AR908">
        <v>27544497</v>
      </c>
      <c r="AS908">
        <v>0</v>
      </c>
      <c r="AT908">
        <v>18363809</v>
      </c>
      <c r="AU908">
        <v>27544497</v>
      </c>
      <c r="AV908">
        <v>45908306</v>
      </c>
      <c r="AW908">
        <v>20.036100000000001</v>
      </c>
      <c r="AX908">
        <v>6.7581699999999998</v>
      </c>
      <c r="AY908">
        <v>2913.97</v>
      </c>
      <c r="AZ908">
        <v>1942.91</v>
      </c>
      <c r="BA908">
        <v>1693</v>
      </c>
      <c r="BB908">
        <v>744</v>
      </c>
      <c r="BC908" t="str">
        <f t="shared" si="28"/>
        <v>u=40%, k=2x10^7</v>
      </c>
      <c r="BD908">
        <f t="shared" si="29"/>
        <v>0</v>
      </c>
    </row>
    <row r="909" spans="1:56">
      <c r="A909" t="s">
        <v>1270</v>
      </c>
      <c r="B909" t="s">
        <v>66</v>
      </c>
      <c r="C909">
        <v>208</v>
      </c>
      <c r="D909" t="s">
        <v>65</v>
      </c>
      <c r="E909" t="s">
        <v>60</v>
      </c>
      <c r="F909" t="s">
        <v>61</v>
      </c>
      <c r="G909">
        <v>30000</v>
      </c>
      <c r="H909">
        <v>20</v>
      </c>
      <c r="I909">
        <v>20</v>
      </c>
      <c r="J909">
        <v>0</v>
      </c>
      <c r="K909">
        <v>1</v>
      </c>
      <c r="L909">
        <v>20000000</v>
      </c>
      <c r="M909">
        <v>96</v>
      </c>
      <c r="N909">
        <v>96</v>
      </c>
      <c r="O909">
        <v>96</v>
      </c>
      <c r="P909">
        <v>0</v>
      </c>
      <c r="Q909" t="s">
        <v>62</v>
      </c>
      <c r="R909">
        <v>100048632824124</v>
      </c>
      <c r="S909">
        <v>10004013</v>
      </c>
      <c r="T909">
        <v>100048632824124</v>
      </c>
      <c r="U909">
        <v>10004013</v>
      </c>
      <c r="V909" t="s">
        <v>75</v>
      </c>
      <c r="W909">
        <v>9</v>
      </c>
      <c r="X909">
        <v>320451</v>
      </c>
      <c r="Y909">
        <v>1960853</v>
      </c>
      <c r="Z909">
        <v>2281304</v>
      </c>
      <c r="AA909">
        <v>10004013</v>
      </c>
      <c r="AB909">
        <v>7.11904</v>
      </c>
      <c r="AC909">
        <v>5.1018699999999999</v>
      </c>
      <c r="AD909">
        <v>5.3852200000000003</v>
      </c>
      <c r="AE909">
        <v>8</v>
      </c>
      <c r="AF909">
        <v>474511232</v>
      </c>
      <c r="AJ909" t="s">
        <v>1271</v>
      </c>
      <c r="AM909">
        <v>1495271823</v>
      </c>
      <c r="AN909">
        <v>0</v>
      </c>
      <c r="AO909">
        <v>996906605</v>
      </c>
      <c r="AP909">
        <v>1495271823</v>
      </c>
      <c r="AQ909">
        <v>2492178428</v>
      </c>
      <c r="AR909">
        <v>49842394</v>
      </c>
      <c r="AS909">
        <v>0</v>
      </c>
      <c r="AT909">
        <v>33230220</v>
      </c>
      <c r="AU909">
        <v>49842394</v>
      </c>
      <c r="AV909">
        <v>83072614</v>
      </c>
      <c r="AW909">
        <v>21.457799999999999</v>
      </c>
      <c r="AX909">
        <v>7.6881399999999998</v>
      </c>
      <c r="AY909">
        <v>3210.24</v>
      </c>
      <c r="AZ909">
        <v>2067.5500000000002</v>
      </c>
      <c r="BA909">
        <v>2156</v>
      </c>
      <c r="BB909">
        <v>907</v>
      </c>
      <c r="BC909" t="str">
        <f t="shared" si="28"/>
        <v>u=40%, k=2x10^7</v>
      </c>
      <c r="BD909">
        <f t="shared" si="29"/>
        <v>0</v>
      </c>
    </row>
    <row r="910" spans="1:56">
      <c r="A910" t="s">
        <v>1272</v>
      </c>
      <c r="B910" t="s">
        <v>66</v>
      </c>
      <c r="C910">
        <v>208</v>
      </c>
      <c r="D910" t="s">
        <v>65</v>
      </c>
      <c r="E910" t="s">
        <v>60</v>
      </c>
      <c r="F910" t="s">
        <v>61</v>
      </c>
      <c r="G910">
        <v>30000</v>
      </c>
      <c r="H910">
        <v>20</v>
      </c>
      <c r="I910">
        <v>20</v>
      </c>
      <c r="J910">
        <v>0</v>
      </c>
      <c r="K910">
        <v>1</v>
      </c>
      <c r="L910">
        <v>20000000</v>
      </c>
      <c r="M910">
        <v>144</v>
      </c>
      <c r="N910">
        <v>144</v>
      </c>
      <c r="O910">
        <v>144</v>
      </c>
      <c r="P910">
        <v>0</v>
      </c>
      <c r="Q910" t="s">
        <v>62</v>
      </c>
      <c r="R910">
        <v>100011620910381</v>
      </c>
      <c r="S910">
        <v>10000387</v>
      </c>
      <c r="T910">
        <v>100011620910381</v>
      </c>
      <c r="U910">
        <v>10000387</v>
      </c>
      <c r="V910" t="s">
        <v>75</v>
      </c>
      <c r="W910">
        <v>10</v>
      </c>
      <c r="X910">
        <v>324918</v>
      </c>
      <c r="Y910">
        <v>1957512</v>
      </c>
      <c r="Z910">
        <v>2282430</v>
      </c>
      <c r="AA910">
        <v>10000387</v>
      </c>
      <c r="AB910">
        <v>7.0246300000000002</v>
      </c>
      <c r="AC910">
        <v>5.1087199999999999</v>
      </c>
      <c r="AD910">
        <v>5.3814599999999997</v>
      </c>
      <c r="AE910">
        <v>9</v>
      </c>
      <c r="AF910">
        <v>474745440</v>
      </c>
      <c r="AJ910" t="s">
        <v>1273</v>
      </c>
      <c r="AM910">
        <v>1942239010</v>
      </c>
      <c r="AN910">
        <v>0</v>
      </c>
      <c r="AO910">
        <v>1294827684</v>
      </c>
      <c r="AP910">
        <v>1942239010</v>
      </c>
      <c r="AQ910">
        <v>3237066694</v>
      </c>
      <c r="AR910">
        <v>64741300</v>
      </c>
      <c r="AS910">
        <v>0</v>
      </c>
      <c r="AT910">
        <v>43160922</v>
      </c>
      <c r="AU910">
        <v>64741300</v>
      </c>
      <c r="AV910">
        <v>107902223</v>
      </c>
      <c r="AW910">
        <v>22.535799999999998</v>
      </c>
      <c r="AX910">
        <v>8.67563</v>
      </c>
      <c r="AY910">
        <v>3706.79</v>
      </c>
      <c r="AZ910">
        <v>2273.9</v>
      </c>
      <c r="BA910">
        <v>2109</v>
      </c>
      <c r="BB910">
        <v>867</v>
      </c>
      <c r="BC910" t="str">
        <f t="shared" si="28"/>
        <v>u=40%, k=2x10^7</v>
      </c>
      <c r="BD910">
        <f t="shared" si="29"/>
        <v>0</v>
      </c>
    </row>
    <row r="911" spans="1:56">
      <c r="A911" t="s">
        <v>1274</v>
      </c>
      <c r="B911" t="s">
        <v>66</v>
      </c>
      <c r="C911">
        <v>208</v>
      </c>
      <c r="D911" t="s">
        <v>65</v>
      </c>
      <c r="E911" t="s">
        <v>60</v>
      </c>
      <c r="F911" t="s">
        <v>61</v>
      </c>
      <c r="G911">
        <v>30000</v>
      </c>
      <c r="H911">
        <v>20</v>
      </c>
      <c r="I911">
        <v>20</v>
      </c>
      <c r="J911">
        <v>0</v>
      </c>
      <c r="K911">
        <v>1</v>
      </c>
      <c r="L911">
        <v>20000000</v>
      </c>
      <c r="M911">
        <v>190</v>
      </c>
      <c r="N911">
        <v>190</v>
      </c>
      <c r="O911">
        <v>190</v>
      </c>
      <c r="P911">
        <v>0</v>
      </c>
      <c r="Q911" t="s">
        <v>62</v>
      </c>
      <c r="R911">
        <v>100007103983835</v>
      </c>
      <c r="S911">
        <v>10000440</v>
      </c>
      <c r="T911">
        <v>100007103983835</v>
      </c>
      <c r="U911">
        <v>10000440</v>
      </c>
      <c r="V911" t="s">
        <v>75</v>
      </c>
      <c r="W911">
        <v>9</v>
      </c>
      <c r="X911">
        <v>327250</v>
      </c>
      <c r="Y911">
        <v>1955201</v>
      </c>
      <c r="Z911">
        <v>2282451</v>
      </c>
      <c r="AA911">
        <v>10000440</v>
      </c>
      <c r="AB911">
        <v>6.97464</v>
      </c>
      <c r="AC911">
        <v>5.1147900000000002</v>
      </c>
      <c r="AD911">
        <v>5.3814500000000001</v>
      </c>
      <c r="AE911">
        <v>8</v>
      </c>
      <c r="AF911">
        <v>474749808</v>
      </c>
      <c r="AJ911">
        <v>29354</v>
      </c>
      <c r="AM911">
        <v>2219799862</v>
      </c>
      <c r="AN911">
        <v>0</v>
      </c>
      <c r="AO911">
        <v>1479853827</v>
      </c>
      <c r="AP911">
        <v>2219799862</v>
      </c>
      <c r="AQ911">
        <v>3699653689</v>
      </c>
      <c r="AR911">
        <v>73993328</v>
      </c>
      <c r="AS911">
        <v>0</v>
      </c>
      <c r="AT911">
        <v>49328460</v>
      </c>
      <c r="AU911">
        <v>73993328</v>
      </c>
      <c r="AV911">
        <v>123321789</v>
      </c>
      <c r="AW911">
        <v>22.866399999999999</v>
      </c>
      <c r="AX911">
        <v>9.11496</v>
      </c>
      <c r="AY911">
        <v>4252.34</v>
      </c>
      <c r="AZ911">
        <v>2408.35</v>
      </c>
      <c r="BA911">
        <v>2297</v>
      </c>
      <c r="BB911">
        <v>979</v>
      </c>
      <c r="BC911" t="str">
        <f t="shared" si="28"/>
        <v>u=40%, k=2x10^7</v>
      </c>
      <c r="BD911">
        <f t="shared" si="29"/>
        <v>0</v>
      </c>
    </row>
    <row r="912" spans="1:56">
      <c r="A912" t="s">
        <v>1275</v>
      </c>
      <c r="B912" t="s">
        <v>67</v>
      </c>
      <c r="D912" t="s">
        <v>65</v>
      </c>
      <c r="E912" t="s">
        <v>60</v>
      </c>
      <c r="F912" t="s">
        <v>61</v>
      </c>
      <c r="G912">
        <v>30000</v>
      </c>
      <c r="H912">
        <v>20</v>
      </c>
      <c r="I912">
        <v>20</v>
      </c>
      <c r="J912">
        <v>0</v>
      </c>
      <c r="K912">
        <v>1</v>
      </c>
      <c r="L912">
        <v>20000000</v>
      </c>
      <c r="M912">
        <v>24</v>
      </c>
      <c r="N912">
        <v>24</v>
      </c>
      <c r="O912">
        <v>24</v>
      </c>
      <c r="P912">
        <v>0</v>
      </c>
      <c r="Q912" t="s">
        <v>62</v>
      </c>
      <c r="R912">
        <v>99999558413644</v>
      </c>
      <c r="S912">
        <v>10000150</v>
      </c>
      <c r="T912">
        <v>99999558413644</v>
      </c>
      <c r="U912">
        <v>10000150</v>
      </c>
      <c r="V912" t="s">
        <v>75</v>
      </c>
      <c r="W912">
        <v>29</v>
      </c>
      <c r="X912">
        <v>6855998</v>
      </c>
      <c r="Y912">
        <v>5203203</v>
      </c>
      <c r="Z912">
        <v>12059201</v>
      </c>
      <c r="AA912">
        <v>10000150</v>
      </c>
      <c r="AB912">
        <v>1.7589300000000001</v>
      </c>
      <c r="AC912">
        <v>1.9219200000000001</v>
      </c>
      <c r="AD912">
        <v>1.82925</v>
      </c>
      <c r="AE912">
        <v>23.2319</v>
      </c>
      <c r="AF912">
        <v>675315256</v>
      </c>
      <c r="AJ912" t="s">
        <v>1276</v>
      </c>
      <c r="AM912">
        <v>224579861</v>
      </c>
      <c r="AN912">
        <v>0</v>
      </c>
      <c r="AO912">
        <v>149728197</v>
      </c>
      <c r="AP912">
        <v>224579861</v>
      </c>
      <c r="AQ912">
        <v>374308058</v>
      </c>
      <c r="AR912">
        <v>7485995</v>
      </c>
      <c r="AS912">
        <v>0</v>
      </c>
      <c r="AT912">
        <v>4990939</v>
      </c>
      <c r="AU912">
        <v>7485995</v>
      </c>
      <c r="AV912">
        <v>12476935</v>
      </c>
      <c r="AW912">
        <v>30.066299999999998</v>
      </c>
      <c r="AX912">
        <v>10.5709</v>
      </c>
      <c r="AY912">
        <v>5364.9</v>
      </c>
      <c r="AZ912">
        <v>3903.13</v>
      </c>
      <c r="BA912">
        <v>1860</v>
      </c>
      <c r="BB912">
        <v>1456</v>
      </c>
      <c r="BC912" t="str">
        <f t="shared" si="28"/>
        <v>u=40%, k=2x10^7</v>
      </c>
      <c r="BD912">
        <f t="shared" si="29"/>
        <v>0</v>
      </c>
    </row>
    <row r="913" spans="1:56">
      <c r="A913" t="s">
        <v>1277</v>
      </c>
      <c r="B913" t="s">
        <v>67</v>
      </c>
      <c r="D913" t="s">
        <v>65</v>
      </c>
      <c r="E913" t="s">
        <v>60</v>
      </c>
      <c r="F913" t="s">
        <v>61</v>
      </c>
      <c r="G913">
        <v>30000</v>
      </c>
      <c r="H913">
        <v>20</v>
      </c>
      <c r="I913">
        <v>20</v>
      </c>
      <c r="J913">
        <v>0</v>
      </c>
      <c r="K913">
        <v>1</v>
      </c>
      <c r="L913">
        <v>20000000</v>
      </c>
      <c r="M913">
        <v>48</v>
      </c>
      <c r="N913">
        <v>48</v>
      </c>
      <c r="O913">
        <v>48</v>
      </c>
      <c r="P913">
        <v>0</v>
      </c>
      <c r="Q913" t="s">
        <v>62</v>
      </c>
      <c r="R913">
        <v>99975408045777</v>
      </c>
      <c r="S913">
        <v>9998159</v>
      </c>
      <c r="T913">
        <v>99975408045777</v>
      </c>
      <c r="U913">
        <v>9998159</v>
      </c>
      <c r="V913" t="s">
        <v>75</v>
      </c>
      <c r="W913">
        <v>29</v>
      </c>
      <c r="X913">
        <v>6857757</v>
      </c>
      <c r="Y913">
        <v>5202486</v>
      </c>
      <c r="Z913">
        <v>12060243</v>
      </c>
      <c r="AA913">
        <v>9998159</v>
      </c>
      <c r="AB913">
        <v>1.7586299999999999</v>
      </c>
      <c r="AC913">
        <v>1.9218</v>
      </c>
      <c r="AD913">
        <v>1.8290200000000001</v>
      </c>
      <c r="AE913">
        <v>23.232199999999999</v>
      </c>
      <c r="AF913">
        <v>675373608</v>
      </c>
      <c r="AJ913" t="s">
        <v>1278</v>
      </c>
      <c r="AM913">
        <v>420810489</v>
      </c>
      <c r="AN913">
        <v>0</v>
      </c>
      <c r="AO913">
        <v>280556299</v>
      </c>
      <c r="AP913">
        <v>420810489</v>
      </c>
      <c r="AQ913">
        <v>701366788</v>
      </c>
      <c r="AR913">
        <v>14027016</v>
      </c>
      <c r="AS913">
        <v>0</v>
      </c>
      <c r="AT913">
        <v>9351876</v>
      </c>
      <c r="AU913">
        <v>14027016</v>
      </c>
      <c r="AV913">
        <v>23378892</v>
      </c>
      <c r="AW913">
        <v>30.773599999999998</v>
      </c>
      <c r="AX913">
        <v>10.5543</v>
      </c>
      <c r="AY913">
        <v>5725.69</v>
      </c>
      <c r="AZ913">
        <v>4227.5</v>
      </c>
      <c r="BA913">
        <v>1891</v>
      </c>
      <c r="BB913">
        <v>1039</v>
      </c>
      <c r="BC913" t="str">
        <f t="shared" si="28"/>
        <v>u=40%, k=2x10^7</v>
      </c>
      <c r="BD913">
        <f t="shared" si="29"/>
        <v>0</v>
      </c>
    </row>
    <row r="914" spans="1:56">
      <c r="A914" t="s">
        <v>1279</v>
      </c>
      <c r="B914" t="s">
        <v>67</v>
      </c>
      <c r="D914" t="s">
        <v>65</v>
      </c>
      <c r="E914" t="s">
        <v>60</v>
      </c>
      <c r="F914" t="s">
        <v>61</v>
      </c>
      <c r="G914">
        <v>30000</v>
      </c>
      <c r="H914">
        <v>20</v>
      </c>
      <c r="I914">
        <v>20</v>
      </c>
      <c r="J914">
        <v>0</v>
      </c>
      <c r="K914">
        <v>1</v>
      </c>
      <c r="L914">
        <v>20000000</v>
      </c>
      <c r="M914">
        <v>96</v>
      </c>
      <c r="N914">
        <v>96</v>
      </c>
      <c r="O914">
        <v>96</v>
      </c>
      <c r="P914">
        <v>0</v>
      </c>
      <c r="Q914" t="s">
        <v>62</v>
      </c>
      <c r="R914">
        <v>99971965189776</v>
      </c>
      <c r="S914">
        <v>9997542</v>
      </c>
      <c r="T914">
        <v>99971965189776</v>
      </c>
      <c r="U914">
        <v>9997542</v>
      </c>
      <c r="V914" t="s">
        <v>75</v>
      </c>
      <c r="W914">
        <v>29</v>
      </c>
      <c r="X914">
        <v>6855648</v>
      </c>
      <c r="Y914">
        <v>5201603</v>
      </c>
      <c r="Z914">
        <v>12057251</v>
      </c>
      <c r="AA914">
        <v>9997542</v>
      </c>
      <c r="AB914">
        <v>1.7587299999999999</v>
      </c>
      <c r="AC914">
        <v>1.92201</v>
      </c>
      <c r="AD914">
        <v>1.82917</v>
      </c>
      <c r="AE914">
        <v>23.231100000000001</v>
      </c>
      <c r="AF914">
        <v>675206056</v>
      </c>
      <c r="AJ914" t="s">
        <v>1280</v>
      </c>
      <c r="AM914">
        <v>876278095</v>
      </c>
      <c r="AN914">
        <v>0</v>
      </c>
      <c r="AO914">
        <v>584196476</v>
      </c>
      <c r="AP914">
        <v>876278095</v>
      </c>
      <c r="AQ914">
        <v>1460474571</v>
      </c>
      <c r="AR914">
        <v>29209269</v>
      </c>
      <c r="AS914">
        <v>0</v>
      </c>
      <c r="AT914">
        <v>19473215</v>
      </c>
      <c r="AU914">
        <v>29209269</v>
      </c>
      <c r="AV914">
        <v>48682485</v>
      </c>
      <c r="AW914">
        <v>31.448899999999998</v>
      </c>
      <c r="AX914">
        <v>11.194900000000001</v>
      </c>
      <c r="AY914">
        <v>5493.2</v>
      </c>
      <c r="AZ914">
        <v>3963.13</v>
      </c>
      <c r="BA914">
        <v>2053</v>
      </c>
      <c r="BB914">
        <v>805</v>
      </c>
      <c r="BC914" t="str">
        <f t="shared" si="28"/>
        <v>u=40%, k=2x10^7</v>
      </c>
      <c r="BD914">
        <f t="shared" si="29"/>
        <v>0</v>
      </c>
    </row>
    <row r="915" spans="1:56">
      <c r="A915" t="s">
        <v>1281</v>
      </c>
      <c r="B915" t="s">
        <v>67</v>
      </c>
      <c r="D915" t="s">
        <v>65</v>
      </c>
      <c r="E915" t="s">
        <v>60</v>
      </c>
      <c r="F915" t="s">
        <v>61</v>
      </c>
      <c r="G915">
        <v>30000</v>
      </c>
      <c r="H915">
        <v>20</v>
      </c>
      <c r="I915">
        <v>20</v>
      </c>
      <c r="J915">
        <v>0</v>
      </c>
      <c r="K915">
        <v>1</v>
      </c>
      <c r="L915">
        <v>20000000</v>
      </c>
      <c r="M915">
        <v>144</v>
      </c>
      <c r="N915">
        <v>144</v>
      </c>
      <c r="O915">
        <v>144</v>
      </c>
      <c r="P915">
        <v>0</v>
      </c>
      <c r="Q915" t="s">
        <v>62</v>
      </c>
      <c r="R915">
        <v>100017032505739</v>
      </c>
      <c r="S915">
        <v>10002070</v>
      </c>
      <c r="T915">
        <v>100017032505739</v>
      </c>
      <c r="U915">
        <v>10002070</v>
      </c>
      <c r="V915" t="s">
        <v>75</v>
      </c>
      <c r="W915">
        <v>29</v>
      </c>
      <c r="X915">
        <v>6860834</v>
      </c>
      <c r="Y915">
        <v>5205910</v>
      </c>
      <c r="Z915">
        <v>12066744</v>
      </c>
      <c r="AA915">
        <v>10002070</v>
      </c>
      <c r="AB915">
        <v>1.7587900000000001</v>
      </c>
      <c r="AC915">
        <v>1.9212899999999999</v>
      </c>
      <c r="AD915">
        <v>1.8289</v>
      </c>
      <c r="AE915">
        <v>23.223400000000002</v>
      </c>
      <c r="AF915">
        <v>675737664</v>
      </c>
      <c r="AJ915" t="s">
        <v>1282</v>
      </c>
      <c r="AM915">
        <v>1281157198</v>
      </c>
      <c r="AN915">
        <v>0</v>
      </c>
      <c r="AO915">
        <v>854146026</v>
      </c>
      <c r="AP915">
        <v>1281157198</v>
      </c>
      <c r="AQ915">
        <v>2135303224</v>
      </c>
      <c r="AR915">
        <v>42705239</v>
      </c>
      <c r="AS915">
        <v>0</v>
      </c>
      <c r="AT915">
        <v>28471534</v>
      </c>
      <c r="AU915">
        <v>42705239</v>
      </c>
      <c r="AV915">
        <v>71176774</v>
      </c>
      <c r="AW915">
        <v>32.294499999999999</v>
      </c>
      <c r="AX915">
        <v>11.8047</v>
      </c>
      <c r="AY915">
        <v>5630.12</v>
      </c>
      <c r="AZ915">
        <v>4064.27</v>
      </c>
      <c r="BA915">
        <v>2419</v>
      </c>
      <c r="BB915">
        <v>454</v>
      </c>
      <c r="BC915" t="str">
        <f t="shared" si="28"/>
        <v>u=40%, k=2x10^7</v>
      </c>
      <c r="BD915">
        <f t="shared" si="29"/>
        <v>0</v>
      </c>
    </row>
    <row r="916" spans="1:56">
      <c r="A916" t="s">
        <v>1283</v>
      </c>
      <c r="B916" t="s">
        <v>67</v>
      </c>
      <c r="D916" t="s">
        <v>65</v>
      </c>
      <c r="E916" t="s">
        <v>60</v>
      </c>
      <c r="F916" t="s">
        <v>61</v>
      </c>
      <c r="G916">
        <v>30000</v>
      </c>
      <c r="H916">
        <v>20</v>
      </c>
      <c r="I916">
        <v>20</v>
      </c>
      <c r="J916">
        <v>0</v>
      </c>
      <c r="K916">
        <v>1</v>
      </c>
      <c r="L916">
        <v>20000000</v>
      </c>
      <c r="M916">
        <v>190</v>
      </c>
      <c r="N916">
        <v>190</v>
      </c>
      <c r="O916">
        <v>190</v>
      </c>
      <c r="P916">
        <v>0</v>
      </c>
      <c r="Q916" t="s">
        <v>62</v>
      </c>
      <c r="R916">
        <v>99931612434297</v>
      </c>
      <c r="S916">
        <v>9994475</v>
      </c>
      <c r="T916">
        <v>99931612434297</v>
      </c>
      <c r="U916">
        <v>9994475</v>
      </c>
      <c r="V916" t="s">
        <v>75</v>
      </c>
      <c r="W916">
        <v>29</v>
      </c>
      <c r="X916">
        <v>6856488</v>
      </c>
      <c r="Y916">
        <v>5201365</v>
      </c>
      <c r="Z916">
        <v>12057853</v>
      </c>
      <c r="AA916">
        <v>9994475</v>
      </c>
      <c r="AB916">
        <v>1.7585999999999999</v>
      </c>
      <c r="AC916">
        <v>1.9215100000000001</v>
      </c>
      <c r="AD916">
        <v>1.8288800000000001</v>
      </c>
      <c r="AE916">
        <v>23.214400000000001</v>
      </c>
      <c r="AF916">
        <v>675239768</v>
      </c>
      <c r="AJ916" t="s">
        <v>1284</v>
      </c>
      <c r="AM916">
        <v>1650703693</v>
      </c>
      <c r="AN916">
        <v>0</v>
      </c>
      <c r="AO916">
        <v>1100464673</v>
      </c>
      <c r="AP916">
        <v>1650703693</v>
      </c>
      <c r="AQ916">
        <v>2751168366</v>
      </c>
      <c r="AR916">
        <v>55023456</v>
      </c>
      <c r="AS916">
        <v>0</v>
      </c>
      <c r="AT916">
        <v>36682155</v>
      </c>
      <c r="AU916">
        <v>55023456</v>
      </c>
      <c r="AV916">
        <v>91705612</v>
      </c>
      <c r="AW916">
        <v>32.864800000000002</v>
      </c>
      <c r="AX916">
        <v>12.287000000000001</v>
      </c>
      <c r="AY916">
        <v>5759.78</v>
      </c>
      <c r="AZ916">
        <v>4147.3</v>
      </c>
      <c r="BA916">
        <v>2508</v>
      </c>
      <c r="BB916">
        <v>462</v>
      </c>
      <c r="BC916" t="str">
        <f t="shared" si="28"/>
        <v>u=40%, k=2x10^7</v>
      </c>
      <c r="BD916">
        <f t="shared" si="29"/>
        <v>0</v>
      </c>
    </row>
    <row r="917" spans="1:56">
      <c r="A917" t="s">
        <v>1285</v>
      </c>
      <c r="B917" t="s">
        <v>68</v>
      </c>
      <c r="D917" t="s">
        <v>65</v>
      </c>
      <c r="E917" t="s">
        <v>60</v>
      </c>
      <c r="F917" t="s">
        <v>61</v>
      </c>
      <c r="G917">
        <v>30000</v>
      </c>
      <c r="H917">
        <v>20</v>
      </c>
      <c r="I917">
        <v>20</v>
      </c>
      <c r="J917">
        <v>0</v>
      </c>
      <c r="K917">
        <v>1</v>
      </c>
      <c r="L917">
        <v>20000000</v>
      </c>
      <c r="M917">
        <v>24</v>
      </c>
      <c r="N917">
        <v>24</v>
      </c>
      <c r="O917">
        <v>24</v>
      </c>
      <c r="P917">
        <v>0</v>
      </c>
      <c r="Q917" t="s">
        <v>62</v>
      </c>
      <c r="R917">
        <v>99994383881386</v>
      </c>
      <c r="S917">
        <v>9998381</v>
      </c>
      <c r="T917">
        <v>99994383881386</v>
      </c>
      <c r="U917">
        <v>9998381</v>
      </c>
      <c r="V917" t="s">
        <v>75</v>
      </c>
      <c r="W917">
        <v>57</v>
      </c>
      <c r="X917">
        <v>9998380</v>
      </c>
      <c r="Y917">
        <v>9998381</v>
      </c>
      <c r="Z917">
        <v>19996761</v>
      </c>
      <c r="AA917">
        <v>9998381</v>
      </c>
      <c r="AB917">
        <v>2</v>
      </c>
      <c r="AC917">
        <v>1</v>
      </c>
      <c r="AD917">
        <v>1.5</v>
      </c>
      <c r="AE917">
        <v>31.164300000000001</v>
      </c>
      <c r="AF917">
        <v>639896352</v>
      </c>
      <c r="AJ917" t="s">
        <v>1286</v>
      </c>
      <c r="AM917">
        <v>186693183</v>
      </c>
      <c r="AN917">
        <v>0</v>
      </c>
      <c r="AO917">
        <v>124444497</v>
      </c>
      <c r="AP917">
        <v>186693183</v>
      </c>
      <c r="AQ917">
        <v>311137680</v>
      </c>
      <c r="AR917">
        <v>6223106</v>
      </c>
      <c r="AS917">
        <v>0</v>
      </c>
      <c r="AT917">
        <v>4148149</v>
      </c>
      <c r="AU917">
        <v>6223106</v>
      </c>
      <c r="AV917">
        <v>10371256</v>
      </c>
      <c r="AW917">
        <v>26.186199999999999</v>
      </c>
      <c r="AX917">
        <v>9.8133599999999994</v>
      </c>
      <c r="AY917">
        <v>6454.89</v>
      </c>
      <c r="AZ917">
        <v>5055.7</v>
      </c>
      <c r="BA917">
        <v>1749</v>
      </c>
      <c r="BB917">
        <v>1502</v>
      </c>
      <c r="BC917" t="str">
        <f t="shared" si="28"/>
        <v>u=40%, k=2x10^7</v>
      </c>
      <c r="BD917">
        <f t="shared" si="29"/>
        <v>0</v>
      </c>
    </row>
    <row r="918" spans="1:56">
      <c r="A918" t="s">
        <v>1287</v>
      </c>
      <c r="B918" t="s">
        <v>68</v>
      </c>
      <c r="D918" t="s">
        <v>65</v>
      </c>
      <c r="E918" t="s">
        <v>60</v>
      </c>
      <c r="F918" t="s">
        <v>61</v>
      </c>
      <c r="G918">
        <v>30000</v>
      </c>
      <c r="H918">
        <v>20</v>
      </c>
      <c r="I918">
        <v>20</v>
      </c>
      <c r="J918">
        <v>0</v>
      </c>
      <c r="K918">
        <v>1</v>
      </c>
      <c r="L918">
        <v>20000000</v>
      </c>
      <c r="M918">
        <v>48</v>
      </c>
      <c r="N918">
        <v>48</v>
      </c>
      <c r="O918">
        <v>48</v>
      </c>
      <c r="P918">
        <v>0</v>
      </c>
      <c r="Q918" t="s">
        <v>62</v>
      </c>
      <c r="R918">
        <v>99979192550632</v>
      </c>
      <c r="S918">
        <v>9998173</v>
      </c>
      <c r="T918">
        <v>99979192550632</v>
      </c>
      <c r="U918">
        <v>9998173</v>
      </c>
      <c r="V918" t="s">
        <v>75</v>
      </c>
      <c r="W918">
        <v>55</v>
      </c>
      <c r="X918">
        <v>9998172</v>
      </c>
      <c r="Y918">
        <v>9998173</v>
      </c>
      <c r="Z918">
        <v>19996345</v>
      </c>
      <c r="AA918">
        <v>9998173</v>
      </c>
      <c r="AB918">
        <v>2</v>
      </c>
      <c r="AC918">
        <v>1</v>
      </c>
      <c r="AD918">
        <v>1.5</v>
      </c>
      <c r="AE918">
        <v>30.006399999999999</v>
      </c>
      <c r="AF918">
        <v>639883040</v>
      </c>
      <c r="AJ918" t="s">
        <v>1288</v>
      </c>
      <c r="AM918">
        <v>362186261</v>
      </c>
      <c r="AN918">
        <v>0</v>
      </c>
      <c r="AO918">
        <v>241433883</v>
      </c>
      <c r="AP918">
        <v>362186261</v>
      </c>
      <c r="AQ918">
        <v>603620144</v>
      </c>
      <c r="AR918">
        <v>12072875</v>
      </c>
      <c r="AS918">
        <v>0</v>
      </c>
      <c r="AT918">
        <v>8047796</v>
      </c>
      <c r="AU918">
        <v>12072875</v>
      </c>
      <c r="AV918">
        <v>20120671</v>
      </c>
      <c r="AW918">
        <v>26.071400000000001</v>
      </c>
      <c r="AX918">
        <v>9.6142500000000002</v>
      </c>
      <c r="AY918">
        <v>6653.25</v>
      </c>
      <c r="AZ918">
        <v>5516.56</v>
      </c>
      <c r="BA918">
        <v>1817</v>
      </c>
      <c r="BB918">
        <v>1059</v>
      </c>
      <c r="BC918" t="str">
        <f t="shared" si="28"/>
        <v>u=40%, k=2x10^7</v>
      </c>
      <c r="BD918">
        <f t="shared" si="29"/>
        <v>0</v>
      </c>
    </row>
    <row r="919" spans="1:56">
      <c r="A919" t="s">
        <v>1289</v>
      </c>
      <c r="B919" t="s">
        <v>68</v>
      </c>
      <c r="D919" t="s">
        <v>65</v>
      </c>
      <c r="E919" t="s">
        <v>60</v>
      </c>
      <c r="F919" t="s">
        <v>61</v>
      </c>
      <c r="G919">
        <v>30000</v>
      </c>
      <c r="H919">
        <v>20</v>
      </c>
      <c r="I919">
        <v>20</v>
      </c>
      <c r="J919">
        <v>0</v>
      </c>
      <c r="K919">
        <v>1</v>
      </c>
      <c r="L919">
        <v>20000000</v>
      </c>
      <c r="M919">
        <v>96</v>
      </c>
      <c r="N919">
        <v>96</v>
      </c>
      <c r="O919">
        <v>96</v>
      </c>
      <c r="P919">
        <v>0</v>
      </c>
      <c r="Q919" t="s">
        <v>62</v>
      </c>
      <c r="R919">
        <v>99996608087794</v>
      </c>
      <c r="S919">
        <v>9999062</v>
      </c>
      <c r="T919">
        <v>99996608087794</v>
      </c>
      <c r="U919">
        <v>9999062</v>
      </c>
      <c r="V919" t="s">
        <v>75</v>
      </c>
      <c r="W919">
        <v>62</v>
      </c>
      <c r="X919">
        <v>9999061</v>
      </c>
      <c r="Y919">
        <v>9999062</v>
      </c>
      <c r="Z919">
        <v>19998123</v>
      </c>
      <c r="AA919">
        <v>9999062</v>
      </c>
      <c r="AB919">
        <v>2</v>
      </c>
      <c r="AC919">
        <v>1</v>
      </c>
      <c r="AD919">
        <v>1.5</v>
      </c>
      <c r="AE919">
        <v>31.247800000000002</v>
      </c>
      <c r="AF919">
        <v>639939936</v>
      </c>
      <c r="AJ919" t="s">
        <v>1290</v>
      </c>
      <c r="AM919">
        <v>761654622</v>
      </c>
      <c r="AN919">
        <v>0</v>
      </c>
      <c r="AO919">
        <v>507762832</v>
      </c>
      <c r="AP919">
        <v>761654622</v>
      </c>
      <c r="AQ919">
        <v>1269417454</v>
      </c>
      <c r="AR919">
        <v>25388487</v>
      </c>
      <c r="AS919">
        <v>0</v>
      </c>
      <c r="AT919">
        <v>16925427</v>
      </c>
      <c r="AU919">
        <v>25388487</v>
      </c>
      <c r="AV919">
        <v>42313915</v>
      </c>
      <c r="AW919">
        <v>27.616900000000001</v>
      </c>
      <c r="AX919">
        <v>10.6609</v>
      </c>
      <c r="AY919">
        <v>6321.83</v>
      </c>
      <c r="AZ919">
        <v>5084.42</v>
      </c>
      <c r="BA919">
        <v>2277</v>
      </c>
      <c r="BB919">
        <v>725</v>
      </c>
      <c r="BC919" t="str">
        <f t="shared" si="28"/>
        <v>u=40%, k=2x10^7</v>
      </c>
      <c r="BD919">
        <f t="shared" si="29"/>
        <v>0</v>
      </c>
    </row>
    <row r="920" spans="1:56">
      <c r="A920" t="s">
        <v>1291</v>
      </c>
      <c r="B920" t="s">
        <v>68</v>
      </c>
      <c r="D920" t="s">
        <v>65</v>
      </c>
      <c r="E920" t="s">
        <v>60</v>
      </c>
      <c r="F920" t="s">
        <v>61</v>
      </c>
      <c r="G920">
        <v>30000</v>
      </c>
      <c r="H920">
        <v>20</v>
      </c>
      <c r="I920">
        <v>20</v>
      </c>
      <c r="J920">
        <v>0</v>
      </c>
      <c r="K920">
        <v>1</v>
      </c>
      <c r="L920">
        <v>20000000</v>
      </c>
      <c r="M920">
        <v>144</v>
      </c>
      <c r="N920">
        <v>144</v>
      </c>
      <c r="O920">
        <v>144</v>
      </c>
      <c r="P920">
        <v>0</v>
      </c>
      <c r="Q920" t="s">
        <v>62</v>
      </c>
      <c r="R920">
        <v>100010809440946</v>
      </c>
      <c r="S920">
        <v>10000554</v>
      </c>
      <c r="T920">
        <v>100010809440946</v>
      </c>
      <c r="U920">
        <v>10000554</v>
      </c>
      <c r="V920" t="s">
        <v>75</v>
      </c>
      <c r="W920">
        <v>59</v>
      </c>
      <c r="X920">
        <v>10000553</v>
      </c>
      <c r="Y920">
        <v>10000554</v>
      </c>
      <c r="Z920">
        <v>20001107</v>
      </c>
      <c r="AA920">
        <v>10000554</v>
      </c>
      <c r="AB920">
        <v>2</v>
      </c>
      <c r="AC920">
        <v>1</v>
      </c>
      <c r="AD920">
        <v>1.5</v>
      </c>
      <c r="AE920">
        <v>30.652999999999999</v>
      </c>
      <c r="AF920">
        <v>640035424</v>
      </c>
      <c r="AJ920" t="s">
        <v>1292</v>
      </c>
      <c r="AM920">
        <v>1070157625</v>
      </c>
      <c r="AN920">
        <v>0</v>
      </c>
      <c r="AO920">
        <v>713458389</v>
      </c>
      <c r="AP920">
        <v>1070157625</v>
      </c>
      <c r="AQ920">
        <v>1783616014</v>
      </c>
      <c r="AR920">
        <v>35671920</v>
      </c>
      <c r="AS920">
        <v>0</v>
      </c>
      <c r="AT920">
        <v>23781946</v>
      </c>
      <c r="AU920">
        <v>35671920</v>
      </c>
      <c r="AV920">
        <v>59453867</v>
      </c>
      <c r="AW920">
        <v>28.695799999999998</v>
      </c>
      <c r="AX920">
        <v>11.5944</v>
      </c>
      <c r="AY920">
        <v>6746.88</v>
      </c>
      <c r="AZ920">
        <v>5179.9399999999996</v>
      </c>
      <c r="BA920">
        <v>2346</v>
      </c>
      <c r="BB920">
        <v>430</v>
      </c>
      <c r="BC920" t="str">
        <f t="shared" si="28"/>
        <v>u=40%, k=2x10^7</v>
      </c>
      <c r="BD920">
        <f t="shared" si="29"/>
        <v>0</v>
      </c>
    </row>
    <row r="921" spans="1:56">
      <c r="A921" t="s">
        <v>1293</v>
      </c>
      <c r="B921" t="s">
        <v>68</v>
      </c>
      <c r="D921" t="s">
        <v>65</v>
      </c>
      <c r="E921" t="s">
        <v>60</v>
      </c>
      <c r="F921" t="s">
        <v>61</v>
      </c>
      <c r="G921">
        <v>30000</v>
      </c>
      <c r="H921">
        <v>20</v>
      </c>
      <c r="I921">
        <v>20</v>
      </c>
      <c r="J921">
        <v>0</v>
      </c>
      <c r="K921">
        <v>1</v>
      </c>
      <c r="L921">
        <v>20000000</v>
      </c>
      <c r="M921">
        <v>190</v>
      </c>
      <c r="N921">
        <v>190</v>
      </c>
      <c r="O921">
        <v>190</v>
      </c>
      <c r="P921">
        <v>0</v>
      </c>
      <c r="Q921" t="s">
        <v>62</v>
      </c>
      <c r="R921">
        <v>100022074656779</v>
      </c>
      <c r="S921">
        <v>10000919</v>
      </c>
      <c r="T921">
        <v>100022074656779</v>
      </c>
      <c r="U921">
        <v>10000919</v>
      </c>
      <c r="V921" t="s">
        <v>75</v>
      </c>
      <c r="W921">
        <v>58</v>
      </c>
      <c r="X921">
        <v>10000918</v>
      </c>
      <c r="Y921">
        <v>10000919</v>
      </c>
      <c r="Z921">
        <v>20001837</v>
      </c>
      <c r="AA921">
        <v>10000919</v>
      </c>
      <c r="AB921">
        <v>2</v>
      </c>
      <c r="AC921">
        <v>1</v>
      </c>
      <c r="AD921">
        <v>1.5</v>
      </c>
      <c r="AE921">
        <v>31.0153</v>
      </c>
      <c r="AF921">
        <v>640058784</v>
      </c>
      <c r="AJ921" t="s">
        <v>1294</v>
      </c>
      <c r="AM921">
        <v>1290154954</v>
      </c>
      <c r="AN921">
        <v>0</v>
      </c>
      <c r="AO921">
        <v>860060821</v>
      </c>
      <c r="AP921">
        <v>1290154954</v>
      </c>
      <c r="AQ921">
        <v>2150215775</v>
      </c>
      <c r="AR921">
        <v>43005165</v>
      </c>
      <c r="AS921">
        <v>0</v>
      </c>
      <c r="AT921">
        <v>28668694</v>
      </c>
      <c r="AU921">
        <v>43005165</v>
      </c>
      <c r="AV921">
        <v>71673859</v>
      </c>
      <c r="AW921">
        <v>29.247699999999998</v>
      </c>
      <c r="AX921">
        <v>12.1259</v>
      </c>
      <c r="AY921">
        <v>7356.14</v>
      </c>
      <c r="AZ921">
        <v>5292.03</v>
      </c>
      <c r="BA921">
        <v>2318</v>
      </c>
      <c r="BB921">
        <v>446</v>
      </c>
      <c r="BC921" t="str">
        <f t="shared" si="28"/>
        <v>u=40%, k=2x10^7</v>
      </c>
      <c r="BD921">
        <f t="shared" si="29"/>
        <v>0</v>
      </c>
    </row>
    <row r="922" spans="1:56">
      <c r="A922" t="s">
        <v>1295</v>
      </c>
      <c r="B922" t="s">
        <v>64</v>
      </c>
      <c r="C922">
        <v>72</v>
      </c>
      <c r="D922" t="s">
        <v>65</v>
      </c>
      <c r="E922" t="s">
        <v>60</v>
      </c>
      <c r="F922" t="s">
        <v>61</v>
      </c>
      <c r="G922">
        <v>30000</v>
      </c>
      <c r="H922">
        <v>20</v>
      </c>
      <c r="I922">
        <v>20</v>
      </c>
      <c r="J922">
        <v>0</v>
      </c>
      <c r="K922">
        <v>1</v>
      </c>
      <c r="L922">
        <v>200000000</v>
      </c>
      <c r="M922">
        <v>24</v>
      </c>
      <c r="N922">
        <v>24</v>
      </c>
      <c r="O922">
        <v>24</v>
      </c>
      <c r="P922">
        <v>0</v>
      </c>
      <c r="Q922" t="s">
        <v>62</v>
      </c>
      <c r="R922">
        <v>1.00009689962951E+16</v>
      </c>
      <c r="S922">
        <v>100009188</v>
      </c>
      <c r="T922">
        <v>1.00009689962951E+16</v>
      </c>
      <c r="U922">
        <v>100009188</v>
      </c>
      <c r="V922" t="s">
        <v>75</v>
      </c>
      <c r="W922">
        <v>7</v>
      </c>
      <c r="X922">
        <v>11011111</v>
      </c>
      <c r="Y922">
        <v>110010199</v>
      </c>
      <c r="Z922">
        <v>121021310</v>
      </c>
      <c r="AA922">
        <v>100009188</v>
      </c>
      <c r="AB922">
        <v>10.9908</v>
      </c>
      <c r="AC922">
        <v>0.90908999999999995</v>
      </c>
      <c r="AD922">
        <v>1.8263799999999999</v>
      </c>
      <c r="AE922">
        <v>4</v>
      </c>
      <c r="AF922">
        <v>2641052048</v>
      </c>
      <c r="AG922" t="s">
        <v>1296</v>
      </c>
      <c r="AH922" t="s">
        <v>1297</v>
      </c>
      <c r="AI922">
        <v>7413</v>
      </c>
      <c r="AJ922">
        <v>183162</v>
      </c>
      <c r="AM922">
        <v>299985216</v>
      </c>
      <c r="AN922">
        <v>0</v>
      </c>
      <c r="AO922">
        <v>199973742</v>
      </c>
      <c r="AP922">
        <v>299985216</v>
      </c>
      <c r="AQ922">
        <v>499958958</v>
      </c>
      <c r="AR922">
        <v>9999507</v>
      </c>
      <c r="AS922">
        <v>0</v>
      </c>
      <c r="AT922">
        <v>6665791</v>
      </c>
      <c r="AU922">
        <v>9999507</v>
      </c>
      <c r="AV922">
        <v>16665298</v>
      </c>
      <c r="AW922">
        <v>27.973099999999999</v>
      </c>
      <c r="AX922">
        <v>13.6564</v>
      </c>
      <c r="AY922">
        <v>3895.15</v>
      </c>
      <c r="AZ922">
        <v>2862.83</v>
      </c>
      <c r="BA922">
        <v>12595</v>
      </c>
      <c r="BB922">
        <v>1560</v>
      </c>
      <c r="BC922" t="str">
        <f t="shared" si="28"/>
        <v>u=40%, k=2x10^8</v>
      </c>
      <c r="BD922" t="str">
        <f t="shared" si="29"/>
        <v>4</v>
      </c>
    </row>
    <row r="923" spans="1:56">
      <c r="A923" t="s">
        <v>1298</v>
      </c>
      <c r="B923" t="s">
        <v>64</v>
      </c>
      <c r="C923">
        <v>72</v>
      </c>
      <c r="D923" t="s">
        <v>65</v>
      </c>
      <c r="E923" t="s">
        <v>60</v>
      </c>
      <c r="F923" t="s">
        <v>61</v>
      </c>
      <c r="G923">
        <v>30000</v>
      </c>
      <c r="H923">
        <v>20</v>
      </c>
      <c r="I923">
        <v>20</v>
      </c>
      <c r="J923">
        <v>0</v>
      </c>
      <c r="K923">
        <v>1</v>
      </c>
      <c r="L923">
        <v>200000000</v>
      </c>
      <c r="M923">
        <v>48</v>
      </c>
      <c r="N923">
        <v>48</v>
      </c>
      <c r="O923">
        <v>48</v>
      </c>
      <c r="P923">
        <v>0</v>
      </c>
      <c r="Q923" t="s">
        <v>62</v>
      </c>
      <c r="R923">
        <v>9999865986472590</v>
      </c>
      <c r="S923">
        <v>100000425</v>
      </c>
      <c r="T923">
        <v>9999865986472590</v>
      </c>
      <c r="U923">
        <v>100000425</v>
      </c>
      <c r="V923" t="s">
        <v>75</v>
      </c>
      <c r="W923">
        <v>7</v>
      </c>
      <c r="X923">
        <v>14760801</v>
      </c>
      <c r="Y923">
        <v>117822321</v>
      </c>
      <c r="Z923">
        <v>132583122</v>
      </c>
      <c r="AA923">
        <v>100000425</v>
      </c>
      <c r="AB923">
        <v>8.9821100000000005</v>
      </c>
      <c r="AC923">
        <v>0.84873900000000002</v>
      </c>
      <c r="AD923">
        <v>1.7542500000000001</v>
      </c>
      <c r="AE923">
        <v>4.07822</v>
      </c>
      <c r="AF923">
        <v>3069703808</v>
      </c>
      <c r="AG923" t="s">
        <v>1299</v>
      </c>
      <c r="AH923" t="s">
        <v>1300</v>
      </c>
      <c r="AI923">
        <v>31708</v>
      </c>
      <c r="AJ923">
        <v>69634</v>
      </c>
      <c r="AM923">
        <v>488308518</v>
      </c>
      <c r="AN923">
        <v>0</v>
      </c>
      <c r="AO923">
        <v>325522164</v>
      </c>
      <c r="AP923">
        <v>488308518</v>
      </c>
      <c r="AQ923">
        <v>813830682</v>
      </c>
      <c r="AR923">
        <v>16276950</v>
      </c>
      <c r="AS923">
        <v>0</v>
      </c>
      <c r="AT923">
        <v>10850738</v>
      </c>
      <c r="AU923">
        <v>16276950</v>
      </c>
      <c r="AV923">
        <v>27127689</v>
      </c>
      <c r="AW923">
        <v>29.319400000000002</v>
      </c>
      <c r="AX923">
        <v>14.1393</v>
      </c>
      <c r="AY923">
        <v>4719.46</v>
      </c>
      <c r="AZ923">
        <v>3484.95</v>
      </c>
      <c r="BA923">
        <v>13156</v>
      </c>
      <c r="BB923">
        <v>1271</v>
      </c>
      <c r="BC923" t="str">
        <f t="shared" si="28"/>
        <v>u=40%, k=2x10^8</v>
      </c>
      <c r="BD923" t="str">
        <f t="shared" si="29"/>
        <v>6</v>
      </c>
    </row>
    <row r="924" spans="1:56">
      <c r="A924" t="s">
        <v>1301</v>
      </c>
      <c r="B924" t="s">
        <v>64</v>
      </c>
      <c r="C924">
        <v>72</v>
      </c>
      <c r="D924" t="s">
        <v>65</v>
      </c>
      <c r="E924" t="s">
        <v>60</v>
      </c>
      <c r="F924" t="s">
        <v>61</v>
      </c>
      <c r="G924">
        <v>30000</v>
      </c>
      <c r="H924">
        <v>20</v>
      </c>
      <c r="I924">
        <v>20</v>
      </c>
      <c r="J924">
        <v>0</v>
      </c>
      <c r="K924">
        <v>1</v>
      </c>
      <c r="L924">
        <v>200000000</v>
      </c>
      <c r="M924">
        <v>96</v>
      </c>
      <c r="N924">
        <v>96</v>
      </c>
      <c r="O924">
        <v>96</v>
      </c>
      <c r="P924">
        <v>0</v>
      </c>
      <c r="Q924" t="s">
        <v>62</v>
      </c>
      <c r="R924">
        <v>9998507123393530</v>
      </c>
      <c r="S924">
        <v>99979150</v>
      </c>
      <c r="T924">
        <v>9998507123393530</v>
      </c>
      <c r="U924">
        <v>99979150</v>
      </c>
      <c r="V924" t="s">
        <v>75</v>
      </c>
      <c r="W924">
        <v>7</v>
      </c>
      <c r="X924">
        <v>14501211</v>
      </c>
      <c r="Y924">
        <v>117249425</v>
      </c>
      <c r="Z924">
        <v>131750636</v>
      </c>
      <c r="AA924">
        <v>99979150</v>
      </c>
      <c r="AB924">
        <v>9.0854900000000001</v>
      </c>
      <c r="AC924">
        <v>0.85270500000000005</v>
      </c>
      <c r="AD924">
        <v>1.75885</v>
      </c>
      <c r="AE924">
        <v>4.0703300000000002</v>
      </c>
      <c r="AF924">
        <v>3039917536</v>
      </c>
      <c r="AG924" t="s">
        <v>1302</v>
      </c>
      <c r="AH924" t="s">
        <v>1303</v>
      </c>
      <c r="AI924">
        <v>153582</v>
      </c>
      <c r="AJ924">
        <v>30186</v>
      </c>
      <c r="AM924">
        <v>889495668</v>
      </c>
      <c r="AN924">
        <v>0</v>
      </c>
      <c r="AO924">
        <v>592994061</v>
      </c>
      <c r="AP924">
        <v>889495668</v>
      </c>
      <c r="AQ924">
        <v>1482489729</v>
      </c>
      <c r="AR924">
        <v>29649855</v>
      </c>
      <c r="AS924">
        <v>0</v>
      </c>
      <c r="AT924">
        <v>19766468</v>
      </c>
      <c r="AU924">
        <v>29649855</v>
      </c>
      <c r="AV924">
        <v>49416324</v>
      </c>
      <c r="AW924">
        <v>30.4893</v>
      </c>
      <c r="AX924">
        <v>15.916399999999999</v>
      </c>
      <c r="AY924">
        <v>5063.25</v>
      </c>
      <c r="AZ924">
        <v>3720.88</v>
      </c>
      <c r="BA924">
        <v>13756</v>
      </c>
      <c r="BB924">
        <v>1188</v>
      </c>
      <c r="BC924" t="str">
        <f t="shared" si="28"/>
        <v>u=40%, k=2x10^8</v>
      </c>
      <c r="BD924" t="str">
        <f t="shared" si="29"/>
        <v>11</v>
      </c>
    </row>
    <row r="925" spans="1:56">
      <c r="A925" t="s">
        <v>1304</v>
      </c>
      <c r="B925" t="s">
        <v>64</v>
      </c>
      <c r="C925">
        <v>72</v>
      </c>
      <c r="D925" t="s">
        <v>65</v>
      </c>
      <c r="E925" t="s">
        <v>60</v>
      </c>
      <c r="F925" t="s">
        <v>61</v>
      </c>
      <c r="G925">
        <v>30000</v>
      </c>
      <c r="H925">
        <v>20</v>
      </c>
      <c r="I925">
        <v>20</v>
      </c>
      <c r="J925">
        <v>0</v>
      </c>
      <c r="K925">
        <v>1</v>
      </c>
      <c r="L925">
        <v>200000000</v>
      </c>
      <c r="M925">
        <v>144</v>
      </c>
      <c r="N925">
        <v>144</v>
      </c>
      <c r="O925">
        <v>144</v>
      </c>
      <c r="P925">
        <v>0</v>
      </c>
      <c r="Q925" t="s">
        <v>62</v>
      </c>
      <c r="R925">
        <v>9998928011636210</v>
      </c>
      <c r="S925">
        <v>99991421</v>
      </c>
      <c r="T925">
        <v>9998928011636210</v>
      </c>
      <c r="U925">
        <v>99991421</v>
      </c>
      <c r="V925" t="s">
        <v>75</v>
      </c>
      <c r="W925">
        <v>7</v>
      </c>
      <c r="X925">
        <v>14214355</v>
      </c>
      <c r="Y925">
        <v>116596834</v>
      </c>
      <c r="Z925">
        <v>130811189</v>
      </c>
      <c r="AA925">
        <v>99991421</v>
      </c>
      <c r="AB925">
        <v>9.20275</v>
      </c>
      <c r="AC925">
        <v>0.85758299999999998</v>
      </c>
      <c r="AD925">
        <v>1.7644</v>
      </c>
      <c r="AE925">
        <v>4.0664400000000001</v>
      </c>
      <c r="AF925">
        <v>3005309168</v>
      </c>
      <c r="AG925" t="s">
        <v>1305</v>
      </c>
      <c r="AH925" t="s">
        <v>1306</v>
      </c>
      <c r="AI925">
        <v>319485</v>
      </c>
      <c r="AJ925">
        <v>17830</v>
      </c>
      <c r="AM925">
        <v>1227186557</v>
      </c>
      <c r="AN925">
        <v>0</v>
      </c>
      <c r="AO925">
        <v>818060431</v>
      </c>
      <c r="AP925">
        <v>1227186557</v>
      </c>
      <c r="AQ925">
        <v>2045246988</v>
      </c>
      <c r="AR925">
        <v>40906218</v>
      </c>
      <c r="AS925">
        <v>0</v>
      </c>
      <c r="AT925">
        <v>27268681</v>
      </c>
      <c r="AU925">
        <v>40906218</v>
      </c>
      <c r="AV925">
        <v>68174899</v>
      </c>
      <c r="AW925">
        <v>31.102</v>
      </c>
      <c r="AX925">
        <v>16.9742</v>
      </c>
      <c r="AY925">
        <v>5365.81</v>
      </c>
      <c r="AZ925">
        <v>3965.22</v>
      </c>
      <c r="BA925">
        <v>14180</v>
      </c>
      <c r="BB925">
        <v>1038</v>
      </c>
      <c r="BC925" t="str">
        <f t="shared" si="28"/>
        <v>u=40%, k=2x10^8</v>
      </c>
      <c r="BD925" t="str">
        <f t="shared" si="29"/>
        <v>16</v>
      </c>
    </row>
    <row r="926" spans="1:56">
      <c r="A926" t="s">
        <v>1307</v>
      </c>
      <c r="B926" t="s">
        <v>64</v>
      </c>
      <c r="C926">
        <v>72</v>
      </c>
      <c r="D926" t="s">
        <v>65</v>
      </c>
      <c r="E926" t="s">
        <v>60</v>
      </c>
      <c r="F926" t="s">
        <v>61</v>
      </c>
      <c r="G926">
        <v>30000</v>
      </c>
      <c r="H926">
        <v>20</v>
      </c>
      <c r="I926">
        <v>20</v>
      </c>
      <c r="J926">
        <v>0</v>
      </c>
      <c r="K926">
        <v>1</v>
      </c>
      <c r="L926">
        <v>200000000</v>
      </c>
      <c r="M926">
        <v>190</v>
      </c>
      <c r="N926">
        <v>190</v>
      </c>
      <c r="O926">
        <v>190</v>
      </c>
      <c r="P926">
        <v>0</v>
      </c>
      <c r="Q926" t="s">
        <v>62</v>
      </c>
      <c r="R926">
        <v>1.00004543209665E+16</v>
      </c>
      <c r="S926">
        <v>99997496</v>
      </c>
      <c r="T926">
        <v>1.00004543209665E+16</v>
      </c>
      <c r="U926">
        <v>99997496</v>
      </c>
      <c r="V926" t="s">
        <v>75</v>
      </c>
      <c r="W926">
        <v>7</v>
      </c>
      <c r="X926">
        <v>11010048</v>
      </c>
      <c r="Y926">
        <v>109997592</v>
      </c>
      <c r="Z926">
        <v>121007640</v>
      </c>
      <c r="AA926">
        <v>99997496</v>
      </c>
      <c r="AB926">
        <v>10.9907</v>
      </c>
      <c r="AC926">
        <v>0.90908800000000001</v>
      </c>
      <c r="AD926">
        <v>1.82637</v>
      </c>
      <c r="AE926">
        <v>4</v>
      </c>
      <c r="AF926">
        <v>2640765296</v>
      </c>
      <c r="AG926" t="s">
        <v>1308</v>
      </c>
      <c r="AH926" t="s">
        <v>1309</v>
      </c>
      <c r="AI926">
        <v>513768</v>
      </c>
      <c r="AJ926">
        <v>12776</v>
      </c>
      <c r="AM926">
        <v>1499916057</v>
      </c>
      <c r="AN926">
        <v>0</v>
      </c>
      <c r="AO926">
        <v>999941100</v>
      </c>
      <c r="AP926">
        <v>1499916057</v>
      </c>
      <c r="AQ926">
        <v>2499857157</v>
      </c>
      <c r="AR926">
        <v>49997201</v>
      </c>
      <c r="AS926">
        <v>0</v>
      </c>
      <c r="AT926">
        <v>33331370</v>
      </c>
      <c r="AU926">
        <v>49997201</v>
      </c>
      <c r="AV926">
        <v>83328571</v>
      </c>
      <c r="AW926">
        <v>31.533200000000001</v>
      </c>
      <c r="AX926">
        <v>17.6447</v>
      </c>
      <c r="AY926">
        <v>5698.34</v>
      </c>
      <c r="AZ926">
        <v>4229.57</v>
      </c>
      <c r="BA926">
        <v>14436</v>
      </c>
      <c r="BB926">
        <v>1132</v>
      </c>
      <c r="BC926" t="str">
        <f t="shared" si="28"/>
        <v>u=40%, k=2x10^8</v>
      </c>
      <c r="BD926" t="str">
        <f t="shared" si="29"/>
        <v>20</v>
      </c>
    </row>
    <row r="927" spans="1:56">
      <c r="A927" t="s">
        <v>1310</v>
      </c>
      <c r="B927" t="s">
        <v>66</v>
      </c>
      <c r="C927">
        <v>208</v>
      </c>
      <c r="D927" t="s">
        <v>65</v>
      </c>
      <c r="E927" t="s">
        <v>60</v>
      </c>
      <c r="F927" t="s">
        <v>61</v>
      </c>
      <c r="G927">
        <v>30000</v>
      </c>
      <c r="H927">
        <v>20</v>
      </c>
      <c r="I927">
        <v>20</v>
      </c>
      <c r="J927">
        <v>0</v>
      </c>
      <c r="K927">
        <v>1</v>
      </c>
      <c r="L927">
        <v>200000000</v>
      </c>
      <c r="M927">
        <v>24</v>
      </c>
      <c r="N927">
        <v>24</v>
      </c>
      <c r="O927">
        <v>24</v>
      </c>
      <c r="P927">
        <v>0</v>
      </c>
      <c r="Q927" t="s">
        <v>62</v>
      </c>
      <c r="R927">
        <v>1.00019333422853E+16</v>
      </c>
      <c r="S927">
        <v>100012423</v>
      </c>
      <c r="T927">
        <v>1.00019333422853E+16</v>
      </c>
      <c r="U927">
        <v>100012423</v>
      </c>
      <c r="V927" t="s">
        <v>75</v>
      </c>
      <c r="W927">
        <v>10</v>
      </c>
      <c r="X927">
        <v>2225578</v>
      </c>
      <c r="Y927">
        <v>15303100</v>
      </c>
      <c r="Z927">
        <v>17528678</v>
      </c>
      <c r="AA927">
        <v>100012423</v>
      </c>
      <c r="AB927">
        <v>7.87601</v>
      </c>
      <c r="AC927">
        <v>6.5354400000000004</v>
      </c>
      <c r="AD927">
        <v>6.7056500000000003</v>
      </c>
      <c r="AE927">
        <v>9</v>
      </c>
      <c r="AF927">
        <v>3645965024</v>
      </c>
      <c r="AJ927" t="s">
        <v>1311</v>
      </c>
      <c r="AM927">
        <v>315961475</v>
      </c>
      <c r="AN927">
        <v>0</v>
      </c>
      <c r="AO927">
        <v>210665031</v>
      </c>
      <c r="AP927">
        <v>315961475</v>
      </c>
      <c r="AQ927">
        <v>526626506</v>
      </c>
      <c r="AR927">
        <v>10532049</v>
      </c>
      <c r="AS927">
        <v>0</v>
      </c>
      <c r="AT927">
        <v>7022167</v>
      </c>
      <c r="AU927">
        <v>10532049</v>
      </c>
      <c r="AV927">
        <v>17554216</v>
      </c>
      <c r="AW927">
        <v>26.066400000000002</v>
      </c>
      <c r="AX927">
        <v>11.163500000000001</v>
      </c>
      <c r="AY927">
        <v>3809.26</v>
      </c>
      <c r="AZ927">
        <v>2703.68</v>
      </c>
      <c r="BA927">
        <v>4939</v>
      </c>
      <c r="BB927">
        <v>9625</v>
      </c>
      <c r="BC927" t="str">
        <f t="shared" si="28"/>
        <v>u=40%, k=2x10^8</v>
      </c>
      <c r="BD927">
        <f t="shared" si="29"/>
        <v>0</v>
      </c>
    </row>
    <row r="928" spans="1:56">
      <c r="A928" t="s">
        <v>1312</v>
      </c>
      <c r="B928" t="s">
        <v>66</v>
      </c>
      <c r="C928">
        <v>208</v>
      </c>
      <c r="D928" t="s">
        <v>65</v>
      </c>
      <c r="E928" t="s">
        <v>60</v>
      </c>
      <c r="F928" t="s">
        <v>61</v>
      </c>
      <c r="G928">
        <v>30000</v>
      </c>
      <c r="H928">
        <v>20</v>
      </c>
      <c r="I928">
        <v>20</v>
      </c>
      <c r="J928">
        <v>0</v>
      </c>
      <c r="K928">
        <v>1</v>
      </c>
      <c r="L928">
        <v>200000000</v>
      </c>
      <c r="M928">
        <v>48</v>
      </c>
      <c r="N928">
        <v>48</v>
      </c>
      <c r="O928">
        <v>48</v>
      </c>
      <c r="P928">
        <v>0</v>
      </c>
      <c r="Q928" t="s">
        <v>62</v>
      </c>
      <c r="R928">
        <v>1.0000700994534E+16</v>
      </c>
      <c r="S928">
        <v>100011811</v>
      </c>
      <c r="T928">
        <v>1.0000700994534E+16</v>
      </c>
      <c r="U928">
        <v>100011811</v>
      </c>
      <c r="V928" t="s">
        <v>75</v>
      </c>
      <c r="W928">
        <v>11</v>
      </c>
      <c r="X928">
        <v>2370063</v>
      </c>
      <c r="Y928">
        <v>16297757</v>
      </c>
      <c r="Z928">
        <v>18667820</v>
      </c>
      <c r="AA928">
        <v>100011811</v>
      </c>
      <c r="AB928">
        <v>7.8765099999999997</v>
      </c>
      <c r="AC928">
        <v>6.1365400000000001</v>
      </c>
      <c r="AD928">
        <v>6.3574400000000004</v>
      </c>
      <c r="AE928">
        <v>10</v>
      </c>
      <c r="AF928">
        <v>3882906560</v>
      </c>
      <c r="AJ928" t="s">
        <v>1313</v>
      </c>
      <c r="AM928">
        <v>586866135</v>
      </c>
      <c r="AN928">
        <v>0</v>
      </c>
      <c r="AO928">
        <v>391267921</v>
      </c>
      <c r="AP928">
        <v>586866135</v>
      </c>
      <c r="AQ928">
        <v>978134056</v>
      </c>
      <c r="AR928">
        <v>19562204</v>
      </c>
      <c r="AS928">
        <v>0</v>
      </c>
      <c r="AT928">
        <v>13042264</v>
      </c>
      <c r="AU928">
        <v>19562204</v>
      </c>
      <c r="AV928">
        <v>32604468</v>
      </c>
      <c r="AW928">
        <v>26.297499999999999</v>
      </c>
      <c r="AX928">
        <v>11.095700000000001</v>
      </c>
      <c r="AY928">
        <v>4101.01</v>
      </c>
      <c r="AZ928">
        <v>3071.94</v>
      </c>
      <c r="BA928">
        <v>5447</v>
      </c>
      <c r="BB928">
        <v>6545</v>
      </c>
      <c r="BC928" t="str">
        <f t="shared" si="28"/>
        <v>u=40%, k=2x10^8</v>
      </c>
      <c r="BD928">
        <f t="shared" si="29"/>
        <v>0</v>
      </c>
    </row>
    <row r="929" spans="1:56">
      <c r="A929" t="s">
        <v>1314</v>
      </c>
      <c r="B929" t="s">
        <v>66</v>
      </c>
      <c r="C929">
        <v>208</v>
      </c>
      <c r="D929" t="s">
        <v>65</v>
      </c>
      <c r="E929" t="s">
        <v>60</v>
      </c>
      <c r="F929" t="s">
        <v>61</v>
      </c>
      <c r="G929">
        <v>30000</v>
      </c>
      <c r="H929">
        <v>20</v>
      </c>
      <c r="I929">
        <v>20</v>
      </c>
      <c r="J929">
        <v>0</v>
      </c>
      <c r="K929">
        <v>1</v>
      </c>
      <c r="L929">
        <v>200000000</v>
      </c>
      <c r="M929">
        <v>96</v>
      </c>
      <c r="N929">
        <v>96</v>
      </c>
      <c r="O929">
        <v>96</v>
      </c>
      <c r="P929">
        <v>0</v>
      </c>
      <c r="Q929" t="s">
        <v>62</v>
      </c>
      <c r="R929">
        <v>9999563989342760</v>
      </c>
      <c r="S929">
        <v>100002385</v>
      </c>
      <c r="T929">
        <v>9999563989342760</v>
      </c>
      <c r="U929">
        <v>100002385</v>
      </c>
      <c r="V929" t="s">
        <v>75</v>
      </c>
      <c r="W929">
        <v>11</v>
      </c>
      <c r="X929">
        <v>2541825</v>
      </c>
      <c r="Y929">
        <v>17432466</v>
      </c>
      <c r="Z929">
        <v>19974291</v>
      </c>
      <c r="AA929">
        <v>100002385</v>
      </c>
      <c r="AB929">
        <v>7.85825</v>
      </c>
      <c r="AC929">
        <v>5.7365599999999999</v>
      </c>
      <c r="AD929">
        <v>6.0065499999999998</v>
      </c>
      <c r="AE929">
        <v>10</v>
      </c>
      <c r="AF929">
        <v>4154652528</v>
      </c>
      <c r="AJ929" t="s">
        <v>1315</v>
      </c>
      <c r="AM929">
        <v>1106338153</v>
      </c>
      <c r="AN929">
        <v>0</v>
      </c>
      <c r="AO929">
        <v>737524111</v>
      </c>
      <c r="AP929">
        <v>1106338153</v>
      </c>
      <c r="AQ929">
        <v>1843862264</v>
      </c>
      <c r="AR929">
        <v>36877938</v>
      </c>
      <c r="AS929">
        <v>0</v>
      </c>
      <c r="AT929">
        <v>24584137</v>
      </c>
      <c r="AU929">
        <v>36877938</v>
      </c>
      <c r="AV929">
        <v>61462075</v>
      </c>
      <c r="AW929">
        <v>27.699100000000001</v>
      </c>
      <c r="AX929">
        <v>12.474500000000001</v>
      </c>
      <c r="AY929">
        <v>4341.1899999999996</v>
      </c>
      <c r="AZ929">
        <v>3184.02</v>
      </c>
      <c r="BA929">
        <v>8986</v>
      </c>
      <c r="BB929">
        <v>6498</v>
      </c>
      <c r="BC929" t="str">
        <f t="shared" si="28"/>
        <v>u=40%, k=2x10^8</v>
      </c>
      <c r="BD929">
        <f t="shared" si="29"/>
        <v>0</v>
      </c>
    </row>
    <row r="930" spans="1:56">
      <c r="A930" t="s">
        <v>1316</v>
      </c>
      <c r="B930" t="s">
        <v>66</v>
      </c>
      <c r="C930">
        <v>208</v>
      </c>
      <c r="D930" t="s">
        <v>65</v>
      </c>
      <c r="E930" t="s">
        <v>60</v>
      </c>
      <c r="F930" t="s">
        <v>61</v>
      </c>
      <c r="G930">
        <v>30000</v>
      </c>
      <c r="H930">
        <v>20</v>
      </c>
      <c r="I930">
        <v>20</v>
      </c>
      <c r="J930">
        <v>0</v>
      </c>
      <c r="K930">
        <v>1</v>
      </c>
      <c r="L930">
        <v>200000000</v>
      </c>
      <c r="M930">
        <v>144</v>
      </c>
      <c r="N930">
        <v>144</v>
      </c>
      <c r="O930">
        <v>144</v>
      </c>
      <c r="P930">
        <v>0</v>
      </c>
      <c r="Q930" t="s">
        <v>62</v>
      </c>
      <c r="R930">
        <v>1.00003897155846E+16</v>
      </c>
      <c r="S930">
        <v>100001766</v>
      </c>
      <c r="T930">
        <v>1.00003897155846E+16</v>
      </c>
      <c r="U930">
        <v>100001766</v>
      </c>
      <c r="V930" t="s">
        <v>75</v>
      </c>
      <c r="W930">
        <v>11</v>
      </c>
      <c r="X930">
        <v>2622496</v>
      </c>
      <c r="Y930">
        <v>17950081</v>
      </c>
      <c r="Z930">
        <v>20572577</v>
      </c>
      <c r="AA930">
        <v>100001766</v>
      </c>
      <c r="AB930">
        <v>7.8446600000000002</v>
      </c>
      <c r="AC930">
        <v>5.5711000000000004</v>
      </c>
      <c r="AD930">
        <v>5.8609299999999998</v>
      </c>
      <c r="AE930">
        <v>10</v>
      </c>
      <c r="AF930">
        <v>4279096016</v>
      </c>
      <c r="AJ930" t="s">
        <v>1317</v>
      </c>
      <c r="AM930">
        <v>1489162900</v>
      </c>
      <c r="AN930">
        <v>0</v>
      </c>
      <c r="AO930">
        <v>992813048</v>
      </c>
      <c r="AP930">
        <v>1489162900</v>
      </c>
      <c r="AQ930">
        <v>2481975948</v>
      </c>
      <c r="AR930">
        <v>49638763</v>
      </c>
      <c r="AS930">
        <v>0</v>
      </c>
      <c r="AT930">
        <v>33093768</v>
      </c>
      <c r="AU930">
        <v>49638763</v>
      </c>
      <c r="AV930">
        <v>82732531</v>
      </c>
      <c r="AW930">
        <v>28.856200000000001</v>
      </c>
      <c r="AX930">
        <v>13.3414</v>
      </c>
      <c r="AY930">
        <v>4830.6000000000004</v>
      </c>
      <c r="AZ930">
        <v>3366.41</v>
      </c>
      <c r="BA930">
        <v>9273</v>
      </c>
      <c r="BB930">
        <v>5998</v>
      </c>
      <c r="BC930" t="str">
        <f t="shared" si="28"/>
        <v>u=40%, k=2x10^8</v>
      </c>
      <c r="BD930">
        <f t="shared" si="29"/>
        <v>0</v>
      </c>
    </row>
    <row r="931" spans="1:56">
      <c r="A931" t="s">
        <v>1318</v>
      </c>
      <c r="B931" t="s">
        <v>66</v>
      </c>
      <c r="C931">
        <v>208</v>
      </c>
      <c r="D931" t="s">
        <v>65</v>
      </c>
      <c r="E931" t="s">
        <v>60</v>
      </c>
      <c r="F931" t="s">
        <v>61</v>
      </c>
      <c r="G931">
        <v>30000</v>
      </c>
      <c r="H931">
        <v>20</v>
      </c>
      <c r="I931">
        <v>20</v>
      </c>
      <c r="J931">
        <v>0</v>
      </c>
      <c r="K931">
        <v>1</v>
      </c>
      <c r="L931">
        <v>200000000</v>
      </c>
      <c r="M931">
        <v>190</v>
      </c>
      <c r="N931">
        <v>190</v>
      </c>
      <c r="O931">
        <v>190</v>
      </c>
      <c r="P931">
        <v>0</v>
      </c>
      <c r="Q931" t="s">
        <v>62</v>
      </c>
      <c r="R931">
        <v>1.00001813238736E+16</v>
      </c>
      <c r="S931">
        <v>100007912</v>
      </c>
      <c r="T931">
        <v>1.00001813238736E+16</v>
      </c>
      <c r="U931">
        <v>100007912</v>
      </c>
      <c r="V931" t="s">
        <v>75</v>
      </c>
      <c r="W931">
        <v>11</v>
      </c>
      <c r="X931">
        <v>2665124</v>
      </c>
      <c r="Y931">
        <v>18212450</v>
      </c>
      <c r="Z931">
        <v>20877574</v>
      </c>
      <c r="AA931">
        <v>100007912</v>
      </c>
      <c r="AB931">
        <v>7.8336199999999998</v>
      </c>
      <c r="AC931">
        <v>5.4911799999999999</v>
      </c>
      <c r="AD931">
        <v>5.7902100000000001</v>
      </c>
      <c r="AE931">
        <v>10</v>
      </c>
      <c r="AF931">
        <v>4342535392</v>
      </c>
      <c r="AJ931" t="s">
        <v>1319</v>
      </c>
      <c r="AM931">
        <v>1740348467</v>
      </c>
      <c r="AN931">
        <v>0</v>
      </c>
      <c r="AO931">
        <v>1160211950</v>
      </c>
      <c r="AP931">
        <v>1740348467</v>
      </c>
      <c r="AQ931">
        <v>2900560417</v>
      </c>
      <c r="AR931">
        <v>58011615</v>
      </c>
      <c r="AS931">
        <v>0</v>
      </c>
      <c r="AT931">
        <v>38673731</v>
      </c>
      <c r="AU931">
        <v>58011615</v>
      </c>
      <c r="AV931">
        <v>96685347</v>
      </c>
      <c r="AW931">
        <v>29.447500000000002</v>
      </c>
      <c r="AX931">
        <v>13.903600000000001</v>
      </c>
      <c r="AY931">
        <v>5435.81</v>
      </c>
      <c r="AZ931">
        <v>3559.19</v>
      </c>
      <c r="BA931">
        <v>9752</v>
      </c>
      <c r="BB931">
        <v>6065</v>
      </c>
      <c r="BC931" t="str">
        <f t="shared" si="28"/>
        <v>u=40%, k=2x10^8</v>
      </c>
      <c r="BD931">
        <f t="shared" si="29"/>
        <v>0</v>
      </c>
    </row>
    <row r="932" spans="1:56">
      <c r="A932" t="s">
        <v>1320</v>
      </c>
      <c r="B932" t="s">
        <v>67</v>
      </c>
      <c r="D932" t="s">
        <v>65</v>
      </c>
      <c r="E932" t="s">
        <v>60</v>
      </c>
      <c r="F932" t="s">
        <v>61</v>
      </c>
      <c r="G932">
        <v>30000</v>
      </c>
      <c r="H932">
        <v>20</v>
      </c>
      <c r="I932">
        <v>20</v>
      </c>
      <c r="J932">
        <v>0</v>
      </c>
      <c r="K932">
        <v>1</v>
      </c>
      <c r="L932">
        <v>200000000</v>
      </c>
      <c r="M932">
        <v>24</v>
      </c>
      <c r="N932">
        <v>24</v>
      </c>
      <c r="O932">
        <v>24</v>
      </c>
      <c r="P932">
        <v>0</v>
      </c>
      <c r="Q932" t="s">
        <v>62</v>
      </c>
      <c r="R932">
        <v>1.0000002790952E+16</v>
      </c>
      <c r="S932">
        <v>99998216</v>
      </c>
      <c r="T932">
        <v>1.0000002790952E+16</v>
      </c>
      <c r="U932">
        <v>99998216</v>
      </c>
      <c r="V932" t="s">
        <v>75</v>
      </c>
      <c r="W932">
        <v>33</v>
      </c>
      <c r="X932">
        <v>61419458</v>
      </c>
      <c r="Y932">
        <v>46343931</v>
      </c>
      <c r="Z932">
        <v>107763389</v>
      </c>
      <c r="AA932">
        <v>99998216</v>
      </c>
      <c r="AB932">
        <v>1.7545500000000001</v>
      </c>
      <c r="AC932">
        <v>2.15774</v>
      </c>
      <c r="AD932">
        <v>1.92794</v>
      </c>
      <c r="AE932">
        <v>26.266200000000001</v>
      </c>
      <c r="AF932">
        <v>6034749784</v>
      </c>
      <c r="AJ932" t="s">
        <v>1321</v>
      </c>
      <c r="AM932">
        <v>144439285</v>
      </c>
      <c r="AN932">
        <v>0</v>
      </c>
      <c r="AO932">
        <v>96298575</v>
      </c>
      <c r="AP932">
        <v>144439285</v>
      </c>
      <c r="AQ932">
        <v>240737860</v>
      </c>
      <c r="AR932">
        <v>4814642</v>
      </c>
      <c r="AS932">
        <v>0</v>
      </c>
      <c r="AT932">
        <v>3209952</v>
      </c>
      <c r="AU932">
        <v>4814642</v>
      </c>
      <c r="AV932">
        <v>8024595</v>
      </c>
      <c r="AW932">
        <v>41.906300000000002</v>
      </c>
      <c r="AX932">
        <v>18.7805</v>
      </c>
      <c r="AY932">
        <v>8336.93</v>
      </c>
      <c r="AZ932">
        <v>6724.16</v>
      </c>
      <c r="BA932">
        <v>8029</v>
      </c>
      <c r="BB932">
        <v>17252</v>
      </c>
      <c r="BC932" t="str">
        <f t="shared" si="28"/>
        <v>u=40%, k=2x10^8</v>
      </c>
      <c r="BD932">
        <f t="shared" si="29"/>
        <v>0</v>
      </c>
    </row>
    <row r="933" spans="1:56">
      <c r="A933" t="s">
        <v>1322</v>
      </c>
      <c r="B933" t="s">
        <v>67</v>
      </c>
      <c r="D933" t="s">
        <v>65</v>
      </c>
      <c r="E933" t="s">
        <v>60</v>
      </c>
      <c r="F933" t="s">
        <v>61</v>
      </c>
      <c r="G933">
        <v>30000</v>
      </c>
      <c r="H933">
        <v>20</v>
      </c>
      <c r="I933">
        <v>20</v>
      </c>
      <c r="J933">
        <v>0</v>
      </c>
      <c r="K933">
        <v>1</v>
      </c>
      <c r="L933">
        <v>200000000</v>
      </c>
      <c r="M933">
        <v>48</v>
      </c>
      <c r="N933">
        <v>48</v>
      </c>
      <c r="O933">
        <v>48</v>
      </c>
      <c r="P933">
        <v>0</v>
      </c>
      <c r="Q933" t="s">
        <v>62</v>
      </c>
      <c r="R933">
        <v>9999613495605260</v>
      </c>
      <c r="S933">
        <v>99999939</v>
      </c>
      <c r="T933">
        <v>9999613495605260</v>
      </c>
      <c r="U933">
        <v>99999939</v>
      </c>
      <c r="V933" t="s">
        <v>75</v>
      </c>
      <c r="W933">
        <v>33</v>
      </c>
      <c r="X933">
        <v>64024435</v>
      </c>
      <c r="Y933">
        <v>48411974</v>
      </c>
      <c r="Z933">
        <v>112436409</v>
      </c>
      <c r="AA933">
        <v>99999939</v>
      </c>
      <c r="AB933">
        <v>1.7561500000000001</v>
      </c>
      <c r="AC933">
        <v>2.0655999999999999</v>
      </c>
      <c r="AD933">
        <v>1.8893899999999999</v>
      </c>
      <c r="AE933">
        <v>26.421800000000001</v>
      </c>
      <c r="AF933">
        <v>6296438904</v>
      </c>
      <c r="AJ933" t="s">
        <v>1323</v>
      </c>
      <c r="AM933">
        <v>275451848</v>
      </c>
      <c r="AN933">
        <v>0</v>
      </c>
      <c r="AO933">
        <v>183625797</v>
      </c>
      <c r="AP933">
        <v>275451848</v>
      </c>
      <c r="AQ933">
        <v>459077645</v>
      </c>
      <c r="AR933">
        <v>9181728</v>
      </c>
      <c r="AS933">
        <v>0</v>
      </c>
      <c r="AT933">
        <v>6120859</v>
      </c>
      <c r="AU933">
        <v>9181728</v>
      </c>
      <c r="AV933">
        <v>15302588</v>
      </c>
      <c r="AW933">
        <v>42.447000000000003</v>
      </c>
      <c r="AX933">
        <v>18.7682</v>
      </c>
      <c r="AY933">
        <v>8741.89</v>
      </c>
      <c r="AZ933">
        <v>7153.06</v>
      </c>
      <c r="BA933">
        <v>8338</v>
      </c>
      <c r="BB933">
        <v>9256</v>
      </c>
      <c r="BC933" t="str">
        <f t="shared" si="28"/>
        <v>u=40%, k=2x10^8</v>
      </c>
      <c r="BD933">
        <f t="shared" si="29"/>
        <v>0</v>
      </c>
    </row>
    <row r="934" spans="1:56">
      <c r="A934" t="s">
        <v>1324</v>
      </c>
      <c r="B934" t="s">
        <v>67</v>
      </c>
      <c r="D934" t="s">
        <v>65</v>
      </c>
      <c r="E934" t="s">
        <v>60</v>
      </c>
      <c r="F934" t="s">
        <v>61</v>
      </c>
      <c r="G934">
        <v>30000</v>
      </c>
      <c r="H934">
        <v>20</v>
      </c>
      <c r="I934">
        <v>20</v>
      </c>
      <c r="J934">
        <v>0</v>
      </c>
      <c r="K934">
        <v>1</v>
      </c>
      <c r="L934">
        <v>200000000</v>
      </c>
      <c r="M934">
        <v>96</v>
      </c>
      <c r="N934">
        <v>96</v>
      </c>
      <c r="O934">
        <v>96</v>
      </c>
      <c r="P934">
        <v>0</v>
      </c>
      <c r="Q934" t="s">
        <v>62</v>
      </c>
      <c r="R934">
        <v>9999884011185080</v>
      </c>
      <c r="S934">
        <v>99996273</v>
      </c>
      <c r="T934">
        <v>9999884011185080</v>
      </c>
      <c r="U934">
        <v>99996273</v>
      </c>
      <c r="V934" t="s">
        <v>75</v>
      </c>
      <c r="W934">
        <v>33</v>
      </c>
      <c r="X934">
        <v>66881216</v>
      </c>
      <c r="Y934">
        <v>50668875</v>
      </c>
      <c r="Z934">
        <v>117550091</v>
      </c>
      <c r="AA934">
        <v>99996273</v>
      </c>
      <c r="AB934">
        <v>1.7576000000000001</v>
      </c>
      <c r="AC934">
        <v>1.9735199999999999</v>
      </c>
      <c r="AD934">
        <v>1.85067</v>
      </c>
      <c r="AE934">
        <v>26.5778</v>
      </c>
      <c r="AF934">
        <v>6582805096</v>
      </c>
      <c r="AJ934" t="s">
        <v>1325</v>
      </c>
      <c r="AM934">
        <v>581543983</v>
      </c>
      <c r="AN934">
        <v>0</v>
      </c>
      <c r="AO934">
        <v>387731296</v>
      </c>
      <c r="AP934">
        <v>581543983</v>
      </c>
      <c r="AQ934">
        <v>969275279</v>
      </c>
      <c r="AR934">
        <v>19384799</v>
      </c>
      <c r="AS934">
        <v>0</v>
      </c>
      <c r="AT934">
        <v>12924376</v>
      </c>
      <c r="AU934">
        <v>19384799</v>
      </c>
      <c r="AV934">
        <v>32309175</v>
      </c>
      <c r="AW934">
        <v>42.823599999999999</v>
      </c>
      <c r="AX934">
        <v>20.22</v>
      </c>
      <c r="AY934">
        <v>8272.0300000000007</v>
      </c>
      <c r="AZ934">
        <v>6664.03</v>
      </c>
      <c r="BA934">
        <v>8713</v>
      </c>
      <c r="BB934">
        <v>4706</v>
      </c>
      <c r="BC934" t="str">
        <f t="shared" si="28"/>
        <v>u=40%, k=2x10^8</v>
      </c>
      <c r="BD934">
        <f t="shared" si="29"/>
        <v>0</v>
      </c>
    </row>
    <row r="935" spans="1:56">
      <c r="A935" t="s">
        <v>1326</v>
      </c>
      <c r="B935" t="s">
        <v>67</v>
      </c>
      <c r="D935" t="s">
        <v>65</v>
      </c>
      <c r="E935" t="s">
        <v>60</v>
      </c>
      <c r="F935" t="s">
        <v>61</v>
      </c>
      <c r="G935">
        <v>30000</v>
      </c>
      <c r="H935">
        <v>20</v>
      </c>
      <c r="I935">
        <v>20</v>
      </c>
      <c r="J935">
        <v>0</v>
      </c>
      <c r="K935">
        <v>1</v>
      </c>
      <c r="L935">
        <v>200000000</v>
      </c>
      <c r="M935">
        <v>144</v>
      </c>
      <c r="N935">
        <v>144</v>
      </c>
      <c r="O935">
        <v>144</v>
      </c>
      <c r="P935">
        <v>0</v>
      </c>
      <c r="Q935" t="s">
        <v>62</v>
      </c>
      <c r="R935">
        <v>1.00008338779576E+16</v>
      </c>
      <c r="S935">
        <v>100008820</v>
      </c>
      <c r="T935">
        <v>1.00008338779576E+16</v>
      </c>
      <c r="U935">
        <v>100008820</v>
      </c>
      <c r="V935" t="s">
        <v>75</v>
      </c>
      <c r="W935">
        <v>33</v>
      </c>
      <c r="X935">
        <v>67980322</v>
      </c>
      <c r="Y935">
        <v>51531921</v>
      </c>
      <c r="Z935">
        <v>119512243</v>
      </c>
      <c r="AA935">
        <v>100008820</v>
      </c>
      <c r="AB935">
        <v>1.75804</v>
      </c>
      <c r="AC935">
        <v>1.94072</v>
      </c>
      <c r="AD935">
        <v>1.8368100000000001</v>
      </c>
      <c r="AE935">
        <v>26.5793</v>
      </c>
      <c r="AF935">
        <v>6692685608</v>
      </c>
      <c r="AJ935" t="s">
        <v>1327</v>
      </c>
      <c r="AM935">
        <v>867526673</v>
      </c>
      <c r="AN935">
        <v>0</v>
      </c>
      <c r="AO935">
        <v>578333766</v>
      </c>
      <c r="AP935">
        <v>867526673</v>
      </c>
      <c r="AQ935">
        <v>1445860439</v>
      </c>
      <c r="AR935">
        <v>28917555</v>
      </c>
      <c r="AS935">
        <v>0</v>
      </c>
      <c r="AT935">
        <v>19277792</v>
      </c>
      <c r="AU935">
        <v>28917555</v>
      </c>
      <c r="AV935">
        <v>48195347</v>
      </c>
      <c r="AW935">
        <v>43.3887</v>
      </c>
      <c r="AX935">
        <v>20.8231</v>
      </c>
      <c r="AY935">
        <v>8316.83</v>
      </c>
      <c r="AZ935">
        <v>6691.07</v>
      </c>
      <c r="BA935">
        <v>9465</v>
      </c>
      <c r="BB935">
        <v>3108</v>
      </c>
      <c r="BC935" t="str">
        <f t="shared" si="28"/>
        <v>u=40%, k=2x10^8</v>
      </c>
      <c r="BD935">
        <f t="shared" si="29"/>
        <v>0</v>
      </c>
    </row>
    <row r="936" spans="1:56">
      <c r="A936" t="s">
        <v>1328</v>
      </c>
      <c r="B936" t="s">
        <v>67</v>
      </c>
      <c r="D936" t="s">
        <v>65</v>
      </c>
      <c r="E936" t="s">
        <v>60</v>
      </c>
      <c r="F936" t="s">
        <v>61</v>
      </c>
      <c r="G936">
        <v>30000</v>
      </c>
      <c r="H936">
        <v>20</v>
      </c>
      <c r="I936">
        <v>20</v>
      </c>
      <c r="J936">
        <v>0</v>
      </c>
      <c r="K936">
        <v>1</v>
      </c>
      <c r="L936">
        <v>200000000</v>
      </c>
      <c r="M936">
        <v>190</v>
      </c>
      <c r="N936">
        <v>190</v>
      </c>
      <c r="O936">
        <v>190</v>
      </c>
      <c r="P936">
        <v>0</v>
      </c>
      <c r="Q936" t="s">
        <v>62</v>
      </c>
      <c r="R936">
        <v>1.00002123615585E+16</v>
      </c>
      <c r="S936">
        <v>100002075</v>
      </c>
      <c r="T936">
        <v>1.00002123615585E+16</v>
      </c>
      <c r="U936">
        <v>100002075</v>
      </c>
      <c r="V936" t="s">
        <v>75</v>
      </c>
      <c r="W936">
        <v>33</v>
      </c>
      <c r="X936">
        <v>68314616</v>
      </c>
      <c r="Y936">
        <v>51802910</v>
      </c>
      <c r="Z936">
        <v>120117526</v>
      </c>
      <c r="AA936">
        <v>100002075</v>
      </c>
      <c r="AB936">
        <v>1.7583</v>
      </c>
      <c r="AC936">
        <v>1.9304300000000001</v>
      </c>
      <c r="AD936">
        <v>1.8325400000000001</v>
      </c>
      <c r="AE936">
        <v>26.6478</v>
      </c>
      <c r="AF936">
        <v>6726581456</v>
      </c>
      <c r="AJ936" t="s">
        <v>1329</v>
      </c>
      <c r="AM936">
        <v>1124193890</v>
      </c>
      <c r="AN936">
        <v>0</v>
      </c>
      <c r="AO936">
        <v>749480287</v>
      </c>
      <c r="AP936">
        <v>1124193890</v>
      </c>
      <c r="AQ936">
        <v>1873674177</v>
      </c>
      <c r="AR936">
        <v>37473129</v>
      </c>
      <c r="AS936">
        <v>0</v>
      </c>
      <c r="AT936">
        <v>24982676</v>
      </c>
      <c r="AU936">
        <v>37473129</v>
      </c>
      <c r="AV936">
        <v>62455805</v>
      </c>
      <c r="AW936">
        <v>43.783299999999997</v>
      </c>
      <c r="AX936">
        <v>21.380199999999999</v>
      </c>
      <c r="AY936">
        <v>8463.66</v>
      </c>
      <c r="AZ936">
        <v>6809.24</v>
      </c>
      <c r="BA936">
        <v>10611</v>
      </c>
      <c r="BB936">
        <v>2776</v>
      </c>
      <c r="BC936" t="str">
        <f t="shared" si="28"/>
        <v>u=40%, k=2x10^8</v>
      </c>
      <c r="BD936">
        <f t="shared" si="29"/>
        <v>0</v>
      </c>
    </row>
    <row r="937" spans="1:56">
      <c r="A937" t="s">
        <v>1330</v>
      </c>
      <c r="B937" t="s">
        <v>68</v>
      </c>
      <c r="D937" t="s">
        <v>65</v>
      </c>
      <c r="E937" t="s">
        <v>60</v>
      </c>
      <c r="F937" t="s">
        <v>61</v>
      </c>
      <c r="G937">
        <v>30000</v>
      </c>
      <c r="H937">
        <v>20</v>
      </c>
      <c r="I937">
        <v>20</v>
      </c>
      <c r="J937">
        <v>0</v>
      </c>
      <c r="K937">
        <v>1</v>
      </c>
      <c r="L937">
        <v>200000000</v>
      </c>
      <c r="M937">
        <v>24</v>
      </c>
      <c r="N937">
        <v>24</v>
      </c>
      <c r="O937">
        <v>24</v>
      </c>
      <c r="P937">
        <v>0</v>
      </c>
      <c r="Q937" t="s">
        <v>62</v>
      </c>
      <c r="R937">
        <v>9999810706801280</v>
      </c>
      <c r="S937">
        <v>100000490</v>
      </c>
      <c r="T937">
        <v>9999810706801280</v>
      </c>
      <c r="U937">
        <v>100000490</v>
      </c>
      <c r="V937" t="s">
        <v>75</v>
      </c>
      <c r="W937">
        <v>69</v>
      </c>
      <c r="X937">
        <v>100000489</v>
      </c>
      <c r="Y937">
        <v>100000490</v>
      </c>
      <c r="Z937">
        <v>200000979</v>
      </c>
      <c r="AA937">
        <v>100000490</v>
      </c>
      <c r="AB937">
        <v>2</v>
      </c>
      <c r="AC937">
        <v>1</v>
      </c>
      <c r="AD937">
        <v>1.5</v>
      </c>
      <c r="AE937">
        <v>36.001300000000001</v>
      </c>
      <c r="AF937">
        <v>6400031328</v>
      </c>
      <c r="AJ937" t="s">
        <v>1331</v>
      </c>
      <c r="AM937">
        <v>118223644</v>
      </c>
      <c r="AN937">
        <v>0</v>
      </c>
      <c r="AO937">
        <v>78832426</v>
      </c>
      <c r="AP937">
        <v>118223644</v>
      </c>
      <c r="AQ937">
        <v>197056070</v>
      </c>
      <c r="AR937">
        <v>3940788</v>
      </c>
      <c r="AS937">
        <v>0</v>
      </c>
      <c r="AT937">
        <v>2627747</v>
      </c>
      <c r="AU937">
        <v>3940788</v>
      </c>
      <c r="AV937">
        <v>6568535</v>
      </c>
      <c r="AW937">
        <v>38.826500000000003</v>
      </c>
      <c r="AX937">
        <v>17.8583</v>
      </c>
      <c r="AY937">
        <v>10192.6</v>
      </c>
      <c r="AZ937">
        <v>8594.52</v>
      </c>
      <c r="BA937">
        <v>7548</v>
      </c>
      <c r="BB937">
        <v>18970</v>
      </c>
      <c r="BC937" t="str">
        <f t="shared" si="28"/>
        <v>u=40%, k=2x10^8</v>
      </c>
      <c r="BD937">
        <f t="shared" si="29"/>
        <v>0</v>
      </c>
    </row>
    <row r="938" spans="1:56">
      <c r="A938" t="s">
        <v>1332</v>
      </c>
      <c r="B938" t="s">
        <v>68</v>
      </c>
      <c r="D938" t="s">
        <v>65</v>
      </c>
      <c r="E938" t="s">
        <v>60</v>
      </c>
      <c r="F938" t="s">
        <v>61</v>
      </c>
      <c r="G938">
        <v>30000</v>
      </c>
      <c r="H938">
        <v>20</v>
      </c>
      <c r="I938">
        <v>20</v>
      </c>
      <c r="J938">
        <v>0</v>
      </c>
      <c r="K938">
        <v>1</v>
      </c>
      <c r="L938">
        <v>200000000</v>
      </c>
      <c r="M938">
        <v>48</v>
      </c>
      <c r="N938">
        <v>48</v>
      </c>
      <c r="O938">
        <v>48</v>
      </c>
      <c r="P938">
        <v>0</v>
      </c>
      <c r="Q938" t="s">
        <v>62</v>
      </c>
      <c r="R938">
        <v>1.00006990513996E+16</v>
      </c>
      <c r="S938">
        <v>100015388</v>
      </c>
      <c r="T938">
        <v>1.00006990513996E+16</v>
      </c>
      <c r="U938">
        <v>100015388</v>
      </c>
      <c r="V938" t="s">
        <v>75</v>
      </c>
      <c r="W938">
        <v>71</v>
      </c>
      <c r="X938">
        <v>100015387</v>
      </c>
      <c r="Y938">
        <v>100015388</v>
      </c>
      <c r="Z938">
        <v>200030775</v>
      </c>
      <c r="AA938">
        <v>100015388</v>
      </c>
      <c r="AB938">
        <v>2</v>
      </c>
      <c r="AC938">
        <v>1</v>
      </c>
      <c r="AD938">
        <v>1.5</v>
      </c>
      <c r="AE938">
        <v>35.295000000000002</v>
      </c>
      <c r="AF938">
        <v>6400984800</v>
      </c>
      <c r="AJ938" t="s">
        <v>1333</v>
      </c>
      <c r="AM938">
        <v>230773108</v>
      </c>
      <c r="AN938">
        <v>0</v>
      </c>
      <c r="AO938">
        <v>153840084</v>
      </c>
      <c r="AP938">
        <v>230773108</v>
      </c>
      <c r="AQ938">
        <v>384613192</v>
      </c>
      <c r="AR938">
        <v>7692436</v>
      </c>
      <c r="AS938">
        <v>0</v>
      </c>
      <c r="AT938">
        <v>5128002</v>
      </c>
      <c r="AU938">
        <v>7692436</v>
      </c>
      <c r="AV938">
        <v>12820439</v>
      </c>
      <c r="AW938">
        <v>38.961300000000001</v>
      </c>
      <c r="AX938">
        <v>17.6617</v>
      </c>
      <c r="AY938">
        <v>10442.700000000001</v>
      </c>
      <c r="AZ938">
        <v>9202.58</v>
      </c>
      <c r="BA938">
        <v>7602</v>
      </c>
      <c r="BB938">
        <v>9934</v>
      </c>
      <c r="BC938" t="str">
        <f t="shared" si="28"/>
        <v>u=40%, k=2x10^8</v>
      </c>
      <c r="BD938">
        <f t="shared" si="29"/>
        <v>0</v>
      </c>
    </row>
    <row r="939" spans="1:56">
      <c r="A939" t="s">
        <v>1334</v>
      </c>
      <c r="B939" t="s">
        <v>68</v>
      </c>
      <c r="D939" t="s">
        <v>65</v>
      </c>
      <c r="E939" t="s">
        <v>60</v>
      </c>
      <c r="F939" t="s">
        <v>61</v>
      </c>
      <c r="G939">
        <v>30000</v>
      </c>
      <c r="H939">
        <v>20</v>
      </c>
      <c r="I939">
        <v>20</v>
      </c>
      <c r="J939">
        <v>0</v>
      </c>
      <c r="K939">
        <v>1</v>
      </c>
      <c r="L939">
        <v>200000000</v>
      </c>
      <c r="M939">
        <v>96</v>
      </c>
      <c r="N939">
        <v>96</v>
      </c>
      <c r="O939">
        <v>96</v>
      </c>
      <c r="P939">
        <v>0</v>
      </c>
      <c r="Q939" t="s">
        <v>62</v>
      </c>
      <c r="R939">
        <v>1.00010782921387E+16</v>
      </c>
      <c r="S939">
        <v>100003476</v>
      </c>
      <c r="T939">
        <v>1.00010782921387E+16</v>
      </c>
      <c r="U939">
        <v>100003476</v>
      </c>
      <c r="V939" t="s">
        <v>75</v>
      </c>
      <c r="W939">
        <v>67</v>
      </c>
      <c r="X939">
        <v>100003475</v>
      </c>
      <c r="Y939">
        <v>100003476</v>
      </c>
      <c r="Z939">
        <v>200006951</v>
      </c>
      <c r="AA939">
        <v>100003476</v>
      </c>
      <c r="AB939">
        <v>2</v>
      </c>
      <c r="AC939">
        <v>1</v>
      </c>
      <c r="AD939">
        <v>1.5</v>
      </c>
      <c r="AE939">
        <v>34.917299999999997</v>
      </c>
      <c r="AF939">
        <v>6400222432</v>
      </c>
      <c r="AJ939" t="s">
        <v>1335</v>
      </c>
      <c r="AM939">
        <v>489803235</v>
      </c>
      <c r="AN939">
        <v>0</v>
      </c>
      <c r="AO939">
        <v>326538255</v>
      </c>
      <c r="AP939">
        <v>489803235</v>
      </c>
      <c r="AQ939">
        <v>816341490</v>
      </c>
      <c r="AR939">
        <v>16326774</v>
      </c>
      <c r="AS939">
        <v>0</v>
      </c>
      <c r="AT939">
        <v>10884608</v>
      </c>
      <c r="AU939">
        <v>16326774</v>
      </c>
      <c r="AV939">
        <v>27211383</v>
      </c>
      <c r="AW939">
        <v>40.325400000000002</v>
      </c>
      <c r="AX939">
        <v>19.977699999999999</v>
      </c>
      <c r="AY939">
        <v>9825.7900000000009</v>
      </c>
      <c r="AZ939">
        <v>8504.5300000000007</v>
      </c>
      <c r="BA939">
        <v>8510</v>
      </c>
      <c r="BB939">
        <v>4793</v>
      </c>
      <c r="BC939" t="str">
        <f t="shared" si="28"/>
        <v>u=40%, k=2x10^8</v>
      </c>
      <c r="BD939">
        <f t="shared" si="29"/>
        <v>0</v>
      </c>
    </row>
    <row r="940" spans="1:56">
      <c r="A940" t="s">
        <v>1336</v>
      </c>
      <c r="B940" t="s">
        <v>68</v>
      </c>
      <c r="D940" t="s">
        <v>65</v>
      </c>
      <c r="E940" t="s">
        <v>60</v>
      </c>
      <c r="F940" t="s">
        <v>61</v>
      </c>
      <c r="G940">
        <v>30000</v>
      </c>
      <c r="H940">
        <v>20</v>
      </c>
      <c r="I940">
        <v>20</v>
      </c>
      <c r="J940">
        <v>0</v>
      </c>
      <c r="K940">
        <v>1</v>
      </c>
      <c r="L940">
        <v>200000000</v>
      </c>
      <c r="M940">
        <v>144</v>
      </c>
      <c r="N940">
        <v>144</v>
      </c>
      <c r="O940">
        <v>144</v>
      </c>
      <c r="P940">
        <v>0</v>
      </c>
      <c r="Q940" t="s">
        <v>62</v>
      </c>
      <c r="R940">
        <v>1.00002123832665E+16</v>
      </c>
      <c r="S940">
        <v>100003059</v>
      </c>
      <c r="T940">
        <v>1.00002123832665E+16</v>
      </c>
      <c r="U940">
        <v>100003059</v>
      </c>
      <c r="V940" t="s">
        <v>75</v>
      </c>
      <c r="W940">
        <v>67</v>
      </c>
      <c r="X940">
        <v>100003058</v>
      </c>
      <c r="Y940">
        <v>100003059</v>
      </c>
      <c r="Z940">
        <v>200006117</v>
      </c>
      <c r="AA940">
        <v>100003059</v>
      </c>
      <c r="AB940">
        <v>2</v>
      </c>
      <c r="AC940">
        <v>1</v>
      </c>
      <c r="AD940">
        <v>1.5</v>
      </c>
      <c r="AE940">
        <v>35.4572</v>
      </c>
      <c r="AF940">
        <v>6400195744</v>
      </c>
      <c r="AJ940" t="s">
        <v>1337</v>
      </c>
      <c r="AM940">
        <v>711709825</v>
      </c>
      <c r="AN940">
        <v>0</v>
      </c>
      <c r="AO940">
        <v>474474338</v>
      </c>
      <c r="AP940">
        <v>711709825</v>
      </c>
      <c r="AQ940">
        <v>1186184163</v>
      </c>
      <c r="AR940">
        <v>23723660</v>
      </c>
      <c r="AS940">
        <v>0</v>
      </c>
      <c r="AT940">
        <v>15815811</v>
      </c>
      <c r="AU940">
        <v>23723660</v>
      </c>
      <c r="AV940">
        <v>39539472</v>
      </c>
      <c r="AW940">
        <v>41.392899999999997</v>
      </c>
      <c r="AX940">
        <v>20.982600000000001</v>
      </c>
      <c r="AY940">
        <v>10137.4</v>
      </c>
      <c r="AZ940">
        <v>8605.6</v>
      </c>
      <c r="BA940">
        <v>10052</v>
      </c>
      <c r="BB940">
        <v>3138</v>
      </c>
      <c r="BC940" t="str">
        <f t="shared" si="28"/>
        <v>u=40%, k=2x10^8</v>
      </c>
      <c r="BD940">
        <f t="shared" si="29"/>
        <v>0</v>
      </c>
    </row>
    <row r="941" spans="1:56">
      <c r="A941" t="s">
        <v>1338</v>
      </c>
      <c r="B941" t="s">
        <v>68</v>
      </c>
      <c r="D941" t="s">
        <v>65</v>
      </c>
      <c r="E941" t="s">
        <v>60</v>
      </c>
      <c r="F941" t="s">
        <v>61</v>
      </c>
      <c r="G941">
        <v>30000</v>
      </c>
      <c r="H941">
        <v>20</v>
      </c>
      <c r="I941">
        <v>20</v>
      </c>
      <c r="J941">
        <v>0</v>
      </c>
      <c r="K941">
        <v>1</v>
      </c>
      <c r="L941">
        <v>200000000</v>
      </c>
      <c r="M941">
        <v>190</v>
      </c>
      <c r="N941">
        <v>190</v>
      </c>
      <c r="O941">
        <v>190</v>
      </c>
      <c r="P941">
        <v>0</v>
      </c>
      <c r="Q941" t="s">
        <v>62</v>
      </c>
      <c r="R941">
        <v>1.00004939199085E+16</v>
      </c>
      <c r="S941">
        <v>100005030</v>
      </c>
      <c r="T941">
        <v>1.00004939199085E+16</v>
      </c>
      <c r="U941">
        <v>100005030</v>
      </c>
      <c r="V941" t="s">
        <v>75</v>
      </c>
      <c r="W941">
        <v>69</v>
      </c>
      <c r="X941">
        <v>100005029</v>
      </c>
      <c r="Y941">
        <v>100005030</v>
      </c>
      <c r="Z941">
        <v>200010059</v>
      </c>
      <c r="AA941">
        <v>100005030</v>
      </c>
      <c r="AB941">
        <v>2</v>
      </c>
      <c r="AC941">
        <v>1</v>
      </c>
      <c r="AD941">
        <v>1.5</v>
      </c>
      <c r="AE941">
        <v>35.7104</v>
      </c>
      <c r="AF941">
        <v>6400321888</v>
      </c>
      <c r="AJ941" t="s">
        <v>1339</v>
      </c>
      <c r="AM941">
        <v>901649451</v>
      </c>
      <c r="AN941">
        <v>0</v>
      </c>
      <c r="AO941">
        <v>601147277</v>
      </c>
      <c r="AP941">
        <v>901649451</v>
      </c>
      <c r="AQ941">
        <v>1502796728</v>
      </c>
      <c r="AR941">
        <v>30054981</v>
      </c>
      <c r="AS941">
        <v>0</v>
      </c>
      <c r="AT941">
        <v>20038242</v>
      </c>
      <c r="AU941">
        <v>30054981</v>
      </c>
      <c r="AV941">
        <v>50093224</v>
      </c>
      <c r="AW941">
        <v>41.969000000000001</v>
      </c>
      <c r="AX941">
        <v>21.651900000000001</v>
      </c>
      <c r="AY941">
        <v>10551</v>
      </c>
      <c r="AZ941">
        <v>8707.61</v>
      </c>
      <c r="BA941">
        <v>10962</v>
      </c>
      <c r="BB941">
        <v>2841</v>
      </c>
      <c r="BC941" t="str">
        <f t="shared" si="28"/>
        <v>u=40%, k=2x10^8</v>
      </c>
      <c r="BD941">
        <f t="shared" si="29"/>
        <v>0</v>
      </c>
    </row>
    <row r="942" spans="1:56">
      <c r="A942" t="s">
        <v>1340</v>
      </c>
      <c r="B942" t="s">
        <v>64</v>
      </c>
      <c r="C942">
        <v>72</v>
      </c>
      <c r="D942" t="s">
        <v>65</v>
      </c>
      <c r="E942" t="s">
        <v>60</v>
      </c>
      <c r="F942" t="s">
        <v>61</v>
      </c>
      <c r="G942">
        <v>30000</v>
      </c>
      <c r="H942">
        <v>20</v>
      </c>
      <c r="I942">
        <v>20</v>
      </c>
      <c r="J942">
        <v>0</v>
      </c>
      <c r="K942">
        <v>1</v>
      </c>
      <c r="L942">
        <v>2000000000</v>
      </c>
      <c r="M942">
        <v>24</v>
      </c>
      <c r="N942">
        <v>24</v>
      </c>
      <c r="O942">
        <v>24</v>
      </c>
      <c r="P942">
        <v>0</v>
      </c>
      <c r="Q942" t="s">
        <v>62</v>
      </c>
      <c r="R942">
        <v>1.00000545285928E+18</v>
      </c>
      <c r="S942">
        <v>1000007339</v>
      </c>
      <c r="T942">
        <v>1.00000545285928E+18</v>
      </c>
      <c r="U942">
        <v>1000007339</v>
      </c>
      <c r="V942" t="s">
        <v>75</v>
      </c>
      <c r="W942">
        <v>7</v>
      </c>
      <c r="X942">
        <v>119441040</v>
      </c>
      <c r="Y942">
        <v>1150783622</v>
      </c>
      <c r="Z942">
        <v>1270224662</v>
      </c>
      <c r="AA942">
        <v>1000007339</v>
      </c>
      <c r="AB942">
        <v>10.6347</v>
      </c>
      <c r="AC942">
        <v>0.86897899999999995</v>
      </c>
      <c r="AD942">
        <v>1.7872699999999999</v>
      </c>
      <c r="AE942">
        <v>4.0733199999999998</v>
      </c>
      <c r="AF942">
        <v>28004976352</v>
      </c>
      <c r="AG942" t="s">
        <v>1341</v>
      </c>
      <c r="AH942" t="s">
        <v>1342</v>
      </c>
      <c r="AJ942">
        <v>177432</v>
      </c>
      <c r="AM942">
        <v>284616951</v>
      </c>
      <c r="AN942">
        <v>0</v>
      </c>
      <c r="AO942">
        <v>189740888</v>
      </c>
      <c r="AP942">
        <v>284616951</v>
      </c>
      <c r="AQ942">
        <v>474357839</v>
      </c>
      <c r="AR942">
        <v>9487231</v>
      </c>
      <c r="AS942">
        <v>0</v>
      </c>
      <c r="AT942">
        <v>6324696</v>
      </c>
      <c r="AU942">
        <v>9487231</v>
      </c>
      <c r="AV942">
        <v>15811927</v>
      </c>
      <c r="AW942">
        <v>25.425899999999999</v>
      </c>
      <c r="AX942">
        <v>14.883800000000001</v>
      </c>
      <c r="AY942">
        <v>4194.66</v>
      </c>
      <c r="AZ942">
        <v>3355.11</v>
      </c>
      <c r="BA942">
        <v>62813</v>
      </c>
      <c r="BB942">
        <v>16140</v>
      </c>
      <c r="BC942" t="str">
        <f t="shared" si="28"/>
        <v>u=40%, k=2x10^9</v>
      </c>
      <c r="BD942" t="str">
        <f t="shared" si="29"/>
        <v>0</v>
      </c>
    </row>
    <row r="943" spans="1:56">
      <c r="A943" t="s">
        <v>1343</v>
      </c>
      <c r="B943" t="s">
        <v>64</v>
      </c>
      <c r="C943">
        <v>72</v>
      </c>
      <c r="D943" t="s">
        <v>65</v>
      </c>
      <c r="E943" t="s">
        <v>60</v>
      </c>
      <c r="F943" t="s">
        <v>61</v>
      </c>
      <c r="G943">
        <v>30000</v>
      </c>
      <c r="H943">
        <v>20</v>
      </c>
      <c r="I943">
        <v>20</v>
      </c>
      <c r="J943">
        <v>0</v>
      </c>
      <c r="K943">
        <v>1</v>
      </c>
      <c r="L943">
        <v>2000000000</v>
      </c>
      <c r="M943">
        <v>48</v>
      </c>
      <c r="N943">
        <v>48</v>
      </c>
      <c r="O943">
        <v>48</v>
      </c>
      <c r="P943">
        <v>0</v>
      </c>
      <c r="Q943" t="s">
        <v>62</v>
      </c>
      <c r="R943">
        <v>9.9999565166568205E+17</v>
      </c>
      <c r="S943">
        <v>1000007980</v>
      </c>
      <c r="T943">
        <v>9.9999565166568205E+17</v>
      </c>
      <c r="U943">
        <v>1000007980</v>
      </c>
      <c r="V943" t="s">
        <v>75</v>
      </c>
      <c r="W943">
        <v>7</v>
      </c>
      <c r="X943">
        <v>127863915</v>
      </c>
      <c r="Y943">
        <v>1169904316</v>
      </c>
      <c r="Z943">
        <v>1297768231</v>
      </c>
      <c r="AA943">
        <v>1000007980</v>
      </c>
      <c r="AB943">
        <v>10.1496</v>
      </c>
      <c r="AC943">
        <v>0.85477800000000004</v>
      </c>
      <c r="AD943">
        <v>1.7705599999999999</v>
      </c>
      <c r="AE943">
        <v>4.09232</v>
      </c>
      <c r="AF943">
        <v>29009754016</v>
      </c>
      <c r="AG943" t="s">
        <v>1344</v>
      </c>
      <c r="AH943" t="s">
        <v>1345</v>
      </c>
      <c r="AI943">
        <v>3</v>
      </c>
      <c r="AJ943">
        <v>75156</v>
      </c>
      <c r="AM943">
        <v>489591367</v>
      </c>
      <c r="AN943">
        <v>0</v>
      </c>
      <c r="AO943">
        <v>326376743</v>
      </c>
      <c r="AP943">
        <v>489591367</v>
      </c>
      <c r="AQ943">
        <v>815968110</v>
      </c>
      <c r="AR943">
        <v>16319712</v>
      </c>
      <c r="AS943">
        <v>0</v>
      </c>
      <c r="AT943">
        <v>10879224</v>
      </c>
      <c r="AU943">
        <v>16319712</v>
      </c>
      <c r="AV943">
        <v>27198937</v>
      </c>
      <c r="AW943">
        <v>26.0687</v>
      </c>
      <c r="AX943">
        <v>15.3734</v>
      </c>
      <c r="AY943">
        <v>4885.2299999999996</v>
      </c>
      <c r="AZ943">
        <v>4016.33</v>
      </c>
      <c r="BA943">
        <v>64997</v>
      </c>
      <c r="BB943">
        <v>12293</v>
      </c>
      <c r="BC943" t="str">
        <f t="shared" si="28"/>
        <v>u=40%, k=2x10^9</v>
      </c>
      <c r="BD943" t="str">
        <f t="shared" si="29"/>
        <v>0</v>
      </c>
    </row>
    <row r="944" spans="1:56">
      <c r="A944" t="s">
        <v>1346</v>
      </c>
      <c r="B944" t="s">
        <v>64</v>
      </c>
      <c r="C944">
        <v>72</v>
      </c>
      <c r="D944" t="s">
        <v>65</v>
      </c>
      <c r="E944" t="s">
        <v>60</v>
      </c>
      <c r="F944" t="s">
        <v>61</v>
      </c>
      <c r="G944">
        <v>30000</v>
      </c>
      <c r="H944">
        <v>20</v>
      </c>
      <c r="I944">
        <v>20</v>
      </c>
      <c r="J944">
        <v>0</v>
      </c>
      <c r="K944">
        <v>1</v>
      </c>
      <c r="L944">
        <v>2000000000</v>
      </c>
      <c r="M944">
        <v>96</v>
      </c>
      <c r="N944">
        <v>96</v>
      </c>
      <c r="O944">
        <v>96</v>
      </c>
      <c r="P944">
        <v>0</v>
      </c>
      <c r="Q944" t="s">
        <v>62</v>
      </c>
      <c r="R944">
        <v>9.9996687268493798E+17</v>
      </c>
      <c r="S944">
        <v>999985127</v>
      </c>
      <c r="T944">
        <v>9.9996687268493798E+17</v>
      </c>
      <c r="U944">
        <v>999985127</v>
      </c>
      <c r="V944" t="s">
        <v>75</v>
      </c>
      <c r="W944">
        <v>7</v>
      </c>
      <c r="X944">
        <v>84465054</v>
      </c>
      <c r="Y944">
        <v>1078789683</v>
      </c>
      <c r="Z944">
        <v>1163254737</v>
      </c>
      <c r="AA944">
        <v>999985127</v>
      </c>
      <c r="AB944">
        <v>13.772</v>
      </c>
      <c r="AC944">
        <v>0.92695099999999997</v>
      </c>
      <c r="AD944">
        <v>1.85964</v>
      </c>
      <c r="AE944">
        <v>4</v>
      </c>
      <c r="AF944">
        <v>24017839232</v>
      </c>
      <c r="AG944" t="s">
        <v>1347</v>
      </c>
      <c r="AH944" t="s">
        <v>1348</v>
      </c>
      <c r="AI944">
        <v>25461</v>
      </c>
      <c r="AJ944">
        <v>28108</v>
      </c>
      <c r="AM944">
        <v>749973306</v>
      </c>
      <c r="AN944">
        <v>0</v>
      </c>
      <c r="AO944">
        <v>499979634</v>
      </c>
      <c r="AP944">
        <v>749973306</v>
      </c>
      <c r="AQ944">
        <v>1249952940</v>
      </c>
      <c r="AR944">
        <v>24999110</v>
      </c>
      <c r="AS944">
        <v>0</v>
      </c>
      <c r="AT944">
        <v>16665987</v>
      </c>
      <c r="AU944">
        <v>24999110</v>
      </c>
      <c r="AV944">
        <v>41665098</v>
      </c>
      <c r="AW944">
        <v>32.6661</v>
      </c>
      <c r="AX944">
        <v>20.446899999999999</v>
      </c>
      <c r="AY944">
        <v>5652.34</v>
      </c>
      <c r="AZ944">
        <v>4488.8999999999996</v>
      </c>
      <c r="BA944">
        <v>87910</v>
      </c>
      <c r="BB944">
        <v>10144</v>
      </c>
      <c r="BC944" t="str">
        <f t="shared" si="28"/>
        <v>u=40%, k=2x10^9</v>
      </c>
      <c r="BD944" t="str">
        <f t="shared" si="29"/>
        <v>1</v>
      </c>
    </row>
    <row r="945" spans="1:56">
      <c r="A945" t="s">
        <v>1349</v>
      </c>
      <c r="B945" t="s">
        <v>64</v>
      </c>
      <c r="C945">
        <v>72</v>
      </c>
      <c r="D945" t="s">
        <v>65</v>
      </c>
      <c r="E945" t="s">
        <v>60</v>
      </c>
      <c r="F945" t="s">
        <v>61</v>
      </c>
      <c r="G945">
        <v>30000</v>
      </c>
      <c r="H945">
        <v>20</v>
      </c>
      <c r="I945">
        <v>20</v>
      </c>
      <c r="J945">
        <v>0</v>
      </c>
      <c r="K945">
        <v>1</v>
      </c>
      <c r="L945">
        <v>2000000000</v>
      </c>
      <c r="M945">
        <v>144</v>
      </c>
      <c r="N945">
        <v>144</v>
      </c>
      <c r="O945">
        <v>144</v>
      </c>
      <c r="P945">
        <v>0</v>
      </c>
      <c r="Q945" t="s">
        <v>62</v>
      </c>
      <c r="R945">
        <v>9.9998530424324698E+17</v>
      </c>
      <c r="S945">
        <v>999998997</v>
      </c>
      <c r="T945">
        <v>9.9998530424324698E+17</v>
      </c>
      <c r="U945">
        <v>999998997</v>
      </c>
      <c r="V945" t="s">
        <v>75</v>
      </c>
      <c r="W945">
        <v>7</v>
      </c>
      <c r="X945">
        <v>126796290</v>
      </c>
      <c r="Y945">
        <v>1167269916</v>
      </c>
      <c r="Z945">
        <v>1294066206</v>
      </c>
      <c r="AA945">
        <v>999998997</v>
      </c>
      <c r="AB945">
        <v>10.2059</v>
      </c>
      <c r="AC945">
        <v>0.85669899999999999</v>
      </c>
      <c r="AD945">
        <v>1.7727599999999999</v>
      </c>
      <c r="AE945">
        <v>4.0897899999999998</v>
      </c>
      <c r="AF945">
        <v>28877405328</v>
      </c>
      <c r="AG945" t="s">
        <v>1350</v>
      </c>
      <c r="AH945" t="s">
        <v>1351</v>
      </c>
      <c r="AI945">
        <v>38727</v>
      </c>
      <c r="AJ945">
        <v>18670</v>
      </c>
      <c r="AM945">
        <v>1187936094</v>
      </c>
      <c r="AN945">
        <v>0</v>
      </c>
      <c r="AO945">
        <v>791908987</v>
      </c>
      <c r="AP945">
        <v>1187936094</v>
      </c>
      <c r="AQ945">
        <v>1979845081</v>
      </c>
      <c r="AR945">
        <v>39597869</v>
      </c>
      <c r="AS945">
        <v>0</v>
      </c>
      <c r="AT945">
        <v>26396966</v>
      </c>
      <c r="AU945">
        <v>39597869</v>
      </c>
      <c r="AV945">
        <v>65994836</v>
      </c>
      <c r="AW945">
        <v>30.4496</v>
      </c>
      <c r="AX945">
        <v>19.315899999999999</v>
      </c>
      <c r="AY945">
        <v>5438.11</v>
      </c>
      <c r="AZ945">
        <v>4334.3500000000004</v>
      </c>
      <c r="BA945">
        <v>120362</v>
      </c>
      <c r="BB945">
        <v>9579</v>
      </c>
      <c r="BC945" t="str">
        <f t="shared" si="28"/>
        <v>u=40%, k=2x10^9</v>
      </c>
      <c r="BD945" t="str">
        <f t="shared" si="29"/>
        <v>1</v>
      </c>
    </row>
    <row r="946" spans="1:56">
      <c r="A946" t="s">
        <v>1352</v>
      </c>
      <c r="B946" t="s">
        <v>64</v>
      </c>
      <c r="C946">
        <v>72</v>
      </c>
      <c r="D946" t="s">
        <v>65</v>
      </c>
      <c r="E946" t="s">
        <v>60</v>
      </c>
      <c r="F946" t="s">
        <v>61</v>
      </c>
      <c r="G946">
        <v>30000</v>
      </c>
      <c r="H946">
        <v>20</v>
      </c>
      <c r="I946">
        <v>20</v>
      </c>
      <c r="J946">
        <v>0</v>
      </c>
      <c r="K946">
        <v>1</v>
      </c>
      <c r="L946">
        <v>2000000000</v>
      </c>
      <c r="M946">
        <v>190</v>
      </c>
      <c r="N946">
        <v>190</v>
      </c>
      <c r="O946">
        <v>190</v>
      </c>
      <c r="P946">
        <v>0</v>
      </c>
      <c r="Q946" t="s">
        <v>62</v>
      </c>
      <c r="R946">
        <v>1.00004645456872E+18</v>
      </c>
      <c r="S946">
        <v>1000030736</v>
      </c>
      <c r="T946">
        <v>1.00004645456872E+18</v>
      </c>
      <c r="U946">
        <v>1000030736</v>
      </c>
      <c r="V946" t="s">
        <v>75</v>
      </c>
      <c r="W946">
        <v>7</v>
      </c>
      <c r="X946">
        <v>118172921</v>
      </c>
      <c r="Y946">
        <v>1150601646</v>
      </c>
      <c r="Z946">
        <v>1268774567</v>
      </c>
      <c r="AA946">
        <v>1000030736</v>
      </c>
      <c r="AB946">
        <v>10.736599999999999</v>
      </c>
      <c r="AC946">
        <v>0.86913700000000005</v>
      </c>
      <c r="AD946">
        <v>1.7881899999999999</v>
      </c>
      <c r="AE946">
        <v>4.0721600000000002</v>
      </c>
      <c r="AF946">
        <v>27915029152</v>
      </c>
      <c r="AG946" t="s">
        <v>1353</v>
      </c>
      <c r="AH946" t="s">
        <v>1354</v>
      </c>
      <c r="AI946">
        <v>53035</v>
      </c>
      <c r="AJ946">
        <v>13800</v>
      </c>
      <c r="AM946">
        <v>1448143884</v>
      </c>
      <c r="AN946">
        <v>0</v>
      </c>
      <c r="AO946">
        <v>965453708</v>
      </c>
      <c r="AP946">
        <v>1448143884</v>
      </c>
      <c r="AQ946">
        <v>2413597592</v>
      </c>
      <c r="AR946">
        <v>48271462</v>
      </c>
      <c r="AS946">
        <v>0</v>
      </c>
      <c r="AT946">
        <v>32181790</v>
      </c>
      <c r="AU946">
        <v>48271462</v>
      </c>
      <c r="AV946">
        <v>80453253</v>
      </c>
      <c r="AW946">
        <v>30.5594</v>
      </c>
      <c r="AX946">
        <v>19.6494</v>
      </c>
      <c r="AY946">
        <v>5803.83</v>
      </c>
      <c r="AZ946">
        <v>4642.45</v>
      </c>
      <c r="BA946">
        <v>120702</v>
      </c>
      <c r="BB946">
        <v>9054</v>
      </c>
      <c r="BC946" t="str">
        <f t="shared" si="28"/>
        <v>u=40%, k=2x10^9</v>
      </c>
      <c r="BD946" t="str">
        <f t="shared" si="29"/>
        <v>1</v>
      </c>
    </row>
    <row r="947" spans="1:56">
      <c r="A947" t="s">
        <v>1355</v>
      </c>
      <c r="B947" t="s">
        <v>66</v>
      </c>
      <c r="C947">
        <v>208</v>
      </c>
      <c r="D947" t="s">
        <v>65</v>
      </c>
      <c r="E947" t="s">
        <v>60</v>
      </c>
      <c r="F947" t="s">
        <v>61</v>
      </c>
      <c r="G947">
        <v>30000</v>
      </c>
      <c r="H947">
        <v>20</v>
      </c>
      <c r="I947">
        <v>20</v>
      </c>
      <c r="J947">
        <v>0</v>
      </c>
      <c r="K947">
        <v>1</v>
      </c>
      <c r="L947">
        <v>2000000000</v>
      </c>
      <c r="M947">
        <v>24</v>
      </c>
      <c r="N947">
        <v>24</v>
      </c>
      <c r="O947">
        <v>24</v>
      </c>
      <c r="P947">
        <v>0</v>
      </c>
      <c r="Q947" t="s">
        <v>62</v>
      </c>
      <c r="R947">
        <v>9.9999840885918502E+17</v>
      </c>
      <c r="S947">
        <v>1000002576</v>
      </c>
      <c r="T947">
        <v>9.9999840885918502E+17</v>
      </c>
      <c r="U947">
        <v>1000002576</v>
      </c>
      <c r="V947" t="s">
        <v>75</v>
      </c>
      <c r="W947">
        <v>12</v>
      </c>
      <c r="X947">
        <v>19022307</v>
      </c>
      <c r="Y947">
        <v>130897645</v>
      </c>
      <c r="Z947">
        <v>149919952</v>
      </c>
      <c r="AA947">
        <v>1000002576</v>
      </c>
      <c r="AB947">
        <v>7.8812699999999998</v>
      </c>
      <c r="AC947">
        <v>7.6395799999999996</v>
      </c>
      <c r="AD947">
        <v>7.6702399999999997</v>
      </c>
      <c r="AE947">
        <v>11</v>
      </c>
      <c r="AF947">
        <v>31183350016</v>
      </c>
      <c r="AJ947" t="s">
        <v>1356</v>
      </c>
      <c r="AM947">
        <v>182714456</v>
      </c>
      <c r="AN947">
        <v>0</v>
      </c>
      <c r="AO947">
        <v>121806991</v>
      </c>
      <c r="AP947">
        <v>182714456</v>
      </c>
      <c r="AQ947">
        <v>304521447</v>
      </c>
      <c r="AR947">
        <v>6090481</v>
      </c>
      <c r="AS947">
        <v>0</v>
      </c>
      <c r="AT947">
        <v>4060233</v>
      </c>
      <c r="AU947">
        <v>6090481</v>
      </c>
      <c r="AV947">
        <v>10150714</v>
      </c>
      <c r="AW947">
        <v>32.936100000000003</v>
      </c>
      <c r="AX947">
        <v>18.514099999999999</v>
      </c>
      <c r="AY947">
        <v>6587.09</v>
      </c>
      <c r="AZ947">
        <v>5340.89</v>
      </c>
      <c r="BA947">
        <v>34087</v>
      </c>
      <c r="BB947">
        <v>154768</v>
      </c>
      <c r="BC947" t="str">
        <f t="shared" si="28"/>
        <v>u=40%, k=2x10^9</v>
      </c>
      <c r="BD947">
        <f t="shared" si="29"/>
        <v>0</v>
      </c>
    </row>
    <row r="948" spans="1:56">
      <c r="A948" t="s">
        <v>1357</v>
      </c>
      <c r="B948" t="s">
        <v>66</v>
      </c>
      <c r="C948">
        <v>208</v>
      </c>
      <c r="D948" t="s">
        <v>65</v>
      </c>
      <c r="E948" t="s">
        <v>60</v>
      </c>
      <c r="F948" t="s">
        <v>61</v>
      </c>
      <c r="G948">
        <v>30000</v>
      </c>
      <c r="H948">
        <v>20</v>
      </c>
      <c r="I948">
        <v>20</v>
      </c>
      <c r="J948">
        <v>0</v>
      </c>
      <c r="K948">
        <v>1</v>
      </c>
      <c r="L948">
        <v>2000000000</v>
      </c>
      <c r="M948">
        <v>48</v>
      </c>
      <c r="N948">
        <v>48</v>
      </c>
      <c r="O948">
        <v>48</v>
      </c>
      <c r="P948">
        <v>0</v>
      </c>
      <c r="Q948" t="s">
        <v>62</v>
      </c>
      <c r="R948">
        <v>1.0000077870797199E+18</v>
      </c>
      <c r="S948">
        <v>999991815</v>
      </c>
      <c r="T948">
        <v>1.0000077870797199E+18</v>
      </c>
      <c r="U948">
        <v>999991815</v>
      </c>
      <c r="V948" t="s">
        <v>75</v>
      </c>
      <c r="W948">
        <v>12</v>
      </c>
      <c r="X948">
        <v>19376041</v>
      </c>
      <c r="Y948">
        <v>133317937</v>
      </c>
      <c r="Z948">
        <v>152693978</v>
      </c>
      <c r="AA948">
        <v>999991815</v>
      </c>
      <c r="AB948">
        <v>7.88056</v>
      </c>
      <c r="AC948">
        <v>7.5007999999999999</v>
      </c>
      <c r="AD948">
        <v>7.5489899999999999</v>
      </c>
      <c r="AE948">
        <v>11</v>
      </c>
      <c r="AF948">
        <v>31760347424</v>
      </c>
      <c r="AJ948" t="s">
        <v>1358</v>
      </c>
      <c r="AM948">
        <v>353786405</v>
      </c>
      <c r="AN948">
        <v>0</v>
      </c>
      <c r="AO948">
        <v>235863133</v>
      </c>
      <c r="AP948">
        <v>353786405</v>
      </c>
      <c r="AQ948">
        <v>589649538</v>
      </c>
      <c r="AR948">
        <v>11792880</v>
      </c>
      <c r="AS948">
        <v>0</v>
      </c>
      <c r="AT948">
        <v>7862104</v>
      </c>
      <c r="AU948">
        <v>11792880</v>
      </c>
      <c r="AV948">
        <v>19654984</v>
      </c>
      <c r="AW948">
        <v>32.927199999999999</v>
      </c>
      <c r="AX948">
        <v>18.093599999999999</v>
      </c>
      <c r="AY948">
        <v>6800.73</v>
      </c>
      <c r="AZ948">
        <v>5726.6</v>
      </c>
      <c r="BA948">
        <v>35022</v>
      </c>
      <c r="BB948">
        <v>94303</v>
      </c>
      <c r="BC948" t="str">
        <f t="shared" si="28"/>
        <v>u=40%, k=2x10^9</v>
      </c>
      <c r="BD948">
        <f t="shared" si="29"/>
        <v>0</v>
      </c>
    </row>
    <row r="949" spans="1:56">
      <c r="A949" t="s">
        <v>1359</v>
      </c>
      <c r="B949" t="s">
        <v>66</v>
      </c>
      <c r="C949">
        <v>208</v>
      </c>
      <c r="D949" t="s">
        <v>65</v>
      </c>
      <c r="E949" t="s">
        <v>60</v>
      </c>
      <c r="F949" t="s">
        <v>61</v>
      </c>
      <c r="G949">
        <v>30000</v>
      </c>
      <c r="H949">
        <v>20</v>
      </c>
      <c r="I949">
        <v>20</v>
      </c>
      <c r="J949">
        <v>0</v>
      </c>
      <c r="K949">
        <v>1</v>
      </c>
      <c r="L949">
        <v>2000000000</v>
      </c>
      <c r="M949">
        <v>96</v>
      </c>
      <c r="N949">
        <v>96</v>
      </c>
      <c r="O949">
        <v>96</v>
      </c>
      <c r="P949">
        <v>0</v>
      </c>
      <c r="Q949" t="s">
        <v>62</v>
      </c>
      <c r="R949">
        <v>1.00001464160753E+18</v>
      </c>
      <c r="S949">
        <v>1000007995</v>
      </c>
      <c r="T949">
        <v>1.00001464160753E+18</v>
      </c>
      <c r="U949">
        <v>1000007995</v>
      </c>
      <c r="V949" t="s">
        <v>75</v>
      </c>
      <c r="W949">
        <v>12</v>
      </c>
      <c r="X949">
        <v>20016337</v>
      </c>
      <c r="Y949">
        <v>137734394</v>
      </c>
      <c r="Z949">
        <v>157750731</v>
      </c>
      <c r="AA949">
        <v>1000007995</v>
      </c>
      <c r="AB949">
        <v>7.8811</v>
      </c>
      <c r="AC949">
        <v>7.2604100000000003</v>
      </c>
      <c r="AD949">
        <v>7.3391700000000002</v>
      </c>
      <c r="AE949">
        <v>11</v>
      </c>
      <c r="AF949">
        <v>32812152048</v>
      </c>
      <c r="AJ949" t="s">
        <v>1360</v>
      </c>
      <c r="AM949">
        <v>753515425</v>
      </c>
      <c r="AN949">
        <v>0</v>
      </c>
      <c r="AO949">
        <v>502343121</v>
      </c>
      <c r="AP949">
        <v>753515425</v>
      </c>
      <c r="AQ949">
        <v>1255858546</v>
      </c>
      <c r="AR949">
        <v>25117180</v>
      </c>
      <c r="AS949">
        <v>0</v>
      </c>
      <c r="AT949">
        <v>16744770</v>
      </c>
      <c r="AU949">
        <v>25117180</v>
      </c>
      <c r="AV949">
        <v>41861951</v>
      </c>
      <c r="AW949">
        <v>34.904000000000003</v>
      </c>
      <c r="AX949">
        <v>19.677199999999999</v>
      </c>
      <c r="AY949">
        <v>6350.28</v>
      </c>
      <c r="AZ949">
        <v>5148.54</v>
      </c>
      <c r="BA949">
        <v>47445</v>
      </c>
      <c r="BB949">
        <v>72722</v>
      </c>
      <c r="BC949" t="str">
        <f t="shared" si="28"/>
        <v>u=40%, k=2x10^9</v>
      </c>
      <c r="BD949">
        <f t="shared" si="29"/>
        <v>0</v>
      </c>
    </row>
    <row r="950" spans="1:56">
      <c r="A950" t="s">
        <v>1361</v>
      </c>
      <c r="B950" t="s">
        <v>66</v>
      </c>
      <c r="C950">
        <v>208</v>
      </c>
      <c r="D950" t="s">
        <v>65</v>
      </c>
      <c r="E950" t="s">
        <v>60</v>
      </c>
      <c r="F950" t="s">
        <v>61</v>
      </c>
      <c r="G950">
        <v>30000</v>
      </c>
      <c r="H950">
        <v>20</v>
      </c>
      <c r="I950">
        <v>20</v>
      </c>
      <c r="J950">
        <v>0</v>
      </c>
      <c r="K950">
        <v>1</v>
      </c>
      <c r="L950">
        <v>2000000000</v>
      </c>
      <c r="M950">
        <v>144</v>
      </c>
      <c r="N950">
        <v>144</v>
      </c>
      <c r="O950">
        <v>144</v>
      </c>
      <c r="P950">
        <v>0</v>
      </c>
      <c r="Q950" t="s">
        <v>62</v>
      </c>
      <c r="R950">
        <v>9.9997334757049805E+17</v>
      </c>
      <c r="S950">
        <v>999978901</v>
      </c>
      <c r="T950">
        <v>9.9997334757049805E+17</v>
      </c>
      <c r="U950">
        <v>999978901</v>
      </c>
      <c r="V950" t="s">
        <v>75</v>
      </c>
      <c r="W950">
        <v>12</v>
      </c>
      <c r="X950">
        <v>20404246</v>
      </c>
      <c r="Y950">
        <v>140375413</v>
      </c>
      <c r="Z950">
        <v>160779659</v>
      </c>
      <c r="AA950">
        <v>999978901</v>
      </c>
      <c r="AB950">
        <v>7.8797199999999998</v>
      </c>
      <c r="AC950">
        <v>7.1235999999999997</v>
      </c>
      <c r="AD950">
        <v>7.2195600000000004</v>
      </c>
      <c r="AE950">
        <v>11</v>
      </c>
      <c r="AF950">
        <v>33442169072</v>
      </c>
      <c r="AJ950" t="s">
        <v>1362</v>
      </c>
      <c r="AM950">
        <v>1049722104</v>
      </c>
      <c r="AN950">
        <v>0</v>
      </c>
      <c r="AO950">
        <v>699825697</v>
      </c>
      <c r="AP950">
        <v>1049722104</v>
      </c>
      <c r="AQ950">
        <v>1749547801</v>
      </c>
      <c r="AR950">
        <v>34990736</v>
      </c>
      <c r="AS950">
        <v>0</v>
      </c>
      <c r="AT950">
        <v>23327523</v>
      </c>
      <c r="AU950">
        <v>34990736</v>
      </c>
      <c r="AV950">
        <v>58318260</v>
      </c>
      <c r="AW950">
        <v>36.540399999999998</v>
      </c>
      <c r="AX950">
        <v>20.6722</v>
      </c>
      <c r="AY950">
        <v>6801.32</v>
      </c>
      <c r="AZ950">
        <v>5395.81</v>
      </c>
      <c r="BA950">
        <v>58377</v>
      </c>
      <c r="BB950">
        <v>65467</v>
      </c>
      <c r="BC950" t="str">
        <f t="shared" si="28"/>
        <v>u=40%, k=2x10^9</v>
      </c>
      <c r="BD950">
        <f t="shared" si="29"/>
        <v>0</v>
      </c>
    </row>
    <row r="951" spans="1:56">
      <c r="A951" t="s">
        <v>1363</v>
      </c>
      <c r="B951" t="s">
        <v>66</v>
      </c>
      <c r="C951">
        <v>208</v>
      </c>
      <c r="D951" t="s">
        <v>65</v>
      </c>
      <c r="E951" t="s">
        <v>60</v>
      </c>
      <c r="F951" t="s">
        <v>61</v>
      </c>
      <c r="G951">
        <v>30000</v>
      </c>
      <c r="H951">
        <v>20</v>
      </c>
      <c r="I951">
        <v>20</v>
      </c>
      <c r="J951">
        <v>0</v>
      </c>
      <c r="K951">
        <v>1</v>
      </c>
      <c r="L951">
        <v>2000000000</v>
      </c>
      <c r="M951">
        <v>190</v>
      </c>
      <c r="N951">
        <v>190</v>
      </c>
      <c r="O951">
        <v>190</v>
      </c>
      <c r="P951">
        <v>0</v>
      </c>
      <c r="Q951" t="s">
        <v>62</v>
      </c>
      <c r="R951">
        <v>9.9998137755324902E+17</v>
      </c>
      <c r="S951">
        <v>999994061</v>
      </c>
      <c r="T951">
        <v>9.9998137755324902E+17</v>
      </c>
      <c r="U951">
        <v>999994061</v>
      </c>
      <c r="V951" t="s">
        <v>75</v>
      </c>
      <c r="W951">
        <v>12</v>
      </c>
      <c r="X951">
        <v>20671195</v>
      </c>
      <c r="Y951">
        <v>142218320</v>
      </c>
      <c r="Z951">
        <v>162889515</v>
      </c>
      <c r="AA951">
        <v>999994061</v>
      </c>
      <c r="AB951">
        <v>7.88002</v>
      </c>
      <c r="AC951">
        <v>7.0313999999999997</v>
      </c>
      <c r="AD951">
        <v>7.1390900000000004</v>
      </c>
      <c r="AE951">
        <v>11</v>
      </c>
      <c r="AF951">
        <v>33881019120</v>
      </c>
      <c r="AJ951" t="s">
        <v>1364</v>
      </c>
      <c r="AM951">
        <v>1282772259</v>
      </c>
      <c r="AN951">
        <v>0</v>
      </c>
      <c r="AO951">
        <v>855194568</v>
      </c>
      <c r="AP951">
        <v>1282772259</v>
      </c>
      <c r="AQ951">
        <v>2137966827</v>
      </c>
      <c r="AR951">
        <v>42759075</v>
      </c>
      <c r="AS951">
        <v>0</v>
      </c>
      <c r="AT951">
        <v>28506485</v>
      </c>
      <c r="AU951">
        <v>42759075</v>
      </c>
      <c r="AV951">
        <v>71265560</v>
      </c>
      <c r="AW951">
        <v>37.365600000000001</v>
      </c>
      <c r="AX951">
        <v>21.333400000000001</v>
      </c>
      <c r="AY951">
        <v>7285.9</v>
      </c>
      <c r="AZ951">
        <v>5589.37</v>
      </c>
      <c r="BA951">
        <v>62876</v>
      </c>
      <c r="BB951">
        <v>61104</v>
      </c>
      <c r="BC951" t="str">
        <f t="shared" si="28"/>
        <v>u=40%, k=2x10^9</v>
      </c>
      <c r="BD951">
        <f t="shared" si="29"/>
        <v>0</v>
      </c>
    </row>
    <row r="952" spans="1:56">
      <c r="A952" t="s">
        <v>1365</v>
      </c>
      <c r="B952" t="s">
        <v>67</v>
      </c>
      <c r="D952" t="s">
        <v>65</v>
      </c>
      <c r="E952" t="s">
        <v>60</v>
      </c>
      <c r="F952" t="s">
        <v>61</v>
      </c>
      <c r="G952">
        <v>30000</v>
      </c>
      <c r="H952">
        <v>20</v>
      </c>
      <c r="I952">
        <v>20</v>
      </c>
      <c r="J952">
        <v>0</v>
      </c>
      <c r="K952">
        <v>1</v>
      </c>
      <c r="L952">
        <v>2000000000</v>
      </c>
      <c r="M952">
        <v>24</v>
      </c>
      <c r="N952">
        <v>24</v>
      </c>
      <c r="O952">
        <v>24</v>
      </c>
      <c r="P952">
        <v>0</v>
      </c>
      <c r="Q952" t="s">
        <v>62</v>
      </c>
      <c r="R952">
        <v>1.00000996901495E+18</v>
      </c>
      <c r="S952">
        <v>1000002259</v>
      </c>
      <c r="T952">
        <v>1.00000996901495E+18</v>
      </c>
      <c r="U952">
        <v>1000002259</v>
      </c>
      <c r="V952" t="s">
        <v>75</v>
      </c>
      <c r="W952">
        <v>37</v>
      </c>
      <c r="X952">
        <v>574894695</v>
      </c>
      <c r="Y952">
        <v>431453935</v>
      </c>
      <c r="Z952">
        <v>1006348630</v>
      </c>
      <c r="AA952">
        <v>1000002259</v>
      </c>
      <c r="AB952">
        <v>1.7504900000000001</v>
      </c>
      <c r="AC952">
        <v>2.3177500000000002</v>
      </c>
      <c r="AD952">
        <v>1.99369</v>
      </c>
      <c r="AE952">
        <v>29.529499999999999</v>
      </c>
      <c r="AF952">
        <v>56355523280</v>
      </c>
      <c r="AJ952" t="s">
        <v>1366</v>
      </c>
      <c r="AM952">
        <v>90436291</v>
      </c>
      <c r="AN952">
        <v>0</v>
      </c>
      <c r="AO952">
        <v>60307515</v>
      </c>
      <c r="AP952">
        <v>90436291</v>
      </c>
      <c r="AQ952">
        <v>150743806</v>
      </c>
      <c r="AR952">
        <v>3014543</v>
      </c>
      <c r="AS952">
        <v>0</v>
      </c>
      <c r="AT952">
        <v>2010250</v>
      </c>
      <c r="AU952">
        <v>3014543</v>
      </c>
      <c r="AV952">
        <v>5024793</v>
      </c>
      <c r="AW952">
        <v>56.559199999999997</v>
      </c>
      <c r="AX952">
        <v>30.390499999999999</v>
      </c>
      <c r="AY952">
        <v>13316.5</v>
      </c>
      <c r="AZ952">
        <v>11525.7</v>
      </c>
      <c r="BA952">
        <v>66056</v>
      </c>
      <c r="BB952">
        <v>273048</v>
      </c>
      <c r="BC952" t="str">
        <f t="shared" si="28"/>
        <v>u=40%, k=2x10^9</v>
      </c>
      <c r="BD952">
        <f t="shared" si="29"/>
        <v>0</v>
      </c>
    </row>
    <row r="953" spans="1:56">
      <c r="A953" t="s">
        <v>1367</v>
      </c>
      <c r="B953" t="s">
        <v>67</v>
      </c>
      <c r="D953" t="s">
        <v>65</v>
      </c>
      <c r="E953" t="s">
        <v>60</v>
      </c>
      <c r="F953" t="s">
        <v>61</v>
      </c>
      <c r="G953">
        <v>30000</v>
      </c>
      <c r="H953">
        <v>20</v>
      </c>
      <c r="I953">
        <v>20</v>
      </c>
      <c r="J953">
        <v>0</v>
      </c>
      <c r="K953">
        <v>1</v>
      </c>
      <c r="L953">
        <v>2000000000</v>
      </c>
      <c r="M953">
        <v>48</v>
      </c>
      <c r="N953">
        <v>48</v>
      </c>
      <c r="O953">
        <v>48</v>
      </c>
      <c r="P953">
        <v>0</v>
      </c>
      <c r="Q953" t="s">
        <v>62</v>
      </c>
      <c r="R953">
        <v>1.00000454779306E+18</v>
      </c>
      <c r="S953">
        <v>1000007152</v>
      </c>
      <c r="T953">
        <v>1.00000454779306E+18</v>
      </c>
      <c r="U953">
        <v>1000007152</v>
      </c>
      <c r="V953" t="s">
        <v>75</v>
      </c>
      <c r="W953">
        <v>37</v>
      </c>
      <c r="X953">
        <v>578048166</v>
      </c>
      <c r="Y953">
        <v>434092587</v>
      </c>
      <c r="Z953">
        <v>1012140753</v>
      </c>
      <c r="AA953">
        <v>1000007152</v>
      </c>
      <c r="AB953">
        <v>1.7509600000000001</v>
      </c>
      <c r="AC953">
        <v>2.3036699999999999</v>
      </c>
      <c r="AD953">
        <v>1.9880100000000001</v>
      </c>
      <c r="AE953">
        <v>29.4709</v>
      </c>
      <c r="AF953">
        <v>56679882168</v>
      </c>
      <c r="AJ953" t="s">
        <v>1368</v>
      </c>
      <c r="AM953">
        <v>175373076</v>
      </c>
      <c r="AN953">
        <v>0</v>
      </c>
      <c r="AO953">
        <v>116930430</v>
      </c>
      <c r="AP953">
        <v>175373076</v>
      </c>
      <c r="AQ953">
        <v>292303506</v>
      </c>
      <c r="AR953">
        <v>5845769</v>
      </c>
      <c r="AS953">
        <v>0</v>
      </c>
      <c r="AT953">
        <v>3897681</v>
      </c>
      <c r="AU953">
        <v>5845769</v>
      </c>
      <c r="AV953">
        <v>9743450</v>
      </c>
      <c r="AW953">
        <v>57.0017</v>
      </c>
      <c r="AX953">
        <v>30.3537</v>
      </c>
      <c r="AY953">
        <v>13732</v>
      </c>
      <c r="AZ953">
        <v>12087.3</v>
      </c>
      <c r="BA953">
        <v>66436</v>
      </c>
      <c r="BB953">
        <v>142612</v>
      </c>
      <c r="BC953" t="str">
        <f t="shared" si="28"/>
        <v>u=40%, k=2x10^9</v>
      </c>
      <c r="BD953">
        <f t="shared" si="29"/>
        <v>0</v>
      </c>
    </row>
    <row r="954" spans="1:56">
      <c r="A954" t="s">
        <v>1369</v>
      </c>
      <c r="B954" t="s">
        <v>67</v>
      </c>
      <c r="D954" t="s">
        <v>65</v>
      </c>
      <c r="E954" t="s">
        <v>60</v>
      </c>
      <c r="F954" t="s">
        <v>61</v>
      </c>
      <c r="G954">
        <v>30000</v>
      </c>
      <c r="H954">
        <v>20</v>
      </c>
      <c r="I954">
        <v>20</v>
      </c>
      <c r="J954">
        <v>0</v>
      </c>
      <c r="K954">
        <v>1</v>
      </c>
      <c r="L954">
        <v>2000000000</v>
      </c>
      <c r="M954">
        <v>96</v>
      </c>
      <c r="N954">
        <v>96</v>
      </c>
      <c r="O954">
        <v>96</v>
      </c>
      <c r="P954">
        <v>0</v>
      </c>
      <c r="Q954" t="s">
        <v>62</v>
      </c>
      <c r="R954">
        <v>1.00000001677487E+18</v>
      </c>
      <c r="S954">
        <v>1000015175</v>
      </c>
      <c r="T954">
        <v>1.00000001677487E+18</v>
      </c>
      <c r="U954">
        <v>1000015175</v>
      </c>
      <c r="V954" t="s">
        <v>75</v>
      </c>
      <c r="W954">
        <v>37</v>
      </c>
      <c r="X954">
        <v>585651435</v>
      </c>
      <c r="Y954">
        <v>440353413</v>
      </c>
      <c r="Z954">
        <v>1026004848</v>
      </c>
      <c r="AA954">
        <v>1000015175</v>
      </c>
      <c r="AB954">
        <v>1.7519</v>
      </c>
      <c r="AC954">
        <v>2.27094</v>
      </c>
      <c r="AD954">
        <v>1.9746699999999999</v>
      </c>
      <c r="AE954">
        <v>29.5975</v>
      </c>
      <c r="AF954">
        <v>57456271488</v>
      </c>
      <c r="AJ954" t="s">
        <v>1370</v>
      </c>
      <c r="AM954">
        <v>390587931</v>
      </c>
      <c r="AN954">
        <v>0</v>
      </c>
      <c r="AO954">
        <v>260343497</v>
      </c>
      <c r="AP954">
        <v>390587931</v>
      </c>
      <c r="AQ954">
        <v>650931428</v>
      </c>
      <c r="AR954">
        <v>13019597</v>
      </c>
      <c r="AS954">
        <v>0</v>
      </c>
      <c r="AT954">
        <v>8678116</v>
      </c>
      <c r="AU954">
        <v>13019597</v>
      </c>
      <c r="AV954">
        <v>21697714</v>
      </c>
      <c r="AW954">
        <v>57.316200000000002</v>
      </c>
      <c r="AX954">
        <v>32.332700000000003</v>
      </c>
      <c r="AY954">
        <v>12318.3</v>
      </c>
      <c r="AZ954">
        <v>10610.8</v>
      </c>
      <c r="BA954">
        <v>67348</v>
      </c>
      <c r="BB954">
        <v>63593</v>
      </c>
      <c r="BC954" t="str">
        <f t="shared" si="28"/>
        <v>u=40%, k=2x10^9</v>
      </c>
      <c r="BD954">
        <f t="shared" si="29"/>
        <v>0</v>
      </c>
    </row>
    <row r="955" spans="1:56">
      <c r="A955" t="s">
        <v>1371</v>
      </c>
      <c r="B955" t="s">
        <v>67</v>
      </c>
      <c r="D955" t="s">
        <v>65</v>
      </c>
      <c r="E955" t="s">
        <v>60</v>
      </c>
      <c r="F955" t="s">
        <v>61</v>
      </c>
      <c r="G955">
        <v>30000</v>
      </c>
      <c r="H955">
        <v>20</v>
      </c>
      <c r="I955">
        <v>20</v>
      </c>
      <c r="J955">
        <v>0</v>
      </c>
      <c r="K955">
        <v>1</v>
      </c>
      <c r="L955">
        <v>2000000000</v>
      </c>
      <c r="M955">
        <v>144</v>
      </c>
      <c r="N955">
        <v>144</v>
      </c>
      <c r="O955">
        <v>144</v>
      </c>
      <c r="P955">
        <v>0</v>
      </c>
      <c r="Q955" t="s">
        <v>62</v>
      </c>
      <c r="R955">
        <v>9.9998399199903501E+17</v>
      </c>
      <c r="S955">
        <v>999993207</v>
      </c>
      <c r="T955">
        <v>9.9998399199903501E+17</v>
      </c>
      <c r="U955">
        <v>999993207</v>
      </c>
      <c r="V955" t="s">
        <v>75</v>
      </c>
      <c r="W955">
        <v>37</v>
      </c>
      <c r="X955">
        <v>592087232</v>
      </c>
      <c r="Y955">
        <v>445627963</v>
      </c>
      <c r="Z955">
        <v>1037715195</v>
      </c>
      <c r="AA955">
        <v>999993207</v>
      </c>
      <c r="AB955">
        <v>1.75264</v>
      </c>
      <c r="AC955">
        <v>2.2440099999999998</v>
      </c>
      <c r="AD955">
        <v>1.9636499999999999</v>
      </c>
      <c r="AE955">
        <v>29.55</v>
      </c>
      <c r="AF955">
        <v>58112050920</v>
      </c>
      <c r="AJ955" t="s">
        <v>1372</v>
      </c>
      <c r="AM955">
        <v>586457271</v>
      </c>
      <c r="AN955">
        <v>0</v>
      </c>
      <c r="AO955">
        <v>390983357</v>
      </c>
      <c r="AP955">
        <v>586457271</v>
      </c>
      <c r="AQ955">
        <v>977440628</v>
      </c>
      <c r="AR955">
        <v>19548575</v>
      </c>
      <c r="AS955">
        <v>0</v>
      </c>
      <c r="AT955">
        <v>13032778</v>
      </c>
      <c r="AU955">
        <v>19548575</v>
      </c>
      <c r="AV955">
        <v>32581354</v>
      </c>
      <c r="AW955">
        <v>57.741900000000001</v>
      </c>
      <c r="AX955">
        <v>32.634399999999999</v>
      </c>
      <c r="AY955">
        <v>12299.7</v>
      </c>
      <c r="AZ955">
        <v>10576.6</v>
      </c>
      <c r="BA955">
        <v>68269</v>
      </c>
      <c r="BB955">
        <v>42633</v>
      </c>
      <c r="BC955" t="str">
        <f t="shared" si="28"/>
        <v>u=40%, k=2x10^9</v>
      </c>
      <c r="BD955">
        <f t="shared" si="29"/>
        <v>0</v>
      </c>
    </row>
    <row r="956" spans="1:56">
      <c r="A956" t="s">
        <v>1373</v>
      </c>
      <c r="B956" t="s">
        <v>67</v>
      </c>
      <c r="D956" t="s">
        <v>65</v>
      </c>
      <c r="E956" t="s">
        <v>60</v>
      </c>
      <c r="F956" t="s">
        <v>61</v>
      </c>
      <c r="G956">
        <v>30000</v>
      </c>
      <c r="H956">
        <v>20</v>
      </c>
      <c r="I956">
        <v>20</v>
      </c>
      <c r="J956">
        <v>0</v>
      </c>
      <c r="K956">
        <v>1</v>
      </c>
      <c r="L956">
        <v>2000000000</v>
      </c>
      <c r="M956">
        <v>190</v>
      </c>
      <c r="N956">
        <v>190</v>
      </c>
      <c r="O956">
        <v>190</v>
      </c>
      <c r="P956">
        <v>0</v>
      </c>
      <c r="Q956" t="s">
        <v>62</v>
      </c>
      <c r="R956">
        <v>1.00002605187151E+18</v>
      </c>
      <c r="S956">
        <v>1000006744</v>
      </c>
      <c r="T956">
        <v>1.00002605187151E+18</v>
      </c>
      <c r="U956">
        <v>1000006744</v>
      </c>
      <c r="V956" t="s">
        <v>75</v>
      </c>
      <c r="W956">
        <v>37</v>
      </c>
      <c r="X956">
        <v>597631261</v>
      </c>
      <c r="Y956">
        <v>450148143</v>
      </c>
      <c r="Z956">
        <v>1047779404</v>
      </c>
      <c r="AA956">
        <v>1000006744</v>
      </c>
      <c r="AB956">
        <v>1.75322</v>
      </c>
      <c r="AC956">
        <v>2.2215099999999999</v>
      </c>
      <c r="AD956">
        <v>1.95441</v>
      </c>
      <c r="AE956">
        <v>29.547599999999999</v>
      </c>
      <c r="AF956">
        <v>58675646624</v>
      </c>
      <c r="AJ956" t="s">
        <v>1374</v>
      </c>
      <c r="AM956">
        <v>766331804</v>
      </c>
      <c r="AN956">
        <v>0</v>
      </c>
      <c r="AO956">
        <v>510917784</v>
      </c>
      <c r="AP956">
        <v>766331804</v>
      </c>
      <c r="AQ956">
        <v>1277249588</v>
      </c>
      <c r="AR956">
        <v>25544393</v>
      </c>
      <c r="AS956">
        <v>0</v>
      </c>
      <c r="AT956">
        <v>17030592</v>
      </c>
      <c r="AU956">
        <v>25544393</v>
      </c>
      <c r="AV956">
        <v>42574986</v>
      </c>
      <c r="AW956">
        <v>58.182000000000002</v>
      </c>
      <c r="AX956">
        <v>32.915599999999998</v>
      </c>
      <c r="AY956">
        <v>12415.7</v>
      </c>
      <c r="AZ956">
        <v>10637.2</v>
      </c>
      <c r="BA956">
        <v>69535</v>
      </c>
      <c r="BB956">
        <v>32973</v>
      </c>
      <c r="BC956" t="str">
        <f t="shared" si="28"/>
        <v>u=40%, k=2x10^9</v>
      </c>
      <c r="BD956">
        <f t="shared" si="29"/>
        <v>0</v>
      </c>
    </row>
    <row r="957" spans="1:56">
      <c r="A957" t="s">
        <v>1375</v>
      </c>
      <c r="B957" t="s">
        <v>68</v>
      </c>
      <c r="D957" t="s">
        <v>65</v>
      </c>
      <c r="E957" t="s">
        <v>60</v>
      </c>
      <c r="F957" t="s">
        <v>61</v>
      </c>
      <c r="G957">
        <v>30000</v>
      </c>
      <c r="H957">
        <v>20</v>
      </c>
      <c r="I957">
        <v>20</v>
      </c>
      <c r="J957">
        <v>0</v>
      </c>
      <c r="K957">
        <v>1</v>
      </c>
      <c r="L957">
        <v>2000000000</v>
      </c>
      <c r="M957">
        <v>24</v>
      </c>
      <c r="N957">
        <v>24</v>
      </c>
      <c r="O957">
        <v>24</v>
      </c>
      <c r="P957">
        <v>0</v>
      </c>
      <c r="Q957" t="s">
        <v>62</v>
      </c>
      <c r="R957">
        <v>1.00001498157463E+18</v>
      </c>
      <c r="S957">
        <v>1000000515</v>
      </c>
      <c r="T957">
        <v>1.00001498157463E+18</v>
      </c>
      <c r="U957">
        <v>1000000515</v>
      </c>
      <c r="V957" t="s">
        <v>75</v>
      </c>
      <c r="W957">
        <v>83</v>
      </c>
      <c r="X957">
        <v>1000000514</v>
      </c>
      <c r="Y957">
        <v>1000000515</v>
      </c>
      <c r="Z957">
        <v>2000001029</v>
      </c>
      <c r="AA957">
        <v>1000000515</v>
      </c>
      <c r="AB957">
        <v>2</v>
      </c>
      <c r="AC957">
        <v>1</v>
      </c>
      <c r="AD957">
        <v>1.5</v>
      </c>
      <c r="AE957">
        <v>41.243400000000001</v>
      </c>
      <c r="AF957">
        <v>64000032928</v>
      </c>
      <c r="AJ957" t="s">
        <v>1376</v>
      </c>
      <c r="AM957">
        <v>75330480</v>
      </c>
      <c r="AN957">
        <v>0</v>
      </c>
      <c r="AO957">
        <v>50216963</v>
      </c>
      <c r="AP957">
        <v>75330480</v>
      </c>
      <c r="AQ957">
        <v>125547443</v>
      </c>
      <c r="AR957">
        <v>2511016</v>
      </c>
      <c r="AS957">
        <v>0</v>
      </c>
      <c r="AT957">
        <v>1673898</v>
      </c>
      <c r="AU957">
        <v>2511016</v>
      </c>
      <c r="AV957">
        <v>4184914</v>
      </c>
      <c r="AW957">
        <v>54.526699999999998</v>
      </c>
      <c r="AX957">
        <v>29.5732</v>
      </c>
      <c r="AY957">
        <v>15998.4</v>
      </c>
      <c r="AZ957">
        <v>14149.7</v>
      </c>
      <c r="BA957">
        <v>65659</v>
      </c>
      <c r="BB957">
        <v>299375</v>
      </c>
      <c r="BC957" t="str">
        <f t="shared" si="28"/>
        <v>u=40%, k=2x10^9</v>
      </c>
      <c r="BD957">
        <f t="shared" si="29"/>
        <v>0</v>
      </c>
    </row>
    <row r="958" spans="1:56">
      <c r="A958" t="s">
        <v>1377</v>
      </c>
      <c r="B958" t="s">
        <v>68</v>
      </c>
      <c r="D958" t="s">
        <v>65</v>
      </c>
      <c r="E958" t="s">
        <v>60</v>
      </c>
      <c r="F958" t="s">
        <v>61</v>
      </c>
      <c r="G958">
        <v>30000</v>
      </c>
      <c r="H958">
        <v>20</v>
      </c>
      <c r="I958">
        <v>20</v>
      </c>
      <c r="J958">
        <v>0</v>
      </c>
      <c r="K958">
        <v>1</v>
      </c>
      <c r="L958">
        <v>2000000000</v>
      </c>
      <c r="M958">
        <v>48</v>
      </c>
      <c r="N958">
        <v>48</v>
      </c>
      <c r="O958">
        <v>48</v>
      </c>
      <c r="P958">
        <v>0</v>
      </c>
      <c r="Q958" t="s">
        <v>62</v>
      </c>
      <c r="R958">
        <v>1.00000389058823E+18</v>
      </c>
      <c r="S958">
        <v>1000001735</v>
      </c>
      <c r="T958">
        <v>1.00000389058823E+18</v>
      </c>
      <c r="U958">
        <v>1000001735</v>
      </c>
      <c r="V958" t="s">
        <v>75</v>
      </c>
      <c r="W958">
        <v>82</v>
      </c>
      <c r="X958">
        <v>1000001734</v>
      </c>
      <c r="Y958">
        <v>1000001735</v>
      </c>
      <c r="Z958">
        <v>2000003469</v>
      </c>
      <c r="AA958">
        <v>1000001735</v>
      </c>
      <c r="AB958">
        <v>2</v>
      </c>
      <c r="AC958">
        <v>1</v>
      </c>
      <c r="AD958">
        <v>1.5</v>
      </c>
      <c r="AE958">
        <v>40.243400000000001</v>
      </c>
      <c r="AF958">
        <v>64000111008</v>
      </c>
      <c r="AJ958" t="s">
        <v>1378</v>
      </c>
      <c r="AM958">
        <v>147512047</v>
      </c>
      <c r="AN958">
        <v>0</v>
      </c>
      <c r="AO958">
        <v>98351813</v>
      </c>
      <c r="AP958">
        <v>147512047</v>
      </c>
      <c r="AQ958">
        <v>245863860</v>
      </c>
      <c r="AR958">
        <v>4917068</v>
      </c>
      <c r="AS958">
        <v>0</v>
      </c>
      <c r="AT958">
        <v>3278393</v>
      </c>
      <c r="AU958">
        <v>4917068</v>
      </c>
      <c r="AV958">
        <v>8195462</v>
      </c>
      <c r="AW958">
        <v>54.472999999999999</v>
      </c>
      <c r="AX958">
        <v>29.501000000000001</v>
      </c>
      <c r="AY958">
        <v>16336.3</v>
      </c>
      <c r="AZ958">
        <v>15015.1</v>
      </c>
      <c r="BA958">
        <v>65695</v>
      </c>
      <c r="BB958">
        <v>153480</v>
      </c>
      <c r="BC958" t="str">
        <f t="shared" si="28"/>
        <v>u=40%, k=2x10^9</v>
      </c>
      <c r="BD958">
        <f t="shared" si="29"/>
        <v>0</v>
      </c>
    </row>
    <row r="959" spans="1:56">
      <c r="A959" t="s">
        <v>1379</v>
      </c>
      <c r="B959" t="s">
        <v>68</v>
      </c>
      <c r="D959" t="s">
        <v>65</v>
      </c>
      <c r="E959" t="s">
        <v>60</v>
      </c>
      <c r="F959" t="s">
        <v>61</v>
      </c>
      <c r="G959">
        <v>30000</v>
      </c>
      <c r="H959">
        <v>20</v>
      </c>
      <c r="I959">
        <v>20</v>
      </c>
      <c r="J959">
        <v>0</v>
      </c>
      <c r="K959">
        <v>1</v>
      </c>
      <c r="L959">
        <v>2000000000</v>
      </c>
      <c r="M959">
        <v>96</v>
      </c>
      <c r="N959">
        <v>96</v>
      </c>
      <c r="O959">
        <v>96</v>
      </c>
      <c r="P959">
        <v>0</v>
      </c>
      <c r="Q959" t="s">
        <v>62</v>
      </c>
      <c r="R959">
        <v>9.9999819310800602E+17</v>
      </c>
      <c r="S959">
        <v>1000005472</v>
      </c>
      <c r="T959">
        <v>9.9999819310800602E+17</v>
      </c>
      <c r="U959">
        <v>1000005472</v>
      </c>
      <c r="V959" t="s">
        <v>75</v>
      </c>
      <c r="W959">
        <v>76</v>
      </c>
      <c r="X959">
        <v>1000005471</v>
      </c>
      <c r="Y959">
        <v>1000005472</v>
      </c>
      <c r="Z959">
        <v>2000010943</v>
      </c>
      <c r="AA959">
        <v>1000005472</v>
      </c>
      <c r="AB959">
        <v>2</v>
      </c>
      <c r="AC959">
        <v>1</v>
      </c>
      <c r="AD959">
        <v>1.5</v>
      </c>
      <c r="AE959">
        <v>40.213799999999999</v>
      </c>
      <c r="AF959">
        <v>64000350176</v>
      </c>
      <c r="AJ959" t="s">
        <v>1380</v>
      </c>
      <c r="AM959">
        <v>328914869</v>
      </c>
      <c r="AN959">
        <v>0</v>
      </c>
      <c r="AO959">
        <v>219253814</v>
      </c>
      <c r="AP959">
        <v>328914869</v>
      </c>
      <c r="AQ959">
        <v>548168683</v>
      </c>
      <c r="AR959">
        <v>10963828</v>
      </c>
      <c r="AS959">
        <v>0</v>
      </c>
      <c r="AT959">
        <v>7308460</v>
      </c>
      <c r="AU959">
        <v>10963828</v>
      </c>
      <c r="AV959">
        <v>18272289</v>
      </c>
      <c r="AW959">
        <v>56.094499999999996</v>
      </c>
      <c r="AX959">
        <v>32.340800000000002</v>
      </c>
      <c r="AY959">
        <v>14635.8</v>
      </c>
      <c r="AZ959">
        <v>13206</v>
      </c>
      <c r="BA959">
        <v>66393</v>
      </c>
      <c r="BB959">
        <v>66412</v>
      </c>
      <c r="BC959" t="str">
        <f t="shared" si="28"/>
        <v>u=40%, k=2x10^9</v>
      </c>
      <c r="BD959">
        <f t="shared" si="29"/>
        <v>0</v>
      </c>
    </row>
    <row r="960" spans="1:56">
      <c r="A960" t="s">
        <v>1381</v>
      </c>
      <c r="B960" t="s">
        <v>68</v>
      </c>
      <c r="D960" t="s">
        <v>65</v>
      </c>
      <c r="E960" t="s">
        <v>60</v>
      </c>
      <c r="F960" t="s">
        <v>61</v>
      </c>
      <c r="G960">
        <v>30000</v>
      </c>
      <c r="H960">
        <v>20</v>
      </c>
      <c r="I960">
        <v>20</v>
      </c>
      <c r="J960">
        <v>0</v>
      </c>
      <c r="K960">
        <v>1</v>
      </c>
      <c r="L960">
        <v>2000000000</v>
      </c>
      <c r="M960">
        <v>144</v>
      </c>
      <c r="N960">
        <v>144</v>
      </c>
      <c r="O960">
        <v>144</v>
      </c>
      <c r="P960">
        <v>0</v>
      </c>
      <c r="Q960" t="s">
        <v>62</v>
      </c>
      <c r="R960">
        <v>1.00002900994442E+18</v>
      </c>
      <c r="S960">
        <v>1000001578</v>
      </c>
      <c r="T960">
        <v>1.00002900994442E+18</v>
      </c>
      <c r="U960">
        <v>1000001578</v>
      </c>
      <c r="V960" t="s">
        <v>75</v>
      </c>
      <c r="W960">
        <v>77</v>
      </c>
      <c r="X960">
        <v>1000001577</v>
      </c>
      <c r="Y960">
        <v>1000001578</v>
      </c>
      <c r="Z960">
        <v>2000003155</v>
      </c>
      <c r="AA960">
        <v>1000001578</v>
      </c>
      <c r="AB960">
        <v>2</v>
      </c>
      <c r="AC960">
        <v>1</v>
      </c>
      <c r="AD960">
        <v>1.5</v>
      </c>
      <c r="AE960">
        <v>40.308700000000002</v>
      </c>
      <c r="AF960">
        <v>64000100960</v>
      </c>
      <c r="AJ960" t="s">
        <v>1382</v>
      </c>
      <c r="AM960">
        <v>483653230</v>
      </c>
      <c r="AN960">
        <v>0</v>
      </c>
      <c r="AO960">
        <v>322407260</v>
      </c>
      <c r="AP960">
        <v>483653230</v>
      </c>
      <c r="AQ960">
        <v>806060490</v>
      </c>
      <c r="AR960">
        <v>16121774</v>
      </c>
      <c r="AS960">
        <v>0</v>
      </c>
      <c r="AT960">
        <v>10746908</v>
      </c>
      <c r="AU960">
        <v>16121774</v>
      </c>
      <c r="AV960">
        <v>26868683</v>
      </c>
      <c r="AW960">
        <v>56.893099999999997</v>
      </c>
      <c r="AX960">
        <v>32.985500000000002</v>
      </c>
      <c r="AY960">
        <v>14922</v>
      </c>
      <c r="AZ960">
        <v>13165.7</v>
      </c>
      <c r="BA960">
        <v>67972</v>
      </c>
      <c r="BB960">
        <v>44071</v>
      </c>
      <c r="BC960" t="str">
        <f t="shared" si="28"/>
        <v>u=40%, k=2x10^9</v>
      </c>
      <c r="BD960">
        <f t="shared" si="29"/>
        <v>0</v>
      </c>
    </row>
    <row r="961" spans="1:56">
      <c r="A961" t="s">
        <v>1383</v>
      </c>
      <c r="B961" t="s">
        <v>68</v>
      </c>
      <c r="D961" t="s">
        <v>65</v>
      </c>
      <c r="E961" t="s">
        <v>60</v>
      </c>
      <c r="F961" t="s">
        <v>61</v>
      </c>
      <c r="G961">
        <v>30000</v>
      </c>
      <c r="H961">
        <v>20</v>
      </c>
      <c r="I961">
        <v>20</v>
      </c>
      <c r="J961">
        <v>0</v>
      </c>
      <c r="K961">
        <v>1</v>
      </c>
      <c r="L961">
        <v>2000000000</v>
      </c>
      <c r="M961">
        <v>190</v>
      </c>
      <c r="N961">
        <v>190</v>
      </c>
      <c r="O961">
        <v>190</v>
      </c>
      <c r="P961">
        <v>0</v>
      </c>
      <c r="Q961" t="s">
        <v>62</v>
      </c>
      <c r="R961">
        <v>1.00004209314665E+18</v>
      </c>
      <c r="S961">
        <v>1000036559</v>
      </c>
      <c r="T961">
        <v>1.00004209314665E+18</v>
      </c>
      <c r="U961">
        <v>1000036559</v>
      </c>
      <c r="V961" t="s">
        <v>75</v>
      </c>
      <c r="W961">
        <v>78</v>
      </c>
      <c r="X961">
        <v>1000036558</v>
      </c>
      <c r="Y961">
        <v>1000036559</v>
      </c>
      <c r="Z961">
        <v>2000073117</v>
      </c>
      <c r="AA961">
        <v>1000036559</v>
      </c>
      <c r="AB961">
        <v>2</v>
      </c>
      <c r="AC961">
        <v>1</v>
      </c>
      <c r="AD961">
        <v>1.5</v>
      </c>
      <c r="AE961">
        <v>40.506799999999998</v>
      </c>
      <c r="AF961">
        <v>64002339744</v>
      </c>
      <c r="AJ961" t="s">
        <v>1384</v>
      </c>
      <c r="AM961">
        <v>613297284</v>
      </c>
      <c r="AN961">
        <v>0</v>
      </c>
      <c r="AO961">
        <v>408853959</v>
      </c>
      <c r="AP961">
        <v>613297284</v>
      </c>
      <c r="AQ961">
        <v>1022151243</v>
      </c>
      <c r="AR961">
        <v>20443242</v>
      </c>
      <c r="AS961">
        <v>0</v>
      </c>
      <c r="AT961">
        <v>13628465</v>
      </c>
      <c r="AU961">
        <v>20443242</v>
      </c>
      <c r="AV961">
        <v>34071708</v>
      </c>
      <c r="AW961">
        <v>57.215899999999998</v>
      </c>
      <c r="AX961">
        <v>33.399000000000001</v>
      </c>
      <c r="AY961">
        <v>15507.5</v>
      </c>
      <c r="AZ961">
        <v>13218.6</v>
      </c>
      <c r="BA961">
        <v>69313</v>
      </c>
      <c r="BB961">
        <v>33723</v>
      </c>
      <c r="BC961" t="str">
        <f t="shared" si="28"/>
        <v>u=40%, k=2x10^9</v>
      </c>
      <c r="BD961">
        <f t="shared" si="29"/>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726</v>
      </c>
      <c r="B4" s="6" t="s">
        <v>18</v>
      </c>
      <c r="Z4" s="2"/>
    </row>
    <row r="5" spans="1:27">
      <c r="A5" s="6" t="s">
        <v>19</v>
      </c>
      <c r="B5" t="s">
        <v>68</v>
      </c>
      <c r="C5" t="s">
        <v>67</v>
      </c>
      <c r="D5" t="s">
        <v>66</v>
      </c>
      <c r="E5" t="s">
        <v>64</v>
      </c>
      <c r="Z5" s="2"/>
    </row>
    <row r="6" spans="1:27">
      <c r="A6" s="7">
        <v>24</v>
      </c>
      <c r="B6" s="8">
        <v>19013.875</v>
      </c>
      <c r="C6" s="8">
        <v>19104.104166666668</v>
      </c>
      <c r="D6" s="8">
        <v>10168.541666666666</v>
      </c>
      <c r="E6" s="8">
        <v>18246.229166666668</v>
      </c>
      <c r="N6" s="2"/>
    </row>
    <row r="7" spans="1:27">
      <c r="A7" s="7">
        <v>48</v>
      </c>
      <c r="B7" s="8">
        <v>19031.291666666668</v>
      </c>
      <c r="C7" s="8">
        <v>19172.958333333332</v>
      </c>
      <c r="D7" s="8">
        <v>10344.645833333334</v>
      </c>
      <c r="E7" s="8">
        <v>18800.6875</v>
      </c>
    </row>
    <row r="8" spans="1:27">
      <c r="A8" s="7">
        <v>96</v>
      </c>
      <c r="B8" s="8">
        <v>19175.354166666668</v>
      </c>
      <c r="C8" s="8">
        <v>19314.75</v>
      </c>
      <c r="D8" s="8">
        <v>11544.8125</v>
      </c>
      <c r="E8" s="8">
        <v>20548.125</v>
      </c>
      <c r="N8" s="2"/>
    </row>
    <row r="9" spans="1:27">
      <c r="A9" s="7">
        <v>144</v>
      </c>
      <c r="B9" s="8">
        <v>19389.3125</v>
      </c>
      <c r="C9" s="8">
        <v>19483.854166666668</v>
      </c>
      <c r="D9" s="8">
        <v>12360.354166666666</v>
      </c>
      <c r="E9" s="8">
        <v>22937.5</v>
      </c>
    </row>
    <row r="10" spans="1:27">
      <c r="A10" s="7">
        <v>190</v>
      </c>
      <c r="B10" s="8">
        <v>19544.104166666668</v>
      </c>
      <c r="C10" s="8">
        <v>19677.9375</v>
      </c>
      <c r="D10" s="8">
        <v>12884.145833333334</v>
      </c>
      <c r="E10" s="8">
        <v>23422.166666666668</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19013.875</v>
      </c>
      <c r="C21" s="8">
        <f t="shared" si="1"/>
        <v>19104.104166666668</v>
      </c>
      <c r="D21" s="8">
        <f t="shared" si="1"/>
        <v>10168.541666666666</v>
      </c>
      <c r="E21" s="8">
        <f t="shared" si="1"/>
        <v>18246.229166666668</v>
      </c>
      <c r="F21" s="8">
        <f t="shared" si="1"/>
        <v>0</v>
      </c>
    </row>
    <row r="22" spans="1:6">
      <c r="A22">
        <f t="shared" ref="A22:F25" si="2">A7</f>
        <v>48</v>
      </c>
      <c r="B22" s="8">
        <f t="shared" si="1"/>
        <v>19031.291666666668</v>
      </c>
      <c r="C22" s="8">
        <f t="shared" si="1"/>
        <v>19172.958333333332</v>
      </c>
      <c r="D22" s="8">
        <f t="shared" si="1"/>
        <v>10344.645833333334</v>
      </c>
      <c r="E22" s="8">
        <f t="shared" si="1"/>
        <v>18800.6875</v>
      </c>
      <c r="F22" s="8">
        <f t="shared" si="1"/>
        <v>0</v>
      </c>
    </row>
    <row r="23" spans="1:6">
      <c r="A23">
        <f t="shared" si="2"/>
        <v>96</v>
      </c>
      <c r="B23" s="8">
        <f t="shared" si="1"/>
        <v>19175.354166666668</v>
      </c>
      <c r="C23" s="8">
        <f t="shared" si="1"/>
        <v>19314.75</v>
      </c>
      <c r="D23" s="8">
        <f t="shared" si="1"/>
        <v>11544.8125</v>
      </c>
      <c r="E23" s="8">
        <f t="shared" si="1"/>
        <v>20548.125</v>
      </c>
      <c r="F23" s="8">
        <f t="shared" si="1"/>
        <v>0</v>
      </c>
    </row>
    <row r="24" spans="1:6">
      <c r="A24">
        <f t="shared" si="2"/>
        <v>144</v>
      </c>
      <c r="B24" s="8">
        <f t="shared" si="2"/>
        <v>19389.3125</v>
      </c>
      <c r="C24" s="8">
        <f t="shared" si="2"/>
        <v>19483.854166666668</v>
      </c>
      <c r="D24" s="8">
        <f t="shared" si="2"/>
        <v>12360.354166666666</v>
      </c>
      <c r="E24" s="8">
        <f t="shared" si="2"/>
        <v>22937.5</v>
      </c>
      <c r="F24" s="8">
        <f t="shared" si="2"/>
        <v>0</v>
      </c>
    </row>
    <row r="25" spans="1:6">
      <c r="A25">
        <f t="shared" si="2"/>
        <v>190</v>
      </c>
      <c r="B25" s="8">
        <f t="shared" si="2"/>
        <v>19544.104166666668</v>
      </c>
      <c r="C25" s="8">
        <f t="shared" si="2"/>
        <v>19677.9375</v>
      </c>
      <c r="D25" s="8">
        <f t="shared" si="2"/>
        <v>12884.145833333334</v>
      </c>
      <c r="E25" s="8">
        <f t="shared" si="2"/>
        <v>23422.166666666668</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728</v>
      </c>
      <c r="B4" s="6" t="s">
        <v>18</v>
      </c>
      <c r="Z4" s="2"/>
    </row>
    <row r="5" spans="1:27">
      <c r="A5" s="6" t="s">
        <v>19</v>
      </c>
      <c r="B5" t="s">
        <v>68</v>
      </c>
      <c r="C5" t="s">
        <v>67</v>
      </c>
      <c r="D5" t="s">
        <v>66</v>
      </c>
      <c r="E5" t="s">
        <v>64</v>
      </c>
      <c r="Z5" s="2"/>
    </row>
    <row r="6" spans="1:27">
      <c r="A6" s="7">
        <v>24</v>
      </c>
      <c r="B6" s="8">
        <v>8599.5364583333339</v>
      </c>
      <c r="C6" s="8">
        <v>7053.1006250000019</v>
      </c>
      <c r="D6" s="8">
        <v>3263.2301458333332</v>
      </c>
      <c r="E6" s="8">
        <v>2484.3211041666659</v>
      </c>
      <c r="N6" s="2"/>
    </row>
    <row r="7" spans="1:27">
      <c r="A7" s="7">
        <v>48</v>
      </c>
      <c r="B7" s="8">
        <v>8887.451041666669</v>
      </c>
      <c r="C7" s="8">
        <v>7432.5427083333352</v>
      </c>
      <c r="D7" s="8">
        <v>3524.6400000000012</v>
      </c>
      <c r="E7" s="8">
        <v>2909.3582291666676</v>
      </c>
    </row>
    <row r="8" spans="1:27">
      <c r="A8" s="7">
        <v>96</v>
      </c>
      <c r="B8" s="8">
        <v>8045.2627083333355</v>
      </c>
      <c r="C8" s="8">
        <v>6865.456666666666</v>
      </c>
      <c r="D8" s="8">
        <v>3391.7914583333331</v>
      </c>
      <c r="E8" s="8">
        <v>3049.1493749999995</v>
      </c>
      <c r="N8" s="2"/>
    </row>
    <row r="9" spans="1:27">
      <c r="A9" s="7">
        <v>144</v>
      </c>
      <c r="B9" s="8">
        <v>8061.6685416666669</v>
      </c>
      <c r="C9" s="8">
        <v>6864.6864583333336</v>
      </c>
      <c r="D9" s="8">
        <v>3517.4131250000005</v>
      </c>
      <c r="E9" s="8">
        <v>3200.6535416666661</v>
      </c>
    </row>
    <row r="10" spans="1:27">
      <c r="A10" s="7">
        <v>190</v>
      </c>
      <c r="B10" s="8">
        <v>8145.046875</v>
      </c>
      <c r="C10" s="8">
        <v>6879.2400000000007</v>
      </c>
      <c r="D10" s="8">
        <v>3704.1704166666659</v>
      </c>
      <c r="E10" s="8">
        <v>3369.2206249999999</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8599.5364583333339</v>
      </c>
      <c r="C21" s="8">
        <f t="shared" si="1"/>
        <v>7053.1006250000019</v>
      </c>
      <c r="D21" s="8">
        <f t="shared" si="1"/>
        <v>3263.2301458333332</v>
      </c>
      <c r="E21" s="8">
        <f t="shared" si="1"/>
        <v>2484.3211041666659</v>
      </c>
      <c r="F21" s="8">
        <f t="shared" si="1"/>
        <v>0</v>
      </c>
    </row>
    <row r="22" spans="1:6">
      <c r="A22">
        <f t="shared" ref="A22:F25" si="2">A7</f>
        <v>48</v>
      </c>
      <c r="B22" s="8">
        <f t="shared" si="1"/>
        <v>8887.451041666669</v>
      </c>
      <c r="C22" s="8">
        <f t="shared" si="1"/>
        <v>7432.5427083333352</v>
      </c>
      <c r="D22" s="8">
        <f t="shared" si="1"/>
        <v>3524.6400000000012</v>
      </c>
      <c r="E22" s="8">
        <f t="shared" si="1"/>
        <v>2909.3582291666676</v>
      </c>
      <c r="F22" s="8">
        <f t="shared" si="1"/>
        <v>0</v>
      </c>
    </row>
    <row r="23" spans="1:6">
      <c r="A23">
        <f t="shared" si="2"/>
        <v>96</v>
      </c>
      <c r="B23" s="8">
        <f t="shared" si="1"/>
        <v>8045.2627083333355</v>
      </c>
      <c r="C23" s="8">
        <f t="shared" si="1"/>
        <v>6865.456666666666</v>
      </c>
      <c r="D23" s="8">
        <f t="shared" si="1"/>
        <v>3391.7914583333331</v>
      </c>
      <c r="E23" s="8">
        <f t="shared" si="1"/>
        <v>3049.1493749999995</v>
      </c>
      <c r="F23" s="8">
        <f t="shared" si="1"/>
        <v>0</v>
      </c>
    </row>
    <row r="24" spans="1:6">
      <c r="A24">
        <f t="shared" si="2"/>
        <v>144</v>
      </c>
      <c r="B24" s="8">
        <f t="shared" si="2"/>
        <v>8061.6685416666669</v>
      </c>
      <c r="C24" s="8">
        <f t="shared" si="2"/>
        <v>6864.6864583333336</v>
      </c>
      <c r="D24" s="8">
        <f t="shared" si="2"/>
        <v>3517.4131250000005</v>
      </c>
      <c r="E24" s="8">
        <f t="shared" si="2"/>
        <v>3200.6535416666661</v>
      </c>
      <c r="F24" s="8">
        <f t="shared" si="2"/>
        <v>0</v>
      </c>
    </row>
    <row r="25" spans="1:6">
      <c r="A25">
        <f t="shared" si="2"/>
        <v>190</v>
      </c>
      <c r="B25" s="8">
        <f t="shared" si="2"/>
        <v>8145.046875</v>
      </c>
      <c r="C25" s="8">
        <f t="shared" si="2"/>
        <v>6879.2400000000007</v>
      </c>
      <c r="D25" s="8">
        <f t="shared" si="2"/>
        <v>3704.1704166666659</v>
      </c>
      <c r="E25" s="8">
        <f t="shared" si="2"/>
        <v>3369.2206249999999</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83"/>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745</v>
      </c>
      <c r="Z2" s="2" t="s">
        <v>0</v>
      </c>
      <c r="AA2" t="s">
        <v>70</v>
      </c>
    </row>
    <row r="3" spans="1:27">
      <c r="Z3" s="2"/>
    </row>
    <row r="4" spans="1:27">
      <c r="A4" s="6" t="s">
        <v>63</v>
      </c>
      <c r="B4" s="6" t="s">
        <v>18</v>
      </c>
      <c r="Z4" s="2"/>
    </row>
    <row r="5" spans="1:27">
      <c r="A5" s="6" t="s">
        <v>19</v>
      </c>
      <c r="B5" t="s">
        <v>68</v>
      </c>
      <c r="C5" t="s">
        <v>67</v>
      </c>
      <c r="D5" t="s">
        <v>66</v>
      </c>
      <c r="E5" t="s">
        <v>64</v>
      </c>
      <c r="Z5" s="2"/>
    </row>
    <row r="6" spans="1:27">
      <c r="A6" s="7">
        <v>24</v>
      </c>
      <c r="B6" s="8">
        <v>4183707.6666666665</v>
      </c>
      <c r="C6" s="8">
        <v>5031939.666666667</v>
      </c>
      <c r="D6" s="8">
        <v>10151451.666666666</v>
      </c>
      <c r="E6" s="8">
        <v>15722722.333333334</v>
      </c>
      <c r="N6" s="2"/>
    </row>
    <row r="7" spans="1:27">
      <c r="A7" s="7">
        <v>48</v>
      </c>
      <c r="B7" s="8">
        <v>8198776.666666667</v>
      </c>
      <c r="C7" s="8">
        <v>9731255.666666666</v>
      </c>
      <c r="D7" s="8">
        <v>19710834.666666668</v>
      </c>
      <c r="E7" s="8">
        <v>27206548.333333332</v>
      </c>
    </row>
    <row r="8" spans="1:27">
      <c r="A8" s="7">
        <v>96</v>
      </c>
      <c r="B8" s="8">
        <v>18277189.666666668</v>
      </c>
      <c r="C8" s="8">
        <v>21726786.666666668</v>
      </c>
      <c r="D8" s="8">
        <v>41946037.333333336</v>
      </c>
      <c r="E8" s="8">
        <v>41666616.333333336</v>
      </c>
      <c r="N8" s="2"/>
    </row>
    <row r="9" spans="1:27">
      <c r="A9" s="7">
        <v>144</v>
      </c>
      <c r="B9" s="8">
        <v>26839966.333333332</v>
      </c>
      <c r="C9" s="8">
        <v>32558929</v>
      </c>
      <c r="D9" s="8">
        <v>58459463.666666664</v>
      </c>
      <c r="E9" s="8">
        <v>66365053.666666664</v>
      </c>
    </row>
    <row r="10" spans="1:27">
      <c r="A10" s="7">
        <v>190</v>
      </c>
      <c r="B10" s="8">
        <v>34101051.666666664</v>
      </c>
      <c r="C10" s="8">
        <v>42649325</v>
      </c>
      <c r="D10" s="8">
        <v>71550592.333333328</v>
      </c>
      <c r="E10" s="8">
        <v>80627490.333333328</v>
      </c>
    </row>
    <row r="13" spans="1:27">
      <c r="O13" s="3"/>
    </row>
    <row r="14" spans="1:27">
      <c r="Z14" s="2"/>
    </row>
    <row r="20" spans="1:6">
      <c r="B20" t="s">
        <v>739</v>
      </c>
      <c r="C20" t="s">
        <v>738</v>
      </c>
      <c r="D20" t="s">
        <v>740</v>
      </c>
      <c r="E20" t="s">
        <v>741</v>
      </c>
      <c r="F20">
        <f t="shared" ref="F20" si="0">F5</f>
        <v>0</v>
      </c>
    </row>
    <row r="21" spans="1:6">
      <c r="A21">
        <f>A6</f>
        <v>24</v>
      </c>
      <c r="B21" s="8">
        <f t="shared" ref="B21:F21" si="1">B6</f>
        <v>4183707.6666666665</v>
      </c>
      <c r="C21" s="8">
        <f t="shared" si="1"/>
        <v>5031939.666666667</v>
      </c>
      <c r="D21" s="8">
        <f t="shared" si="1"/>
        <v>10151451.666666666</v>
      </c>
      <c r="E21" s="8">
        <f t="shared" si="1"/>
        <v>15722722.333333334</v>
      </c>
      <c r="F21" s="8">
        <f t="shared" si="1"/>
        <v>0</v>
      </c>
    </row>
    <row r="22" spans="1:6">
      <c r="A22">
        <f t="shared" ref="A22:F25" si="2">A7</f>
        <v>48</v>
      </c>
      <c r="B22" s="8">
        <f t="shared" ref="B22:F22" si="3">B7</f>
        <v>8198776.666666667</v>
      </c>
      <c r="C22" s="8">
        <f t="shared" si="3"/>
        <v>9731255.666666666</v>
      </c>
      <c r="D22" s="8">
        <f t="shared" si="3"/>
        <v>19710834.666666668</v>
      </c>
      <c r="E22" s="8">
        <f t="shared" si="3"/>
        <v>27206548.333333332</v>
      </c>
      <c r="F22" s="8">
        <f t="shared" si="3"/>
        <v>0</v>
      </c>
    </row>
    <row r="23" spans="1:6">
      <c r="A23">
        <f t="shared" si="2"/>
        <v>96</v>
      </c>
      <c r="B23" s="8">
        <f t="shared" ref="B23:F23" si="4">B8</f>
        <v>18277189.666666668</v>
      </c>
      <c r="C23" s="8">
        <f t="shared" si="4"/>
        <v>21726786.666666668</v>
      </c>
      <c r="D23" s="8">
        <f t="shared" si="4"/>
        <v>41946037.333333336</v>
      </c>
      <c r="E23" s="8">
        <f t="shared" si="4"/>
        <v>41666616.333333336</v>
      </c>
      <c r="F23" s="8">
        <f t="shared" si="4"/>
        <v>0</v>
      </c>
    </row>
    <row r="24" spans="1:6">
      <c r="A24">
        <f t="shared" si="2"/>
        <v>144</v>
      </c>
      <c r="B24" s="8">
        <f t="shared" si="2"/>
        <v>26839966.333333332</v>
      </c>
      <c r="C24" s="8">
        <f t="shared" si="2"/>
        <v>32558929</v>
      </c>
      <c r="D24" s="8">
        <f t="shared" si="2"/>
        <v>58459463.666666664</v>
      </c>
      <c r="E24" s="8">
        <f t="shared" si="2"/>
        <v>66365053.666666664</v>
      </c>
      <c r="F24" s="8">
        <f t="shared" si="2"/>
        <v>0</v>
      </c>
    </row>
    <row r="25" spans="1:6">
      <c r="A25">
        <f t="shared" si="2"/>
        <v>190</v>
      </c>
      <c r="B25" s="8">
        <f t="shared" si="2"/>
        <v>34101051.666666664</v>
      </c>
      <c r="C25" s="8">
        <f t="shared" si="2"/>
        <v>42649325</v>
      </c>
      <c r="D25" s="8">
        <f t="shared" si="2"/>
        <v>71550592.333333328</v>
      </c>
      <c r="E25" s="8">
        <f t="shared" si="2"/>
        <v>80627490.333333328</v>
      </c>
      <c r="F25" s="8">
        <f t="shared" si="2"/>
        <v>0</v>
      </c>
    </row>
    <row r="36" spans="1:5">
      <c r="A36" s="6" t="s">
        <v>69</v>
      </c>
      <c r="B36" t="s">
        <v>745</v>
      </c>
    </row>
    <row r="38" spans="1:5">
      <c r="A38" s="6" t="s">
        <v>743</v>
      </c>
      <c r="B38" s="6" t="s">
        <v>18</v>
      </c>
    </row>
    <row r="39" spans="1:5">
      <c r="A39" s="6" t="s">
        <v>19</v>
      </c>
      <c r="B39" t="s">
        <v>68</v>
      </c>
      <c r="C39" t="s">
        <v>67</v>
      </c>
      <c r="D39" t="s">
        <v>66</v>
      </c>
      <c r="E39" t="s">
        <v>64</v>
      </c>
    </row>
    <row r="40" spans="1:5">
      <c r="A40" s="7">
        <v>24</v>
      </c>
      <c r="B40" s="8">
        <v>4182971</v>
      </c>
      <c r="C40" s="8">
        <v>5024793</v>
      </c>
      <c r="D40" s="8">
        <v>10148106</v>
      </c>
      <c r="E40" s="8">
        <v>15516664</v>
      </c>
    </row>
    <row r="41" spans="1:5">
      <c r="A41" s="7">
        <v>48</v>
      </c>
      <c r="B41" s="8">
        <v>8195462</v>
      </c>
      <c r="C41" s="8">
        <v>9716152</v>
      </c>
      <c r="D41" s="8">
        <v>19654984</v>
      </c>
      <c r="E41" s="8">
        <v>27198937</v>
      </c>
    </row>
    <row r="42" spans="1:5">
      <c r="A42" s="7">
        <v>96</v>
      </c>
      <c r="B42" s="8">
        <v>18272289</v>
      </c>
      <c r="C42" s="8">
        <v>21697714</v>
      </c>
      <c r="D42" s="8">
        <v>41861951</v>
      </c>
      <c r="E42" s="8">
        <v>41665098</v>
      </c>
    </row>
    <row r="43" spans="1:5">
      <c r="A43" s="7">
        <v>144</v>
      </c>
      <c r="B43" s="8">
        <v>26819825</v>
      </c>
      <c r="C43" s="8">
        <v>32515617</v>
      </c>
      <c r="D43" s="8">
        <v>58318260</v>
      </c>
      <c r="E43" s="8">
        <v>65994836</v>
      </c>
    </row>
    <row r="44" spans="1:5">
      <c r="A44" s="7">
        <v>190</v>
      </c>
      <c r="B44" s="8">
        <v>34071708</v>
      </c>
      <c r="C44" s="8">
        <v>42574986</v>
      </c>
      <c r="D44" s="8">
        <v>71265560</v>
      </c>
      <c r="E44" s="8">
        <v>80453253</v>
      </c>
    </row>
    <row r="50" spans="1:6">
      <c r="A50" t="str">
        <f>A39</f>
        <v>Row Labels</v>
      </c>
      <c r="B50" t="str">
        <f t="shared" ref="B50:E50" si="5">B39</f>
        <v>natarajan_ext_bst_lf</v>
      </c>
      <c r="C50" t="str">
        <f t="shared" si="5"/>
        <v>bronson_pext_bst_occ</v>
      </c>
      <c r="D50" t="str">
        <f t="shared" si="5"/>
        <v>brown_ext_abtree_lf</v>
      </c>
      <c r="E50" t="str">
        <f t="shared" si="5"/>
        <v>brown_ext_ist_lf</v>
      </c>
    </row>
    <row r="51" spans="1:6">
      <c r="A51">
        <f t="shared" ref="A51:A56" si="6">A40</f>
        <v>24</v>
      </c>
      <c r="B51" s="8">
        <f>B21-B40</f>
        <v>736.66666666651145</v>
      </c>
      <c r="C51" s="8">
        <f t="shared" ref="C51:E51" si="7">C21-C40</f>
        <v>7146.6666666669771</v>
      </c>
      <c r="D51" s="8">
        <f t="shared" si="7"/>
        <v>3345.6666666660458</v>
      </c>
      <c r="E51" s="8">
        <f t="shared" si="7"/>
        <v>206058.33333333395</v>
      </c>
    </row>
    <row r="52" spans="1:6">
      <c r="A52">
        <f t="shared" si="6"/>
        <v>48</v>
      </c>
      <c r="B52" s="8">
        <f t="shared" ref="B52:E56" si="8">B22-B41</f>
        <v>3314.6666666669771</v>
      </c>
      <c r="C52" s="8">
        <f t="shared" si="8"/>
        <v>15103.666666666046</v>
      </c>
      <c r="D52" s="8">
        <f t="shared" si="8"/>
        <v>55850.666666667908</v>
      </c>
      <c r="E52" s="8">
        <f t="shared" si="8"/>
        <v>7611.3333333320916</v>
      </c>
    </row>
    <row r="53" spans="1:6">
      <c r="A53">
        <f t="shared" si="6"/>
        <v>96</v>
      </c>
      <c r="B53" s="8">
        <f t="shared" si="8"/>
        <v>4900.6666666679084</v>
      </c>
      <c r="C53" s="8">
        <f t="shared" si="8"/>
        <v>29072.666666667908</v>
      </c>
      <c r="D53" s="8">
        <f t="shared" si="8"/>
        <v>84086.333333335817</v>
      </c>
      <c r="E53" s="8">
        <f t="shared" si="8"/>
        <v>1518.3333333358169</v>
      </c>
    </row>
    <row r="54" spans="1:6">
      <c r="A54">
        <f t="shared" si="6"/>
        <v>144</v>
      </c>
      <c r="B54" s="8">
        <f t="shared" si="8"/>
        <v>20141.333333332092</v>
      </c>
      <c r="C54" s="8">
        <f t="shared" si="8"/>
        <v>43312</v>
      </c>
      <c r="D54" s="8">
        <f t="shared" si="8"/>
        <v>141203.66666666418</v>
      </c>
      <c r="E54" s="8">
        <f t="shared" si="8"/>
        <v>370217.66666666418</v>
      </c>
    </row>
    <row r="55" spans="1:6">
      <c r="A55">
        <f t="shared" si="6"/>
        <v>190</v>
      </c>
      <c r="B55" s="8">
        <f t="shared" si="8"/>
        <v>29343.666666664183</v>
      </c>
      <c r="C55" s="8">
        <f t="shared" si="8"/>
        <v>74339</v>
      </c>
      <c r="D55" s="8">
        <f t="shared" si="8"/>
        <v>285032.33333332837</v>
      </c>
      <c r="E55" s="8">
        <f t="shared" si="8"/>
        <v>174237.33333332837</v>
      </c>
      <c r="F55" s="10"/>
    </row>
    <row r="56" spans="1:6">
      <c r="A56">
        <f t="shared" si="6"/>
        <v>0</v>
      </c>
      <c r="B56" s="8">
        <f t="shared" si="8"/>
        <v>0</v>
      </c>
      <c r="C56" s="8">
        <f t="shared" si="8"/>
        <v>0</v>
      </c>
      <c r="D56" s="8">
        <f t="shared" si="8"/>
        <v>0</v>
      </c>
      <c r="E56" s="8">
        <f t="shared" si="8"/>
        <v>0</v>
      </c>
    </row>
    <row r="63" spans="1:6">
      <c r="A63" s="6" t="s">
        <v>69</v>
      </c>
      <c r="B63" t="s">
        <v>745</v>
      </c>
    </row>
    <row r="65" spans="1:5">
      <c r="A65" s="6" t="s">
        <v>744</v>
      </c>
      <c r="B65" s="6" t="s">
        <v>18</v>
      </c>
    </row>
    <row r="66" spans="1:5">
      <c r="A66" s="6" t="s">
        <v>19</v>
      </c>
      <c r="B66" t="s">
        <v>68</v>
      </c>
      <c r="C66" t="s">
        <v>67</v>
      </c>
      <c r="D66" t="s">
        <v>66</v>
      </c>
      <c r="E66" t="s">
        <v>64</v>
      </c>
    </row>
    <row r="67" spans="1:5">
      <c r="A67" s="7">
        <v>24</v>
      </c>
      <c r="B67" s="8">
        <v>4184914</v>
      </c>
      <c r="C67" s="8">
        <v>5038507</v>
      </c>
      <c r="D67" s="8">
        <v>10155535</v>
      </c>
      <c r="E67" s="8">
        <v>15839576</v>
      </c>
    </row>
    <row r="68" spans="1:5">
      <c r="A68" s="7">
        <v>48</v>
      </c>
      <c r="B68" s="8">
        <v>8202584</v>
      </c>
      <c r="C68" s="8">
        <v>9743450</v>
      </c>
      <c r="D68" s="8">
        <v>19753918</v>
      </c>
      <c r="E68" s="8">
        <v>27219685</v>
      </c>
    </row>
    <row r="69" spans="1:5">
      <c r="A69" s="7">
        <v>96</v>
      </c>
      <c r="B69" s="8">
        <v>18283266</v>
      </c>
      <c r="C69" s="8">
        <v>21748333</v>
      </c>
      <c r="D69" s="8">
        <v>42028239</v>
      </c>
      <c r="E69" s="8">
        <v>41668436</v>
      </c>
    </row>
    <row r="70" spans="1:5">
      <c r="A70" s="7">
        <v>144</v>
      </c>
      <c r="B70" s="8">
        <v>26868683</v>
      </c>
      <c r="C70" s="8">
        <v>32581354</v>
      </c>
      <c r="D70" s="8">
        <v>58599885</v>
      </c>
      <c r="E70" s="8">
        <v>66618891</v>
      </c>
    </row>
    <row r="71" spans="1:5">
      <c r="A71" s="7">
        <v>190</v>
      </c>
      <c r="B71" s="8">
        <v>34121748</v>
      </c>
      <c r="C71" s="8">
        <v>42705064</v>
      </c>
      <c r="D71" s="8">
        <v>71775359</v>
      </c>
      <c r="E71" s="8">
        <v>80747818</v>
      </c>
    </row>
    <row r="77" spans="1:5">
      <c r="A77" t="str">
        <f>A66</f>
        <v>Row Labels</v>
      </c>
      <c r="B77" t="str">
        <f t="shared" ref="B77:E77" si="9">B66</f>
        <v>natarajan_ext_bst_lf</v>
      </c>
      <c r="C77" t="str">
        <f t="shared" si="9"/>
        <v>bronson_pext_bst_occ</v>
      </c>
      <c r="D77" t="str">
        <f t="shared" si="9"/>
        <v>brown_ext_abtree_lf</v>
      </c>
      <c r="E77" t="str">
        <f t="shared" si="9"/>
        <v>brown_ext_ist_lf</v>
      </c>
    </row>
    <row r="78" spans="1:5">
      <c r="A78">
        <f t="shared" ref="A78:A83" si="10">A67</f>
        <v>24</v>
      </c>
      <c r="B78" s="8">
        <f t="shared" ref="B78:D81" si="11">B67-B21</f>
        <v>1206.3333333334886</v>
      </c>
      <c r="C78" s="8">
        <f t="shared" si="11"/>
        <v>6567.3333333330229</v>
      </c>
      <c r="D78" s="8">
        <f t="shared" si="11"/>
        <v>4083.3333333339542</v>
      </c>
      <c r="E78" s="8">
        <f t="shared" ref="E78:E81" si="12">E67-E21</f>
        <v>116853.66666666605</v>
      </c>
    </row>
    <row r="79" spans="1:5">
      <c r="A79">
        <f t="shared" si="10"/>
        <v>48</v>
      </c>
      <c r="B79" s="8">
        <f t="shared" si="11"/>
        <v>3807.3333333330229</v>
      </c>
      <c r="C79" s="8">
        <f t="shared" si="11"/>
        <v>12194.333333333954</v>
      </c>
      <c r="D79" s="8">
        <f t="shared" si="11"/>
        <v>43083.333333332092</v>
      </c>
      <c r="E79" s="8">
        <f t="shared" si="12"/>
        <v>13136.666666667908</v>
      </c>
    </row>
    <row r="80" spans="1:5">
      <c r="A80">
        <f t="shared" si="10"/>
        <v>96</v>
      </c>
      <c r="B80" s="8">
        <f t="shared" si="11"/>
        <v>6076.3333333320916</v>
      </c>
      <c r="C80" s="8">
        <f t="shared" si="11"/>
        <v>21546.333333332092</v>
      </c>
      <c r="D80" s="8">
        <f t="shared" si="11"/>
        <v>82201.666666664183</v>
      </c>
      <c r="E80" s="8">
        <f t="shared" si="12"/>
        <v>1819.6666666641831</v>
      </c>
    </row>
    <row r="81" spans="1:5">
      <c r="A81">
        <f t="shared" si="10"/>
        <v>144</v>
      </c>
      <c r="B81" s="8">
        <f t="shared" si="11"/>
        <v>28716.666666667908</v>
      </c>
      <c r="C81" s="8">
        <f t="shared" si="11"/>
        <v>22425</v>
      </c>
      <c r="D81" s="8">
        <f t="shared" si="11"/>
        <v>140421.33333333582</v>
      </c>
      <c r="E81" s="8">
        <f t="shared" si="12"/>
        <v>253837.33333333582</v>
      </c>
    </row>
    <row r="82" spans="1:5">
      <c r="A82">
        <f>A71</f>
        <v>190</v>
      </c>
      <c r="B82" s="8">
        <f t="shared" ref="B82:D82" si="13">B71-B25</f>
        <v>20696.333333335817</v>
      </c>
      <c r="C82" s="8">
        <f t="shared" si="13"/>
        <v>55739</v>
      </c>
      <c r="D82" s="8">
        <f t="shared" si="13"/>
        <v>224766.66666667163</v>
      </c>
      <c r="E82" s="8">
        <f>E71-E25</f>
        <v>120327.66666667163</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64"/>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745</v>
      </c>
      <c r="Z2" s="2" t="s">
        <v>0</v>
      </c>
      <c r="AA2" t="s">
        <v>70</v>
      </c>
    </row>
    <row r="3" spans="1:27">
      <c r="Z3" s="2" t="s">
        <v>1385</v>
      </c>
      <c r="AA3" t="s">
        <v>1397</v>
      </c>
    </row>
    <row r="4" spans="1:27">
      <c r="A4" s="6" t="s">
        <v>727</v>
      </c>
      <c r="B4" s="6" t="s">
        <v>18</v>
      </c>
      <c r="Z4" s="2" t="s">
        <v>1386</v>
      </c>
      <c r="AA4" t="s">
        <v>1396</v>
      </c>
    </row>
    <row r="5" spans="1:27">
      <c r="A5" s="6" t="s">
        <v>19</v>
      </c>
      <c r="B5" t="s">
        <v>68</v>
      </c>
      <c r="C5" t="s">
        <v>67</v>
      </c>
      <c r="D5" t="s">
        <v>66</v>
      </c>
      <c r="E5" t="s">
        <v>64</v>
      </c>
      <c r="Z5" s="2"/>
    </row>
    <row r="6" spans="1:27">
      <c r="A6" s="7">
        <v>24</v>
      </c>
      <c r="B6" s="9">
        <v>29.576666666666664</v>
      </c>
      <c r="C6" s="9">
        <v>30.424633333333333</v>
      </c>
      <c r="D6" s="9">
        <v>18.5063</v>
      </c>
      <c r="E6" s="9">
        <v>14.868833333333335</v>
      </c>
      <c r="N6" s="2"/>
    </row>
    <row r="7" spans="1:27">
      <c r="A7" s="7">
        <v>48</v>
      </c>
      <c r="B7" s="9">
        <v>29.465199999999999</v>
      </c>
      <c r="C7" s="9">
        <v>30.403000000000002</v>
      </c>
      <c r="D7" s="9">
        <v>18.1038</v>
      </c>
      <c r="E7" s="9">
        <v>15.3665</v>
      </c>
    </row>
    <row r="8" spans="1:27">
      <c r="A8" s="7">
        <v>96</v>
      </c>
      <c r="B8" s="9">
        <v>32.334533333333333</v>
      </c>
      <c r="C8" s="9">
        <v>32.380400000000002</v>
      </c>
      <c r="D8" s="9">
        <v>19.690066666666663</v>
      </c>
      <c r="E8" s="9">
        <v>20.431366666666666</v>
      </c>
      <c r="N8" s="2"/>
    </row>
    <row r="9" spans="1:27">
      <c r="A9" s="7">
        <v>144</v>
      </c>
      <c r="B9" s="9">
        <v>33.000466666666661</v>
      </c>
      <c r="C9" s="9">
        <v>32.685699999999997</v>
      </c>
      <c r="D9" s="9">
        <v>20.689933333333332</v>
      </c>
      <c r="E9" s="9">
        <v>19.29856666666667</v>
      </c>
    </row>
    <row r="10" spans="1:27">
      <c r="A10" s="7">
        <v>190</v>
      </c>
      <c r="B10" s="9">
        <v>33.398933333333339</v>
      </c>
      <c r="C10" s="9">
        <v>32.953533333333333</v>
      </c>
      <c r="D10" s="9">
        <v>21.352933333333336</v>
      </c>
      <c r="E10" s="9">
        <v>19.670399999999997</v>
      </c>
    </row>
    <row r="13" spans="1:27">
      <c r="O13" s="3"/>
    </row>
    <row r="14" spans="1:27">
      <c r="Z14" s="2"/>
    </row>
    <row r="20" spans="1:6">
      <c r="B20" t="s">
        <v>739</v>
      </c>
      <c r="C20" t="s">
        <v>738</v>
      </c>
      <c r="D20" t="s">
        <v>740</v>
      </c>
      <c r="E20" t="s">
        <v>741</v>
      </c>
    </row>
    <row r="21" spans="1:6">
      <c r="A21">
        <f>A6</f>
        <v>24</v>
      </c>
      <c r="B21" s="9">
        <f t="shared" ref="B21:E23" si="0">B6</f>
        <v>29.576666666666664</v>
      </c>
      <c r="C21" s="9">
        <f t="shared" si="0"/>
        <v>30.424633333333333</v>
      </c>
      <c r="D21" s="9">
        <f t="shared" si="0"/>
        <v>18.5063</v>
      </c>
      <c r="E21" s="9">
        <f t="shared" si="0"/>
        <v>14.868833333333335</v>
      </c>
      <c r="F21" s="8"/>
    </row>
    <row r="22" spans="1:6">
      <c r="A22">
        <f t="shared" ref="A22:E25" si="1">A7</f>
        <v>48</v>
      </c>
      <c r="B22" s="9">
        <f t="shared" si="0"/>
        <v>29.465199999999999</v>
      </c>
      <c r="C22" s="9">
        <f t="shared" si="0"/>
        <v>30.403000000000002</v>
      </c>
      <c r="D22" s="9">
        <f t="shared" si="0"/>
        <v>18.1038</v>
      </c>
      <c r="E22" s="9">
        <f t="shared" si="0"/>
        <v>15.3665</v>
      </c>
      <c r="F22" s="8"/>
    </row>
    <row r="23" spans="1:6">
      <c r="A23">
        <f t="shared" si="1"/>
        <v>96</v>
      </c>
      <c r="B23" s="9">
        <f t="shared" si="0"/>
        <v>32.334533333333333</v>
      </c>
      <c r="C23" s="9">
        <f t="shared" si="0"/>
        <v>32.380400000000002</v>
      </c>
      <c r="D23" s="9">
        <f t="shared" si="0"/>
        <v>19.690066666666663</v>
      </c>
      <c r="E23" s="9">
        <f t="shared" si="0"/>
        <v>20.431366666666666</v>
      </c>
      <c r="F23" s="8"/>
    </row>
    <row r="24" spans="1:6">
      <c r="A24">
        <f t="shared" si="1"/>
        <v>144</v>
      </c>
      <c r="B24" s="9">
        <f t="shared" si="1"/>
        <v>33.000466666666661</v>
      </c>
      <c r="C24" s="9">
        <f t="shared" si="1"/>
        <v>32.685699999999997</v>
      </c>
      <c r="D24" s="9">
        <f t="shared" si="1"/>
        <v>20.689933333333332</v>
      </c>
      <c r="E24" s="9">
        <f t="shared" si="1"/>
        <v>19.29856666666667</v>
      </c>
      <c r="F24" s="8"/>
    </row>
    <row r="25" spans="1:6">
      <c r="A25">
        <f t="shared" si="1"/>
        <v>190</v>
      </c>
      <c r="B25" s="9">
        <f t="shared" si="1"/>
        <v>33.398933333333339</v>
      </c>
      <c r="C25" s="9">
        <f t="shared" si="1"/>
        <v>32.953533333333333</v>
      </c>
      <c r="D25" s="9">
        <f t="shared" si="1"/>
        <v>21.352933333333336</v>
      </c>
      <c r="E25" s="9">
        <f t="shared" si="1"/>
        <v>19.670399999999997</v>
      </c>
      <c r="F25" s="8"/>
    </row>
    <row r="44" spans="1:33">
      <c r="A44" s="6" t="s">
        <v>69</v>
      </c>
      <c r="B44" t="s">
        <v>745</v>
      </c>
      <c r="E44" s="1" t="s">
        <v>1390</v>
      </c>
      <c r="AC44" s="6" t="s">
        <v>69</v>
      </c>
      <c r="AD44" t="s">
        <v>745</v>
      </c>
      <c r="AG44" s="1" t="s">
        <v>1391</v>
      </c>
    </row>
    <row r="46" spans="1:33">
      <c r="A46" s="6" t="s">
        <v>1394</v>
      </c>
      <c r="B46" s="6" t="s">
        <v>18</v>
      </c>
      <c r="AC46" s="6" t="s">
        <v>1395</v>
      </c>
      <c r="AD46" s="6" t="s">
        <v>18</v>
      </c>
    </row>
    <row r="47" spans="1:33">
      <c r="A47" s="6" t="s">
        <v>19</v>
      </c>
      <c r="B47" t="s">
        <v>68</v>
      </c>
      <c r="C47" t="s">
        <v>67</v>
      </c>
      <c r="D47" t="s">
        <v>66</v>
      </c>
      <c r="E47" t="s">
        <v>64</v>
      </c>
      <c r="AC47" s="6" t="s">
        <v>19</v>
      </c>
      <c r="AD47" t="s">
        <v>68</v>
      </c>
      <c r="AE47" t="s">
        <v>67</v>
      </c>
      <c r="AF47" t="s">
        <v>66</v>
      </c>
      <c r="AG47" t="s">
        <v>64</v>
      </c>
    </row>
    <row r="48" spans="1:33">
      <c r="A48" s="7">
        <v>24</v>
      </c>
      <c r="B48" s="9">
        <v>29.5732</v>
      </c>
      <c r="C48" s="9">
        <v>30.390499999999999</v>
      </c>
      <c r="D48" s="9">
        <v>18.491199999999999</v>
      </c>
      <c r="E48" s="9">
        <v>14.8575</v>
      </c>
      <c r="AC48" s="7">
        <v>24</v>
      </c>
      <c r="AD48" s="9">
        <v>29.579799999999999</v>
      </c>
      <c r="AE48" s="9">
        <v>30.451899999999998</v>
      </c>
      <c r="AF48" s="9">
        <v>18.514099999999999</v>
      </c>
      <c r="AG48" s="9">
        <v>14.883800000000001</v>
      </c>
    </row>
    <row r="49" spans="1:33">
      <c r="A49" s="7">
        <v>48</v>
      </c>
      <c r="B49" s="9">
        <v>29.442699999999999</v>
      </c>
      <c r="C49" s="9">
        <v>30.3537</v>
      </c>
      <c r="D49" s="9">
        <v>18.093599999999999</v>
      </c>
      <c r="E49" s="9">
        <v>15.360200000000001</v>
      </c>
      <c r="AC49" s="7">
        <v>48</v>
      </c>
      <c r="AD49" s="9">
        <v>29.501000000000001</v>
      </c>
      <c r="AE49" s="9">
        <v>30.427900000000001</v>
      </c>
      <c r="AF49" s="9">
        <v>18.116099999999999</v>
      </c>
      <c r="AG49" s="9">
        <v>15.3734</v>
      </c>
    </row>
    <row r="50" spans="1:33">
      <c r="A50" s="7">
        <v>96</v>
      </c>
      <c r="B50" s="9">
        <v>32.312399999999997</v>
      </c>
      <c r="C50" s="9">
        <v>32.332700000000003</v>
      </c>
      <c r="D50" s="9">
        <v>19.677199999999999</v>
      </c>
      <c r="E50" s="9">
        <v>20.4086</v>
      </c>
      <c r="AC50" s="7">
        <v>96</v>
      </c>
      <c r="AD50" s="9">
        <v>32.3504</v>
      </c>
      <c r="AE50" s="9">
        <v>32.405999999999999</v>
      </c>
      <c r="AF50" s="9">
        <v>19.703499999999998</v>
      </c>
      <c r="AG50" s="9">
        <v>20.446899999999999</v>
      </c>
    </row>
    <row r="51" spans="1:33">
      <c r="A51" s="7">
        <v>144</v>
      </c>
      <c r="B51" s="9">
        <v>32.985500000000002</v>
      </c>
      <c r="C51" s="9">
        <v>32.634399999999999</v>
      </c>
      <c r="D51" s="9">
        <v>20.6722</v>
      </c>
      <c r="E51" s="9">
        <v>19.284700000000001</v>
      </c>
      <c r="AC51" s="7">
        <v>144</v>
      </c>
      <c r="AD51" s="9">
        <v>33.011000000000003</v>
      </c>
      <c r="AE51" s="9">
        <v>32.714599999999997</v>
      </c>
      <c r="AF51" s="9">
        <v>20.706199999999999</v>
      </c>
      <c r="AG51" s="9">
        <v>19.315899999999999</v>
      </c>
    </row>
    <row r="52" spans="1:33">
      <c r="A52" s="7">
        <v>190</v>
      </c>
      <c r="B52" s="9">
        <v>33.3857</v>
      </c>
      <c r="C52" s="9">
        <v>32.915599999999998</v>
      </c>
      <c r="D52" s="9">
        <v>21.333400000000001</v>
      </c>
      <c r="E52" s="9">
        <v>19.6494</v>
      </c>
      <c r="AC52" s="7">
        <v>190</v>
      </c>
      <c r="AD52" s="9">
        <v>33.412100000000002</v>
      </c>
      <c r="AE52" s="9">
        <v>32.977600000000002</v>
      </c>
      <c r="AF52" s="9">
        <v>21.3794</v>
      </c>
      <c r="AG52" s="9">
        <v>19.6968</v>
      </c>
    </row>
    <row r="60" spans="1:33">
      <c r="B60" s="9">
        <f>B21-B48</f>
        <v>3.4666666666645085E-3</v>
      </c>
      <c r="C60" s="9">
        <f t="shared" ref="C60:E60" si="2">C21-C48</f>
        <v>3.4133333333333127E-2</v>
      </c>
      <c r="D60" s="9">
        <f t="shared" si="2"/>
        <v>1.5100000000000335E-2</v>
      </c>
      <c r="E60" s="9">
        <f t="shared" si="2"/>
        <v>1.133333333333475E-2</v>
      </c>
      <c r="AD60" s="9">
        <f>AD48-B21</f>
        <v>3.1333333333343205E-3</v>
      </c>
      <c r="AE60" s="9">
        <f t="shared" ref="AE60:AG60" si="3">AE48-C21</f>
        <v>2.7266666666665884E-2</v>
      </c>
      <c r="AF60" s="9">
        <f t="shared" si="3"/>
        <v>7.799999999999585E-3</v>
      </c>
      <c r="AG60" s="9">
        <f t="shared" si="3"/>
        <v>1.4966666666666129E-2</v>
      </c>
    </row>
    <row r="61" spans="1:33">
      <c r="B61" s="9">
        <f t="shared" ref="B61:E61" si="4">B22-B49</f>
        <v>2.2500000000000853E-2</v>
      </c>
      <c r="C61" s="9">
        <f t="shared" si="4"/>
        <v>4.9300000000002342E-2</v>
      </c>
      <c r="D61" s="9">
        <f t="shared" si="4"/>
        <v>1.0200000000001097E-2</v>
      </c>
      <c r="E61" s="9">
        <f t="shared" si="4"/>
        <v>6.2999999999995282E-3</v>
      </c>
      <c r="AD61" s="9">
        <f t="shared" ref="AD61:AD64" si="5">AD49-B22</f>
        <v>3.580000000000183E-2</v>
      </c>
      <c r="AE61" s="9">
        <f t="shared" ref="AE61:AE64" si="6">AE49-C22</f>
        <v>2.4899999999998812E-2</v>
      </c>
      <c r="AF61" s="9">
        <f t="shared" ref="AF61:AF64" si="7">AF49-D22</f>
        <v>1.2299999999999756E-2</v>
      </c>
      <c r="AG61" s="9">
        <f t="shared" ref="AG61:AG64" si="8">AG49-E22</f>
        <v>6.8999999999999062E-3</v>
      </c>
    </row>
    <row r="62" spans="1:33">
      <c r="B62" s="9">
        <f t="shared" ref="B62:E62" si="9">B23-B50</f>
        <v>2.2133333333336225E-2</v>
      </c>
      <c r="C62" s="9">
        <f t="shared" si="9"/>
        <v>4.7699999999998965E-2</v>
      </c>
      <c r="D62" s="9">
        <f t="shared" si="9"/>
        <v>1.2866666666663917E-2</v>
      </c>
      <c r="E62" s="9">
        <f t="shared" si="9"/>
        <v>2.2766666666665714E-2</v>
      </c>
      <c r="AD62" s="9">
        <f t="shared" si="5"/>
        <v>1.5866666666667584E-2</v>
      </c>
      <c r="AE62" s="9">
        <f t="shared" si="6"/>
        <v>2.5599999999997181E-2</v>
      </c>
      <c r="AF62" s="9">
        <f t="shared" si="7"/>
        <v>1.3433333333335185E-2</v>
      </c>
      <c r="AG62" s="9">
        <f t="shared" si="8"/>
        <v>1.5533333333333843E-2</v>
      </c>
    </row>
    <row r="63" spans="1:33">
      <c r="B63" s="9">
        <f t="shared" ref="B63:E63" si="10">B24-B51</f>
        <v>1.4966666666659023E-2</v>
      </c>
      <c r="C63" s="9">
        <f t="shared" si="10"/>
        <v>5.1299999999997681E-2</v>
      </c>
      <c r="D63" s="9">
        <f t="shared" si="10"/>
        <v>1.7733333333332268E-2</v>
      </c>
      <c r="E63" s="9">
        <f t="shared" si="10"/>
        <v>1.3866666666668692E-2</v>
      </c>
      <c r="AD63" s="9">
        <f t="shared" si="5"/>
        <v>1.0533333333341943E-2</v>
      </c>
      <c r="AE63" s="9">
        <f t="shared" si="6"/>
        <v>2.8900000000000148E-2</v>
      </c>
      <c r="AF63" s="9">
        <f t="shared" si="7"/>
        <v>1.6266666666666652E-2</v>
      </c>
      <c r="AG63" s="9">
        <f t="shared" si="8"/>
        <v>1.7333333333329648E-2</v>
      </c>
    </row>
    <row r="64" spans="1:33">
      <c r="B64" s="9">
        <f t="shared" ref="B64:E64" si="11">B25-B52</f>
        <v>1.3233333333339203E-2</v>
      </c>
      <c r="C64" s="9">
        <f t="shared" si="11"/>
        <v>3.7933333333334929E-2</v>
      </c>
      <c r="D64" s="9">
        <f t="shared" si="11"/>
        <v>1.9533333333335179E-2</v>
      </c>
      <c r="E64" s="9">
        <f t="shared" si="11"/>
        <v>2.0999999999997243E-2</v>
      </c>
      <c r="AD64" s="9">
        <f t="shared" si="5"/>
        <v>1.3166666666663218E-2</v>
      </c>
      <c r="AE64" s="9">
        <f t="shared" si="6"/>
        <v>2.4066666666669789E-2</v>
      </c>
      <c r="AF64" s="9">
        <f t="shared" si="7"/>
        <v>2.6466666666664196E-2</v>
      </c>
      <c r="AG64" s="9">
        <f t="shared" si="8"/>
        <v>2.6400000000002422E-2</v>
      </c>
    </row>
  </sheetData>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730</v>
      </c>
      <c r="B4" s="6" t="s">
        <v>18</v>
      </c>
      <c r="Z4" s="2"/>
    </row>
    <row r="5" spans="1:27">
      <c r="A5" s="6" t="s">
        <v>19</v>
      </c>
      <c r="B5" t="s">
        <v>68</v>
      </c>
      <c r="C5" t="s">
        <v>67</v>
      </c>
      <c r="D5" t="s">
        <v>66</v>
      </c>
      <c r="E5" t="s">
        <v>64</v>
      </c>
      <c r="Z5" s="2"/>
    </row>
    <row r="6" spans="1:27">
      <c r="A6" s="7">
        <v>24</v>
      </c>
      <c r="B6" s="8">
        <v>65.541666666666671</v>
      </c>
      <c r="C6" s="8">
        <v>31</v>
      </c>
      <c r="D6" s="8">
        <v>9.7291666666666661</v>
      </c>
      <c r="E6" s="8">
        <v>6.5</v>
      </c>
      <c r="N6" s="2"/>
    </row>
    <row r="7" spans="1:27">
      <c r="A7" s="7">
        <v>48</v>
      </c>
      <c r="B7" s="8">
        <v>64.458333333333329</v>
      </c>
      <c r="C7" s="8">
        <v>30.979166666666668</v>
      </c>
      <c r="D7" s="8">
        <v>9.8125</v>
      </c>
      <c r="E7" s="8">
        <v>6.5</v>
      </c>
    </row>
    <row r="8" spans="1:27">
      <c r="A8" s="7">
        <v>96</v>
      </c>
      <c r="B8" s="8">
        <v>64.729166666666671</v>
      </c>
      <c r="C8" s="8">
        <v>30.979166666666668</v>
      </c>
      <c r="D8" s="8">
        <v>9.8333333333333339</v>
      </c>
      <c r="E8" s="8">
        <v>6.5</v>
      </c>
      <c r="N8" s="2"/>
    </row>
    <row r="9" spans="1:27">
      <c r="A9" s="7">
        <v>144</v>
      </c>
      <c r="B9" s="8">
        <v>64.729166666666671</v>
      </c>
      <c r="C9" s="8">
        <v>30.979166666666668</v>
      </c>
      <c r="D9" s="8">
        <v>9.7916666666666661</v>
      </c>
      <c r="E9" s="8">
        <v>6.5</v>
      </c>
    </row>
    <row r="10" spans="1:27">
      <c r="A10" s="7">
        <v>190</v>
      </c>
      <c r="B10" s="8">
        <v>64.6875</v>
      </c>
      <c r="C10" s="8">
        <v>31</v>
      </c>
      <c r="D10" s="8">
        <v>9.8333333333333339</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65.541666666666671</v>
      </c>
      <c r="C21" s="8">
        <f t="shared" si="1"/>
        <v>31</v>
      </c>
      <c r="D21" s="8">
        <f t="shared" si="1"/>
        <v>9.7291666666666661</v>
      </c>
      <c r="E21" s="8">
        <f t="shared" si="1"/>
        <v>6.5</v>
      </c>
      <c r="F21" s="8">
        <f t="shared" si="1"/>
        <v>0</v>
      </c>
    </row>
    <row r="22" spans="1:6">
      <c r="A22">
        <f t="shared" ref="A22:F25" si="2">A7</f>
        <v>48</v>
      </c>
      <c r="B22" s="8">
        <f t="shared" si="1"/>
        <v>64.458333333333329</v>
      </c>
      <c r="C22" s="8">
        <f t="shared" si="1"/>
        <v>30.979166666666668</v>
      </c>
      <c r="D22" s="8">
        <f t="shared" si="1"/>
        <v>9.8125</v>
      </c>
      <c r="E22" s="8">
        <f t="shared" si="1"/>
        <v>6.5</v>
      </c>
      <c r="F22" s="8">
        <f t="shared" si="1"/>
        <v>0</v>
      </c>
    </row>
    <row r="23" spans="1:6">
      <c r="A23">
        <f t="shared" si="2"/>
        <v>96</v>
      </c>
      <c r="B23" s="8">
        <f t="shared" si="1"/>
        <v>64.729166666666671</v>
      </c>
      <c r="C23" s="8">
        <f t="shared" si="1"/>
        <v>30.979166666666668</v>
      </c>
      <c r="D23" s="8">
        <f t="shared" si="1"/>
        <v>9.8333333333333339</v>
      </c>
      <c r="E23" s="8">
        <f t="shared" si="1"/>
        <v>6.5</v>
      </c>
      <c r="F23" s="8">
        <f t="shared" si="1"/>
        <v>0</v>
      </c>
    </row>
    <row r="24" spans="1:6">
      <c r="A24">
        <f t="shared" si="2"/>
        <v>144</v>
      </c>
      <c r="B24" s="8">
        <f t="shared" si="2"/>
        <v>64.729166666666671</v>
      </c>
      <c r="C24" s="8">
        <f t="shared" si="2"/>
        <v>30.979166666666668</v>
      </c>
      <c r="D24" s="8">
        <f t="shared" si="2"/>
        <v>9.7916666666666661</v>
      </c>
      <c r="E24" s="8">
        <f t="shared" si="2"/>
        <v>6.5</v>
      </c>
      <c r="F24" s="8">
        <f t="shared" si="2"/>
        <v>0</v>
      </c>
    </row>
    <row r="25" spans="1:6">
      <c r="A25">
        <f t="shared" si="2"/>
        <v>190</v>
      </c>
      <c r="B25" s="8">
        <f t="shared" si="2"/>
        <v>64.6875</v>
      </c>
      <c r="C25" s="8">
        <f t="shared" si="2"/>
        <v>31</v>
      </c>
      <c r="D25" s="8">
        <f t="shared" si="2"/>
        <v>9.8333333333333339</v>
      </c>
      <c r="E25" s="8">
        <f t="shared" si="2"/>
        <v>6.5</v>
      </c>
      <c r="F25" s="8">
        <f t="shared" si="2"/>
        <v>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732</v>
      </c>
      <c r="B4" s="6" t="s">
        <v>18</v>
      </c>
      <c r="Z4" s="2"/>
    </row>
    <row r="5" spans="1:27">
      <c r="A5" s="6" t="s">
        <v>19</v>
      </c>
      <c r="B5" t="s">
        <v>68</v>
      </c>
      <c r="C5" t="s">
        <v>67</v>
      </c>
      <c r="D5" t="s">
        <v>66</v>
      </c>
      <c r="E5" t="s">
        <v>64</v>
      </c>
      <c r="Z5" s="2"/>
    </row>
    <row r="6" spans="1:27">
      <c r="A6" s="7">
        <v>24</v>
      </c>
      <c r="B6" s="8">
        <v>80041.3125</v>
      </c>
      <c r="C6" s="8">
        <v>72944.8125</v>
      </c>
      <c r="D6" s="8">
        <v>41337.958333333336</v>
      </c>
      <c r="E6" s="8">
        <v>4456.708333333333</v>
      </c>
      <c r="N6" s="2"/>
    </row>
    <row r="7" spans="1:27">
      <c r="A7" s="7">
        <v>48</v>
      </c>
      <c r="B7" s="8">
        <v>41176.479166666664</v>
      </c>
      <c r="C7" s="8">
        <v>38383.645833333336</v>
      </c>
      <c r="D7" s="8">
        <v>25487.625</v>
      </c>
      <c r="E7" s="8">
        <v>3352.3541666666665</v>
      </c>
    </row>
    <row r="8" spans="1:27">
      <c r="A8" s="7">
        <v>96</v>
      </c>
      <c r="B8" s="8">
        <v>18041.145833333332</v>
      </c>
      <c r="C8" s="8">
        <v>17371.145833333332</v>
      </c>
      <c r="D8" s="8">
        <v>19929.041666666668</v>
      </c>
      <c r="E8" s="8">
        <v>2846.125</v>
      </c>
      <c r="N8" s="2"/>
    </row>
    <row r="9" spans="1:27">
      <c r="A9" s="7">
        <v>144</v>
      </c>
      <c r="B9" s="8">
        <v>12007.666666666666</v>
      </c>
      <c r="C9" s="8">
        <v>11664.9375</v>
      </c>
      <c r="D9" s="8">
        <v>18053.791666666668</v>
      </c>
      <c r="E9" s="8">
        <v>2743.4375</v>
      </c>
    </row>
    <row r="10" spans="1:27">
      <c r="A10" s="7">
        <v>190</v>
      </c>
      <c r="B10" s="8">
        <v>9341.9791666666661</v>
      </c>
      <c r="C10" s="8">
        <v>9114.6458333333339</v>
      </c>
      <c r="D10" s="8">
        <v>17129.208333333332</v>
      </c>
      <c r="E10" s="8">
        <v>2756.7708333333335</v>
      </c>
    </row>
    <row r="13" spans="1:27">
      <c r="B13" s="1" t="s">
        <v>733</v>
      </c>
      <c r="O13" s="3"/>
    </row>
    <row r="14" spans="1:27">
      <c r="B14" t="s">
        <v>734</v>
      </c>
      <c r="Z14" s="2"/>
    </row>
    <row r="15" spans="1:27">
      <c r="B15" s="1" t="s">
        <v>735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80041.3125</v>
      </c>
      <c r="C21" s="8">
        <f t="shared" si="1"/>
        <v>72944.8125</v>
      </c>
      <c r="D21" s="8">
        <f t="shared" si="1"/>
        <v>41337.958333333336</v>
      </c>
      <c r="E21" s="8">
        <f t="shared" si="1"/>
        <v>4456.708333333333</v>
      </c>
      <c r="F21" s="8">
        <f t="shared" si="1"/>
        <v>0</v>
      </c>
    </row>
    <row r="22" spans="1:6">
      <c r="A22">
        <f t="shared" ref="A22:F25" si="2">A7</f>
        <v>48</v>
      </c>
      <c r="B22" s="8">
        <f t="shared" si="1"/>
        <v>41176.479166666664</v>
      </c>
      <c r="C22" s="8">
        <f t="shared" si="1"/>
        <v>38383.645833333336</v>
      </c>
      <c r="D22" s="8">
        <f t="shared" si="1"/>
        <v>25487.625</v>
      </c>
      <c r="E22" s="8">
        <f t="shared" si="1"/>
        <v>3352.3541666666665</v>
      </c>
      <c r="F22" s="8">
        <f t="shared" si="1"/>
        <v>0</v>
      </c>
    </row>
    <row r="23" spans="1:6">
      <c r="A23">
        <f t="shared" si="2"/>
        <v>96</v>
      </c>
      <c r="B23" s="8">
        <f t="shared" si="1"/>
        <v>18041.145833333332</v>
      </c>
      <c r="C23" s="8">
        <f t="shared" si="1"/>
        <v>17371.145833333332</v>
      </c>
      <c r="D23" s="8">
        <f t="shared" si="1"/>
        <v>19929.041666666668</v>
      </c>
      <c r="E23" s="8">
        <f t="shared" si="1"/>
        <v>2846.125</v>
      </c>
      <c r="F23" s="8">
        <f t="shared" si="1"/>
        <v>0</v>
      </c>
    </row>
    <row r="24" spans="1:6">
      <c r="A24">
        <f t="shared" si="2"/>
        <v>144</v>
      </c>
      <c r="B24" s="8">
        <f t="shared" si="2"/>
        <v>12007.666666666666</v>
      </c>
      <c r="C24" s="8">
        <f t="shared" si="2"/>
        <v>11664.9375</v>
      </c>
      <c r="D24" s="8">
        <f t="shared" si="2"/>
        <v>18053.791666666668</v>
      </c>
      <c r="E24" s="8">
        <f t="shared" si="2"/>
        <v>2743.4375</v>
      </c>
      <c r="F24" s="8">
        <f t="shared" si="2"/>
        <v>0</v>
      </c>
    </row>
    <row r="25" spans="1:6">
      <c r="A25">
        <f t="shared" si="2"/>
        <v>190</v>
      </c>
      <c r="B25" s="8">
        <f t="shared" si="2"/>
        <v>9341.9791666666661</v>
      </c>
      <c r="C25" s="8">
        <f t="shared" si="2"/>
        <v>9114.6458333333339</v>
      </c>
      <c r="D25" s="8">
        <f t="shared" si="2"/>
        <v>17129.208333333332</v>
      </c>
      <c r="E25" s="8">
        <f t="shared" si="2"/>
        <v>2756.7708333333335</v>
      </c>
      <c r="F25" s="8">
        <f t="shared" si="2"/>
        <v>0</v>
      </c>
    </row>
  </sheetData>
  <pageMargins left="0.7" right="0.7" top="0.75" bottom="0.75" header="0.3" footer="0.3"/>
  <pageSetup paperSize="0"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742</v>
      </c>
      <c r="Z2" s="2" t="s">
        <v>0</v>
      </c>
      <c r="AA2" t="s">
        <v>70</v>
      </c>
    </row>
    <row r="3" spans="1:27">
      <c r="Z3" s="2"/>
    </row>
    <row r="4" spans="1:27">
      <c r="A4" s="6" t="s">
        <v>19</v>
      </c>
      <c r="B4" t="s">
        <v>728</v>
      </c>
      <c r="Z4" s="2"/>
    </row>
    <row r="5" spans="1:27">
      <c r="A5" s="7" t="s">
        <v>68</v>
      </c>
      <c r="B5" s="8">
        <v>8145.0468749999991</v>
      </c>
      <c r="Z5" s="2"/>
    </row>
    <row r="6" spans="1:27">
      <c r="A6" s="7" t="s">
        <v>67</v>
      </c>
      <c r="B6" s="8">
        <v>6879.2400000000016</v>
      </c>
      <c r="N6" s="2"/>
    </row>
    <row r="7" spans="1:27">
      <c r="A7" s="7" t="s">
        <v>66</v>
      </c>
      <c r="B7" s="8">
        <v>3704.1704166666673</v>
      </c>
    </row>
    <row r="8" spans="1:27">
      <c r="A8" s="7" t="s">
        <v>64</v>
      </c>
      <c r="B8" s="8">
        <v>3369.2206249999999</v>
      </c>
      <c r="N8" s="2"/>
    </row>
    <row r="13" spans="1:27">
      <c r="O13" s="3"/>
    </row>
    <row r="14" spans="1:27">
      <c r="Z14" s="2"/>
    </row>
    <row r="20" spans="1:6">
      <c r="A20" t="str">
        <f>A4</f>
        <v>Row Labels</v>
      </c>
      <c r="B20" t="s">
        <v>736</v>
      </c>
      <c r="C20" t="s">
        <v>737</v>
      </c>
      <c r="D20">
        <f t="shared" ref="D20:F20" si="0">D5</f>
        <v>0</v>
      </c>
      <c r="E20">
        <f t="shared" si="0"/>
        <v>0</v>
      </c>
      <c r="F20">
        <f t="shared" si="0"/>
        <v>0</v>
      </c>
    </row>
    <row r="21" spans="1:6">
      <c r="A21" t="s">
        <v>739</v>
      </c>
      <c r="B21" s="8">
        <f>B5-B45</f>
        <v>1326.6489583333305</v>
      </c>
      <c r="C21">
        <f t="shared" ref="C21:C24" si="1">B45</f>
        <v>6818.3979166666686</v>
      </c>
      <c r="D21" s="8">
        <f t="shared" ref="D21:F23" si="2">D6</f>
        <v>0</v>
      </c>
      <c r="E21" s="8">
        <f t="shared" si="2"/>
        <v>0</v>
      </c>
      <c r="F21" s="8">
        <f t="shared" si="2"/>
        <v>0</v>
      </c>
    </row>
    <row r="22" spans="1:6">
      <c r="A22" t="s">
        <v>738</v>
      </c>
      <c r="B22" s="8">
        <f t="shared" ref="B22:B25" si="3">B6-B46</f>
        <v>1465.978958333335</v>
      </c>
      <c r="C22">
        <f t="shared" si="1"/>
        <v>5413.2610416666666</v>
      </c>
      <c r="D22" s="8">
        <f t="shared" si="2"/>
        <v>0</v>
      </c>
      <c r="E22" s="8">
        <f t="shared" si="2"/>
        <v>0</v>
      </c>
      <c r="F22" s="8">
        <f t="shared" si="2"/>
        <v>0</v>
      </c>
    </row>
    <row r="23" spans="1:6">
      <c r="A23" t="s">
        <v>740</v>
      </c>
      <c r="B23" s="8">
        <f t="shared" si="3"/>
        <v>1192.0347291666667</v>
      </c>
      <c r="C23">
        <f t="shared" si="1"/>
        <v>2512.1356875000006</v>
      </c>
      <c r="D23" s="8">
        <f t="shared" si="2"/>
        <v>0</v>
      </c>
      <c r="E23" s="8">
        <f t="shared" si="2"/>
        <v>0</v>
      </c>
      <c r="F23" s="8">
        <f t="shared" si="2"/>
        <v>0</v>
      </c>
    </row>
    <row r="24" spans="1:6">
      <c r="A24" t="s">
        <v>741</v>
      </c>
      <c r="B24" s="8">
        <f t="shared" si="3"/>
        <v>935.68341666666674</v>
      </c>
      <c r="C24">
        <f t="shared" si="1"/>
        <v>2433.5372083333332</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33</v>
      </c>
      <c r="B41" s="7">
        <v>190</v>
      </c>
    </row>
    <row r="42" spans="1:2">
      <c r="A42" s="6" t="s">
        <v>69</v>
      </c>
      <c r="B42" t="s">
        <v>742</v>
      </c>
    </row>
    <row r="44" spans="1:2">
      <c r="A44" s="6" t="s">
        <v>19</v>
      </c>
      <c r="B44" t="s">
        <v>729</v>
      </c>
    </row>
    <row r="45" spans="1:2">
      <c r="A45" s="7" t="s">
        <v>68</v>
      </c>
      <c r="B45" s="8">
        <v>6818.3979166666686</v>
      </c>
    </row>
    <row r="46" spans="1:2">
      <c r="A46" s="7" t="s">
        <v>67</v>
      </c>
      <c r="B46" s="8">
        <v>5413.2610416666666</v>
      </c>
    </row>
    <row r="47" spans="1:2">
      <c r="A47" s="7" t="s">
        <v>66</v>
      </c>
      <c r="B47" s="8">
        <v>2512.1356875000006</v>
      </c>
    </row>
    <row r="48" spans="1:2">
      <c r="A48" s="7" t="s">
        <v>64</v>
      </c>
      <c r="B48" s="8">
        <v>2433.5372083333332</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51"/>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Z2" s="2" t="s">
        <v>0</v>
      </c>
    </row>
    <row r="3" spans="1:27">
      <c r="A3" s="1" t="s">
        <v>1389</v>
      </c>
      <c r="Z3" s="2" t="s">
        <v>1385</v>
      </c>
      <c r="AA3" t="s">
        <v>1393</v>
      </c>
    </row>
    <row r="4" spans="1:27">
      <c r="Z4" s="2" t="s">
        <v>1386</v>
      </c>
      <c r="AA4" t="s">
        <v>1392</v>
      </c>
    </row>
    <row r="5" spans="1:27">
      <c r="A5" s="6" t="s">
        <v>731</v>
      </c>
      <c r="B5" s="6" t="s">
        <v>18</v>
      </c>
      <c r="Z5" s="2"/>
    </row>
    <row r="6" spans="1:27">
      <c r="A6" s="6" t="s">
        <v>19</v>
      </c>
      <c r="B6" t="s">
        <v>68</v>
      </c>
      <c r="C6" t="s">
        <v>67</v>
      </c>
      <c r="D6" t="s">
        <v>66</v>
      </c>
      <c r="E6" t="s">
        <v>64</v>
      </c>
      <c r="N6" s="2"/>
    </row>
    <row r="7" spans="1:27">
      <c r="A7" s="7">
        <v>2000000</v>
      </c>
      <c r="B7" s="9">
        <v>26.109748333333332</v>
      </c>
      <c r="C7" s="9">
        <v>19.71499</v>
      </c>
      <c r="D7" s="9">
        <v>7</v>
      </c>
      <c r="E7" s="9">
        <v>3.0349641666666671</v>
      </c>
    </row>
    <row r="8" spans="1:27">
      <c r="A8" s="7">
        <v>20000000</v>
      </c>
      <c r="B8" s="9">
        <v>31.298508333333338</v>
      </c>
      <c r="C8" s="9">
        <v>23.050548333333332</v>
      </c>
      <c r="D8" s="9">
        <v>8.0833333333333339</v>
      </c>
      <c r="E8" s="9">
        <v>4.028052333333334</v>
      </c>
      <c r="N8" s="2"/>
    </row>
    <row r="9" spans="1:27">
      <c r="A9" s="7">
        <v>200000000</v>
      </c>
      <c r="B9" s="9">
        <v>35.952373333333327</v>
      </c>
      <c r="C9" s="9">
        <v>26.239986666666663</v>
      </c>
      <c r="D9" s="9">
        <v>9.1666666666666661</v>
      </c>
      <c r="E9" s="9">
        <v>4.0439154999999998</v>
      </c>
    </row>
    <row r="10" spans="1:27">
      <c r="A10" s="7">
        <v>2000000000</v>
      </c>
      <c r="B10" s="9">
        <v>40.684399999999997</v>
      </c>
      <c r="C10" s="9">
        <v>29.469151666666669</v>
      </c>
      <c r="D10" s="9">
        <v>10.95</v>
      </c>
      <c r="E10" s="9">
        <v>4.0355423333333329</v>
      </c>
    </row>
    <row r="13" spans="1:27">
      <c r="O13" s="3"/>
    </row>
    <row r="14" spans="1:27">
      <c r="Z14" s="2"/>
    </row>
    <row r="20" spans="1:5">
      <c r="A20" t="str">
        <f t="shared" ref="A20" si="0">A6</f>
        <v>Row Labels</v>
      </c>
      <c r="B20" t="s">
        <v>739</v>
      </c>
      <c r="C20" t="s">
        <v>738</v>
      </c>
      <c r="D20" t="s">
        <v>740</v>
      </c>
      <c r="E20" t="s">
        <v>741</v>
      </c>
    </row>
    <row r="21" spans="1:5">
      <c r="A21" t="str">
        <f>"2x10^"&amp;LOG10(A7/2)</f>
        <v>2x10^6</v>
      </c>
      <c r="B21">
        <f t="shared" ref="B21:E24" si="1">B7</f>
        <v>26.109748333333332</v>
      </c>
      <c r="C21">
        <f t="shared" si="1"/>
        <v>19.71499</v>
      </c>
      <c r="D21">
        <f t="shared" si="1"/>
        <v>7</v>
      </c>
      <c r="E21">
        <f t="shared" si="1"/>
        <v>3.0349641666666671</v>
      </c>
    </row>
    <row r="22" spans="1:5">
      <c r="A22" t="str">
        <f t="shared" ref="A22:A24" si="2">"2x10^"&amp;LOG10(A8/2)</f>
        <v>2x10^7</v>
      </c>
      <c r="B22">
        <f t="shared" si="1"/>
        <v>31.298508333333338</v>
      </c>
      <c r="C22">
        <f t="shared" si="1"/>
        <v>23.050548333333332</v>
      </c>
      <c r="D22">
        <f t="shared" si="1"/>
        <v>8.0833333333333339</v>
      </c>
      <c r="E22">
        <f t="shared" si="1"/>
        <v>4.028052333333334</v>
      </c>
    </row>
    <row r="23" spans="1:5">
      <c r="A23" t="str">
        <f t="shared" si="2"/>
        <v>2x10^8</v>
      </c>
      <c r="B23">
        <f t="shared" si="1"/>
        <v>35.952373333333327</v>
      </c>
      <c r="C23">
        <f t="shared" si="1"/>
        <v>26.239986666666663</v>
      </c>
      <c r="D23">
        <f t="shared" si="1"/>
        <v>9.1666666666666661</v>
      </c>
      <c r="E23">
        <f t="shared" si="1"/>
        <v>4.0439154999999998</v>
      </c>
    </row>
    <row r="24" spans="1:5">
      <c r="A24" t="str">
        <f t="shared" si="2"/>
        <v>2x10^9</v>
      </c>
      <c r="B24">
        <f t="shared" si="1"/>
        <v>40.684399999999997</v>
      </c>
      <c r="C24">
        <f t="shared" si="1"/>
        <v>29.469151666666669</v>
      </c>
      <c r="D24">
        <f t="shared" si="1"/>
        <v>10.95</v>
      </c>
      <c r="E24">
        <f t="shared" si="1"/>
        <v>4.0355423333333329</v>
      </c>
    </row>
    <row r="33" spans="1:36">
      <c r="A33" s="1" t="s">
        <v>1390</v>
      </c>
      <c r="Z33" s="1" t="s">
        <v>1391</v>
      </c>
    </row>
    <row r="35" spans="1:36">
      <c r="A35" s="6" t="s">
        <v>1387</v>
      </c>
      <c r="B35" s="6" t="s">
        <v>18</v>
      </c>
      <c r="Z35" s="6" t="s">
        <v>1388</v>
      </c>
      <c r="AA35" s="6" t="s">
        <v>18</v>
      </c>
    </row>
    <row r="36" spans="1:36">
      <c r="A36" s="6" t="s">
        <v>19</v>
      </c>
      <c r="B36" t="s">
        <v>68</v>
      </c>
      <c r="C36" t="s">
        <v>67</v>
      </c>
      <c r="D36" t="s">
        <v>66</v>
      </c>
      <c r="E36" t="s">
        <v>64</v>
      </c>
      <c r="Z36" s="6" t="s">
        <v>19</v>
      </c>
      <c r="AA36" t="s">
        <v>68</v>
      </c>
      <c r="AB36" t="s">
        <v>67</v>
      </c>
      <c r="AC36" t="s">
        <v>66</v>
      </c>
      <c r="AD36" t="s">
        <v>64</v>
      </c>
    </row>
    <row r="37" spans="1:36">
      <c r="A37" s="7">
        <v>2000000</v>
      </c>
      <c r="B37" s="9">
        <v>25.134499999999999</v>
      </c>
      <c r="C37" s="9">
        <v>19.283300000000001</v>
      </c>
      <c r="D37" s="9">
        <v>7</v>
      </c>
      <c r="E37" s="9">
        <v>3</v>
      </c>
      <c r="Z37" s="7">
        <v>2000000</v>
      </c>
      <c r="AA37" s="9">
        <v>27.796099999999999</v>
      </c>
      <c r="AB37" s="9">
        <v>19.915199999999999</v>
      </c>
      <c r="AC37" s="9">
        <v>7</v>
      </c>
      <c r="AD37" s="9">
        <v>3.1120899999999998</v>
      </c>
      <c r="AE37" s="9"/>
      <c r="AF37" s="9"/>
      <c r="AG37" s="9"/>
      <c r="AH37" s="9"/>
      <c r="AI37" s="9"/>
      <c r="AJ37" s="9"/>
    </row>
    <row r="38" spans="1:36">
      <c r="A38" s="7">
        <v>20000000</v>
      </c>
      <c r="B38" s="9">
        <v>29.732700000000001</v>
      </c>
      <c r="C38" s="9">
        <v>22.664400000000001</v>
      </c>
      <c r="D38" s="9">
        <v>8</v>
      </c>
      <c r="E38" s="9">
        <v>4</v>
      </c>
      <c r="Z38" s="7">
        <v>20000000</v>
      </c>
      <c r="AA38" s="9">
        <v>32.848100000000002</v>
      </c>
      <c r="AB38" s="9">
        <v>23.312899999999999</v>
      </c>
      <c r="AC38" s="9">
        <v>9</v>
      </c>
      <c r="AD38" s="9">
        <v>4.0560600000000004</v>
      </c>
      <c r="AE38" s="9"/>
      <c r="AF38" s="9"/>
      <c r="AG38" s="9"/>
      <c r="AH38" s="9"/>
      <c r="AI38" s="9"/>
      <c r="AJ38" s="9"/>
    </row>
    <row r="39" spans="1:36">
      <c r="A39" s="7">
        <v>200000000</v>
      </c>
      <c r="B39" s="9">
        <v>34.805100000000003</v>
      </c>
      <c r="C39" s="9">
        <v>26.025300000000001</v>
      </c>
      <c r="D39" s="9">
        <v>9</v>
      </c>
      <c r="E39" s="9">
        <v>4</v>
      </c>
      <c r="Z39" s="7">
        <v>200000000</v>
      </c>
      <c r="AA39" s="9">
        <v>37.487499999999997</v>
      </c>
      <c r="AB39" s="9">
        <v>26.6478</v>
      </c>
      <c r="AC39" s="9">
        <v>10</v>
      </c>
      <c r="AD39" s="9">
        <v>4.0818500000000002</v>
      </c>
      <c r="AE39" s="9"/>
      <c r="AF39" s="9"/>
      <c r="AG39" s="9"/>
      <c r="AH39" s="9"/>
      <c r="AI39" s="9"/>
      <c r="AJ39" s="9"/>
    </row>
    <row r="40" spans="1:36">
      <c r="A40" s="7">
        <v>2000000000</v>
      </c>
      <c r="B40" s="9">
        <v>39.7072</v>
      </c>
      <c r="C40" s="9">
        <v>29.397500000000001</v>
      </c>
      <c r="D40" s="9">
        <v>10</v>
      </c>
      <c r="E40" s="9">
        <v>4</v>
      </c>
      <c r="Z40" s="7">
        <v>2000000000</v>
      </c>
      <c r="AA40" s="9">
        <v>42.430599999999998</v>
      </c>
      <c r="AB40" s="9">
        <v>29.6097</v>
      </c>
      <c r="AC40" s="9">
        <v>11</v>
      </c>
      <c r="AD40" s="9">
        <v>4.0923600000000002</v>
      </c>
      <c r="AE40" s="9"/>
      <c r="AF40" s="9"/>
      <c r="AG40" s="9"/>
      <c r="AH40" s="9"/>
      <c r="AI40" s="9"/>
      <c r="AJ40" s="9"/>
    </row>
    <row r="41" spans="1:36">
      <c r="AA41" s="9"/>
      <c r="AB41" s="9"/>
      <c r="AC41" s="9"/>
      <c r="AD41" s="9"/>
      <c r="AE41" s="9"/>
      <c r="AF41" s="9"/>
      <c r="AG41" s="9"/>
      <c r="AH41" s="9"/>
      <c r="AI41" s="9"/>
      <c r="AJ41" s="9"/>
    </row>
    <row r="42" spans="1:36">
      <c r="AA42" s="9"/>
      <c r="AB42" s="9"/>
      <c r="AC42" s="9"/>
      <c r="AD42" s="9"/>
      <c r="AE42" s="9"/>
      <c r="AF42" s="9"/>
      <c r="AG42" s="9"/>
      <c r="AH42" s="9"/>
      <c r="AI42" s="9"/>
      <c r="AJ42" s="9"/>
    </row>
    <row r="43" spans="1:36">
      <c r="AA43" s="9"/>
      <c r="AB43" s="9"/>
      <c r="AC43" s="9"/>
      <c r="AD43" s="9"/>
      <c r="AE43" s="9"/>
      <c r="AF43" s="9"/>
      <c r="AG43" s="9"/>
      <c r="AH43" s="9"/>
      <c r="AI43" s="9"/>
      <c r="AJ43" s="9"/>
    </row>
    <row r="44" spans="1:36">
      <c r="AA44" s="9"/>
      <c r="AB44" s="9"/>
      <c r="AC44" s="9"/>
      <c r="AD44" s="9"/>
      <c r="AE44" s="9"/>
      <c r="AF44" s="9"/>
      <c r="AG44" s="9"/>
      <c r="AH44" s="9"/>
      <c r="AI44" s="9"/>
      <c r="AJ44" s="9"/>
    </row>
    <row r="47" spans="1:36">
      <c r="B47" s="9">
        <f>B7-B37</f>
        <v>0.97524833333333305</v>
      </c>
      <c r="C47" s="9">
        <f t="shared" ref="C47:E47" si="3">C7-C37</f>
        <v>0.43168999999999969</v>
      </c>
      <c r="D47" s="9">
        <f t="shared" si="3"/>
        <v>0</v>
      </c>
      <c r="E47" s="9">
        <f t="shared" si="3"/>
        <v>3.4964166666667129E-2</v>
      </c>
      <c r="AA47" s="9">
        <f>AA37-B7</f>
        <v>1.6863516666666669</v>
      </c>
      <c r="AB47" s="9">
        <f t="shared" ref="AB47:AD47" si="4">AB37-C7</f>
        <v>0.20020999999999844</v>
      </c>
      <c r="AC47" s="9">
        <f t="shared" si="4"/>
        <v>0</v>
      </c>
      <c r="AD47" s="9">
        <f t="shared" si="4"/>
        <v>7.7125833333332672E-2</v>
      </c>
      <c r="AE47" s="9"/>
      <c r="AF47" s="9"/>
      <c r="AG47" s="9"/>
    </row>
    <row r="48" spans="1:36">
      <c r="B48" s="9">
        <f t="shared" ref="B48:E48" si="5">B8-B38</f>
        <v>1.5658083333333366</v>
      </c>
      <c r="C48" s="9">
        <f t="shared" si="5"/>
        <v>0.3861483333333311</v>
      </c>
      <c r="D48" s="9">
        <f t="shared" si="5"/>
        <v>8.3333333333333925E-2</v>
      </c>
      <c r="E48" s="9">
        <f t="shared" si="5"/>
        <v>2.8052333333334012E-2</v>
      </c>
      <c r="AA48" s="9">
        <f t="shared" ref="AA48:AA50" si="6">AA38-B8</f>
        <v>1.5495916666666645</v>
      </c>
      <c r="AB48" s="9">
        <f t="shared" ref="AB48:AB50" si="7">AB38-C8</f>
        <v>0.26235166666666743</v>
      </c>
      <c r="AC48" s="9">
        <f t="shared" ref="AC48:AC50" si="8">AC38-D8</f>
        <v>0.91666666666666607</v>
      </c>
      <c r="AD48" s="9">
        <f t="shared" ref="AD48:AD50" si="9">AD38-E8</f>
        <v>2.8007666666666431E-2</v>
      </c>
      <c r="AG48" s="9"/>
    </row>
    <row r="49" spans="2:33">
      <c r="B49" s="9">
        <f t="shared" ref="B49:E49" si="10">B9-B39</f>
        <v>1.1472733333333238</v>
      </c>
      <c r="C49" s="9">
        <f t="shared" si="10"/>
        <v>0.21468666666666181</v>
      </c>
      <c r="D49" s="9">
        <f t="shared" si="10"/>
        <v>0.16666666666666607</v>
      </c>
      <c r="E49" s="9">
        <f t="shared" si="10"/>
        <v>4.3915499999999774E-2</v>
      </c>
      <c r="AA49" s="9">
        <f t="shared" si="6"/>
        <v>1.5351266666666703</v>
      </c>
      <c r="AB49" s="9">
        <f t="shared" si="7"/>
        <v>0.40781333333333691</v>
      </c>
      <c r="AC49" s="9">
        <f t="shared" si="8"/>
        <v>0.83333333333333393</v>
      </c>
      <c r="AD49" s="9">
        <f t="shared" si="9"/>
        <v>3.7934500000000426E-2</v>
      </c>
      <c r="AG49" s="9"/>
    </row>
    <row r="50" spans="2:33">
      <c r="B50" s="9">
        <f t="shared" ref="B50:E50" si="11">B10-B40</f>
        <v>0.97719999999999629</v>
      </c>
      <c r="C50" s="9">
        <f t="shared" si="11"/>
        <v>7.1651666666667779E-2</v>
      </c>
      <c r="D50" s="9">
        <f t="shared" si="11"/>
        <v>0.94999999999999929</v>
      </c>
      <c r="E50" s="9">
        <f t="shared" si="11"/>
        <v>3.5542333333332898E-2</v>
      </c>
      <c r="AA50" s="9">
        <f t="shared" si="6"/>
        <v>1.7462000000000018</v>
      </c>
      <c r="AB50" s="9">
        <f t="shared" si="7"/>
        <v>0.1405483333333315</v>
      </c>
      <c r="AC50" s="9">
        <f t="shared" si="8"/>
        <v>5.0000000000000711E-2</v>
      </c>
      <c r="AD50" s="9">
        <f t="shared" si="9"/>
        <v>5.6817666666667321E-2</v>
      </c>
      <c r="AG50" s="9"/>
    </row>
    <row r="51" spans="2:33">
      <c r="B51" s="8"/>
      <c r="C51" s="8"/>
      <c r="D51" s="8"/>
      <c r="E51" s="8"/>
      <c r="AG51" s="9"/>
    </row>
  </sheetData>
  <pageMargins left="0.7" right="0.7" top="0.75" bottom="0.75" header="0.3" footer="0.3"/>
  <pageSetup paperSize="0" orientation="portrait" r:id="rId4"/>
  <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48"/>
  <sheetViews>
    <sheetView zoomScale="80" zoomScaleNormal="80" workbookViewId="0">
      <selection activeCell="C1" sqref="C1"/>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745</v>
      </c>
      <c r="C2" t="str">
        <f>B2&amp;", 190 threads"</f>
        <v>u=40%, k=2x10^9, 190 threads</v>
      </c>
      <c r="Z2" s="2" t="s">
        <v>0</v>
      </c>
      <c r="AA2" t="s">
        <v>70</v>
      </c>
    </row>
    <row r="3" spans="1:27">
      <c r="Z3" s="2"/>
    </row>
    <row r="4" spans="1:27">
      <c r="A4" s="6" t="s">
        <v>19</v>
      </c>
      <c r="B4" t="s">
        <v>728</v>
      </c>
      <c r="Z4" s="2"/>
    </row>
    <row r="5" spans="1:27">
      <c r="A5" s="7" t="s">
        <v>68</v>
      </c>
      <c r="B5" s="8">
        <v>15496.866666666669</v>
      </c>
      <c r="Z5" s="2"/>
    </row>
    <row r="6" spans="1:27">
      <c r="A6" s="7" t="s">
        <v>67</v>
      </c>
      <c r="B6" s="8">
        <v>12395.333333333334</v>
      </c>
      <c r="N6" s="2"/>
    </row>
    <row r="7" spans="1:27">
      <c r="A7" s="7" t="s">
        <v>66</v>
      </c>
      <c r="B7" s="8">
        <v>7255.836666666667</v>
      </c>
    </row>
    <row r="8" spans="1:27">
      <c r="A8" s="7" t="s">
        <v>64</v>
      </c>
      <c r="B8" s="8">
        <v>5793.1066666666666</v>
      </c>
      <c r="N8" s="2"/>
    </row>
    <row r="13" spans="1:27">
      <c r="O13" s="3"/>
    </row>
    <row r="14" spans="1:27">
      <c r="Z14" s="2"/>
    </row>
    <row r="20" spans="1:6">
      <c r="A20" t="str">
        <f>A4</f>
        <v>Row Labels</v>
      </c>
      <c r="B20" t="s">
        <v>736</v>
      </c>
      <c r="C20" t="s">
        <v>737</v>
      </c>
      <c r="D20">
        <f t="shared" ref="C20:F25" si="0">D5</f>
        <v>0</v>
      </c>
      <c r="E20">
        <f t="shared" si="0"/>
        <v>0</v>
      </c>
      <c r="F20">
        <f t="shared" si="0"/>
        <v>0</v>
      </c>
    </row>
    <row r="21" spans="1:6">
      <c r="A21" t="s">
        <v>739</v>
      </c>
      <c r="B21" s="8">
        <f>B5-B45</f>
        <v>2293.7666666666682</v>
      </c>
      <c r="C21">
        <f t="shared" ref="C21:C24" si="1">B45</f>
        <v>13203.1</v>
      </c>
      <c r="D21" s="8">
        <f t="shared" si="0"/>
        <v>0</v>
      </c>
      <c r="E21" s="8">
        <f t="shared" si="0"/>
        <v>0</v>
      </c>
      <c r="F21" s="8">
        <f t="shared" si="0"/>
        <v>0</v>
      </c>
    </row>
    <row r="22" spans="1:6">
      <c r="A22" t="s">
        <v>738</v>
      </c>
      <c r="B22" s="8">
        <f t="shared" ref="B22:B25" si="2">B6-B46</f>
        <v>1733.6000000000004</v>
      </c>
      <c r="C22">
        <f t="shared" si="1"/>
        <v>10661.733333333334</v>
      </c>
      <c r="D22" s="8">
        <f t="shared" si="0"/>
        <v>0</v>
      </c>
      <c r="E22" s="8">
        <f t="shared" si="0"/>
        <v>0</v>
      </c>
      <c r="F22" s="8">
        <f t="shared" si="0"/>
        <v>0</v>
      </c>
    </row>
    <row r="23" spans="1:6">
      <c r="A23" t="s">
        <v>740</v>
      </c>
      <c r="B23" s="8">
        <f t="shared" si="2"/>
        <v>1678.8200000000006</v>
      </c>
      <c r="C23">
        <f t="shared" si="1"/>
        <v>5577.0166666666664</v>
      </c>
      <c r="D23" s="8">
        <f t="shared" si="0"/>
        <v>0</v>
      </c>
      <c r="E23" s="8">
        <f t="shared" si="0"/>
        <v>0</v>
      </c>
      <c r="F23" s="8">
        <f t="shared" si="0"/>
        <v>0</v>
      </c>
    </row>
    <row r="24" spans="1:6">
      <c r="A24" t="s">
        <v>741</v>
      </c>
      <c r="B24" s="8">
        <f t="shared" si="2"/>
        <v>1165.1500000000005</v>
      </c>
      <c r="C24">
        <f t="shared" si="1"/>
        <v>4627.956666666666</v>
      </c>
      <c r="D24" s="8">
        <f t="shared" si="0"/>
        <v>0</v>
      </c>
      <c r="E24" s="8">
        <f t="shared" si="0"/>
        <v>0</v>
      </c>
      <c r="F24" s="8">
        <f t="shared" si="0"/>
        <v>0</v>
      </c>
    </row>
    <row r="25" spans="1:6">
      <c r="A25">
        <f t="shared" ref="A25" si="3">A9</f>
        <v>0</v>
      </c>
      <c r="B25" s="8">
        <f t="shared" si="2"/>
        <v>0</v>
      </c>
      <c r="C25" s="8">
        <f t="shared" si="0"/>
        <v>0</v>
      </c>
      <c r="D25" s="8">
        <f t="shared" si="0"/>
        <v>0</v>
      </c>
      <c r="E25" s="8">
        <f t="shared" si="0"/>
        <v>0</v>
      </c>
      <c r="F25" s="8">
        <f t="shared" si="0"/>
        <v>0</v>
      </c>
    </row>
    <row r="41" spans="1:6">
      <c r="A41" s="6" t="s">
        <v>33</v>
      </c>
      <c r="B41" s="7">
        <v>190</v>
      </c>
      <c r="E41" s="6" t="s">
        <v>33</v>
      </c>
      <c r="F41" s="7">
        <v>190</v>
      </c>
    </row>
    <row r="42" spans="1:6">
      <c r="A42" s="6" t="s">
        <v>69</v>
      </c>
      <c r="B42" t="s">
        <v>745</v>
      </c>
      <c r="E42" s="6" t="s">
        <v>69</v>
      </c>
      <c r="F42" t="s">
        <v>745</v>
      </c>
    </row>
    <row r="44" spans="1:6">
      <c r="A44" s="6" t="s">
        <v>19</v>
      </c>
      <c r="B44" t="s">
        <v>729</v>
      </c>
      <c r="E44" s="6" t="s">
        <v>19</v>
      </c>
      <c r="F44" t="s">
        <v>727</v>
      </c>
    </row>
    <row r="45" spans="1:6">
      <c r="A45" s="7" t="s">
        <v>68</v>
      </c>
      <c r="B45" s="8">
        <v>13203.1</v>
      </c>
      <c r="E45" s="7" t="s">
        <v>68</v>
      </c>
      <c r="F45" s="9">
        <v>33.398933333333339</v>
      </c>
    </row>
    <row r="46" spans="1:6">
      <c r="A46" s="7" t="s">
        <v>67</v>
      </c>
      <c r="B46" s="8">
        <v>10661.733333333334</v>
      </c>
      <c r="E46" s="7" t="s">
        <v>67</v>
      </c>
      <c r="F46" s="9">
        <v>32.953533333333333</v>
      </c>
    </row>
    <row r="47" spans="1:6">
      <c r="A47" s="7" t="s">
        <v>66</v>
      </c>
      <c r="B47" s="8">
        <v>5577.0166666666664</v>
      </c>
      <c r="E47" s="7" t="s">
        <v>66</v>
      </c>
      <c r="F47" s="9">
        <v>21.352933333333336</v>
      </c>
    </row>
    <row r="48" spans="1:6">
      <c r="A48" s="7" t="s">
        <v>64</v>
      </c>
      <c r="B48" s="8">
        <v>4627.956666666666</v>
      </c>
      <c r="E48" s="7" t="s">
        <v>64</v>
      </c>
      <c r="F48" s="9">
        <v>19.670399999999997</v>
      </c>
    </row>
  </sheetData>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data</vt:lpstr>
      <vt:lpstr>maxresident (no)</vt:lpstr>
      <vt:lpstr>cycles (maybe no)</vt:lpstr>
      <vt:lpstr>throughput</vt:lpstr>
      <vt:lpstr>LLC misses</vt:lpstr>
      <vt:lpstr>height (no)</vt:lpstr>
      <vt:lpstr>prefilling (no)</vt:lpstr>
      <vt:lpstr>cycle_breakdown (replaced)</vt:lpstr>
      <vt:lpstr>avg key depth</vt:lpstr>
      <vt:lpstr>cycle_breakdown</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2019-06-06T18:20:53Z</dcterms:modified>
</cp:coreProperties>
</file>