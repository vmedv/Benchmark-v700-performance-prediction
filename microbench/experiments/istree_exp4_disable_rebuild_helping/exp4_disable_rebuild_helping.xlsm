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4_disable_rebuild_helping\"/>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 name="ExternalData_15" localSheetId="1">data!$A$1:$BB$55</definedName>
    <definedName name="ExternalData_16" localSheetId="1">data!$A$1:$BB$55</definedName>
  </definedNames>
  <calcPr calcId="162913"/>
  <pivotCaches>
    <pivotCache cacheId="4"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5" i="2" l="1"/>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6" i="1" l="1"/>
  <c r="B26" i="1"/>
  <c r="C26" i="1"/>
  <c r="A27" i="1"/>
  <c r="B27" i="1"/>
  <c r="C27" i="1"/>
  <c r="A28" i="1"/>
  <c r="B28" i="1"/>
  <c r="C28" i="1"/>
  <c r="A29" i="1"/>
  <c r="B29" i="1"/>
  <c r="C29" i="1"/>
  <c r="A24" i="1" l="1"/>
  <c r="B24" i="1"/>
  <c r="C24" i="1"/>
  <c r="A25" i="1"/>
  <c r="B25" i="1"/>
  <c r="C25" i="1"/>
  <c r="A23" i="1" l="1"/>
  <c r="A22" i="1"/>
  <c r="A21" i="1"/>
  <c r="C23" i="1"/>
  <c r="B23" i="1"/>
  <c r="C22" i="1"/>
  <c r="B22" i="1"/>
  <c r="C21" i="1"/>
  <c r="B21"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3" type="6" refreshedVersion="6" background="1" saveData="1">
    <textPr sourceFile="C:\Users\t35brown\Documents\bitbucket\setbench\microbench\experiments\istree_exp4_disable_rebuild_helping\disable_rebuild_helping.csv" comma="1">
      <textFields>
        <textField/>
      </textFields>
    </textPr>
  </connection>
  <connection id="5" name="Connection4" type="6" refreshedVersion="6" background="1" saveData="1">
    <textPr sourceFile="C:\Users\t35brown\Documents\bitbucket\setbench\microbench\experiments\istree_exp4_disable_rebuild_helping\istree_exp4_disable_rebuild_helping.csv" comma="1">
      <textFields>
        <textField/>
      </textFields>
    </textPr>
  </connection>
  <connection id="6"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<sst xmlns="http://schemas.openxmlformats.org/spreadsheetml/2006/main" count="573" uniqueCount="255">
  <si>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</si>
  <si>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</si>
  <si>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</si>
  <si>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</si>
  <si>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</si>
  <si>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</si>
  <si>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</si>
  <si>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</si>
  <si>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</si>
  <si>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</si>
  <si>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</si>
  <si>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</si>
  <si>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</si>
  <si>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</si>
  <si>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</si>
  <si>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</si>
  <si>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</si>
  <si>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</si>
  <si>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</si>
  <si>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</si>
  <si>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</si>
  <si>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</si>
  <si>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</si>
  <si>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</si>
  <si>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</si>
  <si>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</si>
  <si>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</si>
  <si>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</si>
  <si>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</si>
  <si>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</si>
  <si>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</si>
  <si>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</si>
  <si>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</si>
  <si>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</si>
  <si>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</si>
  <si>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</si>
  <si>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</si>
  <si>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</si>
  <si>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</si>
  <si>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</si>
  <si>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</si>
  <si>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</si>
  <si>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</si>
  <si>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</si>
  <si>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</si>
  <si>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</si>
  <si>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</si>
  <si>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</si>
  <si>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</si>
  <si>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</si>
  <si>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</si>
  <si>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</si>
  <si>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</si>
  <si>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</si>
  <si>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</si>
  <si>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</si>
  <si>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</si>
  <si>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</si>
  <si>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</si>
  <si>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</si>
  <si>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</si>
  <si>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</si>
  <si>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</si>
  <si>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</si>
  <si>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</si>
  <si>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</si>
  <si>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</si>
  <si>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</si>
  <si>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</si>
  <si>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</si>
  <si>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</si>
  <si>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</si>
  <si>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</si>
  <si>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</si>
  <si>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</si>
  <si>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</si>
  <si>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</si>
  <si>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</si>
  <si>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</si>
  <si>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</si>
  <si>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</si>
  <si>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</si>
  <si>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brown_ext_ist_lf_disabled</t>
  </si>
  <si>
    <t>brown_ext_ist_lf_enabled</t>
  </si>
  <si>
    <t>sequential rebuild</t>
  </si>
  <si>
    <t>collaborative rebuild</t>
  </si>
  <si>
    <t>u=40% k=2x10^8</t>
  </si>
  <si>
    <t>u=40% k=2x10^7</t>
  </si>
  <si>
    <t>u=40% k=2x10^6</t>
  </si>
  <si>
    <t>u=10% k=2x10^8</t>
  </si>
  <si>
    <t>u=10% k=2x10^7</t>
  </si>
  <si>
    <t>u=10% k=2x10^6</t>
  </si>
  <si>
    <t>u=1% k=2x10^8</t>
  </si>
  <si>
    <t>u=1% k=2x10^7</t>
  </si>
  <si>
    <t>u=1% k=2x10^6</t>
  </si>
  <si>
    <t>istree_exp4_disable_rebuild_helping/step10001.txt</t>
  </si>
  <si>
    <t>173 361164 176257 1443677</t>
  </si>
  <si>
    <t>154 360872 176133 1443644</t>
  </si>
  <si>
    <t>istree_exp4_disable_rebuild_helping/step10002.txt</t>
  </si>
  <si>
    <t>9 28465 239910 6163825 15269</t>
  </si>
  <si>
    <t>9 28464 239895 6163804 15269</t>
  </si>
  <si>
    <t>istree_exp4_disable_rebuild_helping/step10003.txt</t>
  </si>
  <si>
    <t>1 9996 344486 3888772 665868</t>
  </si>
  <si>
    <t>1 9996 344483 3888770 665868</t>
  </si>
  <si>
    <t>istree_exp4_disable_rebuild_helping/step10004.txt</t>
  </si>
  <si>
    <t>519 678323 329610 2710485</t>
  </si>
  <si>
    <t>289 674957 328369 2710205</t>
  </si>
  <si>
    <t>istree_exp4_disable_rebuild_helping/step10005.txt</t>
  </si>
  <si>
    <t>39 56930 479266 12045694 30240</t>
  </si>
  <si>
    <t>18 56925 479104 12045435 30239</t>
  </si>
  <si>
    <t>istree_exp4_disable_rebuild_helping/step10006.txt</t>
  </si>
  <si>
    <t>istree_exp4_disable_rebuild_helping/step10007.txt</t>
  </si>
  <si>
    <t>886 698505 339803 2783967</t>
  </si>
  <si>
    <t>297 691684 337684 2783516</t>
  </si>
  <si>
    <t>istree_exp4_disable_rebuild_helping/step10008.txt</t>
  </si>
  <si>
    <t>71 66180 562031 13946476 34927</t>
  </si>
  <si>
    <t>20 66166 561697 13945865 34924</t>
  </si>
  <si>
    <t>istree_exp4_disable_rebuild_helping/step10009.txt</t>
  </si>
  <si>
    <t>8 29997 1032552 11663988 1999207</t>
  </si>
  <si>
    <t>3 29992 1032467 11663905 1999198</t>
  </si>
  <si>
    <t>istree_exp4_disable_rebuild_helping/step10010.txt</t>
  </si>
  <si>
    <t>172 361600 174891 1442669</t>
  </si>
  <si>
    <t>154 361284 174784 1442647</t>
  </si>
  <si>
    <t>istree_exp4_disable_rebuild_helping/step10011.txt</t>
  </si>
  <si>
    <t>10 28464 239857 6139679 15089</t>
  </si>
  <si>
    <t>9 28464 239837 6139660 15089</t>
  </si>
  <si>
    <t>istree_exp4_disable_rebuild_helping/step10012.txt</t>
  </si>
  <si>
    <t>1 9997 344664 3887448 667072</t>
  </si>
  <si>
    <t>1 9997 344663 3887448 667072</t>
  </si>
  <si>
    <t>istree_exp4_disable_rebuild_helping/step10013.txt</t>
  </si>
  <si>
    <t>509 670026 325140 2669131</t>
  </si>
  <si>
    <t>285 666534 323839 2668870</t>
  </si>
  <si>
    <t>istree_exp4_disable_rebuild_helping/step10014.txt</t>
  </si>
  <si>
    <t>25 56938 480216 12050950 30044</t>
  </si>
  <si>
    <t>18 56931 480046 12050706 30044</t>
  </si>
  <si>
    <t>istree_exp4_disable_rebuild_helping/step10015.txt</t>
  </si>
  <si>
    <t>7 29992 1032336 11659990 1997819</t>
  </si>
  <si>
    <t>3 29989 1032283 11659968 1997817</t>
  </si>
  <si>
    <t>istree_exp4_disable_rebuild_helping/step10016.txt</t>
  </si>
  <si>
    <t>896 695895 337657 2777510</t>
  </si>
  <si>
    <t>296 689366 335633 2776998</t>
  </si>
  <si>
    <t>istree_exp4_disable_rebuild_helping/step10017.txt</t>
  </si>
  <si>
    <t>66 63276 533633 13384472 33415</t>
  </si>
  <si>
    <t>20 63260 533312 13383808 33414</t>
  </si>
  <si>
    <t>istree_exp4_disable_rebuild_helping/step10018.txt</t>
  </si>
  <si>
    <t>11 29998 1032502 11660437 1996327</t>
  </si>
  <si>
    <t>3 29996 1032422 11660386 1996317</t>
  </si>
  <si>
    <t>istree_exp4_disable_rebuild_helping/step10019.txt</t>
  </si>
  <si>
    <t>173 359172 174520 1435916</t>
  </si>
  <si>
    <t>153 358844 174411 1435883</t>
  </si>
  <si>
    <t>istree_exp4_disable_rebuild_helping/step10020.txt</t>
  </si>
  <si>
    <t>9 28466 239583 6106941 15018</t>
  </si>
  <si>
    <t>9 28465 239566 6106924 15018</t>
  </si>
  <si>
    <t>istree_exp4_disable_rebuild_helping/step10021.txt</t>
  </si>
  <si>
    <t>1 9999 343767 3885579 665589</t>
  </si>
  <si>
    <t>1 9999 343765 3885579 665589</t>
  </si>
  <si>
    <t>istree_exp4_disable_rebuild_helping/step10022.txt</t>
  </si>
  <si>
    <t>506 683839 331612 2728627</t>
  </si>
  <si>
    <t>291 680339 330323 2728384</t>
  </si>
  <si>
    <t>istree_exp4_disable_rebuild_helping/step10023.txt</t>
  </si>
  <si>
    <t>36 56948 480085 12044965 30632</t>
  </si>
  <si>
    <t>18 56936 479903 12044708 30631</t>
  </si>
  <si>
    <t>istree_exp4_disable_rebuild_helping/step10024.txt</t>
  </si>
  <si>
    <t>5 29995 1032257 11659343 1996166</t>
  </si>
  <si>
    <t>3 29994 1032215 11659322 1996164</t>
  </si>
  <si>
    <t>istree_exp4_disable_rebuild_helping/step10025.txt</t>
  </si>
  <si>
    <t>822 693699 337367 2764974</t>
  </si>
  <si>
    <t>295 686776 335377 2764506</t>
  </si>
  <si>
    <t>istree_exp4_disable_rebuild_helping/step10026.txt</t>
  </si>
  <si>
    <t>63 63282 534019 13386153 33643</t>
  </si>
  <si>
    <t>20 63264 533736 13385591 33643</t>
  </si>
  <si>
    <t>istree_exp4_disable_rebuild_helping/step10027.txt</t>
  </si>
  <si>
    <t>12 30000 1031635 11656904 1996187</t>
  </si>
  <si>
    <t>3 29996 1031538 11656833 1996184</t>
  </si>
  <si>
    <t>istree_exp4_disable_rebuild_helping/step10028.txt</t>
  </si>
  <si>
    <t>291 611391 297329 2446163</t>
  </si>
  <si>
    <t>260 610849 297170 2446119</t>
  </si>
  <si>
    <t>istree_exp4_disable_rebuild_helping/step10029.txt</t>
  </si>
  <si>
    <t>16 47446 398630 10064154 25174</t>
  </si>
  <si>
    <t>15 47444 398610 10064122 25174</t>
  </si>
  <si>
    <t>istree_exp4_disable_rebuild_helping/step10030.txt</t>
  </si>
  <si>
    <t>2 9997 343820 3943535 711174</t>
  </si>
  <si>
    <t>1 9997 343818 3943534 711174</t>
  </si>
  <si>
    <t>istree_exp4_disable_rebuild_helping/step10031.txt</t>
  </si>
  <si>
    <t>2738 3438820 1670714 13724691</t>
  </si>
  <si>
    <t>1464 3418038 1663857 13723372</t>
  </si>
  <si>
    <t>istree_exp4_disable_rebuild_helping/step10032.txt</t>
  </si>
  <si>
    <t>183 347947 2932352 73651734 185208</t>
  </si>
  <si>
    <t>110 347895 2931102 73650460 185207</t>
  </si>
  <si>
    <t>istree_exp4_disable_rebuild_helping/step10033.txt</t>
  </si>
  <si>
    <t>16 79992 2760657 32846293 5713775</t>
  </si>
  <si>
    <t>8 79982 2760550 32846219 5713769</t>
  </si>
  <si>
    <t>istree_exp4_disable_rebuild_helping/step10034.txt</t>
  </si>
  <si>
    <t>6871 5458378 2657743 21770548</t>
  </si>
  <si>
    <t>2322 5399281 2638578 21766570</t>
  </si>
  <si>
    <t>istree_exp4_disable_rebuild_helping/step10035.txt</t>
  </si>
  <si>
    <t>878 735203 6210103 155754943 391342</t>
  </si>
  <si>
    <t>232 734961 6204814 155747409 391333</t>
  </si>
  <si>
    <t>istree_exp4_disable_rebuild_helping/step10036.txt</t>
  </si>
  <si>
    <t>80 199977 6886184 77735345 13316563</t>
  </si>
  <si>
    <t>20 199956 6885579 77734881 13316520</t>
  </si>
  <si>
    <t>istree_exp4_disable_rebuild_helping/step10037.txt</t>
  </si>
  <si>
    <t>293 613423 298781 2452993</t>
  </si>
  <si>
    <t>261 612874 298573 2452947</t>
  </si>
  <si>
    <t>istree_exp4_disable_rebuild_helping/step10038.txt</t>
  </si>
  <si>
    <t>17 47443 398709 10039818 25301</t>
  </si>
  <si>
    <t>15 47443 398684 10039782 25301</t>
  </si>
  <si>
    <t>istree_exp4_disable_rebuild_helping/step10039.txt</t>
  </si>
  <si>
    <t>1 9997 344221 3946845 713740</t>
  </si>
  <si>
    <t>1 9997 344220 3946844 713740</t>
  </si>
  <si>
    <t>istree_exp4_disable_rebuild_helping/step10040.txt</t>
  </si>
  <si>
    <t>2747 3452882 1675174 13788648</t>
  </si>
  <si>
    <t>1470 3431967 1668350 13787217</t>
  </si>
  <si>
    <t>istree_exp4_disable_rebuild_helping/step10041.txt</t>
  </si>
  <si>
    <t>197 344814 2911658 73240059 183181</t>
  </si>
  <si>
    <t>109 344762 2910482 73238824 183180</t>
  </si>
  <si>
    <t>istree_exp4_disable_rebuild_helping/step10042.txt</t>
  </si>
  <si>
    <t>14 79982 2761308 32827803 5713112</t>
  </si>
  <si>
    <t>8 79978 2761190 32827732 5713104</t>
  </si>
  <si>
    <t>istree_exp4_disable_rebuild_helping/step10043.txt</t>
  </si>
  <si>
    <t>7070 5470784 2662341 21818697</t>
  </si>
  <si>
    <t>2327 5411451 2643173 21814641</t>
  </si>
  <si>
    <t>istree_exp4_disable_rebuild_helping/step10044.txt</t>
  </si>
  <si>
    <t>943 733945 6188810 155157000 389281</t>
  </si>
  <si>
    <t>231 733687 6183529 155149732 389271</t>
  </si>
  <si>
    <t>istree_exp4_disable_rebuild_helping/step10045.txt</t>
  </si>
  <si>
    <t>87 199968 6883071 77726222 13321915</t>
  </si>
  <si>
    <t>20 199946 6882445 77725783 13321881</t>
  </si>
  <si>
    <t>istree_exp4_disable_rebuild_helping/step10046.txt</t>
  </si>
  <si>
    <t>296 615904 298886 2463918</t>
  </si>
  <si>
    <t>262 615318 298659 2463870</t>
  </si>
  <si>
    <t>istree_exp4_disable_rebuild_helping/step10047.txt</t>
  </si>
  <si>
    <t>17 47448 401415 10037987 25350</t>
  </si>
  <si>
    <t>15 47446 401380 10037955 25350</t>
  </si>
  <si>
    <t>istree_exp4_disable_rebuild_helping/step10048.txt</t>
  </si>
  <si>
    <t>1 10000 343789 3948587 713228</t>
  </si>
  <si>
    <t>1 10000 343784 3948587 713228</t>
  </si>
  <si>
    <t>istree_exp4_disable_rebuild_helping/step10049.txt</t>
  </si>
  <si>
    <t>2810 3460734 1682568 13816349</t>
  </si>
  <si>
    <t>1473 3439469 1675763 13815059</t>
  </si>
  <si>
    <t>istree_exp4_disable_rebuild_helping/step10050.txt</t>
  </si>
  <si>
    <t>203 347978 2934571 73612874 184877</t>
  </si>
  <si>
    <t>110 347920 2933423 73611551 184875</t>
  </si>
  <si>
    <t>istree_exp4_disable_rebuild_helping/step10051.txt</t>
  </si>
  <si>
    <t>13 79987 2758647 32782421 5700197</t>
  </si>
  <si>
    <t>8 79980 2758516 32782336 5700189</t>
  </si>
  <si>
    <t>istree_exp4_disable_rebuild_helping/step10052.txt</t>
  </si>
  <si>
    <t>7015 5452873 2646203 21737711</t>
  </si>
  <si>
    <t>2319 5393934 2627136 21733697</t>
  </si>
  <si>
    <t>istree_exp4_disable_rebuild_helping/step10053.txt</t>
  </si>
  <si>
    <t>848 734115 6195494 155650268 389945</t>
  </si>
  <si>
    <t>232 733864 6190304 155642917 389938</t>
  </si>
  <si>
    <t>istree_exp4_disable_rebuild_helping/step10054.txt</t>
  </si>
  <si>
    <t>85 199973 6884109 77726890 13320096</t>
  </si>
  <si>
    <t>20 199959 6883442 77726393 13320068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</si>
</sst>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4">
    <dxf>
      <numFmt numFmtId="164" formatCode="0.0"/>
    </dxf>
    <dxf>
      <numFmt numFmtId="1" formatCode="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r>
              <a:rPr lang="en-US" sz="4000"/>
              <a:t>190 threads</a:t>
            </a:r>
          </a:p>
        </c:rich>
      </c:tx>
      <c:layout>
        <c:manualLayout>
          <c:xMode val="edge"/>
          <c:yMode val="edge"/>
          <c:x val="9.0924861259534473E-2"/>
          <c:y val="0.82816734417344173"/>
        </c:manualLayout>
      </c:layout>
      <c:overlay val="1"/>
      <c:spPr>
        <a:noFill/>
        <a:ln w="12700">
          <a:solidFill>
            <a:schemeClr val="bg1"/>
          </a:solid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5125816308342173"/>
          <c:y val="2.0968809419867753E-2"/>
          <c:w val="0.53349405446360842"/>
          <c:h val="0.77297546457607436"/>
        </c:manualLayout>
      </c:layout>
      <c:barChart>
        <c:barDir val="bar"/>
        <c:grouping val="clustered"/>
        <c:varyColors val="0"/>
        <c:ser>
          <c:idx val="2"/>
          <c:order val="0"/>
          <c:tx>
            <c:strRef>
              <c:f>pivot!$B$20</c:f>
              <c:strCache>
                <c:ptCount val="1"/>
                <c:pt idx="0">
                  <c:v>sequential rebuild</c:v>
                </c:pt>
              </c:strCache>
            </c:strRef>
          </c:tx>
          <c:spPr>
            <a:solidFill>
              <a:schemeClr val="accent3"/>
            </a:solidFill>
            <a:ln>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pivot!$B$21:$B$29</c:f>
              <c:numCache>
                <c:formatCode>0</c:formatCode>
                <c:ptCount val="9"/>
                <c:pt idx="0">
                  <c:v>12500643.666666666</c:v>
                </c:pt>
                <c:pt idx="1">
                  <c:v>8446324</c:v>
                </c:pt>
                <c:pt idx="2">
                  <c:v>12320552</c:v>
                </c:pt>
                <c:pt idx="3">
                  <c:v>49998544.5</c:v>
                </c:pt>
                <c:pt idx="4">
                  <c:v>29997319.666666668</c:v>
                </c:pt>
                <c:pt idx="5">
                  <c:v>47995176.333333336</c:v>
                </c:pt>
                <c:pt idx="6">
                  <c:v>166637791.33333334</c:v>
                </c:pt>
                <c:pt idx="7">
                  <c:v>154259533.66666666</c:v>
                </c:pt>
                <c:pt idx="8">
                  <c:v>255901581.33333334</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collaborative rebuild</c:v>
                </c:pt>
              </c:strCache>
            </c:strRef>
          </c:tx>
          <c:spPr>
            <a:solidFill>
              <a:schemeClr val="accent1"/>
            </a:solidFill>
            <a:ln w="76200">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pivot!$C$21:$C$29</c:f>
              <c:numCache>
                <c:formatCode>0</c:formatCode>
                <c:ptCount val="9"/>
                <c:pt idx="0">
                  <c:v>83328978</c:v>
                </c:pt>
                <c:pt idx="1">
                  <c:v>96814394.333333328</c:v>
                </c:pt>
                <c:pt idx="2">
                  <c:v>96679057.333333328</c:v>
                </c:pt>
                <c:pt idx="3">
                  <c:v>142574716</c:v>
                </c:pt>
                <c:pt idx="4">
                  <c:v>183134983.33333334</c:v>
                </c:pt>
                <c:pt idx="5">
                  <c:v>244615267</c:v>
                </c:pt>
                <c:pt idx="6">
                  <c:v>189757715.33333334</c:v>
                </c:pt>
                <c:pt idx="7">
                  <c:v>250934361.66666666</c:v>
                </c:pt>
                <c:pt idx="8">
                  <c:v>435616122.66666669</c:v>
                </c:pt>
              </c:numCache>
            </c:numRef>
          </c:val>
          <c:extLst>
            <c:ext xmlns:c16="http://schemas.microsoft.com/office/drawing/2014/chart" uri="{C3380CC4-5D6E-409C-BE32-E72D297353CC}">
              <c16:uniqueId val="{00000001-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l"/>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254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0.40533162547319124"/>
              <c:y val="0.90482868757258994"/>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ajorUnit val="100000000"/>
        <c:minorUnit val="50000000"/>
        <c:dispUnits>
          <c:builtInUnit val="millions"/>
        </c:dispUnits>
      </c:valAx>
      <c:spPr>
        <a:solidFill>
          <a:srgbClr val="FFFFFF"/>
        </a:solidFill>
        <a:ln w="38100">
          <a:solidFill>
            <a:schemeClr val="bg1"/>
          </a:solidFill>
        </a:ln>
        <a:effectLst/>
      </c:spPr>
    </c:plotArea>
    <c:legend>
      <c:legendPos val="tr"/>
      <c:layout>
        <c:manualLayout>
          <c:xMode val="edge"/>
          <c:yMode val="edge"/>
          <c:x val="0.47920321898270485"/>
          <c:y val="0.60362454026325973"/>
          <c:w val="0.39676660490812066"/>
          <c:h val="0.1768840303986457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210911</xdr:colOff>
      <xdr:row>0</xdr:row>
      <xdr:rowOff>0</xdr:rowOff>
    </xdr:from>
    <xdr:to>
      <xdr:col>48</xdr:col>
      <xdr:colOff>95249</xdr:colOff>
      <xdr:row>44</xdr:row>
      <xdr:rowOff>182957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42176157409" createdVersion="6" refreshedVersion="6" minRefreshableVersion="3" recordCount="55">
  <cacheSource type="worksheet">
    <worksheetSource ref="A1:BC1048576" sheet="data"/>
  </cacheSource>
  <cacheFields count="55">
    <cacheField name="filename" numFmtId="0">
      <sharedItems containsBlank="1"/>
    </cacheField>
    <cacheField name="DS_TYPENAME" numFmtId="0">
      <sharedItems containsBlank="1" count="3">
        <s v="brown_ext_ist_lf_disabled"/>
        <s v="brown_ext_ist_lf_enabled"/>
        <m/>
      </sharedItems>
    </cacheField>
    <cacheField name="size_node" numFmtId="0">
      <sharedItems containsString="0" containsBlank="1" containsNumber="1" containsInteger="1" minValue="72"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800553261" maxValue="1.00016819745912E+16"/>
    </cacheField>
    <cacheField name="threads_final_size" numFmtId="0">
      <sharedItems containsString="0" containsBlank="1" containsNumber="1" containsInteger="1" minValue="999170" maxValue="100007960"/>
    </cacheField>
    <cacheField name="final_keysum" numFmtId="0">
      <sharedItems containsString="0" containsBlank="1" containsNumber="1" containsInteger="1" minValue="998800553261" maxValue="1.00016819745912E+16"/>
    </cacheField>
    <cacheField name="final_size" numFmtId="0">
      <sharedItems containsString="0" containsBlank="1" containsNumber="1" containsInteger="1" minValue="999170" maxValue="100007960"/>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37" maxValue="14869213"/>
    </cacheField>
    <cacheField name="tree_stats_numLeaves" numFmtId="0">
      <sharedItems containsString="0" containsBlank="1" containsNumber="1" containsInteger="1" minValue="1031374" maxValue="118075348"/>
    </cacheField>
    <cacheField name="tree_stats_numNodes" numFmtId="0">
      <sharedItems containsString="0" containsBlank="1" containsNumber="1" containsInteger="1" minValue="1064419" maxValue="132944561"/>
    </cacheField>
    <cacheField name="tree_stats_numKeys" numFmtId="0">
      <sharedItems containsString="0" containsBlank="1" containsNumber="1" containsInteger="1" minValue="999170" maxValue="100007960"/>
    </cacheField>
    <cacheField name="tree_stats_avgDegreeInternal" numFmtId="0">
      <sharedItems containsString="0" containsBlank="1" containsNumber="1" minValue="7.3237399999999999" maxValue="32.2378"/>
    </cacheField>
    <cacheField name="tree_stats_avgDegreeLeaves" numFmtId="0">
      <sharedItems containsString="0" containsBlank="1" containsNumber="1" minValue="0.83168299999999995" maxValue="0.96890799999999999"/>
    </cacheField>
    <cacheField name="tree_stats_avgDegree" numFmtId="0">
      <sharedItems containsString="0" containsBlank="1" containsNumber="1" minValue="1.7181200000000001" maxValue="1.93885"/>
    </cacheField>
    <cacheField name="tree_stats_avgKeyDepth" numFmtId="0">
      <sharedItems containsString="0" containsBlank="1" containsNumber="1" minValue="3.00007" maxValue="4.0805600000000002"/>
    </cacheField>
    <cacheField name="tree_stats_sizeInBytes" numFmtId="0">
      <sharedItems containsString="0" containsBlank="1" containsNumber="1" containsInteger="1" minValue="19145568" maxValue="308268278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749" maxValue="24696031"/>
    </cacheField>
    <cacheField name="first_thread_announced_epoch_by_index" numFmtId="0">
      <sharedItems containsString="0" containsBlank="1" containsNumber="1" containsInteger="1" minValue="658" maxValue="90350"/>
    </cacheField>
    <cacheField name="sum_elapsed_rebuild_depth_total" numFmtId="0">
      <sharedItems containsString="0" containsBlank="1" containsNumber="1" containsInteger="1" minValue="37541669306" maxValue="1785116331970"/>
    </cacheField>
    <cacheField name="sum_elapsed_all_ops_total" numFmtId="0">
      <sharedItems containsString="0" containsBlank="1" containsNumber="1" containsInteger="1" minValue="5686382521533" maxValue="6875961355496"/>
    </cacheField>
    <cacheField name="total_find" numFmtId="0">
      <sharedItems containsString="0" containsBlank="1" containsNumber="1" containsInteger="1" minValue="150007539" maxValue="12989833809"/>
    </cacheField>
    <cacheField name="total_rq" numFmtId="0">
      <sharedItems containsString="0" containsBlank="1" containsNumber="1" containsInteger="1" minValue="0" maxValue="0"/>
    </cacheField>
    <cacheField name="total_updates" numFmtId="0">
      <sharedItems containsString="0" containsBlank="1" containsNumber="1" containsInteger="1" minValue="46069155" maxValue="1163295146"/>
    </cacheField>
    <cacheField name="total_queries" numFmtId="0">
      <sharedItems containsString="0" containsBlank="1" containsNumber="1" containsInteger="1" minValue="150007539" maxValue="12989833809"/>
    </cacheField>
    <cacheField name="total_ops" numFmtId="0">
      <sharedItems containsString="0" containsBlank="1" containsNumber="1" containsInteger="1" minValue="249997556" maxValue="13121034562"/>
    </cacheField>
    <cacheField name="find_throughput" numFmtId="0">
      <sharedItems containsString="0" containsBlank="1" containsNumber="1" containsInteger="1" minValue="5000251" maxValue="432994460"/>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535638" maxValue="38776504"/>
    </cacheField>
    <cacheField name="query_throughput" numFmtId="0">
      <sharedItems containsString="0" containsBlank="1" containsNumber="1" containsInteger="1" minValue="5000251" maxValue="432994460"/>
    </cacheField>
    <cacheField name="total_throughput" numFmtId="0">
      <sharedItems containsString="0" containsBlank="1" containsNumber="1" containsInteger="1" minValue="8333251" maxValue="437367818"/>
    </cacheField>
    <cacheField name="PAPI_L2_TCM" numFmtId="0">
      <sharedItems containsString="0" containsBlank="1" containsNumber="1" minValue="8.5181500000000003" maxValue="31.564599999999999"/>
    </cacheField>
    <cacheField name="PAPI_L3_TCM" numFmtId="0">
      <sharedItems containsString="0" containsBlank="1" containsNumber="1" minValue="0.36979699999999999" maxValue="17.654599999999999"/>
    </cacheField>
    <cacheField name="PAPI_TOT_CYC" numFmtId="0">
      <sharedItems containsString="0" containsBlank="1" containsNumber="1" minValue="1189.6099999999999" maxValue="55055.8"/>
    </cacheField>
    <cacheField name="PAPI_RES_STL" numFmtId="0">
      <sharedItems containsString="0" containsBlank="1" containsNumber="1" minValue="445.40699999999998" maxValue="4214.17"/>
    </cacheField>
    <cacheField name="maxresident_mb" numFmtId="0">
      <sharedItems containsString="0" containsBlank="1" containsNumber="1" containsInteger="1" minValue="1423" maxValue="33724"/>
    </cacheField>
    <cacheField name="prefill_elapsed_ms" numFmtId="0">
      <sharedItems containsString="0" containsBlank="1" containsNumber="1" containsInteger="1" minValue="155" maxValue="1304"/>
    </cacheField>
    <cacheField name="exp" numFmtId="0">
      <sharedItems containsBlank="1" count="47">
        <s v="u=1% k=2x10^6"/>
        <s v="u=1% k=2x10^7"/>
        <s v="u=1% k=2x10^8"/>
        <s v="u=10% k=2x10^6"/>
        <s v="u=10% k=2x10^7"/>
        <s v="u=10% k=2x10^8"/>
        <s v="u=40% k=2x10^6"/>
        <s v="u=40% k=2x10^7"/>
        <s v="u=40% k=2x10^8"/>
        <m/>
        <s v="10% updates, key range [0, 2*10^6)" u="1"/>
        <s v="u=10% k=2 10^6" u="1"/>
        <s v="1% updates, key range [0, 2*10^7)" u="1"/>
        <s v="u=10% k=2.E+6" u="1"/>
        <s v="u=1% k=2.E+7" u="1"/>
        <s v="u=40% k=2 10^6" u="1"/>
        <s v="u=40% k=2.E+6" u="1"/>
        <s v="10% updates, key range [0, 2*10^7)" u="1"/>
        <s v="u=10% k=2 10^7" u="1"/>
        <s v="u=10% k=2.0E8" u="1"/>
        <s v="u=1% k=2 10^8" u="1"/>
        <s v="u=1% k=2.0E7" u="1"/>
        <s v="40% updates, key range [0, 2*10^6)" u="1"/>
        <s v="u=40% k=2 10^7" u="1"/>
        <s v="u=40% k=2.0E8" u="1"/>
        <s v="10% updates, key range [0, 2*10^8)" u="1"/>
        <s v="u=10% k=2 10^8" u="1"/>
        <s v="40% updates, key range [0, 2*10^7)" u="1"/>
        <s v="u=40% k=2 10^8" u="1"/>
        <s v="1% updates, key range [0, 2*10^8)" u="1"/>
        <s v="u=10% k=2.0E6" u="1"/>
        <s v="u=10% k=2.E+7" u="1"/>
        <s v="u=1% k=2 10^6" u="1"/>
        <e v="#NUM!" u="1"/>
        <s v="u=1% k=2.E+6" u="1"/>
        <s v="u=40% k=2.0E6" u="1"/>
        <s v="u=40% k=2.E+7" u="1"/>
        <s v="40% updates, key range [0, 2*10^8)" u="1"/>
        <s v="u=1% k=2.0E6" u="1"/>
        <s v="1% updates, key range [0, 2*10^6)" u="1"/>
        <s v="u=1% k=2.E+8" u="1"/>
        <s v="u=10% k=2.0E7" u="1"/>
        <s v="u=10% k=2.E+8" u="1"/>
        <s v="u=1% k=2.0E8" u="1"/>
        <s v="u=1% k=2 10^7" u="1"/>
        <s v="u=40% k=2.0E7" u="1"/>
        <s v="u=40% k=2.E+8"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s v="istree_exp4_disable_rebuild_helping/step10001.txt"/>
    <x v="0"/>
    <n v="72"/>
    <s v="reclaimer_debra"/>
    <s v="allocator_new"/>
    <s v="pool_none"/>
    <n v="30000"/>
    <n v="0.5"/>
    <n v="0.5"/>
    <n v="0"/>
    <n v="1"/>
    <n v="2000000"/>
    <n v="190"/>
    <n v="190"/>
    <n v="190"/>
    <n v="0"/>
    <s v="insertIfAbsent"/>
    <n v="999806905614"/>
    <n v="999633"/>
    <n v="999806905614"/>
    <n v="999633"/>
    <s v="success"/>
    <n v="6"/>
    <n v="33052"/>
    <n v="1031722"/>
    <n v="1064774"/>
    <n v="999633"/>
    <n v="32.2151"/>
    <n v="0.96889800000000004"/>
    <n v="1.93882"/>
    <n v="3.0001000000000002"/>
    <n v="19151696"/>
    <s v="173 361164 176257 1443677"/>
    <s v="154 360872 176133 1443644"/>
    <m/>
    <n v="42624"/>
    <n v="40098604409"/>
    <n v="5688944302270"/>
    <n v="7614162419"/>
    <n v="0"/>
    <n v="76905391"/>
    <n v="7614162419"/>
    <n v="7691067810"/>
    <n v="253805413"/>
    <n v="0"/>
    <n v="2563513"/>
    <n v="253805413"/>
    <n v="256368927"/>
    <n v="8.5181500000000003"/>
    <n v="0.36979699999999999"/>
    <n v="1989.29"/>
    <n v="445.40699999999998"/>
    <n v="3196"/>
    <n v="306"/>
    <x v="0"/>
  </r>
  <r>
    <s v="istree_exp4_disable_rebuild_helping/step10002.txt"/>
    <x v="0"/>
    <n v="72"/>
    <s v="reclaimer_debra"/>
    <s v="allocator_new"/>
    <s v="pool_none"/>
    <n v="30000"/>
    <n v="0.5"/>
    <n v="0.5"/>
    <n v="0"/>
    <n v="1"/>
    <n v="20000000"/>
    <n v="190"/>
    <n v="190"/>
    <n v="190"/>
    <n v="0"/>
    <s v="insertIfAbsent"/>
    <n v="100019039902313"/>
    <n v="10001447"/>
    <n v="100019039902313"/>
    <n v="10001447"/>
    <s v="success"/>
    <n v="7"/>
    <n v="1845675"/>
    <n v="11897359"/>
    <n v="13743034"/>
    <n v="10001447"/>
    <n v="7.4460699999999997"/>
    <n v="0.84064399999999995"/>
    <n v="1.7277499999999999"/>
    <n v="4.0440300000000002"/>
    <n v="338019936"/>
    <s v="9 28465 239910 6163825 15269"/>
    <s v="9 28464 239895 6163804 15269"/>
    <m/>
    <n v="20758"/>
    <n v="37541669306"/>
    <n v="5687218745225"/>
    <n v="4600912020"/>
    <n v="0"/>
    <n v="46475257"/>
    <n v="4600912020"/>
    <n v="4647387277"/>
    <n v="153363734"/>
    <n v="0"/>
    <n v="1549175"/>
    <n v="153363734"/>
    <n v="154912909"/>
    <n v="16.0215"/>
    <n v="6.5902000000000003"/>
    <n v="3275.9"/>
    <n v="1263.3499999999999"/>
    <n v="3864"/>
    <n v="370"/>
    <x v="1"/>
  </r>
  <r>
    <s v="istree_exp4_disable_rebuild_helping/step10003.txt"/>
    <x v="0"/>
    <n v="72"/>
    <s v="reclaimer_debra"/>
    <s v="allocator_new"/>
    <s v="pool_none"/>
    <n v="30000"/>
    <n v="0.5"/>
    <n v="0.5"/>
    <n v="0"/>
    <n v="1"/>
    <n v="200000000"/>
    <n v="190"/>
    <n v="190"/>
    <n v="190"/>
    <n v="0"/>
    <s v="insertIfAbsent"/>
    <n v="1.00003152212225E+16"/>
    <n v="99998253"/>
    <n v="1.00003152212225E+16"/>
    <n v="99998253"/>
    <s v="success"/>
    <n v="7"/>
    <n v="11010062"/>
    <n v="109998357"/>
    <n v="121008419"/>
    <n v="99998253"/>
    <n v="10.9907"/>
    <n v="0.90908900000000004"/>
    <n v="1.82637"/>
    <n v="4"/>
    <n v="2640778656"/>
    <s v="1 9996 344486 3888772 665868"/>
    <s v="1 9996 344483 3888770 665868"/>
    <m/>
    <n v="29210"/>
    <n v="44115701196"/>
    <n v="6791455235648"/>
    <n v="4949980577"/>
    <n v="0"/>
    <n v="49998415"/>
    <n v="4949980577"/>
    <n v="4999978992"/>
    <n v="164999352"/>
    <n v="0"/>
    <n v="1666613"/>
    <n v="164999352"/>
    <n v="166665966"/>
    <n v="19.5182"/>
    <n v="9.6269299999999998"/>
    <n v="3699.08"/>
    <n v="1979.89"/>
    <n v="13572"/>
    <n v="1076"/>
    <x v="2"/>
  </r>
  <r>
    <s v="istree_exp4_disable_rebuild_helping/step10004.txt"/>
    <x v="0"/>
    <n v="72"/>
    <s v="reclaimer_debra"/>
    <s v="allocator_new"/>
    <s v="pool_none"/>
    <n v="30000"/>
    <n v="5"/>
    <n v="5"/>
    <n v="0"/>
    <n v="1"/>
    <n v="2000000"/>
    <n v="190"/>
    <n v="190"/>
    <n v="190"/>
    <n v="0"/>
    <s v="insertIfAbsent"/>
    <n v="999865768028"/>
    <n v="1000503"/>
    <n v="999865768028"/>
    <n v="1000503"/>
    <s v="success"/>
    <n v="6"/>
    <n v="33074"/>
    <n v="1032624"/>
    <n v="1065698"/>
    <n v="1000503"/>
    <n v="32.221600000000002"/>
    <n v="0.96889400000000003"/>
    <n v="1.93882"/>
    <n v="3.0000800000000001"/>
    <n v="19167888"/>
    <s v="519 678323 329610 2710485"/>
    <s v="289 674957 328369 2710205"/>
    <m/>
    <n v="2318"/>
    <n v="78205839095"/>
    <n v="5693074186418"/>
    <n v="1298739876"/>
    <n v="0"/>
    <n v="144298920"/>
    <n v="1298739876"/>
    <n v="1443038796"/>
    <n v="43291329"/>
    <n v="0"/>
    <n v="4809964"/>
    <n v="43291329"/>
    <n v="48101293"/>
    <n v="11.2491"/>
    <n v="2.6701800000000002"/>
    <n v="10179.9"/>
    <n v="1115.57"/>
    <n v="4301"/>
    <n v="244"/>
    <x v="3"/>
  </r>
  <r>
    <s v="istree_exp4_disable_rebuild_helping/step10005.txt"/>
    <x v="0"/>
    <n v="72"/>
    <s v="reclaimer_debra"/>
    <s v="allocator_new"/>
    <s v="pool_none"/>
    <n v="30000"/>
    <n v="5"/>
    <n v="5"/>
    <n v="0"/>
    <n v="1"/>
    <n v="20000000"/>
    <n v="190"/>
    <n v="190"/>
    <n v="190"/>
    <n v="0"/>
    <s v="insertIfAbsent"/>
    <n v="99990565309806"/>
    <n v="9999714"/>
    <n v="99990565309806"/>
    <n v="9999714"/>
    <s v="success"/>
    <n v="7"/>
    <n v="1625832"/>
    <n v="11442136"/>
    <n v="13067968"/>
    <n v="9999714"/>
    <n v="8.0377100000000006"/>
    <n v="0.87393799999999999"/>
    <n v="1.7652099999999999"/>
    <n v="4.0000099999999996"/>
    <n v="313140720"/>
    <s v="39 56930 479266 12045694 30240"/>
    <s v="18 56925 479104 12045435 30239"/>
    <m/>
    <n v="3642"/>
    <n v="72692384485"/>
    <n v="5743373378812"/>
    <n v="809578800"/>
    <n v="0"/>
    <n v="89962735"/>
    <n v="809578800"/>
    <n v="899541535"/>
    <n v="26985960"/>
    <n v="0"/>
    <n v="2998757"/>
    <n v="26985960"/>
    <n v="29984717"/>
    <n v="18.4008"/>
    <n v="8.1514000000000006"/>
    <n v="15106"/>
    <n v="1842.98"/>
    <n v="7135"/>
    <n v="389"/>
    <x v="4"/>
  </r>
  <r>
    <s v="istree_exp4_disable_rebuild_helping/step10006.txt"/>
    <x v="0"/>
    <n v="72"/>
    <s v="reclaimer_debra"/>
    <s v="allocator_new"/>
    <s v="pool_none"/>
    <n v="30000"/>
    <n v="5"/>
    <n v="5"/>
    <n v="0"/>
    <n v="1"/>
    <n v="200000000"/>
    <n v="190"/>
    <n v="190"/>
    <n v="190"/>
    <n v="0"/>
    <s v="insertIfAbsent"/>
    <m/>
    <m/>
    <m/>
    <m/>
    <m/>
    <m/>
    <m/>
    <m/>
    <m/>
    <m/>
    <m/>
    <m/>
    <m/>
    <m/>
    <m/>
    <m/>
    <m/>
    <m/>
    <m/>
    <m/>
    <m/>
    <m/>
    <m/>
    <m/>
    <m/>
    <m/>
    <m/>
    <m/>
    <m/>
    <m/>
    <m/>
    <m/>
    <m/>
    <m/>
    <m/>
    <n v="30422"/>
    <n v="1087"/>
    <x v="5"/>
  </r>
  <r>
    <s v="istree_exp4_disable_rebuild_helping/step10007.txt"/>
    <x v="0"/>
    <n v="72"/>
    <s v="reclaimer_debra"/>
    <s v="allocator_new"/>
    <s v="pool_none"/>
    <n v="30000"/>
    <n v="20"/>
    <n v="20"/>
    <n v="0"/>
    <n v="1"/>
    <n v="2000000"/>
    <n v="190"/>
    <n v="190"/>
    <n v="190"/>
    <n v="0"/>
    <s v="insertIfAbsent"/>
    <n v="998800553261"/>
    <n v="999304"/>
    <n v="998800553261"/>
    <n v="999304"/>
    <s v="success"/>
    <n v="6"/>
    <n v="33058"/>
    <n v="1031413"/>
    <n v="1064471"/>
    <n v="999304"/>
    <n v="32.200099999999999"/>
    <n v="0.96886899999999998"/>
    <n v="1.9387799999999999"/>
    <n v="3.0001099999999998"/>
    <n v="19147232"/>
    <s v="886 698505 339803 2783967"/>
    <s v="297 691684 337684 2783516"/>
    <m/>
    <n v="666"/>
    <n v="83376784411"/>
    <n v="5703398735057"/>
    <n v="222494351"/>
    <n v="0"/>
    <n v="148337900"/>
    <n v="222494351"/>
    <n v="370832251"/>
    <n v="7416478"/>
    <n v="0"/>
    <n v="4944596"/>
    <n v="7416478"/>
    <n v="12361075"/>
    <n v="19.239699999999999"/>
    <n v="8.9894999999999996"/>
    <n v="39455.4"/>
    <n v="2992.13"/>
    <n v="4161"/>
    <n v="250"/>
    <x v="6"/>
  </r>
  <r>
    <s v="istree_exp4_disable_rebuild_helping/step10008.txt"/>
    <x v="0"/>
    <n v="72"/>
    <s v="reclaimer_debra"/>
    <s v="allocator_new"/>
    <s v="pool_none"/>
    <n v="30000"/>
    <n v="20"/>
    <n v="20"/>
    <n v="0"/>
    <n v="1"/>
    <n v="20000000"/>
    <n v="190"/>
    <n v="190"/>
    <n v="190"/>
    <n v="0"/>
    <s v="insertIfAbsent"/>
    <n v="100020375293966"/>
    <n v="10002332"/>
    <n v="100020375293966"/>
    <n v="10002332"/>
    <s v="success"/>
    <n v="7"/>
    <n v="1735002"/>
    <n v="11673000"/>
    <n v="13408002"/>
    <n v="10002332"/>
    <n v="7.7279499999999999"/>
    <n v="0.85687800000000003"/>
    <n v="1.746"/>
    <n v="4.0223800000000001"/>
    <n v="325572192"/>
    <s v="71 66180 562031 13946476 34927"/>
    <s v="20 66166 561697 13945865 34924"/>
    <m/>
    <n v="944"/>
    <n v="82270594976"/>
    <n v="5689982835133"/>
    <n v="156074595"/>
    <n v="0"/>
    <n v="104052444"/>
    <n v="156074595"/>
    <n v="260127039"/>
    <n v="5202486"/>
    <n v="0"/>
    <n v="3468414"/>
    <n v="5202486"/>
    <n v="8670901"/>
    <n v="25.375399999999999"/>
    <n v="13.2767"/>
    <n v="52071.1"/>
    <n v="3443.71"/>
    <n v="7979"/>
    <n v="381"/>
    <x v="7"/>
  </r>
  <r>
    <s v="istree_exp4_disable_rebuild_helping/step10009.txt"/>
    <x v="0"/>
    <n v="72"/>
    <s v="reclaimer_debra"/>
    <s v="allocator_new"/>
    <s v="pool_none"/>
    <n v="30000"/>
    <n v="20"/>
    <n v="20"/>
    <n v="0"/>
    <n v="1"/>
    <n v="200000000"/>
    <n v="190"/>
    <n v="190"/>
    <n v="190"/>
    <n v="0"/>
    <s v="insertIfAbsent"/>
    <n v="1.00005494902476E+16"/>
    <n v="100005394"/>
    <n v="1.00005494902476E+16"/>
    <n v="100005394"/>
    <s v="success"/>
    <n v="7"/>
    <n v="11011146"/>
    <n v="110006490"/>
    <n v="121017636"/>
    <n v="100005394"/>
    <n v="10.990500000000001"/>
    <n v="0.90908599999999995"/>
    <n v="1.82637"/>
    <n v="4"/>
    <n v="2640995504"/>
    <s v="8 29997 1032552 11663988 1999207"/>
    <s v="3 29992 1032467 11663905 1999198"/>
    <m/>
    <n v="852"/>
    <n v="145295780275"/>
    <n v="5787958051906"/>
    <n v="225023795"/>
    <n v="0"/>
    <n v="150008418"/>
    <n v="225023795"/>
    <n v="375032213"/>
    <n v="7500793"/>
    <n v="0"/>
    <n v="5000280"/>
    <n v="7500793"/>
    <n v="12501073"/>
    <n v="27.457699999999999"/>
    <n v="14.247400000000001"/>
    <n v="39982.6"/>
    <n v="3563.16"/>
    <n v="33686"/>
    <n v="1144"/>
    <x v="8"/>
  </r>
  <r>
    <s v="istree_exp4_disable_rebuild_helping/step10010.txt"/>
    <x v="0"/>
    <n v="72"/>
    <s v="reclaimer_debra"/>
    <s v="allocator_new"/>
    <s v="pool_none"/>
    <n v="30000"/>
    <n v="0.5"/>
    <n v="0.5"/>
    <n v="0"/>
    <n v="1"/>
    <n v="2000000"/>
    <n v="190"/>
    <n v="190"/>
    <n v="190"/>
    <n v="0"/>
    <s v="insertIfAbsent"/>
    <n v="999551982177"/>
    <n v="999356"/>
    <n v="999551982177"/>
    <n v="999356"/>
    <s v="success"/>
    <n v="6"/>
    <n v="42114"/>
    <n v="1049544"/>
    <n v="1091658"/>
    <n v="999356"/>
    <n v="25.921500000000002"/>
    <n v="0.95218100000000006"/>
    <n v="1.9154500000000001"/>
    <n v="3.0185"/>
    <n v="20164608"/>
    <s v="172 361600 174891 1442669"/>
    <s v="154 361284 174784 1442647"/>
    <m/>
    <n v="42324"/>
    <n v="39972168914"/>
    <n v="5686429500830"/>
    <n v="7616779043"/>
    <n v="0"/>
    <n v="76924244"/>
    <n v="7616779043"/>
    <n v="7693703287"/>
    <n v="253892634"/>
    <n v="0"/>
    <n v="2564141"/>
    <n v="253892634"/>
    <n v="256456776"/>
    <n v="8.5311199999999996"/>
    <n v="0.371832"/>
    <n v="1988.25"/>
    <n v="450.68200000000002"/>
    <n v="3067"/>
    <n v="374"/>
    <x v="0"/>
  </r>
  <r>
    <s v="istree_exp4_disable_rebuild_helping/step10011.txt"/>
    <x v="0"/>
    <n v="72"/>
    <s v="reclaimer_debra"/>
    <s v="allocator_new"/>
    <s v="pool_none"/>
    <n v="30000"/>
    <n v="0.5"/>
    <n v="0.5"/>
    <n v="0"/>
    <n v="1"/>
    <n v="20000000"/>
    <n v="190"/>
    <n v="190"/>
    <n v="190"/>
    <n v="0"/>
    <s v="insertIfAbsent"/>
    <n v="99973374742963"/>
    <n v="9997569"/>
    <n v="99973374742963"/>
    <n v="9997569"/>
    <s v="success"/>
    <n v="7"/>
    <n v="1830166"/>
    <n v="11861793"/>
    <n v="13691959"/>
    <n v="9997569"/>
    <n v="7.4812700000000003"/>
    <n v="0.84283799999999998"/>
    <n v="1.7301800000000001"/>
    <n v="4.0410300000000001"/>
    <n v="336207920"/>
    <s v="10 28464 239857 6139679 15089"/>
    <s v="9 28464 239837 6139660 15089"/>
    <m/>
    <n v="20752"/>
    <n v="38016807691"/>
    <n v="5686847457713"/>
    <n v="4581693382"/>
    <n v="0"/>
    <n v="46285889"/>
    <n v="4581693382"/>
    <n v="4627979271"/>
    <n v="152723112"/>
    <n v="0"/>
    <n v="1542862"/>
    <n v="152723112"/>
    <n v="154265975"/>
    <n v="16.0075"/>
    <n v="6.58826"/>
    <n v="3284.92"/>
    <n v="1268.01"/>
    <n v="3876"/>
    <n v="496"/>
    <x v="1"/>
  </r>
  <r>
    <s v="istree_exp4_disable_rebuild_helping/step10012.txt"/>
    <x v="0"/>
    <n v="72"/>
    <s v="reclaimer_debra"/>
    <s v="allocator_new"/>
    <s v="pool_none"/>
    <n v="30000"/>
    <n v="0.5"/>
    <n v="0.5"/>
    <n v="0"/>
    <n v="1"/>
    <n v="200000000"/>
    <n v="190"/>
    <n v="190"/>
    <n v="190"/>
    <n v="0"/>
    <s v="insertIfAbsent"/>
    <n v="1.00002239593371E+16"/>
    <n v="99999731"/>
    <n v="1.00002239593371E+16"/>
    <n v="99999731"/>
    <s v="success"/>
    <n v="7"/>
    <n v="11010052"/>
    <n v="109999820"/>
    <n v="121009872"/>
    <n v="99999731"/>
    <n v="10.9909"/>
    <n v="0.90908999999999995"/>
    <n v="1.8263799999999999"/>
    <n v="4"/>
    <n v="2640801264"/>
    <s v="1 9997 344664 3887448 667072"/>
    <s v="1 9997 344663 3887448 667072"/>
    <m/>
    <n v="28958"/>
    <n v="43957725620"/>
    <n v="6789853131361"/>
    <n v="4947129989"/>
    <n v="0"/>
    <n v="49982507"/>
    <n v="4947129989"/>
    <n v="4997112496"/>
    <n v="164904332"/>
    <n v="0"/>
    <n v="1666083"/>
    <n v="164904332"/>
    <n v="166570416"/>
    <n v="19.4587"/>
    <n v="9.6327099999999994"/>
    <n v="3699.51"/>
    <n v="1991.27"/>
    <n v="13568"/>
    <n v="1109"/>
    <x v="2"/>
  </r>
  <r>
    <s v="istree_exp4_disable_rebuild_helping/step10013.txt"/>
    <x v="0"/>
    <n v="72"/>
    <s v="reclaimer_debra"/>
    <s v="allocator_new"/>
    <s v="pool_none"/>
    <n v="30000"/>
    <n v="5"/>
    <n v="5"/>
    <n v="0"/>
    <n v="1"/>
    <n v="2000000"/>
    <n v="190"/>
    <n v="190"/>
    <n v="190"/>
    <n v="0"/>
    <s v="insertIfAbsent"/>
    <n v="999433322449"/>
    <n v="999282"/>
    <n v="999433322449"/>
    <n v="999282"/>
    <s v="success"/>
    <n v="6"/>
    <n v="33045"/>
    <n v="1031374"/>
    <n v="1064419"/>
    <n v="999282"/>
    <n v="32.211199999999998"/>
    <n v="0.96888399999999997"/>
    <n v="1.9388099999999999"/>
    <n v="3.0000900000000001"/>
    <n v="19145568"/>
    <s v="509 670026 325140 2669131"/>
    <s v="285 666534 323839 2668870"/>
    <m/>
    <n v="2420"/>
    <n v="77653070054"/>
    <n v="5696515462126"/>
    <n v="1280897009"/>
    <n v="0"/>
    <n v="142313226"/>
    <n v="1280897009"/>
    <n v="1423210235"/>
    <n v="42696566"/>
    <n v="0"/>
    <n v="4743774"/>
    <n v="42696566"/>
    <n v="47440341"/>
    <n v="11.2555"/>
    <n v="2.66568"/>
    <n v="10329.700000000001"/>
    <n v="1129.32"/>
    <n v="4283"/>
    <n v="333"/>
    <x v="3"/>
  </r>
  <r>
    <s v="istree_exp4_disable_rebuild_helping/step10014.txt"/>
    <x v="0"/>
    <n v="72"/>
    <s v="reclaimer_debra"/>
    <s v="allocator_new"/>
    <s v="pool_none"/>
    <n v="30000"/>
    <n v="5"/>
    <n v="5"/>
    <n v="0"/>
    <n v="1"/>
    <n v="20000000"/>
    <n v="190"/>
    <n v="190"/>
    <n v="190"/>
    <n v="0"/>
    <s v="insertIfAbsent"/>
    <n v="99933540736710"/>
    <n v="9995385"/>
    <n v="99933540736710"/>
    <n v="9995385"/>
    <s v="success"/>
    <n v="7"/>
    <n v="1625325"/>
    <n v="11437357"/>
    <n v="13062682"/>
    <n v="9995385"/>
    <n v="8.0369700000000002"/>
    <n v="0.87392400000000003"/>
    <n v="1.76519"/>
    <n v="4.0000099999999996"/>
    <n v="313023696"/>
    <s v="25 56938 480216 12050950 30044"/>
    <s v="18 56931 480046 12050706 30044"/>
    <m/>
    <n v="3652"/>
    <n v="73226211301"/>
    <n v="5821686306661"/>
    <n v="810220296"/>
    <n v="0"/>
    <n v="90009927"/>
    <n v="810220296"/>
    <n v="900230223"/>
    <n v="27007343"/>
    <n v="0"/>
    <n v="3000330"/>
    <n v="27007343"/>
    <n v="30007674"/>
    <n v="18.417100000000001"/>
    <n v="8.1566600000000005"/>
    <n v="15375"/>
    <n v="1869.81"/>
    <n v="7197"/>
    <n v="410"/>
    <x v="4"/>
  </r>
  <r>
    <s v="istree_exp4_disable_rebuild_helping/step10015.txt"/>
    <x v="0"/>
    <n v="72"/>
    <s v="reclaimer_debra"/>
    <s v="allocator_new"/>
    <s v="pool_none"/>
    <n v="30000"/>
    <n v="5"/>
    <n v="5"/>
    <n v="0"/>
    <n v="1"/>
    <n v="200000000"/>
    <n v="190"/>
    <n v="190"/>
    <n v="190"/>
    <n v="0"/>
    <s v="insertIfAbsent"/>
    <n v="1.00005225486234E+16"/>
    <n v="100007077"/>
    <n v="1.00005225486234E+16"/>
    <n v="100007077"/>
    <s v="success"/>
    <n v="7"/>
    <n v="11011153"/>
    <n v="110008174"/>
    <n v="121019327"/>
    <n v="100007077"/>
    <n v="10.990600000000001"/>
    <n v="0.90908800000000001"/>
    <n v="1.82637"/>
    <n v="4"/>
    <n v="2641023008"/>
    <s v="7 29992 1032336 11659990 1997819"/>
    <s v="3 29989 1032283 11659968 1997817"/>
    <m/>
    <n v="2950"/>
    <n v="122379947247"/>
    <n v="6875961355496"/>
    <n v="1349963584"/>
    <n v="0"/>
    <n v="149986329"/>
    <n v="1349963584"/>
    <n v="1499949913"/>
    <n v="44998786"/>
    <n v="0"/>
    <n v="4999544"/>
    <n v="44998786"/>
    <n v="49998330"/>
    <n v="21.351900000000001"/>
    <n v="10.5852"/>
    <n v="12087.3"/>
    <n v="2459.6799999999998"/>
    <n v="33675"/>
    <n v="1086"/>
    <x v="5"/>
  </r>
  <r>
    <s v="istree_exp4_disable_rebuild_helping/step10016.txt"/>
    <x v="0"/>
    <n v="72"/>
    <s v="reclaimer_debra"/>
    <s v="allocator_new"/>
    <s v="pool_none"/>
    <n v="30000"/>
    <n v="20"/>
    <n v="20"/>
    <n v="0"/>
    <n v="1"/>
    <n v="2000000"/>
    <n v="190"/>
    <n v="190"/>
    <n v="190"/>
    <n v="0"/>
    <s v="insertIfAbsent"/>
    <n v="999739372780"/>
    <n v="1000114"/>
    <n v="999739372780"/>
    <n v="1000114"/>
    <s v="success"/>
    <n v="6"/>
    <n v="35694"/>
    <n v="1037551"/>
    <n v="1073245"/>
    <n v="1000114"/>
    <n v="30.067900000000002"/>
    <n v="0.96391800000000005"/>
    <n v="1.9318599999999999"/>
    <n v="3.0053299999999998"/>
    <n v="19456464"/>
    <s v="896 695895 337657 2777510"/>
    <s v="296 689366 335633 2776998"/>
    <m/>
    <n v="658"/>
    <n v="82868832094"/>
    <n v="5686424594839"/>
    <n v="221835482"/>
    <n v="0"/>
    <n v="147873130"/>
    <n v="221835482"/>
    <n v="369708612"/>
    <n v="7394516"/>
    <n v="0"/>
    <n v="4929104"/>
    <n v="7394516"/>
    <n v="12323620"/>
    <n v="19.249500000000001"/>
    <n v="8.9781899999999997"/>
    <n v="39505.1"/>
    <n v="2981.65"/>
    <n v="4233"/>
    <n v="249"/>
    <x v="6"/>
  </r>
  <r>
    <s v="istree_exp4_disable_rebuild_helping/step10017.txt"/>
    <x v="0"/>
    <n v="72"/>
    <s v="reclaimer_debra"/>
    <s v="allocator_new"/>
    <s v="pool_none"/>
    <n v="30000"/>
    <n v="20"/>
    <n v="20"/>
    <n v="0"/>
    <n v="1"/>
    <n v="20000000"/>
    <n v="190"/>
    <n v="190"/>
    <n v="190"/>
    <n v="0"/>
    <s v="insertIfAbsent"/>
    <n v="99980160838133"/>
    <n v="10001078"/>
    <n v="99980160838133"/>
    <n v="10001078"/>
    <s v="success"/>
    <n v="7"/>
    <n v="1625843"/>
    <n v="11443514"/>
    <n v="13069357"/>
    <n v="10001078"/>
    <n v="8.0385100000000005"/>
    <n v="0.87395199999999995"/>
    <n v="1.7652300000000001"/>
    <n v="4.0000099999999996"/>
    <n v="313163648"/>
    <s v="66 63276 533633 13384472 33415"/>
    <s v="20 63260 533312 13383808 33414"/>
    <m/>
    <n v="1426"/>
    <n v="80940443517"/>
    <n v="5784989934296"/>
    <n v="150007539"/>
    <n v="0"/>
    <n v="99990017"/>
    <n v="150007539"/>
    <n v="249997556"/>
    <n v="5000251"/>
    <n v="0"/>
    <n v="3333000"/>
    <n v="5000251"/>
    <n v="8333251"/>
    <n v="25.5045"/>
    <n v="13.342000000000001"/>
    <n v="55055.8"/>
    <n v="3420.49"/>
    <n v="7498"/>
    <n v="376"/>
    <x v="7"/>
  </r>
  <r>
    <s v="istree_exp4_disable_rebuild_helping/step10018.txt"/>
    <x v="0"/>
    <n v="72"/>
    <s v="reclaimer_debra"/>
    <s v="allocator_new"/>
    <s v="pool_none"/>
    <n v="30000"/>
    <n v="20"/>
    <n v="20"/>
    <n v="0"/>
    <n v="1"/>
    <n v="200000000"/>
    <n v="190"/>
    <n v="190"/>
    <n v="190"/>
    <n v="0"/>
    <s v="insertIfAbsent"/>
    <n v="1.00016819745912E+16"/>
    <n v="100004465"/>
    <n v="1.00016819745912E+16"/>
    <n v="100004465"/>
    <s v="success"/>
    <n v="7"/>
    <n v="11011146"/>
    <n v="110005558"/>
    <n v="121016704"/>
    <n v="100004465"/>
    <n v="10.990399999999999"/>
    <n v="0.90908599999999995"/>
    <n v="1.82637"/>
    <n v="4"/>
    <n v="2640980592"/>
    <s v="11 29998 1032502 11660437 1996327"/>
    <s v="3 29996 1032422 11660386 1996317"/>
    <m/>
    <n v="844"/>
    <n v="146070114891"/>
    <n v="5820810947327"/>
    <n v="224982090"/>
    <n v="0"/>
    <n v="150003796"/>
    <n v="224982090"/>
    <n v="374985886"/>
    <n v="7499403"/>
    <n v="0"/>
    <n v="5000126"/>
    <n v="7499403"/>
    <n v="12499529"/>
    <n v="27.4482"/>
    <n v="14.247999999999999"/>
    <n v="40252.5"/>
    <n v="3530.06"/>
    <n v="33724"/>
    <n v="1078"/>
    <x v="8"/>
  </r>
  <r>
    <s v="istree_exp4_disable_rebuild_helping/step10019.txt"/>
    <x v="0"/>
    <n v="72"/>
    <s v="reclaimer_debra"/>
    <s v="allocator_new"/>
    <s v="pool_none"/>
    <n v="30000"/>
    <n v="0.5"/>
    <n v="0.5"/>
    <n v="0"/>
    <n v="1"/>
    <n v="2000000"/>
    <n v="190"/>
    <n v="190"/>
    <n v="190"/>
    <n v="0"/>
    <s v="insertIfAbsent"/>
    <n v="999261077113"/>
    <n v="999170"/>
    <n v="999261077113"/>
    <n v="999170"/>
    <s v="success"/>
    <n v="6"/>
    <n v="47489"/>
    <n v="1060293"/>
    <n v="1107782"/>
    <n v="999170"/>
    <n v="23.327100000000002"/>
    <n v="0.942353"/>
    <n v="1.9019600000000001"/>
    <n v="3.02969"/>
    <n v="20771088"/>
    <s v="173 359172 174520 1435916"/>
    <s v="153 358844 174411 1435883"/>
    <m/>
    <n v="42976"/>
    <n v="39721135441"/>
    <n v="5686433026152"/>
    <n v="7569919624"/>
    <n v="0"/>
    <n v="76451620"/>
    <n v="7569919624"/>
    <n v="7646371244"/>
    <n v="252330654"/>
    <n v="0"/>
    <n v="2548387"/>
    <n v="252330654"/>
    <n v="254879041"/>
    <n v="8.5330300000000001"/>
    <n v="0.37138399999999999"/>
    <n v="2003.76"/>
    <n v="454.74299999999999"/>
    <n v="3130"/>
    <n v="304"/>
    <x v="0"/>
  </r>
  <r>
    <s v="istree_exp4_disable_rebuild_helping/step10020.txt"/>
    <x v="0"/>
    <n v="72"/>
    <s v="reclaimer_debra"/>
    <s v="allocator_new"/>
    <s v="pool_none"/>
    <n v="30000"/>
    <n v="0.5"/>
    <n v="0.5"/>
    <n v="0"/>
    <n v="1"/>
    <n v="20000000"/>
    <n v="190"/>
    <n v="190"/>
    <n v="190"/>
    <n v="0"/>
    <s v="insertIfAbsent"/>
    <n v="99992963846388"/>
    <n v="9997795"/>
    <n v="99992963846388"/>
    <n v="9997795"/>
    <s v="success"/>
    <n v="7"/>
    <n v="1807346"/>
    <n v="11812079"/>
    <n v="13619425"/>
    <n v="9997795"/>
    <n v="7.53559"/>
    <n v="0.84640400000000005"/>
    <n v="1.7340800000000001"/>
    <n v="4.0364399999999998"/>
    <n v="333583904"/>
    <s v="9 28466 239583 6106941 15018"/>
    <s v="9 28465 239566 6106924 15018"/>
    <m/>
    <n v="20798"/>
    <n v="37579874719"/>
    <n v="5686545426840"/>
    <n v="4561922384"/>
    <n v="0"/>
    <n v="46069155"/>
    <n v="4561922384"/>
    <n v="4607991539"/>
    <n v="152064079"/>
    <n v="0"/>
    <n v="1535638"/>
    <n v="152064079"/>
    <n v="153599717"/>
    <n v="16.0337"/>
    <n v="6.5911799999999996"/>
    <n v="3296.76"/>
    <n v="1266.4100000000001"/>
    <n v="3878"/>
    <n v="388"/>
    <x v="1"/>
  </r>
  <r>
    <s v="istree_exp4_disable_rebuild_helping/step10021.txt"/>
    <x v="0"/>
    <n v="72"/>
    <s v="reclaimer_debra"/>
    <s v="allocator_new"/>
    <s v="pool_none"/>
    <n v="30000"/>
    <n v="0.5"/>
    <n v="0.5"/>
    <n v="0"/>
    <n v="1"/>
    <n v="200000000"/>
    <n v="190"/>
    <n v="190"/>
    <n v="190"/>
    <n v="0"/>
    <s v="insertIfAbsent"/>
    <n v="1.00003266716083E+16"/>
    <n v="99996658"/>
    <n v="1.00003266716083E+16"/>
    <n v="99996658"/>
    <s v="success"/>
    <n v="7"/>
    <n v="11010048"/>
    <n v="109996752"/>
    <n v="121006800"/>
    <n v="99996658"/>
    <n v="10.990600000000001"/>
    <n v="0.90908699999999998"/>
    <n v="1.82637"/>
    <n v="4"/>
    <n v="2640751856"/>
    <s v="1 9999 343767 3885579 665589"/>
    <s v="1 9999 343765 3885579 665589"/>
    <m/>
    <n v="28778"/>
    <n v="43929258231"/>
    <n v="6755769967346"/>
    <n v="4950310624"/>
    <n v="0"/>
    <n v="49999145"/>
    <n v="4950310624"/>
    <n v="5000309769"/>
    <n v="165010354"/>
    <n v="0"/>
    <n v="1666638"/>
    <n v="165010354"/>
    <n v="166676992"/>
    <n v="19.5349"/>
    <n v="9.6349800000000005"/>
    <n v="3680.09"/>
    <n v="1981.61"/>
    <n v="13622"/>
    <n v="1039"/>
    <x v="2"/>
  </r>
  <r>
    <s v="istree_exp4_disable_rebuild_helping/step10022.txt"/>
    <x v="0"/>
    <n v="72"/>
    <s v="reclaimer_debra"/>
    <s v="allocator_new"/>
    <s v="pool_none"/>
    <n v="30000"/>
    <n v="5"/>
    <n v="5"/>
    <n v="0"/>
    <n v="1"/>
    <n v="2000000"/>
    <n v="190"/>
    <n v="190"/>
    <n v="190"/>
    <n v="0"/>
    <s v="insertIfAbsent"/>
    <n v="1000734706754"/>
    <n v="1000548"/>
    <n v="1000734706754"/>
    <n v="1000548"/>
    <s v="success"/>
    <n v="6"/>
    <n v="33077"/>
    <n v="1032670"/>
    <n v="1065747"/>
    <n v="1000548"/>
    <n v="32.220199999999998"/>
    <n v="0.96889400000000003"/>
    <n v="1.93882"/>
    <n v="3.0000800000000001"/>
    <n v="19168864"/>
    <s v="506 683839 331612 2728627"/>
    <s v="291 680339 330323 2728384"/>
    <m/>
    <n v="2536"/>
    <n v="78478908265"/>
    <n v="5689510849553"/>
    <n v="1307967191"/>
    <n v="0"/>
    <n v="145349682"/>
    <n v="1307967191"/>
    <n v="1453316873"/>
    <n v="43598906"/>
    <n v="0"/>
    <n v="4844989"/>
    <n v="43598906"/>
    <n v="48443895"/>
    <n v="11.258699999999999"/>
    <n v="2.6712400000000001"/>
    <n v="10104.700000000001"/>
    <n v="1112.58"/>
    <n v="4194"/>
    <n v="323"/>
    <x v="3"/>
  </r>
  <r>
    <s v="istree_exp4_disable_rebuild_helping/step10023.txt"/>
    <x v="0"/>
    <n v="72"/>
    <s v="reclaimer_debra"/>
    <s v="allocator_new"/>
    <s v="pool_none"/>
    <n v="30000"/>
    <n v="5"/>
    <n v="5"/>
    <n v="0"/>
    <n v="1"/>
    <n v="20000000"/>
    <n v="190"/>
    <n v="190"/>
    <n v="190"/>
    <n v="0"/>
    <s v="insertIfAbsent"/>
    <n v="99994994726967"/>
    <n v="9999287"/>
    <n v="99994994726967"/>
    <n v="9999287"/>
    <s v="success"/>
    <n v="7"/>
    <n v="1625826"/>
    <n v="11441709"/>
    <n v="13067535"/>
    <n v="9999287"/>
    <n v="8.0374700000000008"/>
    <n v="0.87393299999999996"/>
    <n v="1.7652000000000001"/>
    <n v="4.0000099999999996"/>
    <n v="313133408"/>
    <s v="36 56948 480085 12044965 30632"/>
    <s v="18 56936 479903 12044708 30631"/>
    <m/>
    <n v="3492"/>
    <n v="72480597677"/>
    <n v="5817155144738"/>
    <n v="809985136"/>
    <n v="0"/>
    <n v="90001928"/>
    <n v="809985136"/>
    <n v="899987064"/>
    <n v="26999504"/>
    <n v="0"/>
    <n v="3000064"/>
    <n v="26999504"/>
    <n v="29999568"/>
    <n v="18.398700000000002"/>
    <n v="8.16174"/>
    <n v="15324.5"/>
    <n v="1850.15"/>
    <n v="7222"/>
    <n v="322"/>
    <x v="4"/>
  </r>
  <r>
    <s v="istree_exp4_disable_rebuild_helping/step10024.txt"/>
    <x v="0"/>
    <n v="72"/>
    <s v="reclaimer_debra"/>
    <s v="allocator_new"/>
    <s v="pool_none"/>
    <n v="30000"/>
    <n v="5"/>
    <n v="5"/>
    <n v="0"/>
    <n v="1"/>
    <n v="200000000"/>
    <n v="190"/>
    <n v="190"/>
    <n v="190"/>
    <n v="0"/>
    <s v="insertIfAbsent"/>
    <n v="9999763090950620"/>
    <n v="100001479"/>
    <n v="9999763090950620"/>
    <n v="100001479"/>
    <s v="success"/>
    <n v="7"/>
    <n v="11011156"/>
    <n v="110002585"/>
    <n v="121013741"/>
    <n v="100001479"/>
    <n v="10.9901"/>
    <n v="0.90908299999999997"/>
    <n v="1.82636"/>
    <n v="4"/>
    <n v="2640933824"/>
    <s v="5 29995 1032257 11659343 1996166"/>
    <s v="3 29994 1032215 11659322 1996164"/>
    <m/>
    <n v="2892"/>
    <n v="123891073322"/>
    <n v="6822169374409"/>
    <n v="1349988116"/>
    <n v="0"/>
    <n v="149974671"/>
    <n v="1349988116"/>
    <n v="1499962787"/>
    <n v="44999603"/>
    <n v="0"/>
    <n v="4999155"/>
    <n v="44999603"/>
    <n v="49998759"/>
    <n v="21.3476"/>
    <n v="10.58"/>
    <n v="11972.1"/>
    <n v="2414.2399999999998"/>
    <n v="33656"/>
    <n v="1044"/>
    <x v="5"/>
  </r>
  <r>
    <s v="istree_exp4_disable_rebuild_helping/step10025.txt"/>
    <x v="0"/>
    <n v="72"/>
    <s v="reclaimer_debra"/>
    <s v="allocator_new"/>
    <s v="pool_none"/>
    <n v="30000"/>
    <n v="20"/>
    <n v="20"/>
    <n v="0"/>
    <n v="1"/>
    <n v="2000000"/>
    <n v="190"/>
    <n v="190"/>
    <n v="190"/>
    <n v="0"/>
    <s v="insertIfAbsent"/>
    <n v="1000395531002"/>
    <n v="1000324"/>
    <n v="1000395531002"/>
    <n v="1000324"/>
    <s v="success"/>
    <n v="6"/>
    <n v="33075"/>
    <n v="1032446"/>
    <n v="1065521"/>
    <n v="1000324"/>
    <n v="32.215299999999999"/>
    <n v="0.96888700000000005"/>
    <n v="1.9388099999999999"/>
    <n v="3.0000800000000001"/>
    <n v="19165120"/>
    <s v="822 693699 337367 2764974"/>
    <s v="295 686776 335377 2764506"/>
    <m/>
    <n v="672"/>
    <n v="82681399434"/>
    <n v="5686604826268"/>
    <n v="220979863"/>
    <n v="0"/>
    <n v="147328983"/>
    <n v="220979863"/>
    <n v="368308846"/>
    <n v="7365995"/>
    <n v="0"/>
    <n v="4910966"/>
    <n v="7365995"/>
    <n v="12276961"/>
    <n v="19.2424"/>
    <n v="8.97302"/>
    <n v="39629.199999999997"/>
    <n v="2982.07"/>
    <n v="4349"/>
    <n v="268"/>
    <x v="6"/>
  </r>
  <r>
    <s v="istree_exp4_disable_rebuild_helping/step10026.txt"/>
    <x v="0"/>
    <n v="72"/>
    <s v="reclaimer_debra"/>
    <s v="allocator_new"/>
    <s v="pool_none"/>
    <n v="30000"/>
    <n v="20"/>
    <n v="20"/>
    <n v="0"/>
    <n v="1"/>
    <n v="20000000"/>
    <n v="190"/>
    <n v="190"/>
    <n v="190"/>
    <n v="0"/>
    <s v="insertIfAbsent"/>
    <n v="99970406037584"/>
    <n v="9997547"/>
    <n v="99970406037584"/>
    <n v="9997547"/>
    <s v="success"/>
    <n v="7"/>
    <n v="1625312"/>
    <n v="11439514"/>
    <n v="13064826"/>
    <n v="9997547"/>
    <n v="8.0383499999999994"/>
    <n v="0.87394899999999998"/>
    <n v="1.7652300000000001"/>
    <n v="4.0000099999999996"/>
    <n v="313057168"/>
    <s v="63 63282 534019 13386153 33643"/>
    <s v="20 63264 533736 13385591 33643"/>
    <m/>
    <n v="1446"/>
    <n v="79896272933"/>
    <n v="5896289739822"/>
    <n v="150019333"/>
    <n v="0"/>
    <n v="100025275"/>
    <n v="150019333"/>
    <n v="250044608"/>
    <n v="5000644"/>
    <n v="0"/>
    <n v="3334175"/>
    <n v="5000644"/>
    <n v="8334820"/>
    <n v="25.777100000000001"/>
    <n v="13.5273"/>
    <n v="55052.4"/>
    <n v="3464.66"/>
    <n v="7833"/>
    <n v="396"/>
    <x v="7"/>
  </r>
  <r>
    <s v="istree_exp4_disable_rebuild_helping/step10027.txt"/>
    <x v="0"/>
    <n v="72"/>
    <s v="reclaimer_debra"/>
    <s v="allocator_new"/>
    <s v="pool_none"/>
    <n v="30000"/>
    <n v="20"/>
    <n v="20"/>
    <n v="0"/>
    <n v="1"/>
    <n v="200000000"/>
    <n v="190"/>
    <n v="190"/>
    <n v="190"/>
    <n v="0"/>
    <s v="insertIfAbsent"/>
    <n v="9999363044101910"/>
    <n v="99989836"/>
    <n v="9999363044101910"/>
    <n v="99989836"/>
    <s v="success"/>
    <n v="7"/>
    <n v="11010051"/>
    <n v="109989927"/>
    <n v="120999978"/>
    <n v="99989836"/>
    <n v="10.99"/>
    <n v="0.90908199999999995"/>
    <n v="1.82636"/>
    <n v="4"/>
    <n v="2640642896"/>
    <s v="12 30000 1031635 11656904 1996187"/>
    <s v="3 29996 1031538 11656833 1996184"/>
    <m/>
    <n v="854"/>
    <n v="144228375565"/>
    <n v="5811669261549"/>
    <n v="225037568"/>
    <n v="0"/>
    <n v="150002312"/>
    <n v="225037568"/>
    <n v="375039880"/>
    <n v="7501252"/>
    <n v="0"/>
    <n v="5000077"/>
    <n v="7501252"/>
    <n v="12501329"/>
    <n v="27.450700000000001"/>
    <n v="14.2491"/>
    <n v="40163.9"/>
    <n v="3549.76"/>
    <n v="33702"/>
    <n v="1163"/>
    <x v="8"/>
  </r>
  <r>
    <s v="istree_exp4_disable_rebuild_helping/step10028.txt"/>
    <x v="1"/>
    <n v="72"/>
    <s v="reclaimer_debra"/>
    <s v="allocator_new"/>
    <s v="pool_none"/>
    <n v="30000"/>
    <n v="0.5"/>
    <n v="0.5"/>
    <n v="0"/>
    <n v="1"/>
    <n v="2000000"/>
    <n v="190"/>
    <n v="190"/>
    <n v="190"/>
    <n v="0"/>
    <s v="insertIfAbsent"/>
    <n v="1000433129053"/>
    <n v="1000408"/>
    <n v="1000433129053"/>
    <n v="1000408"/>
    <s v="success"/>
    <n v="6"/>
    <n v="55292"/>
    <n v="1077677"/>
    <n v="1132969"/>
    <n v="1000408"/>
    <n v="20.490600000000001"/>
    <n v="0.92830000000000001"/>
    <n v="1.883"/>
    <n v="3.0466199999999999"/>
    <n v="21689088"/>
    <s v="291 611391 297329 2446163"/>
    <s v="260 610849 297170 2446119"/>
    <n v="311888"/>
    <n v="89076"/>
    <n v="117915450724"/>
    <n v="5686382521533"/>
    <n v="12895053496"/>
    <n v="0"/>
    <n v="130251918"/>
    <n v="12895053496"/>
    <n v="13025305414"/>
    <n v="429835116"/>
    <n v="0"/>
    <n v="4341730"/>
    <n v="429835116"/>
    <n v="434176847"/>
    <n v="8.6295900000000003"/>
    <n v="0.41322999999999999"/>
    <n v="1196.0999999999999"/>
    <n v="455.43"/>
    <n v="1428"/>
    <n v="155"/>
    <x v="0"/>
  </r>
  <r>
    <s v="istree_exp4_disable_rebuild_helping/step10029.txt"/>
    <x v="1"/>
    <n v="72"/>
    <s v="reclaimer_debra"/>
    <s v="allocator_new"/>
    <s v="pool_none"/>
    <n v="30000"/>
    <n v="0.5"/>
    <n v="0.5"/>
    <n v="0"/>
    <n v="1"/>
    <n v="20000000"/>
    <n v="190"/>
    <n v="190"/>
    <n v="190"/>
    <n v="0"/>
    <s v="insertIfAbsent"/>
    <n v="99998878616328"/>
    <n v="10000571"/>
    <n v="99998878616328"/>
    <n v="10000571"/>
    <s v="success"/>
    <n v="7"/>
    <n v="1745467"/>
    <n v="11685191"/>
    <n v="13430658"/>
    <n v="10000571"/>
    <n v="7.6945899999999998"/>
    <n v="0.85583299999999995"/>
    <n v="1.74461"/>
    <n v="4.0239399999999996"/>
    <n v="326600992"/>
    <s v="16 47446 398630 10064154 25174"/>
    <s v="15 47444 398610 10064122 25174"/>
    <n v="36964"/>
    <n v="46262"/>
    <n v="94151469773"/>
    <n v="5686382593797"/>
    <n v="7482304375"/>
    <n v="0"/>
    <n v="75577171"/>
    <n v="7482304375"/>
    <n v="7557881546"/>
    <n v="249410145"/>
    <n v="0"/>
    <n v="2519239"/>
    <n v="249410145"/>
    <n v="251929384"/>
    <n v="16.285599999999999"/>
    <n v="6.6547799999999997"/>
    <n v="2071.0700000000002"/>
    <n v="1299.42"/>
    <n v="2772"/>
    <n v="360"/>
    <x v="1"/>
  </r>
  <r>
    <s v="istree_exp4_disable_rebuild_helping/step10030.txt"/>
    <x v="1"/>
    <n v="72"/>
    <s v="reclaimer_debra"/>
    <s v="allocator_new"/>
    <s v="pool_none"/>
    <n v="30000"/>
    <n v="0.5"/>
    <n v="0.5"/>
    <n v="0"/>
    <n v="1"/>
    <n v="200000000"/>
    <n v="190"/>
    <n v="190"/>
    <n v="190"/>
    <n v="0"/>
    <s v="insertIfAbsent"/>
    <n v="9999047161960080"/>
    <n v="99991408"/>
    <n v="9999047161960080"/>
    <n v="99991408"/>
    <s v="success"/>
    <n v="7"/>
    <n v="12569726"/>
    <n v="113144544"/>
    <n v="125714270"/>
    <n v="99991408"/>
    <n v="10.0014"/>
    <n v="0.88374900000000001"/>
    <n v="1.79539"/>
    <n v="4.0318100000000001"/>
    <n v="2816548672"/>
    <s v="2 9997 343820 3943535 711174"/>
    <s v="1 9997 343818 3943534 711174"/>
    <n v="3900"/>
    <n v="32934"/>
    <n v="117659232347"/>
    <n v="5686432212829"/>
    <n v="5627927925"/>
    <n v="0"/>
    <n v="56847197"/>
    <n v="5627927925"/>
    <n v="5684775122"/>
    <n v="187597597"/>
    <n v="0"/>
    <n v="1894906"/>
    <n v="187597597"/>
    <n v="189492504"/>
    <n v="19.418900000000001"/>
    <n v="9.5716199999999994"/>
    <n v="2733.2"/>
    <n v="1972.87"/>
    <n v="13359"/>
    <n v="1107"/>
    <x v="2"/>
  </r>
  <r>
    <s v="istree_exp4_disable_rebuild_helping/step10031.txt"/>
    <x v="1"/>
    <n v="72"/>
    <s v="reclaimer_debra"/>
    <s v="allocator_new"/>
    <s v="pool_none"/>
    <n v="30000"/>
    <n v="5"/>
    <n v="5"/>
    <n v="0"/>
    <n v="1"/>
    <n v="2000000"/>
    <n v="190"/>
    <n v="190"/>
    <n v="190"/>
    <n v="0"/>
    <s v="insertIfAbsent"/>
    <n v="1000983918331"/>
    <n v="1000498"/>
    <n v="1000983918331"/>
    <n v="1000498"/>
    <s v="success"/>
    <n v="6"/>
    <n v="33084"/>
    <n v="1032629"/>
    <n v="1065713"/>
    <n v="1000498"/>
    <n v="32.212299999999999"/>
    <n v="0.96888399999999997"/>
    <n v="1.9388099999999999"/>
    <n v="3.0001000000000002"/>
    <n v="19168768"/>
    <s v="2738 3438820 1670714 13724691"/>
    <s v="1464 3418038 1663857 13723372"/>
    <n v="8027395"/>
    <n v="49900"/>
    <n v="877949400722"/>
    <n v="5686902425594"/>
    <n v="6580726589"/>
    <n v="0"/>
    <n v="731182577"/>
    <n v="6580726589"/>
    <n v="7311909166"/>
    <n v="219357552"/>
    <n v="0"/>
    <n v="24372752"/>
    <n v="219357552"/>
    <n v="243730305"/>
    <n v="12.34"/>
    <n v="3.1507700000000001"/>
    <n v="2156.84"/>
    <n v="1309.93"/>
    <n v="1628"/>
    <n v="296"/>
    <x v="3"/>
  </r>
  <r>
    <s v="istree_exp4_disable_rebuild_helping/step10032.txt"/>
    <x v="1"/>
    <n v="72"/>
    <s v="reclaimer_debra"/>
    <s v="allocator_new"/>
    <s v="pool_none"/>
    <n v="30000"/>
    <n v="5"/>
    <n v="5"/>
    <n v="0"/>
    <n v="1"/>
    <n v="20000000"/>
    <n v="190"/>
    <n v="190"/>
    <n v="190"/>
    <n v="0"/>
    <s v="insertIfAbsent"/>
    <n v="99981893145030"/>
    <n v="9998996"/>
    <n v="99981893145030"/>
    <n v="9998996"/>
    <s v="success"/>
    <n v="7"/>
    <n v="1779558"/>
    <n v="11755126"/>
    <n v="13534684"/>
    <n v="9998996"/>
    <n v="7.6056400000000002"/>
    <n v="0.850607"/>
    <n v="1.7387699999999999"/>
    <n v="4.0308700000000002"/>
    <n v="330448144"/>
    <s v="183 347947 2932352 73651734 185208"/>
    <s v="110 347895 2931102 73650460 185207"/>
    <n v="840849"/>
    <n v="36184"/>
    <n v="554000757271"/>
    <n v="5686383409470"/>
    <n v="4956648217"/>
    <n v="0"/>
    <n v="550736483"/>
    <n v="4956648217"/>
    <n v="5507384700"/>
    <n v="165221607"/>
    <n v="0"/>
    <n v="18357882"/>
    <n v="165221607"/>
    <n v="183579490"/>
    <n v="19.2851"/>
    <n v="8.5579999999999998"/>
    <n v="2820.52"/>
    <n v="1891.02"/>
    <n v="2869"/>
    <n v="402"/>
    <x v="4"/>
  </r>
  <r>
    <s v="istree_exp4_disable_rebuild_helping/step10033.txt"/>
    <x v="1"/>
    <n v="72"/>
    <s v="reclaimer_debra"/>
    <s v="allocator_new"/>
    <s v="pool_none"/>
    <n v="30000"/>
    <n v="5"/>
    <n v="5"/>
    <n v="0"/>
    <n v="1"/>
    <n v="200000000"/>
    <n v="190"/>
    <n v="190"/>
    <n v="190"/>
    <n v="0"/>
    <s v="insertIfAbsent"/>
    <n v="9999594626725780"/>
    <n v="99999371"/>
    <n v="9999594626725780"/>
    <n v="99999371"/>
    <s v="success"/>
    <n v="7"/>
    <n v="14869213"/>
    <n v="118075348"/>
    <n v="132944561"/>
    <n v="99999371"/>
    <n v="8.9409299999999998"/>
    <n v="0.846912"/>
    <n v="1.7521899999999999"/>
    <n v="4.0805600000000002"/>
    <n v="3082682784"/>
    <s v="16 79992 2760657 32846293 5713775"/>
    <s v="8 79982 2760550 32846219 5713769"/>
    <n v="128911"/>
    <n v="19108"/>
    <n v="570980364780"/>
    <n v="5686699227187"/>
    <n v="3851485461"/>
    <n v="0"/>
    <n v="427937418"/>
    <n v="3851485461"/>
    <n v="4279422879"/>
    <n v="128382848"/>
    <n v="0"/>
    <n v="14264580"/>
    <n v="128382848"/>
    <n v="142647429"/>
    <n v="22.2425"/>
    <n v="11.2818"/>
    <n v="3430.87"/>
    <n v="2548.94"/>
    <n v="14275"/>
    <n v="1045"/>
    <x v="5"/>
  </r>
  <r>
    <s v="istree_exp4_disable_rebuild_helping/step10034.txt"/>
    <x v="1"/>
    <n v="72"/>
    <s v="reclaimer_debra"/>
    <s v="allocator_new"/>
    <s v="pool_none"/>
    <n v="30000"/>
    <n v="20"/>
    <n v="20"/>
    <n v="0"/>
    <n v="1"/>
    <n v="2000000"/>
    <n v="190"/>
    <n v="190"/>
    <n v="190"/>
    <n v="0"/>
    <s v="insertIfAbsent"/>
    <n v="1000473330795"/>
    <n v="999917"/>
    <n v="1000473330795"/>
    <n v="999917"/>
    <s v="success"/>
    <n v="6"/>
    <n v="33037"/>
    <n v="1032004"/>
    <n v="1065041"/>
    <n v="999917"/>
    <n v="32.2378"/>
    <n v="0.96890799999999999"/>
    <n v="1.93885"/>
    <n v="3.00007"/>
    <n v="19155008"/>
    <s v="6871 5458378 2657743 21770548"/>
    <s v="2322 5399281 2638578 21766570"/>
    <n v="24508443"/>
    <n v="20920"/>
    <n v="1780535728231"/>
    <n v="5686585304469"/>
    <n v="1739382499"/>
    <n v="0"/>
    <n v="1159673600"/>
    <n v="1739382499"/>
    <n v="2899056099"/>
    <n v="57979416"/>
    <n v="0"/>
    <n v="38655786"/>
    <n v="57979416"/>
    <n v="96635203"/>
    <n v="25.037500000000001"/>
    <n v="11.946899999999999"/>
    <n v="5469.76"/>
    <n v="4163.3900000000003"/>
    <n v="1759"/>
    <n v="349"/>
    <x v="6"/>
  </r>
  <r>
    <s v="istree_exp4_disable_rebuild_helping/step10035.txt"/>
    <x v="1"/>
    <n v="72"/>
    <s v="reclaimer_debra"/>
    <s v="allocator_new"/>
    <s v="pool_none"/>
    <n v="30000"/>
    <n v="20"/>
    <n v="20"/>
    <n v="0"/>
    <n v="1"/>
    <n v="20000000"/>
    <n v="190"/>
    <n v="190"/>
    <n v="190"/>
    <n v="0"/>
    <s v="insertIfAbsent"/>
    <n v="99984874003974"/>
    <n v="9999552"/>
    <n v="99984874003974"/>
    <n v="9999552"/>
    <s v="success"/>
    <n v="7"/>
    <n v="1814477"/>
    <n v="11844059"/>
    <n v="13658536"/>
    <n v="9999552"/>
    <n v="7.5275299999999996"/>
    <n v="0.84426699999999999"/>
    <n v="1.73211"/>
    <n v="4.0375500000000004"/>
    <n v="334691856"/>
    <s v="878 735203 6210103 155754943 391342"/>
    <s v="232 734961 6204814 155747409 391333"/>
    <n v="2962552"/>
    <n v="22160"/>
    <n v="1164311005612"/>
    <n v="5686397692792"/>
    <n v="1744935945"/>
    <n v="0"/>
    <n v="1163295146"/>
    <n v="1744935945"/>
    <n v="2908231091"/>
    <n v="58164531"/>
    <n v="0"/>
    <n v="38776504"/>
    <n v="58164531"/>
    <n v="96941036"/>
    <n v="28.6508"/>
    <n v="15.300800000000001"/>
    <n v="5284.85"/>
    <n v="3606.23"/>
    <n v="2938"/>
    <n v="338"/>
    <x v="7"/>
  </r>
  <r>
    <s v="istree_exp4_disable_rebuild_helping/step10036.txt"/>
    <x v="1"/>
    <n v="72"/>
    <s v="reclaimer_debra"/>
    <s v="allocator_new"/>
    <s v="pool_none"/>
    <n v="30000"/>
    <n v="20"/>
    <n v="20"/>
    <n v="0"/>
    <n v="1"/>
    <n v="200000000"/>
    <n v="190"/>
    <n v="190"/>
    <n v="190"/>
    <n v="0"/>
    <s v="insertIfAbsent"/>
    <n v="1.00001132668241E+16"/>
    <n v="100004663"/>
    <n v="1.00001132668241E+16"/>
    <n v="100004663"/>
    <s v="success"/>
    <n v="7"/>
    <n v="11011152"/>
    <n v="110005765"/>
    <n v="121016917"/>
    <n v="100004663"/>
    <n v="10.990399999999999"/>
    <n v="0.90908599999999995"/>
    <n v="1.82637"/>
    <n v="4"/>
    <n v="2640984384"/>
    <s v="80 199977 6886184 77735345 13316563"/>
    <s v="20 199956 6885579 77734881 13316520"/>
    <n v="512247"/>
    <n v="12554"/>
    <n v="1148832369645"/>
    <n v="5688833825121"/>
    <n v="1499810198"/>
    <n v="0"/>
    <n v="999950247"/>
    <n v="1499810198"/>
    <n v="2499760445"/>
    <n v="49993673"/>
    <n v="0"/>
    <n v="33331674"/>
    <n v="49993673"/>
    <n v="83325348"/>
    <n v="31.564599999999999"/>
    <n v="17.6492"/>
    <n v="5690.13"/>
    <n v="4214.17"/>
    <n v="14396"/>
    <n v="1166"/>
    <x v="8"/>
  </r>
  <r>
    <s v="istree_exp4_disable_rebuild_helping/step10037.txt"/>
    <x v="1"/>
    <n v="72"/>
    <s v="reclaimer_debra"/>
    <s v="allocator_new"/>
    <s v="pool_none"/>
    <n v="30000"/>
    <n v="0.5"/>
    <n v="0.5"/>
    <n v="0"/>
    <n v="1"/>
    <n v="2000000"/>
    <n v="190"/>
    <n v="190"/>
    <n v="190"/>
    <n v="0"/>
    <s v="insertIfAbsent"/>
    <n v="1001570992220"/>
    <n v="1001229"/>
    <n v="1001570992220"/>
    <n v="1001229"/>
    <s v="success"/>
    <n v="6"/>
    <n v="52798"/>
    <n v="1073011"/>
    <n v="1125809"/>
    <n v="1001229"/>
    <n v="21.322900000000001"/>
    <n v="0.93310199999999999"/>
    <n v="1.88934"/>
    <n v="3.0411899999999998"/>
    <n v="21410080"/>
    <s v="293 613423 298781 2452993"/>
    <s v="261 612874 298573 2452947"/>
    <n v="316184"/>
    <n v="90350"/>
    <n v="118549992237"/>
    <n v="5686384834047"/>
    <n v="12928511955"/>
    <n v="0"/>
    <n v="130599146"/>
    <n v="12928511955"/>
    <n v="13059111101"/>
    <n v="430950398"/>
    <n v="0"/>
    <n v="4353304"/>
    <n v="430950398"/>
    <n v="435303703"/>
    <n v="8.64255"/>
    <n v="0.41522300000000001"/>
    <n v="1194.55"/>
    <n v="459.346"/>
    <n v="1426"/>
    <n v="263"/>
    <x v="0"/>
  </r>
  <r>
    <s v="istree_exp4_disable_rebuild_helping/step10038.txt"/>
    <x v="1"/>
    <n v="72"/>
    <s v="reclaimer_debra"/>
    <s v="allocator_new"/>
    <s v="pool_none"/>
    <n v="30000"/>
    <n v="0.5"/>
    <n v="0.5"/>
    <n v="0"/>
    <n v="1"/>
    <n v="20000000"/>
    <n v="190"/>
    <n v="190"/>
    <n v="190"/>
    <n v="0"/>
    <s v="insertIfAbsent"/>
    <n v="99985989214760"/>
    <n v="9996548"/>
    <n v="99985989214760"/>
    <n v="9996548"/>
    <s v="success"/>
    <n v="7"/>
    <n v="1685384"/>
    <n v="11559216"/>
    <n v="13244600"/>
    <n v="9996548"/>
    <n v="7.8585099999999999"/>
    <n v="0.86481200000000003"/>
    <n v="1.7547600000000001"/>
    <n v="4.0120300000000002"/>
    <n v="319778240"/>
    <s v="17 47443 398709 10039818 25301"/>
    <s v="15 47443 398684 10039782 25301"/>
    <n v="36077"/>
    <n v="46524"/>
    <n v="92484348402"/>
    <n v="5686384492220"/>
    <n v="7451823945"/>
    <n v="0"/>
    <n v="75257482"/>
    <n v="7451823945"/>
    <n v="7527081427"/>
    <n v="248394131"/>
    <n v="0"/>
    <n v="2508582"/>
    <n v="248394131"/>
    <n v="250902714"/>
    <n v="16.4236"/>
    <n v="6.6516700000000002"/>
    <n v="2080.5500000000002"/>
    <n v="1304.27"/>
    <n v="2771"/>
    <n v="371"/>
    <x v="1"/>
  </r>
  <r>
    <s v="istree_exp4_disable_rebuild_helping/step10039.txt"/>
    <x v="1"/>
    <n v="72"/>
    <s v="reclaimer_debra"/>
    <s v="allocator_new"/>
    <s v="pool_none"/>
    <n v="30000"/>
    <n v="0.5"/>
    <n v="0.5"/>
    <n v="0"/>
    <n v="1"/>
    <n v="200000000"/>
    <n v="190"/>
    <n v="190"/>
    <n v="190"/>
    <n v="0"/>
    <s v="insertIfAbsent"/>
    <n v="9999912556535460"/>
    <n v="100000889"/>
    <n v="9999912556535460"/>
    <n v="100000889"/>
    <s v="success"/>
    <n v="7"/>
    <n v="12585636"/>
    <n v="113183435"/>
    <n v="125769071"/>
    <n v="100000889"/>
    <n v="9.9930599999999998"/>
    <n v="0.88352900000000001"/>
    <n v="1.79512"/>
    <n v="4.0321300000000004"/>
    <n v="2818454656"/>
    <s v="1 9997 344221 3946845 713740"/>
    <s v="1 9997 344220 3946844 713740"/>
    <n v="3863"/>
    <n v="33068"/>
    <n v="114434176723"/>
    <n v="5686385116168"/>
    <n v="5633793450"/>
    <n v="0"/>
    <n v="56916249"/>
    <n v="5633793450"/>
    <n v="5690709699"/>
    <n v="187793115"/>
    <n v="0"/>
    <n v="1897208"/>
    <n v="187793115"/>
    <n v="189690323"/>
    <n v="19.453600000000002"/>
    <n v="9.5795700000000004"/>
    <n v="2731.74"/>
    <n v="1975.03"/>
    <n v="13363"/>
    <n v="1055"/>
    <x v="2"/>
  </r>
  <r>
    <s v="istree_exp4_disable_rebuild_helping/step10040.txt"/>
    <x v="1"/>
    <n v="72"/>
    <s v="reclaimer_debra"/>
    <s v="allocator_new"/>
    <s v="pool_none"/>
    <n v="30000"/>
    <n v="5"/>
    <n v="5"/>
    <n v="0"/>
    <n v="1"/>
    <n v="2000000"/>
    <n v="190"/>
    <n v="190"/>
    <n v="190"/>
    <n v="0"/>
    <s v="insertIfAbsent"/>
    <n v="1000767402542"/>
    <n v="1001030"/>
    <n v="1000767402542"/>
    <n v="1001030"/>
    <s v="success"/>
    <n v="6"/>
    <n v="56538"/>
    <n v="1080915"/>
    <n v="1137453"/>
    <n v="1001030"/>
    <n v="20.118400000000001"/>
    <n v="0.926095"/>
    <n v="1.8800600000000001"/>
    <n v="3.0488499999999998"/>
    <n v="21838208"/>
    <s v="2747 3452882 1675174 13788648"/>
    <s v="1470 3431967 1668350 13787217"/>
    <n v="8049175"/>
    <n v="50294"/>
    <n v="881088127623"/>
    <n v="5686385856330"/>
    <n v="6609070397"/>
    <n v="0"/>
    <n v="734341230"/>
    <n v="6609070397"/>
    <n v="7343411627"/>
    <n v="220302346"/>
    <n v="0"/>
    <n v="24478041"/>
    <n v="220302346"/>
    <n v="244780387"/>
    <n v="12.332599999999999"/>
    <n v="3.1604700000000001"/>
    <n v="2148.67"/>
    <n v="1311.23"/>
    <n v="1594"/>
    <n v="346"/>
    <x v="3"/>
  </r>
  <r>
    <s v="istree_exp4_disable_rebuild_helping/step10041.txt"/>
    <x v="1"/>
    <n v="72"/>
    <s v="reclaimer_debra"/>
    <s v="allocator_new"/>
    <s v="pool_none"/>
    <n v="30000"/>
    <n v="5"/>
    <n v="5"/>
    <n v="0"/>
    <n v="1"/>
    <n v="20000000"/>
    <n v="190"/>
    <n v="190"/>
    <n v="190"/>
    <n v="0"/>
    <s v="insertIfAbsent"/>
    <n v="99986312832454"/>
    <n v="9999100"/>
    <n v="99986312832454"/>
    <n v="9999100"/>
    <s v="success"/>
    <n v="7"/>
    <n v="1894765"/>
    <n v="12003757"/>
    <n v="13898522"/>
    <n v="9999100"/>
    <n v="7.3352199999999996"/>
    <n v="0.83299800000000002"/>
    <n v="1.7194400000000001"/>
    <n v="4.0539199999999997"/>
    <n v="343664960"/>
    <s v="197 344814 2911658 73240059 183181"/>
    <s v="109 344762 2910482 73238824 183180"/>
    <n v="833466"/>
    <n v="35880"/>
    <n v="550102991419"/>
    <n v="5686384339581"/>
    <n v="4925691870"/>
    <n v="0"/>
    <n v="547247428"/>
    <n v="4925691870"/>
    <n v="5472939298"/>
    <n v="164189729"/>
    <n v="0"/>
    <n v="18241580"/>
    <n v="164189729"/>
    <n v="182431309"/>
    <n v="19.266200000000001"/>
    <n v="8.5584799999999994"/>
    <n v="2838.58"/>
    <n v="1897.02"/>
    <n v="2871"/>
    <n v="385"/>
    <x v="4"/>
  </r>
  <r>
    <s v="istree_exp4_disable_rebuild_helping/step10042.txt"/>
    <x v="1"/>
    <n v="72"/>
    <s v="reclaimer_debra"/>
    <s v="allocator_new"/>
    <s v="pool_none"/>
    <n v="30000"/>
    <n v="5"/>
    <n v="5"/>
    <n v="0"/>
    <n v="1"/>
    <n v="200000000"/>
    <n v="190"/>
    <n v="190"/>
    <n v="190"/>
    <n v="0"/>
    <s v="insertIfAbsent"/>
    <n v="1.00008110787072E+16"/>
    <n v="100007334"/>
    <n v="1.00008110787072E+16"/>
    <n v="100007334"/>
    <s v="success"/>
    <n v="7"/>
    <n v="14864199"/>
    <n v="118069179"/>
    <n v="132933378"/>
    <n v="100007334"/>
    <n v="8.9431899999999995"/>
    <n v="0.84702299999999997"/>
    <n v="1.75231"/>
    <n v="4.0804600000000004"/>
    <n v="3082184928"/>
    <s v="14 79982 2761308 32827803 5713112"/>
    <s v="8 79978 2761190 32827732 5713104"/>
    <n v="129356"/>
    <n v="18902"/>
    <n v="567663855112"/>
    <n v="5687105775332"/>
    <n v="3850363713"/>
    <n v="0"/>
    <n v="427809369"/>
    <n v="3850363713"/>
    <n v="4278173082"/>
    <n v="128345457"/>
    <n v="0"/>
    <n v="14260312"/>
    <n v="128345457"/>
    <n v="142605769"/>
    <n v="22.247599999999998"/>
    <n v="11.2845"/>
    <n v="3432.36"/>
    <n v="2549.08"/>
    <n v="14262"/>
    <n v="1075"/>
    <x v="5"/>
  </r>
  <r>
    <s v="istree_exp4_disable_rebuild_helping/step10043.txt"/>
    <x v="1"/>
    <n v="72"/>
    <s v="reclaimer_debra"/>
    <s v="allocator_new"/>
    <s v="pool_none"/>
    <n v="30000"/>
    <n v="20"/>
    <n v="20"/>
    <n v="0"/>
    <n v="1"/>
    <n v="2000000"/>
    <n v="190"/>
    <n v="190"/>
    <n v="190"/>
    <n v="0"/>
    <s v="insertIfAbsent"/>
    <n v="999467270114"/>
    <n v="999751"/>
    <n v="999467270114"/>
    <n v="999751"/>
    <s v="success"/>
    <n v="6"/>
    <n v="53144"/>
    <n v="1072772"/>
    <n v="1125916"/>
    <n v="999751"/>
    <n v="21.1861"/>
    <n v="0.93193199999999998"/>
    <n v="1.88794"/>
    <n v="3.0420699999999998"/>
    <n v="21436272"/>
    <s v="7070 5470784 2662341 21818697"/>
    <s v="2327 5411451 2643173 21814641"/>
    <n v="24696031"/>
    <n v="20984"/>
    <n v="1785116331970"/>
    <n v="5686387533075"/>
    <n v="1743637166"/>
    <n v="0"/>
    <n v="1162457028"/>
    <n v="1743637166"/>
    <n v="2906094194"/>
    <n v="58121238"/>
    <n v="0"/>
    <n v="38748567"/>
    <n v="58121238"/>
    <n v="96869806"/>
    <n v="25.047999999999998"/>
    <n v="11.9651"/>
    <n v="5456.25"/>
    <n v="4155.8100000000004"/>
    <n v="1760"/>
    <n v="285"/>
    <x v="6"/>
  </r>
  <r>
    <s v="istree_exp4_disable_rebuild_helping/step10044.txt"/>
    <x v="1"/>
    <n v="72"/>
    <s v="reclaimer_debra"/>
    <s v="allocator_new"/>
    <s v="pool_none"/>
    <n v="30000"/>
    <n v="20"/>
    <n v="20"/>
    <n v="0"/>
    <n v="1"/>
    <n v="20000000"/>
    <n v="190"/>
    <n v="190"/>
    <n v="190"/>
    <n v="0"/>
    <s v="insertIfAbsent"/>
    <n v="99965999362262"/>
    <n v="9999099"/>
    <n v="99965999362262"/>
    <n v="9999099"/>
    <s v="success"/>
    <n v="7"/>
    <n v="1740523"/>
    <n v="11680323"/>
    <n v="13420846"/>
    <n v="9999099"/>
    <n v="7.7108100000000004"/>
    <n v="0.85606400000000005"/>
    <n v="1.7450399999999999"/>
    <n v="4.0236499999999999"/>
    <n v="326130416"/>
    <s v="943 733945 6188810 155157000 389281"/>
    <s v="231 733687 6183529 155149732 389271"/>
    <n v="2936730"/>
    <n v="22072"/>
    <n v="1163041549519"/>
    <n v="5686391547817"/>
    <n v="1738817242"/>
    <n v="0"/>
    <n v="1159154885"/>
    <n v="1738817242"/>
    <n v="2897972127"/>
    <n v="57960574"/>
    <n v="0"/>
    <n v="38638496"/>
    <n v="57960574"/>
    <n v="96599070"/>
    <n v="28.6523"/>
    <n v="15.3081"/>
    <n v="5303.07"/>
    <n v="3613.19"/>
    <n v="2939"/>
    <n v="389"/>
    <x v="7"/>
  </r>
  <r>
    <s v="istree_exp4_disable_rebuild_helping/step10045.txt"/>
    <x v="1"/>
    <n v="72"/>
    <s v="reclaimer_debra"/>
    <s v="allocator_new"/>
    <s v="pool_none"/>
    <n v="30000"/>
    <n v="20"/>
    <n v="20"/>
    <n v="0"/>
    <n v="1"/>
    <n v="200000000"/>
    <n v="190"/>
    <n v="190"/>
    <n v="190"/>
    <n v="0"/>
    <s v="insertIfAbsent"/>
    <n v="9999117107201600"/>
    <n v="99998111"/>
    <n v="9999117107201600"/>
    <n v="99998111"/>
    <s v="success"/>
    <n v="7"/>
    <n v="11010057"/>
    <n v="109998209"/>
    <n v="121008266"/>
    <n v="99998111"/>
    <n v="10.9907"/>
    <n v="0.90908900000000004"/>
    <n v="1.82637"/>
    <n v="4"/>
    <n v="2640775888"/>
    <s v="87 199968 6883071 77726222 13321915"/>
    <s v="20 199946 6882445 77725783 13321881"/>
    <n v="511842"/>
    <n v="12746"/>
    <n v="1149576717482"/>
    <n v="5691766357277"/>
    <n v="1500079159"/>
    <n v="0"/>
    <n v="1000035576"/>
    <n v="1500079159"/>
    <n v="2500114735"/>
    <n v="50002638"/>
    <n v="0"/>
    <n v="33334519"/>
    <n v="50002638"/>
    <n v="83337157"/>
    <n v="31.524000000000001"/>
    <n v="17.642199999999999"/>
    <n v="5693.86"/>
    <n v="4205.45"/>
    <n v="14555"/>
    <n v="1084"/>
    <x v="8"/>
  </r>
  <r>
    <s v="istree_exp4_disable_rebuild_helping/step10046.txt"/>
    <x v="1"/>
    <n v="72"/>
    <s v="reclaimer_debra"/>
    <s v="allocator_new"/>
    <s v="pool_none"/>
    <n v="30000"/>
    <n v="0.5"/>
    <n v="0.5"/>
    <n v="0"/>
    <n v="1"/>
    <n v="2000000"/>
    <n v="190"/>
    <n v="190"/>
    <n v="190"/>
    <n v="0"/>
    <s v="insertIfAbsent"/>
    <n v="1000740504838"/>
    <n v="1000668"/>
    <n v="1000740504838"/>
    <n v="1000668"/>
    <s v="success"/>
    <n v="6"/>
    <n v="54399"/>
    <n v="1075916"/>
    <n v="1130315"/>
    <n v="1000668"/>
    <n v="20.778199999999998"/>
    <n v="0.93006100000000003"/>
    <n v="1.8853"/>
    <n v="3.04461"/>
    <n v="21587616"/>
    <s v="296 615904 298886 2463918"/>
    <s v="262 615318 298659 2463870"/>
    <n v="325746"/>
    <n v="90310"/>
    <n v="119214303308"/>
    <n v="5686385683077"/>
    <n v="12989833809"/>
    <n v="0"/>
    <n v="131200753"/>
    <n v="12989833809"/>
    <n v="13121034562"/>
    <n v="432994460"/>
    <n v="0"/>
    <n v="4373358"/>
    <n v="432994460"/>
    <n v="437367818"/>
    <n v="8.6305999999999994"/>
    <n v="0.41659200000000002"/>
    <n v="1189.6099999999999"/>
    <n v="455.83699999999999"/>
    <n v="1423"/>
    <n v="336"/>
    <x v="0"/>
  </r>
  <r>
    <s v="istree_exp4_disable_rebuild_helping/step10047.txt"/>
    <x v="1"/>
    <n v="72"/>
    <s v="reclaimer_debra"/>
    <s v="allocator_new"/>
    <s v="pool_none"/>
    <n v="30000"/>
    <n v="0.5"/>
    <n v="0.5"/>
    <n v="0"/>
    <n v="1"/>
    <n v="20000000"/>
    <n v="190"/>
    <n v="190"/>
    <n v="190"/>
    <n v="0"/>
    <s v="insertIfAbsent"/>
    <n v="99963747857539"/>
    <n v="9998145"/>
    <n v="99963747857539"/>
    <n v="9998145"/>
    <s v="success"/>
    <n v="7"/>
    <n v="1630618"/>
    <n v="11450673"/>
    <n v="13081291"/>
    <n v="9998145"/>
    <n v="8.0222899999999999"/>
    <n v="0.87314899999999995"/>
    <n v="1.76431"/>
    <n v="4.0010700000000003"/>
    <n v="313660192"/>
    <s v="17 47448 401415 10037987 25350"/>
    <s v="15 47446 401380 10037955 25350"/>
    <n v="37111"/>
    <n v="46280"/>
    <n v="94236299192"/>
    <n v="5686385851981"/>
    <n v="7424133863"/>
    <n v="0"/>
    <n v="74995752"/>
    <n v="7424133863"/>
    <n v="7499129615"/>
    <n v="247471128"/>
    <n v="0"/>
    <n v="2499858"/>
    <n v="247471128"/>
    <n v="249970987"/>
    <n v="16.444199999999999"/>
    <n v="6.6548299999999996"/>
    <n v="2087.0500000000002"/>
    <n v="1311"/>
    <n v="2772"/>
    <n v="386"/>
    <x v="1"/>
  </r>
  <r>
    <s v="istree_exp4_disable_rebuild_helping/step10048.txt"/>
    <x v="1"/>
    <n v="72"/>
    <s v="reclaimer_debra"/>
    <s v="allocator_new"/>
    <s v="pool_none"/>
    <n v="30000"/>
    <n v="0.5"/>
    <n v="0.5"/>
    <n v="0"/>
    <n v="1"/>
    <n v="200000000"/>
    <n v="190"/>
    <n v="190"/>
    <n v="190"/>
    <n v="0"/>
    <s v="insertIfAbsent"/>
    <n v="1.00009082106271E+16"/>
    <n v="100007960"/>
    <n v="1.00009082106271E+16"/>
    <n v="100007960"/>
    <s v="success"/>
    <n v="7"/>
    <n v="12603506"/>
    <n v="113229658"/>
    <n v="125833164"/>
    <n v="100007960"/>
    <n v="9.9839800000000007"/>
    <n v="0.88323099999999999"/>
    <n v="1.79477"/>
    <n v="4.03247"/>
    <n v="2820638976"/>
    <s v="1 10000 343789 3948587 713228"/>
    <s v="1 10000 343784 3948587 713228"/>
    <n v="3749"/>
    <n v="33200"/>
    <n v="119272461114"/>
    <n v="5686486152436"/>
    <n v="5645684201"/>
    <n v="0"/>
    <n v="57025381"/>
    <n v="5645684201"/>
    <n v="5702709582"/>
    <n v="188189473"/>
    <n v="0"/>
    <n v="1900846"/>
    <n v="188189473"/>
    <n v="190090319"/>
    <n v="19.463699999999999"/>
    <n v="9.5683399999999992"/>
    <n v="2724.24"/>
    <n v="1973.84"/>
    <n v="13395"/>
    <n v="1304"/>
    <x v="2"/>
  </r>
  <r>
    <s v="istree_exp4_disable_rebuild_helping/step10049.txt"/>
    <x v="1"/>
    <n v="72"/>
    <s v="reclaimer_debra"/>
    <s v="allocator_new"/>
    <s v="pool_none"/>
    <n v="30000"/>
    <n v="5"/>
    <n v="5"/>
    <n v="0"/>
    <n v="1"/>
    <n v="2000000"/>
    <n v="190"/>
    <n v="190"/>
    <n v="190"/>
    <n v="0"/>
    <s v="insertIfAbsent"/>
    <n v="1000477779530"/>
    <n v="1000212"/>
    <n v="1000477779530"/>
    <n v="1000212"/>
    <s v="success"/>
    <n v="6"/>
    <n v="54828"/>
    <n v="1076611"/>
    <n v="1131439"/>
    <n v="1000212"/>
    <n v="20.636199999999999"/>
    <n v="0.92903800000000003"/>
    <n v="1.88402"/>
    <n v="3.0456300000000001"/>
    <n v="21634208"/>
    <s v="2810 3460734 1682568 13816349"/>
    <s v="1473 3439469 1675763 13815059"/>
    <n v="8114057"/>
    <n v="50298"/>
    <n v="883426178223"/>
    <n v="5686387139175"/>
    <n v="6624070750"/>
    <n v="0"/>
    <n v="735982544"/>
    <n v="6624070750"/>
    <n v="7360053294"/>
    <n v="220802358"/>
    <n v="0"/>
    <n v="24532751"/>
    <n v="220802358"/>
    <n v="245335109"/>
    <n v="12.325900000000001"/>
    <n v="3.1598899999999999"/>
    <n v="2145.13"/>
    <n v="1312.43"/>
    <n v="1604"/>
    <n v="318"/>
    <x v="3"/>
  </r>
  <r>
    <s v="istree_exp4_disable_rebuild_helping/step10050.txt"/>
    <x v="1"/>
    <n v="72"/>
    <s v="reclaimer_debra"/>
    <s v="allocator_new"/>
    <s v="pool_none"/>
    <n v="30000"/>
    <n v="5"/>
    <n v="5"/>
    <n v="0"/>
    <n v="1"/>
    <n v="20000000"/>
    <n v="190"/>
    <n v="190"/>
    <n v="190"/>
    <n v="0"/>
    <s v="insertIfAbsent"/>
    <n v="100034956728560"/>
    <n v="9999890"/>
    <n v="100034956728560"/>
    <n v="9999890"/>
    <s v="success"/>
    <n v="7"/>
    <n v="1667801"/>
    <n v="11526358"/>
    <n v="13194159"/>
    <n v="9999890"/>
    <n v="7.9111099999999999"/>
    <n v="0.86756699999999998"/>
    <n v="1.7579"/>
    <n v="4.0084"/>
    <n v="317845824"/>
    <s v="203 347978 2934571 73612874 184877"/>
    <s v="110 347920 2933423 73611551 184875"/>
    <n v="842509"/>
    <n v="36054"/>
    <n v="553596164007"/>
    <n v="5686394743093"/>
    <n v="4951674052"/>
    <n v="0"/>
    <n v="550150492"/>
    <n v="4951674052"/>
    <n v="5501824544"/>
    <n v="165055801"/>
    <n v="0"/>
    <n v="18338349"/>
    <n v="165055801"/>
    <n v="183394151"/>
    <n v="19.258800000000001"/>
    <n v="8.5664300000000004"/>
    <n v="2824.87"/>
    <n v="1892.99"/>
    <n v="2869"/>
    <n v="377"/>
    <x v="4"/>
  </r>
  <r>
    <s v="istree_exp4_disable_rebuild_helping/step10051.txt"/>
    <x v="1"/>
    <n v="72"/>
    <s v="reclaimer_debra"/>
    <s v="allocator_new"/>
    <s v="pool_none"/>
    <n v="30000"/>
    <n v="5"/>
    <n v="5"/>
    <n v="0"/>
    <n v="1"/>
    <n v="200000000"/>
    <n v="190"/>
    <n v="190"/>
    <n v="190"/>
    <n v="0"/>
    <s v="insertIfAbsent"/>
    <n v="9999952722299260"/>
    <n v="100002210"/>
    <n v="9999952722299260"/>
    <n v="100002210"/>
    <s v="success"/>
    <n v="7"/>
    <n v="14848072"/>
    <n v="118030597"/>
    <n v="132878669"/>
    <n v="100002210"/>
    <n v="8.9492200000000004"/>
    <n v="0.84725700000000004"/>
    <n v="1.75258"/>
    <n v="4.08012"/>
    <n v="3080232272"/>
    <s v="13 79987 2758647 32782421 5700197"/>
    <s v="8 79980 2758516 32782336 5700189"/>
    <n v="130567"/>
    <n v="18908"/>
    <n v="571365258728"/>
    <n v="5686625492356"/>
    <n v="3846715741"/>
    <n v="0"/>
    <n v="427412769"/>
    <n v="3846715741"/>
    <n v="4274128510"/>
    <n v="128223858"/>
    <n v="0"/>
    <n v="14247092"/>
    <n v="128223858"/>
    <n v="142470950"/>
    <n v="22.197700000000001"/>
    <n v="11.276999999999999"/>
    <n v="3435.14"/>
    <n v="2554.5700000000002"/>
    <n v="14294"/>
    <n v="1135"/>
    <x v="5"/>
  </r>
  <r>
    <s v="istree_exp4_disable_rebuild_helping/step10052.txt"/>
    <x v="1"/>
    <n v="72"/>
    <s v="reclaimer_debra"/>
    <s v="allocator_new"/>
    <s v="pool_none"/>
    <n v="30000"/>
    <n v="20"/>
    <n v="20"/>
    <n v="0"/>
    <n v="1"/>
    <n v="2000000"/>
    <n v="190"/>
    <n v="190"/>
    <n v="190"/>
    <n v="0"/>
    <s v="insertIfAbsent"/>
    <n v="999243420713"/>
    <n v="999481"/>
    <n v="999243420713"/>
    <n v="999481"/>
    <s v="success"/>
    <n v="6"/>
    <n v="33038"/>
    <n v="1031560"/>
    <n v="1064598"/>
    <n v="999481"/>
    <n v="32.223399999999998"/>
    <n v="0.96890200000000004"/>
    <n v="1.9388300000000001"/>
    <n v="3.00007"/>
    <n v="19147984"/>
    <s v="7015 5452873 2646203 21737711"/>
    <s v="2319 5393934 2627136 21733697"/>
    <n v="24612394"/>
    <n v="20900"/>
    <n v="1780253300816"/>
    <n v="5686464269462"/>
    <n v="1737614066"/>
    <n v="0"/>
    <n v="1158350829"/>
    <n v="1737614066"/>
    <n v="2895964895"/>
    <n v="57920468"/>
    <n v="0"/>
    <n v="38611694"/>
    <n v="57920468"/>
    <n v="96532163"/>
    <n v="25.0046"/>
    <n v="11.946899999999999"/>
    <n v="5475.82"/>
    <n v="4172.76"/>
    <n v="1755"/>
    <n v="273"/>
    <x v="6"/>
  </r>
  <r>
    <s v="istree_exp4_disable_rebuild_helping/step10053.txt"/>
    <x v="1"/>
    <n v="72"/>
    <s v="reclaimer_debra"/>
    <s v="allocator_new"/>
    <s v="pool_none"/>
    <n v="30000"/>
    <n v="20"/>
    <n v="20"/>
    <n v="0"/>
    <n v="1"/>
    <n v="20000000"/>
    <n v="190"/>
    <n v="190"/>
    <n v="190"/>
    <n v="0"/>
    <s v="insertIfAbsent"/>
    <n v="99996575711068"/>
    <n v="9998903"/>
    <n v="99996575711068"/>
    <n v="9998903"/>
    <s v="success"/>
    <n v="7"/>
    <n v="1901169"/>
    <n v="12022494"/>
    <n v="13923663"/>
    <n v="9998903"/>
    <n v="7.3237399999999999"/>
    <n v="0.83168299999999995"/>
    <n v="1.7181200000000001"/>
    <n v="4.0550899999999999"/>
    <n v="344486800"/>
    <s v="848 734115 6195494 155650268 389945"/>
    <s v="232 733864 6190304 155642917 389938"/>
    <n v="2950747"/>
    <n v="22166"/>
    <n v="1163288767806"/>
    <n v="5686388808307"/>
    <n v="1744296238"/>
    <n v="0"/>
    <n v="1162796092"/>
    <n v="1744296238"/>
    <n v="2907092330"/>
    <n v="58143207"/>
    <n v="0"/>
    <n v="38759869"/>
    <n v="58143207"/>
    <n v="96903077"/>
    <n v="28.598800000000001"/>
    <n v="15.298500000000001"/>
    <n v="5288.11"/>
    <n v="3605.81"/>
    <n v="2940"/>
    <n v="396"/>
    <x v="7"/>
  </r>
  <r>
    <s v="istree_exp4_disable_rebuild_helping/step10054.txt"/>
    <x v="1"/>
    <n v="72"/>
    <s v="reclaimer_debra"/>
    <s v="allocator_new"/>
    <s v="pool_none"/>
    <n v="30000"/>
    <n v="20"/>
    <n v="20"/>
    <n v="0"/>
    <n v="1"/>
    <n v="200000000"/>
    <n v="190"/>
    <n v="190"/>
    <n v="190"/>
    <n v="0"/>
    <s v="insertIfAbsent"/>
    <n v="1.00003112276118E+16"/>
    <n v="100004442"/>
    <n v="1.00003112276118E+16"/>
    <n v="100004442"/>
    <s v="success"/>
    <n v="7"/>
    <n v="11011156"/>
    <n v="110005537"/>
    <n v="121016693"/>
    <n v="100004442"/>
    <n v="10.990399999999999"/>
    <n v="0.90908599999999995"/>
    <n v="1.82637"/>
    <n v="4"/>
    <n v="2640981056"/>
    <s v="85 199973 6884109 77726890 13320096"/>
    <s v="20 199959 6883442 77726393 13320068"/>
    <n v="518665"/>
    <n v="12534"/>
    <n v="1156496021771"/>
    <n v="5702878497352"/>
    <n v="1499782310"/>
    <n v="0"/>
    <n v="999950578"/>
    <n v="1499782310"/>
    <n v="2499732888"/>
    <n v="49992743"/>
    <n v="0"/>
    <n v="33331685"/>
    <n v="49992743"/>
    <n v="83324429"/>
    <n v="31.538799999999998"/>
    <n v="17.654599999999999"/>
    <n v="5691.4"/>
    <n v="4211.63"/>
    <n v="14480"/>
    <n v="1161"/>
    <x v="8"/>
  </r>
  <r>
    <m/>
    <x v="2"/>
    <m/>
    <m/>
    <m/>
    <m/>
    <m/>
    <m/>
    <m/>
    <m/>
    <m/>
    <m/>
    <m/>
    <m/>
    <m/>
    <m/>
    <m/>
    <m/>
    <m/>
    <m/>
    <m/>
    <m/>
    <m/>
    <m/>
    <m/>
    <m/>
    <m/>
    <m/>
    <m/>
    <m/>
    <m/>
    <m/>
    <m/>
    <m/>
    <m/>
    <m/>
    <m/>
    <m/>
    <m/>
    <m/>
    <m/>
    <m/>
    <m/>
    <m/>
    <m/>
    <m/>
    <m/>
    <m/>
    <m/>
    <m/>
    <m/>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C14" firstHeaderRow="1" firstDataRow="2" firstDataCol="1"/>
  <pivotFields count="55">
    <pivotField showAll="0" defaultSubtotal="0"/>
    <pivotField axis="axisCol" showAll="0" defaultSubtotal="0">
      <items count="3">
        <item h="1" x="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47">
        <item x="9"/>
        <item m="1" x="33"/>
        <item x="8"/>
        <item x="7"/>
        <item x="6"/>
        <item m="1" x="46"/>
        <item m="1" x="36"/>
        <item m="1" x="16"/>
        <item m="1" x="24"/>
        <item m="1" x="45"/>
        <item m="1" x="35"/>
        <item m="1" x="28"/>
        <item m="1" x="23"/>
        <item m="1" x="15"/>
        <item x="5"/>
        <item x="4"/>
        <item x="3"/>
        <item m="1" x="42"/>
        <item m="1" x="31"/>
        <item m="1" x="13"/>
        <item m="1" x="19"/>
        <item m="1" x="41"/>
        <item m="1" x="30"/>
        <item m="1" x="26"/>
        <item m="1" x="18"/>
        <item m="1" x="11"/>
        <item x="2"/>
        <item x="1"/>
        <item x="0"/>
        <item m="1" x="40"/>
        <item m="1" x="14"/>
        <item m="1" x="34"/>
        <item m="1" x="43"/>
        <item m="1" x="21"/>
        <item m="1" x="38"/>
        <item m="1" x="20"/>
        <item m="1" x="44"/>
        <item m="1" x="32"/>
        <item m="1" x="37"/>
        <item m="1" x="27"/>
        <item m="1" x="22"/>
        <item m="1" x="25"/>
        <item m="1" x="17"/>
        <item m="1" x="10"/>
        <item m="1" x="29"/>
        <item m="1" x="12"/>
        <item m="1" x="39"/>
      </items>
    </pivotField>
  </pivotFields>
  <rowFields count="1">
    <field x="54"/>
  </rowFields>
  <rowItems count="9">
    <i>
      <x v="2"/>
    </i>
    <i>
      <x v="3"/>
    </i>
    <i>
      <x v="4"/>
    </i>
    <i>
      <x v="14"/>
    </i>
    <i>
      <x v="15"/>
    </i>
    <i>
      <x v="16"/>
    </i>
    <i>
      <x v="26"/>
    </i>
    <i>
      <x v="27"/>
    </i>
    <i>
      <x v="28"/>
    </i>
  </rowItems>
  <colFields count="1">
    <field x="1"/>
  </colFields>
  <colItems count="2">
    <i>
      <x v="1"/>
    </i>
    <i>
      <x v="2"/>
    </i>
  </colItems>
  <dataFields count="1">
    <dataField name="Average of total_throughput" fld="47" subtotal="average" baseField="13" baseItem="0" numFmtId="1"/>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6" growShrinkType="overwriteClear" connectionId="5"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6"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5" growShrinkType="overwriteClear" connectionId="4"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55"/>
  <sheetViews>
    <sheetView workbookViewId="0"/>
  </sheetViews>
  <sheetFormatPr defaultRowHeight="14.6"/>
  <cols>
    <col min="1" max="1" width="43.765625" bestFit="1" customWidth="1"/>
    <col min="2" max="2" width="22.8437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9.8437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6.69140625" customWidth="1"/>
    <col min="34" max="34" width="42.3046875" customWidth="1"/>
    <col min="35" max="35" width="26.15234375" customWidth="1"/>
    <col min="36" max="36" width="35.765625" customWidth="1"/>
    <col min="37" max="37" width="29.61328125" customWidth="1"/>
    <col min="38" max="38" width="23.4609375" customWidth="1"/>
    <col min="39" max="39" width="11.84375" customWidth="1"/>
    <col min="40" max="40" width="7.4609375" bestFit="1" customWidth="1"/>
    <col min="41" max="41" width="12.3046875" customWidth="1"/>
    <col min="42" max="43" width="11.84375"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5">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67</v>
      </c>
      <c r="S1" t="s">
        <v>68</v>
      </c>
      <c r="T1" t="s">
        <v>46</v>
      </c>
      <c r="U1" t="s">
        <v>69</v>
      </c>
      <c r="V1" t="s">
        <v>70</v>
      </c>
      <c r="W1" t="s">
        <v>37</v>
      </c>
      <c r="X1" t="s">
        <v>38</v>
      </c>
      <c r="Y1" t="s">
        <v>39</v>
      </c>
      <c r="Z1" t="s">
        <v>40</v>
      </c>
      <c r="AA1" t="s">
        <v>41</v>
      </c>
      <c r="AB1" t="s">
        <v>42</v>
      </c>
      <c r="AC1" t="s">
        <v>43</v>
      </c>
      <c r="AD1" t="s">
        <v>44</v>
      </c>
      <c r="AE1" t="s">
        <v>45</v>
      </c>
      <c r="AF1" t="s">
        <v>74</v>
      </c>
      <c r="AG1" t="s">
        <v>75</v>
      </c>
      <c r="AH1" t="s">
        <v>76</v>
      </c>
      <c r="AI1" t="s">
        <v>77</v>
      </c>
      <c r="AJ1" t="s">
        <v>78</v>
      </c>
      <c r="AK1" t="s">
        <v>79</v>
      </c>
      <c r="AL1" t="s">
        <v>80</v>
      </c>
      <c r="AM1" t="s">
        <v>47</v>
      </c>
      <c r="AN1" t="s">
        <v>48</v>
      </c>
      <c r="AO1" t="s">
        <v>49</v>
      </c>
      <c r="AP1" t="s">
        <v>50</v>
      </c>
      <c r="AQ1" t="s">
        <v>51</v>
      </c>
      <c r="AR1" t="s">
        <v>52</v>
      </c>
      <c r="AS1" t="s">
        <v>53</v>
      </c>
      <c r="AT1" t="s">
        <v>54</v>
      </c>
      <c r="AU1" t="s">
        <v>55</v>
      </c>
      <c r="AV1" t="s">
        <v>56</v>
      </c>
      <c r="AW1" t="s">
        <v>57</v>
      </c>
      <c r="AX1" t="s">
        <v>58</v>
      </c>
      <c r="AY1" t="s">
        <v>59</v>
      </c>
      <c r="AZ1" t="s">
        <v>81</v>
      </c>
      <c r="BA1" t="s">
        <v>72</v>
      </c>
      <c r="BB1" t="s">
        <v>73</v>
      </c>
      <c r="BC1" t="s">
        <v>65</v>
      </c>
    </row>
    <row r="2" spans="1:55">
      <c r="A2" t="s">
        <v>95</v>
      </c>
      <c r="B2" t="s">
        <v>82</v>
      </c>
      <c r="C2">
        <v>72</v>
      </c>
      <c r="D2" t="s">
        <v>64</v>
      </c>
      <c r="E2" t="s">
        <v>60</v>
      </c>
      <c r="F2" t="s">
        <v>61</v>
      </c>
      <c r="G2">
        <v>30000</v>
      </c>
      <c r="H2">
        <v>0.5</v>
      </c>
      <c r="I2">
        <v>0.5</v>
      </c>
      <c r="J2">
        <v>0</v>
      </c>
      <c r="K2">
        <v>1</v>
      </c>
      <c r="L2">
        <v>2000000</v>
      </c>
      <c r="M2">
        <v>190</v>
      </c>
      <c r="N2">
        <v>190</v>
      </c>
      <c r="O2">
        <v>190</v>
      </c>
      <c r="P2">
        <v>0</v>
      </c>
      <c r="Q2" t="s">
        <v>62</v>
      </c>
      <c r="R2">
        <v>999806905614</v>
      </c>
      <c r="S2">
        <v>999633</v>
      </c>
      <c r="T2">
        <v>999806905614</v>
      </c>
      <c r="U2">
        <v>999633</v>
      </c>
      <c r="V2" t="s">
        <v>71</v>
      </c>
      <c r="W2">
        <v>6</v>
      </c>
      <c r="X2">
        <v>33052</v>
      </c>
      <c r="Y2">
        <v>1031722</v>
      </c>
      <c r="Z2">
        <v>1064774</v>
      </c>
      <c r="AA2">
        <v>999633</v>
      </c>
      <c r="AB2">
        <v>32.2151</v>
      </c>
      <c r="AC2">
        <v>0.96889800000000004</v>
      </c>
      <c r="AD2">
        <v>1.93882</v>
      </c>
      <c r="AE2">
        <v>3.0001000000000002</v>
      </c>
      <c r="AF2">
        <v>19151696</v>
      </c>
      <c r="AG2" t="s">
        <v>96</v>
      </c>
      <c r="AH2" t="s">
        <v>97</v>
      </c>
      <c r="AJ2">
        <v>42624</v>
      </c>
      <c r="AK2">
        <v>40098604409</v>
      </c>
      <c r="AL2">
        <v>5688944302270</v>
      </c>
      <c r="AM2">
        <v>7614162419</v>
      </c>
      <c r="AN2">
        <v>0</v>
      </c>
      <c r="AO2">
        <v>76905391</v>
      </c>
      <c r="AP2">
        <v>7614162419</v>
      </c>
      <c r="AQ2">
        <v>7691067810</v>
      </c>
      <c r="AR2">
        <v>253805413</v>
      </c>
      <c r="AS2">
        <v>0</v>
      </c>
      <c r="AT2">
        <v>2563513</v>
      </c>
      <c r="AU2">
        <v>253805413</v>
      </c>
      <c r="AV2">
        <v>256368927</v>
      </c>
      <c r="AW2">
        <v>8.5181500000000003</v>
      </c>
      <c r="AX2">
        <v>0.36979699999999999</v>
      </c>
      <c r="AY2">
        <v>1989.29</v>
      </c>
      <c r="AZ2">
        <v>445.40699999999998</v>
      </c>
      <c r="BA2">
        <v>3196</v>
      </c>
      <c r="BB2">
        <v>306</v>
      </c>
      <c r="BC2" t="str">
        <f>"u="&amp;(H2+I2)&amp;"% k=2x10^"&amp;LOG10(L2/2)</f>
        <v>u=1% k=2x10^6</v>
      </c>
    </row>
    <row r="3" spans="1:55">
      <c r="A3" t="s">
        <v>98</v>
      </c>
      <c r="B3" t="s">
        <v>82</v>
      </c>
      <c r="C3">
        <v>72</v>
      </c>
      <c r="D3" t="s">
        <v>64</v>
      </c>
      <c r="E3" t="s">
        <v>60</v>
      </c>
      <c r="F3" t="s">
        <v>61</v>
      </c>
      <c r="G3">
        <v>30000</v>
      </c>
      <c r="H3">
        <v>0.5</v>
      </c>
      <c r="I3">
        <v>0.5</v>
      </c>
      <c r="J3">
        <v>0</v>
      </c>
      <c r="K3">
        <v>1</v>
      </c>
      <c r="L3">
        <v>20000000</v>
      </c>
      <c r="M3">
        <v>190</v>
      </c>
      <c r="N3">
        <v>190</v>
      </c>
      <c r="O3">
        <v>190</v>
      </c>
      <c r="P3">
        <v>0</v>
      </c>
      <c r="Q3" t="s">
        <v>62</v>
      </c>
      <c r="R3">
        <v>100019039902313</v>
      </c>
      <c r="S3">
        <v>10001447</v>
      </c>
      <c r="T3">
        <v>100019039902313</v>
      </c>
      <c r="U3">
        <v>10001447</v>
      </c>
      <c r="V3" t="s">
        <v>71</v>
      </c>
      <c r="W3">
        <v>7</v>
      </c>
      <c r="X3">
        <v>1845675</v>
      </c>
      <c r="Y3">
        <v>11897359</v>
      </c>
      <c r="Z3">
        <v>13743034</v>
      </c>
      <c r="AA3">
        <v>10001447</v>
      </c>
      <c r="AB3">
        <v>7.4460699999999997</v>
      </c>
      <c r="AC3">
        <v>0.84064399999999995</v>
      </c>
      <c r="AD3">
        <v>1.7277499999999999</v>
      </c>
      <c r="AE3">
        <v>4.0440300000000002</v>
      </c>
      <c r="AF3">
        <v>338019936</v>
      </c>
      <c r="AG3" t="s">
        <v>99</v>
      </c>
      <c r="AH3" t="s">
        <v>100</v>
      </c>
      <c r="AJ3">
        <v>20758</v>
      </c>
      <c r="AK3">
        <v>37541669306</v>
      </c>
      <c r="AL3">
        <v>5687218745225</v>
      </c>
      <c r="AM3">
        <v>4600912020</v>
      </c>
      <c r="AN3">
        <v>0</v>
      </c>
      <c r="AO3">
        <v>46475257</v>
      </c>
      <c r="AP3">
        <v>4600912020</v>
      </c>
      <c r="AQ3">
        <v>4647387277</v>
      </c>
      <c r="AR3">
        <v>153363734</v>
      </c>
      <c r="AS3">
        <v>0</v>
      </c>
      <c r="AT3">
        <v>1549175</v>
      </c>
      <c r="AU3">
        <v>153363734</v>
      </c>
      <c r="AV3">
        <v>154912909</v>
      </c>
      <c r="AW3">
        <v>16.0215</v>
      </c>
      <c r="AX3">
        <v>6.5902000000000003</v>
      </c>
      <c r="AY3">
        <v>3275.9</v>
      </c>
      <c r="AZ3">
        <v>1263.3499999999999</v>
      </c>
      <c r="BA3">
        <v>3864</v>
      </c>
      <c r="BB3">
        <v>370</v>
      </c>
      <c r="BC3" t="str">
        <f t="shared" ref="BC3:BC55" si="0">"u="&amp;(H3+I3)&amp;"% k=2x10^"&amp;LOG10(L3/2)</f>
        <v>u=1% k=2x10^7</v>
      </c>
    </row>
    <row r="4" spans="1:55">
      <c r="A4" t="s">
        <v>101</v>
      </c>
      <c r="B4" t="s">
        <v>82</v>
      </c>
      <c r="C4">
        <v>72</v>
      </c>
      <c r="D4" t="s">
        <v>64</v>
      </c>
      <c r="E4" t="s">
        <v>60</v>
      </c>
      <c r="F4" t="s">
        <v>61</v>
      </c>
      <c r="G4">
        <v>30000</v>
      </c>
      <c r="H4">
        <v>0.5</v>
      </c>
      <c r="I4">
        <v>0.5</v>
      </c>
      <c r="J4">
        <v>0</v>
      </c>
      <c r="K4">
        <v>1</v>
      </c>
      <c r="L4">
        <v>200000000</v>
      </c>
      <c r="M4">
        <v>190</v>
      </c>
      <c r="N4">
        <v>190</v>
      </c>
      <c r="O4">
        <v>190</v>
      </c>
      <c r="P4">
        <v>0</v>
      </c>
      <c r="Q4" t="s">
        <v>62</v>
      </c>
      <c r="R4">
        <v>1.00003152212225E+16</v>
      </c>
      <c r="S4">
        <v>99998253</v>
      </c>
      <c r="T4">
        <v>1.00003152212225E+16</v>
      </c>
      <c r="U4">
        <v>99998253</v>
      </c>
      <c r="V4" t="s">
        <v>71</v>
      </c>
      <c r="W4">
        <v>7</v>
      </c>
      <c r="X4">
        <v>11010062</v>
      </c>
      <c r="Y4">
        <v>109998357</v>
      </c>
      <c r="Z4">
        <v>121008419</v>
      </c>
      <c r="AA4">
        <v>99998253</v>
      </c>
      <c r="AB4">
        <v>10.9907</v>
      </c>
      <c r="AC4">
        <v>0.90908900000000004</v>
      </c>
      <c r="AD4">
        <v>1.82637</v>
      </c>
      <c r="AE4">
        <v>4</v>
      </c>
      <c r="AF4">
        <v>2640778656</v>
      </c>
      <c r="AG4" t="s">
        <v>102</v>
      </c>
      <c r="AH4" t="s">
        <v>103</v>
      </c>
      <c r="AJ4">
        <v>29210</v>
      </c>
      <c r="AK4">
        <v>44115701196</v>
      </c>
      <c r="AL4">
        <v>6791455235648</v>
      </c>
      <c r="AM4">
        <v>4949980577</v>
      </c>
      <c r="AN4">
        <v>0</v>
      </c>
      <c r="AO4">
        <v>49998415</v>
      </c>
      <c r="AP4">
        <v>4949980577</v>
      </c>
      <c r="AQ4">
        <v>4999978992</v>
      </c>
      <c r="AR4">
        <v>164999352</v>
      </c>
      <c r="AS4">
        <v>0</v>
      </c>
      <c r="AT4">
        <v>1666613</v>
      </c>
      <c r="AU4">
        <v>164999352</v>
      </c>
      <c r="AV4">
        <v>166665966</v>
      </c>
      <c r="AW4">
        <v>19.5182</v>
      </c>
      <c r="AX4">
        <v>9.6269299999999998</v>
      </c>
      <c r="AY4">
        <v>3699.08</v>
      </c>
      <c r="AZ4">
        <v>1979.89</v>
      </c>
      <c r="BA4">
        <v>13572</v>
      </c>
      <c r="BB4">
        <v>1076</v>
      </c>
      <c r="BC4" t="str">
        <f t="shared" si="0"/>
        <v>u=1% k=2x10^8</v>
      </c>
    </row>
    <row r="5" spans="1:55">
      <c r="A5" t="s">
        <v>104</v>
      </c>
      <c r="B5" t="s">
        <v>82</v>
      </c>
      <c r="C5">
        <v>72</v>
      </c>
      <c r="D5" t="s">
        <v>64</v>
      </c>
      <c r="E5" t="s">
        <v>60</v>
      </c>
      <c r="F5" t="s">
        <v>61</v>
      </c>
      <c r="G5">
        <v>30000</v>
      </c>
      <c r="H5">
        <v>5</v>
      </c>
      <c r="I5">
        <v>5</v>
      </c>
      <c r="J5">
        <v>0</v>
      </c>
      <c r="K5">
        <v>1</v>
      </c>
      <c r="L5">
        <v>2000000</v>
      </c>
      <c r="M5">
        <v>190</v>
      </c>
      <c r="N5">
        <v>190</v>
      </c>
      <c r="O5">
        <v>190</v>
      </c>
      <c r="P5">
        <v>0</v>
      </c>
      <c r="Q5" t="s">
        <v>62</v>
      </c>
      <c r="R5">
        <v>999865768028</v>
      </c>
      <c r="S5">
        <v>1000503</v>
      </c>
      <c r="T5">
        <v>999865768028</v>
      </c>
      <c r="U5">
        <v>1000503</v>
      </c>
      <c r="V5" t="s">
        <v>71</v>
      </c>
      <c r="W5">
        <v>6</v>
      </c>
      <c r="X5">
        <v>33074</v>
      </c>
      <c r="Y5">
        <v>1032624</v>
      </c>
      <c r="Z5">
        <v>1065698</v>
      </c>
      <c r="AA5">
        <v>1000503</v>
      </c>
      <c r="AB5">
        <v>32.221600000000002</v>
      </c>
      <c r="AC5">
        <v>0.96889400000000003</v>
      </c>
      <c r="AD5">
        <v>1.93882</v>
      </c>
      <c r="AE5">
        <v>3.0000800000000001</v>
      </c>
      <c r="AF5">
        <v>19167888</v>
      </c>
      <c r="AG5" t="s">
        <v>105</v>
      </c>
      <c r="AH5" t="s">
        <v>106</v>
      </c>
      <c r="AJ5">
        <v>2318</v>
      </c>
      <c r="AK5">
        <v>78205839095</v>
      </c>
      <c r="AL5">
        <v>5693074186418</v>
      </c>
      <c r="AM5">
        <v>1298739876</v>
      </c>
      <c r="AN5">
        <v>0</v>
      </c>
      <c r="AO5">
        <v>144298920</v>
      </c>
      <c r="AP5">
        <v>1298739876</v>
      </c>
      <c r="AQ5">
        <v>1443038796</v>
      </c>
      <c r="AR5">
        <v>43291329</v>
      </c>
      <c r="AS5">
        <v>0</v>
      </c>
      <c r="AT5">
        <v>4809964</v>
      </c>
      <c r="AU5">
        <v>43291329</v>
      </c>
      <c r="AV5">
        <v>48101293</v>
      </c>
      <c r="AW5">
        <v>11.2491</v>
      </c>
      <c r="AX5">
        <v>2.6701800000000002</v>
      </c>
      <c r="AY5">
        <v>10179.9</v>
      </c>
      <c r="AZ5">
        <v>1115.57</v>
      </c>
      <c r="BA5">
        <v>4301</v>
      </c>
      <c r="BB5">
        <v>244</v>
      </c>
      <c r="BC5" t="str">
        <f t="shared" si="0"/>
        <v>u=10% k=2x10^6</v>
      </c>
    </row>
    <row r="6" spans="1:55">
      <c r="A6" t="s">
        <v>107</v>
      </c>
      <c r="B6" t="s">
        <v>82</v>
      </c>
      <c r="C6">
        <v>72</v>
      </c>
      <c r="D6" t="s">
        <v>64</v>
      </c>
      <c r="E6" t="s">
        <v>60</v>
      </c>
      <c r="F6" t="s">
        <v>61</v>
      </c>
      <c r="G6">
        <v>30000</v>
      </c>
      <c r="H6">
        <v>5</v>
      </c>
      <c r="I6">
        <v>5</v>
      </c>
      <c r="J6">
        <v>0</v>
      </c>
      <c r="K6">
        <v>1</v>
      </c>
      <c r="L6">
        <v>20000000</v>
      </c>
      <c r="M6">
        <v>190</v>
      </c>
      <c r="N6">
        <v>190</v>
      </c>
      <c r="O6">
        <v>190</v>
      </c>
      <c r="P6">
        <v>0</v>
      </c>
      <c r="Q6" t="s">
        <v>62</v>
      </c>
      <c r="R6">
        <v>99990565309806</v>
      </c>
      <c r="S6">
        <v>9999714</v>
      </c>
      <c r="T6">
        <v>99990565309806</v>
      </c>
      <c r="U6">
        <v>9999714</v>
      </c>
      <c r="V6" t="s">
        <v>71</v>
      </c>
      <c r="W6">
        <v>7</v>
      </c>
      <c r="X6">
        <v>1625832</v>
      </c>
      <c r="Y6">
        <v>11442136</v>
      </c>
      <c r="Z6">
        <v>13067968</v>
      </c>
      <c r="AA6">
        <v>9999714</v>
      </c>
      <c r="AB6">
        <v>8.0377100000000006</v>
      </c>
      <c r="AC6">
        <v>0.87393799999999999</v>
      </c>
      <c r="AD6">
        <v>1.7652099999999999</v>
      </c>
      <c r="AE6">
        <v>4.0000099999999996</v>
      </c>
      <c r="AF6">
        <v>313140720</v>
      </c>
      <c r="AG6" t="s">
        <v>108</v>
      </c>
      <c r="AH6" t="s">
        <v>109</v>
      </c>
      <c r="AJ6">
        <v>3642</v>
      </c>
      <c r="AK6">
        <v>72692384485</v>
      </c>
      <c r="AL6">
        <v>5743373378812</v>
      </c>
      <c r="AM6">
        <v>809578800</v>
      </c>
      <c r="AN6">
        <v>0</v>
      </c>
      <c r="AO6">
        <v>89962735</v>
      </c>
      <c r="AP6">
        <v>809578800</v>
      </c>
      <c r="AQ6">
        <v>899541535</v>
      </c>
      <c r="AR6">
        <v>26985960</v>
      </c>
      <c r="AS6">
        <v>0</v>
      </c>
      <c r="AT6">
        <v>2998757</v>
      </c>
      <c r="AU6">
        <v>26985960</v>
      </c>
      <c r="AV6">
        <v>29984717</v>
      </c>
      <c r="AW6">
        <v>18.4008</v>
      </c>
      <c r="AX6">
        <v>8.1514000000000006</v>
      </c>
      <c r="AY6">
        <v>15106</v>
      </c>
      <c r="AZ6">
        <v>1842.98</v>
      </c>
      <c r="BA6">
        <v>7135</v>
      </c>
      <c r="BB6">
        <v>389</v>
      </c>
      <c r="BC6" t="str">
        <f t="shared" si="0"/>
        <v>u=10% k=2x10^7</v>
      </c>
    </row>
    <row r="7" spans="1:55">
      <c r="A7" t="s">
        <v>110</v>
      </c>
      <c r="B7" t="s">
        <v>82</v>
      </c>
      <c r="C7">
        <v>72</v>
      </c>
      <c r="D7" t="s">
        <v>64</v>
      </c>
      <c r="E7" t="s">
        <v>60</v>
      </c>
      <c r="F7" t="s">
        <v>61</v>
      </c>
      <c r="G7">
        <v>30000</v>
      </c>
      <c r="H7">
        <v>5</v>
      </c>
      <c r="I7">
        <v>5</v>
      </c>
      <c r="J7">
        <v>0</v>
      </c>
      <c r="K7">
        <v>1</v>
      </c>
      <c r="L7">
        <v>200000000</v>
      </c>
      <c r="M7">
        <v>190</v>
      </c>
      <c r="N7">
        <v>190</v>
      </c>
      <c r="O7">
        <v>190</v>
      </c>
      <c r="P7">
        <v>0</v>
      </c>
      <c r="Q7" t="s">
        <v>62</v>
      </c>
      <c r="BA7">
        <v>30422</v>
      </c>
      <c r="BB7">
        <v>1087</v>
      </c>
      <c r="BC7" t="str">
        <f t="shared" si="0"/>
        <v>u=10% k=2x10^8</v>
      </c>
    </row>
    <row r="8" spans="1:55">
      <c r="A8" t="s">
        <v>111</v>
      </c>
      <c r="B8" t="s">
        <v>82</v>
      </c>
      <c r="C8">
        <v>72</v>
      </c>
      <c r="D8" t="s">
        <v>64</v>
      </c>
      <c r="E8" t="s">
        <v>60</v>
      </c>
      <c r="F8" t="s">
        <v>61</v>
      </c>
      <c r="G8">
        <v>30000</v>
      </c>
      <c r="H8">
        <v>20</v>
      </c>
      <c r="I8">
        <v>20</v>
      </c>
      <c r="J8">
        <v>0</v>
      </c>
      <c r="K8">
        <v>1</v>
      </c>
      <c r="L8">
        <v>2000000</v>
      </c>
      <c r="M8">
        <v>190</v>
      </c>
      <c r="N8">
        <v>190</v>
      </c>
      <c r="O8">
        <v>190</v>
      </c>
      <c r="P8">
        <v>0</v>
      </c>
      <c r="Q8" t="s">
        <v>62</v>
      </c>
      <c r="R8">
        <v>998800553261</v>
      </c>
      <c r="S8">
        <v>999304</v>
      </c>
      <c r="T8">
        <v>998800553261</v>
      </c>
      <c r="U8">
        <v>999304</v>
      </c>
      <c r="V8" t="s">
        <v>71</v>
      </c>
      <c r="W8">
        <v>6</v>
      </c>
      <c r="X8">
        <v>33058</v>
      </c>
      <c r="Y8">
        <v>1031413</v>
      </c>
      <c r="Z8">
        <v>1064471</v>
      </c>
      <c r="AA8">
        <v>999304</v>
      </c>
      <c r="AB8">
        <v>32.200099999999999</v>
      </c>
      <c r="AC8">
        <v>0.96886899999999998</v>
      </c>
      <c r="AD8">
        <v>1.9387799999999999</v>
      </c>
      <c r="AE8">
        <v>3.0001099999999998</v>
      </c>
      <c r="AF8">
        <v>19147232</v>
      </c>
      <c r="AG8" t="s">
        <v>112</v>
      </c>
      <c r="AH8" t="s">
        <v>113</v>
      </c>
      <c r="AJ8">
        <v>666</v>
      </c>
      <c r="AK8">
        <v>83376784411</v>
      </c>
      <c r="AL8">
        <v>5703398735057</v>
      </c>
      <c r="AM8">
        <v>222494351</v>
      </c>
      <c r="AN8">
        <v>0</v>
      </c>
      <c r="AO8">
        <v>148337900</v>
      </c>
      <c r="AP8">
        <v>222494351</v>
      </c>
      <c r="AQ8">
        <v>370832251</v>
      </c>
      <c r="AR8">
        <v>7416478</v>
      </c>
      <c r="AS8">
        <v>0</v>
      </c>
      <c r="AT8">
        <v>4944596</v>
      </c>
      <c r="AU8">
        <v>7416478</v>
      </c>
      <c r="AV8">
        <v>12361075</v>
      </c>
      <c r="AW8">
        <v>19.239699999999999</v>
      </c>
      <c r="AX8">
        <v>8.9894999999999996</v>
      </c>
      <c r="AY8">
        <v>39455.4</v>
      </c>
      <c r="AZ8">
        <v>2992.13</v>
      </c>
      <c r="BA8">
        <v>4161</v>
      </c>
      <c r="BB8">
        <v>250</v>
      </c>
      <c r="BC8" t="str">
        <f t="shared" si="0"/>
        <v>u=40% k=2x10^6</v>
      </c>
    </row>
    <row r="9" spans="1:55">
      <c r="A9" t="s">
        <v>114</v>
      </c>
      <c r="B9" t="s">
        <v>82</v>
      </c>
      <c r="C9">
        <v>72</v>
      </c>
      <c r="D9" t="s">
        <v>64</v>
      </c>
      <c r="E9" t="s">
        <v>60</v>
      </c>
      <c r="F9" t="s">
        <v>61</v>
      </c>
      <c r="G9">
        <v>30000</v>
      </c>
      <c r="H9">
        <v>20</v>
      </c>
      <c r="I9">
        <v>20</v>
      </c>
      <c r="J9">
        <v>0</v>
      </c>
      <c r="K9">
        <v>1</v>
      </c>
      <c r="L9">
        <v>20000000</v>
      </c>
      <c r="M9">
        <v>190</v>
      </c>
      <c r="N9">
        <v>190</v>
      </c>
      <c r="O9">
        <v>190</v>
      </c>
      <c r="P9">
        <v>0</v>
      </c>
      <c r="Q9" t="s">
        <v>62</v>
      </c>
      <c r="R9">
        <v>100020375293966</v>
      </c>
      <c r="S9">
        <v>10002332</v>
      </c>
      <c r="T9">
        <v>100020375293966</v>
      </c>
      <c r="U9">
        <v>10002332</v>
      </c>
      <c r="V9" t="s">
        <v>71</v>
      </c>
      <c r="W9">
        <v>7</v>
      </c>
      <c r="X9">
        <v>1735002</v>
      </c>
      <c r="Y9">
        <v>11673000</v>
      </c>
      <c r="Z9">
        <v>13408002</v>
      </c>
      <c r="AA9">
        <v>10002332</v>
      </c>
      <c r="AB9">
        <v>7.7279499999999999</v>
      </c>
      <c r="AC9">
        <v>0.85687800000000003</v>
      </c>
      <c r="AD9">
        <v>1.746</v>
      </c>
      <c r="AE9">
        <v>4.0223800000000001</v>
      </c>
      <c r="AF9">
        <v>325572192</v>
      </c>
      <c r="AG9" t="s">
        <v>115</v>
      </c>
      <c r="AH9" t="s">
        <v>116</v>
      </c>
      <c r="AJ9">
        <v>944</v>
      </c>
      <c r="AK9">
        <v>82270594976</v>
      </c>
      <c r="AL9">
        <v>5689982835133</v>
      </c>
      <c r="AM9">
        <v>156074595</v>
      </c>
      <c r="AN9">
        <v>0</v>
      </c>
      <c r="AO9">
        <v>104052444</v>
      </c>
      <c r="AP9">
        <v>156074595</v>
      </c>
      <c r="AQ9">
        <v>260127039</v>
      </c>
      <c r="AR9">
        <v>5202486</v>
      </c>
      <c r="AS9">
        <v>0</v>
      </c>
      <c r="AT9">
        <v>3468414</v>
      </c>
      <c r="AU9">
        <v>5202486</v>
      </c>
      <c r="AV9">
        <v>8670901</v>
      </c>
      <c r="AW9">
        <v>25.375399999999999</v>
      </c>
      <c r="AX9">
        <v>13.2767</v>
      </c>
      <c r="AY9">
        <v>52071.1</v>
      </c>
      <c r="AZ9">
        <v>3443.71</v>
      </c>
      <c r="BA9">
        <v>7979</v>
      </c>
      <c r="BB9">
        <v>381</v>
      </c>
      <c r="BC9" t="str">
        <f t="shared" si="0"/>
        <v>u=40% k=2x10^7</v>
      </c>
    </row>
    <row r="10" spans="1:55">
      <c r="A10" t="s">
        <v>117</v>
      </c>
      <c r="B10" t="s">
        <v>82</v>
      </c>
      <c r="C10">
        <v>72</v>
      </c>
      <c r="D10" t="s">
        <v>64</v>
      </c>
      <c r="E10" t="s">
        <v>60</v>
      </c>
      <c r="F10" t="s">
        <v>61</v>
      </c>
      <c r="G10">
        <v>30000</v>
      </c>
      <c r="H10">
        <v>20</v>
      </c>
      <c r="I10">
        <v>20</v>
      </c>
      <c r="J10">
        <v>0</v>
      </c>
      <c r="K10">
        <v>1</v>
      </c>
      <c r="L10">
        <v>200000000</v>
      </c>
      <c r="M10">
        <v>190</v>
      </c>
      <c r="N10">
        <v>190</v>
      </c>
      <c r="O10">
        <v>190</v>
      </c>
      <c r="P10">
        <v>0</v>
      </c>
      <c r="Q10" t="s">
        <v>62</v>
      </c>
      <c r="R10">
        <v>1.00005494902476E+16</v>
      </c>
      <c r="S10">
        <v>100005394</v>
      </c>
      <c r="T10">
        <v>1.00005494902476E+16</v>
      </c>
      <c r="U10">
        <v>100005394</v>
      </c>
      <c r="V10" t="s">
        <v>71</v>
      </c>
      <c r="W10">
        <v>7</v>
      </c>
      <c r="X10">
        <v>11011146</v>
      </c>
      <c r="Y10">
        <v>110006490</v>
      </c>
      <c r="Z10">
        <v>121017636</v>
      </c>
      <c r="AA10">
        <v>100005394</v>
      </c>
      <c r="AB10">
        <v>10.990500000000001</v>
      </c>
      <c r="AC10">
        <v>0.90908599999999995</v>
      </c>
      <c r="AD10">
        <v>1.82637</v>
      </c>
      <c r="AE10">
        <v>4</v>
      </c>
      <c r="AF10">
        <v>2640995504</v>
      </c>
      <c r="AG10" t="s">
        <v>118</v>
      </c>
      <c r="AH10" t="s">
        <v>119</v>
      </c>
      <c r="AJ10">
        <v>852</v>
      </c>
      <c r="AK10">
        <v>145295780275</v>
      </c>
      <c r="AL10">
        <v>5787958051906</v>
      </c>
      <c r="AM10">
        <v>225023795</v>
      </c>
      <c r="AN10">
        <v>0</v>
      </c>
      <c r="AO10">
        <v>150008418</v>
      </c>
      <c r="AP10">
        <v>225023795</v>
      </c>
      <c r="AQ10">
        <v>375032213</v>
      </c>
      <c r="AR10">
        <v>7500793</v>
      </c>
      <c r="AS10">
        <v>0</v>
      </c>
      <c r="AT10">
        <v>5000280</v>
      </c>
      <c r="AU10">
        <v>7500793</v>
      </c>
      <c r="AV10">
        <v>12501073</v>
      </c>
      <c r="AW10">
        <v>27.457699999999999</v>
      </c>
      <c r="AX10">
        <v>14.247400000000001</v>
      </c>
      <c r="AY10">
        <v>39982.6</v>
      </c>
      <c r="AZ10">
        <v>3563.16</v>
      </c>
      <c r="BA10">
        <v>33686</v>
      </c>
      <c r="BB10">
        <v>1144</v>
      </c>
      <c r="BC10" t="str">
        <f t="shared" si="0"/>
        <v>u=40% k=2x10^8</v>
      </c>
    </row>
    <row r="11" spans="1:55">
      <c r="A11" t="s">
        <v>120</v>
      </c>
      <c r="B11" t="s">
        <v>82</v>
      </c>
      <c r="C11">
        <v>72</v>
      </c>
      <c r="D11" t="s">
        <v>64</v>
      </c>
      <c r="E11" t="s">
        <v>60</v>
      </c>
      <c r="F11" t="s">
        <v>61</v>
      </c>
      <c r="G11">
        <v>30000</v>
      </c>
      <c r="H11">
        <v>0.5</v>
      </c>
      <c r="I11">
        <v>0.5</v>
      </c>
      <c r="J11">
        <v>0</v>
      </c>
      <c r="K11">
        <v>1</v>
      </c>
      <c r="L11">
        <v>2000000</v>
      </c>
      <c r="M11">
        <v>190</v>
      </c>
      <c r="N11">
        <v>190</v>
      </c>
      <c r="O11">
        <v>190</v>
      </c>
      <c r="P11">
        <v>0</v>
      </c>
      <c r="Q11" t="s">
        <v>62</v>
      </c>
      <c r="R11">
        <v>999551982177</v>
      </c>
      <c r="S11">
        <v>999356</v>
      </c>
      <c r="T11">
        <v>999551982177</v>
      </c>
      <c r="U11">
        <v>999356</v>
      </c>
      <c r="V11" t="s">
        <v>71</v>
      </c>
      <c r="W11">
        <v>6</v>
      </c>
      <c r="X11">
        <v>42114</v>
      </c>
      <c r="Y11">
        <v>1049544</v>
      </c>
      <c r="Z11">
        <v>1091658</v>
      </c>
      <c r="AA11">
        <v>999356</v>
      </c>
      <c r="AB11">
        <v>25.921500000000002</v>
      </c>
      <c r="AC11">
        <v>0.95218100000000006</v>
      </c>
      <c r="AD11">
        <v>1.9154500000000001</v>
      </c>
      <c r="AE11">
        <v>3.0185</v>
      </c>
      <c r="AF11">
        <v>20164608</v>
      </c>
      <c r="AG11" t="s">
        <v>121</v>
      </c>
      <c r="AH11" t="s">
        <v>122</v>
      </c>
      <c r="AJ11">
        <v>42324</v>
      </c>
      <c r="AK11">
        <v>39972168914</v>
      </c>
      <c r="AL11">
        <v>5686429500830</v>
      </c>
      <c r="AM11">
        <v>7616779043</v>
      </c>
      <c r="AN11">
        <v>0</v>
      </c>
      <c r="AO11">
        <v>76924244</v>
      </c>
      <c r="AP11">
        <v>7616779043</v>
      </c>
      <c r="AQ11">
        <v>7693703287</v>
      </c>
      <c r="AR11">
        <v>253892634</v>
      </c>
      <c r="AS11">
        <v>0</v>
      </c>
      <c r="AT11">
        <v>2564141</v>
      </c>
      <c r="AU11">
        <v>253892634</v>
      </c>
      <c r="AV11">
        <v>256456776</v>
      </c>
      <c r="AW11">
        <v>8.5311199999999996</v>
      </c>
      <c r="AX11">
        <v>0.371832</v>
      </c>
      <c r="AY11">
        <v>1988.25</v>
      </c>
      <c r="AZ11">
        <v>450.68200000000002</v>
      </c>
      <c r="BA11">
        <v>3067</v>
      </c>
      <c r="BB11">
        <v>374</v>
      </c>
      <c r="BC11" t="str">
        <f t="shared" si="0"/>
        <v>u=1% k=2x10^6</v>
      </c>
    </row>
    <row r="12" spans="1:55">
      <c r="A12" t="s">
        <v>123</v>
      </c>
      <c r="B12" t="s">
        <v>82</v>
      </c>
      <c r="C12">
        <v>72</v>
      </c>
      <c r="D12" t="s">
        <v>64</v>
      </c>
      <c r="E12" t="s">
        <v>60</v>
      </c>
      <c r="F12" t="s">
        <v>61</v>
      </c>
      <c r="G12">
        <v>30000</v>
      </c>
      <c r="H12">
        <v>0.5</v>
      </c>
      <c r="I12">
        <v>0.5</v>
      </c>
      <c r="J12">
        <v>0</v>
      </c>
      <c r="K12">
        <v>1</v>
      </c>
      <c r="L12">
        <v>20000000</v>
      </c>
      <c r="M12">
        <v>190</v>
      </c>
      <c r="N12">
        <v>190</v>
      </c>
      <c r="O12">
        <v>190</v>
      </c>
      <c r="P12">
        <v>0</v>
      </c>
      <c r="Q12" t="s">
        <v>62</v>
      </c>
      <c r="R12">
        <v>99973374742963</v>
      </c>
      <c r="S12">
        <v>9997569</v>
      </c>
      <c r="T12">
        <v>99973374742963</v>
      </c>
      <c r="U12">
        <v>9997569</v>
      </c>
      <c r="V12" t="s">
        <v>71</v>
      </c>
      <c r="W12">
        <v>7</v>
      </c>
      <c r="X12">
        <v>1830166</v>
      </c>
      <c r="Y12">
        <v>11861793</v>
      </c>
      <c r="Z12">
        <v>13691959</v>
      </c>
      <c r="AA12">
        <v>9997569</v>
      </c>
      <c r="AB12">
        <v>7.4812700000000003</v>
      </c>
      <c r="AC12">
        <v>0.84283799999999998</v>
      </c>
      <c r="AD12">
        <v>1.7301800000000001</v>
      </c>
      <c r="AE12">
        <v>4.0410300000000001</v>
      </c>
      <c r="AF12">
        <v>336207920</v>
      </c>
      <c r="AG12" t="s">
        <v>124</v>
      </c>
      <c r="AH12" t="s">
        <v>125</v>
      </c>
      <c r="AJ12">
        <v>20752</v>
      </c>
      <c r="AK12">
        <v>38016807691</v>
      </c>
      <c r="AL12">
        <v>5686847457713</v>
      </c>
      <c r="AM12">
        <v>4581693382</v>
      </c>
      <c r="AN12">
        <v>0</v>
      </c>
      <c r="AO12">
        <v>46285889</v>
      </c>
      <c r="AP12">
        <v>4581693382</v>
      </c>
      <c r="AQ12">
        <v>4627979271</v>
      </c>
      <c r="AR12">
        <v>152723112</v>
      </c>
      <c r="AS12">
        <v>0</v>
      </c>
      <c r="AT12">
        <v>1542862</v>
      </c>
      <c r="AU12">
        <v>152723112</v>
      </c>
      <c r="AV12">
        <v>154265975</v>
      </c>
      <c r="AW12">
        <v>16.0075</v>
      </c>
      <c r="AX12">
        <v>6.58826</v>
      </c>
      <c r="AY12">
        <v>3284.92</v>
      </c>
      <c r="AZ12">
        <v>1268.01</v>
      </c>
      <c r="BA12">
        <v>3876</v>
      </c>
      <c r="BB12">
        <v>496</v>
      </c>
      <c r="BC12" t="str">
        <f t="shared" si="0"/>
        <v>u=1% k=2x10^7</v>
      </c>
    </row>
    <row r="13" spans="1:55">
      <c r="A13" t="s">
        <v>126</v>
      </c>
      <c r="B13" t="s">
        <v>82</v>
      </c>
      <c r="C13">
        <v>72</v>
      </c>
      <c r="D13" t="s">
        <v>64</v>
      </c>
      <c r="E13" t="s">
        <v>60</v>
      </c>
      <c r="F13" t="s">
        <v>61</v>
      </c>
      <c r="G13">
        <v>30000</v>
      </c>
      <c r="H13">
        <v>0.5</v>
      </c>
      <c r="I13">
        <v>0.5</v>
      </c>
      <c r="J13">
        <v>0</v>
      </c>
      <c r="K13">
        <v>1</v>
      </c>
      <c r="L13">
        <v>200000000</v>
      </c>
      <c r="M13">
        <v>190</v>
      </c>
      <c r="N13">
        <v>190</v>
      </c>
      <c r="O13">
        <v>190</v>
      </c>
      <c r="P13">
        <v>0</v>
      </c>
      <c r="Q13" t="s">
        <v>62</v>
      </c>
      <c r="R13">
        <v>1.00002239593371E+16</v>
      </c>
      <c r="S13">
        <v>99999731</v>
      </c>
      <c r="T13">
        <v>1.00002239593371E+16</v>
      </c>
      <c r="U13">
        <v>99999731</v>
      </c>
      <c r="V13" t="s">
        <v>71</v>
      </c>
      <c r="W13">
        <v>7</v>
      </c>
      <c r="X13">
        <v>11010052</v>
      </c>
      <c r="Y13">
        <v>109999820</v>
      </c>
      <c r="Z13">
        <v>121009872</v>
      </c>
      <c r="AA13">
        <v>99999731</v>
      </c>
      <c r="AB13">
        <v>10.9909</v>
      </c>
      <c r="AC13">
        <v>0.90908999999999995</v>
      </c>
      <c r="AD13">
        <v>1.8263799999999999</v>
      </c>
      <c r="AE13">
        <v>4</v>
      </c>
      <c r="AF13">
        <v>2640801264</v>
      </c>
      <c r="AG13" t="s">
        <v>127</v>
      </c>
      <c r="AH13" t="s">
        <v>128</v>
      </c>
      <c r="AJ13">
        <v>28958</v>
      </c>
      <c r="AK13">
        <v>43957725620</v>
      </c>
      <c r="AL13">
        <v>6789853131361</v>
      </c>
      <c r="AM13">
        <v>4947129989</v>
      </c>
      <c r="AN13">
        <v>0</v>
      </c>
      <c r="AO13">
        <v>49982507</v>
      </c>
      <c r="AP13">
        <v>4947129989</v>
      </c>
      <c r="AQ13">
        <v>4997112496</v>
      </c>
      <c r="AR13">
        <v>164904332</v>
      </c>
      <c r="AS13">
        <v>0</v>
      </c>
      <c r="AT13">
        <v>1666083</v>
      </c>
      <c r="AU13">
        <v>164904332</v>
      </c>
      <c r="AV13">
        <v>166570416</v>
      </c>
      <c r="AW13">
        <v>19.4587</v>
      </c>
      <c r="AX13">
        <v>9.6327099999999994</v>
      </c>
      <c r="AY13">
        <v>3699.51</v>
      </c>
      <c r="AZ13">
        <v>1991.27</v>
      </c>
      <c r="BA13">
        <v>13568</v>
      </c>
      <c r="BB13">
        <v>1109</v>
      </c>
      <c r="BC13" t="str">
        <f t="shared" si="0"/>
        <v>u=1% k=2x10^8</v>
      </c>
    </row>
    <row r="14" spans="1:55">
      <c r="A14" t="s">
        <v>129</v>
      </c>
      <c r="B14" t="s">
        <v>82</v>
      </c>
      <c r="C14">
        <v>72</v>
      </c>
      <c r="D14" t="s">
        <v>64</v>
      </c>
      <c r="E14" t="s">
        <v>60</v>
      </c>
      <c r="F14" t="s">
        <v>61</v>
      </c>
      <c r="G14">
        <v>30000</v>
      </c>
      <c r="H14">
        <v>5</v>
      </c>
      <c r="I14">
        <v>5</v>
      </c>
      <c r="J14">
        <v>0</v>
      </c>
      <c r="K14">
        <v>1</v>
      </c>
      <c r="L14">
        <v>2000000</v>
      </c>
      <c r="M14">
        <v>190</v>
      </c>
      <c r="N14">
        <v>190</v>
      </c>
      <c r="O14">
        <v>190</v>
      </c>
      <c r="P14">
        <v>0</v>
      </c>
      <c r="Q14" t="s">
        <v>62</v>
      </c>
      <c r="R14">
        <v>999433322449</v>
      </c>
      <c r="S14">
        <v>999282</v>
      </c>
      <c r="T14">
        <v>999433322449</v>
      </c>
      <c r="U14">
        <v>999282</v>
      </c>
      <c r="V14" t="s">
        <v>71</v>
      </c>
      <c r="W14">
        <v>6</v>
      </c>
      <c r="X14">
        <v>33045</v>
      </c>
      <c r="Y14">
        <v>1031374</v>
      </c>
      <c r="Z14">
        <v>1064419</v>
      </c>
      <c r="AA14">
        <v>999282</v>
      </c>
      <c r="AB14">
        <v>32.211199999999998</v>
      </c>
      <c r="AC14">
        <v>0.96888399999999997</v>
      </c>
      <c r="AD14">
        <v>1.9388099999999999</v>
      </c>
      <c r="AE14">
        <v>3.0000900000000001</v>
      </c>
      <c r="AF14">
        <v>19145568</v>
      </c>
      <c r="AG14" t="s">
        <v>130</v>
      </c>
      <c r="AH14" t="s">
        <v>131</v>
      </c>
      <c r="AJ14">
        <v>2420</v>
      </c>
      <c r="AK14">
        <v>77653070054</v>
      </c>
      <c r="AL14">
        <v>5696515462126</v>
      </c>
      <c r="AM14">
        <v>1280897009</v>
      </c>
      <c r="AN14">
        <v>0</v>
      </c>
      <c r="AO14">
        <v>142313226</v>
      </c>
      <c r="AP14">
        <v>1280897009</v>
      </c>
      <c r="AQ14">
        <v>1423210235</v>
      </c>
      <c r="AR14">
        <v>42696566</v>
      </c>
      <c r="AS14">
        <v>0</v>
      </c>
      <c r="AT14">
        <v>4743774</v>
      </c>
      <c r="AU14">
        <v>42696566</v>
      </c>
      <c r="AV14">
        <v>47440341</v>
      </c>
      <c r="AW14">
        <v>11.2555</v>
      </c>
      <c r="AX14">
        <v>2.66568</v>
      </c>
      <c r="AY14">
        <v>10329.700000000001</v>
      </c>
      <c r="AZ14">
        <v>1129.32</v>
      </c>
      <c r="BA14">
        <v>4283</v>
      </c>
      <c r="BB14">
        <v>333</v>
      </c>
      <c r="BC14" t="str">
        <f t="shared" si="0"/>
        <v>u=10% k=2x10^6</v>
      </c>
    </row>
    <row r="15" spans="1:55">
      <c r="A15" t="s">
        <v>132</v>
      </c>
      <c r="B15" t="s">
        <v>82</v>
      </c>
      <c r="C15">
        <v>72</v>
      </c>
      <c r="D15" t="s">
        <v>64</v>
      </c>
      <c r="E15" t="s">
        <v>60</v>
      </c>
      <c r="F15" t="s">
        <v>61</v>
      </c>
      <c r="G15">
        <v>30000</v>
      </c>
      <c r="H15">
        <v>5</v>
      </c>
      <c r="I15">
        <v>5</v>
      </c>
      <c r="J15">
        <v>0</v>
      </c>
      <c r="K15">
        <v>1</v>
      </c>
      <c r="L15">
        <v>20000000</v>
      </c>
      <c r="M15">
        <v>190</v>
      </c>
      <c r="N15">
        <v>190</v>
      </c>
      <c r="O15">
        <v>190</v>
      </c>
      <c r="P15">
        <v>0</v>
      </c>
      <c r="Q15" t="s">
        <v>62</v>
      </c>
      <c r="R15">
        <v>99933540736710</v>
      </c>
      <c r="S15">
        <v>9995385</v>
      </c>
      <c r="T15">
        <v>99933540736710</v>
      </c>
      <c r="U15">
        <v>9995385</v>
      </c>
      <c r="V15" t="s">
        <v>71</v>
      </c>
      <c r="W15">
        <v>7</v>
      </c>
      <c r="X15">
        <v>1625325</v>
      </c>
      <c r="Y15">
        <v>11437357</v>
      </c>
      <c r="Z15">
        <v>13062682</v>
      </c>
      <c r="AA15">
        <v>9995385</v>
      </c>
      <c r="AB15">
        <v>8.0369700000000002</v>
      </c>
      <c r="AC15">
        <v>0.87392400000000003</v>
      </c>
      <c r="AD15">
        <v>1.76519</v>
      </c>
      <c r="AE15">
        <v>4.0000099999999996</v>
      </c>
      <c r="AF15">
        <v>313023696</v>
      </c>
      <c r="AG15" t="s">
        <v>133</v>
      </c>
      <c r="AH15" t="s">
        <v>134</v>
      </c>
      <c r="AJ15">
        <v>3652</v>
      </c>
      <c r="AK15">
        <v>73226211301</v>
      </c>
      <c r="AL15">
        <v>5821686306661</v>
      </c>
      <c r="AM15">
        <v>810220296</v>
      </c>
      <c r="AN15">
        <v>0</v>
      </c>
      <c r="AO15">
        <v>90009927</v>
      </c>
      <c r="AP15">
        <v>810220296</v>
      </c>
      <c r="AQ15">
        <v>900230223</v>
      </c>
      <c r="AR15">
        <v>27007343</v>
      </c>
      <c r="AS15">
        <v>0</v>
      </c>
      <c r="AT15">
        <v>3000330</v>
      </c>
      <c r="AU15">
        <v>27007343</v>
      </c>
      <c r="AV15">
        <v>30007674</v>
      </c>
      <c r="AW15">
        <v>18.417100000000001</v>
      </c>
      <c r="AX15">
        <v>8.1566600000000005</v>
      </c>
      <c r="AY15">
        <v>15375</v>
      </c>
      <c r="AZ15">
        <v>1869.81</v>
      </c>
      <c r="BA15">
        <v>7197</v>
      </c>
      <c r="BB15">
        <v>410</v>
      </c>
      <c r="BC15" t="str">
        <f t="shared" si="0"/>
        <v>u=10% k=2x10^7</v>
      </c>
    </row>
    <row r="16" spans="1:55">
      <c r="A16" t="s">
        <v>135</v>
      </c>
      <c r="B16" t="s">
        <v>82</v>
      </c>
      <c r="C16">
        <v>72</v>
      </c>
      <c r="D16" t="s">
        <v>64</v>
      </c>
      <c r="E16" t="s">
        <v>60</v>
      </c>
      <c r="F16" t="s">
        <v>61</v>
      </c>
      <c r="G16">
        <v>30000</v>
      </c>
      <c r="H16">
        <v>5</v>
      </c>
      <c r="I16">
        <v>5</v>
      </c>
      <c r="J16">
        <v>0</v>
      </c>
      <c r="K16">
        <v>1</v>
      </c>
      <c r="L16">
        <v>200000000</v>
      </c>
      <c r="M16">
        <v>190</v>
      </c>
      <c r="N16">
        <v>190</v>
      </c>
      <c r="O16">
        <v>190</v>
      </c>
      <c r="P16">
        <v>0</v>
      </c>
      <c r="Q16" t="s">
        <v>62</v>
      </c>
      <c r="R16">
        <v>1.00005225486234E+16</v>
      </c>
      <c r="S16">
        <v>100007077</v>
      </c>
      <c r="T16">
        <v>1.00005225486234E+16</v>
      </c>
      <c r="U16">
        <v>100007077</v>
      </c>
      <c r="V16" t="s">
        <v>71</v>
      </c>
      <c r="W16">
        <v>7</v>
      </c>
      <c r="X16">
        <v>11011153</v>
      </c>
      <c r="Y16">
        <v>110008174</v>
      </c>
      <c r="Z16">
        <v>121019327</v>
      </c>
      <c r="AA16">
        <v>100007077</v>
      </c>
      <c r="AB16">
        <v>10.990600000000001</v>
      </c>
      <c r="AC16">
        <v>0.90908800000000001</v>
      </c>
      <c r="AD16">
        <v>1.82637</v>
      </c>
      <c r="AE16">
        <v>4</v>
      </c>
      <c r="AF16">
        <v>2641023008</v>
      </c>
      <c r="AG16" t="s">
        <v>136</v>
      </c>
      <c r="AH16" t="s">
        <v>137</v>
      </c>
      <c r="AJ16">
        <v>2950</v>
      </c>
      <c r="AK16">
        <v>122379947247</v>
      </c>
      <c r="AL16">
        <v>6875961355496</v>
      </c>
      <c r="AM16">
        <v>1349963584</v>
      </c>
      <c r="AN16">
        <v>0</v>
      </c>
      <c r="AO16">
        <v>149986329</v>
      </c>
      <c r="AP16">
        <v>1349963584</v>
      </c>
      <c r="AQ16">
        <v>1499949913</v>
      </c>
      <c r="AR16">
        <v>44998786</v>
      </c>
      <c r="AS16">
        <v>0</v>
      </c>
      <c r="AT16">
        <v>4999544</v>
      </c>
      <c r="AU16">
        <v>44998786</v>
      </c>
      <c r="AV16">
        <v>49998330</v>
      </c>
      <c r="AW16">
        <v>21.351900000000001</v>
      </c>
      <c r="AX16">
        <v>10.5852</v>
      </c>
      <c r="AY16">
        <v>12087.3</v>
      </c>
      <c r="AZ16">
        <v>2459.6799999999998</v>
      </c>
      <c r="BA16">
        <v>33675</v>
      </c>
      <c r="BB16">
        <v>1086</v>
      </c>
      <c r="BC16" t="str">
        <f t="shared" si="0"/>
        <v>u=10% k=2x10^8</v>
      </c>
    </row>
    <row r="17" spans="1:55">
      <c r="A17" t="s">
        <v>138</v>
      </c>
      <c r="B17" t="s">
        <v>82</v>
      </c>
      <c r="C17">
        <v>72</v>
      </c>
      <c r="D17" t="s">
        <v>64</v>
      </c>
      <c r="E17" t="s">
        <v>60</v>
      </c>
      <c r="F17" t="s">
        <v>61</v>
      </c>
      <c r="G17">
        <v>30000</v>
      </c>
      <c r="H17">
        <v>20</v>
      </c>
      <c r="I17">
        <v>20</v>
      </c>
      <c r="J17">
        <v>0</v>
      </c>
      <c r="K17">
        <v>1</v>
      </c>
      <c r="L17">
        <v>2000000</v>
      </c>
      <c r="M17">
        <v>190</v>
      </c>
      <c r="N17">
        <v>190</v>
      </c>
      <c r="O17">
        <v>190</v>
      </c>
      <c r="P17">
        <v>0</v>
      </c>
      <c r="Q17" t="s">
        <v>62</v>
      </c>
      <c r="R17">
        <v>999739372780</v>
      </c>
      <c r="S17">
        <v>1000114</v>
      </c>
      <c r="T17">
        <v>999739372780</v>
      </c>
      <c r="U17">
        <v>1000114</v>
      </c>
      <c r="V17" t="s">
        <v>71</v>
      </c>
      <c r="W17">
        <v>6</v>
      </c>
      <c r="X17">
        <v>35694</v>
      </c>
      <c r="Y17">
        <v>1037551</v>
      </c>
      <c r="Z17">
        <v>1073245</v>
      </c>
      <c r="AA17">
        <v>1000114</v>
      </c>
      <c r="AB17">
        <v>30.067900000000002</v>
      </c>
      <c r="AC17">
        <v>0.96391800000000005</v>
      </c>
      <c r="AD17">
        <v>1.9318599999999999</v>
      </c>
      <c r="AE17">
        <v>3.0053299999999998</v>
      </c>
      <c r="AF17">
        <v>19456464</v>
      </c>
      <c r="AG17" t="s">
        <v>139</v>
      </c>
      <c r="AH17" t="s">
        <v>140</v>
      </c>
      <c r="AJ17">
        <v>658</v>
      </c>
      <c r="AK17">
        <v>82868832094</v>
      </c>
      <c r="AL17">
        <v>5686424594839</v>
      </c>
      <c r="AM17">
        <v>221835482</v>
      </c>
      <c r="AN17">
        <v>0</v>
      </c>
      <c r="AO17">
        <v>147873130</v>
      </c>
      <c r="AP17">
        <v>221835482</v>
      </c>
      <c r="AQ17">
        <v>369708612</v>
      </c>
      <c r="AR17">
        <v>7394516</v>
      </c>
      <c r="AS17">
        <v>0</v>
      </c>
      <c r="AT17">
        <v>4929104</v>
      </c>
      <c r="AU17">
        <v>7394516</v>
      </c>
      <c r="AV17">
        <v>12323620</v>
      </c>
      <c r="AW17">
        <v>19.249500000000001</v>
      </c>
      <c r="AX17">
        <v>8.9781899999999997</v>
      </c>
      <c r="AY17">
        <v>39505.1</v>
      </c>
      <c r="AZ17">
        <v>2981.65</v>
      </c>
      <c r="BA17">
        <v>4233</v>
      </c>
      <c r="BB17">
        <v>249</v>
      </c>
      <c r="BC17" t="str">
        <f t="shared" si="0"/>
        <v>u=40% k=2x10^6</v>
      </c>
    </row>
    <row r="18" spans="1:55">
      <c r="A18" t="s">
        <v>141</v>
      </c>
      <c r="B18" t="s">
        <v>82</v>
      </c>
      <c r="C18">
        <v>72</v>
      </c>
      <c r="D18" t="s">
        <v>64</v>
      </c>
      <c r="E18" t="s">
        <v>60</v>
      </c>
      <c r="F18" t="s">
        <v>61</v>
      </c>
      <c r="G18">
        <v>30000</v>
      </c>
      <c r="H18">
        <v>20</v>
      </c>
      <c r="I18">
        <v>20</v>
      </c>
      <c r="J18">
        <v>0</v>
      </c>
      <c r="K18">
        <v>1</v>
      </c>
      <c r="L18">
        <v>20000000</v>
      </c>
      <c r="M18">
        <v>190</v>
      </c>
      <c r="N18">
        <v>190</v>
      </c>
      <c r="O18">
        <v>190</v>
      </c>
      <c r="P18">
        <v>0</v>
      </c>
      <c r="Q18" t="s">
        <v>62</v>
      </c>
      <c r="R18">
        <v>99980160838133</v>
      </c>
      <c r="S18">
        <v>10001078</v>
      </c>
      <c r="T18">
        <v>99980160838133</v>
      </c>
      <c r="U18">
        <v>10001078</v>
      </c>
      <c r="V18" t="s">
        <v>71</v>
      </c>
      <c r="W18">
        <v>7</v>
      </c>
      <c r="X18">
        <v>1625843</v>
      </c>
      <c r="Y18">
        <v>11443514</v>
      </c>
      <c r="Z18">
        <v>13069357</v>
      </c>
      <c r="AA18">
        <v>10001078</v>
      </c>
      <c r="AB18">
        <v>8.0385100000000005</v>
      </c>
      <c r="AC18">
        <v>0.87395199999999995</v>
      </c>
      <c r="AD18">
        <v>1.7652300000000001</v>
      </c>
      <c r="AE18">
        <v>4.0000099999999996</v>
      </c>
      <c r="AF18">
        <v>313163648</v>
      </c>
      <c r="AG18" t="s">
        <v>142</v>
      </c>
      <c r="AH18" t="s">
        <v>143</v>
      </c>
      <c r="AJ18">
        <v>1426</v>
      </c>
      <c r="AK18">
        <v>80940443517</v>
      </c>
      <c r="AL18">
        <v>5784989934296</v>
      </c>
      <c r="AM18">
        <v>150007539</v>
      </c>
      <c r="AN18">
        <v>0</v>
      </c>
      <c r="AO18">
        <v>99990017</v>
      </c>
      <c r="AP18">
        <v>150007539</v>
      </c>
      <c r="AQ18">
        <v>249997556</v>
      </c>
      <c r="AR18">
        <v>5000251</v>
      </c>
      <c r="AS18">
        <v>0</v>
      </c>
      <c r="AT18">
        <v>3333000</v>
      </c>
      <c r="AU18">
        <v>5000251</v>
      </c>
      <c r="AV18">
        <v>8333251</v>
      </c>
      <c r="AW18">
        <v>25.5045</v>
      </c>
      <c r="AX18">
        <v>13.342000000000001</v>
      </c>
      <c r="AY18">
        <v>55055.8</v>
      </c>
      <c r="AZ18">
        <v>3420.49</v>
      </c>
      <c r="BA18">
        <v>7498</v>
      </c>
      <c r="BB18">
        <v>376</v>
      </c>
      <c r="BC18" t="str">
        <f t="shared" si="0"/>
        <v>u=40% k=2x10^7</v>
      </c>
    </row>
    <row r="19" spans="1:55">
      <c r="A19" t="s">
        <v>144</v>
      </c>
      <c r="B19" t="s">
        <v>82</v>
      </c>
      <c r="C19">
        <v>72</v>
      </c>
      <c r="D19" t="s">
        <v>64</v>
      </c>
      <c r="E19" t="s">
        <v>60</v>
      </c>
      <c r="F19" t="s">
        <v>61</v>
      </c>
      <c r="G19">
        <v>30000</v>
      </c>
      <c r="H19">
        <v>20</v>
      </c>
      <c r="I19">
        <v>20</v>
      </c>
      <c r="J19">
        <v>0</v>
      </c>
      <c r="K19">
        <v>1</v>
      </c>
      <c r="L19">
        <v>200000000</v>
      </c>
      <c r="M19">
        <v>190</v>
      </c>
      <c r="N19">
        <v>190</v>
      </c>
      <c r="O19">
        <v>190</v>
      </c>
      <c r="P19">
        <v>0</v>
      </c>
      <c r="Q19" t="s">
        <v>62</v>
      </c>
      <c r="R19">
        <v>1.00016819745912E+16</v>
      </c>
      <c r="S19">
        <v>100004465</v>
      </c>
      <c r="T19">
        <v>1.00016819745912E+16</v>
      </c>
      <c r="U19">
        <v>100004465</v>
      </c>
      <c r="V19" t="s">
        <v>71</v>
      </c>
      <c r="W19">
        <v>7</v>
      </c>
      <c r="X19">
        <v>11011146</v>
      </c>
      <c r="Y19">
        <v>110005558</v>
      </c>
      <c r="Z19">
        <v>121016704</v>
      </c>
      <c r="AA19">
        <v>100004465</v>
      </c>
      <c r="AB19">
        <v>10.990399999999999</v>
      </c>
      <c r="AC19">
        <v>0.90908599999999995</v>
      </c>
      <c r="AD19">
        <v>1.82637</v>
      </c>
      <c r="AE19">
        <v>4</v>
      </c>
      <c r="AF19">
        <v>2640980592</v>
      </c>
      <c r="AG19" t="s">
        <v>145</v>
      </c>
      <c r="AH19" t="s">
        <v>146</v>
      </c>
      <c r="AJ19">
        <v>844</v>
      </c>
      <c r="AK19">
        <v>146070114891</v>
      </c>
      <c r="AL19">
        <v>5820810947327</v>
      </c>
      <c r="AM19">
        <v>224982090</v>
      </c>
      <c r="AN19">
        <v>0</v>
      </c>
      <c r="AO19">
        <v>150003796</v>
      </c>
      <c r="AP19">
        <v>224982090</v>
      </c>
      <c r="AQ19">
        <v>374985886</v>
      </c>
      <c r="AR19">
        <v>7499403</v>
      </c>
      <c r="AS19">
        <v>0</v>
      </c>
      <c r="AT19">
        <v>5000126</v>
      </c>
      <c r="AU19">
        <v>7499403</v>
      </c>
      <c r="AV19">
        <v>12499529</v>
      </c>
      <c r="AW19">
        <v>27.4482</v>
      </c>
      <c r="AX19">
        <v>14.247999999999999</v>
      </c>
      <c r="AY19">
        <v>40252.5</v>
      </c>
      <c r="AZ19">
        <v>3530.06</v>
      </c>
      <c r="BA19">
        <v>33724</v>
      </c>
      <c r="BB19">
        <v>1078</v>
      </c>
      <c r="BC19" t="str">
        <f t="shared" si="0"/>
        <v>u=40% k=2x10^8</v>
      </c>
    </row>
    <row r="20" spans="1:55">
      <c r="A20" t="s">
        <v>147</v>
      </c>
      <c r="B20" t="s">
        <v>82</v>
      </c>
      <c r="C20">
        <v>72</v>
      </c>
      <c r="D20" t="s">
        <v>64</v>
      </c>
      <c r="E20" t="s">
        <v>60</v>
      </c>
      <c r="F20" t="s">
        <v>61</v>
      </c>
      <c r="G20">
        <v>30000</v>
      </c>
      <c r="H20">
        <v>0.5</v>
      </c>
      <c r="I20">
        <v>0.5</v>
      </c>
      <c r="J20">
        <v>0</v>
      </c>
      <c r="K20">
        <v>1</v>
      </c>
      <c r="L20">
        <v>2000000</v>
      </c>
      <c r="M20">
        <v>190</v>
      </c>
      <c r="N20">
        <v>190</v>
      </c>
      <c r="O20">
        <v>190</v>
      </c>
      <c r="P20">
        <v>0</v>
      </c>
      <c r="Q20" t="s">
        <v>62</v>
      </c>
      <c r="R20">
        <v>999261077113</v>
      </c>
      <c r="S20">
        <v>999170</v>
      </c>
      <c r="T20">
        <v>999261077113</v>
      </c>
      <c r="U20">
        <v>999170</v>
      </c>
      <c r="V20" t="s">
        <v>71</v>
      </c>
      <c r="W20">
        <v>6</v>
      </c>
      <c r="X20">
        <v>47489</v>
      </c>
      <c r="Y20">
        <v>1060293</v>
      </c>
      <c r="Z20">
        <v>1107782</v>
      </c>
      <c r="AA20">
        <v>999170</v>
      </c>
      <c r="AB20">
        <v>23.327100000000002</v>
      </c>
      <c r="AC20">
        <v>0.942353</v>
      </c>
      <c r="AD20">
        <v>1.9019600000000001</v>
      </c>
      <c r="AE20">
        <v>3.02969</v>
      </c>
      <c r="AF20">
        <v>20771088</v>
      </c>
      <c r="AG20" t="s">
        <v>148</v>
      </c>
      <c r="AH20" t="s">
        <v>149</v>
      </c>
      <c r="AJ20">
        <v>42976</v>
      </c>
      <c r="AK20">
        <v>39721135441</v>
      </c>
      <c r="AL20">
        <v>5686433026152</v>
      </c>
      <c r="AM20">
        <v>7569919624</v>
      </c>
      <c r="AN20">
        <v>0</v>
      </c>
      <c r="AO20">
        <v>76451620</v>
      </c>
      <c r="AP20">
        <v>7569919624</v>
      </c>
      <c r="AQ20">
        <v>7646371244</v>
      </c>
      <c r="AR20">
        <v>252330654</v>
      </c>
      <c r="AS20">
        <v>0</v>
      </c>
      <c r="AT20">
        <v>2548387</v>
      </c>
      <c r="AU20">
        <v>252330654</v>
      </c>
      <c r="AV20">
        <v>254879041</v>
      </c>
      <c r="AW20">
        <v>8.5330300000000001</v>
      </c>
      <c r="AX20">
        <v>0.37138399999999999</v>
      </c>
      <c r="AY20">
        <v>2003.76</v>
      </c>
      <c r="AZ20">
        <v>454.74299999999999</v>
      </c>
      <c r="BA20">
        <v>3130</v>
      </c>
      <c r="BB20">
        <v>304</v>
      </c>
      <c r="BC20" t="str">
        <f t="shared" si="0"/>
        <v>u=1% k=2x10^6</v>
      </c>
    </row>
    <row r="21" spans="1:55">
      <c r="A21" t="s">
        <v>150</v>
      </c>
      <c r="B21" t="s">
        <v>82</v>
      </c>
      <c r="C21">
        <v>72</v>
      </c>
      <c r="D21" t="s">
        <v>64</v>
      </c>
      <c r="E21" t="s">
        <v>60</v>
      </c>
      <c r="F21" t="s">
        <v>61</v>
      </c>
      <c r="G21">
        <v>30000</v>
      </c>
      <c r="H21">
        <v>0.5</v>
      </c>
      <c r="I21">
        <v>0.5</v>
      </c>
      <c r="J21">
        <v>0</v>
      </c>
      <c r="K21">
        <v>1</v>
      </c>
      <c r="L21">
        <v>20000000</v>
      </c>
      <c r="M21">
        <v>190</v>
      </c>
      <c r="N21">
        <v>190</v>
      </c>
      <c r="O21">
        <v>190</v>
      </c>
      <c r="P21">
        <v>0</v>
      </c>
      <c r="Q21" t="s">
        <v>62</v>
      </c>
      <c r="R21">
        <v>99992963846388</v>
      </c>
      <c r="S21">
        <v>9997795</v>
      </c>
      <c r="T21">
        <v>99992963846388</v>
      </c>
      <c r="U21">
        <v>9997795</v>
      </c>
      <c r="V21" t="s">
        <v>71</v>
      </c>
      <c r="W21">
        <v>7</v>
      </c>
      <c r="X21">
        <v>1807346</v>
      </c>
      <c r="Y21">
        <v>11812079</v>
      </c>
      <c r="Z21">
        <v>13619425</v>
      </c>
      <c r="AA21">
        <v>9997795</v>
      </c>
      <c r="AB21">
        <v>7.53559</v>
      </c>
      <c r="AC21">
        <v>0.84640400000000005</v>
      </c>
      <c r="AD21">
        <v>1.7340800000000001</v>
      </c>
      <c r="AE21">
        <v>4.0364399999999998</v>
      </c>
      <c r="AF21">
        <v>333583904</v>
      </c>
      <c r="AG21" t="s">
        <v>151</v>
      </c>
      <c r="AH21" t="s">
        <v>152</v>
      </c>
      <c r="AJ21">
        <v>20798</v>
      </c>
      <c r="AK21">
        <v>37579874719</v>
      </c>
      <c r="AL21">
        <v>5686545426840</v>
      </c>
      <c r="AM21">
        <v>4561922384</v>
      </c>
      <c r="AN21">
        <v>0</v>
      </c>
      <c r="AO21">
        <v>46069155</v>
      </c>
      <c r="AP21">
        <v>4561922384</v>
      </c>
      <c r="AQ21">
        <v>4607991539</v>
      </c>
      <c r="AR21">
        <v>152064079</v>
      </c>
      <c r="AS21">
        <v>0</v>
      </c>
      <c r="AT21">
        <v>1535638</v>
      </c>
      <c r="AU21">
        <v>152064079</v>
      </c>
      <c r="AV21">
        <v>153599717</v>
      </c>
      <c r="AW21">
        <v>16.0337</v>
      </c>
      <c r="AX21">
        <v>6.5911799999999996</v>
      </c>
      <c r="AY21">
        <v>3296.76</v>
      </c>
      <c r="AZ21">
        <v>1266.4100000000001</v>
      </c>
      <c r="BA21">
        <v>3878</v>
      </c>
      <c r="BB21">
        <v>388</v>
      </c>
      <c r="BC21" t="str">
        <f t="shared" si="0"/>
        <v>u=1% k=2x10^7</v>
      </c>
    </row>
    <row r="22" spans="1:55">
      <c r="A22" t="s">
        <v>153</v>
      </c>
      <c r="B22" t="s">
        <v>82</v>
      </c>
      <c r="C22">
        <v>72</v>
      </c>
      <c r="D22" t="s">
        <v>64</v>
      </c>
      <c r="E22" t="s">
        <v>60</v>
      </c>
      <c r="F22" t="s">
        <v>61</v>
      </c>
      <c r="G22">
        <v>30000</v>
      </c>
      <c r="H22">
        <v>0.5</v>
      </c>
      <c r="I22">
        <v>0.5</v>
      </c>
      <c r="J22">
        <v>0</v>
      </c>
      <c r="K22">
        <v>1</v>
      </c>
      <c r="L22">
        <v>200000000</v>
      </c>
      <c r="M22">
        <v>190</v>
      </c>
      <c r="N22">
        <v>190</v>
      </c>
      <c r="O22">
        <v>190</v>
      </c>
      <c r="P22">
        <v>0</v>
      </c>
      <c r="Q22" t="s">
        <v>62</v>
      </c>
      <c r="R22">
        <v>1.00003266716083E+16</v>
      </c>
      <c r="S22">
        <v>99996658</v>
      </c>
      <c r="T22">
        <v>1.00003266716083E+16</v>
      </c>
      <c r="U22">
        <v>99996658</v>
      </c>
      <c r="V22" t="s">
        <v>71</v>
      </c>
      <c r="W22">
        <v>7</v>
      </c>
      <c r="X22">
        <v>11010048</v>
      </c>
      <c r="Y22">
        <v>109996752</v>
      </c>
      <c r="Z22">
        <v>121006800</v>
      </c>
      <c r="AA22">
        <v>99996658</v>
      </c>
      <c r="AB22">
        <v>10.990600000000001</v>
      </c>
      <c r="AC22">
        <v>0.90908699999999998</v>
      </c>
      <c r="AD22">
        <v>1.82637</v>
      </c>
      <c r="AE22">
        <v>4</v>
      </c>
      <c r="AF22">
        <v>2640751856</v>
      </c>
      <c r="AG22" t="s">
        <v>154</v>
      </c>
      <c r="AH22" t="s">
        <v>155</v>
      </c>
      <c r="AJ22">
        <v>28778</v>
      </c>
      <c r="AK22">
        <v>43929258231</v>
      </c>
      <c r="AL22">
        <v>6755769967346</v>
      </c>
      <c r="AM22">
        <v>4950310624</v>
      </c>
      <c r="AN22">
        <v>0</v>
      </c>
      <c r="AO22">
        <v>49999145</v>
      </c>
      <c r="AP22">
        <v>4950310624</v>
      </c>
      <c r="AQ22">
        <v>5000309769</v>
      </c>
      <c r="AR22">
        <v>165010354</v>
      </c>
      <c r="AS22">
        <v>0</v>
      </c>
      <c r="AT22">
        <v>1666638</v>
      </c>
      <c r="AU22">
        <v>165010354</v>
      </c>
      <c r="AV22">
        <v>166676992</v>
      </c>
      <c r="AW22">
        <v>19.5349</v>
      </c>
      <c r="AX22">
        <v>9.6349800000000005</v>
      </c>
      <c r="AY22">
        <v>3680.09</v>
      </c>
      <c r="AZ22">
        <v>1981.61</v>
      </c>
      <c r="BA22">
        <v>13622</v>
      </c>
      <c r="BB22">
        <v>1039</v>
      </c>
      <c r="BC22" t="str">
        <f t="shared" si="0"/>
        <v>u=1% k=2x10^8</v>
      </c>
    </row>
    <row r="23" spans="1:55">
      <c r="A23" t="s">
        <v>156</v>
      </c>
      <c r="B23" t="s">
        <v>82</v>
      </c>
      <c r="C23">
        <v>72</v>
      </c>
      <c r="D23" t="s">
        <v>64</v>
      </c>
      <c r="E23" t="s">
        <v>60</v>
      </c>
      <c r="F23" t="s">
        <v>61</v>
      </c>
      <c r="G23">
        <v>30000</v>
      </c>
      <c r="H23">
        <v>5</v>
      </c>
      <c r="I23">
        <v>5</v>
      </c>
      <c r="J23">
        <v>0</v>
      </c>
      <c r="K23">
        <v>1</v>
      </c>
      <c r="L23">
        <v>2000000</v>
      </c>
      <c r="M23">
        <v>190</v>
      </c>
      <c r="N23">
        <v>190</v>
      </c>
      <c r="O23">
        <v>190</v>
      </c>
      <c r="P23">
        <v>0</v>
      </c>
      <c r="Q23" t="s">
        <v>62</v>
      </c>
      <c r="R23">
        <v>1000734706754</v>
      </c>
      <c r="S23">
        <v>1000548</v>
      </c>
      <c r="T23">
        <v>1000734706754</v>
      </c>
      <c r="U23">
        <v>1000548</v>
      </c>
      <c r="V23" t="s">
        <v>71</v>
      </c>
      <c r="W23">
        <v>6</v>
      </c>
      <c r="X23">
        <v>33077</v>
      </c>
      <c r="Y23">
        <v>1032670</v>
      </c>
      <c r="Z23">
        <v>1065747</v>
      </c>
      <c r="AA23">
        <v>1000548</v>
      </c>
      <c r="AB23">
        <v>32.220199999999998</v>
      </c>
      <c r="AC23">
        <v>0.96889400000000003</v>
      </c>
      <c r="AD23">
        <v>1.93882</v>
      </c>
      <c r="AE23">
        <v>3.0000800000000001</v>
      </c>
      <c r="AF23">
        <v>19168864</v>
      </c>
      <c r="AG23" t="s">
        <v>157</v>
      </c>
      <c r="AH23" t="s">
        <v>158</v>
      </c>
      <c r="AJ23">
        <v>2536</v>
      </c>
      <c r="AK23">
        <v>78478908265</v>
      </c>
      <c r="AL23">
        <v>5689510849553</v>
      </c>
      <c r="AM23">
        <v>1307967191</v>
      </c>
      <c r="AN23">
        <v>0</v>
      </c>
      <c r="AO23">
        <v>145349682</v>
      </c>
      <c r="AP23">
        <v>1307967191</v>
      </c>
      <c r="AQ23">
        <v>1453316873</v>
      </c>
      <c r="AR23">
        <v>43598906</v>
      </c>
      <c r="AS23">
        <v>0</v>
      </c>
      <c r="AT23">
        <v>4844989</v>
      </c>
      <c r="AU23">
        <v>43598906</v>
      </c>
      <c r="AV23">
        <v>48443895</v>
      </c>
      <c r="AW23">
        <v>11.258699999999999</v>
      </c>
      <c r="AX23">
        <v>2.6712400000000001</v>
      </c>
      <c r="AY23">
        <v>10104.700000000001</v>
      </c>
      <c r="AZ23">
        <v>1112.58</v>
      </c>
      <c r="BA23">
        <v>4194</v>
      </c>
      <c r="BB23">
        <v>323</v>
      </c>
      <c r="BC23" t="str">
        <f t="shared" si="0"/>
        <v>u=10% k=2x10^6</v>
      </c>
    </row>
    <row r="24" spans="1:55">
      <c r="A24" t="s">
        <v>159</v>
      </c>
      <c r="B24" t="s">
        <v>82</v>
      </c>
      <c r="C24">
        <v>72</v>
      </c>
      <c r="D24" t="s">
        <v>64</v>
      </c>
      <c r="E24" t="s">
        <v>60</v>
      </c>
      <c r="F24" t="s">
        <v>61</v>
      </c>
      <c r="G24">
        <v>30000</v>
      </c>
      <c r="H24">
        <v>5</v>
      </c>
      <c r="I24">
        <v>5</v>
      </c>
      <c r="J24">
        <v>0</v>
      </c>
      <c r="K24">
        <v>1</v>
      </c>
      <c r="L24">
        <v>20000000</v>
      </c>
      <c r="M24">
        <v>190</v>
      </c>
      <c r="N24">
        <v>190</v>
      </c>
      <c r="O24">
        <v>190</v>
      </c>
      <c r="P24">
        <v>0</v>
      </c>
      <c r="Q24" t="s">
        <v>62</v>
      </c>
      <c r="R24">
        <v>99994994726967</v>
      </c>
      <c r="S24">
        <v>9999287</v>
      </c>
      <c r="T24">
        <v>99994994726967</v>
      </c>
      <c r="U24">
        <v>9999287</v>
      </c>
      <c r="V24" t="s">
        <v>71</v>
      </c>
      <c r="W24">
        <v>7</v>
      </c>
      <c r="X24">
        <v>1625826</v>
      </c>
      <c r="Y24">
        <v>11441709</v>
      </c>
      <c r="Z24">
        <v>13067535</v>
      </c>
      <c r="AA24">
        <v>9999287</v>
      </c>
      <c r="AB24">
        <v>8.0374700000000008</v>
      </c>
      <c r="AC24">
        <v>0.87393299999999996</v>
      </c>
      <c r="AD24">
        <v>1.7652000000000001</v>
      </c>
      <c r="AE24">
        <v>4.0000099999999996</v>
      </c>
      <c r="AF24">
        <v>313133408</v>
      </c>
      <c r="AG24" t="s">
        <v>160</v>
      </c>
      <c r="AH24" t="s">
        <v>161</v>
      </c>
      <c r="AJ24">
        <v>3492</v>
      </c>
      <c r="AK24">
        <v>72480597677</v>
      </c>
      <c r="AL24">
        <v>5817155144738</v>
      </c>
      <c r="AM24">
        <v>809985136</v>
      </c>
      <c r="AN24">
        <v>0</v>
      </c>
      <c r="AO24">
        <v>90001928</v>
      </c>
      <c r="AP24">
        <v>809985136</v>
      </c>
      <c r="AQ24">
        <v>899987064</v>
      </c>
      <c r="AR24">
        <v>26999504</v>
      </c>
      <c r="AS24">
        <v>0</v>
      </c>
      <c r="AT24">
        <v>3000064</v>
      </c>
      <c r="AU24">
        <v>26999504</v>
      </c>
      <c r="AV24">
        <v>29999568</v>
      </c>
      <c r="AW24">
        <v>18.398700000000002</v>
      </c>
      <c r="AX24">
        <v>8.16174</v>
      </c>
      <c r="AY24">
        <v>15324.5</v>
      </c>
      <c r="AZ24">
        <v>1850.15</v>
      </c>
      <c r="BA24">
        <v>7222</v>
      </c>
      <c r="BB24">
        <v>322</v>
      </c>
      <c r="BC24" t="str">
        <f t="shared" si="0"/>
        <v>u=10% k=2x10^7</v>
      </c>
    </row>
    <row r="25" spans="1:55">
      <c r="A25" t="s">
        <v>162</v>
      </c>
      <c r="B25" t="s">
        <v>82</v>
      </c>
      <c r="C25">
        <v>72</v>
      </c>
      <c r="D25" t="s">
        <v>64</v>
      </c>
      <c r="E25" t="s">
        <v>60</v>
      </c>
      <c r="F25" t="s">
        <v>61</v>
      </c>
      <c r="G25">
        <v>30000</v>
      </c>
      <c r="H25">
        <v>5</v>
      </c>
      <c r="I25">
        <v>5</v>
      </c>
      <c r="J25">
        <v>0</v>
      </c>
      <c r="K25">
        <v>1</v>
      </c>
      <c r="L25">
        <v>200000000</v>
      </c>
      <c r="M25">
        <v>190</v>
      </c>
      <c r="N25">
        <v>190</v>
      </c>
      <c r="O25">
        <v>190</v>
      </c>
      <c r="P25">
        <v>0</v>
      </c>
      <c r="Q25" t="s">
        <v>62</v>
      </c>
      <c r="R25">
        <v>9999763090950620</v>
      </c>
      <c r="S25">
        <v>100001479</v>
      </c>
      <c r="T25">
        <v>9999763090950620</v>
      </c>
      <c r="U25">
        <v>100001479</v>
      </c>
      <c r="V25" t="s">
        <v>71</v>
      </c>
      <c r="W25">
        <v>7</v>
      </c>
      <c r="X25">
        <v>11011156</v>
      </c>
      <c r="Y25">
        <v>110002585</v>
      </c>
      <c r="Z25">
        <v>121013741</v>
      </c>
      <c r="AA25">
        <v>100001479</v>
      </c>
      <c r="AB25">
        <v>10.9901</v>
      </c>
      <c r="AC25">
        <v>0.90908299999999997</v>
      </c>
      <c r="AD25">
        <v>1.82636</v>
      </c>
      <c r="AE25">
        <v>4</v>
      </c>
      <c r="AF25">
        <v>2640933824</v>
      </c>
      <c r="AG25" t="s">
        <v>163</v>
      </c>
      <c r="AH25" t="s">
        <v>164</v>
      </c>
      <c r="AJ25">
        <v>2892</v>
      </c>
      <c r="AK25">
        <v>123891073322</v>
      </c>
      <c r="AL25">
        <v>6822169374409</v>
      </c>
      <c r="AM25">
        <v>1349988116</v>
      </c>
      <c r="AN25">
        <v>0</v>
      </c>
      <c r="AO25">
        <v>149974671</v>
      </c>
      <c r="AP25">
        <v>1349988116</v>
      </c>
      <c r="AQ25">
        <v>1499962787</v>
      </c>
      <c r="AR25">
        <v>44999603</v>
      </c>
      <c r="AS25">
        <v>0</v>
      </c>
      <c r="AT25">
        <v>4999155</v>
      </c>
      <c r="AU25">
        <v>44999603</v>
      </c>
      <c r="AV25">
        <v>49998759</v>
      </c>
      <c r="AW25">
        <v>21.3476</v>
      </c>
      <c r="AX25">
        <v>10.58</v>
      </c>
      <c r="AY25">
        <v>11972.1</v>
      </c>
      <c r="AZ25">
        <v>2414.2399999999998</v>
      </c>
      <c r="BA25">
        <v>33656</v>
      </c>
      <c r="BB25">
        <v>1044</v>
      </c>
      <c r="BC25" t="str">
        <f t="shared" si="0"/>
        <v>u=10% k=2x10^8</v>
      </c>
    </row>
    <row r="26" spans="1:55">
      <c r="A26" t="s">
        <v>165</v>
      </c>
      <c r="B26" t="s">
        <v>82</v>
      </c>
      <c r="C26">
        <v>72</v>
      </c>
      <c r="D26" t="s">
        <v>64</v>
      </c>
      <c r="E26" t="s">
        <v>60</v>
      </c>
      <c r="F26" t="s">
        <v>61</v>
      </c>
      <c r="G26">
        <v>30000</v>
      </c>
      <c r="H26">
        <v>20</v>
      </c>
      <c r="I26">
        <v>20</v>
      </c>
      <c r="J26">
        <v>0</v>
      </c>
      <c r="K26">
        <v>1</v>
      </c>
      <c r="L26">
        <v>2000000</v>
      </c>
      <c r="M26">
        <v>190</v>
      </c>
      <c r="N26">
        <v>190</v>
      </c>
      <c r="O26">
        <v>190</v>
      </c>
      <c r="P26">
        <v>0</v>
      </c>
      <c r="Q26" t="s">
        <v>62</v>
      </c>
      <c r="R26">
        <v>1000395531002</v>
      </c>
      <c r="S26">
        <v>1000324</v>
      </c>
      <c r="T26">
        <v>1000395531002</v>
      </c>
      <c r="U26">
        <v>1000324</v>
      </c>
      <c r="V26" t="s">
        <v>71</v>
      </c>
      <c r="W26">
        <v>6</v>
      </c>
      <c r="X26">
        <v>33075</v>
      </c>
      <c r="Y26">
        <v>1032446</v>
      </c>
      <c r="Z26">
        <v>1065521</v>
      </c>
      <c r="AA26">
        <v>1000324</v>
      </c>
      <c r="AB26">
        <v>32.215299999999999</v>
      </c>
      <c r="AC26">
        <v>0.96888700000000005</v>
      </c>
      <c r="AD26">
        <v>1.9388099999999999</v>
      </c>
      <c r="AE26">
        <v>3.0000800000000001</v>
      </c>
      <c r="AF26">
        <v>19165120</v>
      </c>
      <c r="AG26" t="s">
        <v>166</v>
      </c>
      <c r="AH26" t="s">
        <v>167</v>
      </c>
      <c r="AJ26">
        <v>672</v>
      </c>
      <c r="AK26">
        <v>82681399434</v>
      </c>
      <c r="AL26">
        <v>5686604826268</v>
      </c>
      <c r="AM26">
        <v>220979863</v>
      </c>
      <c r="AN26">
        <v>0</v>
      </c>
      <c r="AO26">
        <v>147328983</v>
      </c>
      <c r="AP26">
        <v>220979863</v>
      </c>
      <c r="AQ26">
        <v>368308846</v>
      </c>
      <c r="AR26">
        <v>7365995</v>
      </c>
      <c r="AS26">
        <v>0</v>
      </c>
      <c r="AT26">
        <v>4910966</v>
      </c>
      <c r="AU26">
        <v>7365995</v>
      </c>
      <c r="AV26">
        <v>12276961</v>
      </c>
      <c r="AW26">
        <v>19.2424</v>
      </c>
      <c r="AX26">
        <v>8.97302</v>
      </c>
      <c r="AY26">
        <v>39629.199999999997</v>
      </c>
      <c r="AZ26">
        <v>2982.07</v>
      </c>
      <c r="BA26">
        <v>4349</v>
      </c>
      <c r="BB26">
        <v>268</v>
      </c>
      <c r="BC26" t="str">
        <f t="shared" si="0"/>
        <v>u=40% k=2x10^6</v>
      </c>
    </row>
    <row r="27" spans="1:55">
      <c r="A27" t="s">
        <v>168</v>
      </c>
      <c r="B27" t="s">
        <v>82</v>
      </c>
      <c r="C27">
        <v>72</v>
      </c>
      <c r="D27" t="s">
        <v>64</v>
      </c>
      <c r="E27" t="s">
        <v>60</v>
      </c>
      <c r="F27" t="s">
        <v>61</v>
      </c>
      <c r="G27">
        <v>30000</v>
      </c>
      <c r="H27">
        <v>20</v>
      </c>
      <c r="I27">
        <v>20</v>
      </c>
      <c r="J27">
        <v>0</v>
      </c>
      <c r="K27">
        <v>1</v>
      </c>
      <c r="L27">
        <v>20000000</v>
      </c>
      <c r="M27">
        <v>190</v>
      </c>
      <c r="N27">
        <v>190</v>
      </c>
      <c r="O27">
        <v>190</v>
      </c>
      <c r="P27">
        <v>0</v>
      </c>
      <c r="Q27" t="s">
        <v>62</v>
      </c>
      <c r="R27">
        <v>99970406037584</v>
      </c>
      <c r="S27">
        <v>9997547</v>
      </c>
      <c r="T27">
        <v>99970406037584</v>
      </c>
      <c r="U27">
        <v>9997547</v>
      </c>
      <c r="V27" t="s">
        <v>71</v>
      </c>
      <c r="W27">
        <v>7</v>
      </c>
      <c r="X27">
        <v>1625312</v>
      </c>
      <c r="Y27">
        <v>11439514</v>
      </c>
      <c r="Z27">
        <v>13064826</v>
      </c>
      <c r="AA27">
        <v>9997547</v>
      </c>
      <c r="AB27">
        <v>8.0383499999999994</v>
      </c>
      <c r="AC27">
        <v>0.87394899999999998</v>
      </c>
      <c r="AD27">
        <v>1.7652300000000001</v>
      </c>
      <c r="AE27">
        <v>4.0000099999999996</v>
      </c>
      <c r="AF27">
        <v>313057168</v>
      </c>
      <c r="AG27" t="s">
        <v>169</v>
      </c>
      <c r="AH27" t="s">
        <v>170</v>
      </c>
      <c r="AJ27">
        <v>1446</v>
      </c>
      <c r="AK27">
        <v>79896272933</v>
      </c>
      <c r="AL27">
        <v>5896289739822</v>
      </c>
      <c r="AM27">
        <v>150019333</v>
      </c>
      <c r="AN27">
        <v>0</v>
      </c>
      <c r="AO27">
        <v>100025275</v>
      </c>
      <c r="AP27">
        <v>150019333</v>
      </c>
      <c r="AQ27">
        <v>250044608</v>
      </c>
      <c r="AR27">
        <v>5000644</v>
      </c>
      <c r="AS27">
        <v>0</v>
      </c>
      <c r="AT27">
        <v>3334175</v>
      </c>
      <c r="AU27">
        <v>5000644</v>
      </c>
      <c r="AV27">
        <v>8334820</v>
      </c>
      <c r="AW27">
        <v>25.777100000000001</v>
      </c>
      <c r="AX27">
        <v>13.5273</v>
      </c>
      <c r="AY27">
        <v>55052.4</v>
      </c>
      <c r="AZ27">
        <v>3464.66</v>
      </c>
      <c r="BA27">
        <v>7833</v>
      </c>
      <c r="BB27">
        <v>396</v>
      </c>
      <c r="BC27" t="str">
        <f t="shared" si="0"/>
        <v>u=40% k=2x10^7</v>
      </c>
    </row>
    <row r="28" spans="1:55">
      <c r="A28" t="s">
        <v>171</v>
      </c>
      <c r="B28" t="s">
        <v>82</v>
      </c>
      <c r="C28">
        <v>72</v>
      </c>
      <c r="D28" t="s">
        <v>64</v>
      </c>
      <c r="E28" t="s">
        <v>60</v>
      </c>
      <c r="F28" t="s">
        <v>61</v>
      </c>
      <c r="G28">
        <v>30000</v>
      </c>
      <c r="H28">
        <v>20</v>
      </c>
      <c r="I28">
        <v>20</v>
      </c>
      <c r="J28">
        <v>0</v>
      </c>
      <c r="K28">
        <v>1</v>
      </c>
      <c r="L28">
        <v>200000000</v>
      </c>
      <c r="M28">
        <v>190</v>
      </c>
      <c r="N28">
        <v>190</v>
      </c>
      <c r="O28">
        <v>190</v>
      </c>
      <c r="P28">
        <v>0</v>
      </c>
      <c r="Q28" t="s">
        <v>62</v>
      </c>
      <c r="R28">
        <v>9999363044101910</v>
      </c>
      <c r="S28">
        <v>99989836</v>
      </c>
      <c r="T28">
        <v>9999363044101910</v>
      </c>
      <c r="U28">
        <v>99989836</v>
      </c>
      <c r="V28" t="s">
        <v>71</v>
      </c>
      <c r="W28">
        <v>7</v>
      </c>
      <c r="X28">
        <v>11010051</v>
      </c>
      <c r="Y28">
        <v>109989927</v>
      </c>
      <c r="Z28">
        <v>120999978</v>
      </c>
      <c r="AA28">
        <v>99989836</v>
      </c>
      <c r="AB28">
        <v>10.99</v>
      </c>
      <c r="AC28">
        <v>0.90908199999999995</v>
      </c>
      <c r="AD28">
        <v>1.82636</v>
      </c>
      <c r="AE28">
        <v>4</v>
      </c>
      <c r="AF28">
        <v>2640642896</v>
      </c>
      <c r="AG28" t="s">
        <v>172</v>
      </c>
      <c r="AH28" t="s">
        <v>173</v>
      </c>
      <c r="AJ28">
        <v>854</v>
      </c>
      <c r="AK28">
        <v>144228375565</v>
      </c>
      <c r="AL28">
        <v>5811669261549</v>
      </c>
      <c r="AM28">
        <v>225037568</v>
      </c>
      <c r="AN28">
        <v>0</v>
      </c>
      <c r="AO28">
        <v>150002312</v>
      </c>
      <c r="AP28">
        <v>225037568</v>
      </c>
      <c r="AQ28">
        <v>375039880</v>
      </c>
      <c r="AR28">
        <v>7501252</v>
      </c>
      <c r="AS28">
        <v>0</v>
      </c>
      <c r="AT28">
        <v>5000077</v>
      </c>
      <c r="AU28">
        <v>7501252</v>
      </c>
      <c r="AV28">
        <v>12501329</v>
      </c>
      <c r="AW28">
        <v>27.450700000000001</v>
      </c>
      <c r="AX28">
        <v>14.2491</v>
      </c>
      <c r="AY28">
        <v>40163.9</v>
      </c>
      <c r="AZ28">
        <v>3549.76</v>
      </c>
      <c r="BA28">
        <v>33702</v>
      </c>
      <c r="BB28">
        <v>1163</v>
      </c>
      <c r="BC28" t="str">
        <f t="shared" si="0"/>
        <v>u=40% k=2x10^8</v>
      </c>
    </row>
    <row r="29" spans="1:55">
      <c r="A29" t="s">
        <v>174</v>
      </c>
      <c r="B29" t="s">
        <v>83</v>
      </c>
      <c r="C29">
        <v>72</v>
      </c>
      <c r="D29" t="s">
        <v>64</v>
      </c>
      <c r="E29" t="s">
        <v>60</v>
      </c>
      <c r="F29" t="s">
        <v>61</v>
      </c>
      <c r="G29">
        <v>30000</v>
      </c>
      <c r="H29">
        <v>0.5</v>
      </c>
      <c r="I29">
        <v>0.5</v>
      </c>
      <c r="J29">
        <v>0</v>
      </c>
      <c r="K29">
        <v>1</v>
      </c>
      <c r="L29">
        <v>2000000</v>
      </c>
      <c r="M29">
        <v>190</v>
      </c>
      <c r="N29">
        <v>190</v>
      </c>
      <c r="O29">
        <v>190</v>
      </c>
      <c r="P29">
        <v>0</v>
      </c>
      <c r="Q29" t="s">
        <v>62</v>
      </c>
      <c r="R29">
        <v>1000433129053</v>
      </c>
      <c r="S29">
        <v>1000408</v>
      </c>
      <c r="T29">
        <v>1000433129053</v>
      </c>
      <c r="U29">
        <v>1000408</v>
      </c>
      <c r="V29" t="s">
        <v>71</v>
      </c>
      <c r="W29">
        <v>6</v>
      </c>
      <c r="X29">
        <v>55292</v>
      </c>
      <c r="Y29">
        <v>1077677</v>
      </c>
      <c r="Z29">
        <v>1132969</v>
      </c>
      <c r="AA29">
        <v>1000408</v>
      </c>
      <c r="AB29">
        <v>20.490600000000001</v>
      </c>
      <c r="AC29">
        <v>0.92830000000000001</v>
      </c>
      <c r="AD29">
        <v>1.883</v>
      </c>
      <c r="AE29">
        <v>3.0466199999999999</v>
      </c>
      <c r="AF29">
        <v>21689088</v>
      </c>
      <c r="AG29" t="s">
        <v>175</v>
      </c>
      <c r="AH29" t="s">
        <v>176</v>
      </c>
      <c r="AI29">
        <v>311888</v>
      </c>
      <c r="AJ29">
        <v>89076</v>
      </c>
      <c r="AK29">
        <v>117915450724</v>
      </c>
      <c r="AL29">
        <v>5686382521533</v>
      </c>
      <c r="AM29">
        <v>12895053496</v>
      </c>
      <c r="AN29">
        <v>0</v>
      </c>
      <c r="AO29">
        <v>130251918</v>
      </c>
      <c r="AP29">
        <v>12895053496</v>
      </c>
      <c r="AQ29">
        <v>13025305414</v>
      </c>
      <c r="AR29">
        <v>429835116</v>
      </c>
      <c r="AS29">
        <v>0</v>
      </c>
      <c r="AT29">
        <v>4341730</v>
      </c>
      <c r="AU29">
        <v>429835116</v>
      </c>
      <c r="AV29">
        <v>434176847</v>
      </c>
      <c r="AW29">
        <v>8.6295900000000003</v>
      </c>
      <c r="AX29">
        <v>0.41322999999999999</v>
      </c>
      <c r="AY29">
        <v>1196.0999999999999</v>
      </c>
      <c r="AZ29">
        <v>455.43</v>
      </c>
      <c r="BA29">
        <v>1428</v>
      </c>
      <c r="BB29">
        <v>155</v>
      </c>
      <c r="BC29" t="str">
        <f t="shared" si="0"/>
        <v>u=1% k=2x10^6</v>
      </c>
    </row>
    <row r="30" spans="1:55">
      <c r="A30" t="s">
        <v>177</v>
      </c>
      <c r="B30" t="s">
        <v>83</v>
      </c>
      <c r="C30">
        <v>72</v>
      </c>
      <c r="D30" t="s">
        <v>64</v>
      </c>
      <c r="E30" t="s">
        <v>60</v>
      </c>
      <c r="F30" t="s">
        <v>61</v>
      </c>
      <c r="G30">
        <v>30000</v>
      </c>
      <c r="H30">
        <v>0.5</v>
      </c>
      <c r="I30">
        <v>0.5</v>
      </c>
      <c r="J30">
        <v>0</v>
      </c>
      <c r="K30">
        <v>1</v>
      </c>
      <c r="L30">
        <v>20000000</v>
      </c>
      <c r="M30">
        <v>190</v>
      </c>
      <c r="N30">
        <v>190</v>
      </c>
      <c r="O30">
        <v>190</v>
      </c>
      <c r="P30">
        <v>0</v>
      </c>
      <c r="Q30" t="s">
        <v>62</v>
      </c>
      <c r="R30">
        <v>99998878616328</v>
      </c>
      <c r="S30">
        <v>10000571</v>
      </c>
      <c r="T30">
        <v>99998878616328</v>
      </c>
      <c r="U30">
        <v>10000571</v>
      </c>
      <c r="V30" t="s">
        <v>71</v>
      </c>
      <c r="W30">
        <v>7</v>
      </c>
      <c r="X30">
        <v>1745467</v>
      </c>
      <c r="Y30">
        <v>11685191</v>
      </c>
      <c r="Z30">
        <v>13430658</v>
      </c>
      <c r="AA30">
        <v>10000571</v>
      </c>
      <c r="AB30">
        <v>7.6945899999999998</v>
      </c>
      <c r="AC30">
        <v>0.85583299999999995</v>
      </c>
      <c r="AD30">
        <v>1.74461</v>
      </c>
      <c r="AE30">
        <v>4.0239399999999996</v>
      </c>
      <c r="AF30">
        <v>326600992</v>
      </c>
      <c r="AG30" t="s">
        <v>178</v>
      </c>
      <c r="AH30" t="s">
        <v>179</v>
      </c>
      <c r="AI30">
        <v>36964</v>
      </c>
      <c r="AJ30">
        <v>46262</v>
      </c>
      <c r="AK30">
        <v>94151469773</v>
      </c>
      <c r="AL30">
        <v>5686382593797</v>
      </c>
      <c r="AM30">
        <v>7482304375</v>
      </c>
      <c r="AN30">
        <v>0</v>
      </c>
      <c r="AO30">
        <v>75577171</v>
      </c>
      <c r="AP30">
        <v>7482304375</v>
      </c>
      <c r="AQ30">
        <v>7557881546</v>
      </c>
      <c r="AR30">
        <v>249410145</v>
      </c>
      <c r="AS30">
        <v>0</v>
      </c>
      <c r="AT30">
        <v>2519239</v>
      </c>
      <c r="AU30">
        <v>249410145</v>
      </c>
      <c r="AV30">
        <v>251929384</v>
      </c>
      <c r="AW30">
        <v>16.285599999999999</v>
      </c>
      <c r="AX30">
        <v>6.6547799999999997</v>
      </c>
      <c r="AY30">
        <v>2071.0700000000002</v>
      </c>
      <c r="AZ30">
        <v>1299.42</v>
      </c>
      <c r="BA30">
        <v>2772</v>
      </c>
      <c r="BB30">
        <v>360</v>
      </c>
      <c r="BC30" t="str">
        <f t="shared" si="0"/>
        <v>u=1% k=2x10^7</v>
      </c>
    </row>
    <row r="31" spans="1:55">
      <c r="A31" t="s">
        <v>180</v>
      </c>
      <c r="B31" t="s">
        <v>83</v>
      </c>
      <c r="C31">
        <v>72</v>
      </c>
      <c r="D31" t="s">
        <v>64</v>
      </c>
      <c r="E31" t="s">
        <v>60</v>
      </c>
      <c r="F31" t="s">
        <v>61</v>
      </c>
      <c r="G31">
        <v>30000</v>
      </c>
      <c r="H31">
        <v>0.5</v>
      </c>
      <c r="I31">
        <v>0.5</v>
      </c>
      <c r="J31">
        <v>0</v>
      </c>
      <c r="K31">
        <v>1</v>
      </c>
      <c r="L31">
        <v>200000000</v>
      </c>
      <c r="M31">
        <v>190</v>
      </c>
      <c r="N31">
        <v>190</v>
      </c>
      <c r="O31">
        <v>190</v>
      </c>
      <c r="P31">
        <v>0</v>
      </c>
      <c r="Q31" t="s">
        <v>62</v>
      </c>
      <c r="R31">
        <v>9999047161960080</v>
      </c>
      <c r="S31">
        <v>99991408</v>
      </c>
      <c r="T31">
        <v>9999047161960080</v>
      </c>
      <c r="U31">
        <v>99991408</v>
      </c>
      <c r="V31" t="s">
        <v>71</v>
      </c>
      <c r="W31">
        <v>7</v>
      </c>
      <c r="X31">
        <v>12569726</v>
      </c>
      <c r="Y31">
        <v>113144544</v>
      </c>
      <c r="Z31">
        <v>125714270</v>
      </c>
      <c r="AA31">
        <v>99991408</v>
      </c>
      <c r="AB31">
        <v>10.0014</v>
      </c>
      <c r="AC31">
        <v>0.88374900000000001</v>
      </c>
      <c r="AD31">
        <v>1.79539</v>
      </c>
      <c r="AE31">
        <v>4.0318100000000001</v>
      </c>
      <c r="AF31">
        <v>2816548672</v>
      </c>
      <c r="AG31" t="s">
        <v>181</v>
      </c>
      <c r="AH31" t="s">
        <v>182</v>
      </c>
      <c r="AI31">
        <v>3900</v>
      </c>
      <c r="AJ31">
        <v>32934</v>
      </c>
      <c r="AK31">
        <v>117659232347</v>
      </c>
      <c r="AL31">
        <v>5686432212829</v>
      </c>
      <c r="AM31">
        <v>5627927925</v>
      </c>
      <c r="AN31">
        <v>0</v>
      </c>
      <c r="AO31">
        <v>56847197</v>
      </c>
      <c r="AP31">
        <v>5627927925</v>
      </c>
      <c r="AQ31">
        <v>5684775122</v>
      </c>
      <c r="AR31">
        <v>187597597</v>
      </c>
      <c r="AS31">
        <v>0</v>
      </c>
      <c r="AT31">
        <v>1894906</v>
      </c>
      <c r="AU31">
        <v>187597597</v>
      </c>
      <c r="AV31">
        <v>189492504</v>
      </c>
      <c r="AW31">
        <v>19.418900000000001</v>
      </c>
      <c r="AX31">
        <v>9.5716199999999994</v>
      </c>
      <c r="AY31">
        <v>2733.2</v>
      </c>
      <c r="AZ31">
        <v>1972.87</v>
      </c>
      <c r="BA31">
        <v>13359</v>
      </c>
      <c r="BB31">
        <v>1107</v>
      </c>
      <c r="BC31" t="str">
        <f t="shared" si="0"/>
        <v>u=1% k=2x10^8</v>
      </c>
    </row>
    <row r="32" spans="1:55">
      <c r="A32" t="s">
        <v>183</v>
      </c>
      <c r="B32" t="s">
        <v>83</v>
      </c>
      <c r="C32">
        <v>72</v>
      </c>
      <c r="D32" t="s">
        <v>64</v>
      </c>
      <c r="E32" t="s">
        <v>60</v>
      </c>
      <c r="F32" t="s">
        <v>61</v>
      </c>
      <c r="G32">
        <v>30000</v>
      </c>
      <c r="H32">
        <v>5</v>
      </c>
      <c r="I32">
        <v>5</v>
      </c>
      <c r="J32">
        <v>0</v>
      </c>
      <c r="K32">
        <v>1</v>
      </c>
      <c r="L32">
        <v>2000000</v>
      </c>
      <c r="M32">
        <v>190</v>
      </c>
      <c r="N32">
        <v>190</v>
      </c>
      <c r="O32">
        <v>190</v>
      </c>
      <c r="P32">
        <v>0</v>
      </c>
      <c r="Q32" t="s">
        <v>62</v>
      </c>
      <c r="R32">
        <v>1000983918331</v>
      </c>
      <c r="S32">
        <v>1000498</v>
      </c>
      <c r="T32">
        <v>1000983918331</v>
      </c>
      <c r="U32">
        <v>1000498</v>
      </c>
      <c r="V32" t="s">
        <v>71</v>
      </c>
      <c r="W32">
        <v>6</v>
      </c>
      <c r="X32">
        <v>33084</v>
      </c>
      <c r="Y32">
        <v>1032629</v>
      </c>
      <c r="Z32">
        <v>1065713</v>
      </c>
      <c r="AA32">
        <v>1000498</v>
      </c>
      <c r="AB32">
        <v>32.212299999999999</v>
      </c>
      <c r="AC32">
        <v>0.96888399999999997</v>
      </c>
      <c r="AD32">
        <v>1.9388099999999999</v>
      </c>
      <c r="AE32">
        <v>3.0001000000000002</v>
      </c>
      <c r="AF32">
        <v>19168768</v>
      </c>
      <c r="AG32" t="s">
        <v>184</v>
      </c>
      <c r="AH32" t="s">
        <v>185</v>
      </c>
      <c r="AI32">
        <v>8027395</v>
      </c>
      <c r="AJ32">
        <v>49900</v>
      </c>
      <c r="AK32">
        <v>877949400722</v>
      </c>
      <c r="AL32">
        <v>5686902425594</v>
      </c>
      <c r="AM32">
        <v>6580726589</v>
      </c>
      <c r="AN32">
        <v>0</v>
      </c>
      <c r="AO32">
        <v>731182577</v>
      </c>
      <c r="AP32">
        <v>6580726589</v>
      </c>
      <c r="AQ32">
        <v>7311909166</v>
      </c>
      <c r="AR32">
        <v>219357552</v>
      </c>
      <c r="AS32">
        <v>0</v>
      </c>
      <c r="AT32">
        <v>24372752</v>
      </c>
      <c r="AU32">
        <v>219357552</v>
      </c>
      <c r="AV32">
        <v>243730305</v>
      </c>
      <c r="AW32">
        <v>12.34</v>
      </c>
      <c r="AX32">
        <v>3.1507700000000001</v>
      </c>
      <c r="AY32">
        <v>2156.84</v>
      </c>
      <c r="AZ32">
        <v>1309.93</v>
      </c>
      <c r="BA32">
        <v>1628</v>
      </c>
      <c r="BB32">
        <v>296</v>
      </c>
      <c r="BC32" t="str">
        <f t="shared" si="0"/>
        <v>u=10% k=2x10^6</v>
      </c>
    </row>
    <row r="33" spans="1:55">
      <c r="A33" t="s">
        <v>186</v>
      </c>
      <c r="B33" t="s">
        <v>83</v>
      </c>
      <c r="C33">
        <v>72</v>
      </c>
      <c r="D33" t="s">
        <v>64</v>
      </c>
      <c r="E33" t="s">
        <v>60</v>
      </c>
      <c r="F33" t="s">
        <v>61</v>
      </c>
      <c r="G33">
        <v>30000</v>
      </c>
      <c r="H33">
        <v>5</v>
      </c>
      <c r="I33">
        <v>5</v>
      </c>
      <c r="J33">
        <v>0</v>
      </c>
      <c r="K33">
        <v>1</v>
      </c>
      <c r="L33">
        <v>20000000</v>
      </c>
      <c r="M33">
        <v>190</v>
      </c>
      <c r="N33">
        <v>190</v>
      </c>
      <c r="O33">
        <v>190</v>
      </c>
      <c r="P33">
        <v>0</v>
      </c>
      <c r="Q33" t="s">
        <v>62</v>
      </c>
      <c r="R33">
        <v>99981893145030</v>
      </c>
      <c r="S33">
        <v>9998996</v>
      </c>
      <c r="T33">
        <v>99981893145030</v>
      </c>
      <c r="U33">
        <v>9998996</v>
      </c>
      <c r="V33" t="s">
        <v>71</v>
      </c>
      <c r="W33">
        <v>7</v>
      </c>
      <c r="X33">
        <v>1779558</v>
      </c>
      <c r="Y33">
        <v>11755126</v>
      </c>
      <c r="Z33">
        <v>13534684</v>
      </c>
      <c r="AA33">
        <v>9998996</v>
      </c>
      <c r="AB33">
        <v>7.6056400000000002</v>
      </c>
      <c r="AC33">
        <v>0.850607</v>
      </c>
      <c r="AD33">
        <v>1.7387699999999999</v>
      </c>
      <c r="AE33">
        <v>4.0308700000000002</v>
      </c>
      <c r="AF33">
        <v>330448144</v>
      </c>
      <c r="AG33" t="s">
        <v>187</v>
      </c>
      <c r="AH33" t="s">
        <v>188</v>
      </c>
      <c r="AI33">
        <v>840849</v>
      </c>
      <c r="AJ33">
        <v>36184</v>
      </c>
      <c r="AK33">
        <v>554000757271</v>
      </c>
      <c r="AL33">
        <v>5686383409470</v>
      </c>
      <c r="AM33">
        <v>4956648217</v>
      </c>
      <c r="AN33">
        <v>0</v>
      </c>
      <c r="AO33">
        <v>550736483</v>
      </c>
      <c r="AP33">
        <v>4956648217</v>
      </c>
      <c r="AQ33">
        <v>5507384700</v>
      </c>
      <c r="AR33">
        <v>165221607</v>
      </c>
      <c r="AS33">
        <v>0</v>
      </c>
      <c r="AT33">
        <v>18357882</v>
      </c>
      <c r="AU33">
        <v>165221607</v>
      </c>
      <c r="AV33">
        <v>183579490</v>
      </c>
      <c r="AW33">
        <v>19.2851</v>
      </c>
      <c r="AX33">
        <v>8.5579999999999998</v>
      </c>
      <c r="AY33">
        <v>2820.52</v>
      </c>
      <c r="AZ33">
        <v>1891.02</v>
      </c>
      <c r="BA33">
        <v>2869</v>
      </c>
      <c r="BB33">
        <v>402</v>
      </c>
      <c r="BC33" t="str">
        <f t="shared" si="0"/>
        <v>u=10% k=2x10^7</v>
      </c>
    </row>
    <row r="34" spans="1:55">
      <c r="A34" t="s">
        <v>189</v>
      </c>
      <c r="B34" t="s">
        <v>83</v>
      </c>
      <c r="C34">
        <v>72</v>
      </c>
      <c r="D34" t="s">
        <v>64</v>
      </c>
      <c r="E34" t="s">
        <v>60</v>
      </c>
      <c r="F34" t="s">
        <v>61</v>
      </c>
      <c r="G34">
        <v>30000</v>
      </c>
      <c r="H34">
        <v>5</v>
      </c>
      <c r="I34">
        <v>5</v>
      </c>
      <c r="J34">
        <v>0</v>
      </c>
      <c r="K34">
        <v>1</v>
      </c>
      <c r="L34">
        <v>200000000</v>
      </c>
      <c r="M34">
        <v>190</v>
      </c>
      <c r="N34">
        <v>190</v>
      </c>
      <c r="O34">
        <v>190</v>
      </c>
      <c r="P34">
        <v>0</v>
      </c>
      <c r="Q34" t="s">
        <v>62</v>
      </c>
      <c r="R34">
        <v>9999594626725780</v>
      </c>
      <c r="S34">
        <v>99999371</v>
      </c>
      <c r="T34">
        <v>9999594626725780</v>
      </c>
      <c r="U34">
        <v>99999371</v>
      </c>
      <c r="V34" t="s">
        <v>71</v>
      </c>
      <c r="W34">
        <v>7</v>
      </c>
      <c r="X34">
        <v>14869213</v>
      </c>
      <c r="Y34">
        <v>118075348</v>
      </c>
      <c r="Z34">
        <v>132944561</v>
      </c>
      <c r="AA34">
        <v>99999371</v>
      </c>
      <c r="AB34">
        <v>8.9409299999999998</v>
      </c>
      <c r="AC34">
        <v>0.846912</v>
      </c>
      <c r="AD34">
        <v>1.7521899999999999</v>
      </c>
      <c r="AE34">
        <v>4.0805600000000002</v>
      </c>
      <c r="AF34">
        <v>3082682784</v>
      </c>
      <c r="AG34" t="s">
        <v>190</v>
      </c>
      <c r="AH34" t="s">
        <v>191</v>
      </c>
      <c r="AI34">
        <v>128911</v>
      </c>
      <c r="AJ34">
        <v>19108</v>
      </c>
      <c r="AK34">
        <v>570980364780</v>
      </c>
      <c r="AL34">
        <v>5686699227187</v>
      </c>
      <c r="AM34">
        <v>3851485461</v>
      </c>
      <c r="AN34">
        <v>0</v>
      </c>
      <c r="AO34">
        <v>427937418</v>
      </c>
      <c r="AP34">
        <v>3851485461</v>
      </c>
      <c r="AQ34">
        <v>4279422879</v>
      </c>
      <c r="AR34">
        <v>128382848</v>
      </c>
      <c r="AS34">
        <v>0</v>
      </c>
      <c r="AT34">
        <v>14264580</v>
      </c>
      <c r="AU34">
        <v>128382848</v>
      </c>
      <c r="AV34">
        <v>142647429</v>
      </c>
      <c r="AW34">
        <v>22.2425</v>
      </c>
      <c r="AX34">
        <v>11.2818</v>
      </c>
      <c r="AY34">
        <v>3430.87</v>
      </c>
      <c r="AZ34">
        <v>2548.94</v>
      </c>
      <c r="BA34">
        <v>14275</v>
      </c>
      <c r="BB34">
        <v>1045</v>
      </c>
      <c r="BC34" t="str">
        <f t="shared" si="0"/>
        <v>u=10% k=2x10^8</v>
      </c>
    </row>
    <row r="35" spans="1:55">
      <c r="A35" t="s">
        <v>192</v>
      </c>
      <c r="B35" t="s">
        <v>83</v>
      </c>
      <c r="C35">
        <v>72</v>
      </c>
      <c r="D35" t="s">
        <v>64</v>
      </c>
      <c r="E35" t="s">
        <v>60</v>
      </c>
      <c r="F35" t="s">
        <v>61</v>
      </c>
      <c r="G35">
        <v>30000</v>
      </c>
      <c r="H35">
        <v>20</v>
      </c>
      <c r="I35">
        <v>20</v>
      </c>
      <c r="J35">
        <v>0</v>
      </c>
      <c r="K35">
        <v>1</v>
      </c>
      <c r="L35">
        <v>2000000</v>
      </c>
      <c r="M35">
        <v>190</v>
      </c>
      <c r="N35">
        <v>190</v>
      </c>
      <c r="O35">
        <v>190</v>
      </c>
      <c r="P35">
        <v>0</v>
      </c>
      <c r="Q35" t="s">
        <v>62</v>
      </c>
      <c r="R35">
        <v>1000473330795</v>
      </c>
      <c r="S35">
        <v>999917</v>
      </c>
      <c r="T35">
        <v>1000473330795</v>
      </c>
      <c r="U35">
        <v>999917</v>
      </c>
      <c r="V35" t="s">
        <v>71</v>
      </c>
      <c r="W35">
        <v>6</v>
      </c>
      <c r="X35">
        <v>33037</v>
      </c>
      <c r="Y35">
        <v>1032004</v>
      </c>
      <c r="Z35">
        <v>1065041</v>
      </c>
      <c r="AA35">
        <v>999917</v>
      </c>
      <c r="AB35">
        <v>32.2378</v>
      </c>
      <c r="AC35">
        <v>0.96890799999999999</v>
      </c>
      <c r="AD35">
        <v>1.93885</v>
      </c>
      <c r="AE35">
        <v>3.00007</v>
      </c>
      <c r="AF35">
        <v>19155008</v>
      </c>
      <c r="AG35" t="s">
        <v>193</v>
      </c>
      <c r="AH35" t="s">
        <v>194</v>
      </c>
      <c r="AI35">
        <v>24508443</v>
      </c>
      <c r="AJ35">
        <v>20920</v>
      </c>
      <c r="AK35">
        <v>1780535728231</v>
      </c>
      <c r="AL35">
        <v>5686585304469</v>
      </c>
      <c r="AM35">
        <v>1739382499</v>
      </c>
      <c r="AN35">
        <v>0</v>
      </c>
      <c r="AO35">
        <v>1159673600</v>
      </c>
      <c r="AP35">
        <v>1739382499</v>
      </c>
      <c r="AQ35">
        <v>2899056099</v>
      </c>
      <c r="AR35">
        <v>57979416</v>
      </c>
      <c r="AS35">
        <v>0</v>
      </c>
      <c r="AT35">
        <v>38655786</v>
      </c>
      <c r="AU35">
        <v>57979416</v>
      </c>
      <c r="AV35">
        <v>96635203</v>
      </c>
      <c r="AW35">
        <v>25.037500000000001</v>
      </c>
      <c r="AX35">
        <v>11.946899999999999</v>
      </c>
      <c r="AY35">
        <v>5469.76</v>
      </c>
      <c r="AZ35">
        <v>4163.3900000000003</v>
      </c>
      <c r="BA35">
        <v>1759</v>
      </c>
      <c r="BB35">
        <v>349</v>
      </c>
      <c r="BC35" t="str">
        <f t="shared" si="0"/>
        <v>u=40% k=2x10^6</v>
      </c>
    </row>
    <row r="36" spans="1:55">
      <c r="A36" t="s">
        <v>195</v>
      </c>
      <c r="B36" t="s">
        <v>83</v>
      </c>
      <c r="C36">
        <v>72</v>
      </c>
      <c r="D36" t="s">
        <v>64</v>
      </c>
      <c r="E36" t="s">
        <v>60</v>
      </c>
      <c r="F36" t="s">
        <v>61</v>
      </c>
      <c r="G36">
        <v>30000</v>
      </c>
      <c r="H36">
        <v>20</v>
      </c>
      <c r="I36">
        <v>20</v>
      </c>
      <c r="J36">
        <v>0</v>
      </c>
      <c r="K36">
        <v>1</v>
      </c>
      <c r="L36">
        <v>20000000</v>
      </c>
      <c r="M36">
        <v>190</v>
      </c>
      <c r="N36">
        <v>190</v>
      </c>
      <c r="O36">
        <v>190</v>
      </c>
      <c r="P36">
        <v>0</v>
      </c>
      <c r="Q36" t="s">
        <v>62</v>
      </c>
      <c r="R36">
        <v>99984874003974</v>
      </c>
      <c r="S36">
        <v>9999552</v>
      </c>
      <c r="T36">
        <v>99984874003974</v>
      </c>
      <c r="U36">
        <v>9999552</v>
      </c>
      <c r="V36" t="s">
        <v>71</v>
      </c>
      <c r="W36">
        <v>7</v>
      </c>
      <c r="X36">
        <v>1814477</v>
      </c>
      <c r="Y36">
        <v>11844059</v>
      </c>
      <c r="Z36">
        <v>13658536</v>
      </c>
      <c r="AA36">
        <v>9999552</v>
      </c>
      <c r="AB36">
        <v>7.5275299999999996</v>
      </c>
      <c r="AC36">
        <v>0.84426699999999999</v>
      </c>
      <c r="AD36">
        <v>1.73211</v>
      </c>
      <c r="AE36">
        <v>4.0375500000000004</v>
      </c>
      <c r="AF36">
        <v>334691856</v>
      </c>
      <c r="AG36" t="s">
        <v>196</v>
      </c>
      <c r="AH36" t="s">
        <v>197</v>
      </c>
      <c r="AI36">
        <v>2962552</v>
      </c>
      <c r="AJ36">
        <v>22160</v>
      </c>
      <c r="AK36">
        <v>1164311005612</v>
      </c>
      <c r="AL36">
        <v>5686397692792</v>
      </c>
      <c r="AM36">
        <v>1744935945</v>
      </c>
      <c r="AN36">
        <v>0</v>
      </c>
      <c r="AO36">
        <v>1163295146</v>
      </c>
      <c r="AP36">
        <v>1744935945</v>
      </c>
      <c r="AQ36">
        <v>2908231091</v>
      </c>
      <c r="AR36">
        <v>58164531</v>
      </c>
      <c r="AS36">
        <v>0</v>
      </c>
      <c r="AT36">
        <v>38776504</v>
      </c>
      <c r="AU36">
        <v>58164531</v>
      </c>
      <c r="AV36">
        <v>96941036</v>
      </c>
      <c r="AW36">
        <v>28.6508</v>
      </c>
      <c r="AX36">
        <v>15.300800000000001</v>
      </c>
      <c r="AY36">
        <v>5284.85</v>
      </c>
      <c r="AZ36">
        <v>3606.23</v>
      </c>
      <c r="BA36">
        <v>2938</v>
      </c>
      <c r="BB36">
        <v>338</v>
      </c>
      <c r="BC36" t="str">
        <f t="shared" si="0"/>
        <v>u=40% k=2x10^7</v>
      </c>
    </row>
    <row r="37" spans="1:55">
      <c r="A37" t="s">
        <v>198</v>
      </c>
      <c r="B37" t="s">
        <v>83</v>
      </c>
      <c r="C37">
        <v>72</v>
      </c>
      <c r="D37" t="s">
        <v>64</v>
      </c>
      <c r="E37" t="s">
        <v>60</v>
      </c>
      <c r="F37" t="s">
        <v>61</v>
      </c>
      <c r="G37">
        <v>30000</v>
      </c>
      <c r="H37">
        <v>20</v>
      </c>
      <c r="I37">
        <v>20</v>
      </c>
      <c r="J37">
        <v>0</v>
      </c>
      <c r="K37">
        <v>1</v>
      </c>
      <c r="L37">
        <v>200000000</v>
      </c>
      <c r="M37">
        <v>190</v>
      </c>
      <c r="N37">
        <v>190</v>
      </c>
      <c r="O37">
        <v>190</v>
      </c>
      <c r="P37">
        <v>0</v>
      </c>
      <c r="Q37" t="s">
        <v>62</v>
      </c>
      <c r="R37">
        <v>1.00001132668241E+16</v>
      </c>
      <c r="S37">
        <v>100004663</v>
      </c>
      <c r="T37">
        <v>1.00001132668241E+16</v>
      </c>
      <c r="U37">
        <v>100004663</v>
      </c>
      <c r="V37" t="s">
        <v>71</v>
      </c>
      <c r="W37">
        <v>7</v>
      </c>
      <c r="X37">
        <v>11011152</v>
      </c>
      <c r="Y37">
        <v>110005765</v>
      </c>
      <c r="Z37">
        <v>121016917</v>
      </c>
      <c r="AA37">
        <v>100004663</v>
      </c>
      <c r="AB37">
        <v>10.990399999999999</v>
      </c>
      <c r="AC37">
        <v>0.90908599999999995</v>
      </c>
      <c r="AD37">
        <v>1.82637</v>
      </c>
      <c r="AE37">
        <v>4</v>
      </c>
      <c r="AF37">
        <v>2640984384</v>
      </c>
      <c r="AG37" t="s">
        <v>199</v>
      </c>
      <c r="AH37" t="s">
        <v>200</v>
      </c>
      <c r="AI37">
        <v>512247</v>
      </c>
      <c r="AJ37">
        <v>12554</v>
      </c>
      <c r="AK37">
        <v>1148832369645</v>
      </c>
      <c r="AL37">
        <v>5688833825121</v>
      </c>
      <c r="AM37">
        <v>1499810198</v>
      </c>
      <c r="AN37">
        <v>0</v>
      </c>
      <c r="AO37">
        <v>999950247</v>
      </c>
      <c r="AP37">
        <v>1499810198</v>
      </c>
      <c r="AQ37">
        <v>2499760445</v>
      </c>
      <c r="AR37">
        <v>49993673</v>
      </c>
      <c r="AS37">
        <v>0</v>
      </c>
      <c r="AT37">
        <v>33331674</v>
      </c>
      <c r="AU37">
        <v>49993673</v>
      </c>
      <c r="AV37">
        <v>83325348</v>
      </c>
      <c r="AW37">
        <v>31.564599999999999</v>
      </c>
      <c r="AX37">
        <v>17.6492</v>
      </c>
      <c r="AY37">
        <v>5690.13</v>
      </c>
      <c r="AZ37">
        <v>4214.17</v>
      </c>
      <c r="BA37">
        <v>14396</v>
      </c>
      <c r="BB37">
        <v>1166</v>
      </c>
      <c r="BC37" t="str">
        <f t="shared" si="0"/>
        <v>u=40% k=2x10^8</v>
      </c>
    </row>
    <row r="38" spans="1:55">
      <c r="A38" t="s">
        <v>201</v>
      </c>
      <c r="B38" t="s">
        <v>83</v>
      </c>
      <c r="C38">
        <v>72</v>
      </c>
      <c r="D38" t="s">
        <v>64</v>
      </c>
      <c r="E38" t="s">
        <v>60</v>
      </c>
      <c r="F38" t="s">
        <v>61</v>
      </c>
      <c r="G38">
        <v>30000</v>
      </c>
      <c r="H38">
        <v>0.5</v>
      </c>
      <c r="I38">
        <v>0.5</v>
      </c>
      <c r="J38">
        <v>0</v>
      </c>
      <c r="K38">
        <v>1</v>
      </c>
      <c r="L38">
        <v>2000000</v>
      </c>
      <c r="M38">
        <v>190</v>
      </c>
      <c r="N38">
        <v>190</v>
      </c>
      <c r="O38">
        <v>190</v>
      </c>
      <c r="P38">
        <v>0</v>
      </c>
      <c r="Q38" t="s">
        <v>62</v>
      </c>
      <c r="R38">
        <v>1001570992220</v>
      </c>
      <c r="S38">
        <v>1001229</v>
      </c>
      <c r="T38">
        <v>1001570992220</v>
      </c>
      <c r="U38">
        <v>1001229</v>
      </c>
      <c r="V38" t="s">
        <v>71</v>
      </c>
      <c r="W38">
        <v>6</v>
      </c>
      <c r="X38">
        <v>52798</v>
      </c>
      <c r="Y38">
        <v>1073011</v>
      </c>
      <c r="Z38">
        <v>1125809</v>
      </c>
      <c r="AA38">
        <v>1001229</v>
      </c>
      <c r="AB38">
        <v>21.322900000000001</v>
      </c>
      <c r="AC38">
        <v>0.93310199999999999</v>
      </c>
      <c r="AD38">
        <v>1.88934</v>
      </c>
      <c r="AE38">
        <v>3.0411899999999998</v>
      </c>
      <c r="AF38">
        <v>21410080</v>
      </c>
      <c r="AG38" t="s">
        <v>202</v>
      </c>
      <c r="AH38" t="s">
        <v>203</v>
      </c>
      <c r="AI38">
        <v>316184</v>
      </c>
      <c r="AJ38">
        <v>90350</v>
      </c>
      <c r="AK38">
        <v>118549992237</v>
      </c>
      <c r="AL38">
        <v>5686384834047</v>
      </c>
      <c r="AM38">
        <v>12928511955</v>
      </c>
      <c r="AN38">
        <v>0</v>
      </c>
      <c r="AO38">
        <v>130599146</v>
      </c>
      <c r="AP38">
        <v>12928511955</v>
      </c>
      <c r="AQ38">
        <v>13059111101</v>
      </c>
      <c r="AR38">
        <v>430950398</v>
      </c>
      <c r="AS38">
        <v>0</v>
      </c>
      <c r="AT38">
        <v>4353304</v>
      </c>
      <c r="AU38">
        <v>430950398</v>
      </c>
      <c r="AV38">
        <v>435303703</v>
      </c>
      <c r="AW38">
        <v>8.64255</v>
      </c>
      <c r="AX38">
        <v>0.41522300000000001</v>
      </c>
      <c r="AY38">
        <v>1194.55</v>
      </c>
      <c r="AZ38">
        <v>459.346</v>
      </c>
      <c r="BA38">
        <v>1426</v>
      </c>
      <c r="BB38">
        <v>263</v>
      </c>
      <c r="BC38" t="str">
        <f t="shared" si="0"/>
        <v>u=1% k=2x10^6</v>
      </c>
    </row>
    <row r="39" spans="1:55">
      <c r="A39" t="s">
        <v>204</v>
      </c>
      <c r="B39" t="s">
        <v>83</v>
      </c>
      <c r="C39">
        <v>72</v>
      </c>
      <c r="D39" t="s">
        <v>64</v>
      </c>
      <c r="E39" t="s">
        <v>60</v>
      </c>
      <c r="F39" t="s">
        <v>61</v>
      </c>
      <c r="G39">
        <v>30000</v>
      </c>
      <c r="H39">
        <v>0.5</v>
      </c>
      <c r="I39">
        <v>0.5</v>
      </c>
      <c r="J39">
        <v>0</v>
      </c>
      <c r="K39">
        <v>1</v>
      </c>
      <c r="L39">
        <v>20000000</v>
      </c>
      <c r="M39">
        <v>190</v>
      </c>
      <c r="N39">
        <v>190</v>
      </c>
      <c r="O39">
        <v>190</v>
      </c>
      <c r="P39">
        <v>0</v>
      </c>
      <c r="Q39" t="s">
        <v>62</v>
      </c>
      <c r="R39">
        <v>99985989214760</v>
      </c>
      <c r="S39">
        <v>9996548</v>
      </c>
      <c r="T39">
        <v>99985989214760</v>
      </c>
      <c r="U39">
        <v>9996548</v>
      </c>
      <c r="V39" t="s">
        <v>71</v>
      </c>
      <c r="W39">
        <v>7</v>
      </c>
      <c r="X39">
        <v>1685384</v>
      </c>
      <c r="Y39">
        <v>11559216</v>
      </c>
      <c r="Z39">
        <v>13244600</v>
      </c>
      <c r="AA39">
        <v>9996548</v>
      </c>
      <c r="AB39">
        <v>7.8585099999999999</v>
      </c>
      <c r="AC39">
        <v>0.86481200000000003</v>
      </c>
      <c r="AD39">
        <v>1.7547600000000001</v>
      </c>
      <c r="AE39">
        <v>4.0120300000000002</v>
      </c>
      <c r="AF39">
        <v>319778240</v>
      </c>
      <c r="AG39" t="s">
        <v>205</v>
      </c>
      <c r="AH39" t="s">
        <v>206</v>
      </c>
      <c r="AI39">
        <v>36077</v>
      </c>
      <c r="AJ39">
        <v>46524</v>
      </c>
      <c r="AK39">
        <v>92484348402</v>
      </c>
      <c r="AL39">
        <v>5686384492220</v>
      </c>
      <c r="AM39">
        <v>7451823945</v>
      </c>
      <c r="AN39">
        <v>0</v>
      </c>
      <c r="AO39">
        <v>75257482</v>
      </c>
      <c r="AP39">
        <v>7451823945</v>
      </c>
      <c r="AQ39">
        <v>7527081427</v>
      </c>
      <c r="AR39">
        <v>248394131</v>
      </c>
      <c r="AS39">
        <v>0</v>
      </c>
      <c r="AT39">
        <v>2508582</v>
      </c>
      <c r="AU39">
        <v>248394131</v>
      </c>
      <c r="AV39">
        <v>250902714</v>
      </c>
      <c r="AW39">
        <v>16.4236</v>
      </c>
      <c r="AX39">
        <v>6.6516700000000002</v>
      </c>
      <c r="AY39">
        <v>2080.5500000000002</v>
      </c>
      <c r="AZ39">
        <v>1304.27</v>
      </c>
      <c r="BA39">
        <v>2771</v>
      </c>
      <c r="BB39">
        <v>371</v>
      </c>
      <c r="BC39" t="str">
        <f t="shared" si="0"/>
        <v>u=1% k=2x10^7</v>
      </c>
    </row>
    <row r="40" spans="1:55">
      <c r="A40" t="s">
        <v>207</v>
      </c>
      <c r="B40" t="s">
        <v>83</v>
      </c>
      <c r="C40">
        <v>72</v>
      </c>
      <c r="D40" t="s">
        <v>64</v>
      </c>
      <c r="E40" t="s">
        <v>60</v>
      </c>
      <c r="F40" t="s">
        <v>61</v>
      </c>
      <c r="G40">
        <v>30000</v>
      </c>
      <c r="H40">
        <v>0.5</v>
      </c>
      <c r="I40">
        <v>0.5</v>
      </c>
      <c r="J40">
        <v>0</v>
      </c>
      <c r="K40">
        <v>1</v>
      </c>
      <c r="L40">
        <v>200000000</v>
      </c>
      <c r="M40">
        <v>190</v>
      </c>
      <c r="N40">
        <v>190</v>
      </c>
      <c r="O40">
        <v>190</v>
      </c>
      <c r="P40">
        <v>0</v>
      </c>
      <c r="Q40" t="s">
        <v>62</v>
      </c>
      <c r="R40">
        <v>9999912556535460</v>
      </c>
      <c r="S40">
        <v>100000889</v>
      </c>
      <c r="T40">
        <v>9999912556535460</v>
      </c>
      <c r="U40">
        <v>100000889</v>
      </c>
      <c r="V40" t="s">
        <v>71</v>
      </c>
      <c r="W40">
        <v>7</v>
      </c>
      <c r="X40">
        <v>12585636</v>
      </c>
      <c r="Y40">
        <v>113183435</v>
      </c>
      <c r="Z40">
        <v>125769071</v>
      </c>
      <c r="AA40">
        <v>100000889</v>
      </c>
      <c r="AB40">
        <v>9.9930599999999998</v>
      </c>
      <c r="AC40">
        <v>0.88352900000000001</v>
      </c>
      <c r="AD40">
        <v>1.79512</v>
      </c>
      <c r="AE40">
        <v>4.0321300000000004</v>
      </c>
      <c r="AF40">
        <v>2818454656</v>
      </c>
      <c r="AG40" t="s">
        <v>208</v>
      </c>
      <c r="AH40" t="s">
        <v>209</v>
      </c>
      <c r="AI40">
        <v>3863</v>
      </c>
      <c r="AJ40">
        <v>33068</v>
      </c>
      <c r="AK40">
        <v>114434176723</v>
      </c>
      <c r="AL40">
        <v>5686385116168</v>
      </c>
      <c r="AM40">
        <v>5633793450</v>
      </c>
      <c r="AN40">
        <v>0</v>
      </c>
      <c r="AO40">
        <v>56916249</v>
      </c>
      <c r="AP40">
        <v>5633793450</v>
      </c>
      <c r="AQ40">
        <v>5690709699</v>
      </c>
      <c r="AR40">
        <v>187793115</v>
      </c>
      <c r="AS40">
        <v>0</v>
      </c>
      <c r="AT40">
        <v>1897208</v>
      </c>
      <c r="AU40">
        <v>187793115</v>
      </c>
      <c r="AV40">
        <v>189690323</v>
      </c>
      <c r="AW40">
        <v>19.453600000000002</v>
      </c>
      <c r="AX40">
        <v>9.5795700000000004</v>
      </c>
      <c r="AY40">
        <v>2731.74</v>
      </c>
      <c r="AZ40">
        <v>1975.03</v>
      </c>
      <c r="BA40">
        <v>13363</v>
      </c>
      <c r="BB40">
        <v>1055</v>
      </c>
      <c r="BC40" t="str">
        <f t="shared" si="0"/>
        <v>u=1% k=2x10^8</v>
      </c>
    </row>
    <row r="41" spans="1:55">
      <c r="A41" t="s">
        <v>210</v>
      </c>
      <c r="B41" t="s">
        <v>83</v>
      </c>
      <c r="C41">
        <v>72</v>
      </c>
      <c r="D41" t="s">
        <v>64</v>
      </c>
      <c r="E41" t="s">
        <v>60</v>
      </c>
      <c r="F41" t="s">
        <v>61</v>
      </c>
      <c r="G41">
        <v>30000</v>
      </c>
      <c r="H41">
        <v>5</v>
      </c>
      <c r="I41">
        <v>5</v>
      </c>
      <c r="J41">
        <v>0</v>
      </c>
      <c r="K41">
        <v>1</v>
      </c>
      <c r="L41">
        <v>2000000</v>
      </c>
      <c r="M41">
        <v>190</v>
      </c>
      <c r="N41">
        <v>190</v>
      </c>
      <c r="O41">
        <v>190</v>
      </c>
      <c r="P41">
        <v>0</v>
      </c>
      <c r="Q41" t="s">
        <v>62</v>
      </c>
      <c r="R41">
        <v>1000767402542</v>
      </c>
      <c r="S41">
        <v>1001030</v>
      </c>
      <c r="T41">
        <v>1000767402542</v>
      </c>
      <c r="U41">
        <v>1001030</v>
      </c>
      <c r="V41" t="s">
        <v>71</v>
      </c>
      <c r="W41">
        <v>6</v>
      </c>
      <c r="X41">
        <v>56538</v>
      </c>
      <c r="Y41">
        <v>1080915</v>
      </c>
      <c r="Z41">
        <v>1137453</v>
      </c>
      <c r="AA41">
        <v>1001030</v>
      </c>
      <c r="AB41">
        <v>20.118400000000001</v>
      </c>
      <c r="AC41">
        <v>0.926095</v>
      </c>
      <c r="AD41">
        <v>1.8800600000000001</v>
      </c>
      <c r="AE41">
        <v>3.0488499999999998</v>
      </c>
      <c r="AF41">
        <v>21838208</v>
      </c>
      <c r="AG41" t="s">
        <v>211</v>
      </c>
      <c r="AH41" t="s">
        <v>212</v>
      </c>
      <c r="AI41">
        <v>8049175</v>
      </c>
      <c r="AJ41">
        <v>50294</v>
      </c>
      <c r="AK41">
        <v>881088127623</v>
      </c>
      <c r="AL41">
        <v>5686385856330</v>
      </c>
      <c r="AM41">
        <v>6609070397</v>
      </c>
      <c r="AN41">
        <v>0</v>
      </c>
      <c r="AO41">
        <v>734341230</v>
      </c>
      <c r="AP41">
        <v>6609070397</v>
      </c>
      <c r="AQ41">
        <v>7343411627</v>
      </c>
      <c r="AR41">
        <v>220302346</v>
      </c>
      <c r="AS41">
        <v>0</v>
      </c>
      <c r="AT41">
        <v>24478041</v>
      </c>
      <c r="AU41">
        <v>220302346</v>
      </c>
      <c r="AV41">
        <v>244780387</v>
      </c>
      <c r="AW41">
        <v>12.332599999999999</v>
      </c>
      <c r="AX41">
        <v>3.1604700000000001</v>
      </c>
      <c r="AY41">
        <v>2148.67</v>
      </c>
      <c r="AZ41">
        <v>1311.23</v>
      </c>
      <c r="BA41">
        <v>1594</v>
      </c>
      <c r="BB41">
        <v>346</v>
      </c>
      <c r="BC41" t="str">
        <f t="shared" si="0"/>
        <v>u=10% k=2x10^6</v>
      </c>
    </row>
    <row r="42" spans="1:55">
      <c r="A42" t="s">
        <v>213</v>
      </c>
      <c r="B42" t="s">
        <v>83</v>
      </c>
      <c r="C42">
        <v>72</v>
      </c>
      <c r="D42" t="s">
        <v>64</v>
      </c>
      <c r="E42" t="s">
        <v>60</v>
      </c>
      <c r="F42" t="s">
        <v>61</v>
      </c>
      <c r="G42">
        <v>30000</v>
      </c>
      <c r="H42">
        <v>5</v>
      </c>
      <c r="I42">
        <v>5</v>
      </c>
      <c r="J42">
        <v>0</v>
      </c>
      <c r="K42">
        <v>1</v>
      </c>
      <c r="L42">
        <v>20000000</v>
      </c>
      <c r="M42">
        <v>190</v>
      </c>
      <c r="N42">
        <v>190</v>
      </c>
      <c r="O42">
        <v>190</v>
      </c>
      <c r="P42">
        <v>0</v>
      </c>
      <c r="Q42" t="s">
        <v>62</v>
      </c>
      <c r="R42">
        <v>99986312832454</v>
      </c>
      <c r="S42">
        <v>9999100</v>
      </c>
      <c r="T42">
        <v>99986312832454</v>
      </c>
      <c r="U42">
        <v>9999100</v>
      </c>
      <c r="V42" t="s">
        <v>71</v>
      </c>
      <c r="W42">
        <v>7</v>
      </c>
      <c r="X42">
        <v>1894765</v>
      </c>
      <c r="Y42">
        <v>12003757</v>
      </c>
      <c r="Z42">
        <v>13898522</v>
      </c>
      <c r="AA42">
        <v>9999100</v>
      </c>
      <c r="AB42">
        <v>7.3352199999999996</v>
      </c>
      <c r="AC42">
        <v>0.83299800000000002</v>
      </c>
      <c r="AD42">
        <v>1.7194400000000001</v>
      </c>
      <c r="AE42">
        <v>4.0539199999999997</v>
      </c>
      <c r="AF42">
        <v>343664960</v>
      </c>
      <c r="AG42" t="s">
        <v>214</v>
      </c>
      <c r="AH42" t="s">
        <v>215</v>
      </c>
      <c r="AI42">
        <v>833466</v>
      </c>
      <c r="AJ42">
        <v>35880</v>
      </c>
      <c r="AK42">
        <v>550102991419</v>
      </c>
      <c r="AL42">
        <v>5686384339581</v>
      </c>
      <c r="AM42">
        <v>4925691870</v>
      </c>
      <c r="AN42">
        <v>0</v>
      </c>
      <c r="AO42">
        <v>547247428</v>
      </c>
      <c r="AP42">
        <v>4925691870</v>
      </c>
      <c r="AQ42">
        <v>5472939298</v>
      </c>
      <c r="AR42">
        <v>164189729</v>
      </c>
      <c r="AS42">
        <v>0</v>
      </c>
      <c r="AT42">
        <v>18241580</v>
      </c>
      <c r="AU42">
        <v>164189729</v>
      </c>
      <c r="AV42">
        <v>182431309</v>
      </c>
      <c r="AW42">
        <v>19.266200000000001</v>
      </c>
      <c r="AX42">
        <v>8.5584799999999994</v>
      </c>
      <c r="AY42">
        <v>2838.58</v>
      </c>
      <c r="AZ42">
        <v>1897.02</v>
      </c>
      <c r="BA42">
        <v>2871</v>
      </c>
      <c r="BB42">
        <v>385</v>
      </c>
      <c r="BC42" t="str">
        <f t="shared" si="0"/>
        <v>u=10% k=2x10^7</v>
      </c>
    </row>
    <row r="43" spans="1:55">
      <c r="A43" t="s">
        <v>216</v>
      </c>
      <c r="B43" t="s">
        <v>83</v>
      </c>
      <c r="C43">
        <v>72</v>
      </c>
      <c r="D43" t="s">
        <v>64</v>
      </c>
      <c r="E43" t="s">
        <v>60</v>
      </c>
      <c r="F43" t="s">
        <v>61</v>
      </c>
      <c r="G43">
        <v>30000</v>
      </c>
      <c r="H43">
        <v>5</v>
      </c>
      <c r="I43">
        <v>5</v>
      </c>
      <c r="J43">
        <v>0</v>
      </c>
      <c r="K43">
        <v>1</v>
      </c>
      <c r="L43">
        <v>200000000</v>
      </c>
      <c r="M43">
        <v>190</v>
      </c>
      <c r="N43">
        <v>190</v>
      </c>
      <c r="O43">
        <v>190</v>
      </c>
      <c r="P43">
        <v>0</v>
      </c>
      <c r="Q43" t="s">
        <v>62</v>
      </c>
      <c r="R43">
        <v>1.00008110787072E+16</v>
      </c>
      <c r="S43">
        <v>100007334</v>
      </c>
      <c r="T43">
        <v>1.00008110787072E+16</v>
      </c>
      <c r="U43">
        <v>100007334</v>
      </c>
      <c r="V43" t="s">
        <v>71</v>
      </c>
      <c r="W43">
        <v>7</v>
      </c>
      <c r="X43">
        <v>14864199</v>
      </c>
      <c r="Y43">
        <v>118069179</v>
      </c>
      <c r="Z43">
        <v>132933378</v>
      </c>
      <c r="AA43">
        <v>100007334</v>
      </c>
      <c r="AB43">
        <v>8.9431899999999995</v>
      </c>
      <c r="AC43">
        <v>0.84702299999999997</v>
      </c>
      <c r="AD43">
        <v>1.75231</v>
      </c>
      <c r="AE43">
        <v>4.0804600000000004</v>
      </c>
      <c r="AF43">
        <v>3082184928</v>
      </c>
      <c r="AG43" t="s">
        <v>217</v>
      </c>
      <c r="AH43" t="s">
        <v>218</v>
      </c>
      <c r="AI43">
        <v>129356</v>
      </c>
      <c r="AJ43">
        <v>18902</v>
      </c>
      <c r="AK43">
        <v>567663855112</v>
      </c>
      <c r="AL43">
        <v>5687105775332</v>
      </c>
      <c r="AM43">
        <v>3850363713</v>
      </c>
      <c r="AN43">
        <v>0</v>
      </c>
      <c r="AO43">
        <v>427809369</v>
      </c>
      <c r="AP43">
        <v>3850363713</v>
      </c>
      <c r="AQ43">
        <v>4278173082</v>
      </c>
      <c r="AR43">
        <v>128345457</v>
      </c>
      <c r="AS43">
        <v>0</v>
      </c>
      <c r="AT43">
        <v>14260312</v>
      </c>
      <c r="AU43">
        <v>128345457</v>
      </c>
      <c r="AV43">
        <v>142605769</v>
      </c>
      <c r="AW43">
        <v>22.247599999999998</v>
      </c>
      <c r="AX43">
        <v>11.2845</v>
      </c>
      <c r="AY43">
        <v>3432.36</v>
      </c>
      <c r="AZ43">
        <v>2549.08</v>
      </c>
      <c r="BA43">
        <v>14262</v>
      </c>
      <c r="BB43">
        <v>1075</v>
      </c>
      <c r="BC43" t="str">
        <f t="shared" si="0"/>
        <v>u=10% k=2x10^8</v>
      </c>
    </row>
    <row r="44" spans="1:55">
      <c r="A44" t="s">
        <v>219</v>
      </c>
      <c r="B44" t="s">
        <v>83</v>
      </c>
      <c r="C44">
        <v>72</v>
      </c>
      <c r="D44" t="s">
        <v>64</v>
      </c>
      <c r="E44" t="s">
        <v>60</v>
      </c>
      <c r="F44" t="s">
        <v>61</v>
      </c>
      <c r="G44">
        <v>30000</v>
      </c>
      <c r="H44">
        <v>20</v>
      </c>
      <c r="I44">
        <v>20</v>
      </c>
      <c r="J44">
        <v>0</v>
      </c>
      <c r="K44">
        <v>1</v>
      </c>
      <c r="L44">
        <v>2000000</v>
      </c>
      <c r="M44">
        <v>190</v>
      </c>
      <c r="N44">
        <v>190</v>
      </c>
      <c r="O44">
        <v>190</v>
      </c>
      <c r="P44">
        <v>0</v>
      </c>
      <c r="Q44" t="s">
        <v>62</v>
      </c>
      <c r="R44">
        <v>999467270114</v>
      </c>
      <c r="S44">
        <v>999751</v>
      </c>
      <c r="T44">
        <v>999467270114</v>
      </c>
      <c r="U44">
        <v>999751</v>
      </c>
      <c r="V44" t="s">
        <v>71</v>
      </c>
      <c r="W44">
        <v>6</v>
      </c>
      <c r="X44">
        <v>53144</v>
      </c>
      <c r="Y44">
        <v>1072772</v>
      </c>
      <c r="Z44">
        <v>1125916</v>
      </c>
      <c r="AA44">
        <v>999751</v>
      </c>
      <c r="AB44">
        <v>21.1861</v>
      </c>
      <c r="AC44">
        <v>0.93193199999999998</v>
      </c>
      <c r="AD44">
        <v>1.88794</v>
      </c>
      <c r="AE44">
        <v>3.0420699999999998</v>
      </c>
      <c r="AF44">
        <v>21436272</v>
      </c>
      <c r="AG44" t="s">
        <v>220</v>
      </c>
      <c r="AH44" t="s">
        <v>221</v>
      </c>
      <c r="AI44">
        <v>24696031</v>
      </c>
      <c r="AJ44">
        <v>20984</v>
      </c>
      <c r="AK44">
        <v>1785116331970</v>
      </c>
      <c r="AL44">
        <v>5686387533075</v>
      </c>
      <c r="AM44">
        <v>1743637166</v>
      </c>
      <c r="AN44">
        <v>0</v>
      </c>
      <c r="AO44">
        <v>1162457028</v>
      </c>
      <c r="AP44">
        <v>1743637166</v>
      </c>
      <c r="AQ44">
        <v>2906094194</v>
      </c>
      <c r="AR44">
        <v>58121238</v>
      </c>
      <c r="AS44">
        <v>0</v>
      </c>
      <c r="AT44">
        <v>38748567</v>
      </c>
      <c r="AU44">
        <v>58121238</v>
      </c>
      <c r="AV44">
        <v>96869806</v>
      </c>
      <c r="AW44">
        <v>25.047999999999998</v>
      </c>
      <c r="AX44">
        <v>11.9651</v>
      </c>
      <c r="AY44">
        <v>5456.25</v>
      </c>
      <c r="AZ44">
        <v>4155.8100000000004</v>
      </c>
      <c r="BA44">
        <v>1760</v>
      </c>
      <c r="BB44">
        <v>285</v>
      </c>
      <c r="BC44" t="str">
        <f t="shared" si="0"/>
        <v>u=40% k=2x10^6</v>
      </c>
    </row>
    <row r="45" spans="1:55">
      <c r="A45" t="s">
        <v>222</v>
      </c>
      <c r="B45" t="s">
        <v>83</v>
      </c>
      <c r="C45">
        <v>72</v>
      </c>
      <c r="D45" t="s">
        <v>64</v>
      </c>
      <c r="E45" t="s">
        <v>60</v>
      </c>
      <c r="F45" t="s">
        <v>61</v>
      </c>
      <c r="G45">
        <v>30000</v>
      </c>
      <c r="H45">
        <v>20</v>
      </c>
      <c r="I45">
        <v>20</v>
      </c>
      <c r="J45">
        <v>0</v>
      </c>
      <c r="K45">
        <v>1</v>
      </c>
      <c r="L45">
        <v>20000000</v>
      </c>
      <c r="M45">
        <v>190</v>
      </c>
      <c r="N45">
        <v>190</v>
      </c>
      <c r="O45">
        <v>190</v>
      </c>
      <c r="P45">
        <v>0</v>
      </c>
      <c r="Q45" t="s">
        <v>62</v>
      </c>
      <c r="R45">
        <v>99965999362262</v>
      </c>
      <c r="S45">
        <v>9999099</v>
      </c>
      <c r="T45">
        <v>99965999362262</v>
      </c>
      <c r="U45">
        <v>9999099</v>
      </c>
      <c r="V45" t="s">
        <v>71</v>
      </c>
      <c r="W45">
        <v>7</v>
      </c>
      <c r="X45">
        <v>1740523</v>
      </c>
      <c r="Y45">
        <v>11680323</v>
      </c>
      <c r="Z45">
        <v>13420846</v>
      </c>
      <c r="AA45">
        <v>9999099</v>
      </c>
      <c r="AB45">
        <v>7.7108100000000004</v>
      </c>
      <c r="AC45">
        <v>0.85606400000000005</v>
      </c>
      <c r="AD45">
        <v>1.7450399999999999</v>
      </c>
      <c r="AE45">
        <v>4.0236499999999999</v>
      </c>
      <c r="AF45">
        <v>326130416</v>
      </c>
      <c r="AG45" t="s">
        <v>223</v>
      </c>
      <c r="AH45" t="s">
        <v>224</v>
      </c>
      <c r="AI45">
        <v>2936730</v>
      </c>
      <c r="AJ45">
        <v>22072</v>
      </c>
      <c r="AK45">
        <v>1163041549519</v>
      </c>
      <c r="AL45">
        <v>5686391547817</v>
      </c>
      <c r="AM45">
        <v>1738817242</v>
      </c>
      <c r="AN45">
        <v>0</v>
      </c>
      <c r="AO45">
        <v>1159154885</v>
      </c>
      <c r="AP45">
        <v>1738817242</v>
      </c>
      <c r="AQ45">
        <v>2897972127</v>
      </c>
      <c r="AR45">
        <v>57960574</v>
      </c>
      <c r="AS45">
        <v>0</v>
      </c>
      <c r="AT45">
        <v>38638496</v>
      </c>
      <c r="AU45">
        <v>57960574</v>
      </c>
      <c r="AV45">
        <v>96599070</v>
      </c>
      <c r="AW45">
        <v>28.6523</v>
      </c>
      <c r="AX45">
        <v>15.3081</v>
      </c>
      <c r="AY45">
        <v>5303.07</v>
      </c>
      <c r="AZ45">
        <v>3613.19</v>
      </c>
      <c r="BA45">
        <v>2939</v>
      </c>
      <c r="BB45">
        <v>389</v>
      </c>
      <c r="BC45" t="str">
        <f t="shared" si="0"/>
        <v>u=40% k=2x10^7</v>
      </c>
    </row>
    <row r="46" spans="1:55">
      <c r="A46" t="s">
        <v>225</v>
      </c>
      <c r="B46" t="s">
        <v>83</v>
      </c>
      <c r="C46">
        <v>72</v>
      </c>
      <c r="D46" t="s">
        <v>64</v>
      </c>
      <c r="E46" t="s">
        <v>60</v>
      </c>
      <c r="F46" t="s">
        <v>61</v>
      </c>
      <c r="G46">
        <v>30000</v>
      </c>
      <c r="H46">
        <v>20</v>
      </c>
      <c r="I46">
        <v>20</v>
      </c>
      <c r="J46">
        <v>0</v>
      </c>
      <c r="K46">
        <v>1</v>
      </c>
      <c r="L46">
        <v>200000000</v>
      </c>
      <c r="M46">
        <v>190</v>
      </c>
      <c r="N46">
        <v>190</v>
      </c>
      <c r="O46">
        <v>190</v>
      </c>
      <c r="P46">
        <v>0</v>
      </c>
      <c r="Q46" t="s">
        <v>62</v>
      </c>
      <c r="R46">
        <v>9999117107201600</v>
      </c>
      <c r="S46">
        <v>99998111</v>
      </c>
      <c r="T46">
        <v>9999117107201600</v>
      </c>
      <c r="U46">
        <v>99998111</v>
      </c>
      <c r="V46" t="s">
        <v>71</v>
      </c>
      <c r="W46">
        <v>7</v>
      </c>
      <c r="X46">
        <v>11010057</v>
      </c>
      <c r="Y46">
        <v>109998209</v>
      </c>
      <c r="Z46">
        <v>121008266</v>
      </c>
      <c r="AA46">
        <v>99998111</v>
      </c>
      <c r="AB46">
        <v>10.9907</v>
      </c>
      <c r="AC46">
        <v>0.90908900000000004</v>
      </c>
      <c r="AD46">
        <v>1.82637</v>
      </c>
      <c r="AE46">
        <v>4</v>
      </c>
      <c r="AF46">
        <v>2640775888</v>
      </c>
      <c r="AG46" t="s">
        <v>226</v>
      </c>
      <c r="AH46" t="s">
        <v>227</v>
      </c>
      <c r="AI46">
        <v>511842</v>
      </c>
      <c r="AJ46">
        <v>12746</v>
      </c>
      <c r="AK46">
        <v>1149576717482</v>
      </c>
      <c r="AL46">
        <v>5691766357277</v>
      </c>
      <c r="AM46">
        <v>1500079159</v>
      </c>
      <c r="AN46">
        <v>0</v>
      </c>
      <c r="AO46">
        <v>1000035576</v>
      </c>
      <c r="AP46">
        <v>1500079159</v>
      </c>
      <c r="AQ46">
        <v>2500114735</v>
      </c>
      <c r="AR46">
        <v>50002638</v>
      </c>
      <c r="AS46">
        <v>0</v>
      </c>
      <c r="AT46">
        <v>33334519</v>
      </c>
      <c r="AU46">
        <v>50002638</v>
      </c>
      <c r="AV46">
        <v>83337157</v>
      </c>
      <c r="AW46">
        <v>31.524000000000001</v>
      </c>
      <c r="AX46">
        <v>17.642199999999999</v>
      </c>
      <c r="AY46">
        <v>5693.86</v>
      </c>
      <c r="AZ46">
        <v>4205.45</v>
      </c>
      <c r="BA46">
        <v>14555</v>
      </c>
      <c r="BB46">
        <v>1084</v>
      </c>
      <c r="BC46" t="str">
        <f t="shared" si="0"/>
        <v>u=40% k=2x10^8</v>
      </c>
    </row>
    <row r="47" spans="1:55">
      <c r="A47" t="s">
        <v>228</v>
      </c>
      <c r="B47" t="s">
        <v>83</v>
      </c>
      <c r="C47">
        <v>72</v>
      </c>
      <c r="D47" t="s">
        <v>64</v>
      </c>
      <c r="E47" t="s">
        <v>60</v>
      </c>
      <c r="F47" t="s">
        <v>61</v>
      </c>
      <c r="G47">
        <v>30000</v>
      </c>
      <c r="H47">
        <v>0.5</v>
      </c>
      <c r="I47">
        <v>0.5</v>
      </c>
      <c r="J47">
        <v>0</v>
      </c>
      <c r="K47">
        <v>1</v>
      </c>
      <c r="L47">
        <v>2000000</v>
      </c>
      <c r="M47">
        <v>190</v>
      </c>
      <c r="N47">
        <v>190</v>
      </c>
      <c r="O47">
        <v>190</v>
      </c>
      <c r="P47">
        <v>0</v>
      </c>
      <c r="Q47" t="s">
        <v>62</v>
      </c>
      <c r="R47">
        <v>1000740504838</v>
      </c>
      <c r="S47">
        <v>1000668</v>
      </c>
      <c r="T47">
        <v>1000740504838</v>
      </c>
      <c r="U47">
        <v>1000668</v>
      </c>
      <c r="V47" t="s">
        <v>71</v>
      </c>
      <c r="W47">
        <v>6</v>
      </c>
      <c r="X47">
        <v>54399</v>
      </c>
      <c r="Y47">
        <v>1075916</v>
      </c>
      <c r="Z47">
        <v>1130315</v>
      </c>
      <c r="AA47">
        <v>1000668</v>
      </c>
      <c r="AB47">
        <v>20.778199999999998</v>
      </c>
      <c r="AC47">
        <v>0.93006100000000003</v>
      </c>
      <c r="AD47">
        <v>1.8853</v>
      </c>
      <c r="AE47">
        <v>3.04461</v>
      </c>
      <c r="AF47">
        <v>21587616</v>
      </c>
      <c r="AG47" t="s">
        <v>229</v>
      </c>
      <c r="AH47" t="s">
        <v>230</v>
      </c>
      <c r="AI47">
        <v>325746</v>
      </c>
      <c r="AJ47">
        <v>90310</v>
      </c>
      <c r="AK47">
        <v>119214303308</v>
      </c>
      <c r="AL47">
        <v>5686385683077</v>
      </c>
      <c r="AM47">
        <v>12989833809</v>
      </c>
      <c r="AN47">
        <v>0</v>
      </c>
      <c r="AO47">
        <v>131200753</v>
      </c>
      <c r="AP47">
        <v>12989833809</v>
      </c>
      <c r="AQ47">
        <v>13121034562</v>
      </c>
      <c r="AR47">
        <v>432994460</v>
      </c>
      <c r="AS47">
        <v>0</v>
      </c>
      <c r="AT47">
        <v>4373358</v>
      </c>
      <c r="AU47">
        <v>432994460</v>
      </c>
      <c r="AV47">
        <v>437367818</v>
      </c>
      <c r="AW47">
        <v>8.6305999999999994</v>
      </c>
      <c r="AX47">
        <v>0.41659200000000002</v>
      </c>
      <c r="AY47">
        <v>1189.6099999999999</v>
      </c>
      <c r="AZ47">
        <v>455.83699999999999</v>
      </c>
      <c r="BA47">
        <v>1423</v>
      </c>
      <c r="BB47">
        <v>336</v>
      </c>
      <c r="BC47" t="str">
        <f t="shared" si="0"/>
        <v>u=1% k=2x10^6</v>
      </c>
    </row>
    <row r="48" spans="1:55">
      <c r="A48" t="s">
        <v>231</v>
      </c>
      <c r="B48" t="s">
        <v>83</v>
      </c>
      <c r="C48">
        <v>72</v>
      </c>
      <c r="D48" t="s">
        <v>64</v>
      </c>
      <c r="E48" t="s">
        <v>60</v>
      </c>
      <c r="F48" t="s">
        <v>61</v>
      </c>
      <c r="G48">
        <v>30000</v>
      </c>
      <c r="H48">
        <v>0.5</v>
      </c>
      <c r="I48">
        <v>0.5</v>
      </c>
      <c r="J48">
        <v>0</v>
      </c>
      <c r="K48">
        <v>1</v>
      </c>
      <c r="L48">
        <v>20000000</v>
      </c>
      <c r="M48">
        <v>190</v>
      </c>
      <c r="N48">
        <v>190</v>
      </c>
      <c r="O48">
        <v>190</v>
      </c>
      <c r="P48">
        <v>0</v>
      </c>
      <c r="Q48" t="s">
        <v>62</v>
      </c>
      <c r="R48">
        <v>99963747857539</v>
      </c>
      <c r="S48">
        <v>9998145</v>
      </c>
      <c r="T48">
        <v>99963747857539</v>
      </c>
      <c r="U48">
        <v>9998145</v>
      </c>
      <c r="V48" t="s">
        <v>71</v>
      </c>
      <c r="W48">
        <v>7</v>
      </c>
      <c r="X48">
        <v>1630618</v>
      </c>
      <c r="Y48">
        <v>11450673</v>
      </c>
      <c r="Z48">
        <v>13081291</v>
      </c>
      <c r="AA48">
        <v>9998145</v>
      </c>
      <c r="AB48">
        <v>8.0222899999999999</v>
      </c>
      <c r="AC48">
        <v>0.87314899999999995</v>
      </c>
      <c r="AD48">
        <v>1.76431</v>
      </c>
      <c r="AE48">
        <v>4.0010700000000003</v>
      </c>
      <c r="AF48">
        <v>313660192</v>
      </c>
      <c r="AG48" t="s">
        <v>232</v>
      </c>
      <c r="AH48" t="s">
        <v>233</v>
      </c>
      <c r="AI48">
        <v>37111</v>
      </c>
      <c r="AJ48">
        <v>46280</v>
      </c>
      <c r="AK48">
        <v>94236299192</v>
      </c>
      <c r="AL48">
        <v>5686385851981</v>
      </c>
      <c r="AM48">
        <v>7424133863</v>
      </c>
      <c r="AN48">
        <v>0</v>
      </c>
      <c r="AO48">
        <v>74995752</v>
      </c>
      <c r="AP48">
        <v>7424133863</v>
      </c>
      <c r="AQ48">
        <v>7499129615</v>
      </c>
      <c r="AR48">
        <v>247471128</v>
      </c>
      <c r="AS48">
        <v>0</v>
      </c>
      <c r="AT48">
        <v>2499858</v>
      </c>
      <c r="AU48">
        <v>247471128</v>
      </c>
      <c r="AV48">
        <v>249970987</v>
      </c>
      <c r="AW48">
        <v>16.444199999999999</v>
      </c>
      <c r="AX48">
        <v>6.6548299999999996</v>
      </c>
      <c r="AY48">
        <v>2087.0500000000002</v>
      </c>
      <c r="AZ48">
        <v>1311</v>
      </c>
      <c r="BA48">
        <v>2772</v>
      </c>
      <c r="BB48">
        <v>386</v>
      </c>
      <c r="BC48" t="str">
        <f t="shared" si="0"/>
        <v>u=1% k=2x10^7</v>
      </c>
    </row>
    <row r="49" spans="1:55">
      <c r="A49" t="s">
        <v>234</v>
      </c>
      <c r="B49" t="s">
        <v>83</v>
      </c>
      <c r="C49">
        <v>72</v>
      </c>
      <c r="D49" t="s">
        <v>64</v>
      </c>
      <c r="E49" t="s">
        <v>60</v>
      </c>
      <c r="F49" t="s">
        <v>61</v>
      </c>
      <c r="G49">
        <v>30000</v>
      </c>
      <c r="H49">
        <v>0.5</v>
      </c>
      <c r="I49">
        <v>0.5</v>
      </c>
      <c r="J49">
        <v>0</v>
      </c>
      <c r="K49">
        <v>1</v>
      </c>
      <c r="L49">
        <v>200000000</v>
      </c>
      <c r="M49">
        <v>190</v>
      </c>
      <c r="N49">
        <v>190</v>
      </c>
      <c r="O49">
        <v>190</v>
      </c>
      <c r="P49">
        <v>0</v>
      </c>
      <c r="Q49" t="s">
        <v>62</v>
      </c>
      <c r="R49">
        <v>1.00009082106271E+16</v>
      </c>
      <c r="S49">
        <v>100007960</v>
      </c>
      <c r="T49">
        <v>1.00009082106271E+16</v>
      </c>
      <c r="U49">
        <v>100007960</v>
      </c>
      <c r="V49" t="s">
        <v>71</v>
      </c>
      <c r="W49">
        <v>7</v>
      </c>
      <c r="X49">
        <v>12603506</v>
      </c>
      <c r="Y49">
        <v>113229658</v>
      </c>
      <c r="Z49">
        <v>125833164</v>
      </c>
      <c r="AA49">
        <v>100007960</v>
      </c>
      <c r="AB49">
        <v>9.9839800000000007</v>
      </c>
      <c r="AC49">
        <v>0.88323099999999999</v>
      </c>
      <c r="AD49">
        <v>1.79477</v>
      </c>
      <c r="AE49">
        <v>4.03247</v>
      </c>
      <c r="AF49">
        <v>2820638976</v>
      </c>
      <c r="AG49" t="s">
        <v>235</v>
      </c>
      <c r="AH49" t="s">
        <v>236</v>
      </c>
      <c r="AI49">
        <v>3749</v>
      </c>
      <c r="AJ49">
        <v>33200</v>
      </c>
      <c r="AK49">
        <v>119272461114</v>
      </c>
      <c r="AL49">
        <v>5686486152436</v>
      </c>
      <c r="AM49">
        <v>5645684201</v>
      </c>
      <c r="AN49">
        <v>0</v>
      </c>
      <c r="AO49">
        <v>57025381</v>
      </c>
      <c r="AP49">
        <v>5645684201</v>
      </c>
      <c r="AQ49">
        <v>5702709582</v>
      </c>
      <c r="AR49">
        <v>188189473</v>
      </c>
      <c r="AS49">
        <v>0</v>
      </c>
      <c r="AT49">
        <v>1900846</v>
      </c>
      <c r="AU49">
        <v>188189473</v>
      </c>
      <c r="AV49">
        <v>190090319</v>
      </c>
      <c r="AW49">
        <v>19.463699999999999</v>
      </c>
      <c r="AX49">
        <v>9.5683399999999992</v>
      </c>
      <c r="AY49">
        <v>2724.24</v>
      </c>
      <c r="AZ49">
        <v>1973.84</v>
      </c>
      <c r="BA49">
        <v>13395</v>
      </c>
      <c r="BB49">
        <v>1304</v>
      </c>
      <c r="BC49" t="str">
        <f t="shared" si="0"/>
        <v>u=1% k=2x10^8</v>
      </c>
    </row>
    <row r="50" spans="1:55">
      <c r="A50" t="s">
        <v>237</v>
      </c>
      <c r="B50" t="s">
        <v>83</v>
      </c>
      <c r="C50">
        <v>72</v>
      </c>
      <c r="D50" t="s">
        <v>64</v>
      </c>
      <c r="E50" t="s">
        <v>60</v>
      </c>
      <c r="F50" t="s">
        <v>61</v>
      </c>
      <c r="G50">
        <v>30000</v>
      </c>
      <c r="H50">
        <v>5</v>
      </c>
      <c r="I50">
        <v>5</v>
      </c>
      <c r="J50">
        <v>0</v>
      </c>
      <c r="K50">
        <v>1</v>
      </c>
      <c r="L50">
        <v>2000000</v>
      </c>
      <c r="M50">
        <v>190</v>
      </c>
      <c r="N50">
        <v>190</v>
      </c>
      <c r="O50">
        <v>190</v>
      </c>
      <c r="P50">
        <v>0</v>
      </c>
      <c r="Q50" t="s">
        <v>62</v>
      </c>
      <c r="R50">
        <v>1000477779530</v>
      </c>
      <c r="S50">
        <v>1000212</v>
      </c>
      <c r="T50">
        <v>1000477779530</v>
      </c>
      <c r="U50">
        <v>1000212</v>
      </c>
      <c r="V50" t="s">
        <v>71</v>
      </c>
      <c r="W50">
        <v>6</v>
      </c>
      <c r="X50">
        <v>54828</v>
      </c>
      <c r="Y50">
        <v>1076611</v>
      </c>
      <c r="Z50">
        <v>1131439</v>
      </c>
      <c r="AA50">
        <v>1000212</v>
      </c>
      <c r="AB50">
        <v>20.636199999999999</v>
      </c>
      <c r="AC50">
        <v>0.92903800000000003</v>
      </c>
      <c r="AD50">
        <v>1.88402</v>
      </c>
      <c r="AE50">
        <v>3.0456300000000001</v>
      </c>
      <c r="AF50">
        <v>21634208</v>
      </c>
      <c r="AG50" t="s">
        <v>238</v>
      </c>
      <c r="AH50" t="s">
        <v>239</v>
      </c>
      <c r="AI50">
        <v>8114057</v>
      </c>
      <c r="AJ50">
        <v>50298</v>
      </c>
      <c r="AK50">
        <v>883426178223</v>
      </c>
      <c r="AL50">
        <v>5686387139175</v>
      </c>
      <c r="AM50">
        <v>6624070750</v>
      </c>
      <c r="AN50">
        <v>0</v>
      </c>
      <c r="AO50">
        <v>735982544</v>
      </c>
      <c r="AP50">
        <v>6624070750</v>
      </c>
      <c r="AQ50">
        <v>7360053294</v>
      </c>
      <c r="AR50">
        <v>220802358</v>
      </c>
      <c r="AS50">
        <v>0</v>
      </c>
      <c r="AT50">
        <v>24532751</v>
      </c>
      <c r="AU50">
        <v>220802358</v>
      </c>
      <c r="AV50">
        <v>245335109</v>
      </c>
      <c r="AW50">
        <v>12.325900000000001</v>
      </c>
      <c r="AX50">
        <v>3.1598899999999999</v>
      </c>
      <c r="AY50">
        <v>2145.13</v>
      </c>
      <c r="AZ50">
        <v>1312.43</v>
      </c>
      <c r="BA50">
        <v>1604</v>
      </c>
      <c r="BB50">
        <v>318</v>
      </c>
      <c r="BC50" t="str">
        <f t="shared" si="0"/>
        <v>u=10% k=2x10^6</v>
      </c>
    </row>
    <row r="51" spans="1:55">
      <c r="A51" t="s">
        <v>240</v>
      </c>
      <c r="B51" t="s">
        <v>83</v>
      </c>
      <c r="C51">
        <v>72</v>
      </c>
      <c r="D51" t="s">
        <v>64</v>
      </c>
      <c r="E51" t="s">
        <v>60</v>
      </c>
      <c r="F51" t="s">
        <v>61</v>
      </c>
      <c r="G51">
        <v>30000</v>
      </c>
      <c r="H51">
        <v>5</v>
      </c>
      <c r="I51">
        <v>5</v>
      </c>
      <c r="J51">
        <v>0</v>
      </c>
      <c r="K51">
        <v>1</v>
      </c>
      <c r="L51">
        <v>20000000</v>
      </c>
      <c r="M51">
        <v>190</v>
      </c>
      <c r="N51">
        <v>190</v>
      </c>
      <c r="O51">
        <v>190</v>
      </c>
      <c r="P51">
        <v>0</v>
      </c>
      <c r="Q51" t="s">
        <v>62</v>
      </c>
      <c r="R51">
        <v>100034956728560</v>
      </c>
      <c r="S51">
        <v>9999890</v>
      </c>
      <c r="T51">
        <v>100034956728560</v>
      </c>
      <c r="U51">
        <v>9999890</v>
      </c>
      <c r="V51" t="s">
        <v>71</v>
      </c>
      <c r="W51">
        <v>7</v>
      </c>
      <c r="X51">
        <v>1667801</v>
      </c>
      <c r="Y51">
        <v>11526358</v>
      </c>
      <c r="Z51">
        <v>13194159</v>
      </c>
      <c r="AA51">
        <v>9999890</v>
      </c>
      <c r="AB51">
        <v>7.9111099999999999</v>
      </c>
      <c r="AC51">
        <v>0.86756699999999998</v>
      </c>
      <c r="AD51">
        <v>1.7579</v>
      </c>
      <c r="AE51">
        <v>4.0084</v>
      </c>
      <c r="AF51">
        <v>317845824</v>
      </c>
      <c r="AG51" t="s">
        <v>241</v>
      </c>
      <c r="AH51" t="s">
        <v>242</v>
      </c>
      <c r="AI51">
        <v>842509</v>
      </c>
      <c r="AJ51">
        <v>36054</v>
      </c>
      <c r="AK51">
        <v>553596164007</v>
      </c>
      <c r="AL51">
        <v>5686394743093</v>
      </c>
      <c r="AM51">
        <v>4951674052</v>
      </c>
      <c r="AN51">
        <v>0</v>
      </c>
      <c r="AO51">
        <v>550150492</v>
      </c>
      <c r="AP51">
        <v>4951674052</v>
      </c>
      <c r="AQ51">
        <v>5501824544</v>
      </c>
      <c r="AR51">
        <v>165055801</v>
      </c>
      <c r="AS51">
        <v>0</v>
      </c>
      <c r="AT51">
        <v>18338349</v>
      </c>
      <c r="AU51">
        <v>165055801</v>
      </c>
      <c r="AV51">
        <v>183394151</v>
      </c>
      <c r="AW51">
        <v>19.258800000000001</v>
      </c>
      <c r="AX51">
        <v>8.5664300000000004</v>
      </c>
      <c r="AY51">
        <v>2824.87</v>
      </c>
      <c r="AZ51">
        <v>1892.99</v>
      </c>
      <c r="BA51">
        <v>2869</v>
      </c>
      <c r="BB51">
        <v>377</v>
      </c>
      <c r="BC51" t="str">
        <f t="shared" si="0"/>
        <v>u=10% k=2x10^7</v>
      </c>
    </row>
    <row r="52" spans="1:55">
      <c r="A52" t="s">
        <v>243</v>
      </c>
      <c r="B52" t="s">
        <v>83</v>
      </c>
      <c r="C52">
        <v>72</v>
      </c>
      <c r="D52" t="s">
        <v>64</v>
      </c>
      <c r="E52" t="s">
        <v>60</v>
      </c>
      <c r="F52" t="s">
        <v>61</v>
      </c>
      <c r="G52">
        <v>30000</v>
      </c>
      <c r="H52">
        <v>5</v>
      </c>
      <c r="I52">
        <v>5</v>
      </c>
      <c r="J52">
        <v>0</v>
      </c>
      <c r="K52">
        <v>1</v>
      </c>
      <c r="L52">
        <v>200000000</v>
      </c>
      <c r="M52">
        <v>190</v>
      </c>
      <c r="N52">
        <v>190</v>
      </c>
      <c r="O52">
        <v>190</v>
      </c>
      <c r="P52">
        <v>0</v>
      </c>
      <c r="Q52" t="s">
        <v>62</v>
      </c>
      <c r="R52">
        <v>9999952722299260</v>
      </c>
      <c r="S52">
        <v>100002210</v>
      </c>
      <c r="T52">
        <v>9999952722299260</v>
      </c>
      <c r="U52">
        <v>100002210</v>
      </c>
      <c r="V52" t="s">
        <v>71</v>
      </c>
      <c r="W52">
        <v>7</v>
      </c>
      <c r="X52">
        <v>14848072</v>
      </c>
      <c r="Y52">
        <v>118030597</v>
      </c>
      <c r="Z52">
        <v>132878669</v>
      </c>
      <c r="AA52">
        <v>100002210</v>
      </c>
      <c r="AB52">
        <v>8.9492200000000004</v>
      </c>
      <c r="AC52">
        <v>0.84725700000000004</v>
      </c>
      <c r="AD52">
        <v>1.75258</v>
      </c>
      <c r="AE52">
        <v>4.08012</v>
      </c>
      <c r="AF52">
        <v>3080232272</v>
      </c>
      <c r="AG52" t="s">
        <v>244</v>
      </c>
      <c r="AH52" t="s">
        <v>245</v>
      </c>
      <c r="AI52">
        <v>130567</v>
      </c>
      <c r="AJ52">
        <v>18908</v>
      </c>
      <c r="AK52">
        <v>571365258728</v>
      </c>
      <c r="AL52">
        <v>5686625492356</v>
      </c>
      <c r="AM52">
        <v>3846715741</v>
      </c>
      <c r="AN52">
        <v>0</v>
      </c>
      <c r="AO52">
        <v>427412769</v>
      </c>
      <c r="AP52">
        <v>3846715741</v>
      </c>
      <c r="AQ52">
        <v>4274128510</v>
      </c>
      <c r="AR52">
        <v>128223858</v>
      </c>
      <c r="AS52">
        <v>0</v>
      </c>
      <c r="AT52">
        <v>14247092</v>
      </c>
      <c r="AU52">
        <v>128223858</v>
      </c>
      <c r="AV52">
        <v>142470950</v>
      </c>
      <c r="AW52">
        <v>22.197700000000001</v>
      </c>
      <c r="AX52">
        <v>11.276999999999999</v>
      </c>
      <c r="AY52">
        <v>3435.14</v>
      </c>
      <c r="AZ52">
        <v>2554.5700000000002</v>
      </c>
      <c r="BA52">
        <v>14294</v>
      </c>
      <c r="BB52">
        <v>1135</v>
      </c>
      <c r="BC52" t="str">
        <f t="shared" si="0"/>
        <v>u=10% k=2x10^8</v>
      </c>
    </row>
    <row r="53" spans="1:55">
      <c r="A53" t="s">
        <v>246</v>
      </c>
      <c r="B53" t="s">
        <v>83</v>
      </c>
      <c r="C53">
        <v>72</v>
      </c>
      <c r="D53" t="s">
        <v>64</v>
      </c>
      <c r="E53" t="s">
        <v>60</v>
      </c>
      <c r="F53" t="s">
        <v>61</v>
      </c>
      <c r="G53">
        <v>30000</v>
      </c>
      <c r="H53">
        <v>20</v>
      </c>
      <c r="I53">
        <v>20</v>
      </c>
      <c r="J53">
        <v>0</v>
      </c>
      <c r="K53">
        <v>1</v>
      </c>
      <c r="L53">
        <v>2000000</v>
      </c>
      <c r="M53">
        <v>190</v>
      </c>
      <c r="N53">
        <v>190</v>
      </c>
      <c r="O53">
        <v>190</v>
      </c>
      <c r="P53">
        <v>0</v>
      </c>
      <c r="Q53" t="s">
        <v>62</v>
      </c>
      <c r="R53">
        <v>999243420713</v>
      </c>
      <c r="S53">
        <v>999481</v>
      </c>
      <c r="T53">
        <v>999243420713</v>
      </c>
      <c r="U53">
        <v>999481</v>
      </c>
      <c r="V53" t="s">
        <v>71</v>
      </c>
      <c r="W53">
        <v>6</v>
      </c>
      <c r="X53">
        <v>33038</v>
      </c>
      <c r="Y53">
        <v>1031560</v>
      </c>
      <c r="Z53">
        <v>1064598</v>
      </c>
      <c r="AA53">
        <v>999481</v>
      </c>
      <c r="AB53">
        <v>32.223399999999998</v>
      </c>
      <c r="AC53">
        <v>0.96890200000000004</v>
      </c>
      <c r="AD53">
        <v>1.9388300000000001</v>
      </c>
      <c r="AE53">
        <v>3.00007</v>
      </c>
      <c r="AF53">
        <v>19147984</v>
      </c>
      <c r="AG53" t="s">
        <v>247</v>
      </c>
      <c r="AH53" t="s">
        <v>248</v>
      </c>
      <c r="AI53">
        <v>24612394</v>
      </c>
      <c r="AJ53">
        <v>20900</v>
      </c>
      <c r="AK53">
        <v>1780253300816</v>
      </c>
      <c r="AL53">
        <v>5686464269462</v>
      </c>
      <c r="AM53">
        <v>1737614066</v>
      </c>
      <c r="AN53">
        <v>0</v>
      </c>
      <c r="AO53">
        <v>1158350829</v>
      </c>
      <c r="AP53">
        <v>1737614066</v>
      </c>
      <c r="AQ53">
        <v>2895964895</v>
      </c>
      <c r="AR53">
        <v>57920468</v>
      </c>
      <c r="AS53">
        <v>0</v>
      </c>
      <c r="AT53">
        <v>38611694</v>
      </c>
      <c r="AU53">
        <v>57920468</v>
      </c>
      <c r="AV53">
        <v>96532163</v>
      </c>
      <c r="AW53">
        <v>25.0046</v>
      </c>
      <c r="AX53">
        <v>11.946899999999999</v>
      </c>
      <c r="AY53">
        <v>5475.82</v>
      </c>
      <c r="AZ53">
        <v>4172.76</v>
      </c>
      <c r="BA53">
        <v>1755</v>
      </c>
      <c r="BB53">
        <v>273</v>
      </c>
      <c r="BC53" t="str">
        <f t="shared" si="0"/>
        <v>u=40% k=2x10^6</v>
      </c>
    </row>
    <row r="54" spans="1:55">
      <c r="A54" t="s">
        <v>249</v>
      </c>
      <c r="B54" t="s">
        <v>83</v>
      </c>
      <c r="C54">
        <v>72</v>
      </c>
      <c r="D54" t="s">
        <v>64</v>
      </c>
      <c r="E54" t="s">
        <v>60</v>
      </c>
      <c r="F54" t="s">
        <v>61</v>
      </c>
      <c r="G54">
        <v>30000</v>
      </c>
      <c r="H54">
        <v>20</v>
      </c>
      <c r="I54">
        <v>20</v>
      </c>
      <c r="J54">
        <v>0</v>
      </c>
      <c r="K54">
        <v>1</v>
      </c>
      <c r="L54">
        <v>20000000</v>
      </c>
      <c r="M54">
        <v>190</v>
      </c>
      <c r="N54">
        <v>190</v>
      </c>
      <c r="O54">
        <v>190</v>
      </c>
      <c r="P54">
        <v>0</v>
      </c>
      <c r="Q54" t="s">
        <v>62</v>
      </c>
      <c r="R54">
        <v>99996575711068</v>
      </c>
      <c r="S54">
        <v>9998903</v>
      </c>
      <c r="T54">
        <v>99996575711068</v>
      </c>
      <c r="U54">
        <v>9998903</v>
      </c>
      <c r="V54" t="s">
        <v>71</v>
      </c>
      <c r="W54">
        <v>7</v>
      </c>
      <c r="X54">
        <v>1901169</v>
      </c>
      <c r="Y54">
        <v>12022494</v>
      </c>
      <c r="Z54">
        <v>13923663</v>
      </c>
      <c r="AA54">
        <v>9998903</v>
      </c>
      <c r="AB54">
        <v>7.3237399999999999</v>
      </c>
      <c r="AC54">
        <v>0.83168299999999995</v>
      </c>
      <c r="AD54">
        <v>1.7181200000000001</v>
      </c>
      <c r="AE54">
        <v>4.0550899999999999</v>
      </c>
      <c r="AF54">
        <v>344486800</v>
      </c>
      <c r="AG54" t="s">
        <v>250</v>
      </c>
      <c r="AH54" t="s">
        <v>251</v>
      </c>
      <c r="AI54">
        <v>2950747</v>
      </c>
      <c r="AJ54">
        <v>22166</v>
      </c>
      <c r="AK54">
        <v>1163288767806</v>
      </c>
      <c r="AL54">
        <v>5686388808307</v>
      </c>
      <c r="AM54">
        <v>1744296238</v>
      </c>
      <c r="AN54">
        <v>0</v>
      </c>
      <c r="AO54">
        <v>1162796092</v>
      </c>
      <c r="AP54">
        <v>1744296238</v>
      </c>
      <c r="AQ54">
        <v>2907092330</v>
      </c>
      <c r="AR54">
        <v>58143207</v>
      </c>
      <c r="AS54">
        <v>0</v>
      </c>
      <c r="AT54">
        <v>38759869</v>
      </c>
      <c r="AU54">
        <v>58143207</v>
      </c>
      <c r="AV54">
        <v>96903077</v>
      </c>
      <c r="AW54">
        <v>28.598800000000001</v>
      </c>
      <c r="AX54">
        <v>15.298500000000001</v>
      </c>
      <c r="AY54">
        <v>5288.11</v>
      </c>
      <c r="AZ54">
        <v>3605.81</v>
      </c>
      <c r="BA54">
        <v>2940</v>
      </c>
      <c r="BB54">
        <v>396</v>
      </c>
      <c r="BC54" t="str">
        <f t="shared" si="0"/>
        <v>u=40% k=2x10^7</v>
      </c>
    </row>
    <row r="55" spans="1:55">
      <c r="A55" t="s">
        <v>252</v>
      </c>
      <c r="B55" t="s">
        <v>83</v>
      </c>
      <c r="C55">
        <v>72</v>
      </c>
      <c r="D55" t="s">
        <v>64</v>
      </c>
      <c r="E55" t="s">
        <v>60</v>
      </c>
      <c r="F55" t="s">
        <v>61</v>
      </c>
      <c r="G55">
        <v>30000</v>
      </c>
      <c r="H55">
        <v>20</v>
      </c>
      <c r="I55">
        <v>20</v>
      </c>
      <c r="J55">
        <v>0</v>
      </c>
      <c r="K55">
        <v>1</v>
      </c>
      <c r="L55">
        <v>200000000</v>
      </c>
      <c r="M55">
        <v>190</v>
      </c>
      <c r="N55">
        <v>190</v>
      </c>
      <c r="O55">
        <v>190</v>
      </c>
      <c r="P55">
        <v>0</v>
      </c>
      <c r="Q55" t="s">
        <v>62</v>
      </c>
      <c r="R55">
        <v>1.00003112276118E+16</v>
      </c>
      <c r="S55">
        <v>100004442</v>
      </c>
      <c r="T55">
        <v>1.00003112276118E+16</v>
      </c>
      <c r="U55">
        <v>100004442</v>
      </c>
      <c r="V55" t="s">
        <v>71</v>
      </c>
      <c r="W55">
        <v>7</v>
      </c>
      <c r="X55">
        <v>11011156</v>
      </c>
      <c r="Y55">
        <v>110005537</v>
      </c>
      <c r="Z55">
        <v>121016693</v>
      </c>
      <c r="AA55">
        <v>100004442</v>
      </c>
      <c r="AB55">
        <v>10.990399999999999</v>
      </c>
      <c r="AC55">
        <v>0.90908599999999995</v>
      </c>
      <c r="AD55">
        <v>1.82637</v>
      </c>
      <c r="AE55">
        <v>4</v>
      </c>
      <c r="AF55">
        <v>2640981056</v>
      </c>
      <c r="AG55" t="s">
        <v>253</v>
      </c>
      <c r="AH55" t="s">
        <v>254</v>
      </c>
      <c r="AI55">
        <v>518665</v>
      </c>
      <c r="AJ55">
        <v>12534</v>
      </c>
      <c r="AK55">
        <v>1156496021771</v>
      </c>
      <c r="AL55">
        <v>5702878497352</v>
      </c>
      <c r="AM55">
        <v>1499782310</v>
      </c>
      <c r="AN55">
        <v>0</v>
      </c>
      <c r="AO55">
        <v>999950578</v>
      </c>
      <c r="AP55">
        <v>1499782310</v>
      </c>
      <c r="AQ55">
        <v>2499732888</v>
      </c>
      <c r="AR55">
        <v>49992743</v>
      </c>
      <c r="AS55">
        <v>0</v>
      </c>
      <c r="AT55">
        <v>33331685</v>
      </c>
      <c r="AU55">
        <v>49992743</v>
      </c>
      <c r="AV55">
        <v>83324429</v>
      </c>
      <c r="AW55">
        <v>31.538799999999998</v>
      </c>
      <c r="AX55">
        <v>17.654599999999999</v>
      </c>
      <c r="AY55">
        <v>5691.4</v>
      </c>
      <c r="AZ55">
        <v>4211.63</v>
      </c>
      <c r="BA55">
        <v>14480</v>
      </c>
      <c r="BB55">
        <v>1161</v>
      </c>
      <c r="BC55" t="str">
        <f t="shared" si="0"/>
        <v>u=40% k=2x10^8</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9"/>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c r="AA2" t="s">
        <v>66</v>
      </c>
    </row>
    <row r="3" spans="1:27">
      <c r="Z3" s="2"/>
    </row>
    <row r="4" spans="1:27">
      <c r="A4" s="6" t="s">
        <v>63</v>
      </c>
      <c r="B4" s="6" t="s">
        <v>18</v>
      </c>
      <c r="Z4" s="2"/>
    </row>
    <row r="5" spans="1:27">
      <c r="A5" s="6" t="s">
        <v>19</v>
      </c>
      <c r="B5" t="s">
        <v>82</v>
      </c>
      <c r="C5" t="s">
        <v>83</v>
      </c>
      <c r="Z5" s="2"/>
    </row>
    <row r="6" spans="1:27">
      <c r="A6" s="7" t="s">
        <v>86</v>
      </c>
      <c r="B6" s="8">
        <v>12500643.666666666</v>
      </c>
      <c r="C6" s="8">
        <v>83328978</v>
      </c>
      <c r="N6" s="2"/>
    </row>
    <row r="7" spans="1:27">
      <c r="A7" s="7" t="s">
        <v>87</v>
      </c>
      <c r="B7" s="8">
        <v>8446324</v>
      </c>
      <c r="C7" s="8">
        <v>96814394.333333328</v>
      </c>
    </row>
    <row r="8" spans="1:27">
      <c r="A8" s="7" t="s">
        <v>88</v>
      </c>
      <c r="B8" s="8">
        <v>12320552</v>
      </c>
      <c r="C8" s="8">
        <v>96679057.333333328</v>
      </c>
      <c r="N8" s="2"/>
    </row>
    <row r="9" spans="1:27">
      <c r="A9" s="7" t="s">
        <v>89</v>
      </c>
      <c r="B9" s="8">
        <v>49998544.5</v>
      </c>
      <c r="C9" s="8">
        <v>142574716</v>
      </c>
    </row>
    <row r="10" spans="1:27">
      <c r="A10" s="7" t="s">
        <v>90</v>
      </c>
      <c r="B10" s="8">
        <v>29997319.666666668</v>
      </c>
      <c r="C10" s="8">
        <v>183134983.33333334</v>
      </c>
    </row>
    <row r="11" spans="1:27">
      <c r="A11" s="7" t="s">
        <v>91</v>
      </c>
      <c r="B11" s="8">
        <v>47995176.333333336</v>
      </c>
      <c r="C11" s="8">
        <v>244615267</v>
      </c>
    </row>
    <row r="12" spans="1:27">
      <c r="A12" s="7" t="s">
        <v>92</v>
      </c>
      <c r="B12" s="8">
        <v>166637791.33333334</v>
      </c>
      <c r="C12" s="8">
        <v>189757715.33333334</v>
      </c>
    </row>
    <row r="13" spans="1:27">
      <c r="A13" s="7" t="s">
        <v>93</v>
      </c>
      <c r="B13" s="8">
        <v>154259533.66666666</v>
      </c>
      <c r="C13" s="8">
        <v>250934361.66666666</v>
      </c>
      <c r="O13" s="3"/>
    </row>
    <row r="14" spans="1:27">
      <c r="A14" s="7" t="s">
        <v>94</v>
      </c>
      <c r="B14" s="8">
        <v>255901581.33333334</v>
      </c>
      <c r="C14" s="8">
        <v>435616122.66666669</v>
      </c>
      <c r="Z14" s="2"/>
    </row>
    <row r="20" spans="1:6">
      <c r="B20" t="s">
        <v>84</v>
      </c>
      <c r="C20" t="s">
        <v>85</v>
      </c>
    </row>
    <row r="21" spans="1:6">
      <c r="A21" t="str">
        <f>A6</f>
        <v>u=40% k=2x10^8</v>
      </c>
      <c r="B21" s="8">
        <f t="shared" ref="B21:C21" si="0">B6</f>
        <v>12500643.666666666</v>
      </c>
      <c r="C21" s="8">
        <f t="shared" si="0"/>
        <v>83328978</v>
      </c>
      <c r="D21" s="8"/>
      <c r="E21" s="8"/>
      <c r="F21" s="8"/>
    </row>
    <row r="22" spans="1:6">
      <c r="A22" t="str">
        <f t="shared" ref="A22:C25" si="1">A7</f>
        <v>u=40% k=2x10^7</v>
      </c>
      <c r="B22" s="8">
        <f t="shared" ref="B22:C22" si="2">B7</f>
        <v>8446324</v>
      </c>
      <c r="C22" s="8">
        <f t="shared" si="2"/>
        <v>96814394.333333328</v>
      </c>
      <c r="D22" s="8"/>
      <c r="E22" s="8"/>
      <c r="F22" s="8"/>
    </row>
    <row r="23" spans="1:6">
      <c r="A23" t="str">
        <f t="shared" si="1"/>
        <v>u=40% k=2x10^6</v>
      </c>
      <c r="B23" s="8">
        <f t="shared" ref="B23:C23" si="3">B8</f>
        <v>12320552</v>
      </c>
      <c r="C23" s="8">
        <f t="shared" si="3"/>
        <v>96679057.333333328</v>
      </c>
      <c r="D23" s="8"/>
      <c r="E23" s="8"/>
      <c r="F23" s="8"/>
    </row>
    <row r="24" spans="1:6">
      <c r="A24" t="str">
        <f t="shared" si="1"/>
        <v>u=10% k=2x10^8</v>
      </c>
      <c r="B24" s="8">
        <f t="shared" si="1"/>
        <v>49998544.5</v>
      </c>
      <c r="C24" s="8">
        <f t="shared" si="1"/>
        <v>142574716</v>
      </c>
      <c r="D24" s="8"/>
      <c r="E24" s="8"/>
      <c r="F24" s="8"/>
    </row>
    <row r="25" spans="1:6">
      <c r="A25" t="str">
        <f t="shared" si="1"/>
        <v>u=10% k=2x10^7</v>
      </c>
      <c r="B25" s="8">
        <f t="shared" si="1"/>
        <v>29997319.666666668</v>
      </c>
      <c r="C25" s="8">
        <f t="shared" si="1"/>
        <v>183134983.33333334</v>
      </c>
      <c r="D25" s="8"/>
      <c r="E25" s="8"/>
      <c r="F25" s="8"/>
    </row>
    <row r="26" spans="1:6">
      <c r="A26" t="str">
        <f t="shared" ref="A26:C26" si="4">A11</f>
        <v>u=10% k=2x10^6</v>
      </c>
      <c r="B26" s="8">
        <f t="shared" si="4"/>
        <v>47995176.333333336</v>
      </c>
      <c r="C26" s="8">
        <f t="shared" si="4"/>
        <v>244615267</v>
      </c>
      <c r="D26" s="8"/>
    </row>
    <row r="27" spans="1:6">
      <c r="A27" t="str">
        <f t="shared" ref="A27:C27" si="5">A12</f>
        <v>u=1% k=2x10^8</v>
      </c>
      <c r="B27" s="8">
        <f t="shared" si="5"/>
        <v>166637791.33333334</v>
      </c>
      <c r="C27" s="8">
        <f t="shared" si="5"/>
        <v>189757715.33333334</v>
      </c>
      <c r="D27" s="8"/>
    </row>
    <row r="28" spans="1:6">
      <c r="A28" t="str">
        <f t="shared" ref="A28:C28" si="6">A13</f>
        <v>u=1% k=2x10^7</v>
      </c>
      <c r="B28" s="8">
        <f t="shared" si="6"/>
        <v>154259533.66666666</v>
      </c>
      <c r="C28" s="8">
        <f t="shared" si="6"/>
        <v>250934361.66666666</v>
      </c>
      <c r="D28" s="8"/>
    </row>
    <row r="29" spans="1:6">
      <c r="A29" t="str">
        <f t="shared" ref="A29:C29" si="7">A14</f>
        <v>u=1% k=2x10^6</v>
      </c>
      <c r="B29" s="8">
        <f t="shared" si="7"/>
        <v>255901581.33333334</v>
      </c>
      <c r="C29" s="8">
        <f t="shared" si="7"/>
        <v>435616122.66666669</v>
      </c>
      <c r="D29" s="8"/>
    </row>
    <row r="30" spans="1:6">
      <c r="B30" s="8"/>
      <c r="C30" s="8"/>
      <c r="D30" s="8"/>
    </row>
    <row r="31" spans="1:6">
      <c r="B31" s="8"/>
      <c r="C31" s="8"/>
      <c r="D31" s="8"/>
    </row>
    <row r="32" spans="1:6">
      <c r="B32" s="8"/>
      <c r="C32" s="8"/>
      <c r="D32" s="8"/>
    </row>
    <row r="33" spans="2:4">
      <c r="B33" s="8"/>
      <c r="C33" s="8"/>
      <c r="D33" s="8"/>
    </row>
    <row r="34" spans="2:4">
      <c r="B34" s="8"/>
      <c r="C34" s="8"/>
      <c r="D34" s="8"/>
    </row>
    <row r="35" spans="2:4">
      <c r="B35" s="8"/>
      <c r="C35" s="8"/>
      <c r="D35" s="8"/>
    </row>
    <row r="36" spans="2:4">
      <c r="B36" s="8"/>
      <c r="C36" s="8"/>
      <c r="D36" s="8"/>
    </row>
    <row r="37" spans="2:4">
      <c r="B37" s="8"/>
      <c r="C37" s="8"/>
      <c r="D37" s="8"/>
    </row>
    <row r="38" spans="2:4">
      <c r="B38" s="8"/>
      <c r="C38" s="8"/>
      <c r="D38" s="8"/>
    </row>
    <row r="39" spans="2:4">
      <c r="B39" s="8"/>
      <c r="C39" s="8"/>
      <c r="D39" s="8"/>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instructions</vt:lpstr>
      <vt:lpstr>data</vt:lpstr>
      <vt:lpstr>pivot</vt:lpstr>
      <vt:lpstr>data!ExternalData_11</vt:lpstr>
      <vt:lpstr>data!ExternalData_12</vt:lpstr>
      <vt:lpstr>data!ExternalData_13</vt:lpstr>
      <vt:lpstr>data!ExternalData_14</vt:lpstr>
      <vt:lpstr>data!ExternalData_15</vt:lpstr>
      <vt:lpstr>data!ExternalData_16</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2019-06-05T19:24:53Z</dcterms:modified>
</cp:coreProperties>
</file>