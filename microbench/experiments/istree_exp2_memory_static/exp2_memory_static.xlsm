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t35brown\Documents\bitbucket\setbench\microbench\experiments\istree_exp2_memory_static\"/>
    </mc:Choice>
  </mc:AlternateContent>
  <bookViews>
    <workbookView xWindow="0" yWindow="0" windowWidth="28054" windowHeight="11811" activeTab="2"/>
  </bookViews>
  <sheets>
    <sheet name="instructions" sheetId="3" r:id="rId1"/>
    <sheet name="data" sheetId="2" r:id="rId2"/>
    <sheet name="pivot" sheetId="1" r:id="rId3"/>
  </sheets>
  <functionGroups builtInGroupCount="18"/>
  <definedNames>
    <definedName name="ExternalData_11" localSheetId="1">data!$A$1:$AP$1950</definedName>
    <definedName name="ExternalData_12" localSheetId="1">data!$A$1:$AU$41</definedName>
  </definedNames>
  <calcPr calcId="162913"/>
  <pivotCaches>
    <pivotCache cacheId="7" r:id="rId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 l="1"/>
  <c r="C22" i="1"/>
  <c r="C21" i="1" s="1"/>
  <c r="D22" i="1"/>
  <c r="D21" i="1" s="1"/>
  <c r="E22" i="1"/>
  <c r="E21" i="1" s="1"/>
  <c r="B22" i="1"/>
  <c r="B21" i="1" s="1"/>
  <c r="BC3" i="2"/>
  <c r="BC4" i="2"/>
  <c r="BC5" i="2"/>
  <c r="BC6" i="2"/>
  <c r="BC7" i="2"/>
  <c r="BC8" i="2"/>
  <c r="BC9" i="2"/>
  <c r="BC10" i="2"/>
  <c r="BC11" i="2"/>
  <c r="BC12" i="2"/>
  <c r="BC13" i="2"/>
  <c r="BC14" i="2"/>
  <c r="BC15" i="2"/>
  <c r="BC16" i="2"/>
  <c r="BC17" i="2"/>
  <c r="BC18" i="2"/>
  <c r="BC19" i="2"/>
  <c r="BC20" i="2"/>
  <c r="BC21" i="2"/>
  <c r="BC22" i="2"/>
  <c r="BC23" i="2"/>
  <c r="BC24" i="2"/>
  <c r="BC25" i="2"/>
  <c r="BC26" i="2"/>
  <c r="BC27" i="2"/>
  <c r="BC28" i="2"/>
  <c r="BC29" i="2"/>
  <c r="BC30" i="2"/>
  <c r="BC31" i="2"/>
  <c r="BC32" i="2"/>
  <c r="BC33" i="2"/>
  <c r="BC34" i="2"/>
  <c r="BC35" i="2"/>
  <c r="BC36" i="2"/>
  <c r="BC37" i="2"/>
  <c r="BC38" i="2"/>
  <c r="BC39" i="2"/>
  <c r="BC40" i="2"/>
  <c r="BC41" i="2"/>
  <c r="BC42" i="2"/>
  <c r="BC43" i="2"/>
  <c r="BC44" i="2"/>
  <c r="BC45" i="2"/>
  <c r="BC46" i="2"/>
  <c r="BC47" i="2"/>
  <c r="BC48" i="2"/>
  <c r="BC49" i="2"/>
  <c r="BC2" i="2"/>
  <c r="C10" i="1"/>
  <c r="C44" i="1" l="1"/>
  <c r="D44" i="1"/>
  <c r="E44" i="1"/>
  <c r="B44" i="1"/>
  <c r="A43" i="1"/>
  <c r="A44" i="1"/>
  <c r="C43" i="1"/>
  <c r="D43" i="1"/>
  <c r="E43" i="1"/>
  <c r="B43" i="1"/>
</calcChain>
</file>

<file path=xl/connections.xml><?xml version="1.0" encoding="utf-8"?>
<connections xmlns="http://schemas.openxmlformats.org/spreadsheetml/2006/main">
  <connection id="1" name="Connection" type="6" refreshedVersion="6" background="1" saveData="1">
    <textPr sourceFile="C:\Users\t35brown\Documents\bitbucket\setbench\microbench\experiments\istree_exp2_memory_static\memory_static.csv" comma="1">
      <textFields>
        <textField/>
      </textFields>
    </textPr>
  </connection>
  <connection id="2" name="Connection7" type="6" refreshedVersion="5"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<sst xmlns="http://schemas.openxmlformats.org/spreadsheetml/2006/main" count="491" uniqueCount="193">
  <si>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</si>
  <si>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</si>
  <si>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</si>
  <si>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</si>
  <si>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</si>
  <si>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</si>
  <si>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</si>
  <si>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</si>
  <si>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</si>
  <si>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</si>
  <si>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</si>
  <si>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</si>
  <si>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</si>
  <si>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</si>
  <si>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</si>
  <si>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</si>
  <si>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</si>
  <si>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</si>
  <si>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</si>
  <si>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</si>
  <si>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</si>
  <si>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</si>
  <si>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</si>
  <si>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</si>
  <si>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</si>
  <si>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</si>
  <si>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</si>
  <si>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</si>
  <si>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</si>
  <si>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</si>
  <si>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</si>
  <si>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</si>
  <si>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</si>
  <si>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</si>
  <si>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</si>
  <si>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</si>
  <si>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</si>
  <si>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</si>
  <si>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</si>
  <si>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</si>
  <si>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</si>
  <si>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</si>
  <si>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</si>
  <si>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tree_stats_avgDegree</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</si>
  <si>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</si>
  <si>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</si>
  <si>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</si>
  <si>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</si>
  <si>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</si>
  <si>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</si>
  <si>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</si>
  <si>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</si>
  <si>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</si>
  <si>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</si>
  <si>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</si>
  <si>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</si>
  <si>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PAPI_L2_TCM</t>
  </si>
  <si>
    <t>PAPI_L3_TCM</t>
  </si>
  <si>
    <t>PAPI_TOT_CYC</t>
  </si>
  <si>
    <t>allocator_new</t>
  </si>
  <si>
    <t>pool_none</t>
  </si>
  <si>
    <t>insertIfAbsent</t>
  </si>
  <si>
    <t>brown_ext_ist_lf</t>
  </si>
  <si>
    <t>reclaimer_debra</t>
  </si>
  <si>
    <t>brown_ext_abtree_lf</t>
  </si>
  <si>
    <t>bronson_pext_bst_occ</t>
  </si>
  <si>
    <t>natarajan_ext_bst_lf</t>
  </si>
  <si>
    <t>exp</t>
  </si>
  <si>
    <t>B2</t>
  </si>
  <si>
    <t>threads_final_keysum</t>
  </si>
  <si>
    <t>threads_final_size</t>
  </si>
  <si>
    <t>final_size</t>
  </si>
  <si>
    <t>validate_result</t>
  </si>
  <si>
    <t>success</t>
  </si>
  <si>
    <t>maxresident_mb</t>
  </si>
  <si>
    <t>prefill_elapsed_ms</t>
  </si>
  <si>
    <t>tree_stats_sizeInBytes</t>
  </si>
  <si>
    <t>Average of tree_stats_sizeInBytes</t>
  </si>
  <si>
    <t>StdDev of tree_stats_sizeInBytes</t>
  </si>
  <si>
    <t>NM</t>
  </si>
  <si>
    <t>BCCO</t>
  </si>
  <si>
    <t>ABTree</t>
  </si>
  <si>
    <t>ISTree</t>
  </si>
  <si>
    <t>istree_exp2_memory_static/step10001.txt</t>
  </si>
  <si>
    <t>6966 5338700 2591893 21283452</t>
  </si>
  <si>
    <t>2270 5282361 2573739 21279642</t>
  </si>
  <si>
    <t>istree_exp2_memory_static/step10002.txt</t>
  </si>
  <si>
    <t>istree_exp2_memory_static/step10003.txt</t>
  </si>
  <si>
    <t>istree_exp2_memory_static/step10004.txt</t>
  </si>
  <si>
    <t>istree_exp2_memory_static/step10005.txt</t>
  </si>
  <si>
    <t>848 731918 6180613 155105097 389600</t>
  </si>
  <si>
    <t>231 731651 6175310 155097682 389587</t>
  </si>
  <si>
    <t>istree_exp2_memory_static/step10006.txt</t>
  </si>
  <si>
    <t>602 29262</t>
  </si>
  <si>
    <t>istree_exp2_memory_static/step10007.txt</t>
  </si>
  <si>
    <t>170 16380</t>
  </si>
  <si>
    <t>istree_exp2_memory_static/step10008.txt</t>
  </si>
  <si>
    <t>istree_exp2_memory_static/step10009.txt</t>
  </si>
  <si>
    <t>84 199974 6866941 77739880 13328475</t>
  </si>
  <si>
    <t>20 199958 6866305 77739412 13328433</t>
  </si>
  <si>
    <t>istree_exp2_memory_static/step10010.txt</t>
  </si>
  <si>
    <t>3074 23594</t>
  </si>
  <si>
    <t>istree_exp2_memory_static/step10011.txt</t>
  </si>
  <si>
    <t>772 11742</t>
  </si>
  <si>
    <t>istree_exp2_memory_static/step10012.txt</t>
  </si>
  <si>
    <t>748 9946</t>
  </si>
  <si>
    <t>istree_exp2_memory_static/step10013.txt</t>
  </si>
  <si>
    <t>2 32600 3965486 65929874 18604070</t>
  </si>
  <si>
    <t>1 32598 3965429 65929818 18604065</t>
  </si>
  <si>
    <t>istree_exp2_memory_static/step10014.txt</t>
  </si>
  <si>
    <t>26484 39810</t>
  </si>
  <si>
    <t>istree_exp2_memory_static/step10015.txt</t>
  </si>
  <si>
    <t>7936 15382</t>
  </si>
  <si>
    <t>istree_exp2_memory_static/step10016.txt</t>
  </si>
  <si>
    <t>7812 14106</t>
  </si>
  <si>
    <t>istree_exp2_memory_static/step10017.txt</t>
  </si>
  <si>
    <t>6904 5341392 2595065 21302791</t>
  </si>
  <si>
    <t>2271 5284693 2576793 21298950</t>
  </si>
  <si>
    <t>istree_exp2_memory_static/step10018.txt</t>
  </si>
  <si>
    <t>istree_exp2_memory_static/step10019.txt</t>
  </si>
  <si>
    <t>istree_exp2_memory_static/step10020.txt</t>
  </si>
  <si>
    <t>istree_exp2_memory_static/step10021.txt</t>
  </si>
  <si>
    <t>886 734046 6190365 155272132 390151</t>
  </si>
  <si>
    <t>232 733779 6185039 155264795 390146</t>
  </si>
  <si>
    <t>istree_exp2_memory_static/step10022.txt</t>
  </si>
  <si>
    <t>446 29256</t>
  </si>
  <si>
    <t>istree_exp2_memory_static/step10023.txt</t>
  </si>
  <si>
    <t>168 16430</t>
  </si>
  <si>
    <t>istree_exp2_memory_static/step10024.txt</t>
  </si>
  <si>
    <t>144 14230</t>
  </si>
  <si>
    <t>istree_exp2_memory_static/step10025.txt</t>
  </si>
  <si>
    <t>96 199982 6884819 77730559 13316756</t>
  </si>
  <si>
    <t>20 199964 6884170 77730049 13316732</t>
  </si>
  <si>
    <t>istree_exp2_memory_static/step10026.txt</t>
  </si>
  <si>
    <t>3008 23598</t>
  </si>
  <si>
    <t>istree_exp2_memory_static/step10027.txt</t>
  </si>
  <si>
    <t>776 11742</t>
  </si>
  <si>
    <t>istree_exp2_memory_static/step10028.txt</t>
  </si>
  <si>
    <t>740 9912</t>
  </si>
  <si>
    <t>istree_exp2_memory_static/step10029.txt</t>
  </si>
  <si>
    <t>3 31721 3830569 65504169 18521212</t>
  </si>
  <si>
    <t>1 31720 3830513 65504121 18521211</t>
  </si>
  <si>
    <t>istree_exp2_memory_static/step10030.txt</t>
  </si>
  <si>
    <t>26630 40098</t>
  </si>
  <si>
    <t>istree_exp2_memory_static/step10031.txt</t>
  </si>
  <si>
    <t>7956 15426</t>
  </si>
  <si>
    <t>istree_exp2_memory_static/step10032.txt</t>
  </si>
  <si>
    <t>7814 14092</t>
  </si>
  <si>
    <t>istree_exp2_memory_static/step10033.txt</t>
  </si>
  <si>
    <t>6932 5345550 2598349 21326874</t>
  </si>
  <si>
    <t>2274 5288765 2579946 21323038</t>
  </si>
  <si>
    <t>istree_exp2_memory_static/step10034.txt</t>
  </si>
  <si>
    <t>istree_exp2_memory_static/step10035.txt</t>
  </si>
  <si>
    <t>istree_exp2_memory_static/step10036.txt</t>
  </si>
  <si>
    <t>istree_exp2_memory_static/step10037.txt</t>
  </si>
  <si>
    <t>852 730877 6169866 154951003 388359</t>
  </si>
  <si>
    <t>231 730628 6164521 154943530 388354</t>
  </si>
  <si>
    <t>istree_exp2_memory_static/step10038.txt</t>
  </si>
  <si>
    <t>552 29150</t>
  </si>
  <si>
    <t>istree_exp2_memory_static/step10039.txt</t>
  </si>
  <si>
    <t>164 16344</t>
  </si>
  <si>
    <t>istree_exp2_memory_static/step10040.txt</t>
  </si>
  <si>
    <t>istree_exp2_memory_static/step10041.txt</t>
  </si>
  <si>
    <t>84 199960 6887877 77727033 13319610</t>
  </si>
  <si>
    <t>20 199946 6887216 77726595 13319577</t>
  </si>
  <si>
    <t>istree_exp2_memory_static/step10042.txt</t>
  </si>
  <si>
    <t>3260 23776</t>
  </si>
  <si>
    <t>istree_exp2_memory_static/step10043.txt</t>
  </si>
  <si>
    <t>774 11746</t>
  </si>
  <si>
    <t>istree_exp2_memory_static/step10044.txt</t>
  </si>
  <si>
    <t>748 9918</t>
  </si>
  <si>
    <t>istree_exp2_memory_static/step10045.txt</t>
  </si>
  <si>
    <t>4 31794 3846265 65545069 18527837</t>
  </si>
  <si>
    <t>1 31791 3846215 65545035 18527832</t>
  </si>
  <si>
    <t>istree_exp2_memory_static/step10046.txt</t>
  </si>
  <si>
    <t>26832 40268</t>
  </si>
  <si>
    <t>istree_exp2_memory_static/step10047.txt</t>
  </si>
  <si>
    <t>7936 15368</t>
  </si>
  <si>
    <t>istree_exp2_memory_static/step10048.txt</t>
  </si>
  <si>
    <t>7824 14096</t>
  </si>
  <si>
    <t>sum_num_try_rebuild_at_depth_by_index</t>
  </si>
  <si>
    <t>sum_num_complete_rebuild_at_depth_by_index</t>
  </si>
  <si>
    <t>sum_num_help_subtree_total</t>
  </si>
  <si>
    <t>first_thread_announced_epoch_by_index</t>
  </si>
  <si>
    <t>sum_elapsed_rebuild_depth_total</t>
  </si>
  <si>
    <t>sum_elapsed_all_ops_total</t>
  </si>
  <si>
    <t>PAPI_RES_STL</t>
  </si>
  <si>
    <t>Data</t>
  </si>
  <si>
    <t>Average of final_size</t>
  </si>
  <si>
    <t>[[[KEYS]]]</t>
  </si>
  <si>
    <t>[[[SIZE]]]</t>
  </si>
  <si>
    <t>Structure</t>
  </si>
  <si>
    <t>u=40%, k=2x10^9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</si>
</sst>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5" fillId="0" borderId="0" applyFont="0" applyFill="0" applyBorder="0" applyAlignment="0" applyProtection="0"/>
  </cellStyleXfs>
  <cellXfs count="9">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1" fontId="0" fillId="0" borderId="0" xfId="0" applyNumberFormat="1"/>
    <xf numFmtId="164" fontId="0" fillId="0" borderId="0" xfId="1" applyNumberFormat="1" applyFont="1"/>
  </cellXfs>
  <cellStyles count="2">
    <cellStyle name="Normal" xfId="0" builtinId="0"/>
    <cellStyle name="Percent" xfId="1" builtinId="5"/>
  </cellStyles>
  <dxfs count="6">
    <dxf>
      <numFmt numFmtId="1" formatCode="0"/>
    </dxf>
    <dxf>
      <numFmt numFmtId="165" formatCode="0.0"/>
    </dxf>
    <dxf>
      <numFmt numFmtId="1" formatCode="0"/>
    </dxf>
    <dxf>
      <numFmt numFmtId="165" formatCode="0.0"/>
    </dxf>
    <dxf>
      <numFmt numFmtId="1" formatCode="0"/>
    </dxf>
    <dxf>
      <numFmt numFmtId="165"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00"/>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pivot!$C$2</c:f>
          <c:strCache>
            <c:ptCount val="1"/>
            <c:pt idx="0">
              <c:v>u=40%, k=2x10^9, 190 threads</c:v>
            </c:pt>
          </c:strCache>
        </c:strRef>
      </c:tx>
      <c:layout/>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stacked"/>
        <c:varyColors val="0"/>
        <c:ser>
          <c:idx val="0"/>
          <c:order val="0"/>
          <c:tx>
            <c:strRef>
              <c:f>pivot!$A$22</c:f>
              <c:strCache>
                <c:ptCount val="1"/>
                <c:pt idx="0">
                  <c:v>Data</c:v>
                </c:pt>
              </c:strCache>
            </c:strRef>
          </c:tx>
          <c:spPr>
            <a:solidFill>
              <a:schemeClr val="accent1"/>
            </a:solidFill>
            <a:ln w="76200">
              <a:noFill/>
            </a:ln>
            <a:effectLst/>
          </c:spPr>
          <c:invertIfNegative val="0"/>
          <c:cat>
            <c:strRef>
              <c:f>pivot!$B$20:$E$20</c:f>
              <c:strCache>
                <c:ptCount val="4"/>
                <c:pt idx="0">
                  <c:v>NM</c:v>
                </c:pt>
                <c:pt idx="1">
                  <c:v>BCCO</c:v>
                </c:pt>
                <c:pt idx="2">
                  <c:v>ABTree</c:v>
                </c:pt>
                <c:pt idx="3">
                  <c:v>ISTree</c:v>
                </c:pt>
              </c:strCache>
            </c:strRef>
          </c:cat>
          <c:val>
            <c:numRef>
              <c:f>pivot!$B$22:$E$22</c:f>
              <c:numCache>
                <c:formatCode>0</c:formatCode>
                <c:ptCount val="4"/>
                <c:pt idx="0">
                  <c:v>15999960917.333334</c:v>
                </c:pt>
                <c:pt idx="1">
                  <c:v>15999890096</c:v>
                </c:pt>
                <c:pt idx="2">
                  <c:v>16000142842.666666</c:v>
                </c:pt>
                <c:pt idx="3">
                  <c:v>16000099568</c:v>
                </c:pt>
              </c:numCache>
            </c:numRef>
          </c:val>
          <c:extLst>
            <c:ext xmlns:c16="http://schemas.microsoft.com/office/drawing/2014/chart" uri="{C3380CC4-5D6E-409C-BE32-E72D297353CC}">
              <c16:uniqueId val="{00000001-2CD0-447C-8E06-4DA7A6D936F5}"/>
            </c:ext>
          </c:extLst>
        </c:ser>
        <c:ser>
          <c:idx val="2"/>
          <c:order val="1"/>
          <c:tx>
            <c:strRef>
              <c:f>pivot!$A$21</c:f>
              <c:strCache>
                <c:ptCount val="1"/>
                <c:pt idx="0">
                  <c:v>Structure</c:v>
                </c:pt>
              </c:strCache>
            </c:strRef>
          </c:tx>
          <c:spPr>
            <a:solidFill>
              <a:schemeClr val="accent3"/>
            </a:solidFill>
            <a:ln>
              <a:noFill/>
            </a:ln>
            <a:effectLst/>
          </c:spPr>
          <c:invertIfNegative val="0"/>
          <c:cat>
            <c:strRef>
              <c:f>pivot!$B$20:$E$20</c:f>
              <c:strCache>
                <c:ptCount val="4"/>
                <c:pt idx="0">
                  <c:v>NM</c:v>
                </c:pt>
                <c:pt idx="1">
                  <c:v>BCCO</c:v>
                </c:pt>
                <c:pt idx="2">
                  <c:v>ABTree</c:v>
                </c:pt>
                <c:pt idx="3">
                  <c:v>ISTree</c:v>
                </c:pt>
              </c:strCache>
            </c:strRef>
          </c:cat>
          <c:val>
            <c:numRef>
              <c:f>pivot!$B$21:$E$21</c:f>
              <c:numCache>
                <c:formatCode>0</c:formatCode>
                <c:ptCount val="4"/>
                <c:pt idx="0">
                  <c:v>47999882720</c:v>
                </c:pt>
                <c:pt idx="1">
                  <c:v>42681372674.666664</c:v>
                </c:pt>
                <c:pt idx="2">
                  <c:v>17878596666.666664</c:v>
                </c:pt>
                <c:pt idx="3">
                  <c:v>11935118224</c:v>
                </c:pt>
              </c:numCache>
            </c:numRef>
          </c:val>
          <c:extLst>
            <c:ext xmlns:c16="http://schemas.microsoft.com/office/drawing/2014/chart" uri="{C3380CC4-5D6E-409C-BE32-E72D297353CC}">
              <c16:uniqueId val="{00000000-2CD0-447C-8E06-4DA7A6D936F5}"/>
            </c:ext>
          </c:extLst>
        </c:ser>
        <c:dLbls>
          <c:showLegendKey val="0"/>
          <c:showVal val="0"/>
          <c:showCatName val="0"/>
          <c:showSerName val="0"/>
          <c:showPercent val="0"/>
          <c:showBubbleSize val="0"/>
        </c:dLbls>
        <c:gapWidth val="150"/>
        <c:overlap val="10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4000" b="0" i="0" u="none" strike="noStrike" kern="1200" baseline="0">
                <a:solidFill>
                  <a:srgbClr val="000000"/>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minorGridlines>
          <c:spPr>
            <a:ln w="15875" cap="flat" cmpd="sng" algn="ctr">
              <a:solidFill>
                <a:schemeClr val="bg1">
                  <a:lumMod val="20000"/>
                  <a:lumOff val="80000"/>
                </a:schemeClr>
              </a:solidFill>
              <a:round/>
            </a:ln>
            <a:effectLst/>
          </c:spPr>
        </c:min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size</a:t>
                </a:r>
                <a:r>
                  <a:rPr lang="en-US" sz="4000" baseline="0">
                    <a:solidFill>
                      <a:schemeClr val="bg1"/>
                    </a:solidFill>
                  </a:rPr>
                  <a:t> of final tree in MB</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millions"/>
        </c:dispUnits>
      </c:valAx>
      <c:spPr>
        <a:solidFill>
          <a:srgbClr val="FFFFFF"/>
        </a:solidFill>
        <a:ln w="38100">
          <a:solidFill>
            <a:schemeClr val="bg1"/>
          </a:solidFill>
        </a:ln>
        <a:effectLst/>
      </c:spPr>
    </c:plotArea>
    <c:legend>
      <c:legendPos val="tr"/>
      <c:layout>
        <c:manualLayout>
          <c:xMode val="edge"/>
          <c:yMode val="edge"/>
          <c:x val="0.6693384736167417"/>
          <c:y val="0.15294853269323258"/>
          <c:w val="0.30411705098185848"/>
          <c:h val="0.18687336707149574"/>
        </c:manualLayout>
      </c:layout>
      <c:overlay val="1"/>
      <c:spPr>
        <a:solidFill>
          <a:srgbClr val="FFFFFF"/>
        </a:solidFill>
        <a:ln w="12700">
          <a:solidFill>
            <a:schemeClr val="bg1"/>
          </a:solid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190499</xdr:colOff>
      <xdr:row>1</xdr:row>
      <xdr:rowOff>171450</xdr:rowOff>
    </xdr:from>
    <xdr:to>
      <xdr:col>40</xdr:col>
      <xdr:colOff>571500</xdr:colOff>
      <xdr:row>42</xdr:row>
      <xdr:rowOff>25400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35brown" refreshedDate="43622.598389930557" missingItemsLimit="0" createdVersion="6" refreshedVersion="6" minRefreshableVersion="3" recordCount="49">
  <cacheSource type="worksheet">
    <worksheetSource ref="A1:BC1048576" sheet="data"/>
  </cacheSource>
  <cacheFields count="55">
    <cacheField name="filename" numFmtId="0">
      <sharedItems containsBlank="1"/>
    </cacheField>
    <cacheField name="DS_TYPENAME" numFmtId="0">
      <sharedItems containsBlank="1" count="5">
        <s v="brown_ext_ist_lf"/>
        <s v="brown_ext_abtree_lf"/>
        <s v="bronson_pext_bst_occ"/>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 maxValue="30000"/>
    </cacheField>
    <cacheField name="INS" numFmtId="0">
      <sharedItems containsString="0" containsBlank="1" containsNumber="1" containsInteger="1" minValue="20" maxValue="20"/>
    </cacheField>
    <cacheField name="DEL" numFmtId="0">
      <sharedItems containsString="0" containsBlank="1" containsNumber="1" containsInteger="1" minValue="20"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 maxValue="2000000000"/>
    </cacheField>
    <cacheField name="PREFILL_THREADS" numFmtId="0">
      <sharedItems containsString="0" containsBlank="1" containsNumber="1" containsInteger="1" minValue="190" maxValue="190"/>
    </cacheField>
    <cacheField name="TOTAL_THREADS" numFmtId="0">
      <sharedItems containsString="0" containsBlank="1" containsNumber="1" containsInteger="1" minValue="190" maxValue="190"/>
    </cacheField>
    <cacheField name="WORK_THREADS" numFmtId="0">
      <sharedItems containsString="0" containsBlank="1" containsNumber="1" containsInteger="1" minValue="190"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9010816454" maxValue="1.00004176448979E+18"/>
    </cacheField>
    <cacheField name="threads_final_size" numFmtId="0">
      <sharedItems containsString="0" containsBlank="1" containsNumber="1" containsInteger="1" minValue="999091" maxValue="1000021130"/>
    </cacheField>
    <cacheField name="final_keysum" numFmtId="0">
      <sharedItems containsString="0" containsBlank="1" containsNumber="1" containsInteger="1" minValue="999010816454" maxValue="1.00004176448979E+18"/>
    </cacheField>
    <cacheField name="final_size" numFmtId="0">
      <sharedItems containsString="0" containsBlank="1" containsNumber="1" containsInteger="1" minValue="999091" maxValue="1000021130"/>
    </cacheField>
    <cacheField name="validate_result" numFmtId="0">
      <sharedItems containsBlank="1"/>
    </cacheField>
    <cacheField name="tree_stats_height" numFmtId="0">
      <sharedItems containsString="0" containsBlank="1" containsNumber="1" containsInteger="1" minValue="6" maxValue="84"/>
    </cacheField>
    <cacheField name="tree_stats_numInternals" numFmtId="0">
      <sharedItems containsString="0" containsBlank="1" containsNumber="1" containsInteger="1" minValue="35835" maxValue="1000004951"/>
    </cacheField>
    <cacheField name="tree_stats_numLeaves" numFmtId="0">
      <sharedItems containsString="0" containsBlank="1" containsNumber="1" containsInteger="1" minValue="194807" maxValue="1152196218"/>
    </cacheField>
    <cacheField name="tree_stats_numNodes" numFmtId="0">
      <sharedItems containsString="0" containsBlank="1" containsNumber="1" containsInteger="1" minValue="230735" maxValue="2000009903"/>
    </cacheField>
    <cacheField name="tree_stats_numKeys" numFmtId="0">
      <sharedItems containsString="0" containsBlank="1" containsNumber="1" containsInteger="1" minValue="999091" maxValue="1000021130"/>
    </cacheField>
    <cacheField name="tree_stats_avgDegreeInternal" numFmtId="0">
      <sharedItems containsString="0" containsBlank="1" containsNumber="1" minValue="1.7532099999999999" maxValue="21.549399999999999"/>
    </cacheField>
    <cacheField name="tree_stats_avgDegreeLeaves" numFmtId="0">
      <sharedItems containsString="0" containsBlank="1" containsNumber="1" minValue="0.83160100000000003" maxValue="7.0329699999999997"/>
    </cacheField>
    <cacheField name="tree_stats_avgDegree" numFmtId="0">
      <sharedItems containsString="0" containsBlank="1" containsNumber="1" minValue="1.5" maxValue="7.1404399999999999"/>
    </cacheField>
    <cacheField name="tree_stats_avgKeyDepth" numFmtId="0">
      <sharedItems containsString="0" containsBlank="1" containsNumber="1" minValue="3.0399099999999999" maxValue="42.027799999999999"/>
    </cacheField>
    <cacheField name="tree_stats_sizeInBytes" numFmtId="0">
      <sharedItems containsString="0" containsBlank="1" containsNumber="1" containsInteger="1" minValue="21327344" maxValue="64000316896"/>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52720" maxValue="23422445"/>
    </cacheField>
    <cacheField name="first_thread_announced_epoch_by_index" numFmtId="0">
      <sharedItems containsBlank="1" containsMixedTypes="1" containsNumber="1" containsInteger="1" minValue="12582" maxValue="40664"/>
    </cacheField>
    <cacheField name="sum_elapsed_rebuild_depth_total" numFmtId="0">
      <sharedItems containsNonDate="0" containsString="0" containsBlank="1"/>
    </cacheField>
    <cacheField name="sum_elapsed_all_ops_total" numFmtId="0">
      <sharedItems containsNonDate="0" containsString="0" containsBlank="1"/>
    </cacheField>
    <cacheField name="total_find" numFmtId="0">
      <sharedItems containsString="0" containsBlank="1" containsNumber="1" containsInteger="1" minValue="612231805" maxValue="2565191034"/>
    </cacheField>
    <cacheField name="total_rq" numFmtId="0">
      <sharedItems containsString="0" containsBlank="1" containsNumber="1" containsInteger="1" minValue="0" maxValue="0"/>
    </cacheField>
    <cacheField name="total_updates" numFmtId="0">
      <sharedItems containsString="0" containsBlank="1" containsNumber="1" containsInteger="1" minValue="408132959" maxValue="1710131925"/>
    </cacheField>
    <cacheField name="total_queries" numFmtId="0">
      <sharedItems containsString="0" containsBlank="1" containsNumber="1" containsInteger="1" minValue="612231805" maxValue="2565191034"/>
    </cacheField>
    <cacheField name="total_ops" numFmtId="0">
      <sharedItems containsString="0" containsBlank="1" containsNumber="1" containsInteger="1" minValue="1020364764" maxValue="4275322959"/>
    </cacheField>
    <cacheField name="find_throughput" numFmtId="0">
      <sharedItems containsString="0" containsBlank="1" containsNumber="1" containsInteger="1" minValue="20407726" maxValue="85506367"/>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13604431" maxValue="57004397"/>
    </cacheField>
    <cacheField name="query_throughput" numFmtId="0">
      <sharedItems containsString="0" containsBlank="1" containsNumber="1" containsInteger="1" minValue="20407726" maxValue="85506367"/>
    </cacheField>
    <cacheField name="total_throughput" numFmtId="0">
      <sharedItems containsString="0" containsBlank="1" containsNumber="1" containsInteger="1" minValue="34012158" maxValue="142510765"/>
    </cacheField>
    <cacheField name="PAPI_L2_TCM" numFmtId="0">
      <sharedItems containsString="0" containsBlank="1" containsNumber="1" minValue="16.026900000000001" maxValue="58.135899999999999"/>
    </cacheField>
    <cacheField name="PAPI_L3_TCM" numFmtId="0">
      <sharedItems containsString="0" containsBlank="1" containsNumber="1" minValue="4.3473899999999999" maxValue="33.406300000000002"/>
    </cacheField>
    <cacheField name="PAPI_TOT_CYC" numFmtId="0">
      <sharedItems containsString="0" containsBlank="1" containsNumber="1" minValue="3678.65" maxValue="15537.1"/>
    </cacheField>
    <cacheField name="PAPI_RES_STL" numFmtId="0">
      <sharedItems containsString="0" containsBlank="1" containsNumber="1" minValue="1691.08" maxValue="13248.5"/>
    </cacheField>
    <cacheField name="maxresident_mb" numFmtId="0">
      <sharedItems containsString="0" containsBlank="1" containsNumber="1" containsInteger="1" minValue="1228" maxValue="120718"/>
    </cacheField>
    <cacheField name="prefill_elapsed_ms" numFmtId="0">
      <sharedItems containsString="0" containsBlank="1" containsNumber="1" containsInteger="1" minValue="233" maxValue="61583"/>
    </cacheField>
    <cacheField name="exp" numFmtId="0">
      <sharedItems containsBlank="1" count="5">
        <s v="u=40%, k=2x10^6"/>
        <s v="u=40%, k=2x10^7"/>
        <s v="u=40%, k=2x10^8"/>
        <s v="u=40%, k=2x10^9"/>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9">
  <r>
    <s v="istree_exp2_memory_static/step10001.txt"/>
    <x v="0"/>
    <n v="72"/>
    <s v="reclaimer_debra"/>
    <s v="allocator_new"/>
    <s v="pool_none"/>
    <n v="30000"/>
    <n v="20"/>
    <n v="20"/>
    <n v="0"/>
    <n v="1"/>
    <n v="2000000"/>
    <n v="190"/>
    <n v="190"/>
    <n v="190"/>
    <n v="0"/>
    <s v="insertIfAbsent"/>
    <n v="999546083180"/>
    <n v="1000193"/>
    <n v="999546083180"/>
    <n v="1000193"/>
    <s v="success"/>
    <n v="6"/>
    <n v="52125"/>
    <n v="1071138"/>
    <n v="1123263"/>
    <n v="1000193"/>
    <n v="21.549399999999999"/>
    <n v="0.93376700000000001"/>
    <n v="1.8904399999999999"/>
    <n v="3.0399099999999999"/>
    <n v="21327344"/>
    <s v="6966 5338700 2591893 21283452"/>
    <s v="2270 5282361 2573739 21279642"/>
    <n v="23368715"/>
    <n v="20372"/>
    <m/>
    <m/>
    <n v="1701034512"/>
    <n v="0"/>
    <n v="1134018963"/>
    <n v="1701034512"/>
    <n v="2835053475"/>
    <n v="56701150"/>
    <n v="0"/>
    <n v="37800632"/>
    <n v="56701150"/>
    <n v="94501782"/>
    <n v="25.055900000000001"/>
    <n v="11.8934"/>
    <n v="5593.55"/>
    <n v="4313.1899999999996"/>
    <n v="1749"/>
    <n v="301"/>
    <x v="0"/>
  </r>
  <r>
    <s v="istree_exp2_memory_static/step10002.txt"/>
    <x v="1"/>
    <n v="208"/>
    <s v="reclaimer_debra"/>
    <s v="allocator_new"/>
    <s v="pool_none"/>
    <n v="30000"/>
    <n v="20"/>
    <n v="20"/>
    <n v="0"/>
    <n v="1"/>
    <n v="2000000"/>
    <n v="190"/>
    <n v="190"/>
    <n v="190"/>
    <n v="0"/>
    <s v="insertIfAbsent"/>
    <n v="1000139069622"/>
    <n v="1000412"/>
    <n v="1000139069622"/>
    <n v="1000412"/>
    <s v="success"/>
    <n v="8"/>
    <n v="35897"/>
    <n v="194893"/>
    <n v="230790"/>
    <n v="1000412"/>
    <n v="6.4292299999999996"/>
    <n v="5.1331300000000004"/>
    <n v="5.3347300000000004"/>
    <n v="7"/>
    <n v="48004320"/>
    <m/>
    <m/>
    <m/>
    <n v="40622"/>
    <m/>
    <m/>
    <n v="2208745450"/>
    <n v="0"/>
    <n v="1472556982"/>
    <n v="2208745450"/>
    <n v="3681302432"/>
    <n v="73624848"/>
    <n v="0"/>
    <n v="49085232"/>
    <n v="73624848"/>
    <n v="122710081"/>
    <n v="16.082000000000001"/>
    <n v="5.8835100000000002"/>
    <n v="3900.09"/>
    <n v="1694.61"/>
    <n v="1284"/>
    <n v="237"/>
    <x v="0"/>
  </r>
  <r>
    <s v="istree_exp2_memory_static/step10003.txt"/>
    <x v="2"/>
    <m/>
    <s v="reclaimer_debra"/>
    <s v="allocator_new"/>
    <s v="pool_none"/>
    <n v="30000"/>
    <n v="20"/>
    <n v="20"/>
    <n v="0"/>
    <n v="1"/>
    <n v="2000000"/>
    <n v="190"/>
    <n v="190"/>
    <n v="190"/>
    <n v="0"/>
    <s v="insertIfAbsent"/>
    <n v="1000115679361"/>
    <n v="999689"/>
    <n v="1000115679361"/>
    <n v="999689"/>
    <s v="success"/>
    <n v="25"/>
    <n v="685635"/>
    <n v="520129"/>
    <n v="1205764"/>
    <n v="999689"/>
    <n v="1.75861"/>
    <n v="1.9219999999999999"/>
    <n v="1.8290900000000001"/>
    <n v="19.797799999999999"/>
    <n v="67522784"/>
    <m/>
    <m/>
    <m/>
    <n v="26766"/>
    <m/>
    <m/>
    <n v="2565191034"/>
    <n v="0"/>
    <n v="1710131925"/>
    <n v="2565191034"/>
    <n v="4275322959"/>
    <n v="85506367"/>
    <n v="0"/>
    <n v="57004397"/>
    <n v="85506367"/>
    <n v="142510765"/>
    <n v="21.710999999999999"/>
    <n v="4.8863599999999998"/>
    <n v="3678.65"/>
    <n v="2126.6999999999998"/>
    <n v="1257"/>
    <n v="250"/>
    <x v="0"/>
  </r>
  <r>
    <s v="istree_exp2_memory_static/step10004.txt"/>
    <x v="3"/>
    <m/>
    <s v="reclaimer_debra"/>
    <s v="allocator_new"/>
    <s v="pool_none"/>
    <n v="30000"/>
    <n v="20"/>
    <n v="20"/>
    <n v="0"/>
    <n v="1"/>
    <n v="2000000"/>
    <n v="190"/>
    <n v="190"/>
    <n v="190"/>
    <n v="0"/>
    <s v="insertIfAbsent"/>
    <n v="1000136364501"/>
    <n v="1000238"/>
    <n v="1000136364501"/>
    <n v="1000238"/>
    <s v="success"/>
    <n v="49"/>
    <n v="1000237"/>
    <n v="1000238"/>
    <n v="2000475"/>
    <n v="1000238"/>
    <n v="2"/>
    <n v="1"/>
    <n v="1.5"/>
    <n v="27.003499999999999"/>
    <n v="64015200"/>
    <m/>
    <m/>
    <m/>
    <n v="27368"/>
    <m/>
    <m/>
    <n v="2209061121"/>
    <n v="0"/>
    <n v="1472786762"/>
    <n v="2209061121"/>
    <n v="3681847883"/>
    <n v="73635370"/>
    <n v="0"/>
    <n v="49092892"/>
    <n v="73635370"/>
    <n v="122728262"/>
    <n v="16.718499999999999"/>
    <n v="4.3532599999999997"/>
    <n v="4279.95"/>
    <n v="2444.37"/>
    <n v="1232"/>
    <n v="249"/>
    <x v="0"/>
  </r>
  <r>
    <s v="istree_exp2_memory_static/step10005.txt"/>
    <x v="0"/>
    <n v="72"/>
    <s v="reclaimer_debra"/>
    <s v="allocator_new"/>
    <s v="pool_none"/>
    <n v="30000"/>
    <n v="20"/>
    <n v="20"/>
    <n v="0"/>
    <n v="1"/>
    <n v="20000000"/>
    <n v="190"/>
    <n v="190"/>
    <n v="190"/>
    <n v="0"/>
    <s v="insertIfAbsent"/>
    <n v="100011566971393"/>
    <n v="10001843"/>
    <n v="100011566971393"/>
    <n v="10001843"/>
    <s v="success"/>
    <n v="7"/>
    <n v="1830062"/>
    <n v="11878133"/>
    <n v="13708195"/>
    <n v="10001843"/>
    <n v="7.4905600000000003"/>
    <n v="0.84203799999999995"/>
    <n v="1.72963"/>
    <n v="4.0406899999999997"/>
    <n v="336484384"/>
    <s v="848 731918 6180613 155105097 389600"/>
    <s v="231 731651 6175310 155097682 389587"/>
    <n v="2933576"/>
    <n v="22158"/>
    <m/>
    <m/>
    <n v="1737732498"/>
    <n v="0"/>
    <n v="1158466362"/>
    <n v="1737732498"/>
    <n v="2896198860"/>
    <n v="57924416"/>
    <n v="0"/>
    <n v="38615545"/>
    <n v="57924416"/>
    <n v="96539962"/>
    <n v="28.697900000000001"/>
    <n v="15.3024"/>
    <n v="5307.99"/>
    <n v="3650.37"/>
    <n v="2938"/>
    <n v="382"/>
    <x v="1"/>
  </r>
  <r>
    <s v="istree_exp2_memory_static/step10006.txt"/>
    <x v="1"/>
    <n v="208"/>
    <s v="reclaimer_debra"/>
    <s v="allocator_new"/>
    <s v="pool_none"/>
    <n v="30000"/>
    <n v="20"/>
    <n v="20"/>
    <n v="0"/>
    <n v="1"/>
    <n v="20000000"/>
    <n v="190"/>
    <n v="190"/>
    <n v="190"/>
    <n v="0"/>
    <s v="insertIfAbsent"/>
    <n v="99995855095680"/>
    <n v="10001316"/>
    <n v="99995855095680"/>
    <n v="10001316"/>
    <s v="success"/>
    <n v="10"/>
    <n v="327718"/>
    <n v="1955349"/>
    <n v="2283067"/>
    <n v="10001316"/>
    <n v="6.9665600000000003"/>
    <n v="5.1148499999999997"/>
    <n v="5.3806500000000002"/>
    <n v="9"/>
    <n v="474877936"/>
    <m/>
    <m/>
    <m/>
    <s v="602 29262"/>
    <m/>
    <m/>
    <n v="2211124951"/>
    <n v="0"/>
    <n v="1474070081"/>
    <n v="2211124951"/>
    <n v="3685195032"/>
    <n v="73704165"/>
    <n v="0"/>
    <n v="49135669"/>
    <n v="73704165"/>
    <n v="122839834"/>
    <n v="22.827500000000001"/>
    <n v="9.0876400000000004"/>
    <n v="4272.7"/>
    <n v="2415.5700000000002"/>
    <n v="2184"/>
    <n v="916"/>
    <x v="1"/>
  </r>
  <r>
    <s v="istree_exp2_memory_static/step10007.txt"/>
    <x v="2"/>
    <m/>
    <s v="reclaimer_debra"/>
    <s v="allocator_new"/>
    <s v="pool_none"/>
    <n v="30000"/>
    <n v="20"/>
    <n v="20"/>
    <n v="0"/>
    <n v="1"/>
    <n v="20000000"/>
    <n v="190"/>
    <n v="190"/>
    <n v="190"/>
    <n v="0"/>
    <s v="insertIfAbsent"/>
    <n v="100011026800704"/>
    <n v="10000591"/>
    <n v="100011026800704"/>
    <n v="10000591"/>
    <s v="success"/>
    <n v="29"/>
    <n v="6858688"/>
    <n v="5204606"/>
    <n v="12063294"/>
    <n v="10000591"/>
    <n v="1.7588299999999999"/>
    <n v="1.9214899999999999"/>
    <n v="1.82901"/>
    <n v="23.2879"/>
    <n v="675544464"/>
    <m/>
    <m/>
    <m/>
    <s v="170 16380"/>
    <m/>
    <m/>
    <n v="1651069694"/>
    <n v="0"/>
    <n v="1100696960"/>
    <n v="1651069694"/>
    <n v="2751766654"/>
    <n v="55035656"/>
    <n v="0"/>
    <n v="36689898"/>
    <n v="55035656"/>
    <n v="91725555"/>
    <n v="32.9328"/>
    <n v="12.2767"/>
    <n v="5758.63"/>
    <n v="4144.24"/>
    <n v="2508"/>
    <n v="435"/>
    <x v="1"/>
  </r>
  <r>
    <s v="istree_exp2_memory_static/step10008.txt"/>
    <x v="3"/>
    <m/>
    <s v="reclaimer_debra"/>
    <s v="allocator_new"/>
    <s v="pool_none"/>
    <n v="30000"/>
    <n v="20"/>
    <n v="20"/>
    <n v="0"/>
    <n v="1"/>
    <n v="20000000"/>
    <n v="190"/>
    <n v="190"/>
    <n v="190"/>
    <n v="0"/>
    <s v="insertIfAbsent"/>
    <n v="100009652476849"/>
    <n v="10000518"/>
    <n v="100009652476849"/>
    <n v="10000518"/>
    <s v="success"/>
    <n v="59"/>
    <n v="10000517"/>
    <n v="10000518"/>
    <n v="20001035"/>
    <n v="10000518"/>
    <n v="2"/>
    <n v="1"/>
    <n v="1.5"/>
    <n v="30.330100000000002"/>
    <n v="640033120"/>
    <m/>
    <m/>
    <m/>
    <n v="14182"/>
    <m/>
    <m/>
    <n v="1285177030"/>
    <n v="0"/>
    <n v="856777176"/>
    <n v="1285177030"/>
    <n v="2141954206"/>
    <n v="42839234"/>
    <n v="0"/>
    <n v="28559239"/>
    <n v="42839234"/>
    <n v="71398473"/>
    <n v="29.398900000000001"/>
    <n v="12.1067"/>
    <n v="7395.2"/>
    <n v="5319.62"/>
    <n v="2316"/>
    <n v="438"/>
    <x v="1"/>
  </r>
  <r>
    <s v="istree_exp2_memory_static/step10009.txt"/>
    <x v="0"/>
    <n v="72"/>
    <s v="reclaimer_debra"/>
    <s v="allocator_new"/>
    <s v="pool_none"/>
    <n v="30000"/>
    <n v="20"/>
    <n v="20"/>
    <n v="0"/>
    <n v="1"/>
    <n v="200000000"/>
    <n v="190"/>
    <n v="190"/>
    <n v="190"/>
    <n v="0"/>
    <s v="insertIfAbsent"/>
    <n v="1.00014218047042E+16"/>
    <n v="100007148"/>
    <n v="1.00014218047042E+16"/>
    <n v="100007148"/>
    <s v="success"/>
    <n v="7"/>
    <n v="11011159"/>
    <n v="110008250"/>
    <n v="121019409"/>
    <n v="100007148"/>
    <n v="10.990600000000001"/>
    <n v="0.90908800000000001"/>
    <n v="1.82637"/>
    <n v="4"/>
    <n v="2641024704"/>
    <s v="84 199974 6866941 77739880 13328475"/>
    <s v="20 199958 6866305 77739412 13328433"/>
    <n v="510045"/>
    <n v="12656"/>
    <m/>
    <m/>
    <n v="1499958580"/>
    <n v="0"/>
    <n v="999951390"/>
    <n v="1499958580"/>
    <n v="2499909970"/>
    <n v="49998619"/>
    <n v="0"/>
    <n v="33331713"/>
    <n v="49998619"/>
    <n v="83330332"/>
    <n v="31.508199999999999"/>
    <n v="17.6554"/>
    <n v="5710.34"/>
    <n v="4240.8"/>
    <n v="14421"/>
    <n v="1127"/>
    <x v="2"/>
  </r>
  <r>
    <s v="istree_exp2_memory_static/step10010.txt"/>
    <x v="1"/>
    <n v="208"/>
    <s v="reclaimer_debra"/>
    <s v="allocator_new"/>
    <s v="pool_none"/>
    <n v="30000"/>
    <n v="20"/>
    <n v="20"/>
    <n v="0"/>
    <n v="1"/>
    <n v="200000000"/>
    <n v="190"/>
    <n v="190"/>
    <n v="190"/>
    <n v="0"/>
    <s v="insertIfAbsent"/>
    <n v="1.00012438457212E+16"/>
    <n v="100009583"/>
    <n v="1.00012438457212E+16"/>
    <n v="100009583"/>
    <s v="success"/>
    <n v="11"/>
    <n v="2666467"/>
    <n v="18220721"/>
    <n v="20887188"/>
    <n v="100009583"/>
    <n v="7.8332800000000002"/>
    <n v="5.4887800000000002"/>
    <n v="5.7880799999999999"/>
    <n v="10"/>
    <n v="4344535104"/>
    <m/>
    <m/>
    <m/>
    <s v="3074 23594"/>
    <m/>
    <m/>
    <n v="1739222297"/>
    <n v="0"/>
    <n v="1159364425"/>
    <n v="1739222297"/>
    <n v="2898586722"/>
    <n v="57974076"/>
    <n v="0"/>
    <n v="38645480"/>
    <n v="57974076"/>
    <n v="96619557"/>
    <n v="29.436399999999999"/>
    <n v="13.9032"/>
    <n v="5436.38"/>
    <n v="3556.38"/>
    <n v="9760"/>
    <n v="6200"/>
    <x v="2"/>
  </r>
  <r>
    <s v="istree_exp2_memory_static/step10011.txt"/>
    <x v="2"/>
    <m/>
    <s v="reclaimer_debra"/>
    <s v="allocator_new"/>
    <s v="pool_none"/>
    <n v="30000"/>
    <n v="20"/>
    <n v="20"/>
    <n v="0"/>
    <n v="1"/>
    <n v="200000000"/>
    <n v="190"/>
    <n v="190"/>
    <n v="190"/>
    <n v="0"/>
    <s v="insertIfAbsent"/>
    <n v="1.00000262477594E+16"/>
    <n v="100001982"/>
    <n v="1.00000262477594E+16"/>
    <n v="100001982"/>
    <s v="success"/>
    <n v="33"/>
    <n v="68333894"/>
    <n v="51814404"/>
    <n v="120148298"/>
    <n v="100001982"/>
    <n v="1.7582500000000001"/>
    <n v="1.93"/>
    <n v="1.8323199999999999"/>
    <n v="26.6096"/>
    <n v="6728304688"/>
    <m/>
    <m/>
    <m/>
    <s v="772 11742"/>
    <m/>
    <m/>
    <n v="1123507948"/>
    <n v="0"/>
    <n v="749031960"/>
    <n v="1123507948"/>
    <n v="1872539908"/>
    <n v="37450264"/>
    <n v="0"/>
    <n v="24967732"/>
    <n v="37450264"/>
    <n v="62417996"/>
    <n v="44.072699999999998"/>
    <n v="21.360700000000001"/>
    <n v="8468.83"/>
    <n v="6813.17"/>
    <n v="10618"/>
    <n v="2755"/>
    <x v="2"/>
  </r>
  <r>
    <s v="istree_exp2_memory_static/step10012.txt"/>
    <x v="3"/>
    <m/>
    <s v="reclaimer_debra"/>
    <s v="allocator_new"/>
    <s v="pool_none"/>
    <n v="30000"/>
    <n v="20"/>
    <n v="20"/>
    <n v="0"/>
    <n v="1"/>
    <n v="200000000"/>
    <n v="190"/>
    <n v="190"/>
    <n v="190"/>
    <n v="0"/>
    <s v="insertIfAbsent"/>
    <n v="1.00005698410091E+16"/>
    <n v="100003561"/>
    <n v="1.00005698410091E+16"/>
    <n v="100003561"/>
    <s v="success"/>
    <n v="73"/>
    <n v="100003560"/>
    <n v="100003561"/>
    <n v="200007121"/>
    <n v="100003561"/>
    <n v="2"/>
    <n v="1"/>
    <n v="1.5"/>
    <n v="35.541699999999999"/>
    <n v="6400227872"/>
    <m/>
    <m/>
    <m/>
    <s v="748 9946"/>
    <m/>
    <m/>
    <n v="904604344"/>
    <n v="0"/>
    <n v="603038908"/>
    <n v="904604344"/>
    <n v="1507643252"/>
    <n v="30153478"/>
    <n v="0"/>
    <n v="20101296"/>
    <n v="30153478"/>
    <n v="50254775"/>
    <n v="42.015599999999999"/>
    <n v="21.660599999999999"/>
    <n v="10518"/>
    <n v="8684.2900000000009"/>
    <n v="10963"/>
    <n v="2838"/>
    <x v="2"/>
  </r>
  <r>
    <s v="istree_exp2_memory_static/step10013.txt"/>
    <x v="0"/>
    <n v="72"/>
    <s v="reclaimer_debra"/>
    <s v="allocator_new"/>
    <s v="pool_none"/>
    <n v="30000"/>
    <n v="20"/>
    <n v="20"/>
    <n v="0"/>
    <n v="1"/>
    <n v="2000000000"/>
    <n v="190"/>
    <n v="190"/>
    <n v="190"/>
    <n v="0"/>
    <s v="insertIfAbsent"/>
    <n v="9.9999087679716198E+17"/>
    <n v="1000010792"/>
    <n v="9.9999087679716198E+17"/>
    <n v="1000010792"/>
    <s v="success"/>
    <n v="7"/>
    <n v="117327574"/>
    <n v="1148792284"/>
    <n v="1266119858"/>
    <n v="1000010792"/>
    <n v="10.7913"/>
    <n v="0.87048899999999996"/>
    <n v="1.78982"/>
    <n v="4.0703500000000004"/>
    <n v="27816962896"/>
    <s v="2 32600 3965486 65929874 18604070"/>
    <s v="1 32598 3965429 65929818 18604065"/>
    <n v="54208"/>
    <n v="13920"/>
    <m/>
    <m/>
    <n v="1451426339"/>
    <n v="0"/>
    <n v="967613550"/>
    <n v="1451426339"/>
    <n v="2419039889"/>
    <n v="48380877"/>
    <n v="0"/>
    <n v="32253785"/>
    <n v="48380877"/>
    <n v="80634662"/>
    <n v="30.591000000000001"/>
    <n v="19.666"/>
    <n v="5801.34"/>
    <n v="4637.0200000000004"/>
    <n v="120708"/>
    <n v="9082"/>
    <x v="3"/>
  </r>
  <r>
    <s v="istree_exp2_memory_static/step10014.txt"/>
    <x v="1"/>
    <n v="208"/>
    <s v="reclaimer_debra"/>
    <s v="allocator_new"/>
    <s v="pool_none"/>
    <n v="30000"/>
    <n v="20"/>
    <n v="20"/>
    <n v="0"/>
    <n v="1"/>
    <n v="2000000000"/>
    <n v="190"/>
    <n v="190"/>
    <n v="190"/>
    <n v="0"/>
    <s v="insertIfAbsent"/>
    <n v="1.00002234055185E+18"/>
    <n v="1000021130"/>
    <n v="1.00002234055185E+18"/>
    <n v="1000021130"/>
    <s v="success"/>
    <n v="12"/>
    <n v="20667629"/>
    <n v="142190511"/>
    <n v="162858140"/>
    <n v="1000021130"/>
    <n v="7.8798700000000004"/>
    <n v="7.0329699999999997"/>
    <n v="7.1404399999999999"/>
    <n v="11"/>
    <n v="33874493120"/>
    <m/>
    <m/>
    <m/>
    <s v="26484 39810"/>
    <m/>
    <m/>
    <n v="1278327953"/>
    <n v="0"/>
    <n v="852228003"/>
    <n v="1278327953"/>
    <n v="2130555956"/>
    <n v="42610931"/>
    <n v="0"/>
    <n v="28407600"/>
    <n v="42610931"/>
    <n v="71018531"/>
    <n v="37.326500000000003"/>
    <n v="21.295000000000002"/>
    <n v="7300.55"/>
    <n v="5605.8"/>
    <n v="62919"/>
    <n v="61314"/>
    <x v="3"/>
  </r>
  <r>
    <s v="istree_exp2_memory_static/step10015.txt"/>
    <x v="2"/>
    <m/>
    <s v="reclaimer_debra"/>
    <s v="allocator_new"/>
    <s v="pool_none"/>
    <n v="30000"/>
    <n v="20"/>
    <n v="20"/>
    <n v="0"/>
    <n v="1"/>
    <n v="2000000000"/>
    <n v="190"/>
    <n v="190"/>
    <n v="190"/>
    <n v="0"/>
    <s v="insertIfAbsent"/>
    <n v="1.00001578952269E+18"/>
    <n v="999995294"/>
    <n v="1.00001578952269E+18"/>
    <n v="999995294"/>
    <s v="success"/>
    <n v="37"/>
    <n v="597715529"/>
    <n v="450207617"/>
    <n v="1047923146"/>
    <n v="999995294"/>
    <n v="1.7532099999999999"/>
    <n v="2.22119"/>
    <n v="1.9542600000000001"/>
    <n v="29.540400000000002"/>
    <n v="58683696176"/>
    <m/>
    <m/>
    <m/>
    <s v="7936 15382"/>
    <m/>
    <m/>
    <n v="769014846"/>
    <n v="0"/>
    <n v="512692934"/>
    <n v="769014846"/>
    <n v="1281707780"/>
    <n v="25633828"/>
    <n v="0"/>
    <n v="17089764"/>
    <n v="25633828"/>
    <n v="42723592"/>
    <n v="58.135899999999999"/>
    <n v="32.901400000000002"/>
    <n v="12373.8"/>
    <n v="10620.1"/>
    <n v="69551"/>
    <n v="32730"/>
    <x v="3"/>
  </r>
  <r>
    <s v="istree_exp2_memory_static/step10016.txt"/>
    <x v="3"/>
    <m/>
    <s v="reclaimer_debra"/>
    <s v="allocator_new"/>
    <s v="pool_none"/>
    <n v="30000"/>
    <n v="20"/>
    <n v="20"/>
    <n v="0"/>
    <n v="1"/>
    <n v="2000000000"/>
    <n v="190"/>
    <n v="190"/>
    <n v="190"/>
    <n v="0"/>
    <s v="insertIfAbsent"/>
    <n v="1.0000221798909199E+18"/>
    <n v="1000004952"/>
    <n v="1.0000221798909199E+18"/>
    <n v="1000004952"/>
    <s v="success"/>
    <n v="78"/>
    <n v="1000004951"/>
    <n v="1000004952"/>
    <n v="2000009903"/>
    <n v="1000004952"/>
    <n v="2"/>
    <n v="1"/>
    <n v="1.5"/>
    <n v="39.877699999999997"/>
    <n v="64000316896"/>
    <m/>
    <m/>
    <m/>
    <s v="7812 14106"/>
    <m/>
    <m/>
    <n v="613340292"/>
    <n v="0"/>
    <n v="408883366"/>
    <n v="613340292"/>
    <n v="1022223658"/>
    <n v="20444676"/>
    <n v="0"/>
    <n v="13629445"/>
    <n v="20444676"/>
    <n v="34074121"/>
    <n v="57.197400000000002"/>
    <n v="33.394399999999997"/>
    <n v="15509.5"/>
    <n v="13229.1"/>
    <n v="69311"/>
    <n v="33766"/>
    <x v="3"/>
  </r>
  <r>
    <s v="istree_exp2_memory_static/step10017.txt"/>
    <x v="0"/>
    <n v="72"/>
    <s v="reclaimer_debra"/>
    <s v="allocator_new"/>
    <s v="pool_none"/>
    <n v="30000"/>
    <n v="20"/>
    <n v="20"/>
    <n v="0"/>
    <n v="1"/>
    <n v="2000000"/>
    <n v="190"/>
    <n v="190"/>
    <n v="190"/>
    <n v="0"/>
    <s v="insertIfAbsent"/>
    <n v="999010816454"/>
    <n v="999091"/>
    <n v="999010816454"/>
    <n v="999091"/>
    <s v="success"/>
    <n v="6"/>
    <n v="54155"/>
    <n v="1074657"/>
    <n v="1128812"/>
    <n v="999091"/>
    <n v="20.844100000000001"/>
    <n v="0.92968399999999995"/>
    <n v="1.8850800000000001"/>
    <n v="3.0442499999999999"/>
    <n v="21548416"/>
    <s v="6904 5341392 2595065 21302791"/>
    <s v="2271 5284693 2576793 21298950"/>
    <n v="23348624"/>
    <n v="20370"/>
    <m/>
    <m/>
    <n v="1701951673"/>
    <n v="0"/>
    <n v="1134675505"/>
    <n v="1701951673"/>
    <n v="2836627178"/>
    <n v="56731722"/>
    <n v="0"/>
    <n v="37822516"/>
    <n v="56731722"/>
    <n v="94554239"/>
    <n v="25.0398"/>
    <n v="11.8881"/>
    <n v="5590.58"/>
    <n v="4311"/>
    <n v="1754"/>
    <n v="327"/>
    <x v="0"/>
  </r>
  <r>
    <s v="istree_exp2_memory_static/step10018.txt"/>
    <x v="1"/>
    <n v="208"/>
    <s v="reclaimer_debra"/>
    <s v="allocator_new"/>
    <s v="pool_none"/>
    <n v="30000"/>
    <n v="20"/>
    <n v="20"/>
    <n v="0"/>
    <n v="1"/>
    <n v="2000000"/>
    <n v="190"/>
    <n v="190"/>
    <n v="190"/>
    <n v="0"/>
    <s v="insertIfAbsent"/>
    <n v="1000560330650"/>
    <n v="1000378"/>
    <n v="1000560330650"/>
    <n v="1000378"/>
    <s v="success"/>
    <n v="8"/>
    <n v="35835"/>
    <n v="194966"/>
    <n v="230801"/>
    <n v="1000378"/>
    <n v="6.4406600000000003"/>
    <n v="5.1310399999999996"/>
    <n v="5.3343699999999998"/>
    <n v="7"/>
    <n v="48006608"/>
    <m/>
    <m/>
    <m/>
    <n v="40598"/>
    <m/>
    <m/>
    <n v="2206370350"/>
    <n v="0"/>
    <n v="1470945187"/>
    <n v="2206370350"/>
    <n v="3677315537"/>
    <n v="73545678"/>
    <n v="0"/>
    <n v="49031506"/>
    <n v="73545678"/>
    <n v="122577184"/>
    <n v="16.1112"/>
    <n v="5.8808100000000003"/>
    <n v="3904.5"/>
    <n v="1696.22"/>
    <n v="1365"/>
    <n v="242"/>
    <x v="0"/>
  </r>
  <r>
    <s v="istree_exp2_memory_static/step10019.txt"/>
    <x v="2"/>
    <m/>
    <s v="reclaimer_debra"/>
    <s v="allocator_new"/>
    <s v="pool_none"/>
    <n v="30000"/>
    <n v="20"/>
    <n v="20"/>
    <n v="0"/>
    <n v="1"/>
    <n v="2000000"/>
    <n v="190"/>
    <n v="190"/>
    <n v="190"/>
    <n v="0"/>
    <s v="insertIfAbsent"/>
    <n v="1000624129163"/>
    <n v="1000754"/>
    <n v="1000624129163"/>
    <n v="1000754"/>
    <s v="success"/>
    <n v="25"/>
    <n v="686286"/>
    <n v="520429"/>
    <n v="1206715"/>
    <n v="1000754"/>
    <n v="1.7583299999999999"/>
    <n v="1.9229400000000001"/>
    <n v="1.8293200000000001"/>
    <n v="19.794699999999999"/>
    <n v="67576040"/>
    <m/>
    <m/>
    <m/>
    <n v="26602"/>
    <m/>
    <m/>
    <n v="2563691648"/>
    <n v="0"/>
    <n v="1709072802"/>
    <n v="2563691648"/>
    <n v="4272764450"/>
    <n v="85456388"/>
    <n v="0"/>
    <n v="56969093"/>
    <n v="85456388"/>
    <n v="142425481"/>
    <n v="21.928999999999998"/>
    <n v="4.9117499999999996"/>
    <n v="3680.39"/>
    <n v="2126.9899999999998"/>
    <n v="1258"/>
    <n v="316"/>
    <x v="0"/>
  </r>
  <r>
    <s v="istree_exp2_memory_static/step10020.txt"/>
    <x v="3"/>
    <m/>
    <s v="reclaimer_debra"/>
    <s v="allocator_new"/>
    <s v="pool_none"/>
    <n v="30000"/>
    <n v="20"/>
    <n v="20"/>
    <n v="0"/>
    <n v="1"/>
    <n v="2000000"/>
    <n v="190"/>
    <n v="190"/>
    <n v="190"/>
    <n v="0"/>
    <s v="insertIfAbsent"/>
    <n v="1000072963250"/>
    <n v="1000121"/>
    <n v="1000072963250"/>
    <n v="1000121"/>
    <s v="success"/>
    <n v="47"/>
    <n v="1000120"/>
    <n v="1000121"/>
    <n v="2000241"/>
    <n v="1000121"/>
    <n v="2"/>
    <n v="1"/>
    <n v="1.5"/>
    <n v="25.620699999999999"/>
    <n v="64007712"/>
    <m/>
    <m/>
    <m/>
    <n v="27232"/>
    <m/>
    <m/>
    <n v="2195952926"/>
    <n v="0"/>
    <n v="1463957292"/>
    <n v="2195952926"/>
    <n v="3659910218"/>
    <n v="73198430"/>
    <n v="0"/>
    <n v="48798576"/>
    <n v="73198430"/>
    <n v="121997007"/>
    <n v="16.889900000000001"/>
    <n v="4.3473899999999999"/>
    <n v="4308.22"/>
    <n v="2488.5500000000002"/>
    <n v="1234"/>
    <n v="324"/>
    <x v="0"/>
  </r>
  <r>
    <s v="istree_exp2_memory_static/step10021.txt"/>
    <x v="0"/>
    <n v="72"/>
    <s v="reclaimer_debra"/>
    <s v="allocator_new"/>
    <s v="pool_none"/>
    <n v="30000"/>
    <n v="20"/>
    <n v="20"/>
    <n v="0"/>
    <n v="1"/>
    <n v="20000000"/>
    <n v="190"/>
    <n v="190"/>
    <n v="190"/>
    <n v="0"/>
    <s v="insertIfAbsent"/>
    <n v="99978216611567"/>
    <n v="9998193"/>
    <n v="99978216611567"/>
    <n v="9998193"/>
    <s v="success"/>
    <n v="7"/>
    <n v="1700815"/>
    <n v="11592403"/>
    <n v="13293218"/>
    <n v="9998193"/>
    <n v="7.8157899999999998"/>
    <n v="0.86247799999999997"/>
    <n v="1.75213"/>
    <n v="4.01511"/>
    <n v="321543760"/>
    <s v="886 734046 6190365 155272132 390151"/>
    <s v="232 733779 6185039 155264795 390146"/>
    <n v="2921946"/>
    <n v="22234"/>
    <m/>
    <m/>
    <n v="1740434990"/>
    <n v="0"/>
    <n v="1160261348"/>
    <n v="1740434990"/>
    <n v="2900696338"/>
    <n v="58014499"/>
    <n v="0"/>
    <n v="38675378"/>
    <n v="58014499"/>
    <n v="96689877"/>
    <n v="28.633600000000001"/>
    <n v="15.3149"/>
    <n v="5297.89"/>
    <n v="3646.4"/>
    <n v="2937"/>
    <n v="409"/>
    <x v="1"/>
  </r>
  <r>
    <s v="istree_exp2_memory_static/step10022.txt"/>
    <x v="1"/>
    <n v="208"/>
    <s v="reclaimer_debra"/>
    <s v="allocator_new"/>
    <s v="pool_none"/>
    <n v="30000"/>
    <n v="20"/>
    <n v="20"/>
    <n v="0"/>
    <n v="1"/>
    <n v="20000000"/>
    <n v="190"/>
    <n v="190"/>
    <n v="190"/>
    <n v="0"/>
    <s v="insertIfAbsent"/>
    <n v="99992444980420"/>
    <n v="9998700"/>
    <n v="99992444980420"/>
    <n v="9998700"/>
    <s v="success"/>
    <n v="9"/>
    <n v="327597"/>
    <n v="1955529"/>
    <n v="2283126"/>
    <n v="9998700"/>
    <n v="6.9693100000000001"/>
    <n v="5.1130399999999998"/>
    <n v="5.3793899999999999"/>
    <n v="8"/>
    <n v="474890208"/>
    <m/>
    <m/>
    <m/>
    <s v="446 29256"/>
    <m/>
    <m/>
    <n v="2222677995"/>
    <n v="0"/>
    <n v="1481825303"/>
    <n v="2222677995"/>
    <n v="3704503298"/>
    <n v="74089266"/>
    <n v="0"/>
    <n v="49394176"/>
    <n v="74089266"/>
    <n v="123483443"/>
    <n v="22.916499999999999"/>
    <n v="9.1289499999999997"/>
    <n v="4256.51"/>
    <n v="2407.6799999999998"/>
    <n v="2155"/>
    <n v="866"/>
    <x v="1"/>
  </r>
  <r>
    <s v="istree_exp2_memory_static/step10023.txt"/>
    <x v="2"/>
    <m/>
    <s v="reclaimer_debra"/>
    <s v="allocator_new"/>
    <s v="pool_none"/>
    <n v="30000"/>
    <n v="20"/>
    <n v="20"/>
    <n v="0"/>
    <n v="1"/>
    <n v="20000000"/>
    <n v="190"/>
    <n v="190"/>
    <n v="190"/>
    <n v="0"/>
    <s v="insertIfAbsent"/>
    <n v="100010972543687"/>
    <n v="10000232"/>
    <n v="100010972543687"/>
    <n v="10000232"/>
    <s v="success"/>
    <n v="29"/>
    <n v="6858633"/>
    <n v="5204565"/>
    <n v="12063198"/>
    <n v="10000232"/>
    <n v="1.7588299999999999"/>
    <n v="1.92143"/>
    <n v="1.8289899999999999"/>
    <n v="23.265499999999999"/>
    <n v="675539088"/>
    <m/>
    <m/>
    <m/>
    <s v="168 16430"/>
    <m/>
    <m/>
    <n v="1654722243"/>
    <n v="0"/>
    <n v="1103085658"/>
    <n v="1654722243"/>
    <n v="2757807901"/>
    <n v="55157408"/>
    <n v="0"/>
    <n v="36769521"/>
    <n v="55157408"/>
    <n v="91926930"/>
    <n v="32.762999999999998"/>
    <n v="12.2781"/>
    <n v="5746.02"/>
    <n v="4133.54"/>
    <n v="2508"/>
    <n v="424"/>
    <x v="1"/>
  </r>
  <r>
    <s v="istree_exp2_memory_static/step10024.txt"/>
    <x v="3"/>
    <m/>
    <s v="reclaimer_debra"/>
    <s v="allocator_new"/>
    <s v="pool_none"/>
    <n v="30000"/>
    <n v="20"/>
    <n v="20"/>
    <n v="0"/>
    <n v="1"/>
    <n v="20000000"/>
    <n v="190"/>
    <n v="190"/>
    <n v="190"/>
    <n v="0"/>
    <s v="insertIfAbsent"/>
    <n v="99990438031842"/>
    <n v="9998156"/>
    <n v="99990438031842"/>
    <n v="9998156"/>
    <s v="success"/>
    <n v="58"/>
    <n v="9998155"/>
    <n v="9998156"/>
    <n v="19996311"/>
    <n v="9998156"/>
    <n v="2"/>
    <n v="1"/>
    <n v="1.5"/>
    <n v="31.1159"/>
    <n v="639881952"/>
    <m/>
    <m/>
    <m/>
    <s v="144 14230"/>
    <m/>
    <m/>
    <n v="1293204744"/>
    <n v="0"/>
    <n v="862167957"/>
    <n v="1293204744"/>
    <n v="2155372701"/>
    <n v="43106824"/>
    <n v="0"/>
    <n v="28738931"/>
    <n v="43106824"/>
    <n v="71845756"/>
    <n v="29.338799999999999"/>
    <n v="12.1272"/>
    <n v="7355.82"/>
    <n v="5293.68"/>
    <n v="2359"/>
    <n v="417"/>
    <x v="1"/>
  </r>
  <r>
    <s v="istree_exp2_memory_static/step10025.txt"/>
    <x v="0"/>
    <n v="72"/>
    <s v="reclaimer_debra"/>
    <s v="allocator_new"/>
    <s v="pool_none"/>
    <n v="30000"/>
    <n v="20"/>
    <n v="20"/>
    <n v="0"/>
    <n v="1"/>
    <n v="200000000"/>
    <n v="190"/>
    <n v="190"/>
    <n v="190"/>
    <n v="0"/>
    <s v="insertIfAbsent"/>
    <n v="9998695594434630"/>
    <n v="99986307"/>
    <n v="9998695594434630"/>
    <n v="99986307"/>
    <s v="success"/>
    <n v="7"/>
    <n v="11010055"/>
    <n v="109986398"/>
    <n v="120996453"/>
    <n v="99986307"/>
    <n v="10.989599999999999"/>
    <n v="0.90907899999999997"/>
    <n v="1.82636"/>
    <n v="4"/>
    <n v="2640586752"/>
    <s v="96 199982 6884819 77730559 13316756"/>
    <s v="20 199964 6884170 77730049 13316732"/>
    <n v="511657"/>
    <n v="12582"/>
    <m/>
    <m/>
    <n v="1499907987"/>
    <n v="0"/>
    <n v="999928476"/>
    <n v="1499907987"/>
    <n v="2499836463"/>
    <n v="49996932"/>
    <n v="0"/>
    <n v="33330949"/>
    <n v="49996932"/>
    <n v="83327882"/>
    <n v="31.535499999999999"/>
    <n v="17.637"/>
    <n v="5693.12"/>
    <n v="4219.47"/>
    <n v="14445"/>
    <n v="1222"/>
    <x v="2"/>
  </r>
  <r>
    <s v="istree_exp2_memory_static/step10026.txt"/>
    <x v="1"/>
    <n v="208"/>
    <s v="reclaimer_debra"/>
    <s v="allocator_new"/>
    <s v="pool_none"/>
    <n v="30000"/>
    <n v="20"/>
    <n v="20"/>
    <n v="0"/>
    <n v="1"/>
    <n v="200000000"/>
    <n v="190"/>
    <n v="190"/>
    <n v="190"/>
    <n v="0"/>
    <s v="insertIfAbsent"/>
    <n v="1.00011991390026E+16"/>
    <n v="100007613"/>
    <n v="1.00011991390026E+16"/>
    <n v="100007613"/>
    <s v="success"/>
    <n v="11"/>
    <n v="2666622"/>
    <n v="18218588"/>
    <n v="20885210"/>
    <n v="100007613"/>
    <n v="7.8320800000000004"/>
    <n v="5.4893200000000002"/>
    <n v="5.7884399999999996"/>
    <n v="10"/>
    <n v="4344123680"/>
    <m/>
    <m/>
    <m/>
    <s v="3008 23598"/>
    <m/>
    <m/>
    <n v="1743782774"/>
    <n v="0"/>
    <n v="1162542574"/>
    <n v="1743782774"/>
    <n v="2906325348"/>
    <n v="58126092"/>
    <n v="0"/>
    <n v="38751419"/>
    <n v="58126092"/>
    <n v="96877511"/>
    <n v="29.551600000000001"/>
    <n v="13.935700000000001"/>
    <n v="5416.49"/>
    <n v="3546.83"/>
    <n v="9786"/>
    <n v="6156"/>
    <x v="2"/>
  </r>
  <r>
    <s v="istree_exp2_memory_static/step10027.txt"/>
    <x v="2"/>
    <m/>
    <s v="reclaimer_debra"/>
    <s v="allocator_new"/>
    <s v="pool_none"/>
    <n v="30000"/>
    <n v="20"/>
    <n v="20"/>
    <n v="0"/>
    <n v="1"/>
    <n v="200000000"/>
    <n v="190"/>
    <n v="190"/>
    <n v="190"/>
    <n v="0"/>
    <s v="insertIfAbsent"/>
    <n v="9999544731183780"/>
    <n v="99997047"/>
    <n v="9999544731183780"/>
    <n v="99997047"/>
    <s v="success"/>
    <n v="33"/>
    <n v="68325523"/>
    <n v="51807796"/>
    <n v="120133319"/>
    <n v="99997047"/>
    <n v="1.7582500000000001"/>
    <n v="1.93015"/>
    <n v="1.8323799999999999"/>
    <n v="26.622399999999999"/>
    <n v="6727465864"/>
    <m/>
    <m/>
    <m/>
    <s v="776 11742"/>
    <m/>
    <m/>
    <n v="1120935870"/>
    <n v="0"/>
    <n v="747307277"/>
    <n v="1120935870"/>
    <n v="1868243147"/>
    <n v="37364529"/>
    <n v="0"/>
    <n v="24910242"/>
    <n v="37364529"/>
    <n v="62274771"/>
    <n v="44.418700000000001"/>
    <n v="21.368200000000002"/>
    <n v="8488.2000000000007"/>
    <n v="6829.83"/>
    <n v="10609"/>
    <n v="2767"/>
    <x v="2"/>
  </r>
  <r>
    <s v="istree_exp2_memory_static/step10028.txt"/>
    <x v="3"/>
    <m/>
    <s v="reclaimer_debra"/>
    <s v="allocator_new"/>
    <s v="pool_none"/>
    <n v="30000"/>
    <n v="20"/>
    <n v="20"/>
    <n v="0"/>
    <n v="1"/>
    <n v="200000000"/>
    <n v="190"/>
    <n v="190"/>
    <n v="190"/>
    <n v="0"/>
    <s v="insertIfAbsent"/>
    <n v="9998958700197300"/>
    <n v="99988117"/>
    <n v="9998958700197300"/>
    <n v="99988117"/>
    <s v="success"/>
    <n v="67"/>
    <n v="99988116"/>
    <n v="99988117"/>
    <n v="199976233"/>
    <n v="99988117"/>
    <n v="2"/>
    <n v="1"/>
    <n v="1.5"/>
    <n v="35.729100000000003"/>
    <n v="6399239456"/>
    <m/>
    <m/>
    <m/>
    <s v="740 9912"/>
    <m/>
    <m/>
    <n v="901131308"/>
    <n v="0"/>
    <n v="600768772"/>
    <n v="901131308"/>
    <n v="1501900080"/>
    <n v="30037710"/>
    <n v="0"/>
    <n v="20025625"/>
    <n v="30037710"/>
    <n v="50063336"/>
    <n v="42.103999999999999"/>
    <n v="21.6463"/>
    <n v="10558.8"/>
    <n v="8716.0499999999993"/>
    <n v="10958"/>
    <n v="2830"/>
    <x v="2"/>
  </r>
  <r>
    <s v="istree_exp2_memory_static/step10029.txt"/>
    <x v="0"/>
    <n v="72"/>
    <s v="reclaimer_debra"/>
    <s v="allocator_new"/>
    <s v="pool_none"/>
    <n v="30000"/>
    <n v="20"/>
    <n v="20"/>
    <n v="0"/>
    <n v="1"/>
    <n v="2000000000"/>
    <n v="190"/>
    <n v="190"/>
    <n v="190"/>
    <n v="0"/>
    <s v="insertIfAbsent"/>
    <n v="9.9996415664215194E+17"/>
    <n v="999987925"/>
    <n v="9.9996415664215194E+17"/>
    <n v="999987925"/>
    <s v="success"/>
    <n v="7"/>
    <n v="118931676"/>
    <n v="1152196218"/>
    <n v="1271127894"/>
    <n v="999987925"/>
    <n v="10.687900000000001"/>
    <n v="0.86789700000000003"/>
    <n v="1.7866899999999999"/>
    <n v="4.0737899999999998"/>
    <n v="28002305024"/>
    <s v="3 31721 3830569 65504169 18521212"/>
    <s v="1 31720 3830513 65504121 18521211"/>
    <n v="52720"/>
    <n v="13790"/>
    <m/>
    <m/>
    <n v="1443596661"/>
    <n v="0"/>
    <n v="962427657"/>
    <n v="1443596661"/>
    <n v="2406024318"/>
    <n v="48119888"/>
    <n v="0"/>
    <n v="32080921"/>
    <n v="48119888"/>
    <n v="80200810"/>
    <n v="30.560500000000001"/>
    <n v="19.623000000000001"/>
    <n v="5807.6"/>
    <n v="4644.59"/>
    <n v="120697"/>
    <n v="9093"/>
    <x v="3"/>
  </r>
  <r>
    <s v="istree_exp2_memory_static/step10030.txt"/>
    <x v="1"/>
    <n v="208"/>
    <s v="reclaimer_debra"/>
    <s v="allocator_new"/>
    <s v="pool_none"/>
    <n v="30000"/>
    <n v="20"/>
    <n v="20"/>
    <n v="0"/>
    <n v="1"/>
    <n v="2000000000"/>
    <n v="190"/>
    <n v="190"/>
    <n v="190"/>
    <n v="0"/>
    <s v="insertIfAbsent"/>
    <n v="1.00004176448979E+18"/>
    <n v="1000004269"/>
    <n v="1.00004176448979E+18"/>
    <n v="1000004269"/>
    <s v="success"/>
    <n v="12"/>
    <n v="20670567"/>
    <n v="142210699"/>
    <n v="162881266"/>
    <n v="1000004269"/>
    <n v="7.8798599999999999"/>
    <n v="7.0318500000000004"/>
    <n v="7.1394700000000002"/>
    <n v="11"/>
    <n v="33879303328"/>
    <m/>
    <m/>
    <m/>
    <s v="26630 40098"/>
    <m/>
    <m/>
    <n v="1281425127"/>
    <n v="0"/>
    <n v="854225553"/>
    <n v="1281425127"/>
    <n v="2135650680"/>
    <n v="42714170"/>
    <n v="0"/>
    <n v="28474185"/>
    <n v="42714170"/>
    <n v="71188356"/>
    <n v="37.515300000000003"/>
    <n v="21.302399999999999"/>
    <n v="7295.97"/>
    <n v="5602.5"/>
    <n v="62912"/>
    <n v="61304"/>
    <x v="3"/>
  </r>
  <r>
    <s v="istree_exp2_memory_static/step10031.txt"/>
    <x v="2"/>
    <m/>
    <s v="reclaimer_debra"/>
    <s v="allocator_new"/>
    <s v="pool_none"/>
    <n v="30000"/>
    <n v="20"/>
    <n v="20"/>
    <n v="0"/>
    <n v="1"/>
    <n v="2000000000"/>
    <n v="190"/>
    <n v="190"/>
    <n v="190"/>
    <n v="0"/>
    <s v="insertIfAbsent"/>
    <n v="9.9997516025946906E+17"/>
    <n v="999980510"/>
    <n v="9.9997516025946906E+17"/>
    <n v="999980510"/>
    <s v="success"/>
    <n v="37"/>
    <n v="597688850"/>
    <n v="450193191"/>
    <n v="1047882041"/>
    <n v="999980510"/>
    <n v="1.75322"/>
    <n v="2.2212299999999998"/>
    <n v="1.9542900000000001"/>
    <n v="29.603000000000002"/>
    <n v="58681394296"/>
    <m/>
    <m/>
    <m/>
    <s v="7956 15426"/>
    <m/>
    <m/>
    <n v="768609392"/>
    <n v="0"/>
    <n v="512428703"/>
    <n v="768609392"/>
    <n v="1281038095"/>
    <n v="25620313"/>
    <n v="0"/>
    <n v="17080956"/>
    <n v="25620313"/>
    <n v="42701269"/>
    <n v="58.092300000000002"/>
    <n v="32.907299999999999"/>
    <n v="12378.8"/>
    <n v="10599.6"/>
    <n v="69542"/>
    <n v="32773"/>
    <x v="3"/>
  </r>
  <r>
    <s v="istree_exp2_memory_static/step10032.txt"/>
    <x v="3"/>
    <m/>
    <s v="reclaimer_debra"/>
    <s v="allocator_new"/>
    <s v="pool_none"/>
    <n v="30000"/>
    <n v="20"/>
    <n v="20"/>
    <n v="0"/>
    <n v="1"/>
    <n v="2000000000"/>
    <n v="190"/>
    <n v="190"/>
    <n v="190"/>
    <n v="0"/>
    <s v="insertIfAbsent"/>
    <n v="1.00000135238129E+18"/>
    <n v="999985701"/>
    <n v="1.00000135238129E+18"/>
    <n v="999985701"/>
    <s v="success"/>
    <n v="80"/>
    <n v="999985700"/>
    <n v="999985701"/>
    <n v="1999971401"/>
    <n v="999985701"/>
    <n v="2"/>
    <n v="1"/>
    <n v="1.5"/>
    <n v="40.814"/>
    <n v="63999084832"/>
    <m/>
    <m/>
    <m/>
    <s v="7814 14092"/>
    <m/>
    <m/>
    <n v="612231805"/>
    <n v="0"/>
    <n v="408132959"/>
    <n v="612231805"/>
    <n v="1020364764"/>
    <n v="20407726"/>
    <n v="0"/>
    <n v="13604431"/>
    <n v="20407726"/>
    <n v="34012158"/>
    <n v="57.317399999999999"/>
    <n v="33.393599999999999"/>
    <n v="15537.1"/>
    <n v="13244.3"/>
    <n v="69303"/>
    <n v="33762"/>
    <x v="3"/>
  </r>
  <r>
    <s v="istree_exp2_memory_static/step10033.txt"/>
    <x v="0"/>
    <n v="72"/>
    <s v="reclaimer_debra"/>
    <s v="allocator_new"/>
    <s v="pool_none"/>
    <n v="30000"/>
    <n v="20"/>
    <n v="20"/>
    <n v="0"/>
    <n v="1"/>
    <n v="2000000"/>
    <n v="190"/>
    <n v="190"/>
    <n v="190"/>
    <n v="0"/>
    <s v="insertIfAbsent"/>
    <n v="999990749896"/>
    <n v="999711"/>
    <n v="999990749896"/>
    <n v="999711"/>
    <s v="success"/>
    <n v="6"/>
    <n v="56086"/>
    <n v="1078615"/>
    <n v="1134701"/>
    <n v="999711"/>
    <n v="20.231400000000001"/>
    <n v="0.92684699999999998"/>
    <n v="1.88103"/>
    <n v="3.0480800000000001"/>
    <n v="21765088"/>
    <s v="6932 5345550 2598349 21326874"/>
    <s v="2274 5288765 2579946 21323038"/>
    <n v="23422445"/>
    <n v="20396"/>
    <m/>
    <m/>
    <n v="1703742703"/>
    <n v="0"/>
    <n v="1135806752"/>
    <n v="1703742703"/>
    <n v="2839549455"/>
    <n v="56791423"/>
    <n v="0"/>
    <n v="37860225"/>
    <n v="56791423"/>
    <n v="94651648"/>
    <n v="25.049099999999999"/>
    <n v="11.910399999999999"/>
    <n v="5585.2"/>
    <n v="4304.05"/>
    <n v="1752"/>
    <n v="285"/>
    <x v="0"/>
  </r>
  <r>
    <s v="istree_exp2_memory_static/step10034.txt"/>
    <x v="1"/>
    <n v="208"/>
    <s v="reclaimer_debra"/>
    <s v="allocator_new"/>
    <s v="pool_none"/>
    <n v="30000"/>
    <n v="20"/>
    <n v="20"/>
    <n v="0"/>
    <n v="1"/>
    <n v="2000000"/>
    <n v="190"/>
    <n v="190"/>
    <n v="190"/>
    <n v="0"/>
    <s v="insertIfAbsent"/>
    <n v="1000099626953"/>
    <n v="999759"/>
    <n v="1000099626953"/>
    <n v="999759"/>
    <s v="success"/>
    <n v="8"/>
    <n v="35928"/>
    <n v="194807"/>
    <n v="230735"/>
    <n v="999759"/>
    <n v="6.4221500000000002"/>
    <n v="5.1320499999999996"/>
    <n v="5.3329300000000002"/>
    <n v="7"/>
    <n v="47992880"/>
    <m/>
    <m/>
    <m/>
    <n v="40664"/>
    <m/>
    <m/>
    <n v="2237143796"/>
    <n v="0"/>
    <n v="1491361253"/>
    <n v="2237143796"/>
    <n v="3728505049"/>
    <n v="74571459"/>
    <n v="0"/>
    <n v="49712041"/>
    <n v="74571459"/>
    <n v="124283501"/>
    <n v="16.026900000000001"/>
    <n v="5.8723700000000001"/>
    <n v="3869.53"/>
    <n v="1691.08"/>
    <n v="1280"/>
    <n v="312"/>
    <x v="0"/>
  </r>
  <r>
    <s v="istree_exp2_memory_static/step10035.txt"/>
    <x v="2"/>
    <m/>
    <s v="reclaimer_debra"/>
    <s v="allocator_new"/>
    <s v="pool_none"/>
    <n v="30000"/>
    <n v="20"/>
    <n v="20"/>
    <n v="0"/>
    <n v="1"/>
    <n v="2000000"/>
    <n v="190"/>
    <n v="190"/>
    <n v="190"/>
    <n v="0"/>
    <s v="insertIfAbsent"/>
    <n v="1000037925235"/>
    <n v="1000214"/>
    <n v="1000037925235"/>
    <n v="1000214"/>
    <s v="success"/>
    <n v="25"/>
    <n v="685718"/>
    <n v="520483"/>
    <n v="1206201"/>
    <n v="1000214"/>
    <n v="1.7590300000000001"/>
    <n v="1.9217"/>
    <n v="1.8292299999999999"/>
    <n v="19.791399999999999"/>
    <n v="67547256"/>
    <m/>
    <m/>
    <m/>
    <n v="26578"/>
    <m/>
    <m/>
    <n v="2552604675"/>
    <n v="0"/>
    <n v="1701745884"/>
    <n v="2552604675"/>
    <n v="4254350559"/>
    <n v="85086822"/>
    <n v="0"/>
    <n v="56724862"/>
    <n v="85086822"/>
    <n v="141811685"/>
    <n v="21.724399999999999"/>
    <n v="4.9006100000000004"/>
    <n v="3690.99"/>
    <n v="2134.6"/>
    <n v="1258"/>
    <n v="351"/>
    <x v="0"/>
  </r>
  <r>
    <s v="istree_exp2_memory_static/step10036.txt"/>
    <x v="3"/>
    <m/>
    <s v="reclaimer_debra"/>
    <s v="allocator_new"/>
    <s v="pool_none"/>
    <n v="30000"/>
    <n v="20"/>
    <n v="20"/>
    <n v="0"/>
    <n v="1"/>
    <n v="2000000"/>
    <n v="190"/>
    <n v="190"/>
    <n v="190"/>
    <n v="0"/>
    <s v="insertIfAbsent"/>
    <n v="1000150940998"/>
    <n v="1000647"/>
    <n v="1000150940998"/>
    <n v="1000647"/>
    <s v="success"/>
    <n v="46"/>
    <n v="1000646"/>
    <n v="1000647"/>
    <n v="2001293"/>
    <n v="1000647"/>
    <n v="2"/>
    <n v="1"/>
    <n v="1.5"/>
    <n v="25.3246"/>
    <n v="64041376"/>
    <m/>
    <m/>
    <m/>
    <n v="27444"/>
    <m/>
    <m/>
    <n v="2213939219"/>
    <n v="0"/>
    <n v="1475890083"/>
    <n v="2213939219"/>
    <n v="3689829302"/>
    <n v="73797973"/>
    <n v="0"/>
    <n v="49196336"/>
    <n v="73797973"/>
    <n v="122994310"/>
    <n v="16.870999999999999"/>
    <n v="4.3556800000000004"/>
    <n v="4274.25"/>
    <n v="2452.91"/>
    <n v="1228"/>
    <n v="233"/>
    <x v="0"/>
  </r>
  <r>
    <s v="istree_exp2_memory_static/step10037.txt"/>
    <x v="0"/>
    <n v="72"/>
    <s v="reclaimer_debra"/>
    <s v="allocator_new"/>
    <s v="pool_none"/>
    <n v="30000"/>
    <n v="20"/>
    <n v="20"/>
    <n v="0"/>
    <n v="1"/>
    <n v="20000000"/>
    <n v="190"/>
    <n v="190"/>
    <n v="190"/>
    <n v="0"/>
    <s v="insertIfAbsent"/>
    <n v="99999444912992"/>
    <n v="10001160"/>
    <n v="99999444912992"/>
    <n v="10001160"/>
    <s v="success"/>
    <n v="7"/>
    <n v="1902422"/>
    <n v="12026396"/>
    <n v="13928818"/>
    <n v="10001160"/>
    <n v="7.3216200000000002"/>
    <n v="0.83160100000000003"/>
    <n v="1.7180200000000001"/>
    <n v="4.0552999999999999"/>
    <n v="344649120"/>
    <s v="852 730877 6169866 154951003 388359"/>
    <s v="231 730628 6164521 154943530 388354"/>
    <n v="2922992"/>
    <n v="22130"/>
    <m/>
    <m/>
    <n v="1736376855"/>
    <n v="0"/>
    <n v="1157562478"/>
    <n v="1736376855"/>
    <n v="2893939333"/>
    <n v="57879228"/>
    <n v="0"/>
    <n v="38585415"/>
    <n v="57879228"/>
    <n v="96464644"/>
    <n v="28.684000000000001"/>
    <n v="15.3042"/>
    <n v="5314.2"/>
    <n v="3661.99"/>
    <n v="2942"/>
    <n v="379"/>
    <x v="1"/>
  </r>
  <r>
    <s v="istree_exp2_memory_static/step10038.txt"/>
    <x v="1"/>
    <n v="208"/>
    <s v="reclaimer_debra"/>
    <s v="allocator_new"/>
    <s v="pool_none"/>
    <n v="30000"/>
    <n v="20"/>
    <n v="20"/>
    <n v="0"/>
    <n v="1"/>
    <n v="20000000"/>
    <n v="190"/>
    <n v="190"/>
    <n v="190"/>
    <n v="0"/>
    <s v="insertIfAbsent"/>
    <n v="100010169364621"/>
    <n v="9999842"/>
    <n v="100010169364621"/>
    <n v="9999842"/>
    <s v="success"/>
    <n v="10"/>
    <n v="327254"/>
    <n v="1955436"/>
    <n v="2282690"/>
    <n v="9999842"/>
    <n v="6.9752900000000002"/>
    <n v="5.1138700000000004"/>
    <n v="5.3807299999999998"/>
    <n v="9"/>
    <n v="474799520"/>
    <m/>
    <m/>
    <m/>
    <s v="552 29150"/>
    <m/>
    <m/>
    <n v="2222964164"/>
    <n v="0"/>
    <n v="1481934330"/>
    <n v="2222964164"/>
    <n v="3704898494"/>
    <n v="74098805"/>
    <n v="0"/>
    <n v="49397811"/>
    <n v="74098805"/>
    <n v="123496616"/>
    <n v="22.8918"/>
    <n v="9.0995100000000004"/>
    <n v="4256"/>
    <n v="2410.96"/>
    <n v="2171"/>
    <n v="928"/>
    <x v="1"/>
  </r>
  <r>
    <s v="istree_exp2_memory_static/step10039.txt"/>
    <x v="2"/>
    <m/>
    <s v="reclaimer_debra"/>
    <s v="allocator_new"/>
    <s v="pool_none"/>
    <n v="30000"/>
    <n v="20"/>
    <n v="20"/>
    <n v="0"/>
    <n v="1"/>
    <n v="20000000"/>
    <n v="190"/>
    <n v="190"/>
    <n v="190"/>
    <n v="0"/>
    <s v="insertIfAbsent"/>
    <n v="99986671695012"/>
    <n v="9999767"/>
    <n v="99986671695012"/>
    <n v="9999767"/>
    <s v="success"/>
    <n v="29"/>
    <n v="6858881"/>
    <n v="5203969"/>
    <n v="12062850"/>
    <n v="9999767"/>
    <n v="1.7587200000000001"/>
    <n v="1.92157"/>
    <n v="1.82897"/>
    <n v="23.215299999999999"/>
    <n v="675519600"/>
    <m/>
    <m/>
    <m/>
    <s v="164 16344"/>
    <m/>
    <m/>
    <n v="1645141071"/>
    <n v="0"/>
    <n v="1096804540"/>
    <n v="1645141071"/>
    <n v="2741945611"/>
    <n v="54838035"/>
    <n v="0"/>
    <n v="36560151"/>
    <n v="54838035"/>
    <n v="91398187"/>
    <n v="32.672899999999998"/>
    <n v="12.291600000000001"/>
    <n v="5777.57"/>
    <n v="4158.4399999999996"/>
    <n v="2508"/>
    <n v="442"/>
    <x v="1"/>
  </r>
  <r>
    <s v="istree_exp2_memory_static/step10040.txt"/>
    <x v="3"/>
    <m/>
    <s v="reclaimer_debra"/>
    <s v="allocator_new"/>
    <s v="pool_none"/>
    <n v="30000"/>
    <n v="20"/>
    <n v="20"/>
    <n v="0"/>
    <n v="1"/>
    <n v="20000000"/>
    <n v="190"/>
    <n v="190"/>
    <n v="190"/>
    <n v="0"/>
    <s v="insertIfAbsent"/>
    <n v="99991596647085"/>
    <n v="9997536"/>
    <n v="99991596647085"/>
    <n v="9997536"/>
    <s v="success"/>
    <n v="58"/>
    <n v="9997535"/>
    <n v="9997536"/>
    <n v="19995071"/>
    <n v="9997536"/>
    <n v="2"/>
    <n v="1"/>
    <n v="1.5"/>
    <n v="29.589300000000001"/>
    <n v="639842272"/>
    <m/>
    <m/>
    <m/>
    <n v="14256"/>
    <m/>
    <m/>
    <n v="1290619178"/>
    <n v="0"/>
    <n v="860421628"/>
    <n v="1290619178"/>
    <n v="2151040806"/>
    <n v="43020639"/>
    <n v="0"/>
    <n v="28680720"/>
    <n v="43020639"/>
    <n v="71701360"/>
    <n v="29.270199999999999"/>
    <n v="12.1305"/>
    <n v="7356.17"/>
    <n v="5291.15"/>
    <n v="2315"/>
    <n v="416"/>
    <x v="1"/>
  </r>
  <r>
    <s v="istree_exp2_memory_static/step10041.txt"/>
    <x v="0"/>
    <n v="72"/>
    <s v="reclaimer_debra"/>
    <s v="allocator_new"/>
    <s v="pool_none"/>
    <n v="30000"/>
    <n v="20"/>
    <n v="20"/>
    <n v="0"/>
    <n v="1"/>
    <n v="200000000"/>
    <n v="190"/>
    <n v="190"/>
    <n v="190"/>
    <n v="0"/>
    <s v="insertIfAbsent"/>
    <n v="1.00008089360822E+16"/>
    <n v="100003294"/>
    <n v="1.00008089360822E+16"/>
    <n v="100003294"/>
    <s v="success"/>
    <n v="7"/>
    <n v="11095250"/>
    <n v="110172059"/>
    <n v="121267309"/>
    <n v="100003294"/>
    <n v="10.9297"/>
    <n v="0.90770099999999998"/>
    <n v="1.8246500000000001"/>
    <n v="4.00169"/>
    <n v="2650375200"/>
    <s v="84 199960 6887877 77727033 13319610"/>
    <s v="20 199946 6887216 77726595 13319577"/>
    <n v="514694"/>
    <n v="12644"/>
    <m/>
    <m/>
    <n v="1500407309"/>
    <n v="0"/>
    <n v="1000237368"/>
    <n v="1500407309"/>
    <n v="2500644677"/>
    <n v="50013576"/>
    <n v="0"/>
    <n v="33341245"/>
    <n v="50013576"/>
    <n v="83354822"/>
    <n v="31.5763"/>
    <n v="17.665099999999999"/>
    <n v="5694.27"/>
    <n v="4223.2700000000004"/>
    <n v="14424"/>
    <n v="1079"/>
    <x v="2"/>
  </r>
  <r>
    <s v="istree_exp2_memory_static/step10042.txt"/>
    <x v="1"/>
    <n v="208"/>
    <s v="reclaimer_debra"/>
    <s v="allocator_new"/>
    <s v="pool_none"/>
    <n v="30000"/>
    <n v="20"/>
    <n v="20"/>
    <n v="0"/>
    <n v="1"/>
    <n v="200000000"/>
    <n v="190"/>
    <n v="190"/>
    <n v="190"/>
    <n v="0"/>
    <s v="insertIfAbsent"/>
    <n v="9999960049069780"/>
    <n v="99995864"/>
    <n v="9999960049069780"/>
    <n v="99995864"/>
    <s v="success"/>
    <n v="11"/>
    <n v="2667326"/>
    <n v="18224986"/>
    <n v="20892312"/>
    <n v="99995864"/>
    <n v="7.8326799999999999"/>
    <n v="5.4867499999999998"/>
    <n v="5.7862499999999999"/>
    <n v="10"/>
    <n v="4345600896"/>
    <m/>
    <m/>
    <m/>
    <s v="3260 23776"/>
    <m/>
    <m/>
    <n v="1743931588"/>
    <n v="0"/>
    <n v="1162600969"/>
    <n v="1743931588"/>
    <n v="2906532557"/>
    <n v="58131052"/>
    <n v="0"/>
    <n v="38753365"/>
    <n v="58131052"/>
    <n v="96884418"/>
    <n v="29.508299999999998"/>
    <n v="13.9201"/>
    <n v="5418.45"/>
    <n v="3548.86"/>
    <n v="9762"/>
    <n v="6264"/>
    <x v="2"/>
  </r>
  <r>
    <s v="istree_exp2_memory_static/step10043.txt"/>
    <x v="2"/>
    <m/>
    <s v="reclaimer_debra"/>
    <s v="allocator_new"/>
    <s v="pool_none"/>
    <n v="30000"/>
    <n v="20"/>
    <n v="20"/>
    <n v="0"/>
    <n v="1"/>
    <n v="200000000"/>
    <n v="190"/>
    <n v="190"/>
    <n v="190"/>
    <n v="0"/>
    <s v="insertIfAbsent"/>
    <n v="1.00005883919262E+16"/>
    <n v="100001484"/>
    <n v="1.00005883919262E+16"/>
    <n v="100001484"/>
    <s v="success"/>
    <n v="33"/>
    <n v="68326493"/>
    <n v="51810907"/>
    <n v="120137400"/>
    <n v="100001484"/>
    <n v="1.7582800000000001"/>
    <n v="1.9301200000000001"/>
    <n v="1.83239"/>
    <n v="26.6631"/>
    <n v="6727694400"/>
    <m/>
    <m/>
    <m/>
    <s v="774 11746"/>
    <m/>
    <m/>
    <n v="1122891723"/>
    <n v="0"/>
    <n v="748590182"/>
    <n v="1122891723"/>
    <n v="1871481905"/>
    <n v="37429724"/>
    <n v="0"/>
    <n v="24953006"/>
    <n v="37429724"/>
    <n v="62382730"/>
    <n v="43.9636"/>
    <n v="21.37"/>
    <n v="8474.19"/>
    <n v="6815.18"/>
    <n v="10615"/>
    <n v="2770"/>
    <x v="2"/>
  </r>
  <r>
    <s v="istree_exp2_memory_static/step10044.txt"/>
    <x v="3"/>
    <m/>
    <s v="reclaimer_debra"/>
    <s v="allocator_new"/>
    <s v="pool_none"/>
    <n v="30000"/>
    <n v="20"/>
    <n v="20"/>
    <n v="0"/>
    <n v="1"/>
    <n v="200000000"/>
    <n v="190"/>
    <n v="190"/>
    <n v="190"/>
    <n v="0"/>
    <s v="insertIfAbsent"/>
    <n v="1.00007777107227E+16"/>
    <n v="100007669"/>
    <n v="1.00007777107227E+16"/>
    <n v="100007669"/>
    <s v="success"/>
    <n v="68"/>
    <n v="100007668"/>
    <n v="100007669"/>
    <n v="200015337"/>
    <n v="100007669"/>
    <n v="2"/>
    <n v="1"/>
    <n v="1.5"/>
    <n v="35.334899999999998"/>
    <n v="6400490784"/>
    <m/>
    <m/>
    <m/>
    <s v="748 9918"/>
    <m/>
    <m/>
    <n v="902614555"/>
    <n v="0"/>
    <n v="601773517"/>
    <n v="902614555"/>
    <n v="1504388072"/>
    <n v="30087151"/>
    <n v="0"/>
    <n v="20059117"/>
    <n v="30087151"/>
    <n v="50146269"/>
    <n v="41.980800000000002"/>
    <n v="21.6248"/>
    <n v="10539.7"/>
    <n v="8696.98"/>
    <n v="10964"/>
    <n v="2817"/>
    <x v="2"/>
  </r>
  <r>
    <s v="istree_exp2_memory_static/step10045.txt"/>
    <x v="0"/>
    <n v="72"/>
    <s v="reclaimer_debra"/>
    <s v="allocator_new"/>
    <s v="pool_none"/>
    <n v="30000"/>
    <n v="20"/>
    <n v="20"/>
    <n v="0"/>
    <n v="1"/>
    <n v="2000000000"/>
    <n v="190"/>
    <n v="190"/>
    <n v="190"/>
    <n v="0"/>
    <s v="insertIfAbsent"/>
    <n v="9.9998629423009498E+17"/>
    <n v="1000019952"/>
    <n v="9.9998629423009498E+17"/>
    <n v="1000019952"/>
    <s v="success"/>
    <n v="7"/>
    <n v="118790078"/>
    <n v="1151914733"/>
    <n v="1270704811"/>
    <n v="1000019952"/>
    <n v="10.697100000000001"/>
    <n v="0.86813700000000005"/>
    <n v="1.78698"/>
    <n v="4.0734899999999996"/>
    <n v="27986385456"/>
    <s v="4 31794 3846265 65545069 18527837"/>
    <s v="1 31791 3846215 65545035 18527832"/>
    <n v="52893"/>
    <n v="13846"/>
    <m/>
    <m/>
    <n v="1444595533"/>
    <n v="0"/>
    <n v="963072122"/>
    <n v="1444595533"/>
    <n v="2407667655"/>
    <n v="48153184"/>
    <n v="0"/>
    <n v="32102404"/>
    <n v="48153184"/>
    <n v="80255588"/>
    <n v="30.521000000000001"/>
    <n v="19.630800000000001"/>
    <n v="5811.27"/>
    <n v="4643"/>
    <n v="120718"/>
    <n v="9044"/>
    <x v="3"/>
  </r>
  <r>
    <s v="istree_exp2_memory_static/step10046.txt"/>
    <x v="1"/>
    <n v="208"/>
    <s v="reclaimer_debra"/>
    <s v="allocator_new"/>
    <s v="pool_none"/>
    <n v="30000"/>
    <n v="20"/>
    <n v="20"/>
    <n v="0"/>
    <n v="1"/>
    <n v="2000000000"/>
    <n v="190"/>
    <n v="190"/>
    <n v="190"/>
    <n v="0"/>
    <s v="insertIfAbsent"/>
    <n v="1.00001788697939E+18"/>
    <n v="1000001384"/>
    <n v="1.00001788697939E+18"/>
    <n v="1000001384"/>
    <s v="success"/>
    <n v="12"/>
    <n v="20669072"/>
    <n v="142227188"/>
    <n v="162896260"/>
    <n v="1000001384"/>
    <n v="7.8811600000000004"/>
    <n v="7.0310100000000002"/>
    <n v="7.1388800000000003"/>
    <n v="11"/>
    <n v="33882422080"/>
    <m/>
    <m/>
    <m/>
    <s v="26832 40268"/>
    <m/>
    <m/>
    <n v="1283485397"/>
    <n v="0"/>
    <n v="855635362"/>
    <n v="1283485397"/>
    <n v="2139120759"/>
    <n v="42782846"/>
    <n v="0"/>
    <n v="28521178"/>
    <n v="42782846"/>
    <n v="71304025"/>
    <n v="37.346400000000003"/>
    <n v="21.326000000000001"/>
    <n v="7276.03"/>
    <n v="5587.83"/>
    <n v="62983"/>
    <n v="61583"/>
    <x v="3"/>
  </r>
  <r>
    <s v="istree_exp2_memory_static/step10047.txt"/>
    <x v="2"/>
    <m/>
    <s v="reclaimer_debra"/>
    <s v="allocator_new"/>
    <s v="pool_none"/>
    <n v="30000"/>
    <n v="20"/>
    <n v="20"/>
    <n v="0"/>
    <n v="1"/>
    <n v="2000000000"/>
    <n v="190"/>
    <n v="190"/>
    <n v="190"/>
    <n v="0"/>
    <s v="insertIfAbsent"/>
    <n v="9.9999423569927795E+17"/>
    <n v="1000003589"/>
    <n v="9.9999423569927795E+17"/>
    <n v="1000003589"/>
    <s v="success"/>
    <n v="37"/>
    <n v="597667635"/>
    <n v="450166255"/>
    <n v="1047833890"/>
    <n v="1000003589"/>
    <n v="1.7532099999999999"/>
    <n v="2.2214100000000001"/>
    <n v="1.95435"/>
    <n v="29.6355"/>
    <n v="58678697840"/>
    <m/>
    <m/>
    <m/>
    <s v="7936 15368"/>
    <m/>
    <m/>
    <n v="768319818"/>
    <n v="0"/>
    <n v="512220960"/>
    <n v="768319818"/>
    <n v="1280540778"/>
    <n v="25610660"/>
    <n v="0"/>
    <n v="17074032"/>
    <n v="25610660"/>
    <n v="42684692"/>
    <n v="58.014600000000002"/>
    <n v="32.902200000000001"/>
    <n v="12384.4"/>
    <n v="10633.3"/>
    <n v="69550"/>
    <n v="32789"/>
    <x v="3"/>
  </r>
  <r>
    <s v="istree_exp2_memory_static/step10048.txt"/>
    <x v="3"/>
    <m/>
    <s v="reclaimer_debra"/>
    <s v="allocator_new"/>
    <s v="pool_none"/>
    <n v="30000"/>
    <n v="20"/>
    <n v="20"/>
    <n v="0"/>
    <n v="1"/>
    <n v="2000000000"/>
    <n v="190"/>
    <n v="190"/>
    <n v="190"/>
    <n v="0"/>
    <s v="insertIfAbsent"/>
    <n v="1.0000144583885199E+18"/>
    <n v="1000002019"/>
    <n v="1.0000144583885199E+18"/>
    <n v="1000002019"/>
    <s v="success"/>
    <n v="84"/>
    <n v="1000002018"/>
    <n v="1000002019"/>
    <n v="2000004037"/>
    <n v="1000002019"/>
    <n v="2"/>
    <n v="1"/>
    <n v="1.5"/>
    <n v="42.027799999999999"/>
    <n v="64000129184"/>
    <m/>
    <m/>
    <m/>
    <s v="7824 14096"/>
    <m/>
    <m/>
    <n v="612377929"/>
    <n v="0"/>
    <n v="408230812"/>
    <n v="612377929"/>
    <n v="1020608741"/>
    <n v="20412597"/>
    <n v="0"/>
    <n v="13607693"/>
    <n v="20412597"/>
    <n v="34020291"/>
    <n v="57.174599999999998"/>
    <n v="33.406300000000002"/>
    <n v="15535.4"/>
    <n v="13248.5"/>
    <n v="69302"/>
    <n v="33827"/>
    <x v="3"/>
  </r>
  <r>
    <m/>
    <x v="4"/>
    <m/>
    <m/>
    <m/>
    <m/>
    <m/>
    <m/>
    <m/>
    <m/>
    <m/>
    <m/>
    <m/>
    <m/>
    <m/>
    <m/>
    <m/>
    <m/>
    <m/>
    <m/>
    <m/>
    <m/>
    <m/>
    <m/>
    <m/>
    <m/>
    <m/>
    <m/>
    <m/>
    <m/>
    <m/>
    <m/>
    <m/>
    <m/>
    <m/>
    <m/>
    <m/>
    <m/>
    <m/>
    <m/>
    <m/>
    <m/>
    <m/>
    <m/>
    <m/>
    <m/>
    <m/>
    <m/>
    <m/>
    <m/>
    <m/>
    <m/>
    <m/>
    <m/>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Other" cacheId="7" applyNumberFormats="0" applyBorderFormats="0" applyFontFormats="0" applyPatternFormats="0" applyAlignmentFormats="0" applyWidthHeightFormats="1" dataCaption="Values" updatedVersion="6" minRefreshableVersion="3" rowGrandTotals="0" colGrandTotals="0" itemPrintTitles="1" createdVersion="5" indent="0" outline="1" outlineData="1" multipleFieldFilters="0" chartFormat="7">
  <location ref="A32:E34"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5">
        <item x="0"/>
        <item x="1"/>
        <item x="2"/>
        <item x="3"/>
        <item x="4"/>
      </items>
    </pivotField>
  </pivotFields>
  <rowItems count="1">
    <i/>
  </rowItems>
  <colFields count="1">
    <field x="1"/>
  </colFields>
  <colItems count="4">
    <i>
      <x v="1"/>
    </i>
    <i>
      <x v="2"/>
    </i>
    <i>
      <x v="3"/>
    </i>
    <i>
      <x v="4"/>
    </i>
  </colItems>
  <pageFields count="1">
    <pageField fld="54" item="3" hier="-1"/>
  </pageFields>
  <dataFields count="1">
    <dataField name="StdDev of tree_stats_sizeInBytes" fld="31" subtotal="stdDev" baseField="1" baseItem="3"/>
  </dataFields>
  <formats count="2">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Main" cacheId="7" applyNumberFormats="0" applyBorderFormats="0" applyFontFormats="0" applyPatternFormats="0" applyAlignmentFormats="0" applyWidthHeightFormats="1" dataCaption="Values" updatedVersion="6" minRefreshableVersion="3" rowGrandTotals="0" colGrandTotals="0" itemPrintTitles="1" createdVersion="5" indent="0" outline="1" outlineData="1" multipleFieldFilters="0" chartFormat="7">
  <location ref="A4:E6"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5">
        <item x="0"/>
        <item x="1"/>
        <item x="2"/>
        <item x="3"/>
        <item x="4"/>
      </items>
    </pivotField>
  </pivotFields>
  <rowItems count="1">
    <i/>
  </rowItems>
  <colFields count="1">
    <field x="1"/>
  </colFields>
  <colItems count="4">
    <i>
      <x v="1"/>
    </i>
    <i>
      <x v="2"/>
    </i>
    <i>
      <x v="3"/>
    </i>
    <i>
      <x v="4"/>
    </i>
  </colItems>
  <pageFields count="1">
    <pageField fld="54" item="3" hier="-1"/>
  </pageFields>
  <dataFields count="1">
    <dataField name="Average of tree_stats_sizeInBytes" fld="31" subtotal="average" baseField="1" baseItem="4"/>
  </dataFields>
  <formats count="2">
    <format dxfId="3">
      <pivotArea outline="0" collapsedLevelsAreSubtotals="1" fieldPosition="0"/>
    </format>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Other2" cacheId="7" applyNumberFormats="0" applyBorderFormats="0" applyFontFormats="0" applyPatternFormats="0" applyAlignmentFormats="0" applyWidthHeightFormats="1" dataCaption="Values" updatedVersion="6" minRefreshableVersion="3" rowGrandTotals="0" colGrandTotals="0" itemPrintTitles="1" createdVersion="5" indent="0" outline="1" outlineData="1" multipleFieldFilters="0" chartFormat="7">
  <location ref="A12:E14"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5">
        <item x="0"/>
        <item x="1"/>
        <item x="2"/>
        <item x="3"/>
        <item x="4"/>
      </items>
    </pivotField>
  </pivotFields>
  <rowItems count="1">
    <i/>
  </rowItems>
  <colFields count="1">
    <field x="1"/>
  </colFields>
  <colItems count="4">
    <i>
      <x v="1"/>
    </i>
    <i>
      <x v="2"/>
    </i>
    <i>
      <x v="3"/>
    </i>
    <i>
      <x v="4"/>
    </i>
  </colItems>
  <pageFields count="1">
    <pageField fld="54" item="3" hier="-1"/>
  </pageFields>
  <dataFields count="1">
    <dataField name="Average of final_size" fld="20" subtotal="average" baseField="1" baseItem="1"/>
  </dataFields>
  <formats count="2">
    <format dxfId="5">
      <pivotArea outline="0" collapsedLevelsAreSubtotals="1" fieldPosition="0"/>
    </format>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2" growShrinkType="overwriteClear" connectionId="1"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1" growShrinkType="overwriteClear" connectionId="2"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2.xml"/><Relationship Id="rId4"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C49"/>
  <sheetViews>
    <sheetView workbookViewId="0">
      <selection activeCell="BC2" sqref="BC2:BC49"/>
    </sheetView>
  </sheetViews>
  <sheetFormatPr defaultRowHeight="14.6"/>
  <cols>
    <col min="1" max="1" width="25.53515625" customWidth="1"/>
    <col min="2" max="2" width="19.765625" customWidth="1"/>
    <col min="3" max="3" width="9.07421875" customWidth="1"/>
    <col min="4" max="4" width="14.3828125" bestFit="1" customWidth="1"/>
    <col min="5" max="5" width="12.53515625" customWidth="1"/>
    <col min="6" max="6" width="9.765625" customWidth="1"/>
    <col min="7" max="7" width="14.3046875" bestFit="1" customWidth="1"/>
    <col min="8" max="8" width="3.61328125" customWidth="1"/>
    <col min="9" max="9" width="3.921875" bestFit="1" customWidth="1"/>
    <col min="10" max="10" width="3.3046875" bestFit="1" customWidth="1"/>
    <col min="11" max="11" width="6.69140625" bestFit="1" customWidth="1"/>
    <col min="12" max="12" width="10.84375" bestFit="1"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10.84375" bestFit="1"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9.3046875" bestFit="1" customWidth="1"/>
    <col min="33" max="33" width="10.84375" customWidth="1"/>
    <col min="34" max="34" width="7.4609375" customWidth="1"/>
    <col min="35" max="35" width="12.3046875" customWidth="1"/>
    <col min="36" max="36" width="11.765625" customWidth="1"/>
    <col min="37" max="37" width="10.84375" customWidth="1"/>
    <col min="38" max="38" width="14.61328125" customWidth="1"/>
    <col min="39" max="39" width="13.15234375" customWidth="1"/>
    <col min="40" max="40" width="17.3046875" bestFit="1" customWidth="1"/>
    <col min="41" max="41" width="16.15234375" customWidth="1"/>
    <col min="42" max="42" width="15.23046875" customWidth="1"/>
    <col min="43" max="44" width="12.15234375" bestFit="1" customWidth="1"/>
    <col min="45" max="45" width="13.07421875" bestFit="1" customWidth="1"/>
    <col min="46" max="46" width="14.765625" bestFit="1" customWidth="1"/>
    <col min="47" max="48" width="16.3828125" bestFit="1" customWidth="1"/>
  </cols>
  <sheetData>
    <row r="1" spans="1:55">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69</v>
      </c>
      <c r="S1" t="s">
        <v>70</v>
      </c>
      <c r="T1" t="s">
        <v>45</v>
      </c>
      <c r="U1" t="s">
        <v>71</v>
      </c>
      <c r="V1" t="s">
        <v>72</v>
      </c>
      <c r="W1" t="s">
        <v>36</v>
      </c>
      <c r="X1" t="s">
        <v>37</v>
      </c>
      <c r="Y1" t="s">
        <v>38</v>
      </c>
      <c r="Z1" t="s">
        <v>39</v>
      </c>
      <c r="AA1" t="s">
        <v>40</v>
      </c>
      <c r="AB1" t="s">
        <v>41</v>
      </c>
      <c r="AC1" t="s">
        <v>42</v>
      </c>
      <c r="AD1" t="s">
        <v>43</v>
      </c>
      <c r="AE1" t="s">
        <v>44</v>
      </c>
      <c r="AF1" t="s">
        <v>76</v>
      </c>
      <c r="AG1" t="s">
        <v>180</v>
      </c>
      <c r="AH1" t="s">
        <v>181</v>
      </c>
      <c r="AI1" t="s">
        <v>182</v>
      </c>
      <c r="AJ1" t="s">
        <v>183</v>
      </c>
      <c r="AK1" t="s">
        <v>184</v>
      </c>
      <c r="AL1" t="s">
        <v>185</v>
      </c>
      <c r="AM1" t="s">
        <v>46</v>
      </c>
      <c r="AN1" t="s">
        <v>47</v>
      </c>
      <c r="AO1" t="s">
        <v>48</v>
      </c>
      <c r="AP1" t="s">
        <v>49</v>
      </c>
      <c r="AQ1" t="s">
        <v>50</v>
      </c>
      <c r="AR1" t="s">
        <v>51</v>
      </c>
      <c r="AS1" t="s">
        <v>52</v>
      </c>
      <c r="AT1" t="s">
        <v>53</v>
      </c>
      <c r="AU1" t="s">
        <v>54</v>
      </c>
      <c r="AV1" t="s">
        <v>55</v>
      </c>
      <c r="AW1" t="s">
        <v>56</v>
      </c>
      <c r="AX1" t="s">
        <v>57</v>
      </c>
      <c r="AY1" t="s">
        <v>58</v>
      </c>
      <c r="AZ1" t="s">
        <v>186</v>
      </c>
      <c r="BA1" t="s">
        <v>74</v>
      </c>
      <c r="BB1" t="s">
        <v>75</v>
      </c>
      <c r="BC1" t="s">
        <v>67</v>
      </c>
    </row>
    <row r="2" spans="1:55">
      <c r="A2" t="s">
        <v>83</v>
      </c>
      <c r="B2" t="s">
        <v>62</v>
      </c>
      <c r="C2">
        <v>72</v>
      </c>
      <c r="D2" t="s">
        <v>63</v>
      </c>
      <c r="E2" t="s">
        <v>59</v>
      </c>
      <c r="F2" t="s">
        <v>60</v>
      </c>
      <c r="G2">
        <v>30000</v>
      </c>
      <c r="H2">
        <v>20</v>
      </c>
      <c r="I2">
        <v>20</v>
      </c>
      <c r="J2">
        <v>0</v>
      </c>
      <c r="K2">
        <v>1</v>
      </c>
      <c r="L2">
        <v>2000000</v>
      </c>
      <c r="M2">
        <v>190</v>
      </c>
      <c r="N2">
        <v>190</v>
      </c>
      <c r="O2">
        <v>190</v>
      </c>
      <c r="P2">
        <v>0</v>
      </c>
      <c r="Q2" t="s">
        <v>61</v>
      </c>
      <c r="R2">
        <v>999546083180</v>
      </c>
      <c r="S2">
        <v>1000193</v>
      </c>
      <c r="T2">
        <v>999546083180</v>
      </c>
      <c r="U2">
        <v>1000193</v>
      </c>
      <c r="V2" t="s">
        <v>73</v>
      </c>
      <c r="W2">
        <v>6</v>
      </c>
      <c r="X2">
        <v>52125</v>
      </c>
      <c r="Y2">
        <v>1071138</v>
      </c>
      <c r="Z2">
        <v>1123263</v>
      </c>
      <c r="AA2">
        <v>1000193</v>
      </c>
      <c r="AB2">
        <v>21.549399999999999</v>
      </c>
      <c r="AC2">
        <v>0.93376700000000001</v>
      </c>
      <c r="AD2">
        <v>1.8904399999999999</v>
      </c>
      <c r="AE2">
        <v>3.0399099999999999</v>
      </c>
      <c r="AF2">
        <v>21327344</v>
      </c>
      <c r="AG2" t="s">
        <v>84</v>
      </c>
      <c r="AH2" t="s">
        <v>85</v>
      </c>
      <c r="AI2">
        <v>23368715</v>
      </c>
      <c r="AJ2">
        <v>20372</v>
      </c>
      <c r="AM2">
        <v>1701034512</v>
      </c>
      <c r="AN2">
        <v>0</v>
      </c>
      <c r="AO2">
        <v>1134018963</v>
      </c>
      <c r="AP2">
        <v>1701034512</v>
      </c>
      <c r="AQ2">
        <v>2835053475</v>
      </c>
      <c r="AR2">
        <v>56701150</v>
      </c>
      <c r="AS2">
        <v>0</v>
      </c>
      <c r="AT2">
        <v>37800632</v>
      </c>
      <c r="AU2">
        <v>56701150</v>
      </c>
      <c r="AV2">
        <v>94501782</v>
      </c>
      <c r="AW2">
        <v>25.055900000000001</v>
      </c>
      <c r="AX2">
        <v>11.8934</v>
      </c>
      <c r="AY2">
        <v>5593.55</v>
      </c>
      <c r="AZ2">
        <v>4313.1899999999996</v>
      </c>
      <c r="BA2">
        <v>1749</v>
      </c>
      <c r="BB2">
        <v>301</v>
      </c>
      <c r="BC2" t="str">
        <f>"u="&amp;(H2+I2)&amp;"%, k=2x10^"&amp;LOG10(L2/2)</f>
        <v>u=40%, k=2x10^6</v>
      </c>
    </row>
    <row r="3" spans="1:55">
      <c r="A3" t="s">
        <v>86</v>
      </c>
      <c r="B3" t="s">
        <v>64</v>
      </c>
      <c r="C3">
        <v>208</v>
      </c>
      <c r="D3" t="s">
        <v>63</v>
      </c>
      <c r="E3" t="s">
        <v>59</v>
      </c>
      <c r="F3" t="s">
        <v>60</v>
      </c>
      <c r="G3">
        <v>30000</v>
      </c>
      <c r="H3">
        <v>20</v>
      </c>
      <c r="I3">
        <v>20</v>
      </c>
      <c r="J3">
        <v>0</v>
      </c>
      <c r="K3">
        <v>1</v>
      </c>
      <c r="L3">
        <v>2000000</v>
      </c>
      <c r="M3">
        <v>190</v>
      </c>
      <c r="N3">
        <v>190</v>
      </c>
      <c r="O3">
        <v>190</v>
      </c>
      <c r="P3">
        <v>0</v>
      </c>
      <c r="Q3" t="s">
        <v>61</v>
      </c>
      <c r="R3">
        <v>1000139069622</v>
      </c>
      <c r="S3">
        <v>1000412</v>
      </c>
      <c r="T3">
        <v>1000139069622</v>
      </c>
      <c r="U3">
        <v>1000412</v>
      </c>
      <c r="V3" t="s">
        <v>73</v>
      </c>
      <c r="W3">
        <v>8</v>
      </c>
      <c r="X3">
        <v>35897</v>
      </c>
      <c r="Y3">
        <v>194893</v>
      </c>
      <c r="Z3">
        <v>230790</v>
      </c>
      <c r="AA3">
        <v>1000412</v>
      </c>
      <c r="AB3">
        <v>6.4292299999999996</v>
      </c>
      <c r="AC3">
        <v>5.1331300000000004</v>
      </c>
      <c r="AD3">
        <v>5.3347300000000004</v>
      </c>
      <c r="AE3">
        <v>7</v>
      </c>
      <c r="AF3">
        <v>48004320</v>
      </c>
      <c r="AJ3">
        <v>40622</v>
      </c>
      <c r="AM3">
        <v>2208745450</v>
      </c>
      <c r="AN3">
        <v>0</v>
      </c>
      <c r="AO3">
        <v>1472556982</v>
      </c>
      <c r="AP3">
        <v>2208745450</v>
      </c>
      <c r="AQ3">
        <v>3681302432</v>
      </c>
      <c r="AR3">
        <v>73624848</v>
      </c>
      <c r="AS3">
        <v>0</v>
      </c>
      <c r="AT3">
        <v>49085232</v>
      </c>
      <c r="AU3">
        <v>73624848</v>
      </c>
      <c r="AV3">
        <v>122710081</v>
      </c>
      <c r="AW3">
        <v>16.082000000000001</v>
      </c>
      <c r="AX3">
        <v>5.8835100000000002</v>
      </c>
      <c r="AY3">
        <v>3900.09</v>
      </c>
      <c r="AZ3">
        <v>1694.61</v>
      </c>
      <c r="BA3">
        <v>1284</v>
      </c>
      <c r="BB3">
        <v>237</v>
      </c>
      <c r="BC3" t="str">
        <f t="shared" ref="BC3:BC49" si="0">"u="&amp;(H3+I3)&amp;"%, k=2x10^"&amp;LOG10(L3/2)</f>
        <v>u=40%, k=2x10^6</v>
      </c>
    </row>
    <row r="4" spans="1:55">
      <c r="A4" t="s">
        <v>87</v>
      </c>
      <c r="B4" t="s">
        <v>65</v>
      </c>
      <c r="D4" t="s">
        <v>63</v>
      </c>
      <c r="E4" t="s">
        <v>59</v>
      </c>
      <c r="F4" t="s">
        <v>60</v>
      </c>
      <c r="G4">
        <v>30000</v>
      </c>
      <c r="H4">
        <v>20</v>
      </c>
      <c r="I4">
        <v>20</v>
      </c>
      <c r="J4">
        <v>0</v>
      </c>
      <c r="K4">
        <v>1</v>
      </c>
      <c r="L4">
        <v>2000000</v>
      </c>
      <c r="M4">
        <v>190</v>
      </c>
      <c r="N4">
        <v>190</v>
      </c>
      <c r="O4">
        <v>190</v>
      </c>
      <c r="P4">
        <v>0</v>
      </c>
      <c r="Q4" t="s">
        <v>61</v>
      </c>
      <c r="R4">
        <v>1000115679361</v>
      </c>
      <c r="S4">
        <v>999689</v>
      </c>
      <c r="T4">
        <v>1000115679361</v>
      </c>
      <c r="U4">
        <v>999689</v>
      </c>
      <c r="V4" t="s">
        <v>73</v>
      </c>
      <c r="W4">
        <v>25</v>
      </c>
      <c r="X4">
        <v>685635</v>
      </c>
      <c r="Y4">
        <v>520129</v>
      </c>
      <c r="Z4">
        <v>1205764</v>
      </c>
      <c r="AA4">
        <v>999689</v>
      </c>
      <c r="AB4">
        <v>1.75861</v>
      </c>
      <c r="AC4">
        <v>1.9219999999999999</v>
      </c>
      <c r="AD4">
        <v>1.8290900000000001</v>
      </c>
      <c r="AE4">
        <v>19.797799999999999</v>
      </c>
      <c r="AF4">
        <v>67522784</v>
      </c>
      <c r="AJ4">
        <v>26766</v>
      </c>
      <c r="AM4">
        <v>2565191034</v>
      </c>
      <c r="AN4">
        <v>0</v>
      </c>
      <c r="AO4">
        <v>1710131925</v>
      </c>
      <c r="AP4">
        <v>2565191034</v>
      </c>
      <c r="AQ4">
        <v>4275322959</v>
      </c>
      <c r="AR4">
        <v>85506367</v>
      </c>
      <c r="AS4">
        <v>0</v>
      </c>
      <c r="AT4">
        <v>57004397</v>
      </c>
      <c r="AU4">
        <v>85506367</v>
      </c>
      <c r="AV4">
        <v>142510765</v>
      </c>
      <c r="AW4">
        <v>21.710999999999999</v>
      </c>
      <c r="AX4">
        <v>4.8863599999999998</v>
      </c>
      <c r="AY4">
        <v>3678.65</v>
      </c>
      <c r="AZ4">
        <v>2126.6999999999998</v>
      </c>
      <c r="BA4">
        <v>1257</v>
      </c>
      <c r="BB4">
        <v>250</v>
      </c>
      <c r="BC4" t="str">
        <f t="shared" si="0"/>
        <v>u=40%, k=2x10^6</v>
      </c>
    </row>
    <row r="5" spans="1:55">
      <c r="A5" t="s">
        <v>88</v>
      </c>
      <c r="B5" t="s">
        <v>66</v>
      </c>
      <c r="D5" t="s">
        <v>63</v>
      </c>
      <c r="E5" t="s">
        <v>59</v>
      </c>
      <c r="F5" t="s">
        <v>60</v>
      </c>
      <c r="G5">
        <v>30000</v>
      </c>
      <c r="H5">
        <v>20</v>
      </c>
      <c r="I5">
        <v>20</v>
      </c>
      <c r="J5">
        <v>0</v>
      </c>
      <c r="K5">
        <v>1</v>
      </c>
      <c r="L5">
        <v>2000000</v>
      </c>
      <c r="M5">
        <v>190</v>
      </c>
      <c r="N5">
        <v>190</v>
      </c>
      <c r="O5">
        <v>190</v>
      </c>
      <c r="P5">
        <v>0</v>
      </c>
      <c r="Q5" t="s">
        <v>61</v>
      </c>
      <c r="R5">
        <v>1000136364501</v>
      </c>
      <c r="S5">
        <v>1000238</v>
      </c>
      <c r="T5">
        <v>1000136364501</v>
      </c>
      <c r="U5">
        <v>1000238</v>
      </c>
      <c r="V5" t="s">
        <v>73</v>
      </c>
      <c r="W5">
        <v>49</v>
      </c>
      <c r="X5">
        <v>1000237</v>
      </c>
      <c r="Y5">
        <v>1000238</v>
      </c>
      <c r="Z5">
        <v>2000475</v>
      </c>
      <c r="AA5">
        <v>1000238</v>
      </c>
      <c r="AB5">
        <v>2</v>
      </c>
      <c r="AC5">
        <v>1</v>
      </c>
      <c r="AD5">
        <v>1.5</v>
      </c>
      <c r="AE5">
        <v>27.003499999999999</v>
      </c>
      <c r="AF5">
        <v>64015200</v>
      </c>
      <c r="AJ5">
        <v>27368</v>
      </c>
      <c r="AM5">
        <v>2209061121</v>
      </c>
      <c r="AN5">
        <v>0</v>
      </c>
      <c r="AO5">
        <v>1472786762</v>
      </c>
      <c r="AP5">
        <v>2209061121</v>
      </c>
      <c r="AQ5">
        <v>3681847883</v>
      </c>
      <c r="AR5">
        <v>73635370</v>
      </c>
      <c r="AS5">
        <v>0</v>
      </c>
      <c r="AT5">
        <v>49092892</v>
      </c>
      <c r="AU5">
        <v>73635370</v>
      </c>
      <c r="AV5">
        <v>122728262</v>
      </c>
      <c r="AW5">
        <v>16.718499999999999</v>
      </c>
      <c r="AX5">
        <v>4.3532599999999997</v>
      </c>
      <c r="AY5">
        <v>4279.95</v>
      </c>
      <c r="AZ5">
        <v>2444.37</v>
      </c>
      <c r="BA5">
        <v>1232</v>
      </c>
      <c r="BB5">
        <v>249</v>
      </c>
      <c r="BC5" t="str">
        <f t="shared" si="0"/>
        <v>u=40%, k=2x10^6</v>
      </c>
    </row>
    <row r="6" spans="1:55">
      <c r="A6" t="s">
        <v>89</v>
      </c>
      <c r="B6" t="s">
        <v>62</v>
      </c>
      <c r="C6">
        <v>72</v>
      </c>
      <c r="D6" t="s">
        <v>63</v>
      </c>
      <c r="E6" t="s">
        <v>59</v>
      </c>
      <c r="F6" t="s">
        <v>60</v>
      </c>
      <c r="G6">
        <v>30000</v>
      </c>
      <c r="H6">
        <v>20</v>
      </c>
      <c r="I6">
        <v>20</v>
      </c>
      <c r="J6">
        <v>0</v>
      </c>
      <c r="K6">
        <v>1</v>
      </c>
      <c r="L6">
        <v>20000000</v>
      </c>
      <c r="M6">
        <v>190</v>
      </c>
      <c r="N6">
        <v>190</v>
      </c>
      <c r="O6">
        <v>190</v>
      </c>
      <c r="P6">
        <v>0</v>
      </c>
      <c r="Q6" t="s">
        <v>61</v>
      </c>
      <c r="R6">
        <v>100011566971393</v>
      </c>
      <c r="S6">
        <v>10001843</v>
      </c>
      <c r="T6">
        <v>100011566971393</v>
      </c>
      <c r="U6">
        <v>10001843</v>
      </c>
      <c r="V6" t="s">
        <v>73</v>
      </c>
      <c r="W6">
        <v>7</v>
      </c>
      <c r="X6">
        <v>1830062</v>
      </c>
      <c r="Y6">
        <v>11878133</v>
      </c>
      <c r="Z6">
        <v>13708195</v>
      </c>
      <c r="AA6">
        <v>10001843</v>
      </c>
      <c r="AB6">
        <v>7.4905600000000003</v>
      </c>
      <c r="AC6">
        <v>0.84203799999999995</v>
      </c>
      <c r="AD6">
        <v>1.72963</v>
      </c>
      <c r="AE6">
        <v>4.0406899999999997</v>
      </c>
      <c r="AF6">
        <v>336484384</v>
      </c>
      <c r="AG6" t="s">
        <v>90</v>
      </c>
      <c r="AH6" t="s">
        <v>91</v>
      </c>
      <c r="AI6">
        <v>2933576</v>
      </c>
      <c r="AJ6">
        <v>22158</v>
      </c>
      <c r="AM6">
        <v>1737732498</v>
      </c>
      <c r="AN6">
        <v>0</v>
      </c>
      <c r="AO6">
        <v>1158466362</v>
      </c>
      <c r="AP6">
        <v>1737732498</v>
      </c>
      <c r="AQ6">
        <v>2896198860</v>
      </c>
      <c r="AR6">
        <v>57924416</v>
      </c>
      <c r="AS6">
        <v>0</v>
      </c>
      <c r="AT6">
        <v>38615545</v>
      </c>
      <c r="AU6">
        <v>57924416</v>
      </c>
      <c r="AV6">
        <v>96539962</v>
      </c>
      <c r="AW6">
        <v>28.697900000000001</v>
      </c>
      <c r="AX6">
        <v>15.3024</v>
      </c>
      <c r="AY6">
        <v>5307.99</v>
      </c>
      <c r="AZ6">
        <v>3650.37</v>
      </c>
      <c r="BA6">
        <v>2938</v>
      </c>
      <c r="BB6">
        <v>382</v>
      </c>
      <c r="BC6" t="str">
        <f t="shared" si="0"/>
        <v>u=40%, k=2x10^7</v>
      </c>
    </row>
    <row r="7" spans="1:55">
      <c r="A7" t="s">
        <v>92</v>
      </c>
      <c r="B7" t="s">
        <v>64</v>
      </c>
      <c r="C7">
        <v>208</v>
      </c>
      <c r="D7" t="s">
        <v>63</v>
      </c>
      <c r="E7" t="s">
        <v>59</v>
      </c>
      <c r="F7" t="s">
        <v>60</v>
      </c>
      <c r="G7">
        <v>30000</v>
      </c>
      <c r="H7">
        <v>20</v>
      </c>
      <c r="I7">
        <v>20</v>
      </c>
      <c r="J7">
        <v>0</v>
      </c>
      <c r="K7">
        <v>1</v>
      </c>
      <c r="L7">
        <v>20000000</v>
      </c>
      <c r="M7">
        <v>190</v>
      </c>
      <c r="N7">
        <v>190</v>
      </c>
      <c r="O7">
        <v>190</v>
      </c>
      <c r="P7">
        <v>0</v>
      </c>
      <c r="Q7" t="s">
        <v>61</v>
      </c>
      <c r="R7">
        <v>99995855095680</v>
      </c>
      <c r="S7">
        <v>10001316</v>
      </c>
      <c r="T7">
        <v>99995855095680</v>
      </c>
      <c r="U7">
        <v>10001316</v>
      </c>
      <c r="V7" t="s">
        <v>73</v>
      </c>
      <c r="W7">
        <v>10</v>
      </c>
      <c r="X7">
        <v>327718</v>
      </c>
      <c r="Y7">
        <v>1955349</v>
      </c>
      <c r="Z7">
        <v>2283067</v>
      </c>
      <c r="AA7">
        <v>10001316</v>
      </c>
      <c r="AB7">
        <v>6.9665600000000003</v>
      </c>
      <c r="AC7">
        <v>5.1148499999999997</v>
      </c>
      <c r="AD7">
        <v>5.3806500000000002</v>
      </c>
      <c r="AE7">
        <v>9</v>
      </c>
      <c r="AF7">
        <v>474877936</v>
      </c>
      <c r="AJ7" t="s">
        <v>93</v>
      </c>
      <c r="AM7">
        <v>2211124951</v>
      </c>
      <c r="AN7">
        <v>0</v>
      </c>
      <c r="AO7">
        <v>1474070081</v>
      </c>
      <c r="AP7">
        <v>2211124951</v>
      </c>
      <c r="AQ7">
        <v>3685195032</v>
      </c>
      <c r="AR7">
        <v>73704165</v>
      </c>
      <c r="AS7">
        <v>0</v>
      </c>
      <c r="AT7">
        <v>49135669</v>
      </c>
      <c r="AU7">
        <v>73704165</v>
      </c>
      <c r="AV7">
        <v>122839834</v>
      </c>
      <c r="AW7">
        <v>22.827500000000001</v>
      </c>
      <c r="AX7">
        <v>9.0876400000000004</v>
      </c>
      <c r="AY7">
        <v>4272.7</v>
      </c>
      <c r="AZ7">
        <v>2415.5700000000002</v>
      </c>
      <c r="BA7">
        <v>2184</v>
      </c>
      <c r="BB7">
        <v>916</v>
      </c>
      <c r="BC7" t="str">
        <f t="shared" si="0"/>
        <v>u=40%, k=2x10^7</v>
      </c>
    </row>
    <row r="8" spans="1:55">
      <c r="A8" t="s">
        <v>94</v>
      </c>
      <c r="B8" t="s">
        <v>65</v>
      </c>
      <c r="D8" t="s">
        <v>63</v>
      </c>
      <c r="E8" t="s">
        <v>59</v>
      </c>
      <c r="F8" t="s">
        <v>60</v>
      </c>
      <c r="G8">
        <v>30000</v>
      </c>
      <c r="H8">
        <v>20</v>
      </c>
      <c r="I8">
        <v>20</v>
      </c>
      <c r="J8">
        <v>0</v>
      </c>
      <c r="K8">
        <v>1</v>
      </c>
      <c r="L8">
        <v>20000000</v>
      </c>
      <c r="M8">
        <v>190</v>
      </c>
      <c r="N8">
        <v>190</v>
      </c>
      <c r="O8">
        <v>190</v>
      </c>
      <c r="P8">
        <v>0</v>
      </c>
      <c r="Q8" t="s">
        <v>61</v>
      </c>
      <c r="R8">
        <v>100011026800704</v>
      </c>
      <c r="S8">
        <v>10000591</v>
      </c>
      <c r="T8">
        <v>100011026800704</v>
      </c>
      <c r="U8">
        <v>10000591</v>
      </c>
      <c r="V8" t="s">
        <v>73</v>
      </c>
      <c r="W8">
        <v>29</v>
      </c>
      <c r="X8">
        <v>6858688</v>
      </c>
      <c r="Y8">
        <v>5204606</v>
      </c>
      <c r="Z8">
        <v>12063294</v>
      </c>
      <c r="AA8">
        <v>10000591</v>
      </c>
      <c r="AB8">
        <v>1.7588299999999999</v>
      </c>
      <c r="AC8">
        <v>1.9214899999999999</v>
      </c>
      <c r="AD8">
        <v>1.82901</v>
      </c>
      <c r="AE8">
        <v>23.2879</v>
      </c>
      <c r="AF8">
        <v>675544464</v>
      </c>
      <c r="AJ8" t="s">
        <v>95</v>
      </c>
      <c r="AM8">
        <v>1651069694</v>
      </c>
      <c r="AN8">
        <v>0</v>
      </c>
      <c r="AO8">
        <v>1100696960</v>
      </c>
      <c r="AP8">
        <v>1651069694</v>
      </c>
      <c r="AQ8">
        <v>2751766654</v>
      </c>
      <c r="AR8">
        <v>55035656</v>
      </c>
      <c r="AS8">
        <v>0</v>
      </c>
      <c r="AT8">
        <v>36689898</v>
      </c>
      <c r="AU8">
        <v>55035656</v>
      </c>
      <c r="AV8">
        <v>91725555</v>
      </c>
      <c r="AW8">
        <v>32.9328</v>
      </c>
      <c r="AX8">
        <v>12.2767</v>
      </c>
      <c r="AY8">
        <v>5758.63</v>
      </c>
      <c r="AZ8">
        <v>4144.24</v>
      </c>
      <c r="BA8">
        <v>2508</v>
      </c>
      <c r="BB8">
        <v>435</v>
      </c>
      <c r="BC8" t="str">
        <f t="shared" si="0"/>
        <v>u=40%, k=2x10^7</v>
      </c>
    </row>
    <row r="9" spans="1:55">
      <c r="A9" t="s">
        <v>96</v>
      </c>
      <c r="B9" t="s">
        <v>66</v>
      </c>
      <c r="D9" t="s">
        <v>63</v>
      </c>
      <c r="E9" t="s">
        <v>59</v>
      </c>
      <c r="F9" t="s">
        <v>60</v>
      </c>
      <c r="G9">
        <v>30000</v>
      </c>
      <c r="H9">
        <v>20</v>
      </c>
      <c r="I9">
        <v>20</v>
      </c>
      <c r="J9">
        <v>0</v>
      </c>
      <c r="K9">
        <v>1</v>
      </c>
      <c r="L9">
        <v>20000000</v>
      </c>
      <c r="M9">
        <v>190</v>
      </c>
      <c r="N9">
        <v>190</v>
      </c>
      <c r="O9">
        <v>190</v>
      </c>
      <c r="P9">
        <v>0</v>
      </c>
      <c r="Q9" t="s">
        <v>61</v>
      </c>
      <c r="R9">
        <v>100009652476849</v>
      </c>
      <c r="S9">
        <v>10000518</v>
      </c>
      <c r="T9">
        <v>100009652476849</v>
      </c>
      <c r="U9">
        <v>10000518</v>
      </c>
      <c r="V9" t="s">
        <v>73</v>
      </c>
      <c r="W9">
        <v>59</v>
      </c>
      <c r="X9">
        <v>10000517</v>
      </c>
      <c r="Y9">
        <v>10000518</v>
      </c>
      <c r="Z9">
        <v>20001035</v>
      </c>
      <c r="AA9">
        <v>10000518</v>
      </c>
      <c r="AB9">
        <v>2</v>
      </c>
      <c r="AC9">
        <v>1</v>
      </c>
      <c r="AD9">
        <v>1.5</v>
      </c>
      <c r="AE9">
        <v>30.330100000000002</v>
      </c>
      <c r="AF9">
        <v>640033120</v>
      </c>
      <c r="AJ9">
        <v>14182</v>
      </c>
      <c r="AM9">
        <v>1285177030</v>
      </c>
      <c r="AN9">
        <v>0</v>
      </c>
      <c r="AO9">
        <v>856777176</v>
      </c>
      <c r="AP9">
        <v>1285177030</v>
      </c>
      <c r="AQ9">
        <v>2141954206</v>
      </c>
      <c r="AR9">
        <v>42839234</v>
      </c>
      <c r="AS9">
        <v>0</v>
      </c>
      <c r="AT9">
        <v>28559239</v>
      </c>
      <c r="AU9">
        <v>42839234</v>
      </c>
      <c r="AV9">
        <v>71398473</v>
      </c>
      <c r="AW9">
        <v>29.398900000000001</v>
      </c>
      <c r="AX9">
        <v>12.1067</v>
      </c>
      <c r="AY9">
        <v>7395.2</v>
      </c>
      <c r="AZ9">
        <v>5319.62</v>
      </c>
      <c r="BA9">
        <v>2316</v>
      </c>
      <c r="BB9">
        <v>438</v>
      </c>
      <c r="BC9" t="str">
        <f t="shared" si="0"/>
        <v>u=40%, k=2x10^7</v>
      </c>
    </row>
    <row r="10" spans="1:55">
      <c r="A10" t="s">
        <v>97</v>
      </c>
      <c r="B10" t="s">
        <v>62</v>
      </c>
      <c r="C10">
        <v>72</v>
      </c>
      <c r="D10" t="s">
        <v>63</v>
      </c>
      <c r="E10" t="s">
        <v>59</v>
      </c>
      <c r="F10" t="s">
        <v>60</v>
      </c>
      <c r="G10">
        <v>30000</v>
      </c>
      <c r="H10">
        <v>20</v>
      </c>
      <c r="I10">
        <v>20</v>
      </c>
      <c r="J10">
        <v>0</v>
      </c>
      <c r="K10">
        <v>1</v>
      </c>
      <c r="L10">
        <v>200000000</v>
      </c>
      <c r="M10">
        <v>190</v>
      </c>
      <c r="N10">
        <v>190</v>
      </c>
      <c r="O10">
        <v>190</v>
      </c>
      <c r="P10">
        <v>0</v>
      </c>
      <c r="Q10" t="s">
        <v>61</v>
      </c>
      <c r="R10">
        <v>1.00014218047042E+16</v>
      </c>
      <c r="S10">
        <v>100007148</v>
      </c>
      <c r="T10">
        <v>1.00014218047042E+16</v>
      </c>
      <c r="U10">
        <v>100007148</v>
      </c>
      <c r="V10" t="s">
        <v>73</v>
      </c>
      <c r="W10">
        <v>7</v>
      </c>
      <c r="X10">
        <v>11011159</v>
      </c>
      <c r="Y10">
        <v>110008250</v>
      </c>
      <c r="Z10">
        <v>121019409</v>
      </c>
      <c r="AA10">
        <v>100007148</v>
      </c>
      <c r="AB10">
        <v>10.990600000000001</v>
      </c>
      <c r="AC10">
        <v>0.90908800000000001</v>
      </c>
      <c r="AD10">
        <v>1.82637</v>
      </c>
      <c r="AE10">
        <v>4</v>
      </c>
      <c r="AF10">
        <v>2641024704</v>
      </c>
      <c r="AG10" t="s">
        <v>98</v>
      </c>
      <c r="AH10" t="s">
        <v>99</v>
      </c>
      <c r="AI10">
        <v>510045</v>
      </c>
      <c r="AJ10">
        <v>12656</v>
      </c>
      <c r="AM10">
        <v>1499958580</v>
      </c>
      <c r="AN10">
        <v>0</v>
      </c>
      <c r="AO10">
        <v>999951390</v>
      </c>
      <c r="AP10">
        <v>1499958580</v>
      </c>
      <c r="AQ10">
        <v>2499909970</v>
      </c>
      <c r="AR10">
        <v>49998619</v>
      </c>
      <c r="AS10">
        <v>0</v>
      </c>
      <c r="AT10">
        <v>33331713</v>
      </c>
      <c r="AU10">
        <v>49998619</v>
      </c>
      <c r="AV10">
        <v>83330332</v>
      </c>
      <c r="AW10">
        <v>31.508199999999999</v>
      </c>
      <c r="AX10">
        <v>17.6554</v>
      </c>
      <c r="AY10">
        <v>5710.34</v>
      </c>
      <c r="AZ10">
        <v>4240.8</v>
      </c>
      <c r="BA10">
        <v>14421</v>
      </c>
      <c r="BB10">
        <v>1127</v>
      </c>
      <c r="BC10" t="str">
        <f t="shared" si="0"/>
        <v>u=40%, k=2x10^8</v>
      </c>
    </row>
    <row r="11" spans="1:55">
      <c r="A11" t="s">
        <v>100</v>
      </c>
      <c r="B11" t="s">
        <v>64</v>
      </c>
      <c r="C11">
        <v>208</v>
      </c>
      <c r="D11" t="s">
        <v>63</v>
      </c>
      <c r="E11" t="s">
        <v>59</v>
      </c>
      <c r="F11" t="s">
        <v>60</v>
      </c>
      <c r="G11">
        <v>30000</v>
      </c>
      <c r="H11">
        <v>20</v>
      </c>
      <c r="I11">
        <v>20</v>
      </c>
      <c r="J11">
        <v>0</v>
      </c>
      <c r="K11">
        <v>1</v>
      </c>
      <c r="L11">
        <v>200000000</v>
      </c>
      <c r="M11">
        <v>190</v>
      </c>
      <c r="N11">
        <v>190</v>
      </c>
      <c r="O11">
        <v>190</v>
      </c>
      <c r="P11">
        <v>0</v>
      </c>
      <c r="Q11" t="s">
        <v>61</v>
      </c>
      <c r="R11">
        <v>1.00012438457212E+16</v>
      </c>
      <c r="S11">
        <v>100009583</v>
      </c>
      <c r="T11">
        <v>1.00012438457212E+16</v>
      </c>
      <c r="U11">
        <v>100009583</v>
      </c>
      <c r="V11" t="s">
        <v>73</v>
      </c>
      <c r="W11">
        <v>11</v>
      </c>
      <c r="X11">
        <v>2666467</v>
      </c>
      <c r="Y11">
        <v>18220721</v>
      </c>
      <c r="Z11">
        <v>20887188</v>
      </c>
      <c r="AA11">
        <v>100009583</v>
      </c>
      <c r="AB11">
        <v>7.8332800000000002</v>
      </c>
      <c r="AC11">
        <v>5.4887800000000002</v>
      </c>
      <c r="AD11">
        <v>5.7880799999999999</v>
      </c>
      <c r="AE11">
        <v>10</v>
      </c>
      <c r="AF11">
        <v>4344535104</v>
      </c>
      <c r="AJ11" t="s">
        <v>101</v>
      </c>
      <c r="AM11">
        <v>1739222297</v>
      </c>
      <c r="AN11">
        <v>0</v>
      </c>
      <c r="AO11">
        <v>1159364425</v>
      </c>
      <c r="AP11">
        <v>1739222297</v>
      </c>
      <c r="AQ11">
        <v>2898586722</v>
      </c>
      <c r="AR11">
        <v>57974076</v>
      </c>
      <c r="AS11">
        <v>0</v>
      </c>
      <c r="AT11">
        <v>38645480</v>
      </c>
      <c r="AU11">
        <v>57974076</v>
      </c>
      <c r="AV11">
        <v>96619557</v>
      </c>
      <c r="AW11">
        <v>29.436399999999999</v>
      </c>
      <c r="AX11">
        <v>13.9032</v>
      </c>
      <c r="AY11">
        <v>5436.38</v>
      </c>
      <c r="AZ11">
        <v>3556.38</v>
      </c>
      <c r="BA11">
        <v>9760</v>
      </c>
      <c r="BB11">
        <v>6200</v>
      </c>
      <c r="BC11" t="str">
        <f t="shared" si="0"/>
        <v>u=40%, k=2x10^8</v>
      </c>
    </row>
    <row r="12" spans="1:55">
      <c r="A12" t="s">
        <v>102</v>
      </c>
      <c r="B12" t="s">
        <v>65</v>
      </c>
      <c r="D12" t="s">
        <v>63</v>
      </c>
      <c r="E12" t="s">
        <v>59</v>
      </c>
      <c r="F12" t="s">
        <v>60</v>
      </c>
      <c r="G12">
        <v>30000</v>
      </c>
      <c r="H12">
        <v>20</v>
      </c>
      <c r="I12">
        <v>20</v>
      </c>
      <c r="J12">
        <v>0</v>
      </c>
      <c r="K12">
        <v>1</v>
      </c>
      <c r="L12">
        <v>200000000</v>
      </c>
      <c r="M12">
        <v>190</v>
      </c>
      <c r="N12">
        <v>190</v>
      </c>
      <c r="O12">
        <v>190</v>
      </c>
      <c r="P12">
        <v>0</v>
      </c>
      <c r="Q12" t="s">
        <v>61</v>
      </c>
      <c r="R12">
        <v>1.00000262477594E+16</v>
      </c>
      <c r="S12">
        <v>100001982</v>
      </c>
      <c r="T12">
        <v>1.00000262477594E+16</v>
      </c>
      <c r="U12">
        <v>100001982</v>
      </c>
      <c r="V12" t="s">
        <v>73</v>
      </c>
      <c r="W12">
        <v>33</v>
      </c>
      <c r="X12">
        <v>68333894</v>
      </c>
      <c r="Y12">
        <v>51814404</v>
      </c>
      <c r="Z12">
        <v>120148298</v>
      </c>
      <c r="AA12">
        <v>100001982</v>
      </c>
      <c r="AB12">
        <v>1.7582500000000001</v>
      </c>
      <c r="AC12">
        <v>1.93</v>
      </c>
      <c r="AD12">
        <v>1.8323199999999999</v>
      </c>
      <c r="AE12">
        <v>26.6096</v>
      </c>
      <c r="AF12">
        <v>6728304688</v>
      </c>
      <c r="AJ12" t="s">
        <v>103</v>
      </c>
      <c r="AM12">
        <v>1123507948</v>
      </c>
      <c r="AN12">
        <v>0</v>
      </c>
      <c r="AO12">
        <v>749031960</v>
      </c>
      <c r="AP12">
        <v>1123507948</v>
      </c>
      <c r="AQ12">
        <v>1872539908</v>
      </c>
      <c r="AR12">
        <v>37450264</v>
      </c>
      <c r="AS12">
        <v>0</v>
      </c>
      <c r="AT12">
        <v>24967732</v>
      </c>
      <c r="AU12">
        <v>37450264</v>
      </c>
      <c r="AV12">
        <v>62417996</v>
      </c>
      <c r="AW12">
        <v>44.072699999999998</v>
      </c>
      <c r="AX12">
        <v>21.360700000000001</v>
      </c>
      <c r="AY12">
        <v>8468.83</v>
      </c>
      <c r="AZ12">
        <v>6813.17</v>
      </c>
      <c r="BA12">
        <v>10618</v>
      </c>
      <c r="BB12">
        <v>2755</v>
      </c>
      <c r="BC12" t="str">
        <f t="shared" si="0"/>
        <v>u=40%, k=2x10^8</v>
      </c>
    </row>
    <row r="13" spans="1:55">
      <c r="A13" t="s">
        <v>104</v>
      </c>
      <c r="B13" t="s">
        <v>66</v>
      </c>
      <c r="D13" t="s">
        <v>63</v>
      </c>
      <c r="E13" t="s">
        <v>59</v>
      </c>
      <c r="F13" t="s">
        <v>60</v>
      </c>
      <c r="G13">
        <v>30000</v>
      </c>
      <c r="H13">
        <v>20</v>
      </c>
      <c r="I13">
        <v>20</v>
      </c>
      <c r="J13">
        <v>0</v>
      </c>
      <c r="K13">
        <v>1</v>
      </c>
      <c r="L13">
        <v>200000000</v>
      </c>
      <c r="M13">
        <v>190</v>
      </c>
      <c r="N13">
        <v>190</v>
      </c>
      <c r="O13">
        <v>190</v>
      </c>
      <c r="P13">
        <v>0</v>
      </c>
      <c r="Q13" t="s">
        <v>61</v>
      </c>
      <c r="R13">
        <v>1.00005698410091E+16</v>
      </c>
      <c r="S13">
        <v>100003561</v>
      </c>
      <c r="T13">
        <v>1.00005698410091E+16</v>
      </c>
      <c r="U13">
        <v>100003561</v>
      </c>
      <c r="V13" t="s">
        <v>73</v>
      </c>
      <c r="W13">
        <v>73</v>
      </c>
      <c r="X13">
        <v>100003560</v>
      </c>
      <c r="Y13">
        <v>100003561</v>
      </c>
      <c r="Z13">
        <v>200007121</v>
      </c>
      <c r="AA13">
        <v>100003561</v>
      </c>
      <c r="AB13">
        <v>2</v>
      </c>
      <c r="AC13">
        <v>1</v>
      </c>
      <c r="AD13">
        <v>1.5</v>
      </c>
      <c r="AE13">
        <v>35.541699999999999</v>
      </c>
      <c r="AF13">
        <v>6400227872</v>
      </c>
      <c r="AJ13" t="s">
        <v>105</v>
      </c>
      <c r="AM13">
        <v>904604344</v>
      </c>
      <c r="AN13">
        <v>0</v>
      </c>
      <c r="AO13">
        <v>603038908</v>
      </c>
      <c r="AP13">
        <v>904604344</v>
      </c>
      <c r="AQ13">
        <v>1507643252</v>
      </c>
      <c r="AR13">
        <v>30153478</v>
      </c>
      <c r="AS13">
        <v>0</v>
      </c>
      <c r="AT13">
        <v>20101296</v>
      </c>
      <c r="AU13">
        <v>30153478</v>
      </c>
      <c r="AV13">
        <v>50254775</v>
      </c>
      <c r="AW13">
        <v>42.015599999999999</v>
      </c>
      <c r="AX13">
        <v>21.660599999999999</v>
      </c>
      <c r="AY13">
        <v>10518</v>
      </c>
      <c r="AZ13">
        <v>8684.2900000000009</v>
      </c>
      <c r="BA13">
        <v>10963</v>
      </c>
      <c r="BB13">
        <v>2838</v>
      </c>
      <c r="BC13" t="str">
        <f t="shared" si="0"/>
        <v>u=40%, k=2x10^8</v>
      </c>
    </row>
    <row r="14" spans="1:55">
      <c r="A14" t="s">
        <v>106</v>
      </c>
      <c r="B14" t="s">
        <v>62</v>
      </c>
      <c r="C14">
        <v>72</v>
      </c>
      <c r="D14" t="s">
        <v>63</v>
      </c>
      <c r="E14" t="s">
        <v>59</v>
      </c>
      <c r="F14" t="s">
        <v>60</v>
      </c>
      <c r="G14">
        <v>30000</v>
      </c>
      <c r="H14">
        <v>20</v>
      </c>
      <c r="I14">
        <v>20</v>
      </c>
      <c r="J14">
        <v>0</v>
      </c>
      <c r="K14">
        <v>1</v>
      </c>
      <c r="L14">
        <v>2000000000</v>
      </c>
      <c r="M14">
        <v>190</v>
      </c>
      <c r="N14">
        <v>190</v>
      </c>
      <c r="O14">
        <v>190</v>
      </c>
      <c r="P14">
        <v>0</v>
      </c>
      <c r="Q14" t="s">
        <v>61</v>
      </c>
      <c r="R14">
        <v>9.9999087679716198E+17</v>
      </c>
      <c r="S14">
        <v>1000010792</v>
      </c>
      <c r="T14">
        <v>9.9999087679716198E+17</v>
      </c>
      <c r="U14">
        <v>1000010792</v>
      </c>
      <c r="V14" t="s">
        <v>73</v>
      </c>
      <c r="W14">
        <v>7</v>
      </c>
      <c r="X14">
        <v>117327574</v>
      </c>
      <c r="Y14">
        <v>1148792284</v>
      </c>
      <c r="Z14">
        <v>1266119858</v>
      </c>
      <c r="AA14">
        <v>1000010792</v>
      </c>
      <c r="AB14">
        <v>10.7913</v>
      </c>
      <c r="AC14">
        <v>0.87048899999999996</v>
      </c>
      <c r="AD14">
        <v>1.78982</v>
      </c>
      <c r="AE14">
        <v>4.0703500000000004</v>
      </c>
      <c r="AF14">
        <v>27816962896</v>
      </c>
      <c r="AG14" t="s">
        <v>107</v>
      </c>
      <c r="AH14" t="s">
        <v>108</v>
      </c>
      <c r="AI14">
        <v>54208</v>
      </c>
      <c r="AJ14">
        <v>13920</v>
      </c>
      <c r="AM14">
        <v>1451426339</v>
      </c>
      <c r="AN14">
        <v>0</v>
      </c>
      <c r="AO14">
        <v>967613550</v>
      </c>
      <c r="AP14">
        <v>1451426339</v>
      </c>
      <c r="AQ14">
        <v>2419039889</v>
      </c>
      <c r="AR14">
        <v>48380877</v>
      </c>
      <c r="AS14">
        <v>0</v>
      </c>
      <c r="AT14">
        <v>32253785</v>
      </c>
      <c r="AU14">
        <v>48380877</v>
      </c>
      <c r="AV14">
        <v>80634662</v>
      </c>
      <c r="AW14">
        <v>30.591000000000001</v>
      </c>
      <c r="AX14">
        <v>19.666</v>
      </c>
      <c r="AY14">
        <v>5801.34</v>
      </c>
      <c r="AZ14">
        <v>4637.0200000000004</v>
      </c>
      <c r="BA14">
        <v>120708</v>
      </c>
      <c r="BB14">
        <v>9082</v>
      </c>
      <c r="BC14" t="str">
        <f t="shared" si="0"/>
        <v>u=40%, k=2x10^9</v>
      </c>
    </row>
    <row r="15" spans="1:55">
      <c r="A15" t="s">
        <v>109</v>
      </c>
      <c r="B15" t="s">
        <v>64</v>
      </c>
      <c r="C15">
        <v>208</v>
      </c>
      <c r="D15" t="s">
        <v>63</v>
      </c>
      <c r="E15" t="s">
        <v>59</v>
      </c>
      <c r="F15" t="s">
        <v>60</v>
      </c>
      <c r="G15">
        <v>30000</v>
      </c>
      <c r="H15">
        <v>20</v>
      </c>
      <c r="I15">
        <v>20</v>
      </c>
      <c r="J15">
        <v>0</v>
      </c>
      <c r="K15">
        <v>1</v>
      </c>
      <c r="L15">
        <v>2000000000</v>
      </c>
      <c r="M15">
        <v>190</v>
      </c>
      <c r="N15">
        <v>190</v>
      </c>
      <c r="O15">
        <v>190</v>
      </c>
      <c r="P15">
        <v>0</v>
      </c>
      <c r="Q15" t="s">
        <v>61</v>
      </c>
      <c r="R15">
        <v>1.00002234055185E+18</v>
      </c>
      <c r="S15">
        <v>1000021130</v>
      </c>
      <c r="T15">
        <v>1.00002234055185E+18</v>
      </c>
      <c r="U15">
        <v>1000021130</v>
      </c>
      <c r="V15" t="s">
        <v>73</v>
      </c>
      <c r="W15">
        <v>12</v>
      </c>
      <c r="X15">
        <v>20667629</v>
      </c>
      <c r="Y15">
        <v>142190511</v>
      </c>
      <c r="Z15">
        <v>162858140</v>
      </c>
      <c r="AA15">
        <v>1000021130</v>
      </c>
      <c r="AB15">
        <v>7.8798700000000004</v>
      </c>
      <c r="AC15">
        <v>7.0329699999999997</v>
      </c>
      <c r="AD15">
        <v>7.1404399999999999</v>
      </c>
      <c r="AE15">
        <v>11</v>
      </c>
      <c r="AF15">
        <v>33874493120</v>
      </c>
      <c r="AJ15" t="s">
        <v>110</v>
      </c>
      <c r="AM15">
        <v>1278327953</v>
      </c>
      <c r="AN15">
        <v>0</v>
      </c>
      <c r="AO15">
        <v>852228003</v>
      </c>
      <c r="AP15">
        <v>1278327953</v>
      </c>
      <c r="AQ15">
        <v>2130555956</v>
      </c>
      <c r="AR15">
        <v>42610931</v>
      </c>
      <c r="AS15">
        <v>0</v>
      </c>
      <c r="AT15">
        <v>28407600</v>
      </c>
      <c r="AU15">
        <v>42610931</v>
      </c>
      <c r="AV15">
        <v>71018531</v>
      </c>
      <c r="AW15">
        <v>37.326500000000003</v>
      </c>
      <c r="AX15">
        <v>21.295000000000002</v>
      </c>
      <c r="AY15">
        <v>7300.55</v>
      </c>
      <c r="AZ15">
        <v>5605.8</v>
      </c>
      <c r="BA15">
        <v>62919</v>
      </c>
      <c r="BB15">
        <v>61314</v>
      </c>
      <c r="BC15" t="str">
        <f t="shared" si="0"/>
        <v>u=40%, k=2x10^9</v>
      </c>
    </row>
    <row r="16" spans="1:55">
      <c r="A16" t="s">
        <v>111</v>
      </c>
      <c r="B16" t="s">
        <v>65</v>
      </c>
      <c r="D16" t="s">
        <v>63</v>
      </c>
      <c r="E16" t="s">
        <v>59</v>
      </c>
      <c r="F16" t="s">
        <v>60</v>
      </c>
      <c r="G16">
        <v>30000</v>
      </c>
      <c r="H16">
        <v>20</v>
      </c>
      <c r="I16">
        <v>20</v>
      </c>
      <c r="J16">
        <v>0</v>
      </c>
      <c r="K16">
        <v>1</v>
      </c>
      <c r="L16">
        <v>2000000000</v>
      </c>
      <c r="M16">
        <v>190</v>
      </c>
      <c r="N16">
        <v>190</v>
      </c>
      <c r="O16">
        <v>190</v>
      </c>
      <c r="P16">
        <v>0</v>
      </c>
      <c r="Q16" t="s">
        <v>61</v>
      </c>
      <c r="R16">
        <v>1.00001578952269E+18</v>
      </c>
      <c r="S16">
        <v>999995294</v>
      </c>
      <c r="T16">
        <v>1.00001578952269E+18</v>
      </c>
      <c r="U16">
        <v>999995294</v>
      </c>
      <c r="V16" t="s">
        <v>73</v>
      </c>
      <c r="W16">
        <v>37</v>
      </c>
      <c r="X16">
        <v>597715529</v>
      </c>
      <c r="Y16">
        <v>450207617</v>
      </c>
      <c r="Z16">
        <v>1047923146</v>
      </c>
      <c r="AA16">
        <v>999995294</v>
      </c>
      <c r="AB16">
        <v>1.7532099999999999</v>
      </c>
      <c r="AC16">
        <v>2.22119</v>
      </c>
      <c r="AD16">
        <v>1.9542600000000001</v>
      </c>
      <c r="AE16">
        <v>29.540400000000002</v>
      </c>
      <c r="AF16">
        <v>58683696176</v>
      </c>
      <c r="AJ16" t="s">
        <v>112</v>
      </c>
      <c r="AM16">
        <v>769014846</v>
      </c>
      <c r="AN16">
        <v>0</v>
      </c>
      <c r="AO16">
        <v>512692934</v>
      </c>
      <c r="AP16">
        <v>769014846</v>
      </c>
      <c r="AQ16">
        <v>1281707780</v>
      </c>
      <c r="AR16">
        <v>25633828</v>
      </c>
      <c r="AS16">
        <v>0</v>
      </c>
      <c r="AT16">
        <v>17089764</v>
      </c>
      <c r="AU16">
        <v>25633828</v>
      </c>
      <c r="AV16">
        <v>42723592</v>
      </c>
      <c r="AW16">
        <v>58.135899999999999</v>
      </c>
      <c r="AX16">
        <v>32.901400000000002</v>
      </c>
      <c r="AY16">
        <v>12373.8</v>
      </c>
      <c r="AZ16">
        <v>10620.1</v>
      </c>
      <c r="BA16">
        <v>69551</v>
      </c>
      <c r="BB16">
        <v>32730</v>
      </c>
      <c r="BC16" t="str">
        <f t="shared" si="0"/>
        <v>u=40%, k=2x10^9</v>
      </c>
    </row>
    <row r="17" spans="1:55">
      <c r="A17" t="s">
        <v>113</v>
      </c>
      <c r="B17" t="s">
        <v>66</v>
      </c>
      <c r="D17" t="s">
        <v>63</v>
      </c>
      <c r="E17" t="s">
        <v>59</v>
      </c>
      <c r="F17" t="s">
        <v>60</v>
      </c>
      <c r="G17">
        <v>30000</v>
      </c>
      <c r="H17">
        <v>20</v>
      </c>
      <c r="I17">
        <v>20</v>
      </c>
      <c r="J17">
        <v>0</v>
      </c>
      <c r="K17">
        <v>1</v>
      </c>
      <c r="L17">
        <v>2000000000</v>
      </c>
      <c r="M17">
        <v>190</v>
      </c>
      <c r="N17">
        <v>190</v>
      </c>
      <c r="O17">
        <v>190</v>
      </c>
      <c r="P17">
        <v>0</v>
      </c>
      <c r="Q17" t="s">
        <v>61</v>
      </c>
      <c r="R17">
        <v>1.0000221798909199E+18</v>
      </c>
      <c r="S17">
        <v>1000004952</v>
      </c>
      <c r="T17">
        <v>1.0000221798909199E+18</v>
      </c>
      <c r="U17">
        <v>1000004952</v>
      </c>
      <c r="V17" t="s">
        <v>73</v>
      </c>
      <c r="W17">
        <v>78</v>
      </c>
      <c r="X17">
        <v>1000004951</v>
      </c>
      <c r="Y17">
        <v>1000004952</v>
      </c>
      <c r="Z17">
        <v>2000009903</v>
      </c>
      <c r="AA17">
        <v>1000004952</v>
      </c>
      <c r="AB17">
        <v>2</v>
      </c>
      <c r="AC17">
        <v>1</v>
      </c>
      <c r="AD17">
        <v>1.5</v>
      </c>
      <c r="AE17">
        <v>39.877699999999997</v>
      </c>
      <c r="AF17">
        <v>64000316896</v>
      </c>
      <c r="AJ17" t="s">
        <v>114</v>
      </c>
      <c r="AM17">
        <v>613340292</v>
      </c>
      <c r="AN17">
        <v>0</v>
      </c>
      <c r="AO17">
        <v>408883366</v>
      </c>
      <c r="AP17">
        <v>613340292</v>
      </c>
      <c r="AQ17">
        <v>1022223658</v>
      </c>
      <c r="AR17">
        <v>20444676</v>
      </c>
      <c r="AS17">
        <v>0</v>
      </c>
      <c r="AT17">
        <v>13629445</v>
      </c>
      <c r="AU17">
        <v>20444676</v>
      </c>
      <c r="AV17">
        <v>34074121</v>
      </c>
      <c r="AW17">
        <v>57.197400000000002</v>
      </c>
      <c r="AX17">
        <v>33.394399999999997</v>
      </c>
      <c r="AY17">
        <v>15509.5</v>
      </c>
      <c r="AZ17">
        <v>13229.1</v>
      </c>
      <c r="BA17">
        <v>69311</v>
      </c>
      <c r="BB17">
        <v>33766</v>
      </c>
      <c r="BC17" t="str">
        <f t="shared" si="0"/>
        <v>u=40%, k=2x10^9</v>
      </c>
    </row>
    <row r="18" spans="1:55">
      <c r="A18" t="s">
        <v>115</v>
      </c>
      <c r="B18" t="s">
        <v>62</v>
      </c>
      <c r="C18">
        <v>72</v>
      </c>
      <c r="D18" t="s">
        <v>63</v>
      </c>
      <c r="E18" t="s">
        <v>59</v>
      </c>
      <c r="F18" t="s">
        <v>60</v>
      </c>
      <c r="G18">
        <v>30000</v>
      </c>
      <c r="H18">
        <v>20</v>
      </c>
      <c r="I18">
        <v>20</v>
      </c>
      <c r="J18">
        <v>0</v>
      </c>
      <c r="K18">
        <v>1</v>
      </c>
      <c r="L18">
        <v>2000000</v>
      </c>
      <c r="M18">
        <v>190</v>
      </c>
      <c r="N18">
        <v>190</v>
      </c>
      <c r="O18">
        <v>190</v>
      </c>
      <c r="P18">
        <v>0</v>
      </c>
      <c r="Q18" t="s">
        <v>61</v>
      </c>
      <c r="R18">
        <v>999010816454</v>
      </c>
      <c r="S18">
        <v>999091</v>
      </c>
      <c r="T18">
        <v>999010816454</v>
      </c>
      <c r="U18">
        <v>999091</v>
      </c>
      <c r="V18" t="s">
        <v>73</v>
      </c>
      <c r="W18">
        <v>6</v>
      </c>
      <c r="X18">
        <v>54155</v>
      </c>
      <c r="Y18">
        <v>1074657</v>
      </c>
      <c r="Z18">
        <v>1128812</v>
      </c>
      <c r="AA18">
        <v>999091</v>
      </c>
      <c r="AB18">
        <v>20.844100000000001</v>
      </c>
      <c r="AC18">
        <v>0.92968399999999995</v>
      </c>
      <c r="AD18">
        <v>1.8850800000000001</v>
      </c>
      <c r="AE18">
        <v>3.0442499999999999</v>
      </c>
      <c r="AF18">
        <v>21548416</v>
      </c>
      <c r="AG18" t="s">
        <v>116</v>
      </c>
      <c r="AH18" t="s">
        <v>117</v>
      </c>
      <c r="AI18">
        <v>23348624</v>
      </c>
      <c r="AJ18">
        <v>20370</v>
      </c>
      <c r="AM18">
        <v>1701951673</v>
      </c>
      <c r="AN18">
        <v>0</v>
      </c>
      <c r="AO18">
        <v>1134675505</v>
      </c>
      <c r="AP18">
        <v>1701951673</v>
      </c>
      <c r="AQ18">
        <v>2836627178</v>
      </c>
      <c r="AR18">
        <v>56731722</v>
      </c>
      <c r="AS18">
        <v>0</v>
      </c>
      <c r="AT18">
        <v>37822516</v>
      </c>
      <c r="AU18">
        <v>56731722</v>
      </c>
      <c r="AV18">
        <v>94554239</v>
      </c>
      <c r="AW18">
        <v>25.0398</v>
      </c>
      <c r="AX18">
        <v>11.8881</v>
      </c>
      <c r="AY18">
        <v>5590.58</v>
      </c>
      <c r="AZ18">
        <v>4311</v>
      </c>
      <c r="BA18">
        <v>1754</v>
      </c>
      <c r="BB18">
        <v>327</v>
      </c>
      <c r="BC18" t="str">
        <f t="shared" si="0"/>
        <v>u=40%, k=2x10^6</v>
      </c>
    </row>
    <row r="19" spans="1:55">
      <c r="A19" t="s">
        <v>118</v>
      </c>
      <c r="B19" t="s">
        <v>64</v>
      </c>
      <c r="C19">
        <v>208</v>
      </c>
      <c r="D19" t="s">
        <v>63</v>
      </c>
      <c r="E19" t="s">
        <v>59</v>
      </c>
      <c r="F19" t="s">
        <v>60</v>
      </c>
      <c r="G19">
        <v>30000</v>
      </c>
      <c r="H19">
        <v>20</v>
      </c>
      <c r="I19">
        <v>20</v>
      </c>
      <c r="J19">
        <v>0</v>
      </c>
      <c r="K19">
        <v>1</v>
      </c>
      <c r="L19">
        <v>2000000</v>
      </c>
      <c r="M19">
        <v>190</v>
      </c>
      <c r="N19">
        <v>190</v>
      </c>
      <c r="O19">
        <v>190</v>
      </c>
      <c r="P19">
        <v>0</v>
      </c>
      <c r="Q19" t="s">
        <v>61</v>
      </c>
      <c r="R19">
        <v>1000560330650</v>
      </c>
      <c r="S19">
        <v>1000378</v>
      </c>
      <c r="T19">
        <v>1000560330650</v>
      </c>
      <c r="U19">
        <v>1000378</v>
      </c>
      <c r="V19" t="s">
        <v>73</v>
      </c>
      <c r="W19">
        <v>8</v>
      </c>
      <c r="X19">
        <v>35835</v>
      </c>
      <c r="Y19">
        <v>194966</v>
      </c>
      <c r="Z19">
        <v>230801</v>
      </c>
      <c r="AA19">
        <v>1000378</v>
      </c>
      <c r="AB19">
        <v>6.4406600000000003</v>
      </c>
      <c r="AC19">
        <v>5.1310399999999996</v>
      </c>
      <c r="AD19">
        <v>5.3343699999999998</v>
      </c>
      <c r="AE19">
        <v>7</v>
      </c>
      <c r="AF19">
        <v>48006608</v>
      </c>
      <c r="AJ19">
        <v>40598</v>
      </c>
      <c r="AM19">
        <v>2206370350</v>
      </c>
      <c r="AN19">
        <v>0</v>
      </c>
      <c r="AO19">
        <v>1470945187</v>
      </c>
      <c r="AP19">
        <v>2206370350</v>
      </c>
      <c r="AQ19">
        <v>3677315537</v>
      </c>
      <c r="AR19">
        <v>73545678</v>
      </c>
      <c r="AS19">
        <v>0</v>
      </c>
      <c r="AT19">
        <v>49031506</v>
      </c>
      <c r="AU19">
        <v>73545678</v>
      </c>
      <c r="AV19">
        <v>122577184</v>
      </c>
      <c r="AW19">
        <v>16.1112</v>
      </c>
      <c r="AX19">
        <v>5.8808100000000003</v>
      </c>
      <c r="AY19">
        <v>3904.5</v>
      </c>
      <c r="AZ19">
        <v>1696.22</v>
      </c>
      <c r="BA19">
        <v>1365</v>
      </c>
      <c r="BB19">
        <v>242</v>
      </c>
      <c r="BC19" t="str">
        <f t="shared" si="0"/>
        <v>u=40%, k=2x10^6</v>
      </c>
    </row>
    <row r="20" spans="1:55">
      <c r="A20" t="s">
        <v>119</v>
      </c>
      <c r="B20" t="s">
        <v>65</v>
      </c>
      <c r="D20" t="s">
        <v>63</v>
      </c>
      <c r="E20" t="s">
        <v>59</v>
      </c>
      <c r="F20" t="s">
        <v>60</v>
      </c>
      <c r="G20">
        <v>30000</v>
      </c>
      <c r="H20">
        <v>20</v>
      </c>
      <c r="I20">
        <v>20</v>
      </c>
      <c r="J20">
        <v>0</v>
      </c>
      <c r="K20">
        <v>1</v>
      </c>
      <c r="L20">
        <v>2000000</v>
      </c>
      <c r="M20">
        <v>190</v>
      </c>
      <c r="N20">
        <v>190</v>
      </c>
      <c r="O20">
        <v>190</v>
      </c>
      <c r="P20">
        <v>0</v>
      </c>
      <c r="Q20" t="s">
        <v>61</v>
      </c>
      <c r="R20">
        <v>1000624129163</v>
      </c>
      <c r="S20">
        <v>1000754</v>
      </c>
      <c r="T20">
        <v>1000624129163</v>
      </c>
      <c r="U20">
        <v>1000754</v>
      </c>
      <c r="V20" t="s">
        <v>73</v>
      </c>
      <c r="W20">
        <v>25</v>
      </c>
      <c r="X20">
        <v>686286</v>
      </c>
      <c r="Y20">
        <v>520429</v>
      </c>
      <c r="Z20">
        <v>1206715</v>
      </c>
      <c r="AA20">
        <v>1000754</v>
      </c>
      <c r="AB20">
        <v>1.7583299999999999</v>
      </c>
      <c r="AC20">
        <v>1.9229400000000001</v>
      </c>
      <c r="AD20">
        <v>1.8293200000000001</v>
      </c>
      <c r="AE20">
        <v>19.794699999999999</v>
      </c>
      <c r="AF20">
        <v>67576040</v>
      </c>
      <c r="AJ20">
        <v>26602</v>
      </c>
      <c r="AM20">
        <v>2563691648</v>
      </c>
      <c r="AN20">
        <v>0</v>
      </c>
      <c r="AO20">
        <v>1709072802</v>
      </c>
      <c r="AP20">
        <v>2563691648</v>
      </c>
      <c r="AQ20">
        <v>4272764450</v>
      </c>
      <c r="AR20">
        <v>85456388</v>
      </c>
      <c r="AS20">
        <v>0</v>
      </c>
      <c r="AT20">
        <v>56969093</v>
      </c>
      <c r="AU20">
        <v>85456388</v>
      </c>
      <c r="AV20">
        <v>142425481</v>
      </c>
      <c r="AW20">
        <v>21.928999999999998</v>
      </c>
      <c r="AX20">
        <v>4.9117499999999996</v>
      </c>
      <c r="AY20">
        <v>3680.39</v>
      </c>
      <c r="AZ20">
        <v>2126.9899999999998</v>
      </c>
      <c r="BA20">
        <v>1258</v>
      </c>
      <c r="BB20">
        <v>316</v>
      </c>
      <c r="BC20" t="str">
        <f t="shared" si="0"/>
        <v>u=40%, k=2x10^6</v>
      </c>
    </row>
    <row r="21" spans="1:55">
      <c r="A21" t="s">
        <v>120</v>
      </c>
      <c r="B21" t="s">
        <v>66</v>
      </c>
      <c r="D21" t="s">
        <v>63</v>
      </c>
      <c r="E21" t="s">
        <v>59</v>
      </c>
      <c r="F21" t="s">
        <v>60</v>
      </c>
      <c r="G21">
        <v>30000</v>
      </c>
      <c r="H21">
        <v>20</v>
      </c>
      <c r="I21">
        <v>20</v>
      </c>
      <c r="J21">
        <v>0</v>
      </c>
      <c r="K21">
        <v>1</v>
      </c>
      <c r="L21">
        <v>2000000</v>
      </c>
      <c r="M21">
        <v>190</v>
      </c>
      <c r="N21">
        <v>190</v>
      </c>
      <c r="O21">
        <v>190</v>
      </c>
      <c r="P21">
        <v>0</v>
      </c>
      <c r="Q21" t="s">
        <v>61</v>
      </c>
      <c r="R21">
        <v>1000072963250</v>
      </c>
      <c r="S21">
        <v>1000121</v>
      </c>
      <c r="T21">
        <v>1000072963250</v>
      </c>
      <c r="U21">
        <v>1000121</v>
      </c>
      <c r="V21" t="s">
        <v>73</v>
      </c>
      <c r="W21">
        <v>47</v>
      </c>
      <c r="X21">
        <v>1000120</v>
      </c>
      <c r="Y21">
        <v>1000121</v>
      </c>
      <c r="Z21">
        <v>2000241</v>
      </c>
      <c r="AA21">
        <v>1000121</v>
      </c>
      <c r="AB21">
        <v>2</v>
      </c>
      <c r="AC21">
        <v>1</v>
      </c>
      <c r="AD21">
        <v>1.5</v>
      </c>
      <c r="AE21">
        <v>25.620699999999999</v>
      </c>
      <c r="AF21">
        <v>64007712</v>
      </c>
      <c r="AJ21">
        <v>27232</v>
      </c>
      <c r="AM21">
        <v>2195952926</v>
      </c>
      <c r="AN21">
        <v>0</v>
      </c>
      <c r="AO21">
        <v>1463957292</v>
      </c>
      <c r="AP21">
        <v>2195952926</v>
      </c>
      <c r="AQ21">
        <v>3659910218</v>
      </c>
      <c r="AR21">
        <v>73198430</v>
      </c>
      <c r="AS21">
        <v>0</v>
      </c>
      <c r="AT21">
        <v>48798576</v>
      </c>
      <c r="AU21">
        <v>73198430</v>
      </c>
      <c r="AV21">
        <v>121997007</v>
      </c>
      <c r="AW21">
        <v>16.889900000000001</v>
      </c>
      <c r="AX21">
        <v>4.3473899999999999</v>
      </c>
      <c r="AY21">
        <v>4308.22</v>
      </c>
      <c r="AZ21">
        <v>2488.5500000000002</v>
      </c>
      <c r="BA21">
        <v>1234</v>
      </c>
      <c r="BB21">
        <v>324</v>
      </c>
      <c r="BC21" t="str">
        <f t="shared" si="0"/>
        <v>u=40%, k=2x10^6</v>
      </c>
    </row>
    <row r="22" spans="1:55">
      <c r="A22" t="s">
        <v>121</v>
      </c>
      <c r="B22" t="s">
        <v>62</v>
      </c>
      <c r="C22">
        <v>72</v>
      </c>
      <c r="D22" t="s">
        <v>63</v>
      </c>
      <c r="E22" t="s">
        <v>59</v>
      </c>
      <c r="F22" t="s">
        <v>60</v>
      </c>
      <c r="G22">
        <v>30000</v>
      </c>
      <c r="H22">
        <v>20</v>
      </c>
      <c r="I22">
        <v>20</v>
      </c>
      <c r="J22">
        <v>0</v>
      </c>
      <c r="K22">
        <v>1</v>
      </c>
      <c r="L22">
        <v>20000000</v>
      </c>
      <c r="M22">
        <v>190</v>
      </c>
      <c r="N22">
        <v>190</v>
      </c>
      <c r="O22">
        <v>190</v>
      </c>
      <c r="P22">
        <v>0</v>
      </c>
      <c r="Q22" t="s">
        <v>61</v>
      </c>
      <c r="R22">
        <v>99978216611567</v>
      </c>
      <c r="S22">
        <v>9998193</v>
      </c>
      <c r="T22">
        <v>99978216611567</v>
      </c>
      <c r="U22">
        <v>9998193</v>
      </c>
      <c r="V22" t="s">
        <v>73</v>
      </c>
      <c r="W22">
        <v>7</v>
      </c>
      <c r="X22">
        <v>1700815</v>
      </c>
      <c r="Y22">
        <v>11592403</v>
      </c>
      <c r="Z22">
        <v>13293218</v>
      </c>
      <c r="AA22">
        <v>9998193</v>
      </c>
      <c r="AB22">
        <v>7.8157899999999998</v>
      </c>
      <c r="AC22">
        <v>0.86247799999999997</v>
      </c>
      <c r="AD22">
        <v>1.75213</v>
      </c>
      <c r="AE22">
        <v>4.01511</v>
      </c>
      <c r="AF22">
        <v>321543760</v>
      </c>
      <c r="AG22" t="s">
        <v>122</v>
      </c>
      <c r="AH22" t="s">
        <v>123</v>
      </c>
      <c r="AI22">
        <v>2921946</v>
      </c>
      <c r="AJ22">
        <v>22234</v>
      </c>
      <c r="AM22">
        <v>1740434990</v>
      </c>
      <c r="AN22">
        <v>0</v>
      </c>
      <c r="AO22">
        <v>1160261348</v>
      </c>
      <c r="AP22">
        <v>1740434990</v>
      </c>
      <c r="AQ22">
        <v>2900696338</v>
      </c>
      <c r="AR22">
        <v>58014499</v>
      </c>
      <c r="AS22">
        <v>0</v>
      </c>
      <c r="AT22">
        <v>38675378</v>
      </c>
      <c r="AU22">
        <v>58014499</v>
      </c>
      <c r="AV22">
        <v>96689877</v>
      </c>
      <c r="AW22">
        <v>28.633600000000001</v>
      </c>
      <c r="AX22">
        <v>15.3149</v>
      </c>
      <c r="AY22">
        <v>5297.89</v>
      </c>
      <c r="AZ22">
        <v>3646.4</v>
      </c>
      <c r="BA22">
        <v>2937</v>
      </c>
      <c r="BB22">
        <v>409</v>
      </c>
      <c r="BC22" t="str">
        <f t="shared" si="0"/>
        <v>u=40%, k=2x10^7</v>
      </c>
    </row>
    <row r="23" spans="1:55">
      <c r="A23" t="s">
        <v>124</v>
      </c>
      <c r="B23" t="s">
        <v>64</v>
      </c>
      <c r="C23">
        <v>208</v>
      </c>
      <c r="D23" t="s">
        <v>63</v>
      </c>
      <c r="E23" t="s">
        <v>59</v>
      </c>
      <c r="F23" t="s">
        <v>60</v>
      </c>
      <c r="G23">
        <v>30000</v>
      </c>
      <c r="H23">
        <v>20</v>
      </c>
      <c r="I23">
        <v>20</v>
      </c>
      <c r="J23">
        <v>0</v>
      </c>
      <c r="K23">
        <v>1</v>
      </c>
      <c r="L23">
        <v>20000000</v>
      </c>
      <c r="M23">
        <v>190</v>
      </c>
      <c r="N23">
        <v>190</v>
      </c>
      <c r="O23">
        <v>190</v>
      </c>
      <c r="P23">
        <v>0</v>
      </c>
      <c r="Q23" t="s">
        <v>61</v>
      </c>
      <c r="R23">
        <v>99992444980420</v>
      </c>
      <c r="S23">
        <v>9998700</v>
      </c>
      <c r="T23">
        <v>99992444980420</v>
      </c>
      <c r="U23">
        <v>9998700</v>
      </c>
      <c r="V23" t="s">
        <v>73</v>
      </c>
      <c r="W23">
        <v>9</v>
      </c>
      <c r="X23">
        <v>327597</v>
      </c>
      <c r="Y23">
        <v>1955529</v>
      </c>
      <c r="Z23">
        <v>2283126</v>
      </c>
      <c r="AA23">
        <v>9998700</v>
      </c>
      <c r="AB23">
        <v>6.9693100000000001</v>
      </c>
      <c r="AC23">
        <v>5.1130399999999998</v>
      </c>
      <c r="AD23">
        <v>5.3793899999999999</v>
      </c>
      <c r="AE23">
        <v>8</v>
      </c>
      <c r="AF23">
        <v>474890208</v>
      </c>
      <c r="AJ23" t="s">
        <v>125</v>
      </c>
      <c r="AM23">
        <v>2222677995</v>
      </c>
      <c r="AN23">
        <v>0</v>
      </c>
      <c r="AO23">
        <v>1481825303</v>
      </c>
      <c r="AP23">
        <v>2222677995</v>
      </c>
      <c r="AQ23">
        <v>3704503298</v>
      </c>
      <c r="AR23">
        <v>74089266</v>
      </c>
      <c r="AS23">
        <v>0</v>
      </c>
      <c r="AT23">
        <v>49394176</v>
      </c>
      <c r="AU23">
        <v>74089266</v>
      </c>
      <c r="AV23">
        <v>123483443</v>
      </c>
      <c r="AW23">
        <v>22.916499999999999</v>
      </c>
      <c r="AX23">
        <v>9.1289499999999997</v>
      </c>
      <c r="AY23">
        <v>4256.51</v>
      </c>
      <c r="AZ23">
        <v>2407.6799999999998</v>
      </c>
      <c r="BA23">
        <v>2155</v>
      </c>
      <c r="BB23">
        <v>866</v>
      </c>
      <c r="BC23" t="str">
        <f t="shared" si="0"/>
        <v>u=40%, k=2x10^7</v>
      </c>
    </row>
    <row r="24" spans="1:55">
      <c r="A24" t="s">
        <v>126</v>
      </c>
      <c r="B24" t="s">
        <v>65</v>
      </c>
      <c r="D24" t="s">
        <v>63</v>
      </c>
      <c r="E24" t="s">
        <v>59</v>
      </c>
      <c r="F24" t="s">
        <v>60</v>
      </c>
      <c r="G24">
        <v>30000</v>
      </c>
      <c r="H24">
        <v>20</v>
      </c>
      <c r="I24">
        <v>20</v>
      </c>
      <c r="J24">
        <v>0</v>
      </c>
      <c r="K24">
        <v>1</v>
      </c>
      <c r="L24">
        <v>20000000</v>
      </c>
      <c r="M24">
        <v>190</v>
      </c>
      <c r="N24">
        <v>190</v>
      </c>
      <c r="O24">
        <v>190</v>
      </c>
      <c r="P24">
        <v>0</v>
      </c>
      <c r="Q24" t="s">
        <v>61</v>
      </c>
      <c r="R24">
        <v>100010972543687</v>
      </c>
      <c r="S24">
        <v>10000232</v>
      </c>
      <c r="T24">
        <v>100010972543687</v>
      </c>
      <c r="U24">
        <v>10000232</v>
      </c>
      <c r="V24" t="s">
        <v>73</v>
      </c>
      <c r="W24">
        <v>29</v>
      </c>
      <c r="X24">
        <v>6858633</v>
      </c>
      <c r="Y24">
        <v>5204565</v>
      </c>
      <c r="Z24">
        <v>12063198</v>
      </c>
      <c r="AA24">
        <v>10000232</v>
      </c>
      <c r="AB24">
        <v>1.7588299999999999</v>
      </c>
      <c r="AC24">
        <v>1.92143</v>
      </c>
      <c r="AD24">
        <v>1.8289899999999999</v>
      </c>
      <c r="AE24">
        <v>23.265499999999999</v>
      </c>
      <c r="AF24">
        <v>675539088</v>
      </c>
      <c r="AJ24" t="s">
        <v>127</v>
      </c>
      <c r="AM24">
        <v>1654722243</v>
      </c>
      <c r="AN24">
        <v>0</v>
      </c>
      <c r="AO24">
        <v>1103085658</v>
      </c>
      <c r="AP24">
        <v>1654722243</v>
      </c>
      <c r="AQ24">
        <v>2757807901</v>
      </c>
      <c r="AR24">
        <v>55157408</v>
      </c>
      <c r="AS24">
        <v>0</v>
      </c>
      <c r="AT24">
        <v>36769521</v>
      </c>
      <c r="AU24">
        <v>55157408</v>
      </c>
      <c r="AV24">
        <v>91926930</v>
      </c>
      <c r="AW24">
        <v>32.762999999999998</v>
      </c>
      <c r="AX24">
        <v>12.2781</v>
      </c>
      <c r="AY24">
        <v>5746.02</v>
      </c>
      <c r="AZ24">
        <v>4133.54</v>
      </c>
      <c r="BA24">
        <v>2508</v>
      </c>
      <c r="BB24">
        <v>424</v>
      </c>
      <c r="BC24" t="str">
        <f t="shared" si="0"/>
        <v>u=40%, k=2x10^7</v>
      </c>
    </row>
    <row r="25" spans="1:55">
      <c r="A25" t="s">
        <v>128</v>
      </c>
      <c r="B25" t="s">
        <v>66</v>
      </c>
      <c r="D25" t="s">
        <v>63</v>
      </c>
      <c r="E25" t="s">
        <v>59</v>
      </c>
      <c r="F25" t="s">
        <v>60</v>
      </c>
      <c r="G25">
        <v>30000</v>
      </c>
      <c r="H25">
        <v>20</v>
      </c>
      <c r="I25">
        <v>20</v>
      </c>
      <c r="J25">
        <v>0</v>
      </c>
      <c r="K25">
        <v>1</v>
      </c>
      <c r="L25">
        <v>20000000</v>
      </c>
      <c r="M25">
        <v>190</v>
      </c>
      <c r="N25">
        <v>190</v>
      </c>
      <c r="O25">
        <v>190</v>
      </c>
      <c r="P25">
        <v>0</v>
      </c>
      <c r="Q25" t="s">
        <v>61</v>
      </c>
      <c r="R25">
        <v>99990438031842</v>
      </c>
      <c r="S25">
        <v>9998156</v>
      </c>
      <c r="T25">
        <v>99990438031842</v>
      </c>
      <c r="U25">
        <v>9998156</v>
      </c>
      <c r="V25" t="s">
        <v>73</v>
      </c>
      <c r="W25">
        <v>58</v>
      </c>
      <c r="X25">
        <v>9998155</v>
      </c>
      <c r="Y25">
        <v>9998156</v>
      </c>
      <c r="Z25">
        <v>19996311</v>
      </c>
      <c r="AA25">
        <v>9998156</v>
      </c>
      <c r="AB25">
        <v>2</v>
      </c>
      <c r="AC25">
        <v>1</v>
      </c>
      <c r="AD25">
        <v>1.5</v>
      </c>
      <c r="AE25">
        <v>31.1159</v>
      </c>
      <c r="AF25">
        <v>639881952</v>
      </c>
      <c r="AJ25" t="s">
        <v>129</v>
      </c>
      <c r="AM25">
        <v>1293204744</v>
      </c>
      <c r="AN25">
        <v>0</v>
      </c>
      <c r="AO25">
        <v>862167957</v>
      </c>
      <c r="AP25">
        <v>1293204744</v>
      </c>
      <c r="AQ25">
        <v>2155372701</v>
      </c>
      <c r="AR25">
        <v>43106824</v>
      </c>
      <c r="AS25">
        <v>0</v>
      </c>
      <c r="AT25">
        <v>28738931</v>
      </c>
      <c r="AU25">
        <v>43106824</v>
      </c>
      <c r="AV25">
        <v>71845756</v>
      </c>
      <c r="AW25">
        <v>29.338799999999999</v>
      </c>
      <c r="AX25">
        <v>12.1272</v>
      </c>
      <c r="AY25">
        <v>7355.82</v>
      </c>
      <c r="AZ25">
        <v>5293.68</v>
      </c>
      <c r="BA25">
        <v>2359</v>
      </c>
      <c r="BB25">
        <v>417</v>
      </c>
      <c r="BC25" t="str">
        <f t="shared" si="0"/>
        <v>u=40%, k=2x10^7</v>
      </c>
    </row>
    <row r="26" spans="1:55">
      <c r="A26" t="s">
        <v>130</v>
      </c>
      <c r="B26" t="s">
        <v>62</v>
      </c>
      <c r="C26">
        <v>72</v>
      </c>
      <c r="D26" t="s">
        <v>63</v>
      </c>
      <c r="E26" t="s">
        <v>59</v>
      </c>
      <c r="F26" t="s">
        <v>60</v>
      </c>
      <c r="G26">
        <v>30000</v>
      </c>
      <c r="H26">
        <v>20</v>
      </c>
      <c r="I26">
        <v>20</v>
      </c>
      <c r="J26">
        <v>0</v>
      </c>
      <c r="K26">
        <v>1</v>
      </c>
      <c r="L26">
        <v>200000000</v>
      </c>
      <c r="M26">
        <v>190</v>
      </c>
      <c r="N26">
        <v>190</v>
      </c>
      <c r="O26">
        <v>190</v>
      </c>
      <c r="P26">
        <v>0</v>
      </c>
      <c r="Q26" t="s">
        <v>61</v>
      </c>
      <c r="R26">
        <v>9998695594434630</v>
      </c>
      <c r="S26">
        <v>99986307</v>
      </c>
      <c r="T26">
        <v>9998695594434630</v>
      </c>
      <c r="U26">
        <v>99986307</v>
      </c>
      <c r="V26" t="s">
        <v>73</v>
      </c>
      <c r="W26">
        <v>7</v>
      </c>
      <c r="X26">
        <v>11010055</v>
      </c>
      <c r="Y26">
        <v>109986398</v>
      </c>
      <c r="Z26">
        <v>120996453</v>
      </c>
      <c r="AA26">
        <v>99986307</v>
      </c>
      <c r="AB26">
        <v>10.989599999999999</v>
      </c>
      <c r="AC26">
        <v>0.90907899999999997</v>
      </c>
      <c r="AD26">
        <v>1.82636</v>
      </c>
      <c r="AE26">
        <v>4</v>
      </c>
      <c r="AF26">
        <v>2640586752</v>
      </c>
      <c r="AG26" t="s">
        <v>131</v>
      </c>
      <c r="AH26" t="s">
        <v>132</v>
      </c>
      <c r="AI26">
        <v>511657</v>
      </c>
      <c r="AJ26">
        <v>12582</v>
      </c>
      <c r="AM26">
        <v>1499907987</v>
      </c>
      <c r="AN26">
        <v>0</v>
      </c>
      <c r="AO26">
        <v>999928476</v>
      </c>
      <c r="AP26">
        <v>1499907987</v>
      </c>
      <c r="AQ26">
        <v>2499836463</v>
      </c>
      <c r="AR26">
        <v>49996932</v>
      </c>
      <c r="AS26">
        <v>0</v>
      </c>
      <c r="AT26">
        <v>33330949</v>
      </c>
      <c r="AU26">
        <v>49996932</v>
      </c>
      <c r="AV26">
        <v>83327882</v>
      </c>
      <c r="AW26">
        <v>31.535499999999999</v>
      </c>
      <c r="AX26">
        <v>17.637</v>
      </c>
      <c r="AY26">
        <v>5693.12</v>
      </c>
      <c r="AZ26">
        <v>4219.47</v>
      </c>
      <c r="BA26">
        <v>14445</v>
      </c>
      <c r="BB26">
        <v>1222</v>
      </c>
      <c r="BC26" t="str">
        <f t="shared" si="0"/>
        <v>u=40%, k=2x10^8</v>
      </c>
    </row>
    <row r="27" spans="1:55">
      <c r="A27" t="s">
        <v>133</v>
      </c>
      <c r="B27" t="s">
        <v>64</v>
      </c>
      <c r="C27">
        <v>208</v>
      </c>
      <c r="D27" t="s">
        <v>63</v>
      </c>
      <c r="E27" t="s">
        <v>59</v>
      </c>
      <c r="F27" t="s">
        <v>60</v>
      </c>
      <c r="G27">
        <v>30000</v>
      </c>
      <c r="H27">
        <v>20</v>
      </c>
      <c r="I27">
        <v>20</v>
      </c>
      <c r="J27">
        <v>0</v>
      </c>
      <c r="K27">
        <v>1</v>
      </c>
      <c r="L27">
        <v>200000000</v>
      </c>
      <c r="M27">
        <v>190</v>
      </c>
      <c r="N27">
        <v>190</v>
      </c>
      <c r="O27">
        <v>190</v>
      </c>
      <c r="P27">
        <v>0</v>
      </c>
      <c r="Q27" t="s">
        <v>61</v>
      </c>
      <c r="R27">
        <v>1.00011991390026E+16</v>
      </c>
      <c r="S27">
        <v>100007613</v>
      </c>
      <c r="T27">
        <v>1.00011991390026E+16</v>
      </c>
      <c r="U27">
        <v>100007613</v>
      </c>
      <c r="V27" t="s">
        <v>73</v>
      </c>
      <c r="W27">
        <v>11</v>
      </c>
      <c r="X27">
        <v>2666622</v>
      </c>
      <c r="Y27">
        <v>18218588</v>
      </c>
      <c r="Z27">
        <v>20885210</v>
      </c>
      <c r="AA27">
        <v>100007613</v>
      </c>
      <c r="AB27">
        <v>7.8320800000000004</v>
      </c>
      <c r="AC27">
        <v>5.4893200000000002</v>
      </c>
      <c r="AD27">
        <v>5.7884399999999996</v>
      </c>
      <c r="AE27">
        <v>10</v>
      </c>
      <c r="AF27">
        <v>4344123680</v>
      </c>
      <c r="AJ27" t="s">
        <v>134</v>
      </c>
      <c r="AM27">
        <v>1743782774</v>
      </c>
      <c r="AN27">
        <v>0</v>
      </c>
      <c r="AO27">
        <v>1162542574</v>
      </c>
      <c r="AP27">
        <v>1743782774</v>
      </c>
      <c r="AQ27">
        <v>2906325348</v>
      </c>
      <c r="AR27">
        <v>58126092</v>
      </c>
      <c r="AS27">
        <v>0</v>
      </c>
      <c r="AT27">
        <v>38751419</v>
      </c>
      <c r="AU27">
        <v>58126092</v>
      </c>
      <c r="AV27">
        <v>96877511</v>
      </c>
      <c r="AW27">
        <v>29.551600000000001</v>
      </c>
      <c r="AX27">
        <v>13.935700000000001</v>
      </c>
      <c r="AY27">
        <v>5416.49</v>
      </c>
      <c r="AZ27">
        <v>3546.83</v>
      </c>
      <c r="BA27">
        <v>9786</v>
      </c>
      <c r="BB27">
        <v>6156</v>
      </c>
      <c r="BC27" t="str">
        <f t="shared" si="0"/>
        <v>u=40%, k=2x10^8</v>
      </c>
    </row>
    <row r="28" spans="1:55">
      <c r="A28" t="s">
        <v>135</v>
      </c>
      <c r="B28" t="s">
        <v>65</v>
      </c>
      <c r="D28" t="s">
        <v>63</v>
      </c>
      <c r="E28" t="s">
        <v>59</v>
      </c>
      <c r="F28" t="s">
        <v>60</v>
      </c>
      <c r="G28">
        <v>30000</v>
      </c>
      <c r="H28">
        <v>20</v>
      </c>
      <c r="I28">
        <v>20</v>
      </c>
      <c r="J28">
        <v>0</v>
      </c>
      <c r="K28">
        <v>1</v>
      </c>
      <c r="L28">
        <v>200000000</v>
      </c>
      <c r="M28">
        <v>190</v>
      </c>
      <c r="N28">
        <v>190</v>
      </c>
      <c r="O28">
        <v>190</v>
      </c>
      <c r="P28">
        <v>0</v>
      </c>
      <c r="Q28" t="s">
        <v>61</v>
      </c>
      <c r="R28">
        <v>9999544731183780</v>
      </c>
      <c r="S28">
        <v>99997047</v>
      </c>
      <c r="T28">
        <v>9999544731183780</v>
      </c>
      <c r="U28">
        <v>99997047</v>
      </c>
      <c r="V28" t="s">
        <v>73</v>
      </c>
      <c r="W28">
        <v>33</v>
      </c>
      <c r="X28">
        <v>68325523</v>
      </c>
      <c r="Y28">
        <v>51807796</v>
      </c>
      <c r="Z28">
        <v>120133319</v>
      </c>
      <c r="AA28">
        <v>99997047</v>
      </c>
      <c r="AB28">
        <v>1.7582500000000001</v>
      </c>
      <c r="AC28">
        <v>1.93015</v>
      </c>
      <c r="AD28">
        <v>1.8323799999999999</v>
      </c>
      <c r="AE28">
        <v>26.622399999999999</v>
      </c>
      <c r="AF28">
        <v>6727465864</v>
      </c>
      <c r="AJ28" t="s">
        <v>136</v>
      </c>
      <c r="AM28">
        <v>1120935870</v>
      </c>
      <c r="AN28">
        <v>0</v>
      </c>
      <c r="AO28">
        <v>747307277</v>
      </c>
      <c r="AP28">
        <v>1120935870</v>
      </c>
      <c r="AQ28">
        <v>1868243147</v>
      </c>
      <c r="AR28">
        <v>37364529</v>
      </c>
      <c r="AS28">
        <v>0</v>
      </c>
      <c r="AT28">
        <v>24910242</v>
      </c>
      <c r="AU28">
        <v>37364529</v>
      </c>
      <c r="AV28">
        <v>62274771</v>
      </c>
      <c r="AW28">
        <v>44.418700000000001</v>
      </c>
      <c r="AX28">
        <v>21.368200000000002</v>
      </c>
      <c r="AY28">
        <v>8488.2000000000007</v>
      </c>
      <c r="AZ28">
        <v>6829.83</v>
      </c>
      <c r="BA28">
        <v>10609</v>
      </c>
      <c r="BB28">
        <v>2767</v>
      </c>
      <c r="BC28" t="str">
        <f t="shared" si="0"/>
        <v>u=40%, k=2x10^8</v>
      </c>
    </row>
    <row r="29" spans="1:55">
      <c r="A29" t="s">
        <v>137</v>
      </c>
      <c r="B29" t="s">
        <v>66</v>
      </c>
      <c r="D29" t="s">
        <v>63</v>
      </c>
      <c r="E29" t="s">
        <v>59</v>
      </c>
      <c r="F29" t="s">
        <v>60</v>
      </c>
      <c r="G29">
        <v>30000</v>
      </c>
      <c r="H29">
        <v>20</v>
      </c>
      <c r="I29">
        <v>20</v>
      </c>
      <c r="J29">
        <v>0</v>
      </c>
      <c r="K29">
        <v>1</v>
      </c>
      <c r="L29">
        <v>200000000</v>
      </c>
      <c r="M29">
        <v>190</v>
      </c>
      <c r="N29">
        <v>190</v>
      </c>
      <c r="O29">
        <v>190</v>
      </c>
      <c r="P29">
        <v>0</v>
      </c>
      <c r="Q29" t="s">
        <v>61</v>
      </c>
      <c r="R29">
        <v>9998958700197300</v>
      </c>
      <c r="S29">
        <v>99988117</v>
      </c>
      <c r="T29">
        <v>9998958700197300</v>
      </c>
      <c r="U29">
        <v>99988117</v>
      </c>
      <c r="V29" t="s">
        <v>73</v>
      </c>
      <c r="W29">
        <v>67</v>
      </c>
      <c r="X29">
        <v>99988116</v>
      </c>
      <c r="Y29">
        <v>99988117</v>
      </c>
      <c r="Z29">
        <v>199976233</v>
      </c>
      <c r="AA29">
        <v>99988117</v>
      </c>
      <c r="AB29">
        <v>2</v>
      </c>
      <c r="AC29">
        <v>1</v>
      </c>
      <c r="AD29">
        <v>1.5</v>
      </c>
      <c r="AE29">
        <v>35.729100000000003</v>
      </c>
      <c r="AF29">
        <v>6399239456</v>
      </c>
      <c r="AJ29" t="s">
        <v>138</v>
      </c>
      <c r="AM29">
        <v>901131308</v>
      </c>
      <c r="AN29">
        <v>0</v>
      </c>
      <c r="AO29">
        <v>600768772</v>
      </c>
      <c r="AP29">
        <v>901131308</v>
      </c>
      <c r="AQ29">
        <v>1501900080</v>
      </c>
      <c r="AR29">
        <v>30037710</v>
      </c>
      <c r="AS29">
        <v>0</v>
      </c>
      <c r="AT29">
        <v>20025625</v>
      </c>
      <c r="AU29">
        <v>30037710</v>
      </c>
      <c r="AV29">
        <v>50063336</v>
      </c>
      <c r="AW29">
        <v>42.103999999999999</v>
      </c>
      <c r="AX29">
        <v>21.6463</v>
      </c>
      <c r="AY29">
        <v>10558.8</v>
      </c>
      <c r="AZ29">
        <v>8716.0499999999993</v>
      </c>
      <c r="BA29">
        <v>10958</v>
      </c>
      <c r="BB29">
        <v>2830</v>
      </c>
      <c r="BC29" t="str">
        <f t="shared" si="0"/>
        <v>u=40%, k=2x10^8</v>
      </c>
    </row>
    <row r="30" spans="1:55">
      <c r="A30" t="s">
        <v>139</v>
      </c>
      <c r="B30" t="s">
        <v>62</v>
      </c>
      <c r="C30">
        <v>72</v>
      </c>
      <c r="D30" t="s">
        <v>63</v>
      </c>
      <c r="E30" t="s">
        <v>59</v>
      </c>
      <c r="F30" t="s">
        <v>60</v>
      </c>
      <c r="G30">
        <v>30000</v>
      </c>
      <c r="H30">
        <v>20</v>
      </c>
      <c r="I30">
        <v>20</v>
      </c>
      <c r="J30">
        <v>0</v>
      </c>
      <c r="K30">
        <v>1</v>
      </c>
      <c r="L30">
        <v>2000000000</v>
      </c>
      <c r="M30">
        <v>190</v>
      </c>
      <c r="N30">
        <v>190</v>
      </c>
      <c r="O30">
        <v>190</v>
      </c>
      <c r="P30">
        <v>0</v>
      </c>
      <c r="Q30" t="s">
        <v>61</v>
      </c>
      <c r="R30">
        <v>9.9996415664215194E+17</v>
      </c>
      <c r="S30">
        <v>999987925</v>
      </c>
      <c r="T30">
        <v>9.9996415664215194E+17</v>
      </c>
      <c r="U30">
        <v>999987925</v>
      </c>
      <c r="V30" t="s">
        <v>73</v>
      </c>
      <c r="W30">
        <v>7</v>
      </c>
      <c r="X30">
        <v>118931676</v>
      </c>
      <c r="Y30">
        <v>1152196218</v>
      </c>
      <c r="Z30">
        <v>1271127894</v>
      </c>
      <c r="AA30">
        <v>999987925</v>
      </c>
      <c r="AB30">
        <v>10.687900000000001</v>
      </c>
      <c r="AC30">
        <v>0.86789700000000003</v>
      </c>
      <c r="AD30">
        <v>1.7866899999999999</v>
      </c>
      <c r="AE30">
        <v>4.0737899999999998</v>
      </c>
      <c r="AF30">
        <v>28002305024</v>
      </c>
      <c r="AG30" t="s">
        <v>140</v>
      </c>
      <c r="AH30" t="s">
        <v>141</v>
      </c>
      <c r="AI30">
        <v>52720</v>
      </c>
      <c r="AJ30">
        <v>13790</v>
      </c>
      <c r="AM30">
        <v>1443596661</v>
      </c>
      <c r="AN30">
        <v>0</v>
      </c>
      <c r="AO30">
        <v>962427657</v>
      </c>
      <c r="AP30">
        <v>1443596661</v>
      </c>
      <c r="AQ30">
        <v>2406024318</v>
      </c>
      <c r="AR30">
        <v>48119888</v>
      </c>
      <c r="AS30">
        <v>0</v>
      </c>
      <c r="AT30">
        <v>32080921</v>
      </c>
      <c r="AU30">
        <v>48119888</v>
      </c>
      <c r="AV30">
        <v>80200810</v>
      </c>
      <c r="AW30">
        <v>30.560500000000001</v>
      </c>
      <c r="AX30">
        <v>19.623000000000001</v>
      </c>
      <c r="AY30">
        <v>5807.6</v>
      </c>
      <c r="AZ30">
        <v>4644.59</v>
      </c>
      <c r="BA30">
        <v>120697</v>
      </c>
      <c r="BB30">
        <v>9093</v>
      </c>
      <c r="BC30" t="str">
        <f t="shared" si="0"/>
        <v>u=40%, k=2x10^9</v>
      </c>
    </row>
    <row r="31" spans="1:55">
      <c r="A31" t="s">
        <v>142</v>
      </c>
      <c r="B31" t="s">
        <v>64</v>
      </c>
      <c r="C31">
        <v>208</v>
      </c>
      <c r="D31" t="s">
        <v>63</v>
      </c>
      <c r="E31" t="s">
        <v>59</v>
      </c>
      <c r="F31" t="s">
        <v>60</v>
      </c>
      <c r="G31">
        <v>30000</v>
      </c>
      <c r="H31">
        <v>20</v>
      </c>
      <c r="I31">
        <v>20</v>
      </c>
      <c r="J31">
        <v>0</v>
      </c>
      <c r="K31">
        <v>1</v>
      </c>
      <c r="L31">
        <v>2000000000</v>
      </c>
      <c r="M31">
        <v>190</v>
      </c>
      <c r="N31">
        <v>190</v>
      </c>
      <c r="O31">
        <v>190</v>
      </c>
      <c r="P31">
        <v>0</v>
      </c>
      <c r="Q31" t="s">
        <v>61</v>
      </c>
      <c r="R31">
        <v>1.00004176448979E+18</v>
      </c>
      <c r="S31">
        <v>1000004269</v>
      </c>
      <c r="T31">
        <v>1.00004176448979E+18</v>
      </c>
      <c r="U31">
        <v>1000004269</v>
      </c>
      <c r="V31" t="s">
        <v>73</v>
      </c>
      <c r="W31">
        <v>12</v>
      </c>
      <c r="X31">
        <v>20670567</v>
      </c>
      <c r="Y31">
        <v>142210699</v>
      </c>
      <c r="Z31">
        <v>162881266</v>
      </c>
      <c r="AA31">
        <v>1000004269</v>
      </c>
      <c r="AB31">
        <v>7.8798599999999999</v>
      </c>
      <c r="AC31">
        <v>7.0318500000000004</v>
      </c>
      <c r="AD31">
        <v>7.1394700000000002</v>
      </c>
      <c r="AE31">
        <v>11</v>
      </c>
      <c r="AF31">
        <v>33879303328</v>
      </c>
      <c r="AJ31" t="s">
        <v>143</v>
      </c>
      <c r="AM31">
        <v>1281425127</v>
      </c>
      <c r="AN31">
        <v>0</v>
      </c>
      <c r="AO31">
        <v>854225553</v>
      </c>
      <c r="AP31">
        <v>1281425127</v>
      </c>
      <c r="AQ31">
        <v>2135650680</v>
      </c>
      <c r="AR31">
        <v>42714170</v>
      </c>
      <c r="AS31">
        <v>0</v>
      </c>
      <c r="AT31">
        <v>28474185</v>
      </c>
      <c r="AU31">
        <v>42714170</v>
      </c>
      <c r="AV31">
        <v>71188356</v>
      </c>
      <c r="AW31">
        <v>37.515300000000003</v>
      </c>
      <c r="AX31">
        <v>21.302399999999999</v>
      </c>
      <c r="AY31">
        <v>7295.97</v>
      </c>
      <c r="AZ31">
        <v>5602.5</v>
      </c>
      <c r="BA31">
        <v>62912</v>
      </c>
      <c r="BB31">
        <v>61304</v>
      </c>
      <c r="BC31" t="str">
        <f t="shared" si="0"/>
        <v>u=40%, k=2x10^9</v>
      </c>
    </row>
    <row r="32" spans="1:55">
      <c r="A32" t="s">
        <v>144</v>
      </c>
      <c r="B32" t="s">
        <v>65</v>
      </c>
      <c r="D32" t="s">
        <v>63</v>
      </c>
      <c r="E32" t="s">
        <v>59</v>
      </c>
      <c r="F32" t="s">
        <v>60</v>
      </c>
      <c r="G32">
        <v>30000</v>
      </c>
      <c r="H32">
        <v>20</v>
      </c>
      <c r="I32">
        <v>20</v>
      </c>
      <c r="J32">
        <v>0</v>
      </c>
      <c r="K32">
        <v>1</v>
      </c>
      <c r="L32">
        <v>2000000000</v>
      </c>
      <c r="M32">
        <v>190</v>
      </c>
      <c r="N32">
        <v>190</v>
      </c>
      <c r="O32">
        <v>190</v>
      </c>
      <c r="P32">
        <v>0</v>
      </c>
      <c r="Q32" t="s">
        <v>61</v>
      </c>
      <c r="R32">
        <v>9.9997516025946906E+17</v>
      </c>
      <c r="S32">
        <v>999980510</v>
      </c>
      <c r="T32">
        <v>9.9997516025946906E+17</v>
      </c>
      <c r="U32">
        <v>999980510</v>
      </c>
      <c r="V32" t="s">
        <v>73</v>
      </c>
      <c r="W32">
        <v>37</v>
      </c>
      <c r="X32">
        <v>597688850</v>
      </c>
      <c r="Y32">
        <v>450193191</v>
      </c>
      <c r="Z32">
        <v>1047882041</v>
      </c>
      <c r="AA32">
        <v>999980510</v>
      </c>
      <c r="AB32">
        <v>1.75322</v>
      </c>
      <c r="AC32">
        <v>2.2212299999999998</v>
      </c>
      <c r="AD32">
        <v>1.9542900000000001</v>
      </c>
      <c r="AE32">
        <v>29.603000000000002</v>
      </c>
      <c r="AF32">
        <v>58681394296</v>
      </c>
      <c r="AJ32" t="s">
        <v>145</v>
      </c>
      <c r="AM32">
        <v>768609392</v>
      </c>
      <c r="AN32">
        <v>0</v>
      </c>
      <c r="AO32">
        <v>512428703</v>
      </c>
      <c r="AP32">
        <v>768609392</v>
      </c>
      <c r="AQ32">
        <v>1281038095</v>
      </c>
      <c r="AR32">
        <v>25620313</v>
      </c>
      <c r="AS32">
        <v>0</v>
      </c>
      <c r="AT32">
        <v>17080956</v>
      </c>
      <c r="AU32">
        <v>25620313</v>
      </c>
      <c r="AV32">
        <v>42701269</v>
      </c>
      <c r="AW32">
        <v>58.092300000000002</v>
      </c>
      <c r="AX32">
        <v>32.907299999999999</v>
      </c>
      <c r="AY32">
        <v>12378.8</v>
      </c>
      <c r="AZ32">
        <v>10599.6</v>
      </c>
      <c r="BA32">
        <v>69542</v>
      </c>
      <c r="BB32">
        <v>32773</v>
      </c>
      <c r="BC32" t="str">
        <f t="shared" si="0"/>
        <v>u=40%, k=2x10^9</v>
      </c>
    </row>
    <row r="33" spans="1:55">
      <c r="A33" t="s">
        <v>146</v>
      </c>
      <c r="B33" t="s">
        <v>66</v>
      </c>
      <c r="D33" t="s">
        <v>63</v>
      </c>
      <c r="E33" t="s">
        <v>59</v>
      </c>
      <c r="F33" t="s">
        <v>60</v>
      </c>
      <c r="G33">
        <v>30000</v>
      </c>
      <c r="H33">
        <v>20</v>
      </c>
      <c r="I33">
        <v>20</v>
      </c>
      <c r="J33">
        <v>0</v>
      </c>
      <c r="K33">
        <v>1</v>
      </c>
      <c r="L33">
        <v>2000000000</v>
      </c>
      <c r="M33">
        <v>190</v>
      </c>
      <c r="N33">
        <v>190</v>
      </c>
      <c r="O33">
        <v>190</v>
      </c>
      <c r="P33">
        <v>0</v>
      </c>
      <c r="Q33" t="s">
        <v>61</v>
      </c>
      <c r="R33">
        <v>1.00000135238129E+18</v>
      </c>
      <c r="S33">
        <v>999985701</v>
      </c>
      <c r="T33">
        <v>1.00000135238129E+18</v>
      </c>
      <c r="U33">
        <v>999985701</v>
      </c>
      <c r="V33" t="s">
        <v>73</v>
      </c>
      <c r="W33">
        <v>80</v>
      </c>
      <c r="X33">
        <v>999985700</v>
      </c>
      <c r="Y33">
        <v>999985701</v>
      </c>
      <c r="Z33">
        <v>1999971401</v>
      </c>
      <c r="AA33">
        <v>999985701</v>
      </c>
      <c r="AB33">
        <v>2</v>
      </c>
      <c r="AC33">
        <v>1</v>
      </c>
      <c r="AD33">
        <v>1.5</v>
      </c>
      <c r="AE33">
        <v>40.814</v>
      </c>
      <c r="AF33">
        <v>63999084832</v>
      </c>
      <c r="AJ33" t="s">
        <v>147</v>
      </c>
      <c r="AM33">
        <v>612231805</v>
      </c>
      <c r="AN33">
        <v>0</v>
      </c>
      <c r="AO33">
        <v>408132959</v>
      </c>
      <c r="AP33">
        <v>612231805</v>
      </c>
      <c r="AQ33">
        <v>1020364764</v>
      </c>
      <c r="AR33">
        <v>20407726</v>
      </c>
      <c r="AS33">
        <v>0</v>
      </c>
      <c r="AT33">
        <v>13604431</v>
      </c>
      <c r="AU33">
        <v>20407726</v>
      </c>
      <c r="AV33">
        <v>34012158</v>
      </c>
      <c r="AW33">
        <v>57.317399999999999</v>
      </c>
      <c r="AX33">
        <v>33.393599999999999</v>
      </c>
      <c r="AY33">
        <v>15537.1</v>
      </c>
      <c r="AZ33">
        <v>13244.3</v>
      </c>
      <c r="BA33">
        <v>69303</v>
      </c>
      <c r="BB33">
        <v>33762</v>
      </c>
      <c r="BC33" t="str">
        <f t="shared" si="0"/>
        <v>u=40%, k=2x10^9</v>
      </c>
    </row>
    <row r="34" spans="1:55">
      <c r="A34" t="s">
        <v>148</v>
      </c>
      <c r="B34" t="s">
        <v>62</v>
      </c>
      <c r="C34">
        <v>72</v>
      </c>
      <c r="D34" t="s">
        <v>63</v>
      </c>
      <c r="E34" t="s">
        <v>59</v>
      </c>
      <c r="F34" t="s">
        <v>60</v>
      </c>
      <c r="G34">
        <v>30000</v>
      </c>
      <c r="H34">
        <v>20</v>
      </c>
      <c r="I34">
        <v>20</v>
      </c>
      <c r="J34">
        <v>0</v>
      </c>
      <c r="K34">
        <v>1</v>
      </c>
      <c r="L34">
        <v>2000000</v>
      </c>
      <c r="M34">
        <v>190</v>
      </c>
      <c r="N34">
        <v>190</v>
      </c>
      <c r="O34">
        <v>190</v>
      </c>
      <c r="P34">
        <v>0</v>
      </c>
      <c r="Q34" t="s">
        <v>61</v>
      </c>
      <c r="R34">
        <v>999990749896</v>
      </c>
      <c r="S34">
        <v>999711</v>
      </c>
      <c r="T34">
        <v>999990749896</v>
      </c>
      <c r="U34">
        <v>999711</v>
      </c>
      <c r="V34" t="s">
        <v>73</v>
      </c>
      <c r="W34">
        <v>6</v>
      </c>
      <c r="X34">
        <v>56086</v>
      </c>
      <c r="Y34">
        <v>1078615</v>
      </c>
      <c r="Z34">
        <v>1134701</v>
      </c>
      <c r="AA34">
        <v>999711</v>
      </c>
      <c r="AB34">
        <v>20.231400000000001</v>
      </c>
      <c r="AC34">
        <v>0.92684699999999998</v>
      </c>
      <c r="AD34">
        <v>1.88103</v>
      </c>
      <c r="AE34">
        <v>3.0480800000000001</v>
      </c>
      <c r="AF34">
        <v>21765088</v>
      </c>
      <c r="AG34" t="s">
        <v>149</v>
      </c>
      <c r="AH34" t="s">
        <v>150</v>
      </c>
      <c r="AI34">
        <v>23422445</v>
      </c>
      <c r="AJ34">
        <v>20396</v>
      </c>
      <c r="AM34">
        <v>1703742703</v>
      </c>
      <c r="AN34">
        <v>0</v>
      </c>
      <c r="AO34">
        <v>1135806752</v>
      </c>
      <c r="AP34">
        <v>1703742703</v>
      </c>
      <c r="AQ34">
        <v>2839549455</v>
      </c>
      <c r="AR34">
        <v>56791423</v>
      </c>
      <c r="AS34">
        <v>0</v>
      </c>
      <c r="AT34">
        <v>37860225</v>
      </c>
      <c r="AU34">
        <v>56791423</v>
      </c>
      <c r="AV34">
        <v>94651648</v>
      </c>
      <c r="AW34">
        <v>25.049099999999999</v>
      </c>
      <c r="AX34">
        <v>11.910399999999999</v>
      </c>
      <c r="AY34">
        <v>5585.2</v>
      </c>
      <c r="AZ34">
        <v>4304.05</v>
      </c>
      <c r="BA34">
        <v>1752</v>
      </c>
      <c r="BB34">
        <v>285</v>
      </c>
      <c r="BC34" t="str">
        <f t="shared" si="0"/>
        <v>u=40%, k=2x10^6</v>
      </c>
    </row>
    <row r="35" spans="1:55">
      <c r="A35" t="s">
        <v>151</v>
      </c>
      <c r="B35" t="s">
        <v>64</v>
      </c>
      <c r="C35">
        <v>208</v>
      </c>
      <c r="D35" t="s">
        <v>63</v>
      </c>
      <c r="E35" t="s">
        <v>59</v>
      </c>
      <c r="F35" t="s">
        <v>60</v>
      </c>
      <c r="G35">
        <v>30000</v>
      </c>
      <c r="H35">
        <v>20</v>
      </c>
      <c r="I35">
        <v>20</v>
      </c>
      <c r="J35">
        <v>0</v>
      </c>
      <c r="K35">
        <v>1</v>
      </c>
      <c r="L35">
        <v>2000000</v>
      </c>
      <c r="M35">
        <v>190</v>
      </c>
      <c r="N35">
        <v>190</v>
      </c>
      <c r="O35">
        <v>190</v>
      </c>
      <c r="P35">
        <v>0</v>
      </c>
      <c r="Q35" t="s">
        <v>61</v>
      </c>
      <c r="R35">
        <v>1000099626953</v>
      </c>
      <c r="S35">
        <v>999759</v>
      </c>
      <c r="T35">
        <v>1000099626953</v>
      </c>
      <c r="U35">
        <v>999759</v>
      </c>
      <c r="V35" t="s">
        <v>73</v>
      </c>
      <c r="W35">
        <v>8</v>
      </c>
      <c r="X35">
        <v>35928</v>
      </c>
      <c r="Y35">
        <v>194807</v>
      </c>
      <c r="Z35">
        <v>230735</v>
      </c>
      <c r="AA35">
        <v>999759</v>
      </c>
      <c r="AB35">
        <v>6.4221500000000002</v>
      </c>
      <c r="AC35">
        <v>5.1320499999999996</v>
      </c>
      <c r="AD35">
        <v>5.3329300000000002</v>
      </c>
      <c r="AE35">
        <v>7</v>
      </c>
      <c r="AF35">
        <v>47992880</v>
      </c>
      <c r="AJ35">
        <v>40664</v>
      </c>
      <c r="AM35">
        <v>2237143796</v>
      </c>
      <c r="AN35">
        <v>0</v>
      </c>
      <c r="AO35">
        <v>1491361253</v>
      </c>
      <c r="AP35">
        <v>2237143796</v>
      </c>
      <c r="AQ35">
        <v>3728505049</v>
      </c>
      <c r="AR35">
        <v>74571459</v>
      </c>
      <c r="AS35">
        <v>0</v>
      </c>
      <c r="AT35">
        <v>49712041</v>
      </c>
      <c r="AU35">
        <v>74571459</v>
      </c>
      <c r="AV35">
        <v>124283501</v>
      </c>
      <c r="AW35">
        <v>16.026900000000001</v>
      </c>
      <c r="AX35">
        <v>5.8723700000000001</v>
      </c>
      <c r="AY35">
        <v>3869.53</v>
      </c>
      <c r="AZ35">
        <v>1691.08</v>
      </c>
      <c r="BA35">
        <v>1280</v>
      </c>
      <c r="BB35">
        <v>312</v>
      </c>
      <c r="BC35" t="str">
        <f t="shared" si="0"/>
        <v>u=40%, k=2x10^6</v>
      </c>
    </row>
    <row r="36" spans="1:55">
      <c r="A36" t="s">
        <v>152</v>
      </c>
      <c r="B36" t="s">
        <v>65</v>
      </c>
      <c r="D36" t="s">
        <v>63</v>
      </c>
      <c r="E36" t="s">
        <v>59</v>
      </c>
      <c r="F36" t="s">
        <v>60</v>
      </c>
      <c r="G36">
        <v>30000</v>
      </c>
      <c r="H36">
        <v>20</v>
      </c>
      <c r="I36">
        <v>20</v>
      </c>
      <c r="J36">
        <v>0</v>
      </c>
      <c r="K36">
        <v>1</v>
      </c>
      <c r="L36">
        <v>2000000</v>
      </c>
      <c r="M36">
        <v>190</v>
      </c>
      <c r="N36">
        <v>190</v>
      </c>
      <c r="O36">
        <v>190</v>
      </c>
      <c r="P36">
        <v>0</v>
      </c>
      <c r="Q36" t="s">
        <v>61</v>
      </c>
      <c r="R36">
        <v>1000037925235</v>
      </c>
      <c r="S36">
        <v>1000214</v>
      </c>
      <c r="T36">
        <v>1000037925235</v>
      </c>
      <c r="U36">
        <v>1000214</v>
      </c>
      <c r="V36" t="s">
        <v>73</v>
      </c>
      <c r="W36">
        <v>25</v>
      </c>
      <c r="X36">
        <v>685718</v>
      </c>
      <c r="Y36">
        <v>520483</v>
      </c>
      <c r="Z36">
        <v>1206201</v>
      </c>
      <c r="AA36">
        <v>1000214</v>
      </c>
      <c r="AB36">
        <v>1.7590300000000001</v>
      </c>
      <c r="AC36">
        <v>1.9217</v>
      </c>
      <c r="AD36">
        <v>1.8292299999999999</v>
      </c>
      <c r="AE36">
        <v>19.791399999999999</v>
      </c>
      <c r="AF36">
        <v>67547256</v>
      </c>
      <c r="AJ36">
        <v>26578</v>
      </c>
      <c r="AM36">
        <v>2552604675</v>
      </c>
      <c r="AN36">
        <v>0</v>
      </c>
      <c r="AO36">
        <v>1701745884</v>
      </c>
      <c r="AP36">
        <v>2552604675</v>
      </c>
      <c r="AQ36">
        <v>4254350559</v>
      </c>
      <c r="AR36">
        <v>85086822</v>
      </c>
      <c r="AS36">
        <v>0</v>
      </c>
      <c r="AT36">
        <v>56724862</v>
      </c>
      <c r="AU36">
        <v>85086822</v>
      </c>
      <c r="AV36">
        <v>141811685</v>
      </c>
      <c r="AW36">
        <v>21.724399999999999</v>
      </c>
      <c r="AX36">
        <v>4.9006100000000004</v>
      </c>
      <c r="AY36">
        <v>3690.99</v>
      </c>
      <c r="AZ36">
        <v>2134.6</v>
      </c>
      <c r="BA36">
        <v>1258</v>
      </c>
      <c r="BB36">
        <v>351</v>
      </c>
      <c r="BC36" t="str">
        <f t="shared" si="0"/>
        <v>u=40%, k=2x10^6</v>
      </c>
    </row>
    <row r="37" spans="1:55">
      <c r="A37" t="s">
        <v>153</v>
      </c>
      <c r="B37" t="s">
        <v>66</v>
      </c>
      <c r="D37" t="s">
        <v>63</v>
      </c>
      <c r="E37" t="s">
        <v>59</v>
      </c>
      <c r="F37" t="s">
        <v>60</v>
      </c>
      <c r="G37">
        <v>30000</v>
      </c>
      <c r="H37">
        <v>20</v>
      </c>
      <c r="I37">
        <v>20</v>
      </c>
      <c r="J37">
        <v>0</v>
      </c>
      <c r="K37">
        <v>1</v>
      </c>
      <c r="L37">
        <v>2000000</v>
      </c>
      <c r="M37">
        <v>190</v>
      </c>
      <c r="N37">
        <v>190</v>
      </c>
      <c r="O37">
        <v>190</v>
      </c>
      <c r="P37">
        <v>0</v>
      </c>
      <c r="Q37" t="s">
        <v>61</v>
      </c>
      <c r="R37">
        <v>1000150940998</v>
      </c>
      <c r="S37">
        <v>1000647</v>
      </c>
      <c r="T37">
        <v>1000150940998</v>
      </c>
      <c r="U37">
        <v>1000647</v>
      </c>
      <c r="V37" t="s">
        <v>73</v>
      </c>
      <c r="W37">
        <v>46</v>
      </c>
      <c r="X37">
        <v>1000646</v>
      </c>
      <c r="Y37">
        <v>1000647</v>
      </c>
      <c r="Z37">
        <v>2001293</v>
      </c>
      <c r="AA37">
        <v>1000647</v>
      </c>
      <c r="AB37">
        <v>2</v>
      </c>
      <c r="AC37">
        <v>1</v>
      </c>
      <c r="AD37">
        <v>1.5</v>
      </c>
      <c r="AE37">
        <v>25.3246</v>
      </c>
      <c r="AF37">
        <v>64041376</v>
      </c>
      <c r="AJ37">
        <v>27444</v>
      </c>
      <c r="AM37">
        <v>2213939219</v>
      </c>
      <c r="AN37">
        <v>0</v>
      </c>
      <c r="AO37">
        <v>1475890083</v>
      </c>
      <c r="AP37">
        <v>2213939219</v>
      </c>
      <c r="AQ37">
        <v>3689829302</v>
      </c>
      <c r="AR37">
        <v>73797973</v>
      </c>
      <c r="AS37">
        <v>0</v>
      </c>
      <c r="AT37">
        <v>49196336</v>
      </c>
      <c r="AU37">
        <v>73797973</v>
      </c>
      <c r="AV37">
        <v>122994310</v>
      </c>
      <c r="AW37">
        <v>16.870999999999999</v>
      </c>
      <c r="AX37">
        <v>4.3556800000000004</v>
      </c>
      <c r="AY37">
        <v>4274.25</v>
      </c>
      <c r="AZ37">
        <v>2452.91</v>
      </c>
      <c r="BA37">
        <v>1228</v>
      </c>
      <c r="BB37">
        <v>233</v>
      </c>
      <c r="BC37" t="str">
        <f t="shared" si="0"/>
        <v>u=40%, k=2x10^6</v>
      </c>
    </row>
    <row r="38" spans="1:55">
      <c r="A38" t="s">
        <v>154</v>
      </c>
      <c r="B38" t="s">
        <v>62</v>
      </c>
      <c r="C38">
        <v>72</v>
      </c>
      <c r="D38" t="s">
        <v>63</v>
      </c>
      <c r="E38" t="s">
        <v>59</v>
      </c>
      <c r="F38" t="s">
        <v>60</v>
      </c>
      <c r="G38">
        <v>30000</v>
      </c>
      <c r="H38">
        <v>20</v>
      </c>
      <c r="I38">
        <v>20</v>
      </c>
      <c r="J38">
        <v>0</v>
      </c>
      <c r="K38">
        <v>1</v>
      </c>
      <c r="L38">
        <v>20000000</v>
      </c>
      <c r="M38">
        <v>190</v>
      </c>
      <c r="N38">
        <v>190</v>
      </c>
      <c r="O38">
        <v>190</v>
      </c>
      <c r="P38">
        <v>0</v>
      </c>
      <c r="Q38" t="s">
        <v>61</v>
      </c>
      <c r="R38">
        <v>99999444912992</v>
      </c>
      <c r="S38">
        <v>10001160</v>
      </c>
      <c r="T38">
        <v>99999444912992</v>
      </c>
      <c r="U38">
        <v>10001160</v>
      </c>
      <c r="V38" t="s">
        <v>73</v>
      </c>
      <c r="W38">
        <v>7</v>
      </c>
      <c r="X38">
        <v>1902422</v>
      </c>
      <c r="Y38">
        <v>12026396</v>
      </c>
      <c r="Z38">
        <v>13928818</v>
      </c>
      <c r="AA38">
        <v>10001160</v>
      </c>
      <c r="AB38">
        <v>7.3216200000000002</v>
      </c>
      <c r="AC38">
        <v>0.83160100000000003</v>
      </c>
      <c r="AD38">
        <v>1.7180200000000001</v>
      </c>
      <c r="AE38">
        <v>4.0552999999999999</v>
      </c>
      <c r="AF38">
        <v>344649120</v>
      </c>
      <c r="AG38" t="s">
        <v>155</v>
      </c>
      <c r="AH38" t="s">
        <v>156</v>
      </c>
      <c r="AI38">
        <v>2922992</v>
      </c>
      <c r="AJ38">
        <v>22130</v>
      </c>
      <c r="AM38">
        <v>1736376855</v>
      </c>
      <c r="AN38">
        <v>0</v>
      </c>
      <c r="AO38">
        <v>1157562478</v>
      </c>
      <c r="AP38">
        <v>1736376855</v>
      </c>
      <c r="AQ38">
        <v>2893939333</v>
      </c>
      <c r="AR38">
        <v>57879228</v>
      </c>
      <c r="AS38">
        <v>0</v>
      </c>
      <c r="AT38">
        <v>38585415</v>
      </c>
      <c r="AU38">
        <v>57879228</v>
      </c>
      <c r="AV38">
        <v>96464644</v>
      </c>
      <c r="AW38">
        <v>28.684000000000001</v>
      </c>
      <c r="AX38">
        <v>15.3042</v>
      </c>
      <c r="AY38">
        <v>5314.2</v>
      </c>
      <c r="AZ38">
        <v>3661.99</v>
      </c>
      <c r="BA38">
        <v>2942</v>
      </c>
      <c r="BB38">
        <v>379</v>
      </c>
      <c r="BC38" t="str">
        <f t="shared" si="0"/>
        <v>u=40%, k=2x10^7</v>
      </c>
    </row>
    <row r="39" spans="1:55">
      <c r="A39" t="s">
        <v>157</v>
      </c>
      <c r="B39" t="s">
        <v>64</v>
      </c>
      <c r="C39">
        <v>208</v>
      </c>
      <c r="D39" t="s">
        <v>63</v>
      </c>
      <c r="E39" t="s">
        <v>59</v>
      </c>
      <c r="F39" t="s">
        <v>60</v>
      </c>
      <c r="G39">
        <v>30000</v>
      </c>
      <c r="H39">
        <v>20</v>
      </c>
      <c r="I39">
        <v>20</v>
      </c>
      <c r="J39">
        <v>0</v>
      </c>
      <c r="K39">
        <v>1</v>
      </c>
      <c r="L39">
        <v>20000000</v>
      </c>
      <c r="M39">
        <v>190</v>
      </c>
      <c r="N39">
        <v>190</v>
      </c>
      <c r="O39">
        <v>190</v>
      </c>
      <c r="P39">
        <v>0</v>
      </c>
      <c r="Q39" t="s">
        <v>61</v>
      </c>
      <c r="R39">
        <v>100010169364621</v>
      </c>
      <c r="S39">
        <v>9999842</v>
      </c>
      <c r="T39">
        <v>100010169364621</v>
      </c>
      <c r="U39">
        <v>9999842</v>
      </c>
      <c r="V39" t="s">
        <v>73</v>
      </c>
      <c r="W39">
        <v>10</v>
      </c>
      <c r="X39">
        <v>327254</v>
      </c>
      <c r="Y39">
        <v>1955436</v>
      </c>
      <c r="Z39">
        <v>2282690</v>
      </c>
      <c r="AA39">
        <v>9999842</v>
      </c>
      <c r="AB39">
        <v>6.9752900000000002</v>
      </c>
      <c r="AC39">
        <v>5.1138700000000004</v>
      </c>
      <c r="AD39">
        <v>5.3807299999999998</v>
      </c>
      <c r="AE39">
        <v>9</v>
      </c>
      <c r="AF39">
        <v>474799520</v>
      </c>
      <c r="AJ39" t="s">
        <v>158</v>
      </c>
      <c r="AM39">
        <v>2222964164</v>
      </c>
      <c r="AN39">
        <v>0</v>
      </c>
      <c r="AO39">
        <v>1481934330</v>
      </c>
      <c r="AP39">
        <v>2222964164</v>
      </c>
      <c r="AQ39">
        <v>3704898494</v>
      </c>
      <c r="AR39">
        <v>74098805</v>
      </c>
      <c r="AS39">
        <v>0</v>
      </c>
      <c r="AT39">
        <v>49397811</v>
      </c>
      <c r="AU39">
        <v>74098805</v>
      </c>
      <c r="AV39">
        <v>123496616</v>
      </c>
      <c r="AW39">
        <v>22.8918</v>
      </c>
      <c r="AX39">
        <v>9.0995100000000004</v>
      </c>
      <c r="AY39">
        <v>4256</v>
      </c>
      <c r="AZ39">
        <v>2410.96</v>
      </c>
      <c r="BA39">
        <v>2171</v>
      </c>
      <c r="BB39">
        <v>928</v>
      </c>
      <c r="BC39" t="str">
        <f t="shared" si="0"/>
        <v>u=40%, k=2x10^7</v>
      </c>
    </row>
    <row r="40" spans="1:55">
      <c r="A40" t="s">
        <v>159</v>
      </c>
      <c r="B40" t="s">
        <v>65</v>
      </c>
      <c r="D40" t="s">
        <v>63</v>
      </c>
      <c r="E40" t="s">
        <v>59</v>
      </c>
      <c r="F40" t="s">
        <v>60</v>
      </c>
      <c r="G40">
        <v>30000</v>
      </c>
      <c r="H40">
        <v>20</v>
      </c>
      <c r="I40">
        <v>20</v>
      </c>
      <c r="J40">
        <v>0</v>
      </c>
      <c r="K40">
        <v>1</v>
      </c>
      <c r="L40">
        <v>20000000</v>
      </c>
      <c r="M40">
        <v>190</v>
      </c>
      <c r="N40">
        <v>190</v>
      </c>
      <c r="O40">
        <v>190</v>
      </c>
      <c r="P40">
        <v>0</v>
      </c>
      <c r="Q40" t="s">
        <v>61</v>
      </c>
      <c r="R40">
        <v>99986671695012</v>
      </c>
      <c r="S40">
        <v>9999767</v>
      </c>
      <c r="T40">
        <v>99986671695012</v>
      </c>
      <c r="U40">
        <v>9999767</v>
      </c>
      <c r="V40" t="s">
        <v>73</v>
      </c>
      <c r="W40">
        <v>29</v>
      </c>
      <c r="X40">
        <v>6858881</v>
      </c>
      <c r="Y40">
        <v>5203969</v>
      </c>
      <c r="Z40">
        <v>12062850</v>
      </c>
      <c r="AA40">
        <v>9999767</v>
      </c>
      <c r="AB40">
        <v>1.7587200000000001</v>
      </c>
      <c r="AC40">
        <v>1.92157</v>
      </c>
      <c r="AD40">
        <v>1.82897</v>
      </c>
      <c r="AE40">
        <v>23.215299999999999</v>
      </c>
      <c r="AF40">
        <v>675519600</v>
      </c>
      <c r="AJ40" t="s">
        <v>160</v>
      </c>
      <c r="AM40">
        <v>1645141071</v>
      </c>
      <c r="AN40">
        <v>0</v>
      </c>
      <c r="AO40">
        <v>1096804540</v>
      </c>
      <c r="AP40">
        <v>1645141071</v>
      </c>
      <c r="AQ40">
        <v>2741945611</v>
      </c>
      <c r="AR40">
        <v>54838035</v>
      </c>
      <c r="AS40">
        <v>0</v>
      </c>
      <c r="AT40">
        <v>36560151</v>
      </c>
      <c r="AU40">
        <v>54838035</v>
      </c>
      <c r="AV40">
        <v>91398187</v>
      </c>
      <c r="AW40">
        <v>32.672899999999998</v>
      </c>
      <c r="AX40">
        <v>12.291600000000001</v>
      </c>
      <c r="AY40">
        <v>5777.57</v>
      </c>
      <c r="AZ40">
        <v>4158.4399999999996</v>
      </c>
      <c r="BA40">
        <v>2508</v>
      </c>
      <c r="BB40">
        <v>442</v>
      </c>
      <c r="BC40" t="str">
        <f t="shared" si="0"/>
        <v>u=40%, k=2x10^7</v>
      </c>
    </row>
    <row r="41" spans="1:55">
      <c r="A41" t="s">
        <v>161</v>
      </c>
      <c r="B41" t="s">
        <v>66</v>
      </c>
      <c r="D41" t="s">
        <v>63</v>
      </c>
      <c r="E41" t="s">
        <v>59</v>
      </c>
      <c r="F41" t="s">
        <v>60</v>
      </c>
      <c r="G41">
        <v>30000</v>
      </c>
      <c r="H41">
        <v>20</v>
      </c>
      <c r="I41">
        <v>20</v>
      </c>
      <c r="J41">
        <v>0</v>
      </c>
      <c r="K41">
        <v>1</v>
      </c>
      <c r="L41">
        <v>20000000</v>
      </c>
      <c r="M41">
        <v>190</v>
      </c>
      <c r="N41">
        <v>190</v>
      </c>
      <c r="O41">
        <v>190</v>
      </c>
      <c r="P41">
        <v>0</v>
      </c>
      <c r="Q41" t="s">
        <v>61</v>
      </c>
      <c r="R41">
        <v>99991596647085</v>
      </c>
      <c r="S41">
        <v>9997536</v>
      </c>
      <c r="T41">
        <v>99991596647085</v>
      </c>
      <c r="U41">
        <v>9997536</v>
      </c>
      <c r="V41" t="s">
        <v>73</v>
      </c>
      <c r="W41">
        <v>58</v>
      </c>
      <c r="X41">
        <v>9997535</v>
      </c>
      <c r="Y41">
        <v>9997536</v>
      </c>
      <c r="Z41">
        <v>19995071</v>
      </c>
      <c r="AA41">
        <v>9997536</v>
      </c>
      <c r="AB41">
        <v>2</v>
      </c>
      <c r="AC41">
        <v>1</v>
      </c>
      <c r="AD41">
        <v>1.5</v>
      </c>
      <c r="AE41">
        <v>29.589300000000001</v>
      </c>
      <c r="AF41">
        <v>639842272</v>
      </c>
      <c r="AJ41">
        <v>14256</v>
      </c>
      <c r="AM41">
        <v>1290619178</v>
      </c>
      <c r="AN41">
        <v>0</v>
      </c>
      <c r="AO41">
        <v>860421628</v>
      </c>
      <c r="AP41">
        <v>1290619178</v>
      </c>
      <c r="AQ41">
        <v>2151040806</v>
      </c>
      <c r="AR41">
        <v>43020639</v>
      </c>
      <c r="AS41">
        <v>0</v>
      </c>
      <c r="AT41">
        <v>28680720</v>
      </c>
      <c r="AU41">
        <v>43020639</v>
      </c>
      <c r="AV41">
        <v>71701360</v>
      </c>
      <c r="AW41">
        <v>29.270199999999999</v>
      </c>
      <c r="AX41">
        <v>12.1305</v>
      </c>
      <c r="AY41">
        <v>7356.17</v>
      </c>
      <c r="AZ41">
        <v>5291.15</v>
      </c>
      <c r="BA41">
        <v>2315</v>
      </c>
      <c r="BB41">
        <v>416</v>
      </c>
      <c r="BC41" t="str">
        <f t="shared" si="0"/>
        <v>u=40%, k=2x10^7</v>
      </c>
    </row>
    <row r="42" spans="1:55">
      <c r="A42" t="s">
        <v>162</v>
      </c>
      <c r="B42" t="s">
        <v>62</v>
      </c>
      <c r="C42">
        <v>72</v>
      </c>
      <c r="D42" t="s">
        <v>63</v>
      </c>
      <c r="E42" t="s">
        <v>59</v>
      </c>
      <c r="F42" t="s">
        <v>60</v>
      </c>
      <c r="G42">
        <v>30000</v>
      </c>
      <c r="H42">
        <v>20</v>
      </c>
      <c r="I42">
        <v>20</v>
      </c>
      <c r="J42">
        <v>0</v>
      </c>
      <c r="K42">
        <v>1</v>
      </c>
      <c r="L42">
        <v>200000000</v>
      </c>
      <c r="M42">
        <v>190</v>
      </c>
      <c r="N42">
        <v>190</v>
      </c>
      <c r="O42">
        <v>190</v>
      </c>
      <c r="P42">
        <v>0</v>
      </c>
      <c r="Q42" t="s">
        <v>61</v>
      </c>
      <c r="R42">
        <v>1.00008089360822E+16</v>
      </c>
      <c r="S42">
        <v>100003294</v>
      </c>
      <c r="T42">
        <v>1.00008089360822E+16</v>
      </c>
      <c r="U42">
        <v>100003294</v>
      </c>
      <c r="V42" t="s">
        <v>73</v>
      </c>
      <c r="W42">
        <v>7</v>
      </c>
      <c r="X42">
        <v>11095250</v>
      </c>
      <c r="Y42">
        <v>110172059</v>
      </c>
      <c r="Z42">
        <v>121267309</v>
      </c>
      <c r="AA42">
        <v>100003294</v>
      </c>
      <c r="AB42">
        <v>10.9297</v>
      </c>
      <c r="AC42">
        <v>0.90770099999999998</v>
      </c>
      <c r="AD42">
        <v>1.8246500000000001</v>
      </c>
      <c r="AE42">
        <v>4.00169</v>
      </c>
      <c r="AF42">
        <v>2650375200</v>
      </c>
      <c r="AG42" t="s">
        <v>163</v>
      </c>
      <c r="AH42" t="s">
        <v>164</v>
      </c>
      <c r="AI42">
        <v>514694</v>
      </c>
      <c r="AJ42">
        <v>12644</v>
      </c>
      <c r="AM42">
        <v>1500407309</v>
      </c>
      <c r="AN42">
        <v>0</v>
      </c>
      <c r="AO42">
        <v>1000237368</v>
      </c>
      <c r="AP42">
        <v>1500407309</v>
      </c>
      <c r="AQ42">
        <v>2500644677</v>
      </c>
      <c r="AR42">
        <v>50013576</v>
      </c>
      <c r="AS42">
        <v>0</v>
      </c>
      <c r="AT42">
        <v>33341245</v>
      </c>
      <c r="AU42">
        <v>50013576</v>
      </c>
      <c r="AV42">
        <v>83354822</v>
      </c>
      <c r="AW42">
        <v>31.5763</v>
      </c>
      <c r="AX42">
        <v>17.665099999999999</v>
      </c>
      <c r="AY42">
        <v>5694.27</v>
      </c>
      <c r="AZ42">
        <v>4223.2700000000004</v>
      </c>
      <c r="BA42">
        <v>14424</v>
      </c>
      <c r="BB42">
        <v>1079</v>
      </c>
      <c r="BC42" t="str">
        <f t="shared" si="0"/>
        <v>u=40%, k=2x10^8</v>
      </c>
    </row>
    <row r="43" spans="1:55">
      <c r="A43" t="s">
        <v>165</v>
      </c>
      <c r="B43" t="s">
        <v>64</v>
      </c>
      <c r="C43">
        <v>208</v>
      </c>
      <c r="D43" t="s">
        <v>63</v>
      </c>
      <c r="E43" t="s">
        <v>59</v>
      </c>
      <c r="F43" t="s">
        <v>60</v>
      </c>
      <c r="G43">
        <v>30000</v>
      </c>
      <c r="H43">
        <v>20</v>
      </c>
      <c r="I43">
        <v>20</v>
      </c>
      <c r="J43">
        <v>0</v>
      </c>
      <c r="K43">
        <v>1</v>
      </c>
      <c r="L43">
        <v>200000000</v>
      </c>
      <c r="M43">
        <v>190</v>
      </c>
      <c r="N43">
        <v>190</v>
      </c>
      <c r="O43">
        <v>190</v>
      </c>
      <c r="P43">
        <v>0</v>
      </c>
      <c r="Q43" t="s">
        <v>61</v>
      </c>
      <c r="R43">
        <v>9999960049069780</v>
      </c>
      <c r="S43">
        <v>99995864</v>
      </c>
      <c r="T43">
        <v>9999960049069780</v>
      </c>
      <c r="U43">
        <v>99995864</v>
      </c>
      <c r="V43" t="s">
        <v>73</v>
      </c>
      <c r="W43">
        <v>11</v>
      </c>
      <c r="X43">
        <v>2667326</v>
      </c>
      <c r="Y43">
        <v>18224986</v>
      </c>
      <c r="Z43">
        <v>20892312</v>
      </c>
      <c r="AA43">
        <v>99995864</v>
      </c>
      <c r="AB43">
        <v>7.8326799999999999</v>
      </c>
      <c r="AC43">
        <v>5.4867499999999998</v>
      </c>
      <c r="AD43">
        <v>5.7862499999999999</v>
      </c>
      <c r="AE43">
        <v>10</v>
      </c>
      <c r="AF43">
        <v>4345600896</v>
      </c>
      <c r="AJ43" t="s">
        <v>166</v>
      </c>
      <c r="AM43">
        <v>1743931588</v>
      </c>
      <c r="AN43">
        <v>0</v>
      </c>
      <c r="AO43">
        <v>1162600969</v>
      </c>
      <c r="AP43">
        <v>1743931588</v>
      </c>
      <c r="AQ43">
        <v>2906532557</v>
      </c>
      <c r="AR43">
        <v>58131052</v>
      </c>
      <c r="AS43">
        <v>0</v>
      </c>
      <c r="AT43">
        <v>38753365</v>
      </c>
      <c r="AU43">
        <v>58131052</v>
      </c>
      <c r="AV43">
        <v>96884418</v>
      </c>
      <c r="AW43">
        <v>29.508299999999998</v>
      </c>
      <c r="AX43">
        <v>13.9201</v>
      </c>
      <c r="AY43">
        <v>5418.45</v>
      </c>
      <c r="AZ43">
        <v>3548.86</v>
      </c>
      <c r="BA43">
        <v>9762</v>
      </c>
      <c r="BB43">
        <v>6264</v>
      </c>
      <c r="BC43" t="str">
        <f t="shared" si="0"/>
        <v>u=40%, k=2x10^8</v>
      </c>
    </row>
    <row r="44" spans="1:55">
      <c r="A44" t="s">
        <v>167</v>
      </c>
      <c r="B44" t="s">
        <v>65</v>
      </c>
      <c r="D44" t="s">
        <v>63</v>
      </c>
      <c r="E44" t="s">
        <v>59</v>
      </c>
      <c r="F44" t="s">
        <v>60</v>
      </c>
      <c r="G44">
        <v>30000</v>
      </c>
      <c r="H44">
        <v>20</v>
      </c>
      <c r="I44">
        <v>20</v>
      </c>
      <c r="J44">
        <v>0</v>
      </c>
      <c r="K44">
        <v>1</v>
      </c>
      <c r="L44">
        <v>200000000</v>
      </c>
      <c r="M44">
        <v>190</v>
      </c>
      <c r="N44">
        <v>190</v>
      </c>
      <c r="O44">
        <v>190</v>
      </c>
      <c r="P44">
        <v>0</v>
      </c>
      <c r="Q44" t="s">
        <v>61</v>
      </c>
      <c r="R44">
        <v>1.00005883919262E+16</v>
      </c>
      <c r="S44">
        <v>100001484</v>
      </c>
      <c r="T44">
        <v>1.00005883919262E+16</v>
      </c>
      <c r="U44">
        <v>100001484</v>
      </c>
      <c r="V44" t="s">
        <v>73</v>
      </c>
      <c r="W44">
        <v>33</v>
      </c>
      <c r="X44">
        <v>68326493</v>
      </c>
      <c r="Y44">
        <v>51810907</v>
      </c>
      <c r="Z44">
        <v>120137400</v>
      </c>
      <c r="AA44">
        <v>100001484</v>
      </c>
      <c r="AB44">
        <v>1.7582800000000001</v>
      </c>
      <c r="AC44">
        <v>1.9301200000000001</v>
      </c>
      <c r="AD44">
        <v>1.83239</v>
      </c>
      <c r="AE44">
        <v>26.6631</v>
      </c>
      <c r="AF44">
        <v>6727694400</v>
      </c>
      <c r="AJ44" t="s">
        <v>168</v>
      </c>
      <c r="AM44">
        <v>1122891723</v>
      </c>
      <c r="AN44">
        <v>0</v>
      </c>
      <c r="AO44">
        <v>748590182</v>
      </c>
      <c r="AP44">
        <v>1122891723</v>
      </c>
      <c r="AQ44">
        <v>1871481905</v>
      </c>
      <c r="AR44">
        <v>37429724</v>
      </c>
      <c r="AS44">
        <v>0</v>
      </c>
      <c r="AT44">
        <v>24953006</v>
      </c>
      <c r="AU44">
        <v>37429724</v>
      </c>
      <c r="AV44">
        <v>62382730</v>
      </c>
      <c r="AW44">
        <v>43.9636</v>
      </c>
      <c r="AX44">
        <v>21.37</v>
      </c>
      <c r="AY44">
        <v>8474.19</v>
      </c>
      <c r="AZ44">
        <v>6815.18</v>
      </c>
      <c r="BA44">
        <v>10615</v>
      </c>
      <c r="BB44">
        <v>2770</v>
      </c>
      <c r="BC44" t="str">
        <f t="shared" si="0"/>
        <v>u=40%, k=2x10^8</v>
      </c>
    </row>
    <row r="45" spans="1:55">
      <c r="A45" t="s">
        <v>169</v>
      </c>
      <c r="B45" t="s">
        <v>66</v>
      </c>
      <c r="D45" t="s">
        <v>63</v>
      </c>
      <c r="E45" t="s">
        <v>59</v>
      </c>
      <c r="F45" t="s">
        <v>60</v>
      </c>
      <c r="G45">
        <v>30000</v>
      </c>
      <c r="H45">
        <v>20</v>
      </c>
      <c r="I45">
        <v>20</v>
      </c>
      <c r="J45">
        <v>0</v>
      </c>
      <c r="K45">
        <v>1</v>
      </c>
      <c r="L45">
        <v>200000000</v>
      </c>
      <c r="M45">
        <v>190</v>
      </c>
      <c r="N45">
        <v>190</v>
      </c>
      <c r="O45">
        <v>190</v>
      </c>
      <c r="P45">
        <v>0</v>
      </c>
      <c r="Q45" t="s">
        <v>61</v>
      </c>
      <c r="R45">
        <v>1.00007777107227E+16</v>
      </c>
      <c r="S45">
        <v>100007669</v>
      </c>
      <c r="T45">
        <v>1.00007777107227E+16</v>
      </c>
      <c r="U45">
        <v>100007669</v>
      </c>
      <c r="V45" t="s">
        <v>73</v>
      </c>
      <c r="W45">
        <v>68</v>
      </c>
      <c r="X45">
        <v>100007668</v>
      </c>
      <c r="Y45">
        <v>100007669</v>
      </c>
      <c r="Z45">
        <v>200015337</v>
      </c>
      <c r="AA45">
        <v>100007669</v>
      </c>
      <c r="AB45">
        <v>2</v>
      </c>
      <c r="AC45">
        <v>1</v>
      </c>
      <c r="AD45">
        <v>1.5</v>
      </c>
      <c r="AE45">
        <v>35.334899999999998</v>
      </c>
      <c r="AF45">
        <v>6400490784</v>
      </c>
      <c r="AJ45" t="s">
        <v>170</v>
      </c>
      <c r="AM45">
        <v>902614555</v>
      </c>
      <c r="AN45">
        <v>0</v>
      </c>
      <c r="AO45">
        <v>601773517</v>
      </c>
      <c r="AP45">
        <v>902614555</v>
      </c>
      <c r="AQ45">
        <v>1504388072</v>
      </c>
      <c r="AR45">
        <v>30087151</v>
      </c>
      <c r="AS45">
        <v>0</v>
      </c>
      <c r="AT45">
        <v>20059117</v>
      </c>
      <c r="AU45">
        <v>30087151</v>
      </c>
      <c r="AV45">
        <v>50146269</v>
      </c>
      <c r="AW45">
        <v>41.980800000000002</v>
      </c>
      <c r="AX45">
        <v>21.6248</v>
      </c>
      <c r="AY45">
        <v>10539.7</v>
      </c>
      <c r="AZ45">
        <v>8696.98</v>
      </c>
      <c r="BA45">
        <v>10964</v>
      </c>
      <c r="BB45">
        <v>2817</v>
      </c>
      <c r="BC45" t="str">
        <f t="shared" si="0"/>
        <v>u=40%, k=2x10^8</v>
      </c>
    </row>
    <row r="46" spans="1:55">
      <c r="A46" t="s">
        <v>171</v>
      </c>
      <c r="B46" t="s">
        <v>62</v>
      </c>
      <c r="C46">
        <v>72</v>
      </c>
      <c r="D46" t="s">
        <v>63</v>
      </c>
      <c r="E46" t="s">
        <v>59</v>
      </c>
      <c r="F46" t="s">
        <v>60</v>
      </c>
      <c r="G46">
        <v>30000</v>
      </c>
      <c r="H46">
        <v>20</v>
      </c>
      <c r="I46">
        <v>20</v>
      </c>
      <c r="J46">
        <v>0</v>
      </c>
      <c r="K46">
        <v>1</v>
      </c>
      <c r="L46">
        <v>2000000000</v>
      </c>
      <c r="M46">
        <v>190</v>
      </c>
      <c r="N46">
        <v>190</v>
      </c>
      <c r="O46">
        <v>190</v>
      </c>
      <c r="P46">
        <v>0</v>
      </c>
      <c r="Q46" t="s">
        <v>61</v>
      </c>
      <c r="R46">
        <v>9.9998629423009498E+17</v>
      </c>
      <c r="S46">
        <v>1000019952</v>
      </c>
      <c r="T46">
        <v>9.9998629423009498E+17</v>
      </c>
      <c r="U46">
        <v>1000019952</v>
      </c>
      <c r="V46" t="s">
        <v>73</v>
      </c>
      <c r="W46">
        <v>7</v>
      </c>
      <c r="X46">
        <v>118790078</v>
      </c>
      <c r="Y46">
        <v>1151914733</v>
      </c>
      <c r="Z46">
        <v>1270704811</v>
      </c>
      <c r="AA46">
        <v>1000019952</v>
      </c>
      <c r="AB46">
        <v>10.697100000000001</v>
      </c>
      <c r="AC46">
        <v>0.86813700000000005</v>
      </c>
      <c r="AD46">
        <v>1.78698</v>
      </c>
      <c r="AE46">
        <v>4.0734899999999996</v>
      </c>
      <c r="AF46">
        <v>27986385456</v>
      </c>
      <c r="AG46" t="s">
        <v>172</v>
      </c>
      <c r="AH46" t="s">
        <v>173</v>
      </c>
      <c r="AI46">
        <v>52893</v>
      </c>
      <c r="AJ46">
        <v>13846</v>
      </c>
      <c r="AM46">
        <v>1444595533</v>
      </c>
      <c r="AN46">
        <v>0</v>
      </c>
      <c r="AO46">
        <v>963072122</v>
      </c>
      <c r="AP46">
        <v>1444595533</v>
      </c>
      <c r="AQ46">
        <v>2407667655</v>
      </c>
      <c r="AR46">
        <v>48153184</v>
      </c>
      <c r="AS46">
        <v>0</v>
      </c>
      <c r="AT46">
        <v>32102404</v>
      </c>
      <c r="AU46">
        <v>48153184</v>
      </c>
      <c r="AV46">
        <v>80255588</v>
      </c>
      <c r="AW46">
        <v>30.521000000000001</v>
      </c>
      <c r="AX46">
        <v>19.630800000000001</v>
      </c>
      <c r="AY46">
        <v>5811.27</v>
      </c>
      <c r="AZ46">
        <v>4643</v>
      </c>
      <c r="BA46">
        <v>120718</v>
      </c>
      <c r="BB46">
        <v>9044</v>
      </c>
      <c r="BC46" t="str">
        <f t="shared" si="0"/>
        <v>u=40%, k=2x10^9</v>
      </c>
    </row>
    <row r="47" spans="1:55">
      <c r="A47" t="s">
        <v>174</v>
      </c>
      <c r="B47" t="s">
        <v>64</v>
      </c>
      <c r="C47">
        <v>208</v>
      </c>
      <c r="D47" t="s">
        <v>63</v>
      </c>
      <c r="E47" t="s">
        <v>59</v>
      </c>
      <c r="F47" t="s">
        <v>60</v>
      </c>
      <c r="G47">
        <v>30000</v>
      </c>
      <c r="H47">
        <v>20</v>
      </c>
      <c r="I47">
        <v>20</v>
      </c>
      <c r="J47">
        <v>0</v>
      </c>
      <c r="K47">
        <v>1</v>
      </c>
      <c r="L47">
        <v>2000000000</v>
      </c>
      <c r="M47">
        <v>190</v>
      </c>
      <c r="N47">
        <v>190</v>
      </c>
      <c r="O47">
        <v>190</v>
      </c>
      <c r="P47">
        <v>0</v>
      </c>
      <c r="Q47" t="s">
        <v>61</v>
      </c>
      <c r="R47">
        <v>1.00001788697939E+18</v>
      </c>
      <c r="S47">
        <v>1000001384</v>
      </c>
      <c r="T47">
        <v>1.00001788697939E+18</v>
      </c>
      <c r="U47">
        <v>1000001384</v>
      </c>
      <c r="V47" t="s">
        <v>73</v>
      </c>
      <c r="W47">
        <v>12</v>
      </c>
      <c r="X47">
        <v>20669072</v>
      </c>
      <c r="Y47">
        <v>142227188</v>
      </c>
      <c r="Z47">
        <v>162896260</v>
      </c>
      <c r="AA47">
        <v>1000001384</v>
      </c>
      <c r="AB47">
        <v>7.8811600000000004</v>
      </c>
      <c r="AC47">
        <v>7.0310100000000002</v>
      </c>
      <c r="AD47">
        <v>7.1388800000000003</v>
      </c>
      <c r="AE47">
        <v>11</v>
      </c>
      <c r="AF47">
        <v>33882422080</v>
      </c>
      <c r="AJ47" t="s">
        <v>175</v>
      </c>
      <c r="AM47">
        <v>1283485397</v>
      </c>
      <c r="AN47">
        <v>0</v>
      </c>
      <c r="AO47">
        <v>855635362</v>
      </c>
      <c r="AP47">
        <v>1283485397</v>
      </c>
      <c r="AQ47">
        <v>2139120759</v>
      </c>
      <c r="AR47">
        <v>42782846</v>
      </c>
      <c r="AS47">
        <v>0</v>
      </c>
      <c r="AT47">
        <v>28521178</v>
      </c>
      <c r="AU47">
        <v>42782846</v>
      </c>
      <c r="AV47">
        <v>71304025</v>
      </c>
      <c r="AW47">
        <v>37.346400000000003</v>
      </c>
      <c r="AX47">
        <v>21.326000000000001</v>
      </c>
      <c r="AY47">
        <v>7276.03</v>
      </c>
      <c r="AZ47">
        <v>5587.83</v>
      </c>
      <c r="BA47">
        <v>62983</v>
      </c>
      <c r="BB47">
        <v>61583</v>
      </c>
      <c r="BC47" t="str">
        <f t="shared" si="0"/>
        <v>u=40%, k=2x10^9</v>
      </c>
    </row>
    <row r="48" spans="1:55">
      <c r="A48" t="s">
        <v>176</v>
      </c>
      <c r="B48" t="s">
        <v>65</v>
      </c>
      <c r="D48" t="s">
        <v>63</v>
      </c>
      <c r="E48" t="s">
        <v>59</v>
      </c>
      <c r="F48" t="s">
        <v>60</v>
      </c>
      <c r="G48">
        <v>30000</v>
      </c>
      <c r="H48">
        <v>20</v>
      </c>
      <c r="I48">
        <v>20</v>
      </c>
      <c r="J48">
        <v>0</v>
      </c>
      <c r="K48">
        <v>1</v>
      </c>
      <c r="L48">
        <v>2000000000</v>
      </c>
      <c r="M48">
        <v>190</v>
      </c>
      <c r="N48">
        <v>190</v>
      </c>
      <c r="O48">
        <v>190</v>
      </c>
      <c r="P48">
        <v>0</v>
      </c>
      <c r="Q48" t="s">
        <v>61</v>
      </c>
      <c r="R48">
        <v>9.9999423569927795E+17</v>
      </c>
      <c r="S48">
        <v>1000003589</v>
      </c>
      <c r="T48">
        <v>9.9999423569927795E+17</v>
      </c>
      <c r="U48">
        <v>1000003589</v>
      </c>
      <c r="V48" t="s">
        <v>73</v>
      </c>
      <c r="W48">
        <v>37</v>
      </c>
      <c r="X48">
        <v>597667635</v>
      </c>
      <c r="Y48">
        <v>450166255</v>
      </c>
      <c r="Z48">
        <v>1047833890</v>
      </c>
      <c r="AA48">
        <v>1000003589</v>
      </c>
      <c r="AB48">
        <v>1.7532099999999999</v>
      </c>
      <c r="AC48">
        <v>2.2214100000000001</v>
      </c>
      <c r="AD48">
        <v>1.95435</v>
      </c>
      <c r="AE48">
        <v>29.6355</v>
      </c>
      <c r="AF48">
        <v>58678697840</v>
      </c>
      <c r="AJ48" t="s">
        <v>177</v>
      </c>
      <c r="AM48">
        <v>768319818</v>
      </c>
      <c r="AN48">
        <v>0</v>
      </c>
      <c r="AO48">
        <v>512220960</v>
      </c>
      <c r="AP48">
        <v>768319818</v>
      </c>
      <c r="AQ48">
        <v>1280540778</v>
      </c>
      <c r="AR48">
        <v>25610660</v>
      </c>
      <c r="AS48">
        <v>0</v>
      </c>
      <c r="AT48">
        <v>17074032</v>
      </c>
      <c r="AU48">
        <v>25610660</v>
      </c>
      <c r="AV48">
        <v>42684692</v>
      </c>
      <c r="AW48">
        <v>58.014600000000002</v>
      </c>
      <c r="AX48">
        <v>32.902200000000001</v>
      </c>
      <c r="AY48">
        <v>12384.4</v>
      </c>
      <c r="AZ48">
        <v>10633.3</v>
      </c>
      <c r="BA48">
        <v>69550</v>
      </c>
      <c r="BB48">
        <v>32789</v>
      </c>
      <c r="BC48" t="str">
        <f t="shared" si="0"/>
        <v>u=40%, k=2x10^9</v>
      </c>
    </row>
    <row r="49" spans="1:55">
      <c r="A49" t="s">
        <v>178</v>
      </c>
      <c r="B49" t="s">
        <v>66</v>
      </c>
      <c r="D49" t="s">
        <v>63</v>
      </c>
      <c r="E49" t="s">
        <v>59</v>
      </c>
      <c r="F49" t="s">
        <v>60</v>
      </c>
      <c r="G49">
        <v>30000</v>
      </c>
      <c r="H49">
        <v>20</v>
      </c>
      <c r="I49">
        <v>20</v>
      </c>
      <c r="J49">
        <v>0</v>
      </c>
      <c r="K49">
        <v>1</v>
      </c>
      <c r="L49">
        <v>2000000000</v>
      </c>
      <c r="M49">
        <v>190</v>
      </c>
      <c r="N49">
        <v>190</v>
      </c>
      <c r="O49">
        <v>190</v>
      </c>
      <c r="P49">
        <v>0</v>
      </c>
      <c r="Q49" t="s">
        <v>61</v>
      </c>
      <c r="R49">
        <v>1.0000144583885199E+18</v>
      </c>
      <c r="S49">
        <v>1000002019</v>
      </c>
      <c r="T49">
        <v>1.0000144583885199E+18</v>
      </c>
      <c r="U49">
        <v>1000002019</v>
      </c>
      <c r="V49" t="s">
        <v>73</v>
      </c>
      <c r="W49">
        <v>84</v>
      </c>
      <c r="X49">
        <v>1000002018</v>
      </c>
      <c r="Y49">
        <v>1000002019</v>
      </c>
      <c r="Z49">
        <v>2000004037</v>
      </c>
      <c r="AA49">
        <v>1000002019</v>
      </c>
      <c r="AB49">
        <v>2</v>
      </c>
      <c r="AC49">
        <v>1</v>
      </c>
      <c r="AD49">
        <v>1.5</v>
      </c>
      <c r="AE49">
        <v>42.027799999999999</v>
      </c>
      <c r="AF49">
        <v>64000129184</v>
      </c>
      <c r="AJ49" t="s">
        <v>179</v>
      </c>
      <c r="AM49">
        <v>612377929</v>
      </c>
      <c r="AN49">
        <v>0</v>
      </c>
      <c r="AO49">
        <v>408230812</v>
      </c>
      <c r="AP49">
        <v>612377929</v>
      </c>
      <c r="AQ49">
        <v>1020608741</v>
      </c>
      <c r="AR49">
        <v>20412597</v>
      </c>
      <c r="AS49">
        <v>0</v>
      </c>
      <c r="AT49">
        <v>13607693</v>
      </c>
      <c r="AU49">
        <v>20412597</v>
      </c>
      <c r="AV49">
        <v>34020291</v>
      </c>
      <c r="AW49">
        <v>57.174599999999998</v>
      </c>
      <c r="AX49">
        <v>33.406300000000002</v>
      </c>
      <c r="AY49">
        <v>15535.4</v>
      </c>
      <c r="AZ49">
        <v>13248.5</v>
      </c>
      <c r="BA49">
        <v>69302</v>
      </c>
      <c r="BB49">
        <v>33827</v>
      </c>
      <c r="BC49" t="str">
        <f t="shared" si="0"/>
        <v>u=40%, k=2x10^9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44"/>
  <sheetViews>
    <sheetView tabSelected="1"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A1" s="1" t="s">
        <v>190</v>
      </c>
      <c r="Z1" s="1" t="s">
        <v>8</v>
      </c>
    </row>
    <row r="2" spans="1:27">
      <c r="A2" s="6" t="s">
        <v>67</v>
      </c>
      <c r="B2" t="s">
        <v>192</v>
      </c>
      <c r="C2" t="str">
        <f>B2&amp;", 190 threads"</f>
        <v>u=40%, k=2x10^9, 190 threads</v>
      </c>
      <c r="Z2" s="2" t="s">
        <v>0</v>
      </c>
      <c r="AA2" t="s">
        <v>68</v>
      </c>
    </row>
    <row r="3" spans="1:27">
      <c r="Z3" s="2"/>
    </row>
    <row r="4" spans="1:27">
      <c r="B4" s="6" t="s">
        <v>18</v>
      </c>
      <c r="Z4" s="2"/>
    </row>
    <row r="5" spans="1:27">
      <c r="B5" t="s">
        <v>66</v>
      </c>
      <c r="C5" t="s">
        <v>65</v>
      </c>
      <c r="D5" t="s">
        <v>64</v>
      </c>
      <c r="E5" t="s">
        <v>62</v>
      </c>
      <c r="Z5" s="2"/>
    </row>
    <row r="6" spans="1:27">
      <c r="A6" t="s">
        <v>77</v>
      </c>
      <c r="B6" s="7">
        <v>63999843637.333336</v>
      </c>
      <c r="C6" s="7">
        <v>58681262770.666664</v>
      </c>
      <c r="D6" s="7">
        <v>33878739509.333332</v>
      </c>
      <c r="E6" s="7">
        <v>27935217792</v>
      </c>
      <c r="N6" s="2"/>
    </row>
    <row r="8" spans="1:27">
      <c r="N8" s="2"/>
    </row>
    <row r="9" spans="1:27">
      <c r="A9" s="1" t="s">
        <v>189</v>
      </c>
    </row>
    <row r="10" spans="1:27">
      <c r="A10" s="6" t="s">
        <v>67</v>
      </c>
      <c r="B10" t="s">
        <v>192</v>
      </c>
      <c r="C10">
        <f>POWER(10, RIGHT(getField(B10,1), 1))</f>
        <v>1000000000</v>
      </c>
    </row>
    <row r="12" spans="1:27">
      <c r="B12" s="6" t="s">
        <v>18</v>
      </c>
    </row>
    <row r="13" spans="1:27">
      <c r="B13" t="s">
        <v>66</v>
      </c>
      <c r="C13" t="s">
        <v>65</v>
      </c>
      <c r="D13" t="s">
        <v>64</v>
      </c>
      <c r="E13" t="s">
        <v>62</v>
      </c>
      <c r="O13" s="3"/>
    </row>
    <row r="14" spans="1:27">
      <c r="A14" t="s">
        <v>188</v>
      </c>
      <c r="B14" s="7">
        <v>999997557.33333337</v>
      </c>
      <c r="C14" s="7">
        <v>999993131</v>
      </c>
      <c r="D14" s="7">
        <v>1000008927.6666666</v>
      </c>
      <c r="E14" s="7">
        <v>1000006223</v>
      </c>
      <c r="Z14" s="2"/>
    </row>
    <row r="20" spans="1:6">
      <c r="B20" t="s">
        <v>79</v>
      </c>
      <c r="C20" t="s">
        <v>80</v>
      </c>
      <c r="D20" t="s">
        <v>81</v>
      </c>
      <c r="E20" t="s">
        <v>82</v>
      </c>
    </row>
    <row r="21" spans="1:6">
      <c r="A21" t="s">
        <v>191</v>
      </c>
      <c r="B21" s="7">
        <f>B6-B22</f>
        <v>47999882720</v>
      </c>
      <c r="C21" s="7">
        <f>C6-C22</f>
        <v>42681372674.666664</v>
      </c>
      <c r="D21" s="7">
        <f>D6-D22</f>
        <v>17878596666.666664</v>
      </c>
      <c r="E21" s="7">
        <f>E6-E22</f>
        <v>11935118224</v>
      </c>
      <c r="F21" s="7"/>
    </row>
    <row r="22" spans="1:6">
      <c r="A22" t="s">
        <v>187</v>
      </c>
      <c r="B22" s="7">
        <f>B14*16</f>
        <v>15999960917.333334</v>
      </c>
      <c r="C22" s="7">
        <f>C14*16</f>
        <v>15999890096</v>
      </c>
      <c r="D22" s="7">
        <f>D14*16</f>
        <v>16000142842.666666</v>
      </c>
      <c r="E22" s="7">
        <f>E14*16</f>
        <v>16000099568</v>
      </c>
      <c r="F22" s="7"/>
    </row>
    <row r="23" spans="1:6">
      <c r="B23" s="7"/>
      <c r="C23" s="7"/>
      <c r="D23" s="7"/>
      <c r="E23" s="7"/>
      <c r="F23" s="7"/>
    </row>
    <row r="24" spans="1:6">
      <c r="B24" s="7"/>
      <c r="C24" s="7"/>
      <c r="D24" s="7"/>
      <c r="E24" s="7"/>
      <c r="F24" s="7"/>
    </row>
    <row r="25" spans="1:6">
      <c r="B25" s="7"/>
      <c r="C25" s="7"/>
      <c r="D25" s="7"/>
      <c r="E25" s="7"/>
      <c r="F25" s="7"/>
    </row>
    <row r="30" spans="1:6">
      <c r="A30" s="6" t="s">
        <v>67</v>
      </c>
      <c r="B30" t="s">
        <v>192</v>
      </c>
    </row>
    <row r="32" spans="1:6">
      <c r="B32" s="6" t="s">
        <v>18</v>
      </c>
    </row>
    <row r="33" spans="1:5">
      <c r="B33" t="s">
        <v>66</v>
      </c>
      <c r="C33" t="s">
        <v>65</v>
      </c>
      <c r="D33" t="s">
        <v>64</v>
      </c>
      <c r="E33" t="s">
        <v>62</v>
      </c>
    </row>
    <row r="34" spans="1:5">
      <c r="A34" t="s">
        <v>78</v>
      </c>
      <c r="B34" s="7">
        <v>663812.68953222036</v>
      </c>
      <c r="C34" s="7">
        <v>2501762.3543606214</v>
      </c>
      <c r="D34" s="7">
        <v>3994436.1791271619</v>
      </c>
      <c r="E34" s="7">
        <v>102720608.84881741</v>
      </c>
    </row>
    <row r="43" spans="1:5">
      <c r="A43">
        <f>A33</f>
        <v>0</v>
      </c>
      <c r="B43" t="str">
        <f>B33</f>
        <v>natarajan_ext_bst_lf</v>
      </c>
      <c r="C43" t="str">
        <f t="shared" ref="C43:E43" si="0">C33</f>
        <v>bronson_pext_bst_occ</v>
      </c>
      <c r="D43" t="str">
        <f t="shared" si="0"/>
        <v>brown_ext_abtree_lf</v>
      </c>
      <c r="E43" t="str">
        <f t="shared" si="0"/>
        <v>brown_ext_ist_lf</v>
      </c>
    </row>
    <row r="44" spans="1:5">
      <c r="A44" t="str">
        <f t="shared" ref="A44" si="1">A34</f>
        <v>StdDev of tree_stats_sizeInBytes</v>
      </c>
      <c r="B44" s="8">
        <f>B34/B6</f>
        <v>1.0372098614706541E-5</v>
      </c>
      <c r="C44" s="8">
        <f t="shared" ref="C44:E44" si="2">C34/C6</f>
        <v>4.2633069505300275E-5</v>
      </c>
      <c r="D44" s="8">
        <f t="shared" si="2"/>
        <v>1.1790391959614453E-4</v>
      </c>
      <c r="E44" s="8">
        <f t="shared" si="2"/>
        <v>3.677100698253164E-3</v>
      </c>
    </row>
  </sheetData>
  <pageMargins left="0.7" right="0.7" top="0.75" bottom="0.75" header="0.3" footer="0.3"/>
  <pageSetup paperSize="0"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instructions</vt:lpstr>
      <vt:lpstr>data</vt:lpstr>
      <vt:lpstr>pivot</vt:lpstr>
      <vt:lpstr>data!ExternalData_11</vt:lpstr>
      <vt:lpstr>data!ExternalData_12</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2019-06-06T18:22:12Z</dcterms:modified>
</cp:coreProperties>
</file>