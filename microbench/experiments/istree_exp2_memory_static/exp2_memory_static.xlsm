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setbench\microbench\experiments\istree_exp2_memory_static\"/>
    </mc:Choice>
  </mc:AlternateContent>
  <bookViews>
    <workbookView xWindow="0" yWindow="0" windowWidth="28054" windowHeight="11811" activeTab="2"/>
  </bookViews>
  <sheets>
    <sheet name="instructions" sheetId="3" r:id="rId1"/>
    <sheet name="data" sheetId="2" r:id="rId2"/>
    <sheet name="pivot" sheetId="1" r:id="rId3"/>
  </sheets>
  <functionGroups builtInGroupCount="18"/>
  <definedNames>
    <definedName name="ExternalData_11" localSheetId="1">data!$A$1:$AP$1950</definedName>
    <definedName name="ExternalData_12" localSheetId="1">data!$A$1:$AU$41</definedName>
  </definedNames>
  <calcPr calcId="162913"/>
  <pivotCaches>
    <pivotCache cacheId="0" r:id="rId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4" i="1" l="1"/>
  <c r="D44" i="1"/>
  <c r="E44" i="1"/>
  <c r="B44" i="1"/>
  <c r="A43" i="1"/>
  <c r="A44" i="1"/>
  <c r="A45" i="1"/>
  <c r="A46" i="1"/>
  <c r="A47" i="1"/>
  <c r="A48" i="1"/>
  <c r="F44" i="1"/>
  <c r="B45" i="1"/>
  <c r="C45" i="1"/>
  <c r="D45" i="1"/>
  <c r="E45" i="1"/>
  <c r="F45" i="1"/>
  <c r="B46" i="1"/>
  <c r="C46" i="1"/>
  <c r="D46" i="1"/>
  <c r="E46" i="1"/>
  <c r="F46" i="1"/>
  <c r="B47" i="1"/>
  <c r="C47" i="1"/>
  <c r="D47" i="1"/>
  <c r="E47" i="1"/>
  <c r="F47" i="1"/>
  <c r="B48" i="1"/>
  <c r="C48" i="1"/>
  <c r="D48" i="1"/>
  <c r="E48" i="1"/>
  <c r="F48" i="1"/>
  <c r="C43" i="1"/>
  <c r="D43" i="1"/>
  <c r="E43" i="1"/>
  <c r="F43" i="1"/>
  <c r="B43" i="1"/>
  <c r="AV3" i="2" l="1"/>
  <c r="AV4" i="2"/>
  <c r="AV5" i="2"/>
  <c r="AV6" i="2"/>
  <c r="AV7" i="2"/>
  <c r="AV8" i="2"/>
  <c r="AV9" i="2"/>
  <c r="AV10" i="2"/>
  <c r="AV11" i="2"/>
  <c r="AV12" i="2"/>
  <c r="AV13" i="2"/>
  <c r="AV14" i="2"/>
  <c r="AV15" i="2"/>
  <c r="AV16" i="2"/>
  <c r="AV17" i="2"/>
  <c r="AV18" i="2"/>
  <c r="AV19" i="2"/>
  <c r="AV20" i="2"/>
  <c r="AV21" i="2"/>
  <c r="AV22" i="2"/>
  <c r="AV23" i="2"/>
  <c r="AV24" i="2"/>
  <c r="AV25" i="2"/>
  <c r="AV26" i="2"/>
  <c r="AV27" i="2"/>
  <c r="AV28" i="2"/>
  <c r="AV29" i="2"/>
  <c r="AV30" i="2"/>
  <c r="AV31" i="2"/>
  <c r="AV32" i="2"/>
  <c r="AV33" i="2"/>
  <c r="AV34" i="2"/>
  <c r="AV35" i="2"/>
  <c r="AV36" i="2"/>
  <c r="AV37" i="2"/>
  <c r="AV38" i="2"/>
  <c r="AV39" i="2"/>
  <c r="AV40" i="2"/>
  <c r="AV41" i="2"/>
  <c r="AV2" i="2"/>
  <c r="A24" i="1" l="1"/>
  <c r="B24" i="1"/>
  <c r="C24" i="1"/>
  <c r="D24" i="1"/>
  <c r="E24" i="1"/>
  <c r="F24" i="1"/>
  <c r="A25" i="1"/>
  <c r="B25" i="1"/>
  <c r="C25" i="1"/>
  <c r="D25" i="1"/>
  <c r="E25" i="1"/>
  <c r="F25" i="1"/>
  <c r="A23" i="1" l="1"/>
  <c r="A22" i="1"/>
  <c r="A21" i="1"/>
  <c r="F23" i="1"/>
  <c r="E23" i="1"/>
  <c r="D23" i="1"/>
  <c r="C23" i="1"/>
  <c r="B23" i="1"/>
  <c r="F22" i="1"/>
  <c r="E22" i="1"/>
  <c r="D22" i="1"/>
  <c r="C22" i="1"/>
  <c r="B22" i="1"/>
  <c r="F21" i="1"/>
  <c r="E21" i="1"/>
  <c r="D21" i="1"/>
  <c r="C21" i="1"/>
  <c r="B21" i="1"/>
  <c r="F20" i="1"/>
</calcChain>
</file>

<file path=xl/connections.xml><?xml version="1.0" encoding="utf-8"?>
<connections xmlns="http://schemas.openxmlformats.org/spreadsheetml/2006/main">
  <connection id="1" name="Connection" type="6" refreshedVersion="6" background="1" saveData="1">
    <textPr sourceFile="C:\Users\t35brown\Documents\bitbucket\setbench\microbench\experiments\istree_exp2_memory_static\memory_static.csv" comma="1">
      <textFields>
        <textField/>
      </textFields>
    </textPr>
  </connection>
  <connection id="2" name="Connection7" type="6" refreshedVersion="5"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<sst xmlns="http://schemas.openxmlformats.org/spreadsheetml/2006/main" count="364" uniqueCount="124">
  <si>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</si>
  <si>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</si>
  <si>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</si>
  <si>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</si>
  <si>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</si>
  <si>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</si>
  <si>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</si>
  <si>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</si>
  <si>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</si>
  <si>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</si>
  <si>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</si>
  <si>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</si>
  <si>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</si>
  <si>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</si>
  <si>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</si>
  <si>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</si>
  <si>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</si>
  <si>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</si>
  <si>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</si>
  <si>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</si>
  <si>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</si>
  <si>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</si>
  <si>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</si>
  <si>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</si>
  <si>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</si>
  <si>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</si>
  <si>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</si>
  <si>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</si>
  <si>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</si>
  <si>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</si>
  <si>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</si>
  <si>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</si>
  <si>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</si>
  <si>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</si>
  <si>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</si>
  <si>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</si>
  <si>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</si>
  <si>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</si>
  <si>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</si>
  <si>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</si>
  <si>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</si>
  <si>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</si>
  <si>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</si>
  <si>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</si>
  <si>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</si>
  <si>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</si>
  <si>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</si>
  <si>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</si>
  <si>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</si>
  <si>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</si>
  <si>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</si>
  <si>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</si>
  <si>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</si>
  <si>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</si>
  <si>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</si>
  <si>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</si>
  <si>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</si>
  <si>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</si>
  <si>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</si>
  <si>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</si>
  <si>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</si>
  <si>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</si>
  <si>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brown_ext_ist_lf</t>
  </si>
  <si>
    <t>reclaimer_debra</t>
  </si>
  <si>
    <t>brown_ext_abtree_lf</t>
  </si>
  <si>
    <t>bronson_pext_bst_occ</t>
  </si>
  <si>
    <t>natarajan_ext_bst_lf</t>
  </si>
  <si>
    <t>exp</t>
  </si>
  <si>
    <t>B2</t>
  </si>
  <si>
    <t>threads_final_keysum</t>
  </si>
  <si>
    <t>threads_final_size</t>
  </si>
  <si>
    <t>final_size</t>
  </si>
  <si>
    <t>validate_result</t>
  </si>
  <si>
    <t>success</t>
  </si>
  <si>
    <t>maxresident_mb</t>
  </si>
  <si>
    <t>prefill_elapsed_ms</t>
  </si>
  <si>
    <t>tree_stats_sizeInBytes</t>
  </si>
  <si>
    <t>memory_static/step10001.txt</t>
  </si>
  <si>
    <t>memory_static/step10002.txt</t>
  </si>
  <si>
    <t>memory_static/step10003.txt</t>
  </si>
  <si>
    <t>memory_static/step10004.txt</t>
  </si>
  <si>
    <t>memory_static/step10005.txt</t>
  </si>
  <si>
    <t>memory_static/step10006.txt</t>
  </si>
  <si>
    <t>memory_static/step10007.txt</t>
  </si>
  <si>
    <t>memory_static/step10008.txt</t>
  </si>
  <si>
    <t>memory_static/step10009.txt</t>
  </si>
  <si>
    <t>memory_static/step10010.txt</t>
  </si>
  <si>
    <t>memory_static/step10011.txt</t>
  </si>
  <si>
    <t>memory_static/step10012.txt</t>
  </si>
  <si>
    <t>memory_static/step10013.txt</t>
  </si>
  <si>
    <t>memory_static/step10014.txt</t>
  </si>
  <si>
    <t>memory_static/step10015.txt</t>
  </si>
  <si>
    <t>memory_static/step10016.txt</t>
  </si>
  <si>
    <t>memory_static/step10017.txt</t>
  </si>
  <si>
    <t>memory_static/step10018.txt</t>
  </si>
  <si>
    <t>memory_static/step10019.txt</t>
  </si>
  <si>
    <t>memory_static/step10020.txt</t>
  </si>
  <si>
    <t>memory_static/step10021.txt</t>
  </si>
  <si>
    <t>memory_static/step10022.txt</t>
  </si>
  <si>
    <t>memory_static/step10023.txt</t>
  </si>
  <si>
    <t>memory_static/step10024.txt</t>
  </si>
  <si>
    <t>memory_static/step10025.txt</t>
  </si>
  <si>
    <t>memory_static/step10026.txt</t>
  </si>
  <si>
    <t>memory_static/step10027.txt</t>
  </si>
  <si>
    <t>memory_static/step10028.txt</t>
  </si>
  <si>
    <t>memory_static/step10029.txt</t>
  </si>
  <si>
    <t>memory_static/step10030.txt</t>
  </si>
  <si>
    <t>memory_static/step10031.txt</t>
  </si>
  <si>
    <t>memory_static/step10032.txt</t>
  </si>
  <si>
    <t>memory_static/step10033.txt</t>
  </si>
  <si>
    <t>memory_static/step10034.txt</t>
  </si>
  <si>
    <t>memory_static/step10035.txt</t>
  </si>
  <si>
    <t>memory_static/step10036.txt</t>
  </si>
  <si>
    <t>memory_static/step10037.txt</t>
  </si>
  <si>
    <t>memory_static/step10038.txt</t>
  </si>
  <si>
    <t>memory_static/step10039.txt</t>
  </si>
  <si>
    <t>memory_static/step10040.txt</t>
  </si>
  <si>
    <t>Average of tree_stats_sizeInBytes</t>
  </si>
  <si>
    <t>StdDev of tree_stats_sizeInBytes</t>
  </si>
  <si>
    <t>NM</t>
  </si>
  <si>
    <t>BCCO</t>
  </si>
  <si>
    <t>ABTree</t>
  </si>
  <si>
    <t>ISTree</t>
  </si>
  <si>
    <t>u=40%, k=2x10^9, 190 threads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</si>
</sst>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5" fillId="0" borderId="0" applyFont="0" applyFill="0" applyBorder="0" applyAlignment="0" applyProtection="0"/>
  </cellStyleXfs>
  <cellXfs count="9">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1" fontId="0" fillId="0" borderId="0" xfId="0" applyNumberFormat="1"/>
    <xf numFmtId="164" fontId="0" fillId="0" borderId="0" xfId="1" applyNumberFormat="1" applyFont="1"/>
  </cellXfs>
  <cellStyles count="2">
    <cellStyle name="Normal" xfId="0" builtinId="0"/>
    <cellStyle name="Percent" xfId="1" builtinId="5"/>
  </cellStyles>
  <dxfs count="4">
    <dxf>
      <numFmt numFmtId="1" formatCode="0"/>
    </dxf>
    <dxf>
      <numFmt numFmtId="165" formatCode="0.0"/>
    </dxf>
    <dxf>
      <numFmt numFmtId="1" formatCode="0"/>
    </dxf>
    <dxf>
      <numFmt numFmtId="165"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pivot!$B$2</c:f>
          <c:strCache>
            <c:ptCount val="1"/>
            <c:pt idx="0">
              <c:v>u=40%, k=2x10^9, 190 threads</c:v>
            </c:pt>
          </c:strCache>
        </c:strRef>
      </c:tx>
      <c:layout/>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pivot!$B$20</c:f>
              <c:strCache>
                <c:ptCount val="1"/>
                <c:pt idx="0">
                  <c:v>NM</c:v>
                </c:pt>
              </c:strCache>
            </c:strRef>
          </c:tx>
          <c:spPr>
            <a:solidFill>
              <a:schemeClr val="accent3"/>
            </a:solidFill>
            <a:ln>
              <a:noFill/>
            </a:ln>
            <a:effectLst/>
          </c:spPr>
          <c:invertIfNegative val="0"/>
          <c:cat>
            <c:strRef>
              <c:f>pivot!$A$21</c:f>
              <c:strCache>
                <c:ptCount val="1"/>
                <c:pt idx="0">
                  <c:v>Average of tree_stats_sizeInBytes</c:v>
                </c:pt>
              </c:strCache>
            </c:strRef>
          </c:cat>
          <c:val>
            <c:numRef>
              <c:f>pivot!$B$21</c:f>
              <c:numCache>
                <c:formatCode>0</c:formatCode>
                <c:ptCount val="1"/>
                <c:pt idx="0">
                  <c:v>64000181875.199997</c:v>
                </c:pt>
              </c:numCache>
            </c:numRef>
          </c:val>
          <c:extLst>
            <c:ext xmlns:c16="http://schemas.microsoft.com/office/drawing/2014/chart" uri="{C3380CC4-5D6E-409C-BE32-E72D297353CC}">
              <c16:uniqueId val="{00000000-2CD0-447C-8E06-4DA7A6D936F5}"/>
            </c:ext>
          </c:extLst>
        </c:ser>
        <c:ser>
          <c:idx val="0"/>
          <c:order val="1"/>
          <c:tx>
            <c:strRef>
              <c:f>pivot!$C$20</c:f>
              <c:strCache>
                <c:ptCount val="1"/>
                <c:pt idx="0">
                  <c:v>BCCO</c:v>
                </c:pt>
              </c:strCache>
            </c:strRef>
          </c:tx>
          <c:spPr>
            <a:solidFill>
              <a:schemeClr val="accent1"/>
            </a:solidFill>
            <a:ln w="76200">
              <a:noFill/>
            </a:ln>
            <a:effectLst/>
          </c:spPr>
          <c:invertIfNegative val="0"/>
          <c:cat>
            <c:strRef>
              <c:f>pivot!$A$21</c:f>
              <c:strCache>
                <c:ptCount val="1"/>
                <c:pt idx="0">
                  <c:v>Average of tree_stats_sizeInBytes</c:v>
                </c:pt>
              </c:strCache>
            </c:strRef>
          </c:cat>
          <c:val>
            <c:numRef>
              <c:f>pivot!$C$21</c:f>
              <c:numCache>
                <c:formatCode>0</c:formatCode>
                <c:ptCount val="1"/>
                <c:pt idx="0">
                  <c:v>58683848731.199997</c:v>
                </c:pt>
              </c:numCache>
            </c:numRef>
          </c:val>
          <c:extLst>
            <c:ext xmlns:c16="http://schemas.microsoft.com/office/drawing/2014/chart" uri="{C3380CC4-5D6E-409C-BE32-E72D297353CC}">
              <c16:uniqueId val="{00000001-2CD0-447C-8E06-4DA7A6D936F5}"/>
            </c:ext>
          </c:extLst>
        </c:ser>
        <c:ser>
          <c:idx val="1"/>
          <c:order val="2"/>
          <c:tx>
            <c:strRef>
              <c:f>pivot!$D$20</c:f>
              <c:strCache>
                <c:ptCount val="1"/>
                <c:pt idx="0">
                  <c:v>ABTree</c:v>
                </c:pt>
              </c:strCache>
            </c:strRef>
          </c:tx>
          <c:spPr>
            <a:solidFill>
              <a:schemeClr val="accent2"/>
            </a:solidFill>
            <a:ln w="76200">
              <a:noFill/>
            </a:ln>
            <a:effectLst/>
          </c:spPr>
          <c:invertIfNegative val="0"/>
          <c:cat>
            <c:strRef>
              <c:f>pivot!$A$21</c:f>
              <c:strCache>
                <c:ptCount val="1"/>
                <c:pt idx="0">
                  <c:v>Average of tree_stats_sizeInBytes</c:v>
                </c:pt>
              </c:strCache>
            </c:strRef>
          </c:cat>
          <c:val>
            <c:numRef>
              <c:f>pivot!$D$21</c:f>
              <c:numCache>
                <c:formatCode>0</c:formatCode>
                <c:ptCount val="1"/>
                <c:pt idx="0">
                  <c:v>33878747073.599998</c:v>
                </c:pt>
              </c:numCache>
            </c:numRef>
          </c:val>
          <c:extLst>
            <c:ext xmlns:c16="http://schemas.microsoft.com/office/drawing/2014/chart" uri="{C3380CC4-5D6E-409C-BE32-E72D297353CC}">
              <c16:uniqueId val="{00000002-2CD0-447C-8E06-4DA7A6D936F5}"/>
            </c:ext>
          </c:extLst>
        </c:ser>
        <c:ser>
          <c:idx val="3"/>
          <c:order val="3"/>
          <c:tx>
            <c:strRef>
              <c:f>pivot!$E$20</c:f>
              <c:strCache>
                <c:ptCount val="1"/>
                <c:pt idx="0">
                  <c:v>ISTree</c:v>
                </c:pt>
              </c:strCache>
            </c:strRef>
          </c:tx>
          <c:spPr>
            <a:solidFill>
              <a:schemeClr val="accent4"/>
            </a:solidFill>
            <a:ln w="76200">
              <a:noFill/>
            </a:ln>
            <a:effectLst/>
          </c:spPr>
          <c:invertIfNegative val="0"/>
          <c:cat>
            <c:strRef>
              <c:f>pivot!$A$21</c:f>
              <c:strCache>
                <c:ptCount val="1"/>
                <c:pt idx="0">
                  <c:v>Average of tree_stats_sizeInBytes</c:v>
                </c:pt>
              </c:strCache>
            </c:strRef>
          </c:cat>
          <c:val>
            <c:numRef>
              <c:f>pivot!$E$21</c:f>
              <c:numCache>
                <c:formatCode>0</c:formatCode>
                <c:ptCount val="1"/>
                <c:pt idx="0">
                  <c:v>27894340672</c:v>
                </c:pt>
              </c:numCache>
            </c:numRef>
          </c:val>
          <c:extLst>
            <c:ext xmlns:c16="http://schemas.microsoft.com/office/drawing/2014/chart" uri="{C3380CC4-5D6E-409C-BE32-E72D297353CC}">
              <c16:uniqueId val="{00000003-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minorGridlines>
          <c:spPr>
            <a:ln w="15875" cap="flat" cmpd="sng" algn="ctr">
              <a:solidFill>
                <a:schemeClr val="bg1">
                  <a:lumMod val="20000"/>
                  <a:lumOff val="80000"/>
                </a:schemeClr>
              </a:solidFill>
              <a:round/>
            </a:ln>
            <a:effectLst/>
          </c:spPr>
        </c:min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size</a:t>
                </a:r>
                <a:r>
                  <a:rPr lang="en-US" sz="4000" baseline="0">
                    <a:solidFill>
                      <a:schemeClr val="bg1"/>
                    </a:solidFill>
                  </a:rPr>
                  <a:t> of final tree in GB</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minorUnit val="2500000000"/>
        <c:dispUnits>
          <c:builtInUnit val="billions"/>
        </c:dispUnits>
      </c:valAx>
      <c:spPr>
        <a:solidFill>
          <a:srgbClr val="FFFFFF"/>
        </a:solidFill>
        <a:ln w="38100">
          <a:solidFill>
            <a:schemeClr val="bg1"/>
          </a:solidFill>
        </a:ln>
        <a:effectLst/>
      </c:spPr>
    </c:plotArea>
    <c:legend>
      <c:legendPos val="tr"/>
      <c:layout>
        <c:manualLayout>
          <c:xMode val="edge"/>
          <c:yMode val="edge"/>
          <c:x val="0.70700325257609298"/>
          <c:y val="0.15810728692314027"/>
          <c:w val="0.25323175666393738"/>
          <c:h val="0.37374673414299148"/>
        </c:manualLayout>
      </c:layout>
      <c:overlay val="1"/>
      <c:spPr>
        <a:solidFill>
          <a:srgbClr val="FFFFFF"/>
        </a:solidFill>
        <a:ln w="12700">
          <a:solidFill>
            <a:schemeClr val="bg1"/>
          </a:solid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pivot!$B$20</c:f>
              <c:strCache>
                <c:ptCount val="1"/>
                <c:pt idx="0">
                  <c:v>NM</c:v>
                </c:pt>
              </c:strCache>
            </c:strRef>
          </c:tx>
          <c:spPr>
            <a:solidFill>
              <a:schemeClr val="accent3"/>
            </a:solidFill>
            <a:ln>
              <a:noFill/>
            </a:ln>
            <a:effectLst/>
          </c:spPr>
          <c:invertIfNegative val="0"/>
          <c:cat>
            <c:strRef>
              <c:f>pivot!$A$21:$A$25</c:f>
              <c:strCache>
                <c:ptCount val="5"/>
                <c:pt idx="0">
                  <c:v>Average of tree_stats_sizeInBytes</c:v>
                </c:pt>
                <c:pt idx="1">
                  <c:v>0</c:v>
                </c:pt>
                <c:pt idx="2">
                  <c:v>0</c:v>
                </c:pt>
                <c:pt idx="3">
                  <c:v>0</c:v>
                </c:pt>
                <c:pt idx="4">
                  <c:v>0</c:v>
                </c:pt>
              </c:strCache>
            </c:strRef>
          </c:cat>
          <c:val>
            <c:numRef>
              <c:f>pivot!$B$21:$B$25</c:f>
              <c:numCache>
                <c:formatCode>0</c:formatCode>
                <c:ptCount val="5"/>
                <c:pt idx="0">
                  <c:v>64000181875.199997</c:v>
                </c:pt>
                <c:pt idx="1">
                  <c:v>0</c:v>
                </c:pt>
                <c:pt idx="2">
                  <c:v>0</c:v>
                </c:pt>
                <c:pt idx="3">
                  <c:v>0</c:v>
                </c:pt>
                <c:pt idx="4">
                  <c:v>0</c:v>
                </c:pt>
              </c:numCache>
            </c:numRef>
          </c:val>
          <c:extLst>
            <c:ext xmlns:c16="http://schemas.microsoft.com/office/drawing/2014/chart" uri="{C3380CC4-5D6E-409C-BE32-E72D297353CC}">
              <c16:uniqueId val="{00000000-501B-430B-95FC-C01CB1FD10E4}"/>
            </c:ext>
          </c:extLst>
        </c:ser>
        <c:ser>
          <c:idx val="0"/>
          <c:order val="1"/>
          <c:tx>
            <c:strRef>
              <c:f>pivot!$C$20</c:f>
              <c:strCache>
                <c:ptCount val="1"/>
                <c:pt idx="0">
                  <c:v>BCCO</c:v>
                </c:pt>
              </c:strCache>
            </c:strRef>
          </c:tx>
          <c:spPr>
            <a:solidFill>
              <a:schemeClr val="accent1"/>
            </a:solidFill>
            <a:ln w="76200">
              <a:noFill/>
            </a:ln>
            <a:effectLst/>
          </c:spPr>
          <c:invertIfNegative val="0"/>
          <c:cat>
            <c:strRef>
              <c:f>pivot!$A$21:$A$25</c:f>
              <c:strCache>
                <c:ptCount val="5"/>
                <c:pt idx="0">
                  <c:v>Average of tree_stats_sizeInBytes</c:v>
                </c:pt>
                <c:pt idx="1">
                  <c:v>0</c:v>
                </c:pt>
                <c:pt idx="2">
                  <c:v>0</c:v>
                </c:pt>
                <c:pt idx="3">
                  <c:v>0</c:v>
                </c:pt>
                <c:pt idx="4">
                  <c:v>0</c:v>
                </c:pt>
              </c:strCache>
            </c:strRef>
          </c:cat>
          <c:val>
            <c:numRef>
              <c:f>pivot!$C$21:$C$25</c:f>
              <c:numCache>
                <c:formatCode>0</c:formatCode>
                <c:ptCount val="5"/>
                <c:pt idx="0">
                  <c:v>58683848731.199997</c:v>
                </c:pt>
                <c:pt idx="1">
                  <c:v>0</c:v>
                </c:pt>
                <c:pt idx="2">
                  <c:v>0</c:v>
                </c:pt>
                <c:pt idx="3">
                  <c:v>0</c:v>
                </c:pt>
                <c:pt idx="4">
                  <c:v>0</c:v>
                </c:pt>
              </c:numCache>
            </c:numRef>
          </c:val>
          <c:extLst>
            <c:ext xmlns:c16="http://schemas.microsoft.com/office/drawing/2014/chart" uri="{C3380CC4-5D6E-409C-BE32-E72D297353CC}">
              <c16:uniqueId val="{00000001-501B-430B-95FC-C01CB1FD10E4}"/>
            </c:ext>
          </c:extLst>
        </c:ser>
        <c:ser>
          <c:idx val="1"/>
          <c:order val="2"/>
          <c:tx>
            <c:strRef>
              <c:f>pivot!$D$20</c:f>
              <c:strCache>
                <c:ptCount val="1"/>
                <c:pt idx="0">
                  <c:v>ABTree</c:v>
                </c:pt>
              </c:strCache>
            </c:strRef>
          </c:tx>
          <c:spPr>
            <a:solidFill>
              <a:schemeClr val="accent2"/>
            </a:solidFill>
            <a:ln w="76200">
              <a:noFill/>
            </a:ln>
            <a:effectLst/>
          </c:spPr>
          <c:invertIfNegative val="0"/>
          <c:cat>
            <c:strRef>
              <c:f>pivot!$A$21:$A$25</c:f>
              <c:strCache>
                <c:ptCount val="5"/>
                <c:pt idx="0">
                  <c:v>Average of tree_stats_sizeInBytes</c:v>
                </c:pt>
                <c:pt idx="1">
                  <c:v>0</c:v>
                </c:pt>
                <c:pt idx="2">
                  <c:v>0</c:v>
                </c:pt>
                <c:pt idx="3">
                  <c:v>0</c:v>
                </c:pt>
                <c:pt idx="4">
                  <c:v>0</c:v>
                </c:pt>
              </c:strCache>
            </c:strRef>
          </c:cat>
          <c:val>
            <c:numRef>
              <c:f>pivot!$D$21:$D$25</c:f>
              <c:numCache>
                <c:formatCode>0</c:formatCode>
                <c:ptCount val="5"/>
                <c:pt idx="0">
                  <c:v>33878747073.599998</c:v>
                </c:pt>
                <c:pt idx="1">
                  <c:v>0</c:v>
                </c:pt>
                <c:pt idx="2">
                  <c:v>0</c:v>
                </c:pt>
                <c:pt idx="3">
                  <c:v>0</c:v>
                </c:pt>
                <c:pt idx="4">
                  <c:v>0</c:v>
                </c:pt>
              </c:numCache>
            </c:numRef>
          </c:val>
          <c:extLst>
            <c:ext xmlns:c16="http://schemas.microsoft.com/office/drawing/2014/chart" uri="{C3380CC4-5D6E-409C-BE32-E72D297353CC}">
              <c16:uniqueId val="{00000002-501B-430B-95FC-C01CB1FD10E4}"/>
            </c:ext>
          </c:extLst>
        </c:ser>
        <c:ser>
          <c:idx val="3"/>
          <c:order val="3"/>
          <c:tx>
            <c:strRef>
              <c:f>pivot!$E$20</c:f>
              <c:strCache>
                <c:ptCount val="1"/>
                <c:pt idx="0">
                  <c:v>ISTree</c:v>
                </c:pt>
              </c:strCache>
            </c:strRef>
          </c:tx>
          <c:spPr>
            <a:solidFill>
              <a:schemeClr val="accent4"/>
            </a:solidFill>
            <a:ln w="76200">
              <a:noFill/>
            </a:ln>
            <a:effectLst/>
          </c:spPr>
          <c:invertIfNegative val="0"/>
          <c:cat>
            <c:strRef>
              <c:f>pivot!$A$21:$A$25</c:f>
              <c:strCache>
                <c:ptCount val="5"/>
                <c:pt idx="0">
                  <c:v>Average of tree_stats_sizeInBytes</c:v>
                </c:pt>
                <c:pt idx="1">
                  <c:v>0</c:v>
                </c:pt>
                <c:pt idx="2">
                  <c:v>0</c:v>
                </c:pt>
                <c:pt idx="3">
                  <c:v>0</c:v>
                </c:pt>
                <c:pt idx="4">
                  <c:v>0</c:v>
                </c:pt>
              </c:strCache>
            </c:strRef>
          </c:cat>
          <c:val>
            <c:numRef>
              <c:f>pivot!$E$21:$E$25</c:f>
              <c:numCache>
                <c:formatCode>0</c:formatCode>
                <c:ptCount val="5"/>
                <c:pt idx="0">
                  <c:v>27894340672</c:v>
                </c:pt>
                <c:pt idx="1">
                  <c:v>0</c:v>
                </c:pt>
                <c:pt idx="2">
                  <c:v>0</c:v>
                </c:pt>
                <c:pt idx="3">
                  <c:v>0</c:v>
                </c:pt>
                <c:pt idx="4">
                  <c:v>0</c:v>
                </c:pt>
              </c:numCache>
            </c:numRef>
          </c:val>
          <c:extLst>
            <c:ext xmlns:c16="http://schemas.microsoft.com/office/drawing/2014/chart" uri="{C3380CC4-5D6E-409C-BE32-E72D297353CC}">
              <c16:uniqueId val="{00000003-501B-430B-95FC-C01CB1FD10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40</xdr:col>
      <xdr:colOff>571500</xdr:colOff>
      <xdr:row>42</xdr:row>
      <xdr:rowOff>25400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20.524308217595" createdVersion="6" refreshedVersion="6" minRefreshableVersion="3" recordCount="41">
  <cacheSource type="worksheet">
    <worksheetSource ref="A1:AU1048576" sheet="data"/>
  </cacheSource>
  <cacheFields count="47">
    <cacheField name="filename" numFmtId="0">
      <sharedItems containsBlank="1"/>
    </cacheField>
    <cacheField name="DS_TYPENAME" numFmtId="0">
      <sharedItems containsBlank="1" count="5">
        <s v="brown_ext_ist_lf"/>
        <s v="brown_ext_abtree_lf"/>
        <s v="bronson_pext_bst_occ"/>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containsInteger="1" minValue="20" maxValue="20"/>
    </cacheField>
    <cacheField name="DEL" numFmtId="0">
      <sharedItems containsString="0" containsBlank="1" containsNumber="1" containsInteger="1" minValue="20"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000" maxValue="2000000000"/>
    </cacheField>
    <cacheField name="PREFILL_THREADS" numFmtId="0">
      <sharedItems containsString="0" containsBlank="1" containsNumber="1" containsInteger="1" minValue="190" maxValue="190"/>
    </cacheField>
    <cacheField name="TOTAL_THREADS" numFmtId="0">
      <sharedItems containsString="0" containsBlank="1" containsNumber="1" containsInteger="1" minValue="24" maxValue="190" count="6">
        <n v="190"/>
        <m/>
        <n v="96" u="1"/>
        <n v="48" u="1"/>
        <n v="144" u="1"/>
        <n v="24" u="1"/>
      </sharedItems>
    </cacheField>
    <cacheField name="WORK_THREADS" numFmtId="0">
      <sharedItems containsString="0" containsBlank="1" containsNumber="1" containsInteger="1" minValue="190"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995797214639296E+17" maxValue="1.00004183952947E+18"/>
    </cacheField>
    <cacheField name="threads_final_size" numFmtId="0">
      <sharedItems containsString="0" containsBlank="1" containsNumber="1" containsInteger="1" minValue="999972016" maxValue="1000035608"/>
    </cacheField>
    <cacheField name="final_keysum" numFmtId="0">
      <sharedItems containsString="0" containsBlank="1" containsNumber="1" containsInteger="1" minValue="9.9995797214639296E+17" maxValue="1.00004183952947E+18"/>
    </cacheField>
    <cacheField name="final_size" numFmtId="0">
      <sharedItems containsString="0" containsBlank="1" containsNumber="1" containsInteger="1" minValue="999972016" maxValue="1000035608"/>
    </cacheField>
    <cacheField name="validate_result" numFmtId="0">
      <sharedItems containsBlank="1"/>
    </cacheField>
    <cacheField name="tree_stats_height" numFmtId="0">
      <sharedItems containsString="0" containsBlank="1" containsNumber="1" containsInteger="1" minValue="7" maxValue="83"/>
    </cacheField>
    <cacheField name="tree_stats_numInternals" numFmtId="0">
      <sharedItems containsString="0" containsBlank="1" containsNumber="1" containsInteger="1" minValue="20663560" maxValue="1000021710"/>
    </cacheField>
    <cacheField name="tree_stats_numLeaves" numFmtId="0">
      <sharedItems containsString="0" containsBlank="1" containsNumber="1" containsInteger="1" minValue="142173573" maxValue="1151703883"/>
    </cacheField>
    <cacheField name="tree_stats_numNodes" numFmtId="0">
      <sharedItems containsString="0" containsBlank="1" containsNumber="1" containsInteger="1" minValue="162837133" maxValue="2000043421"/>
    </cacheField>
    <cacheField name="tree_stats_numKeys" numFmtId="0">
      <sharedItems containsString="0" containsBlank="1" containsNumber="1" containsInteger="1" minValue="999972016" maxValue="1000035608"/>
    </cacheField>
    <cacheField name="tree_stats_avgDegreeInternal" numFmtId="0">
      <sharedItems containsString="0" containsBlank="1" containsNumber="1" minValue="1.75319" maxValue="10.776899999999999"/>
    </cacheField>
    <cacheField name="tree_stats_avgDegreeLeaves" numFmtId="0">
      <sharedItems containsString="0" containsBlank="1" containsNumber="1" minValue="0.86831000000000003" maxValue="7.0337899999999998"/>
    </cacheField>
    <cacheField name="tree_stats_avgDegree" numFmtId="0">
      <sharedItems containsString="0" containsBlank="1" containsNumber="1" minValue="1.5" maxValue="7.1412199999999997"/>
    </cacheField>
    <cacheField name="tree_stats_avgKeyDepth" numFmtId="0">
      <sharedItems containsString="0" containsBlank="1" containsNumber="1" minValue="4.0708200000000003" maxValue="41.786999999999999"/>
    </cacheField>
    <cacheField name="tree_stats_sizeInBytes" numFmtId="0">
      <sharedItems containsString="0" containsBlank="1" containsNumber="1" containsInteger="1" minValue="27841891728" maxValue="64001389472"/>
    </cacheField>
    <cacheField name="total_find" numFmtId="0">
      <sharedItems containsString="0" containsBlank="1" containsNumber="1" containsInteger="1" minValue="612486579" maxValue="1450700987"/>
    </cacheField>
    <cacheField name="total_rq" numFmtId="0">
      <sharedItems containsString="0" containsBlank="1" containsNumber="1" containsInteger="1" minValue="0" maxValue="0"/>
    </cacheField>
    <cacheField name="total_updates" numFmtId="0">
      <sharedItems containsString="0" containsBlank="1" containsNumber="1" containsInteger="1" minValue="408357479" maxValue="967066953"/>
    </cacheField>
    <cacheField name="total_queries" numFmtId="0">
      <sharedItems containsString="0" containsBlank="1" containsNumber="1" containsInteger="1" minValue="612486579" maxValue="1450700987"/>
    </cacheField>
    <cacheField name="total_ops" numFmtId="0">
      <sharedItems containsString="0" containsBlank="1" containsNumber="1" containsInteger="1" minValue="1020844058" maxValue="2417767940"/>
    </cacheField>
    <cacheField name="find_throughput" numFmtId="0">
      <sharedItems containsString="0" containsBlank="1" containsNumber="1" containsInteger="1" minValue="20416219" maxValue="48356699"/>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13611915" maxValue="32235565"/>
    </cacheField>
    <cacheField name="query_throughput" numFmtId="0">
      <sharedItems containsString="0" containsBlank="1" containsNumber="1" containsInteger="1" minValue="20416219" maxValue="48356699"/>
    </cacheField>
    <cacheField name="total_throughput" numFmtId="0">
      <sharedItems containsString="0" containsBlank="1" containsNumber="1" containsInteger="1" minValue="34028135" maxValue="80592264"/>
    </cacheField>
    <cacheField name="PAPI_L2_TCM" numFmtId="0">
      <sharedItems containsString="0" containsBlank="1" containsNumber="1" minValue="30.539899999999999" maxValue="58.445700000000002"/>
    </cacheField>
    <cacheField name="PAPI_L3_TCM" numFmtId="0">
      <sharedItems containsString="0" containsBlank="1" containsNumber="1" minValue="19.624300000000002" maxValue="33.4069"/>
    </cacheField>
    <cacheField name="PAPI_TOT_CYC" numFmtId="0">
      <sharedItems containsString="0" containsBlank="1" containsNumber="1" minValue="5795.11" maxValue="15532.3"/>
    </cacheField>
    <cacheField name="maxresident_mb" numFmtId="0">
      <sharedItems containsString="0" containsBlank="1" containsNumber="1" containsInteger="1" minValue="62915" maxValue="120726"/>
    </cacheField>
    <cacheField name="prefill_elapsed_ms" numFmtId="0">
      <sharedItems containsString="0" containsBlank="1" containsNumber="1" containsInteger="1" minValue="8921" maxValue="6150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1">
  <r>
    <s v="memory_static/step10001.txt"/>
    <x v="0"/>
    <n v="72"/>
    <s v="reclaimer_debra"/>
    <s v="allocator_new"/>
    <s v="pool_none"/>
    <n v="30000"/>
    <n v="20"/>
    <n v="20"/>
    <n v="0"/>
    <n v="1"/>
    <n v="2000000000"/>
    <n v="190"/>
    <x v="0"/>
    <n v="190"/>
    <n v="0"/>
    <s v="insertIfAbsent"/>
    <n v="1.00003288663168E+18"/>
    <n v="1000035608"/>
    <n v="1.00003288663168E+18"/>
    <n v="1000035608"/>
    <s v="success"/>
    <n v="7"/>
    <n v="118693654"/>
    <n v="1151703883"/>
    <n v="1270397537"/>
    <n v="1000035608"/>
    <n v="10.703200000000001"/>
    <n v="0.86831000000000003"/>
    <n v="1.78718"/>
    <n v="4.0732799999999996"/>
    <n v="27975082224"/>
    <n v="1445241791"/>
    <n v="0"/>
    <n v="963495417"/>
    <n v="1445241791"/>
    <n v="2408737208"/>
    <n v="48174726"/>
    <n v="0"/>
    <n v="32116513"/>
    <n v="48174726"/>
    <n v="80291240"/>
    <n v="30.559200000000001"/>
    <n v="19.624300000000002"/>
    <n v="5801.13"/>
    <n v="120674"/>
    <n v="9079"/>
  </r>
  <r>
    <s v="memory_static/step10002.txt"/>
    <x v="1"/>
    <n v="208"/>
    <s v="reclaimer_debra"/>
    <s v="allocator_new"/>
    <s v="pool_none"/>
    <n v="30000"/>
    <n v="20"/>
    <n v="20"/>
    <n v="0"/>
    <n v="1"/>
    <n v="2000000000"/>
    <n v="190"/>
    <x v="0"/>
    <n v="190"/>
    <n v="0"/>
    <s v="insertIfAbsent"/>
    <n v="9.9998884961554906E+17"/>
    <n v="1000006605"/>
    <n v="9.9998884961554906E+17"/>
    <n v="1000006605"/>
    <s v="success"/>
    <n v="12"/>
    <n v="20668648"/>
    <n v="142200842"/>
    <n v="162869490"/>
    <n v="1000006605"/>
    <n v="7.8800299999999996"/>
    <n v="7.0323500000000001"/>
    <n v="7.1399299999999997"/>
    <n v="11"/>
    <n v="33876853920"/>
    <n v="1280082247"/>
    <n v="0"/>
    <n v="853426028"/>
    <n v="1280082247"/>
    <n v="2133508275"/>
    <n v="42669408"/>
    <n v="0"/>
    <n v="28447534"/>
    <n v="42669408"/>
    <n v="71116942"/>
    <n v="37.445999999999998"/>
    <n v="21.320399999999999"/>
    <n v="7300.01"/>
    <n v="62930"/>
    <n v="60983"/>
  </r>
  <r>
    <s v="memory_static/step10003.txt"/>
    <x v="2"/>
    <m/>
    <s v="reclaimer_debra"/>
    <s v="allocator_new"/>
    <s v="pool_none"/>
    <n v="30000"/>
    <n v="20"/>
    <n v="20"/>
    <n v="0"/>
    <n v="1"/>
    <n v="2000000000"/>
    <n v="190"/>
    <x v="0"/>
    <n v="190"/>
    <n v="0"/>
    <s v="insertIfAbsent"/>
    <n v="1.00001714657026E+18"/>
    <n v="1000010869"/>
    <n v="1.00001714657026E+18"/>
    <n v="1000010869"/>
    <s v="success"/>
    <n v="37"/>
    <n v="597680654"/>
    <n v="450185280"/>
    <n v="1047865934"/>
    <n v="1000010869"/>
    <n v="1.75322"/>
    <n v="2.22133"/>
    <n v="1.9543299999999999"/>
    <n v="29.5566"/>
    <n v="58680492304"/>
    <n v="769055604"/>
    <n v="0"/>
    <n v="512719371"/>
    <n v="769055604"/>
    <n v="1281774975"/>
    <n v="25635186"/>
    <n v="0"/>
    <n v="17090645"/>
    <n v="25635186"/>
    <n v="42725832"/>
    <n v="58.346899999999998"/>
    <n v="32.907200000000003"/>
    <n v="12372.7"/>
    <n v="69553"/>
    <n v="32807"/>
  </r>
  <r>
    <s v="memory_static/step10004.txt"/>
    <x v="3"/>
    <m/>
    <s v="reclaimer_debra"/>
    <s v="allocator_new"/>
    <s v="pool_none"/>
    <n v="30000"/>
    <n v="20"/>
    <n v="20"/>
    <n v="0"/>
    <n v="1"/>
    <n v="2000000000"/>
    <n v="190"/>
    <x v="0"/>
    <n v="190"/>
    <n v="0"/>
    <s v="insertIfAbsent"/>
    <n v="9.9999561745275802E+17"/>
    <n v="999979606"/>
    <n v="9.9999561745275802E+17"/>
    <n v="999979606"/>
    <s v="success"/>
    <n v="83"/>
    <n v="999979605"/>
    <n v="999979606"/>
    <n v="1999959211"/>
    <n v="999979606"/>
    <n v="2"/>
    <n v="1"/>
    <n v="1.5"/>
    <n v="40.490200000000002"/>
    <n v="63998694752"/>
    <n v="614257841"/>
    <n v="0"/>
    <n v="409442205"/>
    <n v="614257841"/>
    <n v="1023700046"/>
    <n v="20475261"/>
    <n v="0"/>
    <n v="13648073"/>
    <n v="20475261"/>
    <n v="34123334"/>
    <n v="57.194099999999999"/>
    <n v="33.4069"/>
    <n v="15488.3"/>
    <n v="69311"/>
    <n v="33730"/>
  </r>
  <r>
    <s v="memory_static/step10005.txt"/>
    <x v="0"/>
    <n v="72"/>
    <s v="reclaimer_debra"/>
    <s v="allocator_new"/>
    <s v="pool_none"/>
    <n v="30000"/>
    <n v="20"/>
    <n v="20"/>
    <n v="0"/>
    <n v="1"/>
    <n v="2000000000"/>
    <n v="190"/>
    <x v="0"/>
    <n v="190"/>
    <n v="0"/>
    <s v="insertIfAbsent"/>
    <n v="1.00000049270584E+18"/>
    <n v="999999807"/>
    <n v="1.00000049270584E+18"/>
    <n v="999999807"/>
    <s v="success"/>
    <n v="7"/>
    <n v="118245092"/>
    <n v="1150739140"/>
    <n v="1268984232"/>
    <n v="999999807"/>
    <n v="10.7318"/>
    <n v="0.86900699999999997"/>
    <n v="1.78803"/>
    <n v="4.0723200000000004"/>
    <n v="27922827376"/>
    <n v="1447668381"/>
    <n v="0"/>
    <n v="965168636"/>
    <n v="1447668381"/>
    <n v="2412837017"/>
    <n v="48255612"/>
    <n v="0"/>
    <n v="32172287"/>
    <n v="48255612"/>
    <n v="80427900"/>
    <n v="30.543199999999999"/>
    <n v="19.648900000000001"/>
    <n v="5803"/>
    <n v="120715"/>
    <n v="8986"/>
  </r>
  <r>
    <s v="memory_static/step10006.txt"/>
    <x v="1"/>
    <n v="208"/>
    <s v="reclaimer_debra"/>
    <s v="allocator_new"/>
    <s v="pool_none"/>
    <n v="30000"/>
    <n v="20"/>
    <n v="20"/>
    <n v="0"/>
    <n v="1"/>
    <n v="2000000000"/>
    <n v="190"/>
    <x v="0"/>
    <n v="190"/>
    <n v="0"/>
    <s v="insertIfAbsent"/>
    <n v="1.00000687029269E+18"/>
    <n v="1000018420"/>
    <n v="1.00000687029269E+18"/>
    <n v="1000018420"/>
    <s v="success"/>
    <n v="12"/>
    <n v="20663560"/>
    <n v="142173573"/>
    <n v="162837133"/>
    <n v="1000018420"/>
    <n v="7.8803999999999998"/>
    <n v="7.0337899999999998"/>
    <n v="7.1412199999999997"/>
    <n v="11"/>
    <n v="33870123664"/>
    <n v="1276062737"/>
    <n v="0"/>
    <n v="850666521"/>
    <n v="1276062737"/>
    <n v="2126729258"/>
    <n v="42535424"/>
    <n v="0"/>
    <n v="28355550"/>
    <n v="42535424"/>
    <n v="70890975"/>
    <n v="37.436500000000002"/>
    <n v="21.309000000000001"/>
    <n v="7300.75"/>
    <n v="62976"/>
    <n v="61349"/>
  </r>
  <r>
    <s v="memory_static/step10007.txt"/>
    <x v="2"/>
    <m/>
    <s v="reclaimer_debra"/>
    <s v="allocator_new"/>
    <s v="pool_none"/>
    <n v="30000"/>
    <n v="20"/>
    <n v="20"/>
    <n v="0"/>
    <n v="1"/>
    <n v="2000000000"/>
    <n v="190"/>
    <x v="0"/>
    <n v="190"/>
    <n v="0"/>
    <s v="insertIfAbsent"/>
    <n v="1.00004089806648E+18"/>
    <n v="1000029103"/>
    <n v="1.00004089806648E+18"/>
    <n v="1000029103"/>
    <s v="success"/>
    <n v="37"/>
    <n v="597745523"/>
    <n v="450243752"/>
    <n v="1047989275"/>
    <n v="1000029103"/>
    <n v="1.7532399999999999"/>
    <n v="2.2210800000000002"/>
    <n v="1.95424"/>
    <n v="29.5824"/>
    <n v="58687399400"/>
    <n v="769760730"/>
    <n v="0"/>
    <n v="513166192"/>
    <n v="769760730"/>
    <n v="1282926922"/>
    <n v="25658691"/>
    <n v="0"/>
    <n v="17105539"/>
    <n v="25658691"/>
    <n v="42764230"/>
    <n v="57.907800000000002"/>
    <n v="32.903199999999998"/>
    <n v="12362.1"/>
    <n v="69558"/>
    <n v="32876"/>
  </r>
  <r>
    <s v="memory_static/step10008.txt"/>
    <x v="3"/>
    <m/>
    <s v="reclaimer_debra"/>
    <s v="allocator_new"/>
    <s v="pool_none"/>
    <n v="30000"/>
    <n v="20"/>
    <n v="20"/>
    <n v="0"/>
    <n v="1"/>
    <n v="2000000000"/>
    <n v="190"/>
    <x v="0"/>
    <n v="190"/>
    <n v="0"/>
    <s v="insertIfAbsent"/>
    <n v="1.00002132983641E+18"/>
    <n v="999993227"/>
    <n v="1.00002132983641E+18"/>
    <n v="999993227"/>
    <s v="success"/>
    <n v="76"/>
    <n v="999993226"/>
    <n v="999993227"/>
    <n v="1999986453"/>
    <n v="999993227"/>
    <n v="2"/>
    <n v="1"/>
    <n v="1.5"/>
    <n v="40.215699999999998"/>
    <n v="63999566496"/>
    <n v="614876378"/>
    <n v="0"/>
    <n v="409891293"/>
    <n v="614876378"/>
    <n v="1024767671"/>
    <n v="20495879"/>
    <n v="0"/>
    <n v="13663043"/>
    <n v="20495879"/>
    <n v="34158922"/>
    <n v="57.078699999999998"/>
    <n v="33.394599999999997"/>
    <n v="15471.5"/>
    <n v="69318"/>
    <n v="33658"/>
  </r>
  <r>
    <s v="memory_static/step10009.txt"/>
    <x v="0"/>
    <n v="72"/>
    <s v="reclaimer_debra"/>
    <s v="allocator_new"/>
    <s v="pool_none"/>
    <n v="30000"/>
    <n v="20"/>
    <n v="20"/>
    <n v="0"/>
    <n v="1"/>
    <n v="2000000000"/>
    <n v="190"/>
    <x v="0"/>
    <n v="190"/>
    <n v="0"/>
    <s v="insertIfAbsent"/>
    <n v="9.9999114646661504E+17"/>
    <n v="999999125"/>
    <n v="9.9999114646661504E+17"/>
    <n v="999999125"/>
    <s v="success"/>
    <n v="7"/>
    <n v="117793206"/>
    <n v="1149781503"/>
    <n v="1267574709"/>
    <n v="999999125"/>
    <n v="10.760999999999999"/>
    <n v="0.86973"/>
    <n v="1.78891"/>
    <n v="4.0713400000000002"/>
    <n v="27870592896"/>
    <n v="1449801234"/>
    <n v="0"/>
    <n v="966544436"/>
    <n v="1449801234"/>
    <n v="2416345670"/>
    <n v="48326707"/>
    <n v="0"/>
    <n v="32218147"/>
    <n v="48326707"/>
    <n v="80544855"/>
    <n v="30.543500000000002"/>
    <n v="19.662400000000002"/>
    <n v="5800.29"/>
    <n v="120708"/>
    <n v="9020"/>
  </r>
  <r>
    <s v="memory_static/step10010.txt"/>
    <x v="1"/>
    <n v="208"/>
    <s v="reclaimer_debra"/>
    <s v="allocator_new"/>
    <s v="pool_none"/>
    <n v="30000"/>
    <n v="20"/>
    <n v="20"/>
    <n v="0"/>
    <n v="1"/>
    <n v="2000000000"/>
    <n v="190"/>
    <x v="0"/>
    <n v="190"/>
    <n v="0"/>
    <s v="insertIfAbsent"/>
    <n v="1.00004183952947E+18"/>
    <n v="1000029120"/>
    <n v="1.00004183952947E+18"/>
    <n v="1000029120"/>
    <s v="success"/>
    <n v="12"/>
    <n v="20668644"/>
    <n v="142204445"/>
    <n v="162873089"/>
    <n v="1000029120"/>
    <n v="7.8802000000000003"/>
    <n v="7.03233"/>
    <n v="7.1399299999999997"/>
    <n v="11"/>
    <n v="33877602512"/>
    <n v="1282196783"/>
    <n v="0"/>
    <n v="854749654"/>
    <n v="1282196783"/>
    <n v="2136946437"/>
    <n v="42739892"/>
    <n v="0"/>
    <n v="28491655"/>
    <n v="42739892"/>
    <n v="71231547"/>
    <n v="37.3232"/>
    <n v="21.312899999999999"/>
    <n v="7294.42"/>
    <n v="62979"/>
    <n v="61217"/>
  </r>
  <r>
    <s v="memory_static/step10011.txt"/>
    <x v="2"/>
    <m/>
    <s v="reclaimer_debra"/>
    <s v="allocator_new"/>
    <s v="pool_none"/>
    <n v="30000"/>
    <n v="20"/>
    <n v="20"/>
    <n v="0"/>
    <n v="1"/>
    <n v="2000000000"/>
    <n v="190"/>
    <x v="0"/>
    <n v="190"/>
    <n v="0"/>
    <s v="insertIfAbsent"/>
    <n v="1.00002673213048E+18"/>
    <n v="1000026459"/>
    <n v="1.00002673213048E+18"/>
    <n v="1000026459"/>
    <s v="success"/>
    <n v="37"/>
    <n v="597722415"/>
    <n v="450215042"/>
    <n v="1047937457"/>
    <n v="1000026459"/>
    <n v="1.75322"/>
    <n v="2.2212200000000002"/>
    <n v="1.95428"/>
    <n v="29.586099999999998"/>
    <n v="58684497592"/>
    <n v="769680306"/>
    <n v="0"/>
    <n v="513080259"/>
    <n v="769680306"/>
    <n v="1282760565"/>
    <n v="25656010"/>
    <n v="0"/>
    <n v="17102675"/>
    <n v="25656010"/>
    <n v="42758685"/>
    <n v="58.292700000000004"/>
    <n v="32.9011"/>
    <n v="12364.8"/>
    <n v="69554"/>
    <n v="32783"/>
  </r>
  <r>
    <s v="memory_static/step10012.txt"/>
    <x v="3"/>
    <m/>
    <s v="reclaimer_debra"/>
    <s v="allocator_new"/>
    <s v="pool_none"/>
    <n v="30000"/>
    <n v="20"/>
    <n v="20"/>
    <n v="0"/>
    <n v="1"/>
    <n v="2000000000"/>
    <n v="190"/>
    <x v="0"/>
    <n v="190"/>
    <n v="0"/>
    <s v="insertIfAbsent"/>
    <n v="1.0000023288708401E+18"/>
    <n v="1000009030"/>
    <n v="1.0000023288708401E+18"/>
    <n v="1000009030"/>
    <s v="success"/>
    <n v="79"/>
    <n v="1000009029"/>
    <n v="1000009030"/>
    <n v="2000018059"/>
    <n v="1000009030"/>
    <n v="2"/>
    <n v="1"/>
    <n v="1.5"/>
    <n v="40.461500000000001"/>
    <n v="64000577888"/>
    <n v="613397081"/>
    <n v="0"/>
    <n v="408927159"/>
    <n v="613397081"/>
    <n v="1022324240"/>
    <n v="20446569"/>
    <n v="0"/>
    <n v="13630905"/>
    <n v="20446569"/>
    <n v="34077474"/>
    <n v="57.237900000000003"/>
    <n v="33.387599999999999"/>
    <n v="15507.1"/>
    <n v="69309"/>
    <n v="33744"/>
  </r>
  <r>
    <s v="memory_static/step10013.txt"/>
    <x v="0"/>
    <n v="72"/>
    <s v="reclaimer_debra"/>
    <s v="allocator_new"/>
    <s v="pool_none"/>
    <n v="30000"/>
    <n v="20"/>
    <n v="20"/>
    <n v="0"/>
    <n v="1"/>
    <n v="2000000000"/>
    <n v="190"/>
    <x v="0"/>
    <n v="190"/>
    <n v="0"/>
    <s v="insertIfAbsent"/>
    <n v="9.9996690596472499E+17"/>
    <n v="999975314"/>
    <n v="9.9996690596472499E+17"/>
    <n v="999975314"/>
    <s v="success"/>
    <n v="7"/>
    <n v="117546667"/>
    <n v="1149243149"/>
    <n v="1266789816"/>
    <n v="999975314"/>
    <n v="10.776899999999999"/>
    <n v="0.870116"/>
    <n v="1.78938"/>
    <n v="4.0708200000000003"/>
    <n v="27841891728"/>
    <n v="1450458636"/>
    <n v="0"/>
    <n v="966935191"/>
    <n v="1450458636"/>
    <n v="2417393827"/>
    <n v="48348621"/>
    <n v="0"/>
    <n v="32231173"/>
    <n v="48348621"/>
    <n v="80579794"/>
    <n v="30.577000000000002"/>
    <n v="19.6663"/>
    <n v="5795.11"/>
    <n v="120708"/>
    <n v="9076"/>
  </r>
  <r>
    <s v="memory_static/step10014.txt"/>
    <x v="1"/>
    <n v="208"/>
    <s v="reclaimer_debra"/>
    <s v="allocator_new"/>
    <s v="pool_none"/>
    <n v="30000"/>
    <n v="20"/>
    <n v="20"/>
    <n v="0"/>
    <n v="1"/>
    <n v="2000000000"/>
    <n v="190"/>
    <x v="0"/>
    <n v="190"/>
    <n v="0"/>
    <s v="insertIfAbsent"/>
    <n v="1.00001689130843E+18"/>
    <n v="1000031408"/>
    <n v="1.00001689130843E+18"/>
    <n v="1000031408"/>
    <s v="success"/>
    <n v="12"/>
    <n v="20665770"/>
    <n v="142203788"/>
    <n v="162869558"/>
    <n v="1000031408"/>
    <n v="7.8811299999999997"/>
    <n v="7.0323799999999999"/>
    <n v="7.1400800000000002"/>
    <n v="11"/>
    <n v="33876868064"/>
    <n v="1279942019"/>
    <n v="0"/>
    <n v="853230736"/>
    <n v="1279942019"/>
    <n v="2133172755"/>
    <n v="42664733"/>
    <n v="0"/>
    <n v="28441024"/>
    <n v="42664733"/>
    <n v="71105758"/>
    <n v="37.403599999999997"/>
    <n v="21.3127"/>
    <n v="7297.78"/>
    <n v="62972"/>
    <n v="60980"/>
  </r>
  <r>
    <s v="memory_static/step10015.txt"/>
    <x v="2"/>
    <m/>
    <s v="reclaimer_debra"/>
    <s v="allocator_new"/>
    <s v="pool_none"/>
    <n v="30000"/>
    <n v="20"/>
    <n v="20"/>
    <n v="0"/>
    <n v="1"/>
    <n v="2000000000"/>
    <n v="190"/>
    <x v="0"/>
    <n v="190"/>
    <n v="0"/>
    <s v="insertIfAbsent"/>
    <n v="1.00001360805272E+18"/>
    <n v="1000018602"/>
    <n v="1.00001360805272E+18"/>
    <n v="1000018602"/>
    <s v="success"/>
    <n v="37"/>
    <n v="597680202"/>
    <n v="450165432"/>
    <n v="1047845634"/>
    <n v="1000018602"/>
    <n v="1.75319"/>
    <n v="2.2214499999999999"/>
    <n v="1.9543600000000001"/>
    <n v="29.577300000000001"/>
    <n v="58679355504"/>
    <n v="767155547"/>
    <n v="0"/>
    <n v="511465744"/>
    <n v="767155547"/>
    <n v="1278621291"/>
    <n v="25571851"/>
    <n v="0"/>
    <n v="17048858"/>
    <n v="25571851"/>
    <n v="42620709"/>
    <n v="58.445700000000002"/>
    <n v="32.897300000000001"/>
    <n v="12405.1"/>
    <n v="69543"/>
    <n v="32864"/>
  </r>
  <r>
    <s v="memory_static/step10016.txt"/>
    <x v="3"/>
    <m/>
    <s v="reclaimer_debra"/>
    <s v="allocator_new"/>
    <s v="pool_none"/>
    <n v="30000"/>
    <n v="20"/>
    <n v="20"/>
    <n v="0"/>
    <n v="1"/>
    <n v="2000000000"/>
    <n v="190"/>
    <x v="0"/>
    <n v="190"/>
    <n v="0"/>
    <s v="insertIfAbsent"/>
    <n v="9.9999227345545395E+17"/>
    <n v="1000005520"/>
    <n v="9.9999227345545395E+17"/>
    <n v="1000005520"/>
    <s v="success"/>
    <n v="79"/>
    <n v="1000005519"/>
    <n v="1000005520"/>
    <n v="2000011039"/>
    <n v="1000005520"/>
    <n v="2"/>
    <n v="1"/>
    <n v="1.5"/>
    <n v="40.917000000000002"/>
    <n v="64000353248"/>
    <n v="613104203"/>
    <n v="0"/>
    <n v="408747834"/>
    <n v="613104203"/>
    <n v="1021852037"/>
    <n v="20436806"/>
    <n v="0"/>
    <n v="13624927"/>
    <n v="20436806"/>
    <n v="34061734"/>
    <n v="57.101999999999997"/>
    <n v="33.392600000000002"/>
    <n v="15515.9"/>
    <n v="69308"/>
    <n v="33752"/>
  </r>
  <r>
    <s v="memory_static/step10017.txt"/>
    <x v="0"/>
    <n v="72"/>
    <s v="reclaimer_debra"/>
    <s v="allocator_new"/>
    <s v="pool_none"/>
    <n v="30000"/>
    <n v="20"/>
    <n v="20"/>
    <n v="0"/>
    <n v="1"/>
    <n v="2000000000"/>
    <n v="190"/>
    <x v="0"/>
    <n v="190"/>
    <n v="0"/>
    <s v="insertIfAbsent"/>
    <n v="1.00001368668999E+18"/>
    <n v="999988294"/>
    <n v="1.00001368668999E+18"/>
    <n v="999988294"/>
    <s v="success"/>
    <n v="7"/>
    <n v="117800008"/>
    <n v="1149800565"/>
    <n v="1267600573"/>
    <n v="999988294"/>
    <n v="10.7606"/>
    <n v="0.86970599999999998"/>
    <n v="1.78888"/>
    <n v="4.0713600000000003"/>
    <n v="27871528192"/>
    <n v="1449834562"/>
    <n v="0"/>
    <n v="966575154"/>
    <n v="1449834562"/>
    <n v="2416409716"/>
    <n v="48327818"/>
    <n v="0"/>
    <n v="32219171"/>
    <n v="48327818"/>
    <n v="80546990"/>
    <n v="30.589300000000001"/>
    <n v="19.667999999999999"/>
    <n v="5806.45"/>
    <n v="120726"/>
    <n v="9140"/>
  </r>
  <r>
    <s v="memory_static/step10018.txt"/>
    <x v="1"/>
    <n v="208"/>
    <s v="reclaimer_debra"/>
    <s v="allocator_new"/>
    <s v="pool_none"/>
    <n v="30000"/>
    <n v="20"/>
    <n v="20"/>
    <n v="0"/>
    <n v="1"/>
    <n v="2000000000"/>
    <n v="190"/>
    <x v="0"/>
    <n v="190"/>
    <n v="0"/>
    <s v="insertIfAbsent"/>
    <n v="1.00001504311201E+18"/>
    <n v="1000024870"/>
    <n v="1.00001504311201E+18"/>
    <n v="1000024870"/>
    <s v="success"/>
    <n v="12"/>
    <n v="20669059"/>
    <n v="142204722"/>
    <n v="162873781"/>
    <n v="1000024870"/>
    <n v="7.8800800000000004"/>
    <n v="7.0322899999999997"/>
    <n v="7.1398799999999998"/>
    <n v="11"/>
    <n v="33877746448"/>
    <n v="1281208225"/>
    <n v="0"/>
    <n v="854103560"/>
    <n v="1281208225"/>
    <n v="2135311785"/>
    <n v="42706940"/>
    <n v="0"/>
    <n v="28470118"/>
    <n v="42706940"/>
    <n v="71177059"/>
    <n v="37.424399999999999"/>
    <n v="21.320799999999998"/>
    <n v="7295.53"/>
    <n v="62949"/>
    <n v="61291"/>
  </r>
  <r>
    <s v="memory_static/step10019.txt"/>
    <x v="2"/>
    <m/>
    <s v="reclaimer_debra"/>
    <s v="allocator_new"/>
    <s v="pool_none"/>
    <n v="30000"/>
    <n v="20"/>
    <n v="20"/>
    <n v="0"/>
    <n v="1"/>
    <n v="2000000000"/>
    <n v="190"/>
    <x v="0"/>
    <n v="190"/>
    <n v="0"/>
    <s v="insertIfAbsent"/>
    <n v="1.00001959162295E+18"/>
    <n v="1000020307"/>
    <n v="1.00001959162295E+18"/>
    <n v="1000020307"/>
    <s v="success"/>
    <n v="37"/>
    <n v="597732339"/>
    <n v="450220923"/>
    <n v="1047953262"/>
    <n v="1000020307"/>
    <n v="1.7532099999999999"/>
    <n v="2.2211799999999999"/>
    <n v="1.9542600000000001"/>
    <n v="29.591899999999999"/>
    <n v="58685382672"/>
    <n v="769573952"/>
    <n v="0"/>
    <n v="513024113"/>
    <n v="769573952"/>
    <n v="1282598065"/>
    <n v="25652465"/>
    <n v="0"/>
    <n v="17100803"/>
    <n v="25652465"/>
    <n v="42753268"/>
    <n v="58.051699999999997"/>
    <n v="32.899099999999997"/>
    <n v="12365.2"/>
    <n v="69553"/>
    <n v="32770"/>
  </r>
  <r>
    <s v="memory_static/step10020.txt"/>
    <x v="3"/>
    <m/>
    <s v="reclaimer_debra"/>
    <s v="allocator_new"/>
    <s v="pool_none"/>
    <n v="30000"/>
    <n v="20"/>
    <n v="20"/>
    <n v="0"/>
    <n v="1"/>
    <n v="2000000000"/>
    <n v="190"/>
    <x v="0"/>
    <n v="190"/>
    <n v="0"/>
    <s v="insertIfAbsent"/>
    <n v="1.00002480794856E+18"/>
    <n v="1000021711"/>
    <n v="1.00002480794856E+18"/>
    <n v="1000021711"/>
    <s v="success"/>
    <n v="77"/>
    <n v="1000021710"/>
    <n v="1000021711"/>
    <n v="2000043421"/>
    <n v="1000021711"/>
    <n v="2"/>
    <n v="1"/>
    <n v="1.5"/>
    <n v="40.103499999999997"/>
    <n v="64001389472"/>
    <n v="613592130"/>
    <n v="0"/>
    <n v="409033895"/>
    <n v="613592130"/>
    <n v="1022626025"/>
    <n v="20453071"/>
    <n v="0"/>
    <n v="13634463"/>
    <n v="20453071"/>
    <n v="34087534"/>
    <n v="57.248100000000001"/>
    <n v="33.389400000000002"/>
    <n v="15506.2"/>
    <n v="69313"/>
    <n v="33760"/>
  </r>
  <r>
    <s v="memory_static/step10021.txt"/>
    <x v="0"/>
    <n v="72"/>
    <s v="reclaimer_debra"/>
    <s v="allocator_new"/>
    <s v="pool_none"/>
    <n v="30000"/>
    <n v="20"/>
    <n v="20"/>
    <n v="0"/>
    <n v="1"/>
    <n v="2000000000"/>
    <n v="190"/>
    <x v="0"/>
    <n v="190"/>
    <n v="0"/>
    <s v="insertIfAbsent"/>
    <n v="1.0000356691655E+18"/>
    <n v="1000001898"/>
    <n v="1.0000356691655E+18"/>
    <n v="1000001898"/>
    <s v="success"/>
    <n v="7"/>
    <n v="117585635"/>
    <n v="1149323715"/>
    <n v="1266909350"/>
    <n v="1000001898"/>
    <n v="10.7744"/>
    <n v="0.87007900000000005"/>
    <n v="1.78932"/>
    <n v="4.0709"/>
    <n v="27846304496"/>
    <n v="1450700987"/>
    <n v="0"/>
    <n v="967066953"/>
    <n v="1450700987"/>
    <n v="2417767940"/>
    <n v="48356699"/>
    <n v="0"/>
    <n v="32235565"/>
    <n v="48356699"/>
    <n v="80592264"/>
    <n v="30.598099999999999"/>
    <n v="19.673500000000001"/>
    <n v="5806.73"/>
    <n v="120707"/>
    <n v="9180"/>
  </r>
  <r>
    <s v="memory_static/step10022.txt"/>
    <x v="1"/>
    <n v="208"/>
    <s v="reclaimer_debra"/>
    <s v="allocator_new"/>
    <s v="pool_none"/>
    <n v="30000"/>
    <n v="20"/>
    <n v="20"/>
    <n v="0"/>
    <n v="1"/>
    <n v="2000000000"/>
    <n v="190"/>
    <x v="0"/>
    <n v="190"/>
    <n v="0"/>
    <s v="insertIfAbsent"/>
    <n v="9.9999444944142106E+17"/>
    <n v="1000000638"/>
    <n v="9.9999444944142106E+17"/>
    <n v="1000000638"/>
    <s v="success"/>
    <n v="12"/>
    <n v="20667846"/>
    <n v="142210779"/>
    <n v="162878625"/>
    <n v="1000000638"/>
    <n v="7.8807700000000001"/>
    <n v="7.0318199999999997"/>
    <n v="7.1395400000000002"/>
    <n v="11"/>
    <n v="33878754000"/>
    <n v="1280459680"/>
    <n v="0"/>
    <n v="853711674"/>
    <n v="1280459680"/>
    <n v="2134171354"/>
    <n v="42681989"/>
    <n v="0"/>
    <n v="28457055"/>
    <n v="42681989"/>
    <n v="71139045"/>
    <n v="37.3249"/>
    <n v="21.3156"/>
    <n v="7300.08"/>
    <n v="62974"/>
    <n v="61471"/>
  </r>
  <r>
    <s v="memory_static/step10023.txt"/>
    <x v="2"/>
    <m/>
    <s v="reclaimer_debra"/>
    <s v="allocator_new"/>
    <s v="pool_none"/>
    <n v="30000"/>
    <n v="20"/>
    <n v="20"/>
    <n v="0"/>
    <n v="1"/>
    <n v="2000000000"/>
    <n v="190"/>
    <x v="0"/>
    <n v="190"/>
    <n v="0"/>
    <s v="insertIfAbsent"/>
    <n v="1.0000236536009999E+18"/>
    <n v="1000033430"/>
    <n v="1.0000236536009999E+18"/>
    <n v="1000033430"/>
    <s v="success"/>
    <n v="37"/>
    <n v="597751023"/>
    <n v="450241128"/>
    <n v="1047992151"/>
    <n v="1000033430"/>
    <n v="1.7532300000000001"/>
    <n v="2.2211099999999999"/>
    <n v="1.95424"/>
    <n v="29.558700000000002"/>
    <n v="58687560456"/>
    <n v="769676102"/>
    <n v="0"/>
    <n v="513094751"/>
    <n v="769676102"/>
    <n v="1282770853"/>
    <n v="25655870"/>
    <n v="0"/>
    <n v="17103158"/>
    <n v="25655870"/>
    <n v="42759028"/>
    <n v="57.743499999999997"/>
    <n v="32.899099999999997"/>
    <n v="12363.3"/>
    <n v="69557"/>
    <n v="32712"/>
  </r>
  <r>
    <s v="memory_static/step10024.txt"/>
    <x v="3"/>
    <m/>
    <s v="reclaimer_debra"/>
    <s v="allocator_new"/>
    <s v="pool_none"/>
    <n v="30000"/>
    <n v="20"/>
    <n v="20"/>
    <n v="0"/>
    <n v="1"/>
    <n v="2000000000"/>
    <n v="190"/>
    <x v="0"/>
    <n v="190"/>
    <n v="0"/>
    <s v="insertIfAbsent"/>
    <n v="9.9999457398169997E+17"/>
    <n v="1000009617"/>
    <n v="9.9999457398169997E+17"/>
    <n v="1000009617"/>
    <s v="success"/>
    <n v="78"/>
    <n v="1000009616"/>
    <n v="1000009617"/>
    <n v="2000019233"/>
    <n v="1000009617"/>
    <n v="2"/>
    <n v="1"/>
    <n v="1.5"/>
    <n v="40.631900000000002"/>
    <n v="64000615456"/>
    <n v="613711566"/>
    <n v="0"/>
    <n v="409158913"/>
    <n v="613711566"/>
    <n v="1022870479"/>
    <n v="20457052"/>
    <n v="0"/>
    <n v="13638630"/>
    <n v="20457052"/>
    <n v="34095682"/>
    <n v="57.174399999999999"/>
    <n v="33.384599999999999"/>
    <n v="15499.6"/>
    <n v="69312"/>
    <n v="33694"/>
  </r>
  <r>
    <s v="memory_static/step10025.txt"/>
    <x v="0"/>
    <n v="72"/>
    <s v="reclaimer_debra"/>
    <s v="allocator_new"/>
    <s v="pool_none"/>
    <n v="30000"/>
    <n v="20"/>
    <n v="20"/>
    <n v="0"/>
    <n v="1"/>
    <n v="2000000000"/>
    <n v="190"/>
    <x v="0"/>
    <n v="190"/>
    <n v="0"/>
    <s v="insertIfAbsent"/>
    <n v="9.9995940378657997E+17"/>
    <n v="999972016"/>
    <n v="9.9995940378657997E+17"/>
    <n v="999972016"/>
    <s v="success"/>
    <n v="7"/>
    <n v="118218500"/>
    <n v="1150650557"/>
    <n v="1268869057"/>
    <n v="999972016"/>
    <n v="10.7333"/>
    <n v="0.86904899999999996"/>
    <n v="1.7880799999999999"/>
    <n v="4.0722699999999996"/>
    <n v="27919510368"/>
    <n v="1447841046"/>
    <n v="0"/>
    <n v="965263788"/>
    <n v="1447841046"/>
    <n v="2413104834"/>
    <n v="48261368"/>
    <n v="0"/>
    <n v="32175459"/>
    <n v="48261368"/>
    <n v="80436827"/>
    <n v="30.556899999999999"/>
    <n v="19.658100000000001"/>
    <n v="5801.64"/>
    <n v="120711"/>
    <n v="9119"/>
  </r>
  <r>
    <s v="memory_static/step10026.txt"/>
    <x v="1"/>
    <n v="208"/>
    <s v="reclaimer_debra"/>
    <s v="allocator_new"/>
    <s v="pool_none"/>
    <n v="30000"/>
    <n v="20"/>
    <n v="20"/>
    <n v="0"/>
    <n v="1"/>
    <n v="2000000000"/>
    <n v="190"/>
    <x v="0"/>
    <n v="190"/>
    <n v="0"/>
    <s v="insertIfAbsent"/>
    <n v="1.00000790485598E+18"/>
    <n v="999996486"/>
    <n v="1.00000790485598E+18"/>
    <n v="999996486"/>
    <s v="success"/>
    <n v="12"/>
    <n v="20672248"/>
    <n v="142212460"/>
    <n v="162884708"/>
    <n v="999996486"/>
    <n v="7.8793899999999999"/>
    <n v="7.0317100000000003"/>
    <n v="7.1392899999999999"/>
    <n v="11"/>
    <n v="33880019264"/>
    <n v="1281542615"/>
    <n v="0"/>
    <n v="854445347"/>
    <n v="1281542615"/>
    <n v="2135987962"/>
    <n v="42718087"/>
    <n v="0"/>
    <n v="28481511"/>
    <n v="42718087"/>
    <n v="71199598"/>
    <n v="37.3185"/>
    <n v="21.328499999999998"/>
    <n v="7293.05"/>
    <n v="62915"/>
    <n v="61506"/>
  </r>
  <r>
    <s v="memory_static/step10027.txt"/>
    <x v="2"/>
    <m/>
    <s v="reclaimer_debra"/>
    <s v="allocator_new"/>
    <s v="pool_none"/>
    <n v="30000"/>
    <n v="20"/>
    <n v="20"/>
    <n v="0"/>
    <n v="1"/>
    <n v="2000000000"/>
    <n v="190"/>
    <x v="0"/>
    <n v="190"/>
    <n v="0"/>
    <s v="insertIfAbsent"/>
    <n v="9.9999060114299302E+17"/>
    <n v="999977224"/>
    <n v="9.9999060114299302E+17"/>
    <n v="999977224"/>
    <s v="success"/>
    <n v="37"/>
    <n v="597714449"/>
    <n v="450223028"/>
    <n v="1047937477"/>
    <n v="999977224"/>
    <n v="1.7532399999999999"/>
    <n v="2.2210700000000001"/>
    <n v="1.9542299999999999"/>
    <n v="29.554099999999998"/>
    <n v="58684498712"/>
    <n v="769582372"/>
    <n v="0"/>
    <n v="513049580"/>
    <n v="769582372"/>
    <n v="1282631952"/>
    <n v="25652745"/>
    <n v="0"/>
    <n v="17101652"/>
    <n v="25652745"/>
    <n v="42754398"/>
    <n v="58.06"/>
    <n v="32.904400000000003"/>
    <n v="12365.9"/>
    <n v="69555"/>
    <n v="32791"/>
  </r>
  <r>
    <s v="memory_static/step10028.txt"/>
    <x v="3"/>
    <m/>
    <s v="reclaimer_debra"/>
    <s v="allocator_new"/>
    <s v="pool_none"/>
    <n v="30000"/>
    <n v="20"/>
    <n v="20"/>
    <n v="0"/>
    <n v="1"/>
    <n v="2000000000"/>
    <n v="190"/>
    <x v="0"/>
    <n v="190"/>
    <n v="0"/>
    <s v="insertIfAbsent"/>
    <n v="9.9998334121817395E+17"/>
    <n v="1000020367"/>
    <n v="9.9998334121817395E+17"/>
    <n v="1000020367"/>
    <s v="success"/>
    <n v="80"/>
    <n v="1000020366"/>
    <n v="1000020367"/>
    <n v="2000040733"/>
    <n v="1000020367"/>
    <n v="2"/>
    <n v="1"/>
    <n v="1.5"/>
    <n v="41.786999999999999"/>
    <n v="64001303456"/>
    <n v="613671399"/>
    <n v="0"/>
    <n v="409099092"/>
    <n v="613671399"/>
    <n v="1022770491"/>
    <n v="20455713"/>
    <n v="0"/>
    <n v="13636636"/>
    <n v="20455713"/>
    <n v="34092349"/>
    <n v="57.253799999999998"/>
    <n v="33.386899999999997"/>
    <n v="15501.6"/>
    <n v="69311"/>
    <n v="33718"/>
  </r>
  <r>
    <s v="memory_static/step10029.txt"/>
    <x v="0"/>
    <n v="72"/>
    <s v="reclaimer_debra"/>
    <s v="allocator_new"/>
    <s v="pool_none"/>
    <n v="30000"/>
    <n v="20"/>
    <n v="20"/>
    <n v="0"/>
    <n v="1"/>
    <n v="2000000000"/>
    <n v="190"/>
    <x v="0"/>
    <n v="190"/>
    <n v="0"/>
    <s v="insertIfAbsent"/>
    <n v="1.0000201139161E+18"/>
    <n v="1000006431"/>
    <n v="1.0000201139161E+18"/>
    <n v="1000006431"/>
    <s v="success"/>
    <n v="7"/>
    <n v="117945995"/>
    <n v="1150104870"/>
    <n v="1268050865"/>
    <n v="1000006431"/>
    <n v="10.751099999999999"/>
    <n v="0.86949200000000004"/>
    <n v="1.7886200000000001"/>
    <n v="4.0716700000000001"/>
    <n v="27888333632"/>
    <n v="1449011589"/>
    <n v="0"/>
    <n v="966071351"/>
    <n v="1449011589"/>
    <n v="2415082940"/>
    <n v="48300386"/>
    <n v="0"/>
    <n v="32202378"/>
    <n v="48300386"/>
    <n v="80502764"/>
    <n v="30.562000000000001"/>
    <n v="19.668399999999998"/>
    <n v="5804.06"/>
    <n v="120697"/>
    <n v="8921"/>
  </r>
  <r>
    <s v="memory_static/step10030.txt"/>
    <x v="1"/>
    <n v="208"/>
    <s v="reclaimer_debra"/>
    <s v="allocator_new"/>
    <s v="pool_none"/>
    <n v="30000"/>
    <n v="20"/>
    <n v="20"/>
    <n v="0"/>
    <n v="1"/>
    <n v="2000000000"/>
    <n v="190"/>
    <x v="0"/>
    <n v="190"/>
    <n v="0"/>
    <s v="insertIfAbsent"/>
    <n v="9.9998969694562701E+17"/>
    <n v="999995840"/>
    <n v="9.9998969694562701E+17"/>
    <n v="999995840"/>
    <s v="success"/>
    <n v="12"/>
    <n v="20672135"/>
    <n v="142232425"/>
    <n v="162904560"/>
    <n v="999995840"/>
    <n v="7.8803900000000002"/>
    <n v="7.0307199999999996"/>
    <n v="7.1385399999999999"/>
    <n v="11"/>
    <n v="33884148480"/>
    <n v="1283629024"/>
    <n v="0"/>
    <n v="855754254"/>
    <n v="1283629024"/>
    <n v="2139383278"/>
    <n v="42787634"/>
    <n v="0"/>
    <n v="28525141"/>
    <n v="42787634"/>
    <n v="71312775"/>
    <n v="37.387900000000002"/>
    <n v="21.325399999999998"/>
    <n v="7285.08"/>
    <n v="62983"/>
    <n v="61230"/>
  </r>
  <r>
    <s v="memory_static/step10031.txt"/>
    <x v="2"/>
    <m/>
    <s v="reclaimer_debra"/>
    <s v="allocator_new"/>
    <s v="pool_none"/>
    <n v="30000"/>
    <n v="20"/>
    <n v="20"/>
    <n v="0"/>
    <n v="1"/>
    <n v="2000000000"/>
    <n v="190"/>
    <x v="0"/>
    <n v="190"/>
    <n v="0"/>
    <s v="insertIfAbsent"/>
    <n v="9.9998588161237798E+17"/>
    <n v="999991474"/>
    <n v="9.9998588161237798E+17"/>
    <n v="999991474"/>
    <s v="success"/>
    <n v="37"/>
    <n v="597697989"/>
    <n v="450199837"/>
    <n v="1047897826"/>
    <n v="999991474"/>
    <n v="1.75322"/>
    <n v="2.2212200000000002"/>
    <n v="1.95428"/>
    <n v="29.602399999999999"/>
    <n v="58682278256"/>
    <n v="768830318"/>
    <n v="0"/>
    <n v="512527289"/>
    <n v="768830318"/>
    <n v="1281357607"/>
    <n v="25627677"/>
    <n v="0"/>
    <n v="17084242"/>
    <n v="25627677"/>
    <n v="42711920"/>
    <n v="58.193600000000004"/>
    <n v="32.895800000000001"/>
    <n v="12377.8"/>
    <n v="69550"/>
    <n v="32810"/>
  </r>
  <r>
    <s v="memory_static/step10032.txt"/>
    <x v="3"/>
    <m/>
    <s v="reclaimer_debra"/>
    <s v="allocator_new"/>
    <s v="pool_none"/>
    <n v="30000"/>
    <n v="20"/>
    <n v="20"/>
    <n v="0"/>
    <n v="1"/>
    <n v="2000000000"/>
    <n v="190"/>
    <x v="0"/>
    <n v="190"/>
    <n v="0"/>
    <s v="insertIfAbsent"/>
    <n v="9.9999074869060698E+17"/>
    <n v="999990564"/>
    <n v="9.9999074869060698E+17"/>
    <n v="999990564"/>
    <s v="success"/>
    <n v="79"/>
    <n v="999990563"/>
    <n v="999990564"/>
    <n v="1999981127"/>
    <n v="999990564"/>
    <n v="2"/>
    <n v="1"/>
    <n v="1.5"/>
    <n v="40.847999999999999"/>
    <n v="63999396064"/>
    <n v="612486579"/>
    <n v="0"/>
    <n v="408357479"/>
    <n v="612486579"/>
    <n v="1020844058"/>
    <n v="20416219"/>
    <n v="0"/>
    <n v="13611915"/>
    <n v="20416219"/>
    <n v="34028135"/>
    <n v="57.534700000000001"/>
    <n v="33.401899999999998"/>
    <n v="15532.3"/>
    <n v="69306"/>
    <n v="33826"/>
  </r>
  <r>
    <s v="memory_static/step10033.txt"/>
    <x v="0"/>
    <n v="72"/>
    <s v="reclaimer_debra"/>
    <s v="allocator_new"/>
    <s v="pool_none"/>
    <n v="30000"/>
    <n v="20"/>
    <n v="20"/>
    <n v="0"/>
    <n v="1"/>
    <n v="2000000000"/>
    <n v="190"/>
    <x v="0"/>
    <n v="190"/>
    <n v="0"/>
    <s v="insertIfAbsent"/>
    <n v="9.9996456167249395E+17"/>
    <n v="999978158"/>
    <n v="9.9996456167249395E+17"/>
    <n v="999978158"/>
    <s v="success"/>
    <n v="7"/>
    <n v="118255990"/>
    <n v="1150766291"/>
    <n v="1269022281"/>
    <n v="999978158"/>
    <n v="10.7311"/>
    <n v="0.86896700000000004"/>
    <n v="1.78799"/>
    <n v="4.0723399999999996"/>
    <n v="27924190304"/>
    <n v="1447625047"/>
    <n v="0"/>
    <n v="965065908"/>
    <n v="1447625047"/>
    <n v="2412690955"/>
    <n v="48254168"/>
    <n v="0"/>
    <n v="32168863"/>
    <n v="48254168"/>
    <n v="80423031"/>
    <n v="30.552"/>
    <n v="19.643999999999998"/>
    <n v="5800.34"/>
    <n v="120720"/>
    <n v="9447"/>
  </r>
  <r>
    <s v="memory_static/step10034.txt"/>
    <x v="1"/>
    <n v="208"/>
    <s v="reclaimer_debra"/>
    <s v="allocator_new"/>
    <s v="pool_none"/>
    <n v="30000"/>
    <n v="20"/>
    <n v="20"/>
    <n v="0"/>
    <n v="1"/>
    <n v="2000000000"/>
    <n v="190"/>
    <x v="0"/>
    <n v="190"/>
    <n v="0"/>
    <s v="insertIfAbsent"/>
    <n v="1.00002820500981E+18"/>
    <n v="1000023649"/>
    <n v="1.00002820500981E+18"/>
    <n v="1000023649"/>
    <s v="success"/>
    <n v="12"/>
    <n v="20671977"/>
    <n v="142233812"/>
    <n v="162905789"/>
    <n v="1000023649"/>
    <n v="7.8805100000000001"/>
    <n v="7.0308400000000004"/>
    <n v="7.1386599999999998"/>
    <n v="11"/>
    <n v="33884404112"/>
    <n v="1284433876"/>
    <n v="0"/>
    <n v="856350649"/>
    <n v="1284433876"/>
    <n v="2140784525"/>
    <n v="42814462"/>
    <n v="0"/>
    <n v="28545021"/>
    <n v="42814462"/>
    <n v="71359484"/>
    <n v="37.276499999999999"/>
    <n v="21.3339"/>
    <n v="7273.38"/>
    <n v="63015"/>
    <n v="61066"/>
  </r>
  <r>
    <s v="memory_static/step10035.txt"/>
    <x v="2"/>
    <m/>
    <s v="reclaimer_debra"/>
    <s v="allocator_new"/>
    <s v="pool_none"/>
    <n v="30000"/>
    <n v="20"/>
    <n v="20"/>
    <n v="0"/>
    <n v="1"/>
    <n v="2000000000"/>
    <n v="190"/>
    <x v="0"/>
    <n v="190"/>
    <n v="0"/>
    <s v="insertIfAbsent"/>
    <n v="1.00000625215421E+18"/>
    <n v="999999875"/>
    <n v="1.00000625215421E+18"/>
    <n v="999999875"/>
    <s v="success"/>
    <n v="37"/>
    <n v="597729318"/>
    <n v="450200806"/>
    <n v="1047930124"/>
    <n v="999999875"/>
    <n v="1.75319"/>
    <n v="2.2212299999999998"/>
    <n v="1.9542600000000001"/>
    <n v="29.573799999999999"/>
    <n v="58684086944"/>
    <n v="769014612"/>
    <n v="0"/>
    <n v="512712828"/>
    <n v="769014612"/>
    <n v="1281727440"/>
    <n v="25633820"/>
    <n v="0"/>
    <n v="17090427"/>
    <n v="25633820"/>
    <n v="42724248"/>
    <n v="58.007100000000001"/>
    <n v="32.900100000000002"/>
    <n v="12373.5"/>
    <n v="69555"/>
    <n v="32823"/>
  </r>
  <r>
    <s v="memory_static/step10036.txt"/>
    <x v="3"/>
    <m/>
    <s v="reclaimer_debra"/>
    <s v="allocator_new"/>
    <s v="pool_none"/>
    <n v="30000"/>
    <n v="20"/>
    <n v="20"/>
    <n v="0"/>
    <n v="1"/>
    <n v="2000000000"/>
    <n v="190"/>
    <x v="0"/>
    <n v="190"/>
    <n v="0"/>
    <s v="insertIfAbsent"/>
    <n v="9.99990151113472E+17"/>
    <n v="999993276"/>
    <n v="9.99990151113472E+17"/>
    <n v="999993276"/>
    <s v="success"/>
    <n v="79"/>
    <n v="999993275"/>
    <n v="999993276"/>
    <n v="1999986551"/>
    <n v="999993276"/>
    <n v="2"/>
    <n v="1"/>
    <n v="1.5"/>
    <n v="40.353299999999997"/>
    <n v="63999569632"/>
    <n v="613649113"/>
    <n v="0"/>
    <n v="409131715"/>
    <n v="613649113"/>
    <n v="1022780828"/>
    <n v="20454970"/>
    <n v="0"/>
    <n v="13637723"/>
    <n v="20454970"/>
    <n v="34092694"/>
    <n v="57.276899999999998"/>
    <n v="33.4069"/>
    <n v="15503.3"/>
    <n v="69311"/>
    <n v="33761"/>
  </r>
  <r>
    <s v="memory_static/step10037.txt"/>
    <x v="0"/>
    <n v="72"/>
    <s v="reclaimer_debra"/>
    <s v="allocator_new"/>
    <s v="pool_none"/>
    <n v="30000"/>
    <n v="20"/>
    <n v="20"/>
    <n v="0"/>
    <n v="1"/>
    <n v="2000000000"/>
    <n v="190"/>
    <x v="0"/>
    <n v="190"/>
    <n v="0"/>
    <s v="insertIfAbsent"/>
    <n v="9.9998633291702899E+17"/>
    <n v="999984684"/>
    <n v="9.9998633291702899E+17"/>
    <n v="999984684"/>
    <s v="success"/>
    <n v="7"/>
    <n v="117902473"/>
    <n v="1150006235"/>
    <n v="1267908708"/>
    <n v="999984684"/>
    <n v="10.7539"/>
    <n v="0.86954699999999996"/>
    <n v="1.7886899999999999"/>
    <n v="4.07158"/>
    <n v="27883145504"/>
    <n v="1449359905"/>
    <n v="0"/>
    <n v="966277639"/>
    <n v="1449359905"/>
    <n v="2415637544"/>
    <n v="48311996"/>
    <n v="0"/>
    <n v="32209254"/>
    <n v="48311996"/>
    <n v="80521251"/>
    <n v="30.539899999999999"/>
    <n v="19.652100000000001"/>
    <n v="5799.27"/>
    <n v="120716"/>
    <n v="9108"/>
  </r>
  <r>
    <s v="memory_static/step10038.txt"/>
    <x v="1"/>
    <n v="208"/>
    <s v="reclaimer_debra"/>
    <s v="allocator_new"/>
    <s v="pool_none"/>
    <n v="30000"/>
    <n v="20"/>
    <n v="20"/>
    <n v="0"/>
    <n v="1"/>
    <n v="2000000000"/>
    <n v="190"/>
    <x v="0"/>
    <n v="190"/>
    <n v="0"/>
    <s v="insertIfAbsent"/>
    <n v="9.9995797214639296E+17"/>
    <n v="999973655"/>
    <n v="9.9995797214639296E+17"/>
    <n v="999973655"/>
    <s v="success"/>
    <n v="12"/>
    <n v="20671026"/>
    <n v="142218158"/>
    <n v="162889184"/>
    <n v="999973655"/>
    <n v="7.8800699999999999"/>
    <n v="7.0312700000000001"/>
    <n v="7.1389800000000001"/>
    <n v="11"/>
    <n v="33880950272"/>
    <n v="1282948333"/>
    <n v="0"/>
    <n v="855273563"/>
    <n v="1282948333"/>
    <n v="2138221896"/>
    <n v="42764944"/>
    <n v="0"/>
    <n v="28509118"/>
    <n v="42764944"/>
    <n v="71274063"/>
    <n v="37.359499999999997"/>
    <n v="21.303699999999999"/>
    <n v="7287.65"/>
    <n v="62931"/>
    <n v="61231"/>
  </r>
  <r>
    <s v="memory_static/step10039.txt"/>
    <x v="2"/>
    <m/>
    <s v="reclaimer_debra"/>
    <s v="allocator_new"/>
    <s v="pool_none"/>
    <n v="30000"/>
    <n v="20"/>
    <n v="20"/>
    <n v="0"/>
    <n v="1"/>
    <n v="2000000000"/>
    <n v="190"/>
    <x v="0"/>
    <n v="190"/>
    <n v="0"/>
    <s v="insertIfAbsent"/>
    <n v="9.9998217705111296E+17"/>
    <n v="999987382"/>
    <n v="9.9998217705111296E+17"/>
    <n v="999987382"/>
    <s v="success"/>
    <n v="37"/>
    <n v="597703793"/>
    <n v="450205769"/>
    <n v="1047909562"/>
    <n v="999987382"/>
    <n v="1.7532300000000001"/>
    <n v="2.2211799999999999"/>
    <n v="1.95427"/>
    <n v="29.555700000000002"/>
    <n v="58682935472"/>
    <n v="769285702"/>
    <n v="0"/>
    <n v="512848613"/>
    <n v="769285702"/>
    <n v="1282134315"/>
    <n v="25642856"/>
    <n v="0"/>
    <n v="17094953"/>
    <n v="25642856"/>
    <n v="42737810"/>
    <n v="58.136699999999998"/>
    <n v="32.906199999999998"/>
    <n v="12370.4"/>
    <n v="69554"/>
    <n v="32750"/>
  </r>
  <r>
    <s v="memory_static/step10040.txt"/>
    <x v="3"/>
    <m/>
    <s v="reclaimer_debra"/>
    <s v="allocator_new"/>
    <s v="pool_none"/>
    <n v="30000"/>
    <n v="20"/>
    <n v="20"/>
    <n v="0"/>
    <n v="1"/>
    <n v="2000000000"/>
    <n v="190"/>
    <x v="0"/>
    <n v="190"/>
    <n v="0"/>
    <s v="insertIfAbsent"/>
    <n v="9.9999249724206502E+17"/>
    <n v="1000005505"/>
    <n v="9.9999249724206502E+17"/>
    <n v="1000005505"/>
    <s v="success"/>
    <n v="79"/>
    <n v="1000005504"/>
    <n v="1000005505"/>
    <n v="2000011009"/>
    <n v="1000005505"/>
    <n v="2"/>
    <n v="1"/>
    <n v="1.5"/>
    <n v="40.869999999999997"/>
    <n v="64000352288"/>
    <n v="613426787"/>
    <n v="0"/>
    <n v="408960722"/>
    <n v="613426787"/>
    <n v="1022387509"/>
    <n v="20447559"/>
    <n v="0"/>
    <n v="13632024"/>
    <n v="20447559"/>
    <n v="34079583"/>
    <n v="57.186500000000002"/>
    <n v="33.387099999999997"/>
    <n v="15507.8"/>
    <n v="69311"/>
    <n v="33743"/>
  </r>
  <r>
    <m/>
    <x v="4"/>
    <m/>
    <m/>
    <m/>
    <m/>
    <m/>
    <m/>
    <m/>
    <m/>
    <m/>
    <m/>
    <m/>
    <x v="1"/>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rowGrandTotals="0" colGrandTotals="0" itemPrintTitles="1" createdVersion="5" indent="0" outline="1" outlineData="1" multipleFieldFilters="0" chartFormat="7">
  <location ref="A32:E34" firstHeaderRow="1" firstDataRow="2" firstDataCol="1"/>
  <pivotFields count="47">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items count="6">
        <item x="1"/>
        <item m="1" x="5"/>
        <item m="1" x="3"/>
        <item m="1" x="2"/>
        <item m="1" x="4"/>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Items count="1">
    <i/>
  </rowItems>
  <colFields count="1">
    <field x="1"/>
  </colFields>
  <colItems count="4">
    <i>
      <x v="1"/>
    </i>
    <i>
      <x v="2"/>
    </i>
    <i>
      <x v="3"/>
    </i>
    <i>
      <x v="4"/>
    </i>
  </colItems>
  <dataFields count="1">
    <dataField name="StdDev of tree_stats_sizeInBytes" fld="31" subtotal="stdDev" baseField="1" baseItem="3"/>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Main" cacheId="0" applyNumberFormats="0" applyBorderFormats="0" applyFontFormats="0" applyPatternFormats="0" applyAlignmentFormats="0" applyWidthHeightFormats="1" dataCaption="Values" updatedVersion="6" minRefreshableVersion="3" rowGrandTotals="0" colGrandTotals="0" itemPrintTitles="1" createdVersion="5" indent="0" outline="1" outlineData="1" multipleFieldFilters="0" chartFormat="7">
  <location ref="A4:E6" firstHeaderRow="1" firstDataRow="2" firstDataCol="1"/>
  <pivotFields count="47">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items count="6">
        <item x="1"/>
        <item m="1" x="5"/>
        <item m="1" x="3"/>
        <item m="1" x="2"/>
        <item m="1" x="4"/>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Items count="1">
    <i/>
  </rowItems>
  <colFields count="1">
    <field x="1"/>
  </colFields>
  <colItems count="4">
    <i>
      <x v="1"/>
    </i>
    <i>
      <x v="2"/>
    </i>
    <i>
      <x v="3"/>
    </i>
    <i>
      <x v="4"/>
    </i>
  </colItems>
  <dataFields count="1">
    <dataField name="Average of tree_stats_sizeInBytes" fld="31" subtotal="average" baseField="1" baseItem="4"/>
  </dataFields>
  <formats count="2">
    <format dxfId="3">
      <pivotArea outline="0" collapsedLevelsAreSubtotals="1"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1" growShrinkType="overwriteClear" connectionId="2"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V41"/>
  <sheetViews>
    <sheetView workbookViewId="0"/>
  </sheetViews>
  <sheetFormatPr defaultRowHeight="14.6"/>
  <cols>
    <col min="1" max="1" width="25.53515625" customWidth="1"/>
    <col min="2" max="2" width="19.765625" customWidth="1"/>
    <col min="3" max="3" width="9.07421875" customWidth="1"/>
    <col min="4" max="4" width="14.3828125" bestFit="1" customWidth="1"/>
    <col min="5" max="5" width="12.53515625" customWidth="1"/>
    <col min="6" max="6" width="9.765625" customWidth="1"/>
    <col min="7" max="7" width="14.3046875" bestFit="1" customWidth="1"/>
    <col min="8" max="8" width="3.61328125" customWidth="1"/>
    <col min="9" max="9" width="3.921875" bestFit="1" customWidth="1"/>
    <col min="10" max="10" width="3.3046875" bestFit="1" customWidth="1"/>
    <col min="11" max="11" width="6.69140625" bestFit="1" customWidth="1"/>
    <col min="12" max="12" width="10.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10.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9.3046875" bestFit="1" customWidth="1"/>
    <col min="33" max="33" width="10.84375" customWidth="1"/>
    <col min="34" max="34" width="7.4609375" customWidth="1"/>
    <col min="35" max="35" width="12.3046875" customWidth="1"/>
    <col min="36" max="36" width="11.765625" customWidth="1"/>
    <col min="37" max="37" width="10.84375" customWidth="1"/>
    <col min="38" max="38" width="14.61328125" customWidth="1"/>
    <col min="39" max="39" width="13.15234375" customWidth="1"/>
    <col min="40" max="40" width="17.3046875" bestFit="1" customWidth="1"/>
    <col min="41" max="41" width="16.15234375" customWidth="1"/>
    <col min="42" max="42" width="15.23046875" customWidth="1"/>
    <col min="43" max="44" width="12.15234375" bestFit="1" customWidth="1"/>
    <col min="45" max="45" width="13.07421875" bestFit="1" customWidth="1"/>
    <col min="46" max="46" width="14.765625" bestFit="1" customWidth="1"/>
    <col min="47" max="48" width="16.3828125" bestFit="1" customWidth="1"/>
  </cols>
  <sheetData>
    <row r="1" spans="1:48">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69</v>
      </c>
      <c r="S1" t="s">
        <v>70</v>
      </c>
      <c r="T1" t="s">
        <v>45</v>
      </c>
      <c r="U1" t="s">
        <v>71</v>
      </c>
      <c r="V1" t="s">
        <v>72</v>
      </c>
      <c r="W1" t="s">
        <v>36</v>
      </c>
      <c r="X1" t="s">
        <v>37</v>
      </c>
      <c r="Y1" t="s">
        <v>38</v>
      </c>
      <c r="Z1" t="s">
        <v>39</v>
      </c>
      <c r="AA1" t="s">
        <v>40</v>
      </c>
      <c r="AB1" t="s">
        <v>41</v>
      </c>
      <c r="AC1" t="s">
        <v>42</v>
      </c>
      <c r="AD1" t="s">
        <v>43</v>
      </c>
      <c r="AE1" t="s">
        <v>44</v>
      </c>
      <c r="AF1" t="s">
        <v>76</v>
      </c>
      <c r="AG1" t="s">
        <v>46</v>
      </c>
      <c r="AH1" t="s">
        <v>47</v>
      </c>
      <c r="AI1" t="s">
        <v>48</v>
      </c>
      <c r="AJ1" t="s">
        <v>49</v>
      </c>
      <c r="AK1" t="s">
        <v>50</v>
      </c>
      <c r="AL1" t="s">
        <v>51</v>
      </c>
      <c r="AM1" t="s">
        <v>52</v>
      </c>
      <c r="AN1" t="s">
        <v>53</v>
      </c>
      <c r="AO1" t="s">
        <v>54</v>
      </c>
      <c r="AP1" t="s">
        <v>55</v>
      </c>
      <c r="AQ1" t="s">
        <v>56</v>
      </c>
      <c r="AR1" t="s">
        <v>57</v>
      </c>
      <c r="AS1" t="s">
        <v>58</v>
      </c>
      <c r="AT1" t="s">
        <v>74</v>
      </c>
      <c r="AU1" t="s">
        <v>75</v>
      </c>
      <c r="AV1" t="s">
        <v>67</v>
      </c>
    </row>
    <row r="2" spans="1:48">
      <c r="A2" t="s">
        <v>77</v>
      </c>
      <c r="B2" t="s">
        <v>62</v>
      </c>
      <c r="C2">
        <v>72</v>
      </c>
      <c r="D2" t="s">
        <v>63</v>
      </c>
      <c r="E2" t="s">
        <v>59</v>
      </c>
      <c r="F2" t="s">
        <v>60</v>
      </c>
      <c r="G2">
        <v>30000</v>
      </c>
      <c r="H2">
        <v>20</v>
      </c>
      <c r="I2">
        <v>20</v>
      </c>
      <c r="J2">
        <v>0</v>
      </c>
      <c r="K2">
        <v>1</v>
      </c>
      <c r="L2">
        <v>2000000000</v>
      </c>
      <c r="M2">
        <v>190</v>
      </c>
      <c r="N2">
        <v>190</v>
      </c>
      <c r="O2">
        <v>190</v>
      </c>
      <c r="P2">
        <v>0</v>
      </c>
      <c r="Q2" t="s">
        <v>61</v>
      </c>
      <c r="R2">
        <v>1.00003288663168E+18</v>
      </c>
      <c r="S2">
        <v>1000035608</v>
      </c>
      <c r="T2">
        <v>1.00003288663168E+18</v>
      </c>
      <c r="U2">
        <v>1000035608</v>
      </c>
      <c r="V2" t="s">
        <v>73</v>
      </c>
      <c r="W2">
        <v>7</v>
      </c>
      <c r="X2">
        <v>118693654</v>
      </c>
      <c r="Y2">
        <v>1151703883</v>
      </c>
      <c r="Z2">
        <v>1270397537</v>
      </c>
      <c r="AA2">
        <v>1000035608</v>
      </c>
      <c r="AB2">
        <v>10.703200000000001</v>
      </c>
      <c r="AC2">
        <v>0.86831000000000003</v>
      </c>
      <c r="AD2">
        <v>1.78718</v>
      </c>
      <c r="AE2">
        <v>4.0732799999999996</v>
      </c>
      <c r="AF2">
        <v>27975082224</v>
      </c>
      <c r="AG2">
        <v>1445241791</v>
      </c>
      <c r="AH2">
        <v>0</v>
      </c>
      <c r="AI2">
        <v>963495417</v>
      </c>
      <c r="AJ2">
        <v>1445241791</v>
      </c>
      <c r="AK2">
        <v>2408737208</v>
      </c>
      <c r="AL2">
        <v>48174726</v>
      </c>
      <c r="AM2">
        <v>0</v>
      </c>
      <c r="AN2">
        <v>32116513</v>
      </c>
      <c r="AO2">
        <v>48174726</v>
      </c>
      <c r="AP2">
        <v>80291240</v>
      </c>
      <c r="AQ2">
        <v>30.559200000000001</v>
      </c>
      <c r="AR2">
        <v>19.624300000000002</v>
      </c>
      <c r="AS2">
        <v>5801.13</v>
      </c>
      <c r="AT2">
        <v>120674</v>
      </c>
      <c r="AU2">
        <v>9079</v>
      </c>
      <c r="AV2" t="str">
        <f t="shared" ref="AV2:AV41" si="0">(H2+I2)&amp;"% updates, key range [0, 2*10^"&amp;LOG10(L2/2)&amp;")"</f>
        <v>40% updates, key range [0, 2*10^9)</v>
      </c>
    </row>
    <row r="3" spans="1:48">
      <c r="A3" t="s">
        <v>78</v>
      </c>
      <c r="B3" t="s">
        <v>64</v>
      </c>
      <c r="C3">
        <v>208</v>
      </c>
      <c r="D3" t="s">
        <v>63</v>
      </c>
      <c r="E3" t="s">
        <v>59</v>
      </c>
      <c r="F3" t="s">
        <v>60</v>
      </c>
      <c r="G3">
        <v>30000</v>
      </c>
      <c r="H3">
        <v>20</v>
      </c>
      <c r="I3">
        <v>20</v>
      </c>
      <c r="J3">
        <v>0</v>
      </c>
      <c r="K3">
        <v>1</v>
      </c>
      <c r="L3">
        <v>2000000000</v>
      </c>
      <c r="M3">
        <v>190</v>
      </c>
      <c r="N3">
        <v>190</v>
      </c>
      <c r="O3">
        <v>190</v>
      </c>
      <c r="P3">
        <v>0</v>
      </c>
      <c r="Q3" t="s">
        <v>61</v>
      </c>
      <c r="R3">
        <v>9.9998884961554906E+17</v>
      </c>
      <c r="S3">
        <v>1000006605</v>
      </c>
      <c r="T3">
        <v>9.9998884961554906E+17</v>
      </c>
      <c r="U3">
        <v>1000006605</v>
      </c>
      <c r="V3" t="s">
        <v>73</v>
      </c>
      <c r="W3">
        <v>12</v>
      </c>
      <c r="X3">
        <v>20668648</v>
      </c>
      <c r="Y3">
        <v>142200842</v>
      </c>
      <c r="Z3">
        <v>162869490</v>
      </c>
      <c r="AA3">
        <v>1000006605</v>
      </c>
      <c r="AB3">
        <v>7.8800299999999996</v>
      </c>
      <c r="AC3">
        <v>7.0323500000000001</v>
      </c>
      <c r="AD3">
        <v>7.1399299999999997</v>
      </c>
      <c r="AE3">
        <v>11</v>
      </c>
      <c r="AF3">
        <v>33876853920</v>
      </c>
      <c r="AG3">
        <v>1280082247</v>
      </c>
      <c r="AH3">
        <v>0</v>
      </c>
      <c r="AI3">
        <v>853426028</v>
      </c>
      <c r="AJ3">
        <v>1280082247</v>
      </c>
      <c r="AK3">
        <v>2133508275</v>
      </c>
      <c r="AL3">
        <v>42669408</v>
      </c>
      <c r="AM3">
        <v>0</v>
      </c>
      <c r="AN3">
        <v>28447534</v>
      </c>
      <c r="AO3">
        <v>42669408</v>
      </c>
      <c r="AP3">
        <v>71116942</v>
      </c>
      <c r="AQ3">
        <v>37.445999999999998</v>
      </c>
      <c r="AR3">
        <v>21.320399999999999</v>
      </c>
      <c r="AS3">
        <v>7300.01</v>
      </c>
      <c r="AT3">
        <v>62930</v>
      </c>
      <c r="AU3">
        <v>60983</v>
      </c>
      <c r="AV3" t="str">
        <f t="shared" si="0"/>
        <v>40% updates, key range [0, 2*10^9)</v>
      </c>
    </row>
    <row r="4" spans="1:48">
      <c r="A4" t="s">
        <v>79</v>
      </c>
      <c r="B4" t="s">
        <v>65</v>
      </c>
      <c r="D4" t="s">
        <v>63</v>
      </c>
      <c r="E4" t="s">
        <v>59</v>
      </c>
      <c r="F4" t="s">
        <v>60</v>
      </c>
      <c r="G4">
        <v>30000</v>
      </c>
      <c r="H4">
        <v>20</v>
      </c>
      <c r="I4">
        <v>20</v>
      </c>
      <c r="J4">
        <v>0</v>
      </c>
      <c r="K4">
        <v>1</v>
      </c>
      <c r="L4">
        <v>2000000000</v>
      </c>
      <c r="M4">
        <v>190</v>
      </c>
      <c r="N4">
        <v>190</v>
      </c>
      <c r="O4">
        <v>190</v>
      </c>
      <c r="P4">
        <v>0</v>
      </c>
      <c r="Q4" t="s">
        <v>61</v>
      </c>
      <c r="R4">
        <v>1.00001714657026E+18</v>
      </c>
      <c r="S4">
        <v>1000010869</v>
      </c>
      <c r="T4">
        <v>1.00001714657026E+18</v>
      </c>
      <c r="U4">
        <v>1000010869</v>
      </c>
      <c r="V4" t="s">
        <v>73</v>
      </c>
      <c r="W4">
        <v>37</v>
      </c>
      <c r="X4">
        <v>597680654</v>
      </c>
      <c r="Y4">
        <v>450185280</v>
      </c>
      <c r="Z4">
        <v>1047865934</v>
      </c>
      <c r="AA4">
        <v>1000010869</v>
      </c>
      <c r="AB4">
        <v>1.75322</v>
      </c>
      <c r="AC4">
        <v>2.22133</v>
      </c>
      <c r="AD4">
        <v>1.9543299999999999</v>
      </c>
      <c r="AE4">
        <v>29.5566</v>
      </c>
      <c r="AF4">
        <v>58680492304</v>
      </c>
      <c r="AG4">
        <v>769055604</v>
      </c>
      <c r="AH4">
        <v>0</v>
      </c>
      <c r="AI4">
        <v>512719371</v>
      </c>
      <c r="AJ4">
        <v>769055604</v>
      </c>
      <c r="AK4">
        <v>1281774975</v>
      </c>
      <c r="AL4">
        <v>25635186</v>
      </c>
      <c r="AM4">
        <v>0</v>
      </c>
      <c r="AN4">
        <v>17090645</v>
      </c>
      <c r="AO4">
        <v>25635186</v>
      </c>
      <c r="AP4">
        <v>42725832</v>
      </c>
      <c r="AQ4">
        <v>58.346899999999998</v>
      </c>
      <c r="AR4">
        <v>32.907200000000003</v>
      </c>
      <c r="AS4">
        <v>12372.7</v>
      </c>
      <c r="AT4">
        <v>69553</v>
      </c>
      <c r="AU4">
        <v>32807</v>
      </c>
      <c r="AV4" t="str">
        <f t="shared" si="0"/>
        <v>40% updates, key range [0, 2*10^9)</v>
      </c>
    </row>
    <row r="5" spans="1:48">
      <c r="A5" t="s">
        <v>80</v>
      </c>
      <c r="B5" t="s">
        <v>66</v>
      </c>
      <c r="D5" t="s">
        <v>63</v>
      </c>
      <c r="E5" t="s">
        <v>59</v>
      </c>
      <c r="F5" t="s">
        <v>60</v>
      </c>
      <c r="G5">
        <v>30000</v>
      </c>
      <c r="H5">
        <v>20</v>
      </c>
      <c r="I5">
        <v>20</v>
      </c>
      <c r="J5">
        <v>0</v>
      </c>
      <c r="K5">
        <v>1</v>
      </c>
      <c r="L5">
        <v>2000000000</v>
      </c>
      <c r="M5">
        <v>190</v>
      </c>
      <c r="N5">
        <v>190</v>
      </c>
      <c r="O5">
        <v>190</v>
      </c>
      <c r="P5">
        <v>0</v>
      </c>
      <c r="Q5" t="s">
        <v>61</v>
      </c>
      <c r="R5">
        <v>9.9999561745275802E+17</v>
      </c>
      <c r="S5">
        <v>999979606</v>
      </c>
      <c r="T5">
        <v>9.9999561745275802E+17</v>
      </c>
      <c r="U5">
        <v>999979606</v>
      </c>
      <c r="V5" t="s">
        <v>73</v>
      </c>
      <c r="W5">
        <v>83</v>
      </c>
      <c r="X5">
        <v>999979605</v>
      </c>
      <c r="Y5">
        <v>999979606</v>
      </c>
      <c r="Z5">
        <v>1999959211</v>
      </c>
      <c r="AA5">
        <v>999979606</v>
      </c>
      <c r="AB5">
        <v>2</v>
      </c>
      <c r="AC5">
        <v>1</v>
      </c>
      <c r="AD5">
        <v>1.5</v>
      </c>
      <c r="AE5">
        <v>40.490200000000002</v>
      </c>
      <c r="AF5">
        <v>63998694752</v>
      </c>
      <c r="AG5">
        <v>614257841</v>
      </c>
      <c r="AH5">
        <v>0</v>
      </c>
      <c r="AI5">
        <v>409442205</v>
      </c>
      <c r="AJ5">
        <v>614257841</v>
      </c>
      <c r="AK5">
        <v>1023700046</v>
      </c>
      <c r="AL5">
        <v>20475261</v>
      </c>
      <c r="AM5">
        <v>0</v>
      </c>
      <c r="AN5">
        <v>13648073</v>
      </c>
      <c r="AO5">
        <v>20475261</v>
      </c>
      <c r="AP5">
        <v>34123334</v>
      </c>
      <c r="AQ5">
        <v>57.194099999999999</v>
      </c>
      <c r="AR5">
        <v>33.4069</v>
      </c>
      <c r="AS5">
        <v>15488.3</v>
      </c>
      <c r="AT5">
        <v>69311</v>
      </c>
      <c r="AU5">
        <v>33730</v>
      </c>
      <c r="AV5" t="str">
        <f t="shared" si="0"/>
        <v>40% updates, key range [0, 2*10^9)</v>
      </c>
    </row>
    <row r="6" spans="1:48">
      <c r="A6" t="s">
        <v>81</v>
      </c>
      <c r="B6" t="s">
        <v>62</v>
      </c>
      <c r="C6">
        <v>72</v>
      </c>
      <c r="D6" t="s">
        <v>63</v>
      </c>
      <c r="E6" t="s">
        <v>59</v>
      </c>
      <c r="F6" t="s">
        <v>60</v>
      </c>
      <c r="G6">
        <v>30000</v>
      </c>
      <c r="H6">
        <v>20</v>
      </c>
      <c r="I6">
        <v>20</v>
      </c>
      <c r="J6">
        <v>0</v>
      </c>
      <c r="K6">
        <v>1</v>
      </c>
      <c r="L6">
        <v>2000000000</v>
      </c>
      <c r="M6">
        <v>190</v>
      </c>
      <c r="N6">
        <v>190</v>
      </c>
      <c r="O6">
        <v>190</v>
      </c>
      <c r="P6">
        <v>0</v>
      </c>
      <c r="Q6" t="s">
        <v>61</v>
      </c>
      <c r="R6">
        <v>1.00000049270584E+18</v>
      </c>
      <c r="S6">
        <v>999999807</v>
      </c>
      <c r="T6">
        <v>1.00000049270584E+18</v>
      </c>
      <c r="U6">
        <v>999999807</v>
      </c>
      <c r="V6" t="s">
        <v>73</v>
      </c>
      <c r="W6">
        <v>7</v>
      </c>
      <c r="X6">
        <v>118245092</v>
      </c>
      <c r="Y6">
        <v>1150739140</v>
      </c>
      <c r="Z6">
        <v>1268984232</v>
      </c>
      <c r="AA6">
        <v>999999807</v>
      </c>
      <c r="AB6">
        <v>10.7318</v>
      </c>
      <c r="AC6">
        <v>0.86900699999999997</v>
      </c>
      <c r="AD6">
        <v>1.78803</v>
      </c>
      <c r="AE6">
        <v>4.0723200000000004</v>
      </c>
      <c r="AF6">
        <v>27922827376</v>
      </c>
      <c r="AG6">
        <v>1447668381</v>
      </c>
      <c r="AH6">
        <v>0</v>
      </c>
      <c r="AI6">
        <v>965168636</v>
      </c>
      <c r="AJ6">
        <v>1447668381</v>
      </c>
      <c r="AK6">
        <v>2412837017</v>
      </c>
      <c r="AL6">
        <v>48255612</v>
      </c>
      <c r="AM6">
        <v>0</v>
      </c>
      <c r="AN6">
        <v>32172287</v>
      </c>
      <c r="AO6">
        <v>48255612</v>
      </c>
      <c r="AP6">
        <v>80427900</v>
      </c>
      <c r="AQ6">
        <v>30.543199999999999</v>
      </c>
      <c r="AR6">
        <v>19.648900000000001</v>
      </c>
      <c r="AS6">
        <v>5803</v>
      </c>
      <c r="AT6">
        <v>120715</v>
      </c>
      <c r="AU6">
        <v>8986</v>
      </c>
      <c r="AV6" t="str">
        <f t="shared" si="0"/>
        <v>40% updates, key range [0, 2*10^9)</v>
      </c>
    </row>
    <row r="7" spans="1:48">
      <c r="A7" t="s">
        <v>82</v>
      </c>
      <c r="B7" t="s">
        <v>64</v>
      </c>
      <c r="C7">
        <v>208</v>
      </c>
      <c r="D7" t="s">
        <v>63</v>
      </c>
      <c r="E7" t="s">
        <v>59</v>
      </c>
      <c r="F7" t="s">
        <v>60</v>
      </c>
      <c r="G7">
        <v>30000</v>
      </c>
      <c r="H7">
        <v>20</v>
      </c>
      <c r="I7">
        <v>20</v>
      </c>
      <c r="J7">
        <v>0</v>
      </c>
      <c r="K7">
        <v>1</v>
      </c>
      <c r="L7">
        <v>2000000000</v>
      </c>
      <c r="M7">
        <v>190</v>
      </c>
      <c r="N7">
        <v>190</v>
      </c>
      <c r="O7">
        <v>190</v>
      </c>
      <c r="P7">
        <v>0</v>
      </c>
      <c r="Q7" t="s">
        <v>61</v>
      </c>
      <c r="R7">
        <v>1.00000687029269E+18</v>
      </c>
      <c r="S7">
        <v>1000018420</v>
      </c>
      <c r="T7">
        <v>1.00000687029269E+18</v>
      </c>
      <c r="U7">
        <v>1000018420</v>
      </c>
      <c r="V7" t="s">
        <v>73</v>
      </c>
      <c r="W7">
        <v>12</v>
      </c>
      <c r="X7">
        <v>20663560</v>
      </c>
      <c r="Y7">
        <v>142173573</v>
      </c>
      <c r="Z7">
        <v>162837133</v>
      </c>
      <c r="AA7">
        <v>1000018420</v>
      </c>
      <c r="AB7">
        <v>7.8803999999999998</v>
      </c>
      <c r="AC7">
        <v>7.0337899999999998</v>
      </c>
      <c r="AD7">
        <v>7.1412199999999997</v>
      </c>
      <c r="AE7">
        <v>11</v>
      </c>
      <c r="AF7">
        <v>33870123664</v>
      </c>
      <c r="AG7">
        <v>1276062737</v>
      </c>
      <c r="AH7">
        <v>0</v>
      </c>
      <c r="AI7">
        <v>850666521</v>
      </c>
      <c r="AJ7">
        <v>1276062737</v>
      </c>
      <c r="AK7">
        <v>2126729258</v>
      </c>
      <c r="AL7">
        <v>42535424</v>
      </c>
      <c r="AM7">
        <v>0</v>
      </c>
      <c r="AN7">
        <v>28355550</v>
      </c>
      <c r="AO7">
        <v>42535424</v>
      </c>
      <c r="AP7">
        <v>70890975</v>
      </c>
      <c r="AQ7">
        <v>37.436500000000002</v>
      </c>
      <c r="AR7">
        <v>21.309000000000001</v>
      </c>
      <c r="AS7">
        <v>7300.75</v>
      </c>
      <c r="AT7">
        <v>62976</v>
      </c>
      <c r="AU7">
        <v>61349</v>
      </c>
      <c r="AV7" t="str">
        <f t="shared" si="0"/>
        <v>40% updates, key range [0, 2*10^9)</v>
      </c>
    </row>
    <row r="8" spans="1:48">
      <c r="A8" t="s">
        <v>83</v>
      </c>
      <c r="B8" t="s">
        <v>65</v>
      </c>
      <c r="D8" t="s">
        <v>63</v>
      </c>
      <c r="E8" t="s">
        <v>59</v>
      </c>
      <c r="F8" t="s">
        <v>60</v>
      </c>
      <c r="G8">
        <v>30000</v>
      </c>
      <c r="H8">
        <v>20</v>
      </c>
      <c r="I8">
        <v>20</v>
      </c>
      <c r="J8">
        <v>0</v>
      </c>
      <c r="K8">
        <v>1</v>
      </c>
      <c r="L8">
        <v>2000000000</v>
      </c>
      <c r="M8">
        <v>190</v>
      </c>
      <c r="N8">
        <v>190</v>
      </c>
      <c r="O8">
        <v>190</v>
      </c>
      <c r="P8">
        <v>0</v>
      </c>
      <c r="Q8" t="s">
        <v>61</v>
      </c>
      <c r="R8">
        <v>1.00004089806648E+18</v>
      </c>
      <c r="S8">
        <v>1000029103</v>
      </c>
      <c r="T8">
        <v>1.00004089806648E+18</v>
      </c>
      <c r="U8">
        <v>1000029103</v>
      </c>
      <c r="V8" t="s">
        <v>73</v>
      </c>
      <c r="W8">
        <v>37</v>
      </c>
      <c r="X8">
        <v>597745523</v>
      </c>
      <c r="Y8">
        <v>450243752</v>
      </c>
      <c r="Z8">
        <v>1047989275</v>
      </c>
      <c r="AA8">
        <v>1000029103</v>
      </c>
      <c r="AB8">
        <v>1.7532399999999999</v>
      </c>
      <c r="AC8">
        <v>2.2210800000000002</v>
      </c>
      <c r="AD8">
        <v>1.95424</v>
      </c>
      <c r="AE8">
        <v>29.5824</v>
      </c>
      <c r="AF8">
        <v>58687399400</v>
      </c>
      <c r="AG8">
        <v>769760730</v>
      </c>
      <c r="AH8">
        <v>0</v>
      </c>
      <c r="AI8">
        <v>513166192</v>
      </c>
      <c r="AJ8">
        <v>769760730</v>
      </c>
      <c r="AK8">
        <v>1282926922</v>
      </c>
      <c r="AL8">
        <v>25658691</v>
      </c>
      <c r="AM8">
        <v>0</v>
      </c>
      <c r="AN8">
        <v>17105539</v>
      </c>
      <c r="AO8">
        <v>25658691</v>
      </c>
      <c r="AP8">
        <v>42764230</v>
      </c>
      <c r="AQ8">
        <v>57.907800000000002</v>
      </c>
      <c r="AR8">
        <v>32.903199999999998</v>
      </c>
      <c r="AS8">
        <v>12362.1</v>
      </c>
      <c r="AT8">
        <v>69558</v>
      </c>
      <c r="AU8">
        <v>32876</v>
      </c>
      <c r="AV8" t="str">
        <f t="shared" si="0"/>
        <v>40% updates, key range [0, 2*10^9)</v>
      </c>
    </row>
    <row r="9" spans="1:48">
      <c r="A9" t="s">
        <v>84</v>
      </c>
      <c r="B9" t="s">
        <v>66</v>
      </c>
      <c r="D9" t="s">
        <v>63</v>
      </c>
      <c r="E9" t="s">
        <v>59</v>
      </c>
      <c r="F9" t="s">
        <v>60</v>
      </c>
      <c r="G9">
        <v>30000</v>
      </c>
      <c r="H9">
        <v>20</v>
      </c>
      <c r="I9">
        <v>20</v>
      </c>
      <c r="J9">
        <v>0</v>
      </c>
      <c r="K9">
        <v>1</v>
      </c>
      <c r="L9">
        <v>2000000000</v>
      </c>
      <c r="M9">
        <v>190</v>
      </c>
      <c r="N9">
        <v>190</v>
      </c>
      <c r="O9">
        <v>190</v>
      </c>
      <c r="P9">
        <v>0</v>
      </c>
      <c r="Q9" t="s">
        <v>61</v>
      </c>
      <c r="R9">
        <v>1.00002132983641E+18</v>
      </c>
      <c r="S9">
        <v>999993227</v>
      </c>
      <c r="T9">
        <v>1.00002132983641E+18</v>
      </c>
      <c r="U9">
        <v>999993227</v>
      </c>
      <c r="V9" t="s">
        <v>73</v>
      </c>
      <c r="W9">
        <v>76</v>
      </c>
      <c r="X9">
        <v>999993226</v>
      </c>
      <c r="Y9">
        <v>999993227</v>
      </c>
      <c r="Z9">
        <v>1999986453</v>
      </c>
      <c r="AA9">
        <v>999993227</v>
      </c>
      <c r="AB9">
        <v>2</v>
      </c>
      <c r="AC9">
        <v>1</v>
      </c>
      <c r="AD9">
        <v>1.5</v>
      </c>
      <c r="AE9">
        <v>40.215699999999998</v>
      </c>
      <c r="AF9">
        <v>63999566496</v>
      </c>
      <c r="AG9">
        <v>614876378</v>
      </c>
      <c r="AH9">
        <v>0</v>
      </c>
      <c r="AI9">
        <v>409891293</v>
      </c>
      <c r="AJ9">
        <v>614876378</v>
      </c>
      <c r="AK9">
        <v>1024767671</v>
      </c>
      <c r="AL9">
        <v>20495879</v>
      </c>
      <c r="AM9">
        <v>0</v>
      </c>
      <c r="AN9">
        <v>13663043</v>
      </c>
      <c r="AO9">
        <v>20495879</v>
      </c>
      <c r="AP9">
        <v>34158922</v>
      </c>
      <c r="AQ9">
        <v>57.078699999999998</v>
      </c>
      <c r="AR9">
        <v>33.394599999999997</v>
      </c>
      <c r="AS9">
        <v>15471.5</v>
      </c>
      <c r="AT9">
        <v>69318</v>
      </c>
      <c r="AU9">
        <v>33658</v>
      </c>
      <c r="AV9" t="str">
        <f t="shared" si="0"/>
        <v>40% updates, key range [0, 2*10^9)</v>
      </c>
    </row>
    <row r="10" spans="1:48">
      <c r="A10" t="s">
        <v>85</v>
      </c>
      <c r="B10" t="s">
        <v>62</v>
      </c>
      <c r="C10">
        <v>72</v>
      </c>
      <c r="D10" t="s">
        <v>63</v>
      </c>
      <c r="E10" t="s">
        <v>59</v>
      </c>
      <c r="F10" t="s">
        <v>60</v>
      </c>
      <c r="G10">
        <v>30000</v>
      </c>
      <c r="H10">
        <v>20</v>
      </c>
      <c r="I10">
        <v>20</v>
      </c>
      <c r="J10">
        <v>0</v>
      </c>
      <c r="K10">
        <v>1</v>
      </c>
      <c r="L10">
        <v>2000000000</v>
      </c>
      <c r="M10">
        <v>190</v>
      </c>
      <c r="N10">
        <v>190</v>
      </c>
      <c r="O10">
        <v>190</v>
      </c>
      <c r="P10">
        <v>0</v>
      </c>
      <c r="Q10" t="s">
        <v>61</v>
      </c>
      <c r="R10">
        <v>9.9999114646661504E+17</v>
      </c>
      <c r="S10">
        <v>999999125</v>
      </c>
      <c r="T10">
        <v>9.9999114646661504E+17</v>
      </c>
      <c r="U10">
        <v>999999125</v>
      </c>
      <c r="V10" t="s">
        <v>73</v>
      </c>
      <c r="W10">
        <v>7</v>
      </c>
      <c r="X10">
        <v>117793206</v>
      </c>
      <c r="Y10">
        <v>1149781503</v>
      </c>
      <c r="Z10">
        <v>1267574709</v>
      </c>
      <c r="AA10">
        <v>999999125</v>
      </c>
      <c r="AB10">
        <v>10.760999999999999</v>
      </c>
      <c r="AC10">
        <v>0.86973</v>
      </c>
      <c r="AD10">
        <v>1.78891</v>
      </c>
      <c r="AE10">
        <v>4.0713400000000002</v>
      </c>
      <c r="AF10">
        <v>27870592896</v>
      </c>
      <c r="AG10">
        <v>1449801234</v>
      </c>
      <c r="AH10">
        <v>0</v>
      </c>
      <c r="AI10">
        <v>966544436</v>
      </c>
      <c r="AJ10">
        <v>1449801234</v>
      </c>
      <c r="AK10">
        <v>2416345670</v>
      </c>
      <c r="AL10">
        <v>48326707</v>
      </c>
      <c r="AM10">
        <v>0</v>
      </c>
      <c r="AN10">
        <v>32218147</v>
      </c>
      <c r="AO10">
        <v>48326707</v>
      </c>
      <c r="AP10">
        <v>80544855</v>
      </c>
      <c r="AQ10">
        <v>30.543500000000002</v>
      </c>
      <c r="AR10">
        <v>19.662400000000002</v>
      </c>
      <c r="AS10">
        <v>5800.29</v>
      </c>
      <c r="AT10">
        <v>120708</v>
      </c>
      <c r="AU10">
        <v>9020</v>
      </c>
      <c r="AV10" t="str">
        <f t="shared" si="0"/>
        <v>40% updates, key range [0, 2*10^9)</v>
      </c>
    </row>
    <row r="11" spans="1:48">
      <c r="A11" t="s">
        <v>86</v>
      </c>
      <c r="B11" t="s">
        <v>64</v>
      </c>
      <c r="C11">
        <v>208</v>
      </c>
      <c r="D11" t="s">
        <v>63</v>
      </c>
      <c r="E11" t="s">
        <v>59</v>
      </c>
      <c r="F11" t="s">
        <v>60</v>
      </c>
      <c r="G11">
        <v>30000</v>
      </c>
      <c r="H11">
        <v>20</v>
      </c>
      <c r="I11">
        <v>20</v>
      </c>
      <c r="J11">
        <v>0</v>
      </c>
      <c r="K11">
        <v>1</v>
      </c>
      <c r="L11">
        <v>2000000000</v>
      </c>
      <c r="M11">
        <v>190</v>
      </c>
      <c r="N11">
        <v>190</v>
      </c>
      <c r="O11">
        <v>190</v>
      </c>
      <c r="P11">
        <v>0</v>
      </c>
      <c r="Q11" t="s">
        <v>61</v>
      </c>
      <c r="R11">
        <v>1.00004183952947E+18</v>
      </c>
      <c r="S11">
        <v>1000029120</v>
      </c>
      <c r="T11">
        <v>1.00004183952947E+18</v>
      </c>
      <c r="U11">
        <v>1000029120</v>
      </c>
      <c r="V11" t="s">
        <v>73</v>
      </c>
      <c r="W11">
        <v>12</v>
      </c>
      <c r="X11">
        <v>20668644</v>
      </c>
      <c r="Y11">
        <v>142204445</v>
      </c>
      <c r="Z11">
        <v>162873089</v>
      </c>
      <c r="AA11">
        <v>1000029120</v>
      </c>
      <c r="AB11">
        <v>7.8802000000000003</v>
      </c>
      <c r="AC11">
        <v>7.03233</v>
      </c>
      <c r="AD11">
        <v>7.1399299999999997</v>
      </c>
      <c r="AE11">
        <v>11</v>
      </c>
      <c r="AF11">
        <v>33877602512</v>
      </c>
      <c r="AG11">
        <v>1282196783</v>
      </c>
      <c r="AH11">
        <v>0</v>
      </c>
      <c r="AI11">
        <v>854749654</v>
      </c>
      <c r="AJ11">
        <v>1282196783</v>
      </c>
      <c r="AK11">
        <v>2136946437</v>
      </c>
      <c r="AL11">
        <v>42739892</v>
      </c>
      <c r="AM11">
        <v>0</v>
      </c>
      <c r="AN11">
        <v>28491655</v>
      </c>
      <c r="AO11">
        <v>42739892</v>
      </c>
      <c r="AP11">
        <v>71231547</v>
      </c>
      <c r="AQ11">
        <v>37.3232</v>
      </c>
      <c r="AR11">
        <v>21.312899999999999</v>
      </c>
      <c r="AS11">
        <v>7294.42</v>
      </c>
      <c r="AT11">
        <v>62979</v>
      </c>
      <c r="AU11">
        <v>61217</v>
      </c>
      <c r="AV11" t="str">
        <f t="shared" si="0"/>
        <v>40% updates, key range [0, 2*10^9)</v>
      </c>
    </row>
    <row r="12" spans="1:48">
      <c r="A12" t="s">
        <v>87</v>
      </c>
      <c r="B12" t="s">
        <v>65</v>
      </c>
      <c r="D12" t="s">
        <v>63</v>
      </c>
      <c r="E12" t="s">
        <v>59</v>
      </c>
      <c r="F12" t="s">
        <v>60</v>
      </c>
      <c r="G12">
        <v>30000</v>
      </c>
      <c r="H12">
        <v>20</v>
      </c>
      <c r="I12">
        <v>20</v>
      </c>
      <c r="J12">
        <v>0</v>
      </c>
      <c r="K12">
        <v>1</v>
      </c>
      <c r="L12">
        <v>2000000000</v>
      </c>
      <c r="M12">
        <v>190</v>
      </c>
      <c r="N12">
        <v>190</v>
      </c>
      <c r="O12">
        <v>190</v>
      </c>
      <c r="P12">
        <v>0</v>
      </c>
      <c r="Q12" t="s">
        <v>61</v>
      </c>
      <c r="R12">
        <v>1.00002673213048E+18</v>
      </c>
      <c r="S12">
        <v>1000026459</v>
      </c>
      <c r="T12">
        <v>1.00002673213048E+18</v>
      </c>
      <c r="U12">
        <v>1000026459</v>
      </c>
      <c r="V12" t="s">
        <v>73</v>
      </c>
      <c r="W12">
        <v>37</v>
      </c>
      <c r="X12">
        <v>597722415</v>
      </c>
      <c r="Y12">
        <v>450215042</v>
      </c>
      <c r="Z12">
        <v>1047937457</v>
      </c>
      <c r="AA12">
        <v>1000026459</v>
      </c>
      <c r="AB12">
        <v>1.75322</v>
      </c>
      <c r="AC12">
        <v>2.2212200000000002</v>
      </c>
      <c r="AD12">
        <v>1.95428</v>
      </c>
      <c r="AE12">
        <v>29.586099999999998</v>
      </c>
      <c r="AF12">
        <v>58684497592</v>
      </c>
      <c r="AG12">
        <v>769680306</v>
      </c>
      <c r="AH12">
        <v>0</v>
      </c>
      <c r="AI12">
        <v>513080259</v>
      </c>
      <c r="AJ12">
        <v>769680306</v>
      </c>
      <c r="AK12">
        <v>1282760565</v>
      </c>
      <c r="AL12">
        <v>25656010</v>
      </c>
      <c r="AM12">
        <v>0</v>
      </c>
      <c r="AN12">
        <v>17102675</v>
      </c>
      <c r="AO12">
        <v>25656010</v>
      </c>
      <c r="AP12">
        <v>42758685</v>
      </c>
      <c r="AQ12">
        <v>58.292700000000004</v>
      </c>
      <c r="AR12">
        <v>32.9011</v>
      </c>
      <c r="AS12">
        <v>12364.8</v>
      </c>
      <c r="AT12">
        <v>69554</v>
      </c>
      <c r="AU12">
        <v>32783</v>
      </c>
      <c r="AV12" t="str">
        <f t="shared" si="0"/>
        <v>40% updates, key range [0, 2*10^9)</v>
      </c>
    </row>
    <row r="13" spans="1:48">
      <c r="A13" t="s">
        <v>88</v>
      </c>
      <c r="B13" t="s">
        <v>66</v>
      </c>
      <c r="D13" t="s">
        <v>63</v>
      </c>
      <c r="E13" t="s">
        <v>59</v>
      </c>
      <c r="F13" t="s">
        <v>60</v>
      </c>
      <c r="G13">
        <v>30000</v>
      </c>
      <c r="H13">
        <v>20</v>
      </c>
      <c r="I13">
        <v>20</v>
      </c>
      <c r="J13">
        <v>0</v>
      </c>
      <c r="K13">
        <v>1</v>
      </c>
      <c r="L13">
        <v>2000000000</v>
      </c>
      <c r="M13">
        <v>190</v>
      </c>
      <c r="N13">
        <v>190</v>
      </c>
      <c r="O13">
        <v>190</v>
      </c>
      <c r="P13">
        <v>0</v>
      </c>
      <c r="Q13" t="s">
        <v>61</v>
      </c>
      <c r="R13">
        <v>1.0000023288708401E+18</v>
      </c>
      <c r="S13">
        <v>1000009030</v>
      </c>
      <c r="T13">
        <v>1.0000023288708401E+18</v>
      </c>
      <c r="U13">
        <v>1000009030</v>
      </c>
      <c r="V13" t="s">
        <v>73</v>
      </c>
      <c r="W13">
        <v>79</v>
      </c>
      <c r="X13">
        <v>1000009029</v>
      </c>
      <c r="Y13">
        <v>1000009030</v>
      </c>
      <c r="Z13">
        <v>2000018059</v>
      </c>
      <c r="AA13">
        <v>1000009030</v>
      </c>
      <c r="AB13">
        <v>2</v>
      </c>
      <c r="AC13">
        <v>1</v>
      </c>
      <c r="AD13">
        <v>1.5</v>
      </c>
      <c r="AE13">
        <v>40.461500000000001</v>
      </c>
      <c r="AF13">
        <v>64000577888</v>
      </c>
      <c r="AG13">
        <v>613397081</v>
      </c>
      <c r="AH13">
        <v>0</v>
      </c>
      <c r="AI13">
        <v>408927159</v>
      </c>
      <c r="AJ13">
        <v>613397081</v>
      </c>
      <c r="AK13">
        <v>1022324240</v>
      </c>
      <c r="AL13">
        <v>20446569</v>
      </c>
      <c r="AM13">
        <v>0</v>
      </c>
      <c r="AN13">
        <v>13630905</v>
      </c>
      <c r="AO13">
        <v>20446569</v>
      </c>
      <c r="AP13">
        <v>34077474</v>
      </c>
      <c r="AQ13">
        <v>57.237900000000003</v>
      </c>
      <c r="AR13">
        <v>33.387599999999999</v>
      </c>
      <c r="AS13">
        <v>15507.1</v>
      </c>
      <c r="AT13">
        <v>69309</v>
      </c>
      <c r="AU13">
        <v>33744</v>
      </c>
      <c r="AV13" t="str">
        <f t="shared" si="0"/>
        <v>40% updates, key range [0, 2*10^9)</v>
      </c>
    </row>
    <row r="14" spans="1:48">
      <c r="A14" t="s">
        <v>89</v>
      </c>
      <c r="B14" t="s">
        <v>62</v>
      </c>
      <c r="C14">
        <v>72</v>
      </c>
      <c r="D14" t="s">
        <v>63</v>
      </c>
      <c r="E14" t="s">
        <v>59</v>
      </c>
      <c r="F14" t="s">
        <v>60</v>
      </c>
      <c r="G14">
        <v>30000</v>
      </c>
      <c r="H14">
        <v>20</v>
      </c>
      <c r="I14">
        <v>20</v>
      </c>
      <c r="J14">
        <v>0</v>
      </c>
      <c r="K14">
        <v>1</v>
      </c>
      <c r="L14">
        <v>2000000000</v>
      </c>
      <c r="M14">
        <v>190</v>
      </c>
      <c r="N14">
        <v>190</v>
      </c>
      <c r="O14">
        <v>190</v>
      </c>
      <c r="P14">
        <v>0</v>
      </c>
      <c r="Q14" t="s">
        <v>61</v>
      </c>
      <c r="R14">
        <v>9.9996690596472499E+17</v>
      </c>
      <c r="S14">
        <v>999975314</v>
      </c>
      <c r="T14">
        <v>9.9996690596472499E+17</v>
      </c>
      <c r="U14">
        <v>999975314</v>
      </c>
      <c r="V14" t="s">
        <v>73</v>
      </c>
      <c r="W14">
        <v>7</v>
      </c>
      <c r="X14">
        <v>117546667</v>
      </c>
      <c r="Y14">
        <v>1149243149</v>
      </c>
      <c r="Z14">
        <v>1266789816</v>
      </c>
      <c r="AA14">
        <v>999975314</v>
      </c>
      <c r="AB14">
        <v>10.776899999999999</v>
      </c>
      <c r="AC14">
        <v>0.870116</v>
      </c>
      <c r="AD14">
        <v>1.78938</v>
      </c>
      <c r="AE14">
        <v>4.0708200000000003</v>
      </c>
      <c r="AF14">
        <v>27841891728</v>
      </c>
      <c r="AG14">
        <v>1450458636</v>
      </c>
      <c r="AH14">
        <v>0</v>
      </c>
      <c r="AI14">
        <v>966935191</v>
      </c>
      <c r="AJ14">
        <v>1450458636</v>
      </c>
      <c r="AK14">
        <v>2417393827</v>
      </c>
      <c r="AL14">
        <v>48348621</v>
      </c>
      <c r="AM14">
        <v>0</v>
      </c>
      <c r="AN14">
        <v>32231173</v>
      </c>
      <c r="AO14">
        <v>48348621</v>
      </c>
      <c r="AP14">
        <v>80579794</v>
      </c>
      <c r="AQ14">
        <v>30.577000000000002</v>
      </c>
      <c r="AR14">
        <v>19.6663</v>
      </c>
      <c r="AS14">
        <v>5795.11</v>
      </c>
      <c r="AT14">
        <v>120708</v>
      </c>
      <c r="AU14">
        <v>9076</v>
      </c>
      <c r="AV14" t="str">
        <f t="shared" si="0"/>
        <v>40% updates, key range [0, 2*10^9)</v>
      </c>
    </row>
    <row r="15" spans="1:48">
      <c r="A15" t="s">
        <v>90</v>
      </c>
      <c r="B15" t="s">
        <v>64</v>
      </c>
      <c r="C15">
        <v>208</v>
      </c>
      <c r="D15" t="s">
        <v>63</v>
      </c>
      <c r="E15" t="s">
        <v>59</v>
      </c>
      <c r="F15" t="s">
        <v>60</v>
      </c>
      <c r="G15">
        <v>30000</v>
      </c>
      <c r="H15">
        <v>20</v>
      </c>
      <c r="I15">
        <v>20</v>
      </c>
      <c r="J15">
        <v>0</v>
      </c>
      <c r="K15">
        <v>1</v>
      </c>
      <c r="L15">
        <v>2000000000</v>
      </c>
      <c r="M15">
        <v>190</v>
      </c>
      <c r="N15">
        <v>190</v>
      </c>
      <c r="O15">
        <v>190</v>
      </c>
      <c r="P15">
        <v>0</v>
      </c>
      <c r="Q15" t="s">
        <v>61</v>
      </c>
      <c r="R15">
        <v>1.00001689130843E+18</v>
      </c>
      <c r="S15">
        <v>1000031408</v>
      </c>
      <c r="T15">
        <v>1.00001689130843E+18</v>
      </c>
      <c r="U15">
        <v>1000031408</v>
      </c>
      <c r="V15" t="s">
        <v>73</v>
      </c>
      <c r="W15">
        <v>12</v>
      </c>
      <c r="X15">
        <v>20665770</v>
      </c>
      <c r="Y15">
        <v>142203788</v>
      </c>
      <c r="Z15">
        <v>162869558</v>
      </c>
      <c r="AA15">
        <v>1000031408</v>
      </c>
      <c r="AB15">
        <v>7.8811299999999997</v>
      </c>
      <c r="AC15">
        <v>7.0323799999999999</v>
      </c>
      <c r="AD15">
        <v>7.1400800000000002</v>
      </c>
      <c r="AE15">
        <v>11</v>
      </c>
      <c r="AF15">
        <v>33876868064</v>
      </c>
      <c r="AG15">
        <v>1279942019</v>
      </c>
      <c r="AH15">
        <v>0</v>
      </c>
      <c r="AI15">
        <v>853230736</v>
      </c>
      <c r="AJ15">
        <v>1279942019</v>
      </c>
      <c r="AK15">
        <v>2133172755</v>
      </c>
      <c r="AL15">
        <v>42664733</v>
      </c>
      <c r="AM15">
        <v>0</v>
      </c>
      <c r="AN15">
        <v>28441024</v>
      </c>
      <c r="AO15">
        <v>42664733</v>
      </c>
      <c r="AP15">
        <v>71105758</v>
      </c>
      <c r="AQ15">
        <v>37.403599999999997</v>
      </c>
      <c r="AR15">
        <v>21.3127</v>
      </c>
      <c r="AS15">
        <v>7297.78</v>
      </c>
      <c r="AT15">
        <v>62972</v>
      </c>
      <c r="AU15">
        <v>60980</v>
      </c>
      <c r="AV15" t="str">
        <f t="shared" si="0"/>
        <v>40% updates, key range [0, 2*10^9)</v>
      </c>
    </row>
    <row r="16" spans="1:48">
      <c r="A16" t="s">
        <v>91</v>
      </c>
      <c r="B16" t="s">
        <v>65</v>
      </c>
      <c r="D16" t="s">
        <v>63</v>
      </c>
      <c r="E16" t="s">
        <v>59</v>
      </c>
      <c r="F16" t="s">
        <v>60</v>
      </c>
      <c r="G16">
        <v>30000</v>
      </c>
      <c r="H16">
        <v>20</v>
      </c>
      <c r="I16">
        <v>20</v>
      </c>
      <c r="J16">
        <v>0</v>
      </c>
      <c r="K16">
        <v>1</v>
      </c>
      <c r="L16">
        <v>2000000000</v>
      </c>
      <c r="M16">
        <v>190</v>
      </c>
      <c r="N16">
        <v>190</v>
      </c>
      <c r="O16">
        <v>190</v>
      </c>
      <c r="P16">
        <v>0</v>
      </c>
      <c r="Q16" t="s">
        <v>61</v>
      </c>
      <c r="R16">
        <v>1.00001360805272E+18</v>
      </c>
      <c r="S16">
        <v>1000018602</v>
      </c>
      <c r="T16">
        <v>1.00001360805272E+18</v>
      </c>
      <c r="U16">
        <v>1000018602</v>
      </c>
      <c r="V16" t="s">
        <v>73</v>
      </c>
      <c r="W16">
        <v>37</v>
      </c>
      <c r="X16">
        <v>597680202</v>
      </c>
      <c r="Y16">
        <v>450165432</v>
      </c>
      <c r="Z16">
        <v>1047845634</v>
      </c>
      <c r="AA16">
        <v>1000018602</v>
      </c>
      <c r="AB16">
        <v>1.75319</v>
      </c>
      <c r="AC16">
        <v>2.2214499999999999</v>
      </c>
      <c r="AD16">
        <v>1.9543600000000001</v>
      </c>
      <c r="AE16">
        <v>29.577300000000001</v>
      </c>
      <c r="AF16">
        <v>58679355504</v>
      </c>
      <c r="AG16">
        <v>767155547</v>
      </c>
      <c r="AH16">
        <v>0</v>
      </c>
      <c r="AI16">
        <v>511465744</v>
      </c>
      <c r="AJ16">
        <v>767155547</v>
      </c>
      <c r="AK16">
        <v>1278621291</v>
      </c>
      <c r="AL16">
        <v>25571851</v>
      </c>
      <c r="AM16">
        <v>0</v>
      </c>
      <c r="AN16">
        <v>17048858</v>
      </c>
      <c r="AO16">
        <v>25571851</v>
      </c>
      <c r="AP16">
        <v>42620709</v>
      </c>
      <c r="AQ16">
        <v>58.445700000000002</v>
      </c>
      <c r="AR16">
        <v>32.897300000000001</v>
      </c>
      <c r="AS16">
        <v>12405.1</v>
      </c>
      <c r="AT16">
        <v>69543</v>
      </c>
      <c r="AU16">
        <v>32864</v>
      </c>
      <c r="AV16" t="str">
        <f t="shared" si="0"/>
        <v>40% updates, key range [0, 2*10^9)</v>
      </c>
    </row>
    <row r="17" spans="1:48">
      <c r="A17" t="s">
        <v>92</v>
      </c>
      <c r="B17" t="s">
        <v>66</v>
      </c>
      <c r="D17" t="s">
        <v>63</v>
      </c>
      <c r="E17" t="s">
        <v>59</v>
      </c>
      <c r="F17" t="s">
        <v>60</v>
      </c>
      <c r="G17">
        <v>30000</v>
      </c>
      <c r="H17">
        <v>20</v>
      </c>
      <c r="I17">
        <v>20</v>
      </c>
      <c r="J17">
        <v>0</v>
      </c>
      <c r="K17">
        <v>1</v>
      </c>
      <c r="L17">
        <v>2000000000</v>
      </c>
      <c r="M17">
        <v>190</v>
      </c>
      <c r="N17">
        <v>190</v>
      </c>
      <c r="O17">
        <v>190</v>
      </c>
      <c r="P17">
        <v>0</v>
      </c>
      <c r="Q17" t="s">
        <v>61</v>
      </c>
      <c r="R17">
        <v>9.9999227345545395E+17</v>
      </c>
      <c r="S17">
        <v>1000005520</v>
      </c>
      <c r="T17">
        <v>9.9999227345545395E+17</v>
      </c>
      <c r="U17">
        <v>1000005520</v>
      </c>
      <c r="V17" t="s">
        <v>73</v>
      </c>
      <c r="W17">
        <v>79</v>
      </c>
      <c r="X17">
        <v>1000005519</v>
      </c>
      <c r="Y17">
        <v>1000005520</v>
      </c>
      <c r="Z17">
        <v>2000011039</v>
      </c>
      <c r="AA17">
        <v>1000005520</v>
      </c>
      <c r="AB17">
        <v>2</v>
      </c>
      <c r="AC17">
        <v>1</v>
      </c>
      <c r="AD17">
        <v>1.5</v>
      </c>
      <c r="AE17">
        <v>40.917000000000002</v>
      </c>
      <c r="AF17">
        <v>64000353248</v>
      </c>
      <c r="AG17">
        <v>613104203</v>
      </c>
      <c r="AH17">
        <v>0</v>
      </c>
      <c r="AI17">
        <v>408747834</v>
      </c>
      <c r="AJ17">
        <v>613104203</v>
      </c>
      <c r="AK17">
        <v>1021852037</v>
      </c>
      <c r="AL17">
        <v>20436806</v>
      </c>
      <c r="AM17">
        <v>0</v>
      </c>
      <c r="AN17">
        <v>13624927</v>
      </c>
      <c r="AO17">
        <v>20436806</v>
      </c>
      <c r="AP17">
        <v>34061734</v>
      </c>
      <c r="AQ17">
        <v>57.101999999999997</v>
      </c>
      <c r="AR17">
        <v>33.392600000000002</v>
      </c>
      <c r="AS17">
        <v>15515.9</v>
      </c>
      <c r="AT17">
        <v>69308</v>
      </c>
      <c r="AU17">
        <v>33752</v>
      </c>
      <c r="AV17" t="str">
        <f t="shared" si="0"/>
        <v>40% updates, key range [0, 2*10^9)</v>
      </c>
    </row>
    <row r="18" spans="1:48">
      <c r="A18" t="s">
        <v>93</v>
      </c>
      <c r="B18" t="s">
        <v>62</v>
      </c>
      <c r="C18">
        <v>72</v>
      </c>
      <c r="D18" t="s">
        <v>63</v>
      </c>
      <c r="E18" t="s">
        <v>59</v>
      </c>
      <c r="F18" t="s">
        <v>60</v>
      </c>
      <c r="G18">
        <v>30000</v>
      </c>
      <c r="H18">
        <v>20</v>
      </c>
      <c r="I18">
        <v>20</v>
      </c>
      <c r="J18">
        <v>0</v>
      </c>
      <c r="K18">
        <v>1</v>
      </c>
      <c r="L18">
        <v>2000000000</v>
      </c>
      <c r="M18">
        <v>190</v>
      </c>
      <c r="N18">
        <v>190</v>
      </c>
      <c r="O18">
        <v>190</v>
      </c>
      <c r="P18">
        <v>0</v>
      </c>
      <c r="Q18" t="s">
        <v>61</v>
      </c>
      <c r="R18">
        <v>1.00001368668999E+18</v>
      </c>
      <c r="S18">
        <v>999988294</v>
      </c>
      <c r="T18">
        <v>1.00001368668999E+18</v>
      </c>
      <c r="U18">
        <v>999988294</v>
      </c>
      <c r="V18" t="s">
        <v>73</v>
      </c>
      <c r="W18">
        <v>7</v>
      </c>
      <c r="X18">
        <v>117800008</v>
      </c>
      <c r="Y18">
        <v>1149800565</v>
      </c>
      <c r="Z18">
        <v>1267600573</v>
      </c>
      <c r="AA18">
        <v>999988294</v>
      </c>
      <c r="AB18">
        <v>10.7606</v>
      </c>
      <c r="AC18">
        <v>0.86970599999999998</v>
      </c>
      <c r="AD18">
        <v>1.78888</v>
      </c>
      <c r="AE18">
        <v>4.0713600000000003</v>
      </c>
      <c r="AF18">
        <v>27871528192</v>
      </c>
      <c r="AG18">
        <v>1449834562</v>
      </c>
      <c r="AH18">
        <v>0</v>
      </c>
      <c r="AI18">
        <v>966575154</v>
      </c>
      <c r="AJ18">
        <v>1449834562</v>
      </c>
      <c r="AK18">
        <v>2416409716</v>
      </c>
      <c r="AL18">
        <v>48327818</v>
      </c>
      <c r="AM18">
        <v>0</v>
      </c>
      <c r="AN18">
        <v>32219171</v>
      </c>
      <c r="AO18">
        <v>48327818</v>
      </c>
      <c r="AP18">
        <v>80546990</v>
      </c>
      <c r="AQ18">
        <v>30.589300000000001</v>
      </c>
      <c r="AR18">
        <v>19.667999999999999</v>
      </c>
      <c r="AS18">
        <v>5806.45</v>
      </c>
      <c r="AT18">
        <v>120726</v>
      </c>
      <c r="AU18">
        <v>9140</v>
      </c>
      <c r="AV18" t="str">
        <f t="shared" si="0"/>
        <v>40% updates, key range [0, 2*10^9)</v>
      </c>
    </row>
    <row r="19" spans="1:48">
      <c r="A19" t="s">
        <v>94</v>
      </c>
      <c r="B19" t="s">
        <v>64</v>
      </c>
      <c r="C19">
        <v>208</v>
      </c>
      <c r="D19" t="s">
        <v>63</v>
      </c>
      <c r="E19" t="s">
        <v>59</v>
      </c>
      <c r="F19" t="s">
        <v>60</v>
      </c>
      <c r="G19">
        <v>30000</v>
      </c>
      <c r="H19">
        <v>20</v>
      </c>
      <c r="I19">
        <v>20</v>
      </c>
      <c r="J19">
        <v>0</v>
      </c>
      <c r="K19">
        <v>1</v>
      </c>
      <c r="L19">
        <v>2000000000</v>
      </c>
      <c r="M19">
        <v>190</v>
      </c>
      <c r="N19">
        <v>190</v>
      </c>
      <c r="O19">
        <v>190</v>
      </c>
      <c r="P19">
        <v>0</v>
      </c>
      <c r="Q19" t="s">
        <v>61</v>
      </c>
      <c r="R19">
        <v>1.00001504311201E+18</v>
      </c>
      <c r="S19">
        <v>1000024870</v>
      </c>
      <c r="T19">
        <v>1.00001504311201E+18</v>
      </c>
      <c r="U19">
        <v>1000024870</v>
      </c>
      <c r="V19" t="s">
        <v>73</v>
      </c>
      <c r="W19">
        <v>12</v>
      </c>
      <c r="X19">
        <v>20669059</v>
      </c>
      <c r="Y19">
        <v>142204722</v>
      </c>
      <c r="Z19">
        <v>162873781</v>
      </c>
      <c r="AA19">
        <v>1000024870</v>
      </c>
      <c r="AB19">
        <v>7.8800800000000004</v>
      </c>
      <c r="AC19">
        <v>7.0322899999999997</v>
      </c>
      <c r="AD19">
        <v>7.1398799999999998</v>
      </c>
      <c r="AE19">
        <v>11</v>
      </c>
      <c r="AF19">
        <v>33877746448</v>
      </c>
      <c r="AG19">
        <v>1281208225</v>
      </c>
      <c r="AH19">
        <v>0</v>
      </c>
      <c r="AI19">
        <v>854103560</v>
      </c>
      <c r="AJ19">
        <v>1281208225</v>
      </c>
      <c r="AK19">
        <v>2135311785</v>
      </c>
      <c r="AL19">
        <v>42706940</v>
      </c>
      <c r="AM19">
        <v>0</v>
      </c>
      <c r="AN19">
        <v>28470118</v>
      </c>
      <c r="AO19">
        <v>42706940</v>
      </c>
      <c r="AP19">
        <v>71177059</v>
      </c>
      <c r="AQ19">
        <v>37.424399999999999</v>
      </c>
      <c r="AR19">
        <v>21.320799999999998</v>
      </c>
      <c r="AS19">
        <v>7295.53</v>
      </c>
      <c r="AT19">
        <v>62949</v>
      </c>
      <c r="AU19">
        <v>61291</v>
      </c>
      <c r="AV19" t="str">
        <f t="shared" si="0"/>
        <v>40% updates, key range [0, 2*10^9)</v>
      </c>
    </row>
    <row r="20" spans="1:48">
      <c r="A20" t="s">
        <v>95</v>
      </c>
      <c r="B20" t="s">
        <v>65</v>
      </c>
      <c r="D20" t="s">
        <v>63</v>
      </c>
      <c r="E20" t="s">
        <v>59</v>
      </c>
      <c r="F20" t="s">
        <v>60</v>
      </c>
      <c r="G20">
        <v>30000</v>
      </c>
      <c r="H20">
        <v>20</v>
      </c>
      <c r="I20">
        <v>20</v>
      </c>
      <c r="J20">
        <v>0</v>
      </c>
      <c r="K20">
        <v>1</v>
      </c>
      <c r="L20">
        <v>2000000000</v>
      </c>
      <c r="M20">
        <v>190</v>
      </c>
      <c r="N20">
        <v>190</v>
      </c>
      <c r="O20">
        <v>190</v>
      </c>
      <c r="P20">
        <v>0</v>
      </c>
      <c r="Q20" t="s">
        <v>61</v>
      </c>
      <c r="R20">
        <v>1.00001959162295E+18</v>
      </c>
      <c r="S20">
        <v>1000020307</v>
      </c>
      <c r="T20">
        <v>1.00001959162295E+18</v>
      </c>
      <c r="U20">
        <v>1000020307</v>
      </c>
      <c r="V20" t="s">
        <v>73</v>
      </c>
      <c r="W20">
        <v>37</v>
      </c>
      <c r="X20">
        <v>597732339</v>
      </c>
      <c r="Y20">
        <v>450220923</v>
      </c>
      <c r="Z20">
        <v>1047953262</v>
      </c>
      <c r="AA20">
        <v>1000020307</v>
      </c>
      <c r="AB20">
        <v>1.7532099999999999</v>
      </c>
      <c r="AC20">
        <v>2.2211799999999999</v>
      </c>
      <c r="AD20">
        <v>1.9542600000000001</v>
      </c>
      <c r="AE20">
        <v>29.591899999999999</v>
      </c>
      <c r="AF20">
        <v>58685382672</v>
      </c>
      <c r="AG20">
        <v>769573952</v>
      </c>
      <c r="AH20">
        <v>0</v>
      </c>
      <c r="AI20">
        <v>513024113</v>
      </c>
      <c r="AJ20">
        <v>769573952</v>
      </c>
      <c r="AK20">
        <v>1282598065</v>
      </c>
      <c r="AL20">
        <v>25652465</v>
      </c>
      <c r="AM20">
        <v>0</v>
      </c>
      <c r="AN20">
        <v>17100803</v>
      </c>
      <c r="AO20">
        <v>25652465</v>
      </c>
      <c r="AP20">
        <v>42753268</v>
      </c>
      <c r="AQ20">
        <v>58.051699999999997</v>
      </c>
      <c r="AR20">
        <v>32.899099999999997</v>
      </c>
      <c r="AS20">
        <v>12365.2</v>
      </c>
      <c r="AT20">
        <v>69553</v>
      </c>
      <c r="AU20">
        <v>32770</v>
      </c>
      <c r="AV20" t="str">
        <f t="shared" si="0"/>
        <v>40% updates, key range [0, 2*10^9)</v>
      </c>
    </row>
    <row r="21" spans="1:48">
      <c r="A21" t="s">
        <v>96</v>
      </c>
      <c r="B21" t="s">
        <v>66</v>
      </c>
      <c r="D21" t="s">
        <v>63</v>
      </c>
      <c r="E21" t="s">
        <v>59</v>
      </c>
      <c r="F21" t="s">
        <v>60</v>
      </c>
      <c r="G21">
        <v>30000</v>
      </c>
      <c r="H21">
        <v>20</v>
      </c>
      <c r="I21">
        <v>20</v>
      </c>
      <c r="J21">
        <v>0</v>
      </c>
      <c r="K21">
        <v>1</v>
      </c>
      <c r="L21">
        <v>2000000000</v>
      </c>
      <c r="M21">
        <v>190</v>
      </c>
      <c r="N21">
        <v>190</v>
      </c>
      <c r="O21">
        <v>190</v>
      </c>
      <c r="P21">
        <v>0</v>
      </c>
      <c r="Q21" t="s">
        <v>61</v>
      </c>
      <c r="R21">
        <v>1.00002480794856E+18</v>
      </c>
      <c r="S21">
        <v>1000021711</v>
      </c>
      <c r="T21">
        <v>1.00002480794856E+18</v>
      </c>
      <c r="U21">
        <v>1000021711</v>
      </c>
      <c r="V21" t="s">
        <v>73</v>
      </c>
      <c r="W21">
        <v>77</v>
      </c>
      <c r="X21">
        <v>1000021710</v>
      </c>
      <c r="Y21">
        <v>1000021711</v>
      </c>
      <c r="Z21">
        <v>2000043421</v>
      </c>
      <c r="AA21">
        <v>1000021711</v>
      </c>
      <c r="AB21">
        <v>2</v>
      </c>
      <c r="AC21">
        <v>1</v>
      </c>
      <c r="AD21">
        <v>1.5</v>
      </c>
      <c r="AE21">
        <v>40.103499999999997</v>
      </c>
      <c r="AF21">
        <v>64001389472</v>
      </c>
      <c r="AG21">
        <v>613592130</v>
      </c>
      <c r="AH21">
        <v>0</v>
      </c>
      <c r="AI21">
        <v>409033895</v>
      </c>
      <c r="AJ21">
        <v>613592130</v>
      </c>
      <c r="AK21">
        <v>1022626025</v>
      </c>
      <c r="AL21">
        <v>20453071</v>
      </c>
      <c r="AM21">
        <v>0</v>
      </c>
      <c r="AN21">
        <v>13634463</v>
      </c>
      <c r="AO21">
        <v>20453071</v>
      </c>
      <c r="AP21">
        <v>34087534</v>
      </c>
      <c r="AQ21">
        <v>57.248100000000001</v>
      </c>
      <c r="AR21">
        <v>33.389400000000002</v>
      </c>
      <c r="AS21">
        <v>15506.2</v>
      </c>
      <c r="AT21">
        <v>69313</v>
      </c>
      <c r="AU21">
        <v>33760</v>
      </c>
      <c r="AV21" t="str">
        <f t="shared" si="0"/>
        <v>40% updates, key range [0, 2*10^9)</v>
      </c>
    </row>
    <row r="22" spans="1:48">
      <c r="A22" t="s">
        <v>97</v>
      </c>
      <c r="B22" t="s">
        <v>62</v>
      </c>
      <c r="C22">
        <v>72</v>
      </c>
      <c r="D22" t="s">
        <v>63</v>
      </c>
      <c r="E22" t="s">
        <v>59</v>
      </c>
      <c r="F22" t="s">
        <v>60</v>
      </c>
      <c r="G22">
        <v>30000</v>
      </c>
      <c r="H22">
        <v>20</v>
      </c>
      <c r="I22">
        <v>20</v>
      </c>
      <c r="J22">
        <v>0</v>
      </c>
      <c r="K22">
        <v>1</v>
      </c>
      <c r="L22">
        <v>2000000000</v>
      </c>
      <c r="M22">
        <v>190</v>
      </c>
      <c r="N22">
        <v>190</v>
      </c>
      <c r="O22">
        <v>190</v>
      </c>
      <c r="P22">
        <v>0</v>
      </c>
      <c r="Q22" t="s">
        <v>61</v>
      </c>
      <c r="R22">
        <v>1.0000356691655E+18</v>
      </c>
      <c r="S22">
        <v>1000001898</v>
      </c>
      <c r="T22">
        <v>1.0000356691655E+18</v>
      </c>
      <c r="U22">
        <v>1000001898</v>
      </c>
      <c r="V22" t="s">
        <v>73</v>
      </c>
      <c r="W22">
        <v>7</v>
      </c>
      <c r="X22">
        <v>117585635</v>
      </c>
      <c r="Y22">
        <v>1149323715</v>
      </c>
      <c r="Z22">
        <v>1266909350</v>
      </c>
      <c r="AA22">
        <v>1000001898</v>
      </c>
      <c r="AB22">
        <v>10.7744</v>
      </c>
      <c r="AC22">
        <v>0.87007900000000005</v>
      </c>
      <c r="AD22">
        <v>1.78932</v>
      </c>
      <c r="AE22">
        <v>4.0709</v>
      </c>
      <c r="AF22">
        <v>27846304496</v>
      </c>
      <c r="AG22">
        <v>1450700987</v>
      </c>
      <c r="AH22">
        <v>0</v>
      </c>
      <c r="AI22">
        <v>967066953</v>
      </c>
      <c r="AJ22">
        <v>1450700987</v>
      </c>
      <c r="AK22">
        <v>2417767940</v>
      </c>
      <c r="AL22">
        <v>48356699</v>
      </c>
      <c r="AM22">
        <v>0</v>
      </c>
      <c r="AN22">
        <v>32235565</v>
      </c>
      <c r="AO22">
        <v>48356699</v>
      </c>
      <c r="AP22">
        <v>80592264</v>
      </c>
      <c r="AQ22">
        <v>30.598099999999999</v>
      </c>
      <c r="AR22">
        <v>19.673500000000001</v>
      </c>
      <c r="AS22">
        <v>5806.73</v>
      </c>
      <c r="AT22">
        <v>120707</v>
      </c>
      <c r="AU22">
        <v>9180</v>
      </c>
      <c r="AV22" t="str">
        <f t="shared" si="0"/>
        <v>40% updates, key range [0, 2*10^9)</v>
      </c>
    </row>
    <row r="23" spans="1:48">
      <c r="A23" t="s">
        <v>98</v>
      </c>
      <c r="B23" t="s">
        <v>64</v>
      </c>
      <c r="C23">
        <v>208</v>
      </c>
      <c r="D23" t="s">
        <v>63</v>
      </c>
      <c r="E23" t="s">
        <v>59</v>
      </c>
      <c r="F23" t="s">
        <v>60</v>
      </c>
      <c r="G23">
        <v>30000</v>
      </c>
      <c r="H23">
        <v>20</v>
      </c>
      <c r="I23">
        <v>20</v>
      </c>
      <c r="J23">
        <v>0</v>
      </c>
      <c r="K23">
        <v>1</v>
      </c>
      <c r="L23">
        <v>2000000000</v>
      </c>
      <c r="M23">
        <v>190</v>
      </c>
      <c r="N23">
        <v>190</v>
      </c>
      <c r="O23">
        <v>190</v>
      </c>
      <c r="P23">
        <v>0</v>
      </c>
      <c r="Q23" t="s">
        <v>61</v>
      </c>
      <c r="R23">
        <v>9.9999444944142106E+17</v>
      </c>
      <c r="S23">
        <v>1000000638</v>
      </c>
      <c r="T23">
        <v>9.9999444944142106E+17</v>
      </c>
      <c r="U23">
        <v>1000000638</v>
      </c>
      <c r="V23" t="s">
        <v>73</v>
      </c>
      <c r="W23">
        <v>12</v>
      </c>
      <c r="X23">
        <v>20667846</v>
      </c>
      <c r="Y23">
        <v>142210779</v>
      </c>
      <c r="Z23">
        <v>162878625</v>
      </c>
      <c r="AA23">
        <v>1000000638</v>
      </c>
      <c r="AB23">
        <v>7.8807700000000001</v>
      </c>
      <c r="AC23">
        <v>7.0318199999999997</v>
      </c>
      <c r="AD23">
        <v>7.1395400000000002</v>
      </c>
      <c r="AE23">
        <v>11</v>
      </c>
      <c r="AF23">
        <v>33878754000</v>
      </c>
      <c r="AG23">
        <v>1280459680</v>
      </c>
      <c r="AH23">
        <v>0</v>
      </c>
      <c r="AI23">
        <v>853711674</v>
      </c>
      <c r="AJ23">
        <v>1280459680</v>
      </c>
      <c r="AK23">
        <v>2134171354</v>
      </c>
      <c r="AL23">
        <v>42681989</v>
      </c>
      <c r="AM23">
        <v>0</v>
      </c>
      <c r="AN23">
        <v>28457055</v>
      </c>
      <c r="AO23">
        <v>42681989</v>
      </c>
      <c r="AP23">
        <v>71139045</v>
      </c>
      <c r="AQ23">
        <v>37.3249</v>
      </c>
      <c r="AR23">
        <v>21.3156</v>
      </c>
      <c r="AS23">
        <v>7300.08</v>
      </c>
      <c r="AT23">
        <v>62974</v>
      </c>
      <c r="AU23">
        <v>61471</v>
      </c>
      <c r="AV23" t="str">
        <f t="shared" si="0"/>
        <v>40% updates, key range [0, 2*10^9)</v>
      </c>
    </row>
    <row r="24" spans="1:48">
      <c r="A24" t="s">
        <v>99</v>
      </c>
      <c r="B24" t="s">
        <v>65</v>
      </c>
      <c r="D24" t="s">
        <v>63</v>
      </c>
      <c r="E24" t="s">
        <v>59</v>
      </c>
      <c r="F24" t="s">
        <v>60</v>
      </c>
      <c r="G24">
        <v>30000</v>
      </c>
      <c r="H24">
        <v>20</v>
      </c>
      <c r="I24">
        <v>20</v>
      </c>
      <c r="J24">
        <v>0</v>
      </c>
      <c r="K24">
        <v>1</v>
      </c>
      <c r="L24">
        <v>2000000000</v>
      </c>
      <c r="M24">
        <v>190</v>
      </c>
      <c r="N24">
        <v>190</v>
      </c>
      <c r="O24">
        <v>190</v>
      </c>
      <c r="P24">
        <v>0</v>
      </c>
      <c r="Q24" t="s">
        <v>61</v>
      </c>
      <c r="R24">
        <v>1.0000236536009999E+18</v>
      </c>
      <c r="S24">
        <v>1000033430</v>
      </c>
      <c r="T24">
        <v>1.0000236536009999E+18</v>
      </c>
      <c r="U24">
        <v>1000033430</v>
      </c>
      <c r="V24" t="s">
        <v>73</v>
      </c>
      <c r="W24">
        <v>37</v>
      </c>
      <c r="X24">
        <v>597751023</v>
      </c>
      <c r="Y24">
        <v>450241128</v>
      </c>
      <c r="Z24">
        <v>1047992151</v>
      </c>
      <c r="AA24">
        <v>1000033430</v>
      </c>
      <c r="AB24">
        <v>1.7532300000000001</v>
      </c>
      <c r="AC24">
        <v>2.2211099999999999</v>
      </c>
      <c r="AD24">
        <v>1.95424</v>
      </c>
      <c r="AE24">
        <v>29.558700000000002</v>
      </c>
      <c r="AF24">
        <v>58687560456</v>
      </c>
      <c r="AG24">
        <v>769676102</v>
      </c>
      <c r="AH24">
        <v>0</v>
      </c>
      <c r="AI24">
        <v>513094751</v>
      </c>
      <c r="AJ24">
        <v>769676102</v>
      </c>
      <c r="AK24">
        <v>1282770853</v>
      </c>
      <c r="AL24">
        <v>25655870</v>
      </c>
      <c r="AM24">
        <v>0</v>
      </c>
      <c r="AN24">
        <v>17103158</v>
      </c>
      <c r="AO24">
        <v>25655870</v>
      </c>
      <c r="AP24">
        <v>42759028</v>
      </c>
      <c r="AQ24">
        <v>57.743499999999997</v>
      </c>
      <c r="AR24">
        <v>32.899099999999997</v>
      </c>
      <c r="AS24">
        <v>12363.3</v>
      </c>
      <c r="AT24">
        <v>69557</v>
      </c>
      <c r="AU24">
        <v>32712</v>
      </c>
      <c r="AV24" t="str">
        <f t="shared" si="0"/>
        <v>40% updates, key range [0, 2*10^9)</v>
      </c>
    </row>
    <row r="25" spans="1:48">
      <c r="A25" t="s">
        <v>100</v>
      </c>
      <c r="B25" t="s">
        <v>66</v>
      </c>
      <c r="D25" t="s">
        <v>63</v>
      </c>
      <c r="E25" t="s">
        <v>59</v>
      </c>
      <c r="F25" t="s">
        <v>60</v>
      </c>
      <c r="G25">
        <v>30000</v>
      </c>
      <c r="H25">
        <v>20</v>
      </c>
      <c r="I25">
        <v>20</v>
      </c>
      <c r="J25">
        <v>0</v>
      </c>
      <c r="K25">
        <v>1</v>
      </c>
      <c r="L25">
        <v>2000000000</v>
      </c>
      <c r="M25">
        <v>190</v>
      </c>
      <c r="N25">
        <v>190</v>
      </c>
      <c r="O25">
        <v>190</v>
      </c>
      <c r="P25">
        <v>0</v>
      </c>
      <c r="Q25" t="s">
        <v>61</v>
      </c>
      <c r="R25">
        <v>9.9999457398169997E+17</v>
      </c>
      <c r="S25">
        <v>1000009617</v>
      </c>
      <c r="T25">
        <v>9.9999457398169997E+17</v>
      </c>
      <c r="U25">
        <v>1000009617</v>
      </c>
      <c r="V25" t="s">
        <v>73</v>
      </c>
      <c r="W25">
        <v>78</v>
      </c>
      <c r="X25">
        <v>1000009616</v>
      </c>
      <c r="Y25">
        <v>1000009617</v>
      </c>
      <c r="Z25">
        <v>2000019233</v>
      </c>
      <c r="AA25">
        <v>1000009617</v>
      </c>
      <c r="AB25">
        <v>2</v>
      </c>
      <c r="AC25">
        <v>1</v>
      </c>
      <c r="AD25">
        <v>1.5</v>
      </c>
      <c r="AE25">
        <v>40.631900000000002</v>
      </c>
      <c r="AF25">
        <v>64000615456</v>
      </c>
      <c r="AG25">
        <v>613711566</v>
      </c>
      <c r="AH25">
        <v>0</v>
      </c>
      <c r="AI25">
        <v>409158913</v>
      </c>
      <c r="AJ25">
        <v>613711566</v>
      </c>
      <c r="AK25">
        <v>1022870479</v>
      </c>
      <c r="AL25">
        <v>20457052</v>
      </c>
      <c r="AM25">
        <v>0</v>
      </c>
      <c r="AN25">
        <v>13638630</v>
      </c>
      <c r="AO25">
        <v>20457052</v>
      </c>
      <c r="AP25">
        <v>34095682</v>
      </c>
      <c r="AQ25">
        <v>57.174399999999999</v>
      </c>
      <c r="AR25">
        <v>33.384599999999999</v>
      </c>
      <c r="AS25">
        <v>15499.6</v>
      </c>
      <c r="AT25">
        <v>69312</v>
      </c>
      <c r="AU25">
        <v>33694</v>
      </c>
      <c r="AV25" t="str">
        <f t="shared" si="0"/>
        <v>40% updates, key range [0, 2*10^9)</v>
      </c>
    </row>
    <row r="26" spans="1:48">
      <c r="A26" t="s">
        <v>101</v>
      </c>
      <c r="B26" t="s">
        <v>62</v>
      </c>
      <c r="C26">
        <v>72</v>
      </c>
      <c r="D26" t="s">
        <v>63</v>
      </c>
      <c r="E26" t="s">
        <v>59</v>
      </c>
      <c r="F26" t="s">
        <v>60</v>
      </c>
      <c r="G26">
        <v>30000</v>
      </c>
      <c r="H26">
        <v>20</v>
      </c>
      <c r="I26">
        <v>20</v>
      </c>
      <c r="J26">
        <v>0</v>
      </c>
      <c r="K26">
        <v>1</v>
      </c>
      <c r="L26">
        <v>2000000000</v>
      </c>
      <c r="M26">
        <v>190</v>
      </c>
      <c r="N26">
        <v>190</v>
      </c>
      <c r="O26">
        <v>190</v>
      </c>
      <c r="P26">
        <v>0</v>
      </c>
      <c r="Q26" t="s">
        <v>61</v>
      </c>
      <c r="R26">
        <v>9.9995940378657997E+17</v>
      </c>
      <c r="S26">
        <v>999972016</v>
      </c>
      <c r="T26">
        <v>9.9995940378657997E+17</v>
      </c>
      <c r="U26">
        <v>999972016</v>
      </c>
      <c r="V26" t="s">
        <v>73</v>
      </c>
      <c r="W26">
        <v>7</v>
      </c>
      <c r="X26">
        <v>118218500</v>
      </c>
      <c r="Y26">
        <v>1150650557</v>
      </c>
      <c r="Z26">
        <v>1268869057</v>
      </c>
      <c r="AA26">
        <v>999972016</v>
      </c>
      <c r="AB26">
        <v>10.7333</v>
      </c>
      <c r="AC26">
        <v>0.86904899999999996</v>
      </c>
      <c r="AD26">
        <v>1.7880799999999999</v>
      </c>
      <c r="AE26">
        <v>4.0722699999999996</v>
      </c>
      <c r="AF26">
        <v>27919510368</v>
      </c>
      <c r="AG26">
        <v>1447841046</v>
      </c>
      <c r="AH26">
        <v>0</v>
      </c>
      <c r="AI26">
        <v>965263788</v>
      </c>
      <c r="AJ26">
        <v>1447841046</v>
      </c>
      <c r="AK26">
        <v>2413104834</v>
      </c>
      <c r="AL26">
        <v>48261368</v>
      </c>
      <c r="AM26">
        <v>0</v>
      </c>
      <c r="AN26">
        <v>32175459</v>
      </c>
      <c r="AO26">
        <v>48261368</v>
      </c>
      <c r="AP26">
        <v>80436827</v>
      </c>
      <c r="AQ26">
        <v>30.556899999999999</v>
      </c>
      <c r="AR26">
        <v>19.658100000000001</v>
      </c>
      <c r="AS26">
        <v>5801.64</v>
      </c>
      <c r="AT26">
        <v>120711</v>
      </c>
      <c r="AU26">
        <v>9119</v>
      </c>
      <c r="AV26" t="str">
        <f t="shared" si="0"/>
        <v>40% updates, key range [0, 2*10^9)</v>
      </c>
    </row>
    <row r="27" spans="1:48">
      <c r="A27" t="s">
        <v>102</v>
      </c>
      <c r="B27" t="s">
        <v>64</v>
      </c>
      <c r="C27">
        <v>208</v>
      </c>
      <c r="D27" t="s">
        <v>63</v>
      </c>
      <c r="E27" t="s">
        <v>59</v>
      </c>
      <c r="F27" t="s">
        <v>60</v>
      </c>
      <c r="G27">
        <v>30000</v>
      </c>
      <c r="H27">
        <v>20</v>
      </c>
      <c r="I27">
        <v>20</v>
      </c>
      <c r="J27">
        <v>0</v>
      </c>
      <c r="K27">
        <v>1</v>
      </c>
      <c r="L27">
        <v>2000000000</v>
      </c>
      <c r="M27">
        <v>190</v>
      </c>
      <c r="N27">
        <v>190</v>
      </c>
      <c r="O27">
        <v>190</v>
      </c>
      <c r="P27">
        <v>0</v>
      </c>
      <c r="Q27" t="s">
        <v>61</v>
      </c>
      <c r="R27">
        <v>1.00000790485598E+18</v>
      </c>
      <c r="S27">
        <v>999996486</v>
      </c>
      <c r="T27">
        <v>1.00000790485598E+18</v>
      </c>
      <c r="U27">
        <v>999996486</v>
      </c>
      <c r="V27" t="s">
        <v>73</v>
      </c>
      <c r="W27">
        <v>12</v>
      </c>
      <c r="X27">
        <v>20672248</v>
      </c>
      <c r="Y27">
        <v>142212460</v>
      </c>
      <c r="Z27">
        <v>162884708</v>
      </c>
      <c r="AA27">
        <v>999996486</v>
      </c>
      <c r="AB27">
        <v>7.8793899999999999</v>
      </c>
      <c r="AC27">
        <v>7.0317100000000003</v>
      </c>
      <c r="AD27">
        <v>7.1392899999999999</v>
      </c>
      <c r="AE27">
        <v>11</v>
      </c>
      <c r="AF27">
        <v>33880019264</v>
      </c>
      <c r="AG27">
        <v>1281542615</v>
      </c>
      <c r="AH27">
        <v>0</v>
      </c>
      <c r="AI27">
        <v>854445347</v>
      </c>
      <c r="AJ27">
        <v>1281542615</v>
      </c>
      <c r="AK27">
        <v>2135987962</v>
      </c>
      <c r="AL27">
        <v>42718087</v>
      </c>
      <c r="AM27">
        <v>0</v>
      </c>
      <c r="AN27">
        <v>28481511</v>
      </c>
      <c r="AO27">
        <v>42718087</v>
      </c>
      <c r="AP27">
        <v>71199598</v>
      </c>
      <c r="AQ27">
        <v>37.3185</v>
      </c>
      <c r="AR27">
        <v>21.328499999999998</v>
      </c>
      <c r="AS27">
        <v>7293.05</v>
      </c>
      <c r="AT27">
        <v>62915</v>
      </c>
      <c r="AU27">
        <v>61506</v>
      </c>
      <c r="AV27" t="str">
        <f t="shared" si="0"/>
        <v>40% updates, key range [0, 2*10^9)</v>
      </c>
    </row>
    <row r="28" spans="1:48">
      <c r="A28" t="s">
        <v>103</v>
      </c>
      <c r="B28" t="s">
        <v>65</v>
      </c>
      <c r="D28" t="s">
        <v>63</v>
      </c>
      <c r="E28" t="s">
        <v>59</v>
      </c>
      <c r="F28" t="s">
        <v>60</v>
      </c>
      <c r="G28">
        <v>30000</v>
      </c>
      <c r="H28">
        <v>20</v>
      </c>
      <c r="I28">
        <v>20</v>
      </c>
      <c r="J28">
        <v>0</v>
      </c>
      <c r="K28">
        <v>1</v>
      </c>
      <c r="L28">
        <v>2000000000</v>
      </c>
      <c r="M28">
        <v>190</v>
      </c>
      <c r="N28">
        <v>190</v>
      </c>
      <c r="O28">
        <v>190</v>
      </c>
      <c r="P28">
        <v>0</v>
      </c>
      <c r="Q28" t="s">
        <v>61</v>
      </c>
      <c r="R28">
        <v>9.9999060114299302E+17</v>
      </c>
      <c r="S28">
        <v>999977224</v>
      </c>
      <c r="T28">
        <v>9.9999060114299302E+17</v>
      </c>
      <c r="U28">
        <v>999977224</v>
      </c>
      <c r="V28" t="s">
        <v>73</v>
      </c>
      <c r="W28">
        <v>37</v>
      </c>
      <c r="X28">
        <v>597714449</v>
      </c>
      <c r="Y28">
        <v>450223028</v>
      </c>
      <c r="Z28">
        <v>1047937477</v>
      </c>
      <c r="AA28">
        <v>999977224</v>
      </c>
      <c r="AB28">
        <v>1.7532399999999999</v>
      </c>
      <c r="AC28">
        <v>2.2210700000000001</v>
      </c>
      <c r="AD28">
        <v>1.9542299999999999</v>
      </c>
      <c r="AE28">
        <v>29.554099999999998</v>
      </c>
      <c r="AF28">
        <v>58684498712</v>
      </c>
      <c r="AG28">
        <v>769582372</v>
      </c>
      <c r="AH28">
        <v>0</v>
      </c>
      <c r="AI28">
        <v>513049580</v>
      </c>
      <c r="AJ28">
        <v>769582372</v>
      </c>
      <c r="AK28">
        <v>1282631952</v>
      </c>
      <c r="AL28">
        <v>25652745</v>
      </c>
      <c r="AM28">
        <v>0</v>
      </c>
      <c r="AN28">
        <v>17101652</v>
      </c>
      <c r="AO28">
        <v>25652745</v>
      </c>
      <c r="AP28">
        <v>42754398</v>
      </c>
      <c r="AQ28">
        <v>58.06</v>
      </c>
      <c r="AR28">
        <v>32.904400000000003</v>
      </c>
      <c r="AS28">
        <v>12365.9</v>
      </c>
      <c r="AT28">
        <v>69555</v>
      </c>
      <c r="AU28">
        <v>32791</v>
      </c>
      <c r="AV28" t="str">
        <f t="shared" si="0"/>
        <v>40% updates, key range [0, 2*10^9)</v>
      </c>
    </row>
    <row r="29" spans="1:48">
      <c r="A29" t="s">
        <v>104</v>
      </c>
      <c r="B29" t="s">
        <v>66</v>
      </c>
      <c r="D29" t="s">
        <v>63</v>
      </c>
      <c r="E29" t="s">
        <v>59</v>
      </c>
      <c r="F29" t="s">
        <v>60</v>
      </c>
      <c r="G29">
        <v>30000</v>
      </c>
      <c r="H29">
        <v>20</v>
      </c>
      <c r="I29">
        <v>20</v>
      </c>
      <c r="J29">
        <v>0</v>
      </c>
      <c r="K29">
        <v>1</v>
      </c>
      <c r="L29">
        <v>2000000000</v>
      </c>
      <c r="M29">
        <v>190</v>
      </c>
      <c r="N29">
        <v>190</v>
      </c>
      <c r="O29">
        <v>190</v>
      </c>
      <c r="P29">
        <v>0</v>
      </c>
      <c r="Q29" t="s">
        <v>61</v>
      </c>
      <c r="R29">
        <v>9.9998334121817395E+17</v>
      </c>
      <c r="S29">
        <v>1000020367</v>
      </c>
      <c r="T29">
        <v>9.9998334121817395E+17</v>
      </c>
      <c r="U29">
        <v>1000020367</v>
      </c>
      <c r="V29" t="s">
        <v>73</v>
      </c>
      <c r="W29">
        <v>80</v>
      </c>
      <c r="X29">
        <v>1000020366</v>
      </c>
      <c r="Y29">
        <v>1000020367</v>
      </c>
      <c r="Z29">
        <v>2000040733</v>
      </c>
      <c r="AA29">
        <v>1000020367</v>
      </c>
      <c r="AB29">
        <v>2</v>
      </c>
      <c r="AC29">
        <v>1</v>
      </c>
      <c r="AD29">
        <v>1.5</v>
      </c>
      <c r="AE29">
        <v>41.786999999999999</v>
      </c>
      <c r="AF29">
        <v>64001303456</v>
      </c>
      <c r="AG29">
        <v>613671399</v>
      </c>
      <c r="AH29">
        <v>0</v>
      </c>
      <c r="AI29">
        <v>409099092</v>
      </c>
      <c r="AJ29">
        <v>613671399</v>
      </c>
      <c r="AK29">
        <v>1022770491</v>
      </c>
      <c r="AL29">
        <v>20455713</v>
      </c>
      <c r="AM29">
        <v>0</v>
      </c>
      <c r="AN29">
        <v>13636636</v>
      </c>
      <c r="AO29">
        <v>20455713</v>
      </c>
      <c r="AP29">
        <v>34092349</v>
      </c>
      <c r="AQ29">
        <v>57.253799999999998</v>
      </c>
      <c r="AR29">
        <v>33.386899999999997</v>
      </c>
      <c r="AS29">
        <v>15501.6</v>
      </c>
      <c r="AT29">
        <v>69311</v>
      </c>
      <c r="AU29">
        <v>33718</v>
      </c>
      <c r="AV29" t="str">
        <f t="shared" si="0"/>
        <v>40% updates, key range [0, 2*10^9)</v>
      </c>
    </row>
    <row r="30" spans="1:48">
      <c r="A30" t="s">
        <v>105</v>
      </c>
      <c r="B30" t="s">
        <v>62</v>
      </c>
      <c r="C30">
        <v>72</v>
      </c>
      <c r="D30" t="s">
        <v>63</v>
      </c>
      <c r="E30" t="s">
        <v>59</v>
      </c>
      <c r="F30" t="s">
        <v>60</v>
      </c>
      <c r="G30">
        <v>30000</v>
      </c>
      <c r="H30">
        <v>20</v>
      </c>
      <c r="I30">
        <v>20</v>
      </c>
      <c r="J30">
        <v>0</v>
      </c>
      <c r="K30">
        <v>1</v>
      </c>
      <c r="L30">
        <v>2000000000</v>
      </c>
      <c r="M30">
        <v>190</v>
      </c>
      <c r="N30">
        <v>190</v>
      </c>
      <c r="O30">
        <v>190</v>
      </c>
      <c r="P30">
        <v>0</v>
      </c>
      <c r="Q30" t="s">
        <v>61</v>
      </c>
      <c r="R30">
        <v>1.0000201139161E+18</v>
      </c>
      <c r="S30">
        <v>1000006431</v>
      </c>
      <c r="T30">
        <v>1.0000201139161E+18</v>
      </c>
      <c r="U30">
        <v>1000006431</v>
      </c>
      <c r="V30" t="s">
        <v>73</v>
      </c>
      <c r="W30">
        <v>7</v>
      </c>
      <c r="X30">
        <v>117945995</v>
      </c>
      <c r="Y30">
        <v>1150104870</v>
      </c>
      <c r="Z30">
        <v>1268050865</v>
      </c>
      <c r="AA30">
        <v>1000006431</v>
      </c>
      <c r="AB30">
        <v>10.751099999999999</v>
      </c>
      <c r="AC30">
        <v>0.86949200000000004</v>
      </c>
      <c r="AD30">
        <v>1.7886200000000001</v>
      </c>
      <c r="AE30">
        <v>4.0716700000000001</v>
      </c>
      <c r="AF30">
        <v>27888333632</v>
      </c>
      <c r="AG30">
        <v>1449011589</v>
      </c>
      <c r="AH30">
        <v>0</v>
      </c>
      <c r="AI30">
        <v>966071351</v>
      </c>
      <c r="AJ30">
        <v>1449011589</v>
      </c>
      <c r="AK30">
        <v>2415082940</v>
      </c>
      <c r="AL30">
        <v>48300386</v>
      </c>
      <c r="AM30">
        <v>0</v>
      </c>
      <c r="AN30">
        <v>32202378</v>
      </c>
      <c r="AO30">
        <v>48300386</v>
      </c>
      <c r="AP30">
        <v>80502764</v>
      </c>
      <c r="AQ30">
        <v>30.562000000000001</v>
      </c>
      <c r="AR30">
        <v>19.668399999999998</v>
      </c>
      <c r="AS30">
        <v>5804.06</v>
      </c>
      <c r="AT30">
        <v>120697</v>
      </c>
      <c r="AU30">
        <v>8921</v>
      </c>
      <c r="AV30" t="str">
        <f t="shared" si="0"/>
        <v>40% updates, key range [0, 2*10^9)</v>
      </c>
    </row>
    <row r="31" spans="1:48">
      <c r="A31" t="s">
        <v>106</v>
      </c>
      <c r="B31" t="s">
        <v>64</v>
      </c>
      <c r="C31">
        <v>208</v>
      </c>
      <c r="D31" t="s">
        <v>63</v>
      </c>
      <c r="E31" t="s">
        <v>59</v>
      </c>
      <c r="F31" t="s">
        <v>60</v>
      </c>
      <c r="G31">
        <v>30000</v>
      </c>
      <c r="H31">
        <v>20</v>
      </c>
      <c r="I31">
        <v>20</v>
      </c>
      <c r="J31">
        <v>0</v>
      </c>
      <c r="K31">
        <v>1</v>
      </c>
      <c r="L31">
        <v>2000000000</v>
      </c>
      <c r="M31">
        <v>190</v>
      </c>
      <c r="N31">
        <v>190</v>
      </c>
      <c r="O31">
        <v>190</v>
      </c>
      <c r="P31">
        <v>0</v>
      </c>
      <c r="Q31" t="s">
        <v>61</v>
      </c>
      <c r="R31">
        <v>9.9998969694562701E+17</v>
      </c>
      <c r="S31">
        <v>999995840</v>
      </c>
      <c r="T31">
        <v>9.9998969694562701E+17</v>
      </c>
      <c r="U31">
        <v>999995840</v>
      </c>
      <c r="V31" t="s">
        <v>73</v>
      </c>
      <c r="W31">
        <v>12</v>
      </c>
      <c r="X31">
        <v>20672135</v>
      </c>
      <c r="Y31">
        <v>142232425</v>
      </c>
      <c r="Z31">
        <v>162904560</v>
      </c>
      <c r="AA31">
        <v>999995840</v>
      </c>
      <c r="AB31">
        <v>7.8803900000000002</v>
      </c>
      <c r="AC31">
        <v>7.0307199999999996</v>
      </c>
      <c r="AD31">
        <v>7.1385399999999999</v>
      </c>
      <c r="AE31">
        <v>11</v>
      </c>
      <c r="AF31">
        <v>33884148480</v>
      </c>
      <c r="AG31">
        <v>1283629024</v>
      </c>
      <c r="AH31">
        <v>0</v>
      </c>
      <c r="AI31">
        <v>855754254</v>
      </c>
      <c r="AJ31">
        <v>1283629024</v>
      </c>
      <c r="AK31">
        <v>2139383278</v>
      </c>
      <c r="AL31">
        <v>42787634</v>
      </c>
      <c r="AM31">
        <v>0</v>
      </c>
      <c r="AN31">
        <v>28525141</v>
      </c>
      <c r="AO31">
        <v>42787634</v>
      </c>
      <c r="AP31">
        <v>71312775</v>
      </c>
      <c r="AQ31">
        <v>37.387900000000002</v>
      </c>
      <c r="AR31">
        <v>21.325399999999998</v>
      </c>
      <c r="AS31">
        <v>7285.08</v>
      </c>
      <c r="AT31">
        <v>62983</v>
      </c>
      <c r="AU31">
        <v>61230</v>
      </c>
      <c r="AV31" t="str">
        <f t="shared" si="0"/>
        <v>40% updates, key range [0, 2*10^9)</v>
      </c>
    </row>
    <row r="32" spans="1:48">
      <c r="A32" t="s">
        <v>107</v>
      </c>
      <c r="B32" t="s">
        <v>65</v>
      </c>
      <c r="D32" t="s">
        <v>63</v>
      </c>
      <c r="E32" t="s">
        <v>59</v>
      </c>
      <c r="F32" t="s">
        <v>60</v>
      </c>
      <c r="G32">
        <v>30000</v>
      </c>
      <c r="H32">
        <v>20</v>
      </c>
      <c r="I32">
        <v>20</v>
      </c>
      <c r="J32">
        <v>0</v>
      </c>
      <c r="K32">
        <v>1</v>
      </c>
      <c r="L32">
        <v>2000000000</v>
      </c>
      <c r="M32">
        <v>190</v>
      </c>
      <c r="N32">
        <v>190</v>
      </c>
      <c r="O32">
        <v>190</v>
      </c>
      <c r="P32">
        <v>0</v>
      </c>
      <c r="Q32" t="s">
        <v>61</v>
      </c>
      <c r="R32">
        <v>9.9998588161237798E+17</v>
      </c>
      <c r="S32">
        <v>999991474</v>
      </c>
      <c r="T32">
        <v>9.9998588161237798E+17</v>
      </c>
      <c r="U32">
        <v>999991474</v>
      </c>
      <c r="V32" t="s">
        <v>73</v>
      </c>
      <c r="W32">
        <v>37</v>
      </c>
      <c r="X32">
        <v>597697989</v>
      </c>
      <c r="Y32">
        <v>450199837</v>
      </c>
      <c r="Z32">
        <v>1047897826</v>
      </c>
      <c r="AA32">
        <v>999991474</v>
      </c>
      <c r="AB32">
        <v>1.75322</v>
      </c>
      <c r="AC32">
        <v>2.2212200000000002</v>
      </c>
      <c r="AD32">
        <v>1.95428</v>
      </c>
      <c r="AE32">
        <v>29.602399999999999</v>
      </c>
      <c r="AF32">
        <v>58682278256</v>
      </c>
      <c r="AG32">
        <v>768830318</v>
      </c>
      <c r="AH32">
        <v>0</v>
      </c>
      <c r="AI32">
        <v>512527289</v>
      </c>
      <c r="AJ32">
        <v>768830318</v>
      </c>
      <c r="AK32">
        <v>1281357607</v>
      </c>
      <c r="AL32">
        <v>25627677</v>
      </c>
      <c r="AM32">
        <v>0</v>
      </c>
      <c r="AN32">
        <v>17084242</v>
      </c>
      <c r="AO32">
        <v>25627677</v>
      </c>
      <c r="AP32">
        <v>42711920</v>
      </c>
      <c r="AQ32">
        <v>58.193600000000004</v>
      </c>
      <c r="AR32">
        <v>32.895800000000001</v>
      </c>
      <c r="AS32">
        <v>12377.8</v>
      </c>
      <c r="AT32">
        <v>69550</v>
      </c>
      <c r="AU32">
        <v>32810</v>
      </c>
      <c r="AV32" t="str">
        <f t="shared" si="0"/>
        <v>40% updates, key range [0, 2*10^9)</v>
      </c>
    </row>
    <row r="33" spans="1:48">
      <c r="A33" t="s">
        <v>108</v>
      </c>
      <c r="B33" t="s">
        <v>66</v>
      </c>
      <c r="D33" t="s">
        <v>63</v>
      </c>
      <c r="E33" t="s">
        <v>59</v>
      </c>
      <c r="F33" t="s">
        <v>60</v>
      </c>
      <c r="G33">
        <v>30000</v>
      </c>
      <c r="H33">
        <v>20</v>
      </c>
      <c r="I33">
        <v>20</v>
      </c>
      <c r="J33">
        <v>0</v>
      </c>
      <c r="K33">
        <v>1</v>
      </c>
      <c r="L33">
        <v>2000000000</v>
      </c>
      <c r="M33">
        <v>190</v>
      </c>
      <c r="N33">
        <v>190</v>
      </c>
      <c r="O33">
        <v>190</v>
      </c>
      <c r="P33">
        <v>0</v>
      </c>
      <c r="Q33" t="s">
        <v>61</v>
      </c>
      <c r="R33">
        <v>9.9999074869060698E+17</v>
      </c>
      <c r="S33">
        <v>999990564</v>
      </c>
      <c r="T33">
        <v>9.9999074869060698E+17</v>
      </c>
      <c r="U33">
        <v>999990564</v>
      </c>
      <c r="V33" t="s">
        <v>73</v>
      </c>
      <c r="W33">
        <v>79</v>
      </c>
      <c r="X33">
        <v>999990563</v>
      </c>
      <c r="Y33">
        <v>999990564</v>
      </c>
      <c r="Z33">
        <v>1999981127</v>
      </c>
      <c r="AA33">
        <v>999990564</v>
      </c>
      <c r="AB33">
        <v>2</v>
      </c>
      <c r="AC33">
        <v>1</v>
      </c>
      <c r="AD33">
        <v>1.5</v>
      </c>
      <c r="AE33">
        <v>40.847999999999999</v>
      </c>
      <c r="AF33">
        <v>63999396064</v>
      </c>
      <c r="AG33">
        <v>612486579</v>
      </c>
      <c r="AH33">
        <v>0</v>
      </c>
      <c r="AI33">
        <v>408357479</v>
      </c>
      <c r="AJ33">
        <v>612486579</v>
      </c>
      <c r="AK33">
        <v>1020844058</v>
      </c>
      <c r="AL33">
        <v>20416219</v>
      </c>
      <c r="AM33">
        <v>0</v>
      </c>
      <c r="AN33">
        <v>13611915</v>
      </c>
      <c r="AO33">
        <v>20416219</v>
      </c>
      <c r="AP33">
        <v>34028135</v>
      </c>
      <c r="AQ33">
        <v>57.534700000000001</v>
      </c>
      <c r="AR33">
        <v>33.401899999999998</v>
      </c>
      <c r="AS33">
        <v>15532.3</v>
      </c>
      <c r="AT33">
        <v>69306</v>
      </c>
      <c r="AU33">
        <v>33826</v>
      </c>
      <c r="AV33" t="str">
        <f t="shared" si="0"/>
        <v>40% updates, key range [0, 2*10^9)</v>
      </c>
    </row>
    <row r="34" spans="1:48">
      <c r="A34" t="s">
        <v>109</v>
      </c>
      <c r="B34" t="s">
        <v>62</v>
      </c>
      <c r="C34">
        <v>72</v>
      </c>
      <c r="D34" t="s">
        <v>63</v>
      </c>
      <c r="E34" t="s">
        <v>59</v>
      </c>
      <c r="F34" t="s">
        <v>60</v>
      </c>
      <c r="G34">
        <v>30000</v>
      </c>
      <c r="H34">
        <v>20</v>
      </c>
      <c r="I34">
        <v>20</v>
      </c>
      <c r="J34">
        <v>0</v>
      </c>
      <c r="K34">
        <v>1</v>
      </c>
      <c r="L34">
        <v>2000000000</v>
      </c>
      <c r="M34">
        <v>190</v>
      </c>
      <c r="N34">
        <v>190</v>
      </c>
      <c r="O34">
        <v>190</v>
      </c>
      <c r="P34">
        <v>0</v>
      </c>
      <c r="Q34" t="s">
        <v>61</v>
      </c>
      <c r="R34">
        <v>9.9996456167249395E+17</v>
      </c>
      <c r="S34">
        <v>999978158</v>
      </c>
      <c r="T34">
        <v>9.9996456167249395E+17</v>
      </c>
      <c r="U34">
        <v>999978158</v>
      </c>
      <c r="V34" t="s">
        <v>73</v>
      </c>
      <c r="W34">
        <v>7</v>
      </c>
      <c r="X34">
        <v>118255990</v>
      </c>
      <c r="Y34">
        <v>1150766291</v>
      </c>
      <c r="Z34">
        <v>1269022281</v>
      </c>
      <c r="AA34">
        <v>999978158</v>
      </c>
      <c r="AB34">
        <v>10.7311</v>
      </c>
      <c r="AC34">
        <v>0.86896700000000004</v>
      </c>
      <c r="AD34">
        <v>1.78799</v>
      </c>
      <c r="AE34">
        <v>4.0723399999999996</v>
      </c>
      <c r="AF34">
        <v>27924190304</v>
      </c>
      <c r="AG34">
        <v>1447625047</v>
      </c>
      <c r="AH34">
        <v>0</v>
      </c>
      <c r="AI34">
        <v>965065908</v>
      </c>
      <c r="AJ34">
        <v>1447625047</v>
      </c>
      <c r="AK34">
        <v>2412690955</v>
      </c>
      <c r="AL34">
        <v>48254168</v>
      </c>
      <c r="AM34">
        <v>0</v>
      </c>
      <c r="AN34">
        <v>32168863</v>
      </c>
      <c r="AO34">
        <v>48254168</v>
      </c>
      <c r="AP34">
        <v>80423031</v>
      </c>
      <c r="AQ34">
        <v>30.552</v>
      </c>
      <c r="AR34">
        <v>19.643999999999998</v>
      </c>
      <c r="AS34">
        <v>5800.34</v>
      </c>
      <c r="AT34">
        <v>120720</v>
      </c>
      <c r="AU34">
        <v>9447</v>
      </c>
      <c r="AV34" t="str">
        <f t="shared" si="0"/>
        <v>40% updates, key range [0, 2*10^9)</v>
      </c>
    </row>
    <row r="35" spans="1:48">
      <c r="A35" t="s">
        <v>110</v>
      </c>
      <c r="B35" t="s">
        <v>64</v>
      </c>
      <c r="C35">
        <v>208</v>
      </c>
      <c r="D35" t="s">
        <v>63</v>
      </c>
      <c r="E35" t="s">
        <v>59</v>
      </c>
      <c r="F35" t="s">
        <v>60</v>
      </c>
      <c r="G35">
        <v>30000</v>
      </c>
      <c r="H35">
        <v>20</v>
      </c>
      <c r="I35">
        <v>20</v>
      </c>
      <c r="J35">
        <v>0</v>
      </c>
      <c r="K35">
        <v>1</v>
      </c>
      <c r="L35">
        <v>2000000000</v>
      </c>
      <c r="M35">
        <v>190</v>
      </c>
      <c r="N35">
        <v>190</v>
      </c>
      <c r="O35">
        <v>190</v>
      </c>
      <c r="P35">
        <v>0</v>
      </c>
      <c r="Q35" t="s">
        <v>61</v>
      </c>
      <c r="R35">
        <v>1.00002820500981E+18</v>
      </c>
      <c r="S35">
        <v>1000023649</v>
      </c>
      <c r="T35">
        <v>1.00002820500981E+18</v>
      </c>
      <c r="U35">
        <v>1000023649</v>
      </c>
      <c r="V35" t="s">
        <v>73</v>
      </c>
      <c r="W35">
        <v>12</v>
      </c>
      <c r="X35">
        <v>20671977</v>
      </c>
      <c r="Y35">
        <v>142233812</v>
      </c>
      <c r="Z35">
        <v>162905789</v>
      </c>
      <c r="AA35">
        <v>1000023649</v>
      </c>
      <c r="AB35">
        <v>7.8805100000000001</v>
      </c>
      <c r="AC35">
        <v>7.0308400000000004</v>
      </c>
      <c r="AD35">
        <v>7.1386599999999998</v>
      </c>
      <c r="AE35">
        <v>11</v>
      </c>
      <c r="AF35">
        <v>33884404112</v>
      </c>
      <c r="AG35">
        <v>1284433876</v>
      </c>
      <c r="AH35">
        <v>0</v>
      </c>
      <c r="AI35">
        <v>856350649</v>
      </c>
      <c r="AJ35">
        <v>1284433876</v>
      </c>
      <c r="AK35">
        <v>2140784525</v>
      </c>
      <c r="AL35">
        <v>42814462</v>
      </c>
      <c r="AM35">
        <v>0</v>
      </c>
      <c r="AN35">
        <v>28545021</v>
      </c>
      <c r="AO35">
        <v>42814462</v>
      </c>
      <c r="AP35">
        <v>71359484</v>
      </c>
      <c r="AQ35">
        <v>37.276499999999999</v>
      </c>
      <c r="AR35">
        <v>21.3339</v>
      </c>
      <c r="AS35">
        <v>7273.38</v>
      </c>
      <c r="AT35">
        <v>63015</v>
      </c>
      <c r="AU35">
        <v>61066</v>
      </c>
      <c r="AV35" t="str">
        <f t="shared" si="0"/>
        <v>40% updates, key range [0, 2*10^9)</v>
      </c>
    </row>
    <row r="36" spans="1:48">
      <c r="A36" t="s">
        <v>111</v>
      </c>
      <c r="B36" t="s">
        <v>65</v>
      </c>
      <c r="D36" t="s">
        <v>63</v>
      </c>
      <c r="E36" t="s">
        <v>59</v>
      </c>
      <c r="F36" t="s">
        <v>60</v>
      </c>
      <c r="G36">
        <v>30000</v>
      </c>
      <c r="H36">
        <v>20</v>
      </c>
      <c r="I36">
        <v>20</v>
      </c>
      <c r="J36">
        <v>0</v>
      </c>
      <c r="K36">
        <v>1</v>
      </c>
      <c r="L36">
        <v>2000000000</v>
      </c>
      <c r="M36">
        <v>190</v>
      </c>
      <c r="N36">
        <v>190</v>
      </c>
      <c r="O36">
        <v>190</v>
      </c>
      <c r="P36">
        <v>0</v>
      </c>
      <c r="Q36" t="s">
        <v>61</v>
      </c>
      <c r="R36">
        <v>1.00000625215421E+18</v>
      </c>
      <c r="S36">
        <v>999999875</v>
      </c>
      <c r="T36">
        <v>1.00000625215421E+18</v>
      </c>
      <c r="U36">
        <v>999999875</v>
      </c>
      <c r="V36" t="s">
        <v>73</v>
      </c>
      <c r="W36">
        <v>37</v>
      </c>
      <c r="X36">
        <v>597729318</v>
      </c>
      <c r="Y36">
        <v>450200806</v>
      </c>
      <c r="Z36">
        <v>1047930124</v>
      </c>
      <c r="AA36">
        <v>999999875</v>
      </c>
      <c r="AB36">
        <v>1.75319</v>
      </c>
      <c r="AC36">
        <v>2.2212299999999998</v>
      </c>
      <c r="AD36">
        <v>1.9542600000000001</v>
      </c>
      <c r="AE36">
        <v>29.573799999999999</v>
      </c>
      <c r="AF36">
        <v>58684086944</v>
      </c>
      <c r="AG36">
        <v>769014612</v>
      </c>
      <c r="AH36">
        <v>0</v>
      </c>
      <c r="AI36">
        <v>512712828</v>
      </c>
      <c r="AJ36">
        <v>769014612</v>
      </c>
      <c r="AK36">
        <v>1281727440</v>
      </c>
      <c r="AL36">
        <v>25633820</v>
      </c>
      <c r="AM36">
        <v>0</v>
      </c>
      <c r="AN36">
        <v>17090427</v>
      </c>
      <c r="AO36">
        <v>25633820</v>
      </c>
      <c r="AP36">
        <v>42724248</v>
      </c>
      <c r="AQ36">
        <v>58.007100000000001</v>
      </c>
      <c r="AR36">
        <v>32.900100000000002</v>
      </c>
      <c r="AS36">
        <v>12373.5</v>
      </c>
      <c r="AT36">
        <v>69555</v>
      </c>
      <c r="AU36">
        <v>32823</v>
      </c>
      <c r="AV36" t="str">
        <f t="shared" si="0"/>
        <v>40% updates, key range [0, 2*10^9)</v>
      </c>
    </row>
    <row r="37" spans="1:48">
      <c r="A37" t="s">
        <v>112</v>
      </c>
      <c r="B37" t="s">
        <v>66</v>
      </c>
      <c r="D37" t="s">
        <v>63</v>
      </c>
      <c r="E37" t="s">
        <v>59</v>
      </c>
      <c r="F37" t="s">
        <v>60</v>
      </c>
      <c r="G37">
        <v>30000</v>
      </c>
      <c r="H37">
        <v>20</v>
      </c>
      <c r="I37">
        <v>20</v>
      </c>
      <c r="J37">
        <v>0</v>
      </c>
      <c r="K37">
        <v>1</v>
      </c>
      <c r="L37">
        <v>2000000000</v>
      </c>
      <c r="M37">
        <v>190</v>
      </c>
      <c r="N37">
        <v>190</v>
      </c>
      <c r="O37">
        <v>190</v>
      </c>
      <c r="P37">
        <v>0</v>
      </c>
      <c r="Q37" t="s">
        <v>61</v>
      </c>
      <c r="R37">
        <v>9.99990151113472E+17</v>
      </c>
      <c r="S37">
        <v>999993276</v>
      </c>
      <c r="T37">
        <v>9.99990151113472E+17</v>
      </c>
      <c r="U37">
        <v>999993276</v>
      </c>
      <c r="V37" t="s">
        <v>73</v>
      </c>
      <c r="W37">
        <v>79</v>
      </c>
      <c r="X37">
        <v>999993275</v>
      </c>
      <c r="Y37">
        <v>999993276</v>
      </c>
      <c r="Z37">
        <v>1999986551</v>
      </c>
      <c r="AA37">
        <v>999993276</v>
      </c>
      <c r="AB37">
        <v>2</v>
      </c>
      <c r="AC37">
        <v>1</v>
      </c>
      <c r="AD37">
        <v>1.5</v>
      </c>
      <c r="AE37">
        <v>40.353299999999997</v>
      </c>
      <c r="AF37">
        <v>63999569632</v>
      </c>
      <c r="AG37">
        <v>613649113</v>
      </c>
      <c r="AH37">
        <v>0</v>
      </c>
      <c r="AI37">
        <v>409131715</v>
      </c>
      <c r="AJ37">
        <v>613649113</v>
      </c>
      <c r="AK37">
        <v>1022780828</v>
      </c>
      <c r="AL37">
        <v>20454970</v>
      </c>
      <c r="AM37">
        <v>0</v>
      </c>
      <c r="AN37">
        <v>13637723</v>
      </c>
      <c r="AO37">
        <v>20454970</v>
      </c>
      <c r="AP37">
        <v>34092694</v>
      </c>
      <c r="AQ37">
        <v>57.276899999999998</v>
      </c>
      <c r="AR37">
        <v>33.4069</v>
      </c>
      <c r="AS37">
        <v>15503.3</v>
      </c>
      <c r="AT37">
        <v>69311</v>
      </c>
      <c r="AU37">
        <v>33761</v>
      </c>
      <c r="AV37" t="str">
        <f t="shared" si="0"/>
        <v>40% updates, key range [0, 2*10^9)</v>
      </c>
    </row>
    <row r="38" spans="1:48">
      <c r="A38" t="s">
        <v>113</v>
      </c>
      <c r="B38" t="s">
        <v>62</v>
      </c>
      <c r="C38">
        <v>72</v>
      </c>
      <c r="D38" t="s">
        <v>63</v>
      </c>
      <c r="E38" t="s">
        <v>59</v>
      </c>
      <c r="F38" t="s">
        <v>60</v>
      </c>
      <c r="G38">
        <v>30000</v>
      </c>
      <c r="H38">
        <v>20</v>
      </c>
      <c r="I38">
        <v>20</v>
      </c>
      <c r="J38">
        <v>0</v>
      </c>
      <c r="K38">
        <v>1</v>
      </c>
      <c r="L38">
        <v>2000000000</v>
      </c>
      <c r="M38">
        <v>190</v>
      </c>
      <c r="N38">
        <v>190</v>
      </c>
      <c r="O38">
        <v>190</v>
      </c>
      <c r="P38">
        <v>0</v>
      </c>
      <c r="Q38" t="s">
        <v>61</v>
      </c>
      <c r="R38">
        <v>9.9998633291702899E+17</v>
      </c>
      <c r="S38">
        <v>999984684</v>
      </c>
      <c r="T38">
        <v>9.9998633291702899E+17</v>
      </c>
      <c r="U38">
        <v>999984684</v>
      </c>
      <c r="V38" t="s">
        <v>73</v>
      </c>
      <c r="W38">
        <v>7</v>
      </c>
      <c r="X38">
        <v>117902473</v>
      </c>
      <c r="Y38">
        <v>1150006235</v>
      </c>
      <c r="Z38">
        <v>1267908708</v>
      </c>
      <c r="AA38">
        <v>999984684</v>
      </c>
      <c r="AB38">
        <v>10.7539</v>
      </c>
      <c r="AC38">
        <v>0.86954699999999996</v>
      </c>
      <c r="AD38">
        <v>1.7886899999999999</v>
      </c>
      <c r="AE38">
        <v>4.07158</v>
      </c>
      <c r="AF38">
        <v>27883145504</v>
      </c>
      <c r="AG38">
        <v>1449359905</v>
      </c>
      <c r="AH38">
        <v>0</v>
      </c>
      <c r="AI38">
        <v>966277639</v>
      </c>
      <c r="AJ38">
        <v>1449359905</v>
      </c>
      <c r="AK38">
        <v>2415637544</v>
      </c>
      <c r="AL38">
        <v>48311996</v>
      </c>
      <c r="AM38">
        <v>0</v>
      </c>
      <c r="AN38">
        <v>32209254</v>
      </c>
      <c r="AO38">
        <v>48311996</v>
      </c>
      <c r="AP38">
        <v>80521251</v>
      </c>
      <c r="AQ38">
        <v>30.539899999999999</v>
      </c>
      <c r="AR38">
        <v>19.652100000000001</v>
      </c>
      <c r="AS38">
        <v>5799.27</v>
      </c>
      <c r="AT38">
        <v>120716</v>
      </c>
      <c r="AU38">
        <v>9108</v>
      </c>
      <c r="AV38" t="str">
        <f t="shared" si="0"/>
        <v>40% updates, key range [0, 2*10^9)</v>
      </c>
    </row>
    <row r="39" spans="1:48">
      <c r="A39" t="s">
        <v>114</v>
      </c>
      <c r="B39" t="s">
        <v>64</v>
      </c>
      <c r="C39">
        <v>208</v>
      </c>
      <c r="D39" t="s">
        <v>63</v>
      </c>
      <c r="E39" t="s">
        <v>59</v>
      </c>
      <c r="F39" t="s">
        <v>60</v>
      </c>
      <c r="G39">
        <v>30000</v>
      </c>
      <c r="H39">
        <v>20</v>
      </c>
      <c r="I39">
        <v>20</v>
      </c>
      <c r="J39">
        <v>0</v>
      </c>
      <c r="K39">
        <v>1</v>
      </c>
      <c r="L39">
        <v>2000000000</v>
      </c>
      <c r="M39">
        <v>190</v>
      </c>
      <c r="N39">
        <v>190</v>
      </c>
      <c r="O39">
        <v>190</v>
      </c>
      <c r="P39">
        <v>0</v>
      </c>
      <c r="Q39" t="s">
        <v>61</v>
      </c>
      <c r="R39">
        <v>9.9995797214639296E+17</v>
      </c>
      <c r="S39">
        <v>999973655</v>
      </c>
      <c r="T39">
        <v>9.9995797214639296E+17</v>
      </c>
      <c r="U39">
        <v>999973655</v>
      </c>
      <c r="V39" t="s">
        <v>73</v>
      </c>
      <c r="W39">
        <v>12</v>
      </c>
      <c r="X39">
        <v>20671026</v>
      </c>
      <c r="Y39">
        <v>142218158</v>
      </c>
      <c r="Z39">
        <v>162889184</v>
      </c>
      <c r="AA39">
        <v>999973655</v>
      </c>
      <c r="AB39">
        <v>7.8800699999999999</v>
      </c>
      <c r="AC39">
        <v>7.0312700000000001</v>
      </c>
      <c r="AD39">
        <v>7.1389800000000001</v>
      </c>
      <c r="AE39">
        <v>11</v>
      </c>
      <c r="AF39">
        <v>33880950272</v>
      </c>
      <c r="AG39">
        <v>1282948333</v>
      </c>
      <c r="AH39">
        <v>0</v>
      </c>
      <c r="AI39">
        <v>855273563</v>
      </c>
      <c r="AJ39">
        <v>1282948333</v>
      </c>
      <c r="AK39">
        <v>2138221896</v>
      </c>
      <c r="AL39">
        <v>42764944</v>
      </c>
      <c r="AM39">
        <v>0</v>
      </c>
      <c r="AN39">
        <v>28509118</v>
      </c>
      <c r="AO39">
        <v>42764944</v>
      </c>
      <c r="AP39">
        <v>71274063</v>
      </c>
      <c r="AQ39">
        <v>37.359499999999997</v>
      </c>
      <c r="AR39">
        <v>21.303699999999999</v>
      </c>
      <c r="AS39">
        <v>7287.65</v>
      </c>
      <c r="AT39">
        <v>62931</v>
      </c>
      <c r="AU39">
        <v>61231</v>
      </c>
      <c r="AV39" t="str">
        <f t="shared" si="0"/>
        <v>40% updates, key range [0, 2*10^9)</v>
      </c>
    </row>
    <row r="40" spans="1:48">
      <c r="A40" t="s">
        <v>115</v>
      </c>
      <c r="B40" t="s">
        <v>65</v>
      </c>
      <c r="D40" t="s">
        <v>63</v>
      </c>
      <c r="E40" t="s">
        <v>59</v>
      </c>
      <c r="F40" t="s">
        <v>60</v>
      </c>
      <c r="G40">
        <v>30000</v>
      </c>
      <c r="H40">
        <v>20</v>
      </c>
      <c r="I40">
        <v>20</v>
      </c>
      <c r="J40">
        <v>0</v>
      </c>
      <c r="K40">
        <v>1</v>
      </c>
      <c r="L40">
        <v>2000000000</v>
      </c>
      <c r="M40">
        <v>190</v>
      </c>
      <c r="N40">
        <v>190</v>
      </c>
      <c r="O40">
        <v>190</v>
      </c>
      <c r="P40">
        <v>0</v>
      </c>
      <c r="Q40" t="s">
        <v>61</v>
      </c>
      <c r="R40">
        <v>9.9998217705111296E+17</v>
      </c>
      <c r="S40">
        <v>999987382</v>
      </c>
      <c r="T40">
        <v>9.9998217705111296E+17</v>
      </c>
      <c r="U40">
        <v>999987382</v>
      </c>
      <c r="V40" t="s">
        <v>73</v>
      </c>
      <c r="W40">
        <v>37</v>
      </c>
      <c r="X40">
        <v>597703793</v>
      </c>
      <c r="Y40">
        <v>450205769</v>
      </c>
      <c r="Z40">
        <v>1047909562</v>
      </c>
      <c r="AA40">
        <v>999987382</v>
      </c>
      <c r="AB40">
        <v>1.7532300000000001</v>
      </c>
      <c r="AC40">
        <v>2.2211799999999999</v>
      </c>
      <c r="AD40">
        <v>1.95427</v>
      </c>
      <c r="AE40">
        <v>29.555700000000002</v>
      </c>
      <c r="AF40">
        <v>58682935472</v>
      </c>
      <c r="AG40">
        <v>769285702</v>
      </c>
      <c r="AH40">
        <v>0</v>
      </c>
      <c r="AI40">
        <v>512848613</v>
      </c>
      <c r="AJ40">
        <v>769285702</v>
      </c>
      <c r="AK40">
        <v>1282134315</v>
      </c>
      <c r="AL40">
        <v>25642856</v>
      </c>
      <c r="AM40">
        <v>0</v>
      </c>
      <c r="AN40">
        <v>17094953</v>
      </c>
      <c r="AO40">
        <v>25642856</v>
      </c>
      <c r="AP40">
        <v>42737810</v>
      </c>
      <c r="AQ40">
        <v>58.136699999999998</v>
      </c>
      <c r="AR40">
        <v>32.906199999999998</v>
      </c>
      <c r="AS40">
        <v>12370.4</v>
      </c>
      <c r="AT40">
        <v>69554</v>
      </c>
      <c r="AU40">
        <v>32750</v>
      </c>
      <c r="AV40" t="str">
        <f t="shared" si="0"/>
        <v>40% updates, key range [0, 2*10^9)</v>
      </c>
    </row>
    <row r="41" spans="1:48">
      <c r="A41" t="s">
        <v>116</v>
      </c>
      <c r="B41" t="s">
        <v>66</v>
      </c>
      <c r="D41" t="s">
        <v>63</v>
      </c>
      <c r="E41" t="s">
        <v>59</v>
      </c>
      <c r="F41" t="s">
        <v>60</v>
      </c>
      <c r="G41">
        <v>30000</v>
      </c>
      <c r="H41">
        <v>20</v>
      </c>
      <c r="I41">
        <v>20</v>
      </c>
      <c r="J41">
        <v>0</v>
      </c>
      <c r="K41">
        <v>1</v>
      </c>
      <c r="L41">
        <v>2000000000</v>
      </c>
      <c r="M41">
        <v>190</v>
      </c>
      <c r="N41">
        <v>190</v>
      </c>
      <c r="O41">
        <v>190</v>
      </c>
      <c r="P41">
        <v>0</v>
      </c>
      <c r="Q41" t="s">
        <v>61</v>
      </c>
      <c r="R41">
        <v>9.9999249724206502E+17</v>
      </c>
      <c r="S41">
        <v>1000005505</v>
      </c>
      <c r="T41">
        <v>9.9999249724206502E+17</v>
      </c>
      <c r="U41">
        <v>1000005505</v>
      </c>
      <c r="V41" t="s">
        <v>73</v>
      </c>
      <c r="W41">
        <v>79</v>
      </c>
      <c r="X41">
        <v>1000005504</v>
      </c>
      <c r="Y41">
        <v>1000005505</v>
      </c>
      <c r="Z41">
        <v>2000011009</v>
      </c>
      <c r="AA41">
        <v>1000005505</v>
      </c>
      <c r="AB41">
        <v>2</v>
      </c>
      <c r="AC41">
        <v>1</v>
      </c>
      <c r="AD41">
        <v>1.5</v>
      </c>
      <c r="AE41">
        <v>40.869999999999997</v>
      </c>
      <c r="AF41">
        <v>64000352288</v>
      </c>
      <c r="AG41">
        <v>613426787</v>
      </c>
      <c r="AH41">
        <v>0</v>
      </c>
      <c r="AI41">
        <v>408960722</v>
      </c>
      <c r="AJ41">
        <v>613426787</v>
      </c>
      <c r="AK41">
        <v>1022387509</v>
      </c>
      <c r="AL41">
        <v>20447559</v>
      </c>
      <c r="AM41">
        <v>0</v>
      </c>
      <c r="AN41">
        <v>13632024</v>
      </c>
      <c r="AO41">
        <v>20447559</v>
      </c>
      <c r="AP41">
        <v>34079583</v>
      </c>
      <c r="AQ41">
        <v>57.186500000000002</v>
      </c>
      <c r="AR41">
        <v>33.387099999999997</v>
      </c>
      <c r="AS41">
        <v>15507.8</v>
      </c>
      <c r="AT41">
        <v>69311</v>
      </c>
      <c r="AU41">
        <v>33743</v>
      </c>
      <c r="AV41" t="str">
        <f t="shared" si="0"/>
        <v>40% updates, key range [0, 2*10^9)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48"/>
  <sheetViews>
    <sheetView tabSelected="1"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B2" t="s">
        <v>123</v>
      </c>
      <c r="Z2" s="2" t="s">
        <v>0</v>
      </c>
      <c r="AA2" t="s">
        <v>68</v>
      </c>
    </row>
    <row r="3" spans="1:27">
      <c r="Z3" s="2"/>
    </row>
    <row r="4" spans="1:27">
      <c r="B4" s="6" t="s">
        <v>18</v>
      </c>
      <c r="Z4" s="2"/>
    </row>
    <row r="5" spans="1:27">
      <c r="B5" t="s">
        <v>66</v>
      </c>
      <c r="C5" t="s">
        <v>65</v>
      </c>
      <c r="D5" t="s">
        <v>64</v>
      </c>
      <c r="E5" t="s">
        <v>62</v>
      </c>
      <c r="Z5" s="2"/>
    </row>
    <row r="6" spans="1:27">
      <c r="A6" t="s">
        <v>117</v>
      </c>
      <c r="B6" s="7">
        <v>64000181875.199997</v>
      </c>
      <c r="C6" s="7">
        <v>58683848731.199997</v>
      </c>
      <c r="D6" s="7">
        <v>33878747073.599998</v>
      </c>
      <c r="E6" s="7">
        <v>27894340672</v>
      </c>
      <c r="N6" s="2"/>
    </row>
    <row r="8" spans="1:27">
      <c r="N8" s="2"/>
    </row>
    <row r="13" spans="1:27">
      <c r="O13" s="3"/>
    </row>
    <row r="14" spans="1:27">
      <c r="Z14" s="2"/>
    </row>
    <row r="20" spans="1:6">
      <c r="B20" t="s">
        <v>119</v>
      </c>
      <c r="C20" t="s">
        <v>120</v>
      </c>
      <c r="D20" t="s">
        <v>121</v>
      </c>
      <c r="E20" t="s">
        <v>122</v>
      </c>
      <c r="F20">
        <f t="shared" ref="F20" si="0">F5</f>
        <v>0</v>
      </c>
    </row>
    <row r="21" spans="1:6">
      <c r="A21" t="str">
        <f>A6</f>
        <v>Average of tree_stats_sizeInBytes</v>
      </c>
      <c r="B21" s="7">
        <f t="shared" ref="B21:F21" si="1">B6</f>
        <v>64000181875.199997</v>
      </c>
      <c r="C21" s="7">
        <f t="shared" si="1"/>
        <v>58683848731.199997</v>
      </c>
      <c r="D21" s="7">
        <f t="shared" si="1"/>
        <v>33878747073.599998</v>
      </c>
      <c r="E21" s="7">
        <f t="shared" si="1"/>
        <v>27894340672</v>
      </c>
      <c r="F21" s="7">
        <f t="shared" si="1"/>
        <v>0</v>
      </c>
    </row>
    <row r="22" spans="1:6">
      <c r="A22">
        <f t="shared" ref="A22:F25" si="2">A7</f>
        <v>0</v>
      </c>
      <c r="B22" s="7">
        <f t="shared" ref="B22:F22" si="3">B7</f>
        <v>0</v>
      </c>
      <c r="C22" s="7">
        <f t="shared" si="3"/>
        <v>0</v>
      </c>
      <c r="D22" s="7">
        <f t="shared" si="3"/>
        <v>0</v>
      </c>
      <c r="E22" s="7">
        <f t="shared" si="3"/>
        <v>0</v>
      </c>
      <c r="F22" s="7">
        <f t="shared" si="3"/>
        <v>0</v>
      </c>
    </row>
    <row r="23" spans="1:6">
      <c r="A23">
        <f t="shared" si="2"/>
        <v>0</v>
      </c>
      <c r="B23" s="7">
        <f t="shared" ref="B23:F23" si="4">B8</f>
        <v>0</v>
      </c>
      <c r="C23" s="7">
        <f t="shared" si="4"/>
        <v>0</v>
      </c>
      <c r="D23" s="7">
        <f t="shared" si="4"/>
        <v>0</v>
      </c>
      <c r="E23" s="7">
        <f t="shared" si="4"/>
        <v>0</v>
      </c>
      <c r="F23" s="7">
        <f t="shared" si="4"/>
        <v>0</v>
      </c>
    </row>
    <row r="24" spans="1:6">
      <c r="A24">
        <f t="shared" si="2"/>
        <v>0</v>
      </c>
      <c r="B24" s="7">
        <f t="shared" si="2"/>
        <v>0</v>
      </c>
      <c r="C24" s="7">
        <f t="shared" si="2"/>
        <v>0</v>
      </c>
      <c r="D24" s="7">
        <f t="shared" si="2"/>
        <v>0</v>
      </c>
      <c r="E24" s="7">
        <f t="shared" si="2"/>
        <v>0</v>
      </c>
      <c r="F24" s="7">
        <f t="shared" si="2"/>
        <v>0</v>
      </c>
    </row>
    <row r="25" spans="1:6">
      <c r="A25">
        <f t="shared" si="2"/>
        <v>0</v>
      </c>
      <c r="B25" s="7">
        <f t="shared" si="2"/>
        <v>0</v>
      </c>
      <c r="C25" s="7">
        <f t="shared" si="2"/>
        <v>0</v>
      </c>
      <c r="D25" s="7">
        <f t="shared" si="2"/>
        <v>0</v>
      </c>
      <c r="E25" s="7">
        <f t="shared" si="2"/>
        <v>0</v>
      </c>
      <c r="F25" s="7">
        <f t="shared" si="2"/>
        <v>0</v>
      </c>
    </row>
    <row r="32" spans="1:6">
      <c r="B32" s="6" t="s">
        <v>18</v>
      </c>
    </row>
    <row r="33" spans="1:6">
      <c r="B33" t="s">
        <v>66</v>
      </c>
      <c r="C33" t="s">
        <v>65</v>
      </c>
      <c r="D33" t="s">
        <v>64</v>
      </c>
      <c r="E33" t="s">
        <v>62</v>
      </c>
    </row>
    <row r="34" spans="1:6">
      <c r="A34" t="s">
        <v>118</v>
      </c>
      <c r="B34" s="7">
        <v>862942.51321034005</v>
      </c>
      <c r="C34" s="7">
        <v>2674831.1331448364</v>
      </c>
      <c r="D34" s="7">
        <v>4102019.1152011412</v>
      </c>
      <c r="E34" s="7">
        <v>41041108.128763057</v>
      </c>
    </row>
    <row r="43" spans="1:6">
      <c r="A43">
        <f>A33</f>
        <v>0</v>
      </c>
      <c r="B43" t="str">
        <f>B33</f>
        <v>natarajan_ext_bst_lf</v>
      </c>
      <c r="C43" t="str">
        <f t="shared" ref="C43:F43" si="5">C33</f>
        <v>bronson_pext_bst_occ</v>
      </c>
      <c r="D43" t="str">
        <f t="shared" si="5"/>
        <v>brown_ext_abtree_lf</v>
      </c>
      <c r="E43" t="str">
        <f t="shared" si="5"/>
        <v>brown_ext_ist_lf</v>
      </c>
      <c r="F43">
        <f t="shared" si="5"/>
        <v>0</v>
      </c>
    </row>
    <row r="44" spans="1:6">
      <c r="A44" t="str">
        <f t="shared" ref="A44" si="6">A34</f>
        <v>StdDev of tree_stats_sizeInBytes</v>
      </c>
      <c r="B44" s="8">
        <f>B34/B6</f>
        <v>1.3483438451676171E-5</v>
      </c>
      <c r="C44" s="8">
        <f t="shared" ref="C44:E44" si="7">C34/C6</f>
        <v>4.5580363097806319E-5</v>
      </c>
      <c r="D44" s="8">
        <f t="shared" si="7"/>
        <v>1.2107942204266575E-4</v>
      </c>
      <c r="E44" s="8">
        <f t="shared" si="7"/>
        <v>1.471305904353553E-3</v>
      </c>
      <c r="F44">
        <f t="shared" ref="F44" si="8">F34</f>
        <v>0</v>
      </c>
    </row>
    <row r="45" spans="1:6">
      <c r="A45">
        <f t="shared" ref="A45" si="9">A35</f>
        <v>0</v>
      </c>
      <c r="B45">
        <f t="shared" ref="B45:F45" si="10">B35</f>
        <v>0</v>
      </c>
      <c r="C45">
        <f t="shared" si="10"/>
        <v>0</v>
      </c>
      <c r="D45">
        <f t="shared" si="10"/>
        <v>0</v>
      </c>
      <c r="E45">
        <f t="shared" si="10"/>
        <v>0</v>
      </c>
      <c r="F45">
        <f t="shared" si="10"/>
        <v>0</v>
      </c>
    </row>
    <row r="46" spans="1:6">
      <c r="A46">
        <f t="shared" ref="A46" si="11">A36</f>
        <v>0</v>
      </c>
      <c r="B46">
        <f t="shared" ref="B46:F46" si="12">B36</f>
        <v>0</v>
      </c>
      <c r="C46">
        <f t="shared" si="12"/>
        <v>0</v>
      </c>
      <c r="D46">
        <f t="shared" si="12"/>
        <v>0</v>
      </c>
      <c r="E46">
        <f t="shared" si="12"/>
        <v>0</v>
      </c>
      <c r="F46">
        <f t="shared" si="12"/>
        <v>0</v>
      </c>
    </row>
    <row r="47" spans="1:6">
      <c r="A47">
        <f t="shared" ref="A47" si="13">A37</f>
        <v>0</v>
      </c>
      <c r="B47">
        <f t="shared" ref="B47:F47" si="14">B37</f>
        <v>0</v>
      </c>
      <c r="C47">
        <f t="shared" si="14"/>
        <v>0</v>
      </c>
      <c r="D47">
        <f t="shared" si="14"/>
        <v>0</v>
      </c>
      <c r="E47">
        <f t="shared" si="14"/>
        <v>0</v>
      </c>
      <c r="F47">
        <f t="shared" si="14"/>
        <v>0</v>
      </c>
    </row>
    <row r="48" spans="1:6">
      <c r="A48">
        <f t="shared" ref="A48" si="15">A38</f>
        <v>0</v>
      </c>
      <c r="B48">
        <f t="shared" ref="B48:F48" si="16">B38</f>
        <v>0</v>
      </c>
      <c r="C48">
        <f t="shared" si="16"/>
        <v>0</v>
      </c>
      <c r="D48">
        <f t="shared" si="16"/>
        <v>0</v>
      </c>
      <c r="E48">
        <f t="shared" si="16"/>
        <v>0</v>
      </c>
      <c r="F48">
        <f t="shared" si="16"/>
        <v>0</v>
      </c>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instructions</vt:lpstr>
      <vt:lpstr>data</vt:lpstr>
      <vt:lpstr>pivot</vt:lpstr>
      <vt:lpstr>data!ExternalData_11</vt:lpstr>
      <vt:lpstr>data!ExternalData_12</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2019-06-05T18:42:31Z</dcterms:modified>
</cp:coreProperties>
</file>