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Users\t35brown\Documents\bitbucket\setbench\microbench\experiments\istree_scaling_threads\"/>
    </mc:Choice>
  </mc:AlternateContent>
  <bookViews>
    <workbookView xWindow="0" yWindow="0" windowWidth="28054" windowHeight="11811" activeTab="2"/>
  </bookViews>
  <sheets>
    <sheet name="instructions" sheetId="3" r:id="rId1"/>
    <sheet name="data" sheetId="2" r:id="rId2"/>
    <sheet name="pivot" sheetId="1" r:id="rId3"/>
  </sheets>
  <functionGroups builtInGroupCount="18"/>
  <definedNames>
    <definedName name="ExternalData_11" localSheetId="1">data!$A$1:$AP$1950</definedName>
    <definedName name="ExternalData_12" localSheetId="1">data!$A$1:$AT$406</definedName>
    <definedName name="ExternalData_13" localSheetId="1">data!$A$1:$AU$321</definedName>
  </definedNames>
  <calcPr calcId="162913"/>
  <pivotCaches>
    <pivotCache cacheId="96" r:id="rId4"/>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W72" i="2" l="1"/>
  <c r="AW3" i="2"/>
  <c r="AW4" i="2"/>
  <c r="AW5" i="2"/>
  <c r="AW6" i="2"/>
  <c r="AW7" i="2"/>
  <c r="AW8" i="2"/>
  <c r="AW9" i="2"/>
  <c r="AW10" i="2"/>
  <c r="AW11" i="2"/>
  <c r="AW12" i="2"/>
  <c r="AW13" i="2"/>
  <c r="AW14" i="2"/>
  <c r="AW15" i="2"/>
  <c r="AW16" i="2"/>
  <c r="AW17" i="2"/>
  <c r="AW18" i="2"/>
  <c r="AW19" i="2"/>
  <c r="AW20" i="2"/>
  <c r="AW21" i="2"/>
  <c r="AW22" i="2"/>
  <c r="AW23" i="2"/>
  <c r="AW24" i="2"/>
  <c r="AW25" i="2"/>
  <c r="AW26" i="2"/>
  <c r="AW27" i="2"/>
  <c r="AW28" i="2"/>
  <c r="AW29" i="2"/>
  <c r="AW30" i="2"/>
  <c r="AW31" i="2"/>
  <c r="AW32" i="2"/>
  <c r="AW33" i="2"/>
  <c r="AW34" i="2"/>
  <c r="AW35" i="2"/>
  <c r="AW36" i="2"/>
  <c r="AW37" i="2"/>
  <c r="AW38" i="2"/>
  <c r="AW39" i="2"/>
  <c r="AW40" i="2"/>
  <c r="AW41" i="2"/>
  <c r="AW42" i="2"/>
  <c r="AW43" i="2"/>
  <c r="AW44" i="2"/>
  <c r="AW45" i="2"/>
  <c r="AW46" i="2"/>
  <c r="AW47" i="2"/>
  <c r="AW48" i="2"/>
  <c r="AW49" i="2"/>
  <c r="AW50" i="2"/>
  <c r="AW51" i="2"/>
  <c r="AW52" i="2"/>
  <c r="AW53" i="2"/>
  <c r="AW54" i="2"/>
  <c r="AW55" i="2"/>
  <c r="AW56" i="2"/>
  <c r="AW57" i="2"/>
  <c r="AW58" i="2"/>
  <c r="AW59" i="2"/>
  <c r="AW60" i="2"/>
  <c r="AW61" i="2"/>
  <c r="AW62" i="2"/>
  <c r="AW63" i="2"/>
  <c r="AW64" i="2"/>
  <c r="AW65" i="2"/>
  <c r="AW66" i="2"/>
  <c r="AW67" i="2"/>
  <c r="AW68" i="2"/>
  <c r="AW69" i="2"/>
  <c r="AW70" i="2"/>
  <c r="AW71" i="2"/>
  <c r="AW73" i="2"/>
  <c r="AW74" i="2"/>
  <c r="AW75" i="2"/>
  <c r="AW76" i="2"/>
  <c r="AW77" i="2"/>
  <c r="AW78" i="2"/>
  <c r="AW79" i="2"/>
  <c r="AW80" i="2"/>
  <c r="AW81" i="2"/>
  <c r="AW82" i="2"/>
  <c r="AW83" i="2"/>
  <c r="AW84" i="2"/>
  <c r="AW85" i="2"/>
  <c r="AW86" i="2"/>
  <c r="AW87" i="2"/>
  <c r="AW88" i="2"/>
  <c r="AW89" i="2"/>
  <c r="AW90" i="2"/>
  <c r="AW91" i="2"/>
  <c r="AW92" i="2"/>
  <c r="AW93" i="2"/>
  <c r="AW94" i="2"/>
  <c r="AW95" i="2"/>
  <c r="AW96" i="2"/>
  <c r="AW97" i="2"/>
  <c r="AW98" i="2"/>
  <c r="AW99" i="2"/>
  <c r="AW100" i="2"/>
  <c r="AW101" i="2"/>
  <c r="AW102" i="2"/>
  <c r="AW103" i="2"/>
  <c r="AW104" i="2"/>
  <c r="AW105" i="2"/>
  <c r="AW106" i="2"/>
  <c r="AW107" i="2"/>
  <c r="AW108" i="2"/>
  <c r="AW109" i="2"/>
  <c r="AW110" i="2"/>
  <c r="AW111" i="2"/>
  <c r="AW112" i="2"/>
  <c r="AW113" i="2"/>
  <c r="AW114" i="2"/>
  <c r="AW115" i="2"/>
  <c r="AW116" i="2"/>
  <c r="AW117" i="2"/>
  <c r="AW118" i="2"/>
  <c r="AW119" i="2"/>
  <c r="AW120" i="2"/>
  <c r="AW121" i="2"/>
  <c r="AW122" i="2"/>
  <c r="AW123" i="2"/>
  <c r="AW124" i="2"/>
  <c r="AW125" i="2"/>
  <c r="AW126" i="2"/>
  <c r="AW127" i="2"/>
  <c r="AW128" i="2"/>
  <c r="AW129" i="2"/>
  <c r="AW130" i="2"/>
  <c r="AW131" i="2"/>
  <c r="AW132" i="2"/>
  <c r="AW133" i="2"/>
  <c r="AW134" i="2"/>
  <c r="AW135" i="2"/>
  <c r="AW136" i="2"/>
  <c r="AW137" i="2"/>
  <c r="AW138" i="2"/>
  <c r="AW139" i="2"/>
  <c r="AW140" i="2"/>
  <c r="AW141" i="2"/>
  <c r="AW142" i="2"/>
  <c r="AW143" i="2"/>
  <c r="AW144" i="2"/>
  <c r="AW145" i="2"/>
  <c r="AW146" i="2"/>
  <c r="AW147" i="2"/>
  <c r="AW148" i="2"/>
  <c r="AW149" i="2"/>
  <c r="AW150" i="2"/>
  <c r="AW151" i="2"/>
  <c r="AW152" i="2"/>
  <c r="AW153" i="2"/>
  <c r="AW154" i="2"/>
  <c r="AW155" i="2"/>
  <c r="AW156" i="2"/>
  <c r="AW157" i="2"/>
  <c r="AW158" i="2"/>
  <c r="AW159" i="2"/>
  <c r="AW160" i="2"/>
  <c r="AW161" i="2"/>
  <c r="AW162" i="2"/>
  <c r="AW163" i="2"/>
  <c r="AW164" i="2"/>
  <c r="AW165" i="2"/>
  <c r="AW166" i="2"/>
  <c r="AW167" i="2"/>
  <c r="AW168" i="2"/>
  <c r="AW169" i="2"/>
  <c r="AW170" i="2"/>
  <c r="AW171" i="2"/>
  <c r="AW172" i="2"/>
  <c r="AW173" i="2"/>
  <c r="AW174" i="2"/>
  <c r="AW175" i="2"/>
  <c r="AW176" i="2"/>
  <c r="AW177" i="2"/>
  <c r="AW178" i="2"/>
  <c r="AW179" i="2"/>
  <c r="AW180" i="2"/>
  <c r="AW181" i="2"/>
  <c r="AW182" i="2"/>
  <c r="AW183" i="2"/>
  <c r="AW184" i="2"/>
  <c r="AW185" i="2"/>
  <c r="AW186" i="2"/>
  <c r="AW187" i="2"/>
  <c r="AW188" i="2"/>
  <c r="AW189" i="2"/>
  <c r="AW190" i="2"/>
  <c r="AW191" i="2"/>
  <c r="AW192" i="2"/>
  <c r="AW193" i="2"/>
  <c r="AW194" i="2"/>
  <c r="AW195" i="2"/>
  <c r="AW196" i="2"/>
  <c r="AW197" i="2"/>
  <c r="AW198" i="2"/>
  <c r="AW199" i="2"/>
  <c r="AW200" i="2"/>
  <c r="AW201" i="2"/>
  <c r="AW202" i="2"/>
  <c r="AW203" i="2"/>
  <c r="AW204" i="2"/>
  <c r="AW205" i="2"/>
  <c r="AW206" i="2"/>
  <c r="AW207" i="2"/>
  <c r="AW208" i="2"/>
  <c r="AW209" i="2"/>
  <c r="AW210" i="2"/>
  <c r="AW211" i="2"/>
  <c r="AW212" i="2"/>
  <c r="AW213" i="2"/>
  <c r="AW214" i="2"/>
  <c r="AW215" i="2"/>
  <c r="AW216" i="2"/>
  <c r="AW217" i="2"/>
  <c r="AW218" i="2"/>
  <c r="AW219" i="2"/>
  <c r="AW220" i="2"/>
  <c r="AW221" i="2"/>
  <c r="AW222" i="2"/>
  <c r="AW223" i="2"/>
  <c r="AW224" i="2"/>
  <c r="AW225" i="2"/>
  <c r="AW226" i="2"/>
  <c r="AW227" i="2"/>
  <c r="AW228" i="2"/>
  <c r="AW229" i="2"/>
  <c r="AW230" i="2"/>
  <c r="AW231" i="2"/>
  <c r="AW232" i="2"/>
  <c r="AW233" i="2"/>
  <c r="AW234" i="2"/>
  <c r="AW235" i="2"/>
  <c r="AW236" i="2"/>
  <c r="AW237" i="2"/>
  <c r="AW238" i="2"/>
  <c r="AW239" i="2"/>
  <c r="AW240" i="2"/>
  <c r="AW241" i="2"/>
  <c r="AW242" i="2"/>
  <c r="AW243" i="2"/>
  <c r="AW244" i="2"/>
  <c r="AW245" i="2"/>
  <c r="AW246" i="2"/>
  <c r="AW247" i="2"/>
  <c r="AW248" i="2"/>
  <c r="AW249" i="2"/>
  <c r="AW250" i="2"/>
  <c r="AW251" i="2"/>
  <c r="AW252" i="2"/>
  <c r="AW253" i="2"/>
  <c r="AW254" i="2"/>
  <c r="AW255" i="2"/>
  <c r="AW256" i="2"/>
  <c r="AW257" i="2"/>
  <c r="AW258" i="2"/>
  <c r="AW259" i="2"/>
  <c r="AW260" i="2"/>
  <c r="AW261" i="2"/>
  <c r="AW262" i="2"/>
  <c r="AW263" i="2"/>
  <c r="AW264" i="2"/>
  <c r="AW265" i="2"/>
  <c r="AW266" i="2"/>
  <c r="AW267" i="2"/>
  <c r="AW268" i="2"/>
  <c r="AW269" i="2"/>
  <c r="AW270" i="2"/>
  <c r="AW271" i="2"/>
  <c r="AW272" i="2"/>
  <c r="AW273" i="2"/>
  <c r="AW274" i="2"/>
  <c r="AW275" i="2"/>
  <c r="AW276" i="2"/>
  <c r="AW277" i="2"/>
  <c r="AW278" i="2"/>
  <c r="AW279" i="2"/>
  <c r="AW280" i="2"/>
  <c r="AW281" i="2"/>
  <c r="AW282" i="2"/>
  <c r="AW283" i="2"/>
  <c r="AW284" i="2"/>
  <c r="AW285" i="2"/>
  <c r="AW286" i="2"/>
  <c r="AW287" i="2"/>
  <c r="AW288" i="2"/>
  <c r="AW289" i="2"/>
  <c r="AW290" i="2"/>
  <c r="AW291" i="2"/>
  <c r="AW292" i="2"/>
  <c r="AW293" i="2"/>
  <c r="AW294" i="2"/>
  <c r="AW295" i="2"/>
  <c r="AW296" i="2"/>
  <c r="AW297" i="2"/>
  <c r="AW298" i="2"/>
  <c r="AW299" i="2"/>
  <c r="AW300" i="2"/>
  <c r="AW301" i="2"/>
  <c r="AW302" i="2"/>
  <c r="AW303" i="2"/>
  <c r="AW304" i="2"/>
  <c r="AW305" i="2"/>
  <c r="AW306" i="2"/>
  <c r="AW307" i="2"/>
  <c r="AW308" i="2"/>
  <c r="AW309" i="2"/>
  <c r="AW310" i="2"/>
  <c r="AW311" i="2"/>
  <c r="AW312" i="2"/>
  <c r="AW313" i="2"/>
  <c r="AW314" i="2"/>
  <c r="AW315" i="2"/>
  <c r="AW316" i="2"/>
  <c r="AW317" i="2"/>
  <c r="AW318" i="2"/>
  <c r="AW319" i="2"/>
  <c r="AW320" i="2"/>
  <c r="AW321" i="2"/>
  <c r="AW2" i="2"/>
  <c r="AV3" i="2"/>
  <c r="AV4" i="2"/>
  <c r="AV5" i="2"/>
  <c r="AV6" i="2"/>
  <c r="AV7" i="2"/>
  <c r="AV8" i="2"/>
  <c r="AV9" i="2"/>
  <c r="AV10" i="2"/>
  <c r="AV11" i="2"/>
  <c r="AV12" i="2"/>
  <c r="AV13" i="2"/>
  <c r="AV14" i="2"/>
  <c r="AV15" i="2"/>
  <c r="AV16" i="2"/>
  <c r="AV17" i="2"/>
  <c r="AV18" i="2"/>
  <c r="AV19" i="2"/>
  <c r="AV20" i="2"/>
  <c r="AV21" i="2"/>
  <c r="AV22" i="2"/>
  <c r="AV23" i="2"/>
  <c r="AV24" i="2"/>
  <c r="AV25" i="2"/>
  <c r="AV26" i="2"/>
  <c r="AV27" i="2"/>
  <c r="AV28" i="2"/>
  <c r="AV29" i="2"/>
  <c r="AV30" i="2"/>
  <c r="AV31" i="2"/>
  <c r="AV32" i="2"/>
  <c r="AV33" i="2"/>
  <c r="AV34" i="2"/>
  <c r="AV35" i="2"/>
  <c r="AV36" i="2"/>
  <c r="AV37" i="2"/>
  <c r="AV38" i="2"/>
  <c r="AV39" i="2"/>
  <c r="AV40" i="2"/>
  <c r="AV41" i="2"/>
  <c r="AV42" i="2"/>
  <c r="AV43" i="2"/>
  <c r="AV44" i="2"/>
  <c r="AV45" i="2"/>
  <c r="AV46" i="2"/>
  <c r="AV47" i="2"/>
  <c r="AV48" i="2"/>
  <c r="AV49" i="2"/>
  <c r="AV50" i="2"/>
  <c r="AV51" i="2"/>
  <c r="AV52" i="2"/>
  <c r="AV53" i="2"/>
  <c r="AV54" i="2"/>
  <c r="AV55" i="2"/>
  <c r="AV56" i="2"/>
  <c r="AV57" i="2"/>
  <c r="AV58" i="2"/>
  <c r="AV59" i="2"/>
  <c r="AV60" i="2"/>
  <c r="AV61" i="2"/>
  <c r="AV62" i="2"/>
  <c r="AV63" i="2"/>
  <c r="AV64" i="2"/>
  <c r="AV65" i="2"/>
  <c r="AV66" i="2"/>
  <c r="AV67" i="2"/>
  <c r="AV68" i="2"/>
  <c r="AV69" i="2"/>
  <c r="AV70" i="2"/>
  <c r="AV71" i="2"/>
  <c r="AV72" i="2"/>
  <c r="AV73" i="2"/>
  <c r="AV74" i="2"/>
  <c r="AV75" i="2"/>
  <c r="AV76" i="2"/>
  <c r="AV77" i="2"/>
  <c r="AV78" i="2"/>
  <c r="AV79" i="2"/>
  <c r="AV80" i="2"/>
  <c r="AV81" i="2"/>
  <c r="AV82" i="2"/>
  <c r="AV83" i="2"/>
  <c r="AV84" i="2"/>
  <c r="AV85" i="2"/>
  <c r="AV86" i="2"/>
  <c r="AV87" i="2"/>
  <c r="AV88" i="2"/>
  <c r="AV89" i="2"/>
  <c r="AV90" i="2"/>
  <c r="AV91" i="2"/>
  <c r="AV92" i="2"/>
  <c r="AV93" i="2"/>
  <c r="AV94" i="2"/>
  <c r="AV95" i="2"/>
  <c r="AV96" i="2"/>
  <c r="AV97" i="2"/>
  <c r="AV98" i="2"/>
  <c r="AV99" i="2"/>
  <c r="AV100" i="2"/>
  <c r="AV101" i="2"/>
  <c r="AV102" i="2"/>
  <c r="AV103" i="2"/>
  <c r="AV104" i="2"/>
  <c r="AV105" i="2"/>
  <c r="AV106" i="2"/>
  <c r="AV107" i="2"/>
  <c r="AV108" i="2"/>
  <c r="AV109" i="2"/>
  <c r="AV110" i="2"/>
  <c r="AV111" i="2"/>
  <c r="AV112" i="2"/>
  <c r="AV113" i="2"/>
  <c r="AV114" i="2"/>
  <c r="AV115" i="2"/>
  <c r="AV116" i="2"/>
  <c r="AV117" i="2"/>
  <c r="AV118" i="2"/>
  <c r="AV119" i="2"/>
  <c r="AV120" i="2"/>
  <c r="AV121" i="2"/>
  <c r="AV122" i="2"/>
  <c r="AV123" i="2"/>
  <c r="AV124" i="2"/>
  <c r="AV125" i="2"/>
  <c r="AV126" i="2"/>
  <c r="AV127" i="2"/>
  <c r="AV128" i="2"/>
  <c r="AV129" i="2"/>
  <c r="AV130" i="2"/>
  <c r="AV131" i="2"/>
  <c r="AV132" i="2"/>
  <c r="AV133" i="2"/>
  <c r="AV134" i="2"/>
  <c r="AV135" i="2"/>
  <c r="AV136" i="2"/>
  <c r="AV137" i="2"/>
  <c r="AV138" i="2"/>
  <c r="AV139" i="2"/>
  <c r="AV140" i="2"/>
  <c r="AV141" i="2"/>
  <c r="AV142" i="2"/>
  <c r="AV143" i="2"/>
  <c r="AV144" i="2"/>
  <c r="AV145" i="2"/>
  <c r="AV146" i="2"/>
  <c r="AV147" i="2"/>
  <c r="AV148" i="2"/>
  <c r="AV149" i="2"/>
  <c r="AV150" i="2"/>
  <c r="AV151" i="2"/>
  <c r="AV152" i="2"/>
  <c r="AV153" i="2"/>
  <c r="AV154" i="2"/>
  <c r="AV155" i="2"/>
  <c r="AV156" i="2"/>
  <c r="AV157" i="2"/>
  <c r="AV158" i="2"/>
  <c r="AV159" i="2"/>
  <c r="AV160" i="2"/>
  <c r="AV161" i="2"/>
  <c r="AV162" i="2"/>
  <c r="AV163" i="2"/>
  <c r="AV164" i="2"/>
  <c r="AV165" i="2"/>
  <c r="AV166" i="2"/>
  <c r="AV167" i="2"/>
  <c r="AV168" i="2"/>
  <c r="AV169" i="2"/>
  <c r="AV170" i="2"/>
  <c r="AV171" i="2"/>
  <c r="AV172" i="2"/>
  <c r="AV173" i="2"/>
  <c r="AV174" i="2"/>
  <c r="AV175" i="2"/>
  <c r="AV176" i="2"/>
  <c r="AV177" i="2"/>
  <c r="AV178" i="2"/>
  <c r="AV179" i="2"/>
  <c r="AV180" i="2"/>
  <c r="AV181" i="2"/>
  <c r="AV182" i="2"/>
  <c r="AV183" i="2"/>
  <c r="AV184" i="2"/>
  <c r="AV185" i="2"/>
  <c r="AV186" i="2"/>
  <c r="AV187" i="2"/>
  <c r="AV188" i="2"/>
  <c r="AV189" i="2"/>
  <c r="AV190" i="2"/>
  <c r="AV191" i="2"/>
  <c r="AV192" i="2"/>
  <c r="AV193" i="2"/>
  <c r="AV194" i="2"/>
  <c r="AV195" i="2"/>
  <c r="AV196" i="2"/>
  <c r="AV197" i="2"/>
  <c r="AV198" i="2"/>
  <c r="AV199" i="2"/>
  <c r="AV200" i="2"/>
  <c r="AV201" i="2"/>
  <c r="AV202" i="2"/>
  <c r="AV203" i="2"/>
  <c r="AV204" i="2"/>
  <c r="AV205" i="2"/>
  <c r="AV206" i="2"/>
  <c r="AV207" i="2"/>
  <c r="AV208" i="2"/>
  <c r="AV209" i="2"/>
  <c r="AV210" i="2"/>
  <c r="AV211" i="2"/>
  <c r="AV212" i="2"/>
  <c r="AV213" i="2"/>
  <c r="AV214" i="2"/>
  <c r="AV215" i="2"/>
  <c r="AV216" i="2"/>
  <c r="AV217" i="2"/>
  <c r="AV218" i="2"/>
  <c r="AV219" i="2"/>
  <c r="AV220" i="2"/>
  <c r="AV221" i="2"/>
  <c r="AV222" i="2"/>
  <c r="AV223" i="2"/>
  <c r="AV224" i="2"/>
  <c r="AV225" i="2"/>
  <c r="AV226" i="2"/>
  <c r="AV227" i="2"/>
  <c r="AV228" i="2"/>
  <c r="AV229" i="2"/>
  <c r="AV230" i="2"/>
  <c r="AV231" i="2"/>
  <c r="AV232" i="2"/>
  <c r="AV233" i="2"/>
  <c r="AV234" i="2"/>
  <c r="AV235" i="2"/>
  <c r="AV236" i="2"/>
  <c r="AV237" i="2"/>
  <c r="AV238" i="2"/>
  <c r="AV239" i="2"/>
  <c r="AV240" i="2"/>
  <c r="AV241" i="2"/>
  <c r="AV242" i="2"/>
  <c r="AV243" i="2"/>
  <c r="AV244" i="2"/>
  <c r="AV245" i="2"/>
  <c r="AV246" i="2"/>
  <c r="AV247" i="2"/>
  <c r="AV248" i="2"/>
  <c r="AV249" i="2"/>
  <c r="AV250" i="2"/>
  <c r="AV251" i="2"/>
  <c r="AV252" i="2"/>
  <c r="AV253" i="2"/>
  <c r="AV254" i="2"/>
  <c r="AV255" i="2"/>
  <c r="AV256" i="2"/>
  <c r="AV257" i="2"/>
  <c r="AV258" i="2"/>
  <c r="AV259" i="2"/>
  <c r="AV260" i="2"/>
  <c r="AV261" i="2"/>
  <c r="AV262" i="2"/>
  <c r="AV263" i="2"/>
  <c r="AV264" i="2"/>
  <c r="AV265" i="2"/>
  <c r="AV266" i="2"/>
  <c r="AV267" i="2"/>
  <c r="AV268" i="2"/>
  <c r="AV269" i="2"/>
  <c r="AV270" i="2"/>
  <c r="AV271" i="2"/>
  <c r="AV272" i="2"/>
  <c r="AV273" i="2"/>
  <c r="AV274" i="2"/>
  <c r="AV275" i="2"/>
  <c r="AV276" i="2"/>
  <c r="AV277" i="2"/>
  <c r="AV278" i="2"/>
  <c r="AV279" i="2"/>
  <c r="AV280" i="2"/>
  <c r="AV281" i="2"/>
  <c r="AV282" i="2"/>
  <c r="AV283" i="2"/>
  <c r="AV284" i="2"/>
  <c r="AV285" i="2"/>
  <c r="AV286" i="2"/>
  <c r="AV287" i="2"/>
  <c r="AV288" i="2"/>
  <c r="AV289" i="2"/>
  <c r="AV290" i="2"/>
  <c r="AV291" i="2"/>
  <c r="AV292" i="2"/>
  <c r="AV293" i="2"/>
  <c r="AV294" i="2"/>
  <c r="AV295" i="2"/>
  <c r="AV296" i="2"/>
  <c r="AV297" i="2"/>
  <c r="AV298" i="2"/>
  <c r="AV299" i="2"/>
  <c r="AV300" i="2"/>
  <c r="AV301" i="2"/>
  <c r="AV302" i="2"/>
  <c r="AV303" i="2"/>
  <c r="AV304" i="2"/>
  <c r="AV305" i="2"/>
  <c r="AV306" i="2"/>
  <c r="AV307" i="2"/>
  <c r="AV308" i="2"/>
  <c r="AV309" i="2"/>
  <c r="AV310" i="2"/>
  <c r="AV311" i="2"/>
  <c r="AV312" i="2"/>
  <c r="AV313" i="2"/>
  <c r="AV314" i="2"/>
  <c r="AV315" i="2"/>
  <c r="AV316" i="2"/>
  <c r="AV317" i="2"/>
  <c r="AV318" i="2"/>
  <c r="AV319" i="2"/>
  <c r="AV320" i="2"/>
  <c r="AV321" i="2"/>
  <c r="AV2" i="2"/>
  <c r="A24" i="1" l="1"/>
  <c r="B24" i="1"/>
  <c r="C24" i="1"/>
  <c r="D24" i="1"/>
  <c r="E24" i="1"/>
  <c r="F24" i="1"/>
  <c r="A25" i="1"/>
  <c r="B25" i="1"/>
  <c r="C25" i="1"/>
  <c r="D25" i="1"/>
  <c r="E25" i="1"/>
  <c r="F25" i="1"/>
  <c r="A23" i="1" l="1"/>
  <c r="A22" i="1"/>
  <c r="A21" i="1"/>
  <c r="F23" i="1"/>
  <c r="E23" i="1"/>
  <c r="D23" i="1"/>
  <c r="C23" i="1"/>
  <c r="B23" i="1"/>
  <c r="F22" i="1"/>
  <c r="E22" i="1"/>
  <c r="D22" i="1"/>
  <c r="C22" i="1"/>
  <c r="B22" i="1"/>
  <c r="F21" i="1"/>
  <c r="E21" i="1"/>
  <c r="D21" i="1"/>
  <c r="C21" i="1"/>
  <c r="B21" i="1"/>
  <c r="F20" i="1"/>
  <c r="E20" i="1"/>
  <c r="D20" i="1"/>
  <c r="C20" i="1"/>
  <c r="B20" i="1"/>
</calcChain>
</file>

<file path=xl/connections.xml><?xml version="1.0" encoding="utf-8"?>
<connections xmlns="http://schemas.openxmlformats.org/spreadsheetml/2006/main">
  <connection id="1" name="Connection" type="6" refreshedVersion="6" background="1" saveData="1">
    <textPr sourceFile="C:\Users\t35brown\Documents\bitbucket\setbench\microbench\experiments\istree_scaling_threads\data_filtered.csv" comma="1">
      <textFields>
        <textField/>
      </textFields>
    </textPr>
  </connection>
  <connection id="2" name="Connection1" type="6" refreshedVersion="6" background="1" saveData="1">
    <textPr sourceFile="C:\Users\t35brown\Documents\bitbucket\setbench\microbench\experiments\istree_scaling_threads\scaling_threads.csv" comma="1">
      <textFields>
        <textField/>
      </textFields>
    </textPr>
  </connection>
  <connection id="3" name="Connection7" type="6" refreshedVersion="5" background="1" saveData="1">
    <textPr sourceFile="C:\Users\tbrown\Documents\bitbucket\setbench\microbench\experiments\tuwien\data.csv" comma="1">
      <textFields>
        <textField/>
      </textFields>
    </textPr>
  </connection>
</connections>
</file>

<file path=xl/sharedStrings.xml><?xml version="1.0" encoding="utf-8"?>
<sst xmlns="http://schemas.openxmlformats.org/spreadsheetml/2006/main" count="2635" uniqueCount="692">
  <si>
    <t>Pivot filter cell</t>
  </si>
  <si>
    <t>Steps</t>
  </si>
  <si>
    <t>Click "Next graph" to change the pivot filter field to its next value and update the graph</t>
  </si>
  <si>
    <t>Click "Export graph" to export a PNG image of the graph</t>
  </si>
  <si>
    <t>Click "Export all" to cycle through all values of the pivot filter and export a PNG image of each resulting graph</t>
  </si>
  <si>
    <t>Your pivot table should have a filter-by field for which each value represents a graph you'd like to generate.</t>
  </si>
  <si>
    <t>Go to sheet "pivot" and design a pivot table for your data.</t>
  </si>
  <si>
    <t>Then, repeat steps 2-4. (Step 1 will automatically process the data for all sheets whose names begin with "pivot".)</t>
  </si>
  <si>
    <t>Note: this must be column Z</t>
  </si>
  <si>
    <t>Some cell near the top of the pivot table should contain a pull-down menu to select the value for this filter.</t>
  </si>
  <si>
    <t>Write the name of the cell (e.g., "B1") containing this filter pull-down menu in cell AA2.</t>
  </si>
  <si>
    <t>Graph range start</t>
  </si>
  <si>
    <t>Graph range end</t>
  </si>
  <si>
    <t>Customize the graph to your liking. It is linked to the data in the pivot table.</t>
  </si>
  <si>
    <t>The graph is carefully placed so that its top left corner is aligned with some cell Xn, and its bottom right corner is aligned with another cell Ym.</t>
  </si>
  <si>
    <t>These two cell names are written in cells AA3 and AA4 respectively.</t>
  </si>
  <si>
    <t>The graph export functionality takes a screenshot of the graph specifically in the rectangle defined by Range(AA3:AA4).</t>
  </si>
  <si>
    <t>If you want to change the size of the graph, one way is to resize the Excel cells the graph is contained in. Another way is to resize the graph, and update AA3 and AA4.</t>
  </si>
  <si>
    <t>If you need more types of graphs, duplicate the "pivot" sheet, and start the name of the new sheet with "pivot" (e.g., "pivot_throughput" or "pivot_cache_misses").</t>
  </si>
  <si>
    <t>Click this button and select a CSV file to import:</t>
  </si>
  <si>
    <t>Column Labels</t>
  </si>
  <si>
    <t>Row Labels</t>
  </si>
  <si>
    <t>Legend range start</t>
  </si>
  <si>
    <t>Legend range end</t>
  </si>
  <si>
    <t>AC3</t>
  </si>
  <si>
    <t>AT42</t>
  </si>
  <si>
    <t>filename</t>
  </si>
  <si>
    <t>DS_TYPENAME</t>
  </si>
  <si>
    <t>size_node</t>
  </si>
  <si>
    <t>RECLAIM</t>
  </si>
  <si>
    <t>ALLOC</t>
  </si>
  <si>
    <t>POOL</t>
  </si>
  <si>
    <t>MILLIS_TO_RUN</t>
  </si>
  <si>
    <t>INS</t>
  </si>
  <si>
    <t>DEL</t>
  </si>
  <si>
    <t>RQ</t>
  </si>
  <si>
    <t>RQSIZE</t>
  </si>
  <si>
    <t>MAXKEY</t>
  </si>
  <si>
    <t>PREFILL_THREADS</t>
  </si>
  <si>
    <t>TOTAL_THREADS</t>
  </si>
  <si>
    <t>WORK_THREADS</t>
  </si>
  <si>
    <t>RQ_THREADS</t>
  </si>
  <si>
    <t>INSERT_FUNC</t>
  </si>
  <si>
    <t>tree_stats_height</t>
  </si>
  <si>
    <t>tree_stats_numInternals</t>
  </si>
  <si>
    <t>tree_stats_numLeaves</t>
  </si>
  <si>
    <t>tree_stats_numNodes</t>
  </si>
  <si>
    <t>tree_stats_numKeys</t>
  </si>
  <si>
    <t>tree_stats_avgDegreeInternal</t>
  </si>
  <si>
    <t>tree_stats_avgDegreeLeaves</t>
  </si>
  <si>
    <t>tree_stats_avgDegree</t>
  </si>
  <si>
    <t>tree_stats_avgKeyDepth</t>
  </si>
  <si>
    <t>final_keysum</t>
  </si>
  <si>
    <t>total_find</t>
  </si>
  <si>
    <t>total_rq</t>
  </si>
  <si>
    <t>total_updates</t>
  </si>
  <si>
    <t>total_queries</t>
  </si>
  <si>
    <t>total_ops</t>
  </si>
  <si>
    <t>find_throughput</t>
  </si>
  <si>
    <t>rq_throughput</t>
  </si>
  <si>
    <t>update_throughput</t>
  </si>
  <si>
    <t>query_throughput</t>
  </si>
  <si>
    <t>total_throughput</t>
  </si>
  <si>
    <t>PAPI_L1_DCM</t>
  </si>
  <si>
    <t>PAPI_L2_TCM</t>
  </si>
  <si>
    <t>PAPI_L3_TCM</t>
  </si>
  <si>
    <t>PAPI_TOT_CYC</t>
  </si>
  <si>
    <t>PAPI_TOT_INS</t>
  </si>
  <si>
    <t>allocator_new</t>
  </si>
  <si>
    <t>pool_none</t>
  </si>
  <si>
    <t>insertIfAbsent</t>
  </si>
  <si>
    <t>Average of total_throughput</t>
  </si>
  <si>
    <t>brown_ext_ist_lf</t>
  </si>
  <si>
    <t>reclaimer_debra</t>
  </si>
  <si>
    <t>brown_ext_abtree_lf</t>
  </si>
  <si>
    <t>bronson_pext_bst_occ</t>
  </si>
  <si>
    <t>natarajan_ext_bst_lf</t>
  </si>
  <si>
    <t>exp</t>
  </si>
  <si>
    <t>B2</t>
  </si>
  <si>
    <t>threads_final_keysum</t>
  </si>
  <si>
    <t>threads_final_size</t>
  </si>
  <si>
    <t>final_size</t>
  </si>
  <si>
    <t>validate_result</t>
  </si>
  <si>
    <t>success</t>
  </si>
  <si>
    <t>scaling_threads/step10001.txt</t>
  </si>
  <si>
    <t>scaling_threads/step10002.txt</t>
  </si>
  <si>
    <t>scaling_threads/step10003.txt</t>
  </si>
  <si>
    <t>scaling_threads/step10004.txt</t>
  </si>
  <si>
    <t>scaling_threads/step10005.txt</t>
  </si>
  <si>
    <t>scaling_threads/step10006.txt</t>
  </si>
  <si>
    <t>scaling_threads/step10007.txt</t>
  </si>
  <si>
    <t>scaling_threads/step10008.txt</t>
  </si>
  <si>
    <t>scaling_threads/step10009.txt</t>
  </si>
  <si>
    <t>scaling_threads/step10010.txt</t>
  </si>
  <si>
    <t>scaling_threads/step10011.txt</t>
  </si>
  <si>
    <t>scaling_threads/step10012.txt</t>
  </si>
  <si>
    <t>scaling_threads/step10013.txt</t>
  </si>
  <si>
    <t>scaling_threads/step10014.txt</t>
  </si>
  <si>
    <t>scaling_threads/step10015.txt</t>
  </si>
  <si>
    <t>scaling_threads/step10016.txt</t>
  </si>
  <si>
    <t>scaling_threads/step10017.txt</t>
  </si>
  <si>
    <t>scaling_threads/step10018.txt</t>
  </si>
  <si>
    <t>scaling_threads/step10019.txt</t>
  </si>
  <si>
    <t>scaling_threads/step10020.txt</t>
  </si>
  <si>
    <t>scaling_threads/step10021.txt</t>
  </si>
  <si>
    <t>scaling_threads/step10022.txt</t>
  </si>
  <si>
    <t>scaling_threads/step10023.txt</t>
  </si>
  <si>
    <t>scaling_threads/step10024.txt</t>
  </si>
  <si>
    <t>scaling_threads/step10025.txt</t>
  </si>
  <si>
    <t>scaling_threads/step10026.txt</t>
  </si>
  <si>
    <t>scaling_threads/step10027.txt</t>
  </si>
  <si>
    <t>scaling_threads/step10028.txt</t>
  </si>
  <si>
    <t>scaling_threads/step10029.txt</t>
  </si>
  <si>
    <t>scaling_threads/step10030.txt</t>
  </si>
  <si>
    <t>scaling_threads/step10031.txt</t>
  </si>
  <si>
    <t>scaling_threads/step10032.txt</t>
  </si>
  <si>
    <t>scaling_threads/step10033.txt</t>
  </si>
  <si>
    <t>scaling_threads/step10034.txt</t>
  </si>
  <si>
    <t>scaling_threads/step10035.txt</t>
  </si>
  <si>
    <t>scaling_threads/step10036.txt</t>
  </si>
  <si>
    <t>scaling_threads/step10037.txt</t>
  </si>
  <si>
    <t>scaling_threads/step10038.txt</t>
  </si>
  <si>
    <t>scaling_threads/step10039.txt</t>
  </si>
  <si>
    <t>scaling_threads/step10040.txt</t>
  </si>
  <si>
    <t>scaling_threads/step10041.txt</t>
  </si>
  <si>
    <t>scaling_threads/step10042.txt</t>
  </si>
  <si>
    <t>scaling_threads/step10043.txt</t>
  </si>
  <si>
    <t>scaling_threads/step10044.txt</t>
  </si>
  <si>
    <t>scaling_threads/step10045.txt</t>
  </si>
  <si>
    <t>scaling_threads/step10046.txt</t>
  </si>
  <si>
    <t>scaling_threads/step10047.txt</t>
  </si>
  <si>
    <t>scaling_threads/step10048.txt</t>
  </si>
  <si>
    <t>scaling_threads/step10049.txt</t>
  </si>
  <si>
    <t>scaling_threads/step10050.txt</t>
  </si>
  <si>
    <t>scaling_threads/step10051.txt</t>
  </si>
  <si>
    <t>scaling_threads/step10052.txt</t>
  </si>
  <si>
    <t>scaling_threads/step10053.txt</t>
  </si>
  <si>
    <t>scaling_threads/step10054.txt</t>
  </si>
  <si>
    <t>scaling_threads/step10055.txt</t>
  </si>
  <si>
    <t>scaling_threads/step10056.txt</t>
  </si>
  <si>
    <t>scaling_threads/step10057.txt</t>
  </si>
  <si>
    <t>scaling_threads/step10058.txt</t>
  </si>
  <si>
    <t>scaling_threads/step10059.txt</t>
  </si>
  <si>
    <t>scaling_threads/step10060.txt</t>
  </si>
  <si>
    <t>scaling_threads/step10061.txt</t>
  </si>
  <si>
    <t>scaling_threads/step10062.txt</t>
  </si>
  <si>
    <t>scaling_threads/step10063.txt</t>
  </si>
  <si>
    <t>scaling_threads/step10064.txt</t>
  </si>
  <si>
    <t>scaling_threads/step10065.txt</t>
  </si>
  <si>
    <t>scaling_threads/step10066.txt</t>
  </si>
  <si>
    <t>scaling_threads/step10067.txt</t>
  </si>
  <si>
    <t>scaling_threads/step10068.txt</t>
  </si>
  <si>
    <t>scaling_threads/step10069.txt</t>
  </si>
  <si>
    <t>scaling_threads/step10070.txt</t>
  </si>
  <si>
    <t>scaling_threads/step10071.txt</t>
  </si>
  <si>
    <t>scaling_threads/step10072.txt</t>
  </si>
  <si>
    <t>scaling_threads/step10073.txt</t>
  </si>
  <si>
    <t>scaling_threads/step10074.txt</t>
  </si>
  <si>
    <t>scaling_threads/step10075.txt</t>
  </si>
  <si>
    <t>scaling_threads/step10076.txt</t>
  </si>
  <si>
    <t>scaling_threads/step10077.txt</t>
  </si>
  <si>
    <t>scaling_threads/step10078.txt</t>
  </si>
  <si>
    <t>scaling_threads/step10079.txt</t>
  </si>
  <si>
    <t>scaling_threads/step10080.txt</t>
  </si>
  <si>
    <t>scaling_threads/step10081.txt</t>
  </si>
  <si>
    <t>scaling_threads/step10082.txt</t>
  </si>
  <si>
    <t>scaling_threads/step10083.txt</t>
  </si>
  <si>
    <t>scaling_threads/step10084.txt</t>
  </si>
  <si>
    <t>scaling_threads/step10085.txt</t>
  </si>
  <si>
    <t>scaling_threads/step10086.txt</t>
  </si>
  <si>
    <t>scaling_threads/step10087.txt</t>
  </si>
  <si>
    <t>scaling_threads/step10088.txt</t>
  </si>
  <si>
    <t>scaling_threads/step10089.txt</t>
  </si>
  <si>
    <t>scaling_threads/step10090.txt</t>
  </si>
  <si>
    <t>scaling_threads/step10091.txt</t>
  </si>
  <si>
    <t>scaling_threads/step10092.txt</t>
  </si>
  <si>
    <t>scaling_threads/step10093.txt</t>
  </si>
  <si>
    <t>scaling_threads/step10094.txt</t>
  </si>
  <si>
    <t>scaling_threads/step10095.txt</t>
  </si>
  <si>
    <t>scaling_threads/step10096.txt</t>
  </si>
  <si>
    <t>scaling_threads/step10097.txt</t>
  </si>
  <si>
    <t>scaling_threads/step10098.txt</t>
  </si>
  <si>
    <t>scaling_threads/step10099.txt</t>
  </si>
  <si>
    <t>scaling_threads/step10100.txt</t>
  </si>
  <si>
    <t>scaling_threads/step10101.txt</t>
  </si>
  <si>
    <t>scaling_threads/step10102.txt</t>
  </si>
  <si>
    <t>scaling_threads/step10103.txt</t>
  </si>
  <si>
    <t>scaling_threads/step10104.txt</t>
  </si>
  <si>
    <t>scaling_threads/step10105.txt</t>
  </si>
  <si>
    <t>scaling_threads/step10106.txt</t>
  </si>
  <si>
    <t>scaling_threads/step10107.txt</t>
  </si>
  <si>
    <t>scaling_threads/step10108.txt</t>
  </si>
  <si>
    <t>scaling_threads/step10109.txt</t>
  </si>
  <si>
    <t>scaling_threads/step10110.txt</t>
  </si>
  <si>
    <t>scaling_threads/step10111.txt</t>
  </si>
  <si>
    <t>scaling_threads/step10112.txt</t>
  </si>
  <si>
    <t>scaling_threads/step10113.txt</t>
  </si>
  <si>
    <t>scaling_threads/step10114.txt</t>
  </si>
  <si>
    <t>scaling_threads/step10115.txt</t>
  </si>
  <si>
    <t>scaling_threads/step10116.txt</t>
  </si>
  <si>
    <t>scaling_threads/step10117.txt</t>
  </si>
  <si>
    <t>scaling_threads/step10118.txt</t>
  </si>
  <si>
    <t>scaling_threads/step10119.txt</t>
  </si>
  <si>
    <t>scaling_threads/step10120.txt</t>
  </si>
  <si>
    <t>scaling_threads/step10121.txt</t>
  </si>
  <si>
    <t>scaling_threads/step10122.txt</t>
  </si>
  <si>
    <t>scaling_threads/step10123.txt</t>
  </si>
  <si>
    <t>scaling_threads/step10124.txt</t>
  </si>
  <si>
    <t>scaling_threads/step10125.txt</t>
  </si>
  <si>
    <t>scaling_threads/step10126.txt</t>
  </si>
  <si>
    <t>scaling_threads/step10127.txt</t>
  </si>
  <si>
    <t>scaling_threads/step10128.txt</t>
  </si>
  <si>
    <t>scaling_threads/step10129.txt</t>
  </si>
  <si>
    <t>scaling_threads/step10130.txt</t>
  </si>
  <si>
    <t>scaling_threads/step10131.txt</t>
  </si>
  <si>
    <t>scaling_threads/step10132.txt</t>
  </si>
  <si>
    <t>scaling_threads/step10133.txt</t>
  </si>
  <si>
    <t>scaling_threads/step10134.txt</t>
  </si>
  <si>
    <t>scaling_threads/step10135.txt</t>
  </si>
  <si>
    <t>scaling_threads/step10136.txt</t>
  </si>
  <si>
    <t>scaling_threads/step10137.txt</t>
  </si>
  <si>
    <t>scaling_threads/step10138.txt</t>
  </si>
  <si>
    <t>scaling_threads/step10139.txt</t>
  </si>
  <si>
    <t>scaling_threads/step10140.txt</t>
  </si>
  <si>
    <t>scaling_threads/step10141.txt</t>
  </si>
  <si>
    <t>scaling_threads/step10142.txt</t>
  </si>
  <si>
    <t>scaling_threads/step10143.txt</t>
  </si>
  <si>
    <t>scaling_threads/step10144.txt</t>
  </si>
  <si>
    <t>scaling_threads/step10145.txt</t>
  </si>
  <si>
    <t>scaling_threads/step10146.txt</t>
  </si>
  <si>
    <t>scaling_threads/step10147.txt</t>
  </si>
  <si>
    <t>scaling_threads/step10148.txt</t>
  </si>
  <si>
    <t>scaling_threads/step10149.txt</t>
  </si>
  <si>
    <t>scaling_threads/step10150.txt</t>
  </si>
  <si>
    <t>scaling_threads/step10151.txt</t>
  </si>
  <si>
    <t>scaling_threads/step10152.txt</t>
  </si>
  <si>
    <t>scaling_threads/step10153.txt</t>
  </si>
  <si>
    <t>scaling_threads/step10154.txt</t>
  </si>
  <si>
    <t>scaling_threads/step10155.txt</t>
  </si>
  <si>
    <t>scaling_threads/step10156.txt</t>
  </si>
  <si>
    <t>scaling_threads/step10157.txt</t>
  </si>
  <si>
    <t>scaling_threads/step10158.txt</t>
  </si>
  <si>
    <t>scaling_threads/step10159.txt</t>
  </si>
  <si>
    <t>scaling_threads/step10160.txt</t>
  </si>
  <si>
    <t>scaling_threads/step10161.txt</t>
  </si>
  <si>
    <t>scaling_threads/step10162.txt</t>
  </si>
  <si>
    <t>scaling_threads/step10163.txt</t>
  </si>
  <si>
    <t>scaling_threads/step10164.txt</t>
  </si>
  <si>
    <t>scaling_threads/step10165.txt</t>
  </si>
  <si>
    <t>scaling_threads/step10166.txt</t>
  </si>
  <si>
    <t>scaling_threads/step10167.txt</t>
  </si>
  <si>
    <t>scaling_threads/step10168.txt</t>
  </si>
  <si>
    <t>scaling_threads/step10169.txt</t>
  </si>
  <si>
    <t>scaling_threads/step10170.txt</t>
  </si>
  <si>
    <t>scaling_threads/step10171.txt</t>
  </si>
  <si>
    <t>scaling_threads/step10172.txt</t>
  </si>
  <si>
    <t>scaling_threads/step10173.txt</t>
  </si>
  <si>
    <t>scaling_threads/step10174.txt</t>
  </si>
  <si>
    <t>scaling_threads/step10175.txt</t>
  </si>
  <si>
    <t>scaling_threads/step10176.txt</t>
  </si>
  <si>
    <t>scaling_threads/step10177.txt</t>
  </si>
  <si>
    <t>scaling_threads/step10178.txt</t>
  </si>
  <si>
    <t>scaling_threads/step10179.txt</t>
  </si>
  <si>
    <t>scaling_threads/step10180.txt</t>
  </si>
  <si>
    <t>scaling_threads/step10181.txt</t>
  </si>
  <si>
    <t>scaling_threads/step10182.txt</t>
  </si>
  <si>
    <t>scaling_threads/step10183.txt</t>
  </si>
  <si>
    <t>scaling_threads/step10184.txt</t>
  </si>
  <si>
    <t>scaling_threads/step10185.txt</t>
  </si>
  <si>
    <t>scaling_threads/step10186.txt</t>
  </si>
  <si>
    <t>scaling_threads/step10187.txt</t>
  </si>
  <si>
    <t>scaling_threads/step10188.txt</t>
  </si>
  <si>
    <t>scaling_threads/step10189.txt</t>
  </si>
  <si>
    <t>scaling_threads/step10190.txt</t>
  </si>
  <si>
    <t>scaling_threads/step10191.txt</t>
  </si>
  <si>
    <t>scaling_threads/step10192.txt</t>
  </si>
  <si>
    <t>scaling_threads/step10193.txt</t>
  </si>
  <si>
    <t>scaling_threads/step10194.txt</t>
  </si>
  <si>
    <t>scaling_threads/step10195.txt</t>
  </si>
  <si>
    <t>scaling_threads/step10196.txt</t>
  </si>
  <si>
    <t>scaling_threads/step10197.txt</t>
  </si>
  <si>
    <t>scaling_threads/step10198.txt</t>
  </si>
  <si>
    <t>scaling_threads/step10199.txt</t>
  </si>
  <si>
    <t>scaling_threads/step10200.txt</t>
  </si>
  <si>
    <t>scaling_threads/step10201.txt</t>
  </si>
  <si>
    <t>scaling_threads/step10202.txt</t>
  </si>
  <si>
    <t>scaling_threads/step10203.txt</t>
  </si>
  <si>
    <t>scaling_threads/step10204.txt</t>
  </si>
  <si>
    <t>scaling_threads/step10205.txt</t>
  </si>
  <si>
    <t>scaling_threads/step10206.txt</t>
  </si>
  <si>
    <t>scaling_threads/step10207.txt</t>
  </si>
  <si>
    <t>scaling_threads/step10208.txt</t>
  </si>
  <si>
    <t>scaling_threads/step10209.txt</t>
  </si>
  <si>
    <t>scaling_threads/step10210.txt</t>
  </si>
  <si>
    <t>scaling_threads/step10211.txt</t>
  </si>
  <si>
    <t>scaling_threads/step10212.txt</t>
  </si>
  <si>
    <t>scaling_threads/step10213.txt</t>
  </si>
  <si>
    <t>scaling_threads/step10214.txt</t>
  </si>
  <si>
    <t>scaling_threads/step10215.txt</t>
  </si>
  <si>
    <t>scaling_threads/step10216.txt</t>
  </si>
  <si>
    <t>scaling_threads/step10217.txt</t>
  </si>
  <si>
    <t>scaling_threads/step10218.txt</t>
  </si>
  <si>
    <t>scaling_threads/step10219.txt</t>
  </si>
  <si>
    <t>scaling_threads/step10220.txt</t>
  </si>
  <si>
    <t>scaling_threads/step10221.txt</t>
  </si>
  <si>
    <t>scaling_threads/step10222.txt</t>
  </si>
  <si>
    <t>scaling_threads/step10223.txt</t>
  </si>
  <si>
    <t>scaling_threads/step10224.txt</t>
  </si>
  <si>
    <t>scaling_threads/step10225.txt</t>
  </si>
  <si>
    <t>scaling_threads/step10226.txt</t>
  </si>
  <si>
    <t>scaling_threads/step10227.txt</t>
  </si>
  <si>
    <t>scaling_threads/step10228.txt</t>
  </si>
  <si>
    <t>scaling_threads/step10229.txt</t>
  </si>
  <si>
    <t>scaling_threads/step10230.txt</t>
  </si>
  <si>
    <t>scaling_threads/step10231.txt</t>
  </si>
  <si>
    <t>scaling_threads/step10232.txt</t>
  </si>
  <si>
    <t>scaling_threads/step10233.txt</t>
  </si>
  <si>
    <t>scaling_threads/step10234.txt</t>
  </si>
  <si>
    <t>scaling_threads/step10235.txt</t>
  </si>
  <si>
    <t>scaling_threads/step10236.txt</t>
  </si>
  <si>
    <t>scaling_threads/step10237.txt</t>
  </si>
  <si>
    <t>scaling_threads/step10238.txt</t>
  </si>
  <si>
    <t>scaling_threads/step10239.txt</t>
  </si>
  <si>
    <t>scaling_threads/step10240.txt</t>
  </si>
  <si>
    <t>scaling_threads/step10241.txt</t>
  </si>
  <si>
    <t>scaling_threads/step10242.txt</t>
  </si>
  <si>
    <t>scaling_threads/step10243.txt</t>
  </si>
  <si>
    <t>scaling_threads/step10244.txt</t>
  </si>
  <si>
    <t>scaling_threads/step10245.txt</t>
  </si>
  <si>
    <t>scaling_threads/step10246.txt</t>
  </si>
  <si>
    <t>scaling_threads/step10247.txt</t>
  </si>
  <si>
    <t>scaling_threads/step10248.txt</t>
  </si>
  <si>
    <t>scaling_threads/step10249.txt</t>
  </si>
  <si>
    <t>scaling_threads/step10250.txt</t>
  </si>
  <si>
    <t>scaling_threads/step10251.txt</t>
  </si>
  <si>
    <t>scaling_threads/step10252.txt</t>
  </si>
  <si>
    <t>scaling_threads/step10253.txt</t>
  </si>
  <si>
    <t>scaling_threads/step10254.txt</t>
  </si>
  <si>
    <t>scaling_threads/step10255.txt</t>
  </si>
  <si>
    <t>scaling_threads/step10256.txt</t>
  </si>
  <si>
    <t>scaling_threads/step10257.txt</t>
  </si>
  <si>
    <t>scaling_threads/step10258.txt</t>
  </si>
  <si>
    <t>scaling_threads/step10259.txt</t>
  </si>
  <si>
    <t>scaling_threads/step10260.txt</t>
  </si>
  <si>
    <t>scaling_threads/step10261.txt</t>
  </si>
  <si>
    <t>scaling_threads/step10262.txt</t>
  </si>
  <si>
    <t>scaling_threads/step10263.txt</t>
  </si>
  <si>
    <t>scaling_threads/step10264.txt</t>
  </si>
  <si>
    <t>scaling_threads/step10265.txt</t>
  </si>
  <si>
    <t>scaling_threads/step10266.txt</t>
  </si>
  <si>
    <t>scaling_threads/step10267.txt</t>
  </si>
  <si>
    <t>scaling_threads/step10268.txt</t>
  </si>
  <si>
    <t>scaling_threads/step10269.txt</t>
  </si>
  <si>
    <t>scaling_threads/step10270.txt</t>
  </si>
  <si>
    <t>AC44</t>
  </si>
  <si>
    <t>AQ53</t>
  </si>
  <si>
    <t>maxresident</t>
  </si>
  <si>
    <t xml:space="preserve"> 1124mb</t>
  </si>
  <si>
    <t xml:space="preserve"> 1136mb</t>
  </si>
  <si>
    <t xml:space="preserve"> 1162mb</t>
  </si>
  <si>
    <t xml:space="preserve"> 1191mb</t>
  </si>
  <si>
    <t xml:space="preserve"> 1211mb</t>
  </si>
  <si>
    <t xml:space="preserve"> 1102mb</t>
  </si>
  <si>
    <t xml:space="preserve"> 1112mb</t>
  </si>
  <si>
    <t xml:space="preserve"> 1137mb</t>
  </si>
  <si>
    <t xml:space="preserve"> 1156mb</t>
  </si>
  <si>
    <t xml:space="preserve"> 1133mb</t>
  </si>
  <si>
    <t xml:space="preserve"> 1138mb</t>
  </si>
  <si>
    <t xml:space="preserve"> 1147mb</t>
  </si>
  <si>
    <t xml:space="preserve"> 1167mb</t>
  </si>
  <si>
    <t xml:space="preserve"> 1132mb</t>
  </si>
  <si>
    <t xml:space="preserve"> 1157mb</t>
  </si>
  <si>
    <t xml:space="preserve"> 1166mb</t>
  </si>
  <si>
    <t xml:space="preserve"> 1704mb</t>
  </si>
  <si>
    <t xml:space="preserve"> 1725mb</t>
  </si>
  <si>
    <t xml:space="preserve"> 1763mb</t>
  </si>
  <si>
    <t xml:space="preserve"> 1813mb</t>
  </si>
  <si>
    <t xml:space="preserve"> 1850mb</t>
  </si>
  <si>
    <t xml:space="preserve"> 1402mb</t>
  </si>
  <si>
    <t xml:space="preserve"> 1446mb</t>
  </si>
  <si>
    <t xml:space="preserve"> 1546mb</t>
  </si>
  <si>
    <t xml:space="preserve"> 1580mb</t>
  </si>
  <si>
    <t xml:space="preserve"> 1559mb</t>
  </si>
  <si>
    <t xml:space="preserve"> 1716mb</t>
  </si>
  <si>
    <t xml:space="preserve"> 1720mb</t>
  </si>
  <si>
    <t xml:space="preserve"> 1733mb</t>
  </si>
  <si>
    <t xml:space="preserve"> 1743mb</t>
  </si>
  <si>
    <t xml:space="preserve"> 1752mb</t>
  </si>
  <si>
    <t xml:space="preserve"> 1734mb</t>
  </si>
  <si>
    <t xml:space="preserve"> 1751mb</t>
  </si>
  <si>
    <t xml:space="preserve"> 7054mb</t>
  </si>
  <si>
    <t xml:space="preserve"> 7095mb</t>
  </si>
  <si>
    <t xml:space="preserve"> 7181mb</t>
  </si>
  <si>
    <t xml:space="preserve"> 7287mb</t>
  </si>
  <si>
    <t xml:space="preserve"> 7354mb</t>
  </si>
  <si>
    <t xml:space="preserve"> 4296mb</t>
  </si>
  <si>
    <t xml:space="preserve"> 4399mb</t>
  </si>
  <si>
    <t xml:space="preserve"> 4628mb</t>
  </si>
  <si>
    <t xml:space="preserve"> 4675mb</t>
  </si>
  <si>
    <t xml:space="preserve"> 5129mb</t>
  </si>
  <si>
    <t xml:space="preserve"> 7526mb</t>
  </si>
  <si>
    <t xml:space="preserve"> 7533mb</t>
  </si>
  <si>
    <t xml:space="preserve"> 7547mb</t>
  </si>
  <si>
    <t xml:space="preserve"> 7562mb</t>
  </si>
  <si>
    <t xml:space="preserve"> 7574mb</t>
  </si>
  <si>
    <t xml:space="preserve"> 7546mb</t>
  </si>
  <si>
    <t xml:space="preserve"> 7560mb</t>
  </si>
  <si>
    <t xml:space="preserve"> 7572mb</t>
  </si>
  <si>
    <t xml:space="preserve"> 59147mb</t>
  </si>
  <si>
    <t xml:space="preserve"> 59274mb</t>
  </si>
  <si>
    <t xml:space="preserve"> 59528mb</t>
  </si>
  <si>
    <t xml:space="preserve"> 59809mb</t>
  </si>
  <si>
    <t xml:space="preserve"> 59978mb</t>
  </si>
  <si>
    <t xml:space="preserve"> 33248mb</t>
  </si>
  <si>
    <t xml:space="preserve"> 33337mb</t>
  </si>
  <si>
    <t xml:space="preserve"> 33579mb</t>
  </si>
  <si>
    <t xml:space="preserve"> 33815mb</t>
  </si>
  <si>
    <t xml:space="preserve"> 34099mb</t>
  </si>
  <si>
    <t xml:space="preserve"> mb</t>
  </si>
  <si>
    <t xml:space="preserve"> 65651mb</t>
  </si>
  <si>
    <t xml:space="preserve"> 65666mb</t>
  </si>
  <si>
    <t xml:space="preserve"> 65680mb</t>
  </si>
  <si>
    <t xml:space="preserve"> 65690mb</t>
  </si>
  <si>
    <t xml:space="preserve"> 65665mb</t>
  </si>
  <si>
    <t xml:space="preserve"> 65677mb</t>
  </si>
  <si>
    <t xml:space="preserve"> 65687mb</t>
  </si>
  <si>
    <t xml:space="preserve"> 1185mb</t>
  </si>
  <si>
    <t xml:space="preserve"> 1213mb</t>
  </si>
  <si>
    <t xml:space="preserve"> 1272mb</t>
  </si>
  <si>
    <t xml:space="preserve"> 1345mb</t>
  </si>
  <si>
    <t xml:space="preserve"> 1415mb</t>
  </si>
  <si>
    <t xml:space="preserve"> 1118mb</t>
  </si>
  <si>
    <t xml:space="preserve"> 1127mb</t>
  </si>
  <si>
    <t xml:space="preserve"> 1145mb</t>
  </si>
  <si>
    <t xml:space="preserve"> 1160mb</t>
  </si>
  <si>
    <t xml:space="preserve"> 1174mb</t>
  </si>
  <si>
    <t xml:space="preserve"> 1146mb</t>
  </si>
  <si>
    <t xml:space="preserve"> 1152mb</t>
  </si>
  <si>
    <t xml:space="preserve"> 1164mb</t>
  </si>
  <si>
    <t xml:space="preserve"> 1176mb</t>
  </si>
  <si>
    <t xml:space="preserve"> 1188mb</t>
  </si>
  <si>
    <t xml:space="preserve"> 1134mb</t>
  </si>
  <si>
    <t xml:space="preserve"> 1140mb</t>
  </si>
  <si>
    <t xml:space="preserve"> 1153mb</t>
  </si>
  <si>
    <t xml:space="preserve"> 1180mb</t>
  </si>
  <si>
    <t xml:space="preserve"> 2439mb</t>
  </si>
  <si>
    <t xml:space="preserve"> 2474mb</t>
  </si>
  <si>
    <t xml:space="preserve"> 2544mb</t>
  </si>
  <si>
    <t xml:space="preserve"> 2677mb</t>
  </si>
  <si>
    <t xml:space="preserve"> 2766mb</t>
  </si>
  <si>
    <t xml:space="preserve"> 1439mb</t>
  </si>
  <si>
    <t xml:space="preserve"> 1501mb</t>
  </si>
  <si>
    <t xml:space="preserve"> 1647mb</t>
  </si>
  <si>
    <t xml:space="preserve"> 1623mb</t>
  </si>
  <si>
    <t xml:space="preserve"> 1702mb</t>
  </si>
  <si>
    <t xml:space="preserve"> 1741mb</t>
  </si>
  <si>
    <t xml:space="preserve"> 1764mb</t>
  </si>
  <si>
    <t xml:space="preserve"> 1812mb</t>
  </si>
  <si>
    <t xml:space="preserve"> 1842mb</t>
  </si>
  <si>
    <t xml:space="preserve"> 1862mb</t>
  </si>
  <si>
    <t xml:space="preserve"> 1717mb</t>
  </si>
  <si>
    <t xml:space="preserve"> 1721mb</t>
  </si>
  <si>
    <t xml:space="preserve"> 1736mb</t>
  </si>
  <si>
    <t xml:space="preserve"> 1748mb</t>
  </si>
  <si>
    <t xml:space="preserve"> 1759mb</t>
  </si>
  <si>
    <t xml:space="preserve"> 7279mb</t>
  </si>
  <si>
    <t xml:space="preserve"> 7472mb</t>
  </si>
  <si>
    <t xml:space="preserve"> 7889mb</t>
  </si>
  <si>
    <t xml:space="preserve"> 8642mb</t>
  </si>
  <si>
    <t xml:space="preserve"> 13352mb</t>
  </si>
  <si>
    <t xml:space="preserve"> 4341mb</t>
  </si>
  <si>
    <t xml:space="preserve"> 4479mb</t>
  </si>
  <si>
    <t xml:space="preserve"> 4719mb</t>
  </si>
  <si>
    <t xml:space="preserve"> 4983mb</t>
  </si>
  <si>
    <t xml:space="preserve"> 5369mb</t>
  </si>
  <si>
    <t xml:space="preserve"> 7545mb</t>
  </si>
  <si>
    <t xml:space="preserve"> 7568mb</t>
  </si>
  <si>
    <t xml:space="preserve"> 7618mb</t>
  </si>
  <si>
    <t xml:space="preserve"> 7666mb</t>
  </si>
  <si>
    <t xml:space="preserve"> 7710mb</t>
  </si>
  <si>
    <t xml:space="preserve"> 7527mb</t>
  </si>
  <si>
    <t xml:space="preserve"> 7534mb</t>
  </si>
  <si>
    <t xml:space="preserve"> 7549mb</t>
  </si>
  <si>
    <t xml:space="preserve"> 7564mb</t>
  </si>
  <si>
    <t xml:space="preserve"> 7576mb</t>
  </si>
  <si>
    <t xml:space="preserve"> 59298mb</t>
  </si>
  <si>
    <t xml:space="preserve"> 59548mb</t>
  </si>
  <si>
    <t xml:space="preserve"> 60125mb</t>
  </si>
  <si>
    <t xml:space="preserve"> 60697mb</t>
  </si>
  <si>
    <t xml:space="preserve"> 61130mb</t>
  </si>
  <si>
    <t xml:space="preserve"> 33278mb</t>
  </si>
  <si>
    <t xml:space="preserve"> 33417mb</t>
  </si>
  <si>
    <t xml:space="preserve"> 33709mb</t>
  </si>
  <si>
    <t xml:space="preserve"> 33995mb</t>
  </si>
  <si>
    <t xml:space="preserve"> 34351mb</t>
  </si>
  <si>
    <t xml:space="preserve"> 65675mb</t>
  </si>
  <si>
    <t xml:space="preserve"> 65714mb</t>
  </si>
  <si>
    <t xml:space="preserve"> 65751mb</t>
  </si>
  <si>
    <t xml:space="preserve"> 65783mb</t>
  </si>
  <si>
    <t xml:space="preserve"> 65652mb</t>
  </si>
  <si>
    <t xml:space="preserve"> 65667mb</t>
  </si>
  <si>
    <t xml:space="preserve"> 65691mb</t>
  </si>
  <si>
    <t xml:space="preserve"> 1196mb</t>
  </si>
  <si>
    <t xml:space="preserve"> 1236mb</t>
  </si>
  <si>
    <t xml:space="preserve"> 1332mb</t>
  </si>
  <si>
    <t xml:space="preserve"> 1469mb</t>
  </si>
  <si>
    <t xml:space="preserve"> 1588mb</t>
  </si>
  <si>
    <t xml:space="preserve"> 1125mb</t>
  </si>
  <si>
    <t xml:space="preserve"> 1143mb</t>
  </si>
  <si>
    <t xml:space="preserve"> 1163mb</t>
  </si>
  <si>
    <t xml:space="preserve"> 1210mb</t>
  </si>
  <si>
    <t xml:space="preserve"> 1228mb</t>
  </si>
  <si>
    <t xml:space="preserve"> 1155mb</t>
  </si>
  <si>
    <t xml:space="preserve"> 1192mb</t>
  </si>
  <si>
    <t xml:space="preserve"> 1232mb</t>
  </si>
  <si>
    <t xml:space="preserve"> 1217mb</t>
  </si>
  <si>
    <t xml:space="preserve"> 1231mb</t>
  </si>
  <si>
    <t xml:space="preserve"> 2444mb</t>
  </si>
  <si>
    <t xml:space="preserve"> 2489mb</t>
  </si>
  <si>
    <t xml:space="preserve"> 2599mb</t>
  </si>
  <si>
    <t xml:space="preserve"> 2762mb</t>
  </si>
  <si>
    <t xml:space="preserve"> 2865mb</t>
  </si>
  <si>
    <t xml:space="preserve"> 1525mb</t>
  </si>
  <si>
    <t xml:space="preserve"> 1600mb</t>
  </si>
  <si>
    <t xml:space="preserve"> 1747mb</t>
  </si>
  <si>
    <t xml:space="preserve"> 1724mb</t>
  </si>
  <si>
    <t xml:space="preserve"> 1934mb</t>
  </si>
  <si>
    <t xml:space="preserve"> 1832mb</t>
  </si>
  <si>
    <t xml:space="preserve"> 1881mb</t>
  </si>
  <si>
    <t xml:space="preserve"> 1906mb</t>
  </si>
  <si>
    <t xml:space="preserve"> 1930mb</t>
  </si>
  <si>
    <t xml:space="preserve"> 1723mb</t>
  </si>
  <si>
    <t xml:space="preserve"> 1773mb</t>
  </si>
  <si>
    <t xml:space="preserve"> 1868mb</t>
  </si>
  <si>
    <t xml:space="preserve"> 9437mb</t>
  </si>
  <si>
    <t xml:space="preserve"> 13502mb</t>
  </si>
  <si>
    <t xml:space="preserve"> 13151mb</t>
  </si>
  <si>
    <t xml:space="preserve"> 14043mb</t>
  </si>
  <si>
    <t xml:space="preserve"> 14272mb</t>
  </si>
  <si>
    <t xml:space="preserve"> 4581mb</t>
  </si>
  <si>
    <t xml:space="preserve"> 4827mb</t>
  </si>
  <si>
    <t xml:space="preserve"> 5242mb</t>
  </si>
  <si>
    <t xml:space="preserve"> 5650mb</t>
  </si>
  <si>
    <t xml:space="preserve"> 6351mb</t>
  </si>
  <si>
    <t xml:space="preserve"> 7693mb</t>
  </si>
  <si>
    <t xml:space="preserve"> 7834mb</t>
  </si>
  <si>
    <t xml:space="preserve"> 8093mb</t>
  </si>
  <si>
    <t xml:space="preserve"> 8288mb</t>
  </si>
  <si>
    <t xml:space="preserve"> 8437mb</t>
  </si>
  <si>
    <t xml:space="preserve"> 7531mb</t>
  </si>
  <si>
    <t xml:space="preserve"> 7544mb</t>
  </si>
  <si>
    <t xml:space="preserve"> 7606mb</t>
  </si>
  <si>
    <t xml:space="preserve"> 7658mb</t>
  </si>
  <si>
    <t xml:space="preserve"> 60549mb</t>
  </si>
  <si>
    <t xml:space="preserve"> 61708mb</t>
  </si>
  <si>
    <t xml:space="preserve"> 64204mb</t>
  </si>
  <si>
    <t xml:space="preserve"> 66029mb</t>
  </si>
  <si>
    <t xml:space="preserve"> 67062mb</t>
  </si>
  <si>
    <t xml:space="preserve"> 33533mb</t>
  </si>
  <si>
    <t xml:space="preserve"> 33868mb</t>
  </si>
  <si>
    <t xml:space="preserve"> 34539mb</t>
  </si>
  <si>
    <t xml:space="preserve"> 35249mb</t>
  </si>
  <si>
    <t xml:space="preserve"> 36060mb</t>
  </si>
  <si>
    <t xml:space="preserve"> 65879mb</t>
  </si>
  <si>
    <t xml:space="preserve"> 66128mb</t>
  </si>
  <si>
    <t xml:space="preserve"> 66366mb</t>
  </si>
  <si>
    <t xml:space="preserve"> 66586mb</t>
  </si>
  <si>
    <t xml:space="preserve"> 65683mb</t>
  </si>
  <si>
    <t xml:space="preserve"> 65709mb</t>
  </si>
  <si>
    <t xml:space="preserve"> 65743mb</t>
  </si>
  <si>
    <t xml:space="preserve"> 1265mb</t>
  </si>
  <si>
    <t xml:space="preserve"> 1380mb</t>
  </si>
  <si>
    <t xml:space="preserve"> 1610mb</t>
  </si>
  <si>
    <t xml:space="preserve"> 1139mb</t>
  </si>
  <si>
    <t xml:space="preserve"> 1227mb</t>
  </si>
  <si>
    <t xml:space="preserve"> 1359mb</t>
  </si>
  <si>
    <t xml:space="preserve"> 1295mb</t>
  </si>
  <si>
    <t xml:space="preserve"> 1177mb</t>
  </si>
  <si>
    <t xml:space="preserve"> 1200mb</t>
  </si>
  <si>
    <t xml:space="preserve"> 1249mb</t>
  </si>
  <si>
    <t xml:space="preserve"> 1266mb</t>
  </si>
  <si>
    <t xml:space="preserve"> 1197mb</t>
  </si>
  <si>
    <t xml:space="preserve"> 1204mb</t>
  </si>
  <si>
    <t xml:space="preserve"> 1226mb</t>
  </si>
  <si>
    <t xml:space="preserve"> 2450mb</t>
  </si>
  <si>
    <t xml:space="preserve"> 2507mb</t>
  </si>
  <si>
    <t xml:space="preserve"> 2633mb</t>
  </si>
  <si>
    <t xml:space="preserve"> 2818mb</t>
  </si>
  <si>
    <t xml:space="preserve"> 2938mb</t>
  </si>
  <si>
    <t xml:space="preserve"> 1574mb</t>
  </si>
  <si>
    <t xml:space="preserve"> 1712mb</t>
  </si>
  <si>
    <t xml:space="preserve"> 2140mb</t>
  </si>
  <si>
    <t xml:space="preserve"> 2109mb</t>
  </si>
  <si>
    <t xml:space="preserve"> 2266mb</t>
  </si>
  <si>
    <t>scaling_threads/step10271.txt</t>
  </si>
  <si>
    <t xml:space="preserve"> 1860mb</t>
  </si>
  <si>
    <t>scaling_threads/step10272.txt</t>
  </si>
  <si>
    <t xml:space="preserve"> 1890mb</t>
  </si>
  <si>
    <t>scaling_threads/step10273.txt</t>
  </si>
  <si>
    <t xml:space="preserve"> 2044mb</t>
  </si>
  <si>
    <t>scaling_threads/step10274.txt</t>
  </si>
  <si>
    <t xml:space="preserve"> 2417mb</t>
  </si>
  <si>
    <t>scaling_threads/step10275.txt</t>
  </si>
  <si>
    <t xml:space="preserve"> 2512mb</t>
  </si>
  <si>
    <t>scaling_threads/step10276.txt</t>
  </si>
  <si>
    <t xml:space="preserve"> 1750mb</t>
  </si>
  <si>
    <t>scaling_threads/step10277.txt</t>
  </si>
  <si>
    <t xml:space="preserve"> 1818mb</t>
  </si>
  <si>
    <t>scaling_threads/step10278.txt</t>
  </si>
  <si>
    <t xml:space="preserve"> 2276mb</t>
  </si>
  <si>
    <t>scaling_threads/step10279.txt</t>
  </si>
  <si>
    <t xml:space="preserve"> 2342mb</t>
  </si>
  <si>
    <t>scaling_threads/step10280.txt</t>
  </si>
  <si>
    <t xml:space="preserve"> 2317mb</t>
  </si>
  <si>
    <t>scaling_threads/step10281.txt</t>
  </si>
  <si>
    <t xml:space="preserve"> 12592mb</t>
  </si>
  <si>
    <t>scaling_threads/step10282.txt</t>
  </si>
  <si>
    <t xml:space="preserve"> 13140mb</t>
  </si>
  <si>
    <t>scaling_threads/step10283.txt</t>
  </si>
  <si>
    <t xml:space="preserve"> 13733mb</t>
  </si>
  <si>
    <t>scaling_threads/step10284.txt</t>
  </si>
  <si>
    <t xml:space="preserve"> 14172mb</t>
  </si>
  <si>
    <t>scaling_threads/step10285.txt</t>
  </si>
  <si>
    <t xml:space="preserve"> 14391mb</t>
  </si>
  <si>
    <t>scaling_threads/step10286.txt</t>
  </si>
  <si>
    <t xml:space="preserve"> 4914mb</t>
  </si>
  <si>
    <t>scaling_threads/step10287.txt</t>
  </si>
  <si>
    <t xml:space="preserve"> 5453mb</t>
  </si>
  <si>
    <t>scaling_threads/step10288.txt</t>
  </si>
  <si>
    <t xml:space="preserve"> 8934mb</t>
  </si>
  <si>
    <t>scaling_threads/step10289.txt</t>
  </si>
  <si>
    <t xml:space="preserve"> 9250mb</t>
  </si>
  <si>
    <t>scaling_threads/step10290.txt</t>
  </si>
  <si>
    <t xml:space="preserve"> 9789mb</t>
  </si>
  <si>
    <t>scaling_threads/step10291.txt</t>
  </si>
  <si>
    <t xml:space="preserve"> 8053mb</t>
  </si>
  <si>
    <t>scaling_threads/step10292.txt</t>
  </si>
  <si>
    <t xml:space="preserve"> 8354mb</t>
  </si>
  <si>
    <t>scaling_threads/step10293.txt</t>
  </si>
  <si>
    <t xml:space="preserve"> 8724mb</t>
  </si>
  <si>
    <t>scaling_threads/step10294.txt</t>
  </si>
  <si>
    <t xml:space="preserve"> 9460mb</t>
  </si>
  <si>
    <t>scaling_threads/step10295.txt</t>
  </si>
  <si>
    <t xml:space="preserve"> 10598mb</t>
  </si>
  <si>
    <t>scaling_threads/step10296.txt</t>
  </si>
  <si>
    <t>scaling_threads/step10297.txt</t>
  </si>
  <si>
    <t xml:space="preserve"> 7602mb</t>
  </si>
  <si>
    <t>scaling_threads/step10298.txt</t>
  </si>
  <si>
    <t xml:space="preserve"> 8519mb</t>
  </si>
  <si>
    <t>scaling_threads/step10299.txt</t>
  </si>
  <si>
    <t xml:space="preserve"> 10044mb</t>
  </si>
  <si>
    <t>scaling_threads/step10300.txt</t>
  </si>
  <si>
    <t xml:space="preserve"> 10916mb</t>
  </si>
  <si>
    <t>scaling_threads/step10301.txt</t>
  </si>
  <si>
    <t xml:space="preserve"> 62826mb</t>
  </si>
  <si>
    <t>scaling_threads/step10302.txt</t>
  </si>
  <si>
    <t xml:space="preserve"> 64992mb</t>
  </si>
  <si>
    <t>scaling_threads/step10303.txt</t>
  </si>
  <si>
    <t xml:space="preserve"> 88039mb</t>
  </si>
  <si>
    <t>scaling_threads/step10304.txt</t>
  </si>
  <si>
    <t xml:space="preserve"> 120299mb</t>
  </si>
  <si>
    <t>scaling_threads/step10305.txt</t>
  </si>
  <si>
    <t xml:space="preserve"> 120691mb</t>
  </si>
  <si>
    <t>scaling_threads/step10306.txt</t>
  </si>
  <si>
    <t xml:space="preserve"> 34187mb</t>
  </si>
  <si>
    <t>scaling_threads/step10307.txt</t>
  </si>
  <si>
    <t xml:space="preserve"> 35152mb</t>
  </si>
  <si>
    <t>scaling_threads/step10308.txt</t>
  </si>
  <si>
    <t xml:space="preserve"> 47458mb</t>
  </si>
  <si>
    <t>scaling_threads/step10309.txt</t>
  </si>
  <si>
    <t xml:space="preserve"> 58487mb</t>
  </si>
  <si>
    <t>scaling_threads/step10310.txt</t>
  </si>
  <si>
    <t xml:space="preserve"> 63046mb</t>
  </si>
  <si>
    <t>scaling_threads/step10311.txt</t>
  </si>
  <si>
    <t>scaling_threads/step10312.txt</t>
  </si>
  <si>
    <t xml:space="preserve"> 66500mb</t>
  </si>
  <si>
    <t>scaling_threads/step10313.txt</t>
  </si>
  <si>
    <t xml:space="preserve"> 67357mb</t>
  </si>
  <si>
    <t>scaling_threads/step10314.txt</t>
  </si>
  <si>
    <t xml:space="preserve"> 68262mb</t>
  </si>
  <si>
    <t>scaling_threads/step10315.txt</t>
  </si>
  <si>
    <t xml:space="preserve"> 69541mb</t>
  </si>
  <si>
    <t>scaling_threads/step10316.txt</t>
  </si>
  <si>
    <t>scaling_threads/step10317.txt</t>
  </si>
  <si>
    <t>scaling_threads/step10318.txt</t>
  </si>
  <si>
    <t xml:space="preserve"> 66401mb</t>
  </si>
  <si>
    <t>scaling_threads/step10319.txt</t>
  </si>
  <si>
    <t xml:space="preserve"> 67971mb</t>
  </si>
  <si>
    <t>scaling_threads/step10320.txt</t>
  </si>
  <si>
    <t xml:space="preserve"> 69310mb</t>
  </si>
  <si>
    <t>maxresident_mb</t>
  </si>
  <si>
    <t>40% updates, key range [0, 2*10^9)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</si>
</sst>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
    <font>
      <sz val="11"/>
      <color theme="1"/>
      <name val="Calibri"/>
      <family val="2"/>
      <scheme val="minor"/>
    </font>
    <font>
      <b/>
      <sz val="11"/>
      <color theme="1"/>
      <name val="Calibri"/>
      <family val="2"/>
      <scheme val="minor"/>
    </font>
    <font>
      <sz val="10"/>
      <color theme="1"/>
      <name val="Arial Unicode MS"/>
      <family val="2"/>
    </font>
    <font>
      <b/>
      <sz val="16"/>
      <color theme="1"/>
      <name val="Calibri"/>
      <family val="2"/>
      <scheme val="minor"/>
    </font>
    <font>
      <sz val="16"/>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applyAlignment="1">
      <alignment horizontal="right"/>
    </xf>
    <xf numFmtId="0" fontId="2" fillId="0" borderId="0" xfId="0" applyFont="1" applyAlignment="1">
      <alignment vertical="center"/>
    </xf>
    <xf numFmtId="0" fontId="3" fillId="0" borderId="0" xfId="0" applyFont="1" applyAlignment="1">
      <alignment horizontal="right"/>
    </xf>
    <xf numFmtId="0" fontId="4" fillId="0" borderId="0" xfId="0" applyFont="1"/>
    <xf numFmtId="0" fontId="0" fillId="0" borderId="0" xfId="0" pivotButton="1"/>
    <xf numFmtId="0" fontId="0" fillId="0" borderId="0" xfId="0" applyAlignment="1">
      <alignment horizontal="left"/>
    </xf>
    <xf numFmtId="1" fontId="0" fillId="0" borderId="0" xfId="0" applyNumberFormat="1"/>
  </cellXfs>
  <cellStyles count="1">
    <cellStyle name="Normal" xfId="0" builtinId="0"/>
  </cellStyles>
  <dxfs count="2">
    <dxf>
      <numFmt numFmtId="1" formatCode="0"/>
    </dxf>
    <dxf>
      <numFmt numFmtId="164" formatCode="0.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AFAFA"/>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pivot!$B$2</c:f>
          <c:strCache>
            <c:ptCount val="1"/>
            <c:pt idx="0">
              <c:v>40% updates, key range [0, 2*10^9)</c:v>
            </c:pt>
          </c:strCache>
        </c:strRef>
      </c:tx>
      <c:layout/>
      <c:overlay val="0"/>
      <c:spPr>
        <a:noFill/>
        <a:ln>
          <a:noFill/>
        </a:ln>
        <a:effectLst/>
      </c:spPr>
      <c:txPr>
        <a:bodyPr rot="0" spcFirstLastPara="1" vertOverflow="ellipsis" vert="horz" wrap="square" anchor="ctr" anchorCtr="1"/>
        <a:lstStyle/>
        <a:p>
          <a:pPr>
            <a:defRPr sz="3600" b="0" i="0" u="none" strike="noStrike" kern="1200" spc="0" baseline="0">
              <a:solidFill>
                <a:schemeClr val="bg1"/>
              </a:solidFill>
              <a:latin typeface="+mn-lt"/>
              <a:ea typeface="+mn-ea"/>
              <a:cs typeface="+mn-cs"/>
            </a:defRPr>
          </a:pPr>
          <a:endParaRPr lang="en-US"/>
        </a:p>
      </c:txPr>
    </c:title>
    <c:autoTitleDeleted val="0"/>
    <c:plotArea>
      <c:layout/>
      <c:barChart>
        <c:barDir val="col"/>
        <c:grouping val="clustered"/>
        <c:varyColors val="0"/>
        <c:ser>
          <c:idx val="2"/>
          <c:order val="0"/>
          <c:tx>
            <c:strRef>
              <c:f>pivot!$B$20</c:f>
              <c:strCache>
                <c:ptCount val="1"/>
                <c:pt idx="0">
                  <c:v>natarajan_ext_bst_lf</c:v>
                </c:pt>
              </c:strCache>
            </c:strRef>
          </c:tx>
          <c:spPr>
            <a:solidFill>
              <a:schemeClr val="accent3"/>
            </a:solidFill>
            <a:ln>
              <a:noFill/>
            </a:ln>
            <a:effectLst/>
          </c:spPr>
          <c:invertIfNegative val="0"/>
          <c:cat>
            <c:numRef>
              <c:f>pivot!$A$21:$A$25</c:f>
              <c:numCache>
                <c:formatCode>General</c:formatCode>
                <c:ptCount val="5"/>
                <c:pt idx="0">
                  <c:v>24</c:v>
                </c:pt>
                <c:pt idx="1">
                  <c:v>48</c:v>
                </c:pt>
                <c:pt idx="2">
                  <c:v>96</c:v>
                </c:pt>
                <c:pt idx="3">
                  <c:v>144</c:v>
                </c:pt>
                <c:pt idx="4">
                  <c:v>190</c:v>
                </c:pt>
              </c:numCache>
            </c:numRef>
          </c:cat>
          <c:val>
            <c:numRef>
              <c:f>pivot!$B$21:$B$25</c:f>
              <c:numCache>
                <c:formatCode>0</c:formatCode>
                <c:ptCount val="5"/>
                <c:pt idx="0">
                  <c:v>0</c:v>
                </c:pt>
                <c:pt idx="1">
                  <c:v>0</c:v>
                </c:pt>
                <c:pt idx="2">
                  <c:v>18440230</c:v>
                </c:pt>
                <c:pt idx="3">
                  <c:v>26884900</c:v>
                </c:pt>
                <c:pt idx="4">
                  <c:v>34101210</c:v>
                </c:pt>
              </c:numCache>
            </c:numRef>
          </c:val>
          <c:extLst>
            <c:ext xmlns:c16="http://schemas.microsoft.com/office/drawing/2014/chart" uri="{C3380CC4-5D6E-409C-BE32-E72D297353CC}">
              <c16:uniqueId val="{00000000-2CD0-447C-8E06-4DA7A6D936F5}"/>
            </c:ext>
          </c:extLst>
        </c:ser>
        <c:ser>
          <c:idx val="0"/>
          <c:order val="1"/>
          <c:tx>
            <c:strRef>
              <c:f>pivot!$C$20</c:f>
              <c:strCache>
                <c:ptCount val="1"/>
                <c:pt idx="0">
                  <c:v>bronson_pext_bst_occ</c:v>
                </c:pt>
              </c:strCache>
            </c:strRef>
          </c:tx>
          <c:spPr>
            <a:solidFill>
              <a:schemeClr val="accent1"/>
            </a:solidFill>
            <a:ln w="76200">
              <a:noFill/>
            </a:ln>
            <a:effectLst/>
          </c:spPr>
          <c:invertIfNegative val="0"/>
          <c:cat>
            <c:numRef>
              <c:f>pivot!$A$21:$A$25</c:f>
              <c:numCache>
                <c:formatCode>General</c:formatCode>
                <c:ptCount val="5"/>
                <c:pt idx="0">
                  <c:v>24</c:v>
                </c:pt>
                <c:pt idx="1">
                  <c:v>48</c:v>
                </c:pt>
                <c:pt idx="2">
                  <c:v>96</c:v>
                </c:pt>
                <c:pt idx="3">
                  <c:v>144</c:v>
                </c:pt>
                <c:pt idx="4">
                  <c:v>190</c:v>
                </c:pt>
              </c:numCache>
            </c:numRef>
          </c:cat>
          <c:val>
            <c:numRef>
              <c:f>pivot!$C$21:$C$25</c:f>
              <c:numCache>
                <c:formatCode>0</c:formatCode>
                <c:ptCount val="5"/>
                <c:pt idx="0">
                  <c:v>0</c:v>
                </c:pt>
                <c:pt idx="1">
                  <c:v>10574511</c:v>
                </c:pt>
                <c:pt idx="2">
                  <c:v>21830112</c:v>
                </c:pt>
                <c:pt idx="3">
                  <c:v>32506206</c:v>
                </c:pt>
                <c:pt idx="4">
                  <c:v>42726068</c:v>
                </c:pt>
              </c:numCache>
            </c:numRef>
          </c:val>
          <c:extLst>
            <c:ext xmlns:c16="http://schemas.microsoft.com/office/drawing/2014/chart" uri="{C3380CC4-5D6E-409C-BE32-E72D297353CC}">
              <c16:uniqueId val="{00000001-2CD0-447C-8E06-4DA7A6D936F5}"/>
            </c:ext>
          </c:extLst>
        </c:ser>
        <c:ser>
          <c:idx val="1"/>
          <c:order val="2"/>
          <c:tx>
            <c:strRef>
              <c:f>pivot!$D$20</c:f>
              <c:strCache>
                <c:ptCount val="1"/>
                <c:pt idx="0">
                  <c:v>brown_ext_abtree_lf</c:v>
                </c:pt>
              </c:strCache>
            </c:strRef>
          </c:tx>
          <c:spPr>
            <a:solidFill>
              <a:schemeClr val="accent2"/>
            </a:solidFill>
            <a:ln w="76200">
              <a:noFill/>
            </a:ln>
            <a:effectLst/>
          </c:spPr>
          <c:invertIfNegative val="0"/>
          <c:cat>
            <c:numRef>
              <c:f>pivot!$A$21:$A$25</c:f>
              <c:numCache>
                <c:formatCode>General</c:formatCode>
                <c:ptCount val="5"/>
                <c:pt idx="0">
                  <c:v>24</c:v>
                </c:pt>
                <c:pt idx="1">
                  <c:v>48</c:v>
                </c:pt>
                <c:pt idx="2">
                  <c:v>96</c:v>
                </c:pt>
                <c:pt idx="3">
                  <c:v>144</c:v>
                </c:pt>
                <c:pt idx="4">
                  <c:v>190</c:v>
                </c:pt>
              </c:numCache>
            </c:numRef>
          </c:cat>
          <c:val>
            <c:numRef>
              <c:f>pivot!$D$21:$D$25</c:f>
              <c:numCache>
                <c:formatCode>0</c:formatCode>
                <c:ptCount val="5"/>
                <c:pt idx="0">
                  <c:v>11611496</c:v>
                </c:pt>
                <c:pt idx="1">
                  <c:v>21901746</c:v>
                </c:pt>
                <c:pt idx="2">
                  <c:v>42021707</c:v>
                </c:pt>
                <c:pt idx="3">
                  <c:v>58709316</c:v>
                </c:pt>
                <c:pt idx="4">
                  <c:v>71534548</c:v>
                </c:pt>
              </c:numCache>
            </c:numRef>
          </c:val>
          <c:extLst>
            <c:ext xmlns:c16="http://schemas.microsoft.com/office/drawing/2014/chart" uri="{C3380CC4-5D6E-409C-BE32-E72D297353CC}">
              <c16:uniqueId val="{00000002-2CD0-447C-8E06-4DA7A6D936F5}"/>
            </c:ext>
          </c:extLst>
        </c:ser>
        <c:ser>
          <c:idx val="3"/>
          <c:order val="3"/>
          <c:tx>
            <c:strRef>
              <c:f>pivot!$E$20</c:f>
              <c:strCache>
                <c:ptCount val="1"/>
                <c:pt idx="0">
                  <c:v>brown_ext_ist_lf</c:v>
                </c:pt>
              </c:strCache>
            </c:strRef>
          </c:tx>
          <c:spPr>
            <a:solidFill>
              <a:schemeClr val="accent4"/>
            </a:solidFill>
            <a:ln w="76200">
              <a:noFill/>
            </a:ln>
            <a:effectLst/>
          </c:spPr>
          <c:invertIfNegative val="0"/>
          <c:cat>
            <c:numRef>
              <c:f>pivot!$A$21:$A$25</c:f>
              <c:numCache>
                <c:formatCode>General</c:formatCode>
                <c:ptCount val="5"/>
                <c:pt idx="0">
                  <c:v>24</c:v>
                </c:pt>
                <c:pt idx="1">
                  <c:v>48</c:v>
                </c:pt>
                <c:pt idx="2">
                  <c:v>96</c:v>
                </c:pt>
                <c:pt idx="3">
                  <c:v>144</c:v>
                </c:pt>
                <c:pt idx="4">
                  <c:v>190</c:v>
                </c:pt>
              </c:numCache>
            </c:numRef>
          </c:cat>
          <c:val>
            <c:numRef>
              <c:f>pivot!$E$21:$E$25</c:f>
              <c:numCache>
                <c:formatCode>0</c:formatCode>
                <c:ptCount val="5"/>
                <c:pt idx="0">
                  <c:v>15165945</c:v>
                </c:pt>
                <c:pt idx="1">
                  <c:v>26776906</c:v>
                </c:pt>
                <c:pt idx="2">
                  <c:v>41669488</c:v>
                </c:pt>
                <c:pt idx="3">
                  <c:v>64244958</c:v>
                </c:pt>
                <c:pt idx="4">
                  <c:v>80171624</c:v>
                </c:pt>
              </c:numCache>
            </c:numRef>
          </c:val>
          <c:extLst>
            <c:ext xmlns:c16="http://schemas.microsoft.com/office/drawing/2014/chart" uri="{C3380CC4-5D6E-409C-BE32-E72D297353CC}">
              <c16:uniqueId val="{00000003-2CD0-447C-8E06-4DA7A6D936F5}"/>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0"/>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title>
          <c:tx>
            <c:rich>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number of</a:t>
                </a:r>
                <a:r>
                  <a:rPr lang="en-US" sz="4000" baseline="0">
                    <a:solidFill>
                      <a:schemeClr val="bg1"/>
                    </a:solidFill>
                  </a:rPr>
                  <a:t> threads</a:t>
                </a:r>
                <a:endParaRPr lang="en-US" sz="4000">
                  <a:solidFill>
                    <a:schemeClr val="bg1"/>
                  </a:solidFill>
                </a:endParaRPr>
              </a:p>
            </c:rich>
          </c:tx>
          <c:layout/>
          <c:overlay val="0"/>
          <c:spPr>
            <a:noFill/>
            <a:ln>
              <a:noFill/>
            </a:ln>
            <a:effectLst/>
          </c:spPr>
          <c:txPr>
            <a:bodyPr rot="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6120"/>
        <c:crossesAt val="0"/>
        <c:auto val="1"/>
        <c:lblAlgn val="ctr"/>
        <c:lblOffset val="100"/>
        <c:noMultiLvlLbl val="1"/>
      </c:catAx>
      <c:valAx>
        <c:axId val="568046120"/>
        <c:scaling>
          <c:orientation val="minMax"/>
          <c:min val="0"/>
        </c:scaling>
        <c:delete val="0"/>
        <c:axPos val="l"/>
        <c:majorGridlines>
          <c:spPr>
            <a:ln w="38100" cap="flat" cmpd="sng" algn="ctr">
              <a:solidFill>
                <a:schemeClr val="tx1">
                  <a:lumMod val="60000"/>
                  <a:lumOff val="40000"/>
                </a:schemeClr>
              </a:solidFill>
              <a:round/>
            </a:ln>
            <a:effectLst/>
          </c:spPr>
        </c:majorGridlines>
        <c:title>
          <c:tx>
            <c:rich>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r>
                  <a:rPr lang="en-US" sz="4000">
                    <a:solidFill>
                      <a:schemeClr val="bg1"/>
                    </a:solidFill>
                  </a:rPr>
                  <a:t>operations </a:t>
                </a:r>
                <a:r>
                  <a:rPr lang="en-US" sz="4000" baseline="0">
                    <a:solidFill>
                      <a:schemeClr val="bg1"/>
                    </a:solidFill>
                  </a:rPr>
                  <a:t>per microsecond</a:t>
                </a:r>
                <a:endParaRPr lang="en-US" sz="4000">
                  <a:solidFill>
                    <a:schemeClr val="bg1"/>
                  </a:solidFill>
                </a:endParaRPr>
              </a:p>
            </c:rich>
          </c:tx>
          <c:layout>
            <c:manualLayout>
              <c:xMode val="edge"/>
              <c:yMode val="edge"/>
              <c:x val="7.5242812534013727E-3"/>
              <c:y val="0.10734825950943903"/>
            </c:manualLayout>
          </c:layout>
          <c:overlay val="0"/>
          <c:spPr>
            <a:noFill/>
            <a:ln>
              <a:noFill/>
            </a:ln>
            <a:effectLst/>
          </c:spPr>
          <c:txPr>
            <a:bodyPr rot="-54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chemeClr val="bg1"/>
            </a:solidFill>
            <a:round/>
          </a:ln>
          <a:effectLst/>
        </c:spPr>
        <c:txPr>
          <a:bodyPr rot="-60000000" spcFirstLastPara="1" vertOverflow="ellipsis" vert="horz" wrap="square" anchor="ctr" anchorCtr="1"/>
          <a:lstStyle/>
          <a:p>
            <a:pPr>
              <a:defRPr sz="4000" b="0" i="0" u="none" strike="noStrike" kern="1200" baseline="0">
                <a:solidFill>
                  <a:schemeClr val="bg1"/>
                </a:solidFill>
                <a:latin typeface="+mn-lt"/>
                <a:ea typeface="+mn-ea"/>
                <a:cs typeface="+mn-cs"/>
              </a:defRPr>
            </a:pPr>
            <a:endParaRPr lang="en-US"/>
          </a:p>
        </c:txPr>
        <c:crossAx val="568041416"/>
        <c:crosses val="autoZero"/>
        <c:crossBetween val="between"/>
        <c:dispUnits>
          <c:builtInUnit val="millions"/>
        </c:dispUnits>
      </c:valAx>
      <c:spPr>
        <a:solidFill>
          <a:srgbClr val="FFFFFF"/>
        </a:solidFill>
        <a:ln w="38100">
          <a:solidFill>
            <a:schemeClr val="bg1"/>
          </a:solidFill>
        </a:ln>
        <a:effectLst/>
      </c:spPr>
    </c:plotArea>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18238705410593E-2"/>
          <c:y val="0.97340229498362241"/>
          <c:w val="0.97635225891788135"/>
          <c:h val="2.6210108750149022E-2"/>
        </c:manualLayout>
      </c:layout>
      <c:barChart>
        <c:barDir val="col"/>
        <c:grouping val="clustered"/>
        <c:varyColors val="0"/>
        <c:ser>
          <c:idx val="2"/>
          <c:order val="0"/>
          <c:tx>
            <c:strRef>
              <c:f>pivot!$B$20</c:f>
              <c:strCache>
                <c:ptCount val="1"/>
                <c:pt idx="0">
                  <c:v>natarajan_ext_bst_lf</c:v>
                </c:pt>
              </c:strCache>
            </c:strRef>
          </c:tx>
          <c:spPr>
            <a:solidFill>
              <a:schemeClr val="accent3"/>
            </a:solidFill>
            <a:ln>
              <a:noFill/>
            </a:ln>
            <a:effectLst/>
          </c:spPr>
          <c:invertIfNegative val="0"/>
          <c:cat>
            <c:numRef>
              <c:f>pivot!$A$21:$A$25</c:f>
              <c:numCache>
                <c:formatCode>General</c:formatCode>
                <c:ptCount val="5"/>
                <c:pt idx="0">
                  <c:v>24</c:v>
                </c:pt>
                <c:pt idx="1">
                  <c:v>48</c:v>
                </c:pt>
                <c:pt idx="2">
                  <c:v>96</c:v>
                </c:pt>
                <c:pt idx="3">
                  <c:v>144</c:v>
                </c:pt>
                <c:pt idx="4">
                  <c:v>190</c:v>
                </c:pt>
              </c:numCache>
            </c:numRef>
          </c:cat>
          <c:val>
            <c:numRef>
              <c:f>pivot!$B$21:$B$25</c:f>
              <c:numCache>
                <c:formatCode>0</c:formatCode>
                <c:ptCount val="5"/>
                <c:pt idx="0">
                  <c:v>0</c:v>
                </c:pt>
                <c:pt idx="1">
                  <c:v>0</c:v>
                </c:pt>
                <c:pt idx="2">
                  <c:v>18440230</c:v>
                </c:pt>
                <c:pt idx="3">
                  <c:v>26884900</c:v>
                </c:pt>
                <c:pt idx="4">
                  <c:v>34101210</c:v>
                </c:pt>
              </c:numCache>
            </c:numRef>
          </c:val>
          <c:extLst>
            <c:ext xmlns:c16="http://schemas.microsoft.com/office/drawing/2014/chart" uri="{C3380CC4-5D6E-409C-BE32-E72D297353CC}">
              <c16:uniqueId val="{00000000-501B-430B-95FC-C01CB1FD10E4}"/>
            </c:ext>
          </c:extLst>
        </c:ser>
        <c:ser>
          <c:idx val="0"/>
          <c:order val="1"/>
          <c:tx>
            <c:strRef>
              <c:f>pivot!$C$20</c:f>
              <c:strCache>
                <c:ptCount val="1"/>
                <c:pt idx="0">
                  <c:v>bronson_pext_bst_occ</c:v>
                </c:pt>
              </c:strCache>
            </c:strRef>
          </c:tx>
          <c:spPr>
            <a:solidFill>
              <a:schemeClr val="accent1"/>
            </a:solidFill>
            <a:ln w="76200">
              <a:noFill/>
            </a:ln>
            <a:effectLst/>
          </c:spPr>
          <c:invertIfNegative val="0"/>
          <c:cat>
            <c:numRef>
              <c:f>pivot!$A$21:$A$25</c:f>
              <c:numCache>
                <c:formatCode>General</c:formatCode>
                <c:ptCount val="5"/>
                <c:pt idx="0">
                  <c:v>24</c:v>
                </c:pt>
                <c:pt idx="1">
                  <c:v>48</c:v>
                </c:pt>
                <c:pt idx="2">
                  <c:v>96</c:v>
                </c:pt>
                <c:pt idx="3">
                  <c:v>144</c:v>
                </c:pt>
                <c:pt idx="4">
                  <c:v>190</c:v>
                </c:pt>
              </c:numCache>
            </c:numRef>
          </c:cat>
          <c:val>
            <c:numRef>
              <c:f>pivot!$C$21:$C$25</c:f>
              <c:numCache>
                <c:formatCode>0</c:formatCode>
                <c:ptCount val="5"/>
                <c:pt idx="0">
                  <c:v>0</c:v>
                </c:pt>
                <c:pt idx="1">
                  <c:v>10574511</c:v>
                </c:pt>
                <c:pt idx="2">
                  <c:v>21830112</c:v>
                </c:pt>
                <c:pt idx="3">
                  <c:v>32506206</c:v>
                </c:pt>
                <c:pt idx="4">
                  <c:v>42726068</c:v>
                </c:pt>
              </c:numCache>
            </c:numRef>
          </c:val>
          <c:extLst>
            <c:ext xmlns:c16="http://schemas.microsoft.com/office/drawing/2014/chart" uri="{C3380CC4-5D6E-409C-BE32-E72D297353CC}">
              <c16:uniqueId val="{00000001-501B-430B-95FC-C01CB1FD10E4}"/>
            </c:ext>
          </c:extLst>
        </c:ser>
        <c:ser>
          <c:idx val="1"/>
          <c:order val="2"/>
          <c:tx>
            <c:strRef>
              <c:f>pivot!$D$20</c:f>
              <c:strCache>
                <c:ptCount val="1"/>
                <c:pt idx="0">
                  <c:v>brown_ext_abtree_lf</c:v>
                </c:pt>
              </c:strCache>
            </c:strRef>
          </c:tx>
          <c:spPr>
            <a:solidFill>
              <a:schemeClr val="accent2"/>
            </a:solidFill>
            <a:ln w="76200">
              <a:noFill/>
            </a:ln>
            <a:effectLst/>
          </c:spPr>
          <c:invertIfNegative val="0"/>
          <c:cat>
            <c:numRef>
              <c:f>pivot!$A$21:$A$25</c:f>
              <c:numCache>
                <c:formatCode>General</c:formatCode>
                <c:ptCount val="5"/>
                <c:pt idx="0">
                  <c:v>24</c:v>
                </c:pt>
                <c:pt idx="1">
                  <c:v>48</c:v>
                </c:pt>
                <c:pt idx="2">
                  <c:v>96</c:v>
                </c:pt>
                <c:pt idx="3">
                  <c:v>144</c:v>
                </c:pt>
                <c:pt idx="4">
                  <c:v>190</c:v>
                </c:pt>
              </c:numCache>
            </c:numRef>
          </c:cat>
          <c:val>
            <c:numRef>
              <c:f>pivot!$D$21:$D$25</c:f>
              <c:numCache>
                <c:formatCode>0</c:formatCode>
                <c:ptCount val="5"/>
                <c:pt idx="0">
                  <c:v>11611496</c:v>
                </c:pt>
                <c:pt idx="1">
                  <c:v>21901746</c:v>
                </c:pt>
                <c:pt idx="2">
                  <c:v>42021707</c:v>
                </c:pt>
                <c:pt idx="3">
                  <c:v>58709316</c:v>
                </c:pt>
                <c:pt idx="4">
                  <c:v>71534548</c:v>
                </c:pt>
              </c:numCache>
            </c:numRef>
          </c:val>
          <c:extLst>
            <c:ext xmlns:c16="http://schemas.microsoft.com/office/drawing/2014/chart" uri="{C3380CC4-5D6E-409C-BE32-E72D297353CC}">
              <c16:uniqueId val="{00000002-501B-430B-95FC-C01CB1FD10E4}"/>
            </c:ext>
          </c:extLst>
        </c:ser>
        <c:ser>
          <c:idx val="3"/>
          <c:order val="3"/>
          <c:tx>
            <c:strRef>
              <c:f>pivot!$E$20</c:f>
              <c:strCache>
                <c:ptCount val="1"/>
                <c:pt idx="0">
                  <c:v>brown_ext_ist_lf</c:v>
                </c:pt>
              </c:strCache>
            </c:strRef>
          </c:tx>
          <c:spPr>
            <a:solidFill>
              <a:schemeClr val="accent4"/>
            </a:solidFill>
            <a:ln w="76200">
              <a:noFill/>
            </a:ln>
            <a:effectLst/>
          </c:spPr>
          <c:invertIfNegative val="0"/>
          <c:cat>
            <c:numRef>
              <c:f>pivot!$A$21:$A$25</c:f>
              <c:numCache>
                <c:formatCode>General</c:formatCode>
                <c:ptCount val="5"/>
                <c:pt idx="0">
                  <c:v>24</c:v>
                </c:pt>
                <c:pt idx="1">
                  <c:v>48</c:v>
                </c:pt>
                <c:pt idx="2">
                  <c:v>96</c:v>
                </c:pt>
                <c:pt idx="3">
                  <c:v>144</c:v>
                </c:pt>
                <c:pt idx="4">
                  <c:v>190</c:v>
                </c:pt>
              </c:numCache>
            </c:numRef>
          </c:cat>
          <c:val>
            <c:numRef>
              <c:f>pivot!$E$21:$E$25</c:f>
              <c:numCache>
                <c:formatCode>0</c:formatCode>
                <c:ptCount val="5"/>
                <c:pt idx="0">
                  <c:v>15165945</c:v>
                </c:pt>
                <c:pt idx="1">
                  <c:v>26776906</c:v>
                </c:pt>
                <c:pt idx="2">
                  <c:v>41669488</c:v>
                </c:pt>
                <c:pt idx="3">
                  <c:v>64244958</c:v>
                </c:pt>
                <c:pt idx="4">
                  <c:v>80171624</c:v>
                </c:pt>
              </c:numCache>
            </c:numRef>
          </c:val>
          <c:extLst>
            <c:ext xmlns:c16="http://schemas.microsoft.com/office/drawing/2014/chart" uri="{C3380CC4-5D6E-409C-BE32-E72D297353CC}">
              <c16:uniqueId val="{00000003-501B-430B-95FC-C01CB1FD10E4}"/>
            </c:ext>
          </c:extLst>
        </c:ser>
        <c:dLbls>
          <c:showLegendKey val="0"/>
          <c:showVal val="0"/>
          <c:showCatName val="0"/>
          <c:showSerName val="0"/>
          <c:showPercent val="0"/>
          <c:showBubbleSize val="0"/>
        </c:dLbls>
        <c:gapWidth val="150"/>
        <c:axId val="568041416"/>
        <c:axId val="568046120"/>
      </c:barChart>
      <c:catAx>
        <c:axId val="568041416"/>
        <c:scaling>
          <c:orientation val="minMax"/>
        </c:scaling>
        <c:delete val="1"/>
        <c:axPos val="b"/>
        <c:majorGridlines>
          <c:spPr>
            <a:ln w="38100" cap="flat" cmpd="sng" algn="ctr">
              <a:solidFill>
                <a:schemeClr val="tx1">
                  <a:lumMod val="60000"/>
                  <a:lumOff val="40000"/>
                </a:schemeClr>
              </a:solidFill>
              <a:round/>
            </a:ln>
            <a:effectLst/>
          </c:spPr>
        </c:majorGridlines>
        <c:minorGridlines>
          <c:spPr>
            <a:ln w="38100" cap="flat" cmpd="sng" algn="ctr">
              <a:solidFill>
                <a:schemeClr val="tx1">
                  <a:lumMod val="40000"/>
                  <a:lumOff val="60000"/>
                </a:schemeClr>
              </a:solidFill>
              <a:round/>
            </a:ln>
            <a:effectLst/>
          </c:spPr>
        </c:minorGridlines>
        <c:numFmt formatCode="General" sourceLinked="1"/>
        <c:majorTickMark val="none"/>
        <c:minorTickMark val="none"/>
        <c:tickLblPos val="nextTo"/>
        <c:crossAx val="568046120"/>
        <c:crossesAt val="0"/>
        <c:auto val="1"/>
        <c:lblAlgn val="ctr"/>
        <c:lblOffset val="100"/>
        <c:noMultiLvlLbl val="1"/>
      </c:catAx>
      <c:valAx>
        <c:axId val="568046120"/>
        <c:scaling>
          <c:orientation val="minMax"/>
          <c:min val="0"/>
        </c:scaling>
        <c:delete val="1"/>
        <c:axPos val="l"/>
        <c:majorGridlines>
          <c:spPr>
            <a:ln w="38100" cap="flat" cmpd="sng" algn="ctr">
              <a:solidFill>
                <a:schemeClr val="tx1">
                  <a:lumMod val="60000"/>
                  <a:lumOff val="40000"/>
                </a:schemeClr>
              </a:solidFill>
              <a:round/>
            </a:ln>
            <a:effectLst/>
          </c:spPr>
        </c:majorGridlines>
        <c:numFmt formatCode="#,##0" sourceLinked="0"/>
        <c:majorTickMark val="none"/>
        <c:minorTickMark val="none"/>
        <c:tickLblPos val="nextTo"/>
        <c:crossAx val="568041416"/>
        <c:crosses val="autoZero"/>
        <c:crossBetween val="between"/>
        <c:dispUnits>
          <c:builtInUnit val="millions"/>
        </c:dispUnits>
      </c:valAx>
      <c:spPr>
        <a:solidFill>
          <a:srgbClr val="FFFFFF"/>
        </a:solidFill>
        <a:ln w="38100">
          <a:solidFill>
            <a:schemeClr val="bg1"/>
          </a:solidFill>
        </a:ln>
        <a:effectLst/>
      </c:spPr>
    </c:plotArea>
    <c:legend>
      <c:legendPos val="t"/>
      <c:layout>
        <c:manualLayout>
          <c:xMode val="edge"/>
          <c:yMode val="edge"/>
          <c:x val="0"/>
          <c:y val="0"/>
          <c:w val="0.99846918366796156"/>
          <c:h val="1"/>
        </c:manualLayout>
      </c:layout>
      <c:overlay val="0"/>
      <c:spPr>
        <a:solidFill>
          <a:srgbClr val="FAFAFA"/>
        </a:solidFill>
        <a:ln>
          <a:noFill/>
        </a:ln>
        <a:effectLst/>
      </c:spPr>
      <c:txPr>
        <a:bodyPr rot="0" spcFirstLastPara="1" vertOverflow="ellipsis" vert="horz" wrap="square" anchor="ctr" anchorCtr="1"/>
        <a:lstStyle/>
        <a:p>
          <a:pPr>
            <a:defRPr sz="3600" b="0" i="0" u="none" strike="noStrike" kern="1200" baseline="0">
              <a:solidFill>
                <a:schemeClr val="bg1"/>
              </a:solidFill>
              <a:latin typeface="+mn-lt"/>
              <a:ea typeface="+mn-ea"/>
              <a:cs typeface="+mn-cs"/>
            </a:defRPr>
          </a:pPr>
          <a:endParaRPr lang="en-US"/>
        </a:p>
      </c:txPr>
    </c:legend>
    <c:plotVisOnly val="1"/>
    <c:dispBlanksAs val="gap"/>
    <c:showDLblsOverMax val="0"/>
  </c:chart>
  <c:spPr>
    <a:solidFill>
      <a:srgbClr val="FFFFFF"/>
    </a:solidFill>
    <a:ln w="9525" cap="flat" cmpd="sng" algn="ctr">
      <a:solidFill>
        <a:srgbClr val="FFFFFF"/>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361950</xdr:colOff>
      <xdr:row>1</xdr:row>
      <xdr:rowOff>19051</xdr:rowOff>
    </xdr:from>
    <xdr:to>
      <xdr:col>10</xdr:col>
      <xdr:colOff>38100</xdr:colOff>
      <xdr:row>1</xdr:row>
      <xdr:rowOff>247651</xdr:rowOff>
    </xdr:to>
    <xdr:sp macro="[0]!processData" textlink="">
      <xdr:nvSpPr>
        <xdr:cNvPr id="2" name="Rectangle 1"/>
        <xdr:cNvSpPr/>
      </xdr:nvSpPr>
      <xdr:spPr>
        <a:xfrm>
          <a:off x="4597400" y="285751"/>
          <a:ext cx="1504950" cy="228600"/>
        </a:xfrm>
        <a:prstGeom prst="rect">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nchorCtr="1"/>
        <a:lstStyle/>
        <a:p>
          <a:pPr algn="l"/>
          <a:r>
            <a:rPr lang="en-US" sz="1600"/>
            <a:t>Load CSV</a:t>
          </a:r>
          <a:r>
            <a:rPr lang="en-US" sz="1600" baseline="0"/>
            <a:t> file</a:t>
          </a:r>
          <a:endParaRPr lang="en-US" sz="16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25</xdr:col>
      <xdr:colOff>63500</xdr:colOff>
      <xdr:row>4</xdr:row>
      <xdr:rowOff>63500</xdr:rowOff>
    </xdr:from>
    <xdr:to>
      <xdr:col>27</xdr:col>
      <xdr:colOff>157162</xdr:colOff>
      <xdr:row>6</xdr:row>
      <xdr:rowOff>87401</xdr:rowOff>
    </xdr:to>
    <xdr:sp macro="[0]!NextExperiment" textlink="">
      <xdr:nvSpPr>
        <xdr:cNvPr id="2" name="Rectangle 1"/>
        <xdr:cNvSpPr/>
      </xdr:nvSpPr>
      <xdr:spPr>
        <a:xfrm>
          <a:off x="10750550" y="800100"/>
          <a:ext cx="156051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Next graph</a:t>
          </a:r>
        </a:p>
      </xdr:txBody>
    </xdr:sp>
    <xdr:clientData/>
  </xdr:twoCellAnchor>
  <xdr:twoCellAnchor>
    <xdr:from>
      <xdr:col>25</xdr:col>
      <xdr:colOff>63500</xdr:colOff>
      <xdr:row>6</xdr:row>
      <xdr:rowOff>182530</xdr:rowOff>
    </xdr:from>
    <xdr:to>
      <xdr:col>27</xdr:col>
      <xdr:colOff>157162</xdr:colOff>
      <xdr:row>9</xdr:row>
      <xdr:rowOff>25456</xdr:rowOff>
    </xdr:to>
    <xdr:sp macro="[0]!exportexpchart" textlink="">
      <xdr:nvSpPr>
        <xdr:cNvPr id="3" name="Rectangle 2"/>
        <xdr:cNvSpPr/>
      </xdr:nvSpPr>
      <xdr:spPr>
        <a:xfrm>
          <a:off x="10750550" y="1287430"/>
          <a:ext cx="1560512" cy="395376"/>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 graph</a:t>
          </a:r>
        </a:p>
      </xdr:txBody>
    </xdr:sp>
    <xdr:clientData/>
  </xdr:twoCellAnchor>
  <xdr:twoCellAnchor>
    <xdr:from>
      <xdr:col>25</xdr:col>
      <xdr:colOff>68263</xdr:colOff>
      <xdr:row>9</xdr:row>
      <xdr:rowOff>111059</xdr:rowOff>
    </xdr:from>
    <xdr:to>
      <xdr:col>27</xdr:col>
      <xdr:colOff>155575</xdr:colOff>
      <xdr:row>11</xdr:row>
      <xdr:rowOff>134960</xdr:rowOff>
    </xdr:to>
    <xdr:sp macro="[0]!CycleThroughExperiments" textlink="">
      <xdr:nvSpPr>
        <xdr:cNvPr id="4" name="Rectangle 3"/>
        <xdr:cNvSpPr/>
      </xdr:nvSpPr>
      <xdr:spPr>
        <a:xfrm>
          <a:off x="10755313" y="1768409"/>
          <a:ext cx="1554162" cy="392201"/>
        </a:xfrm>
        <a:prstGeom prst="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nchorCtr="1"/>
        <a:lstStyle/>
        <a:p>
          <a:pPr algn="l"/>
          <a:r>
            <a:rPr lang="en-US" sz="1600"/>
            <a:t>Export</a:t>
          </a:r>
          <a:r>
            <a:rPr lang="en-US" sz="1600" baseline="0"/>
            <a:t> ALL</a:t>
          </a:r>
          <a:endParaRPr lang="en-US" sz="1600"/>
        </a:p>
      </xdr:txBody>
    </xdr:sp>
    <xdr:clientData/>
  </xdr:twoCellAnchor>
  <xdr:twoCellAnchor>
    <xdr:from>
      <xdr:col>27</xdr:col>
      <xdr:colOff>190500</xdr:colOff>
      <xdr:row>1</xdr:row>
      <xdr:rowOff>171450</xdr:rowOff>
    </xdr:from>
    <xdr:to>
      <xdr:col>46</xdr:col>
      <xdr:colOff>38100</xdr:colOff>
      <xdr:row>42</xdr:row>
      <xdr:rowOff>25400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0</xdr:colOff>
      <xdr:row>42</xdr:row>
      <xdr:rowOff>170090</xdr:rowOff>
    </xdr:from>
    <xdr:to>
      <xdr:col>43</xdr:col>
      <xdr:colOff>13607</xdr:colOff>
      <xdr:row>50</xdr:row>
      <xdr:rowOff>34019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t35brown" refreshedDate="43612.820902430554" missingItemsLimit="0" createdVersion="6" refreshedVersion="6" minRefreshableVersion="3" recordCount="321">
  <cacheSource type="worksheet">
    <worksheetSource ref="A1:AW1048576" sheet="data"/>
  </cacheSource>
  <cacheFields count="49">
    <cacheField name="filename" numFmtId="0">
      <sharedItems containsBlank="1"/>
    </cacheField>
    <cacheField name="DS_TYPENAME" numFmtId="0">
      <sharedItems containsBlank="1" count="5">
        <s v="brown_ext_ist_lf"/>
        <s v="brown_ext_abtree_lf"/>
        <s v="bronson_pext_bst_occ"/>
        <s v="natarajan_ext_bst_lf"/>
        <m/>
      </sharedItems>
    </cacheField>
    <cacheField name="size_node" numFmtId="0">
      <sharedItems containsString="0" containsBlank="1" containsNumber="1" containsInteger="1" minValue="72" maxValue="208"/>
    </cacheField>
    <cacheField name="RECLAIM" numFmtId="0">
      <sharedItems containsBlank="1"/>
    </cacheField>
    <cacheField name="ALLOC" numFmtId="0">
      <sharedItems containsBlank="1"/>
    </cacheField>
    <cacheField name="POOL" numFmtId="0">
      <sharedItems containsBlank="1"/>
    </cacheField>
    <cacheField name="MILLIS_TO_RUN" numFmtId="0">
      <sharedItems containsString="0" containsBlank="1" containsNumber="1" containsInteger="1" minValue="30000" maxValue="30000"/>
    </cacheField>
    <cacheField name="INS" numFmtId="0">
      <sharedItems containsString="0" containsBlank="1" containsNumber="1" minValue="0" maxValue="20"/>
    </cacheField>
    <cacheField name="DEL" numFmtId="0">
      <sharedItems containsString="0" containsBlank="1" containsNumber="1" minValue="0" maxValue="20"/>
    </cacheField>
    <cacheField name="RQ" numFmtId="0">
      <sharedItems containsString="0" containsBlank="1" containsNumber="1" containsInteger="1" minValue="0" maxValue="0"/>
    </cacheField>
    <cacheField name="RQSIZE" numFmtId="0">
      <sharedItems containsString="0" containsBlank="1" containsNumber="1" containsInteger="1" minValue="1" maxValue="1"/>
    </cacheField>
    <cacheField name="MAXKEY" numFmtId="0">
      <sharedItems containsString="0" containsBlank="1" containsNumber="1" containsInteger="1" minValue="2000000" maxValue="2000000000"/>
    </cacheField>
    <cacheField name="PREFILL_THREADS" numFmtId="0">
      <sharedItems containsString="0" containsBlank="1" containsNumber="1" containsInteger="1" minValue="24" maxValue="190"/>
    </cacheField>
    <cacheField name="TOTAL_THREADS" numFmtId="0">
      <sharedItems containsString="0" containsBlank="1" containsNumber="1" containsInteger="1" minValue="24" maxValue="190" count="6">
        <n v="24"/>
        <n v="48"/>
        <n v="96"/>
        <n v="144"/>
        <n v="190"/>
        <m/>
      </sharedItems>
    </cacheField>
    <cacheField name="WORK_THREADS" numFmtId="0">
      <sharedItems containsString="0" containsBlank="1" containsNumber="1" containsInteger="1" minValue="24" maxValue="190"/>
    </cacheField>
    <cacheField name="RQ_THREADS" numFmtId="0">
      <sharedItems containsString="0" containsBlank="1" containsNumber="1" containsInteger="1" minValue="0" maxValue="0"/>
    </cacheField>
    <cacheField name="INSERT_FUNC" numFmtId="0">
      <sharedItems containsBlank="1"/>
    </cacheField>
    <cacheField name="threads_final_keysum" numFmtId="0">
      <sharedItems containsString="0" containsBlank="1" containsNumber="1" containsInteger="1" minValue="998681928112" maxValue="1.0000312642133E+18"/>
    </cacheField>
    <cacheField name="threads_final_size" numFmtId="0">
      <sharedItems containsString="0" containsBlank="1" containsNumber="1" containsInteger="1" minValue="998620" maxValue="1000029035"/>
    </cacheField>
    <cacheField name="final_keysum" numFmtId="0">
      <sharedItems containsNonDate="0" containsString="0" containsBlank="1"/>
    </cacheField>
    <cacheField name="final_size" numFmtId="0">
      <sharedItems containsNonDate="0" containsString="0" containsBlank="1"/>
    </cacheField>
    <cacheField name="validate_result" numFmtId="0">
      <sharedItems containsBlank="1"/>
    </cacheField>
    <cacheField name="tree_stats_height" numFmtId="0">
      <sharedItems containsString="0" containsBlank="1" containsNumber="1" containsInteger="1" minValue="5" maxValue="83"/>
    </cacheField>
    <cacheField name="tree_stats_numInternals" numFmtId="0">
      <sharedItems containsString="0" containsBlank="1" containsNumber="1" containsInteger="1" minValue="18494" maxValue="1000009584"/>
    </cacheField>
    <cacheField name="tree_stats_numLeaves" numFmtId="0">
      <sharedItems containsString="0" containsBlank="1" containsNumber="1" containsInteger="1" minValue="127418" maxValue="1169560727"/>
    </cacheField>
    <cacheField name="tree_stats_numNodes" numFmtId="0">
      <sharedItems containsString="0" containsBlank="1" containsNumber="1" containsInteger="1" minValue="145914" maxValue="2000019169"/>
    </cacheField>
    <cacheField name="tree_stats_numKeys" numFmtId="0">
      <sharedItems containsString="0" containsBlank="1" containsNumber="1" containsInteger="1" minValue="998620" maxValue="1000029035"/>
    </cacheField>
    <cacheField name="tree_stats_avgDegreeInternal" numFmtId="0">
      <sharedItems containsString="0" containsBlank="1" containsNumber="1" minValue="1.7496100000000001" maxValue="32.240600000000001"/>
    </cacheField>
    <cacheField name="tree_stats_avgDegreeLeaves" numFmtId="0">
      <sharedItems containsString="0" containsBlank="1" containsNumber="1" minValue="0.83111900000000005" maxValue="7.8481800000000002"/>
    </cacheField>
    <cacheField name="tree_stats_avgDegree" numFmtId="0">
      <sharedItems containsString="0" containsBlank="1" containsNumber="1" minValue="1.5" maxValue="7.8533499999999998"/>
    </cacheField>
    <cacheField name="tree_stats_avgKeyDepth" numFmtId="0">
      <sharedItems containsString="0" containsBlank="1" containsNumber="1" minValue="3" maxValue="41.611699999999999"/>
    </cacheField>
    <cacheField name="total_find" numFmtId="0">
      <sharedItems containsString="0" containsBlank="1" containsNumber="1" containsInteger="1" minValue="122288923" maxValue="13397801464"/>
    </cacheField>
    <cacheField name="total_rq" numFmtId="0">
      <sharedItems containsString="0" containsBlank="1" containsNumber="1" containsInteger="1" minValue="0" maxValue="0"/>
    </cacheField>
    <cacheField name="total_updates" numFmtId="0">
      <sharedItems containsString="0" containsBlank="1" containsNumber="1" containsInteger="1" minValue="0" maxValue="1715331942"/>
    </cacheField>
    <cacheField name="total_queries" numFmtId="0">
      <sharedItems containsString="0" containsBlank="1" containsNumber="1" containsInteger="1" minValue="122288923" maxValue="13397801464"/>
    </cacheField>
    <cacheField name="total_ops" numFmtId="0">
      <sharedItems containsString="0" containsBlank="1" containsNumber="1" containsInteger="1" minValue="203819626" maxValue="13397801464"/>
    </cacheField>
    <cacheField name="find_throughput" numFmtId="0">
      <sharedItems containsString="0" containsBlank="1" containsNumber="1" containsInteger="1" minValue="4076297" maxValue="446593382"/>
    </cacheField>
    <cacheField name="rq_throughput" numFmtId="0">
      <sharedItems containsString="0" containsBlank="1" containsNumber="1" containsInteger="1" minValue="0" maxValue="0"/>
    </cacheField>
    <cacheField name="update_throughput" numFmtId="0">
      <sharedItems containsString="0" containsBlank="1" containsNumber="1" containsInteger="1" minValue="0" maxValue="57177731"/>
    </cacheField>
    <cacheField name="query_throughput" numFmtId="0">
      <sharedItems containsString="0" containsBlank="1" containsNumber="1" containsInteger="1" minValue="4076297" maxValue="446593382"/>
    </cacheField>
    <cacheField name="total_throughput" numFmtId="0">
      <sharedItems containsString="0" containsBlank="1" containsNumber="1" containsInteger="1" minValue="6793987" maxValue="446593382"/>
    </cacheField>
    <cacheField name="PAPI_L1_DCM" numFmtId="0">
      <sharedItems containsNonDate="0" containsString="0" containsBlank="1"/>
    </cacheField>
    <cacheField name="PAPI_L2_TCM" numFmtId="0">
      <sharedItems containsString="0" containsBlank="1" containsNumber="1" minValue="7.64236" maxValue="58.568800000000003"/>
    </cacheField>
    <cacheField name="PAPI_L3_TCM" numFmtId="0">
      <sharedItems containsString="0" containsBlank="1" containsNumber="1" minValue="1.94316E-2" maxValue="33.381799999999998"/>
    </cacheField>
    <cacheField name="PAPI_TOT_CYC" numFmtId="0">
      <sharedItems containsString="0" containsBlank="1" containsNumber="1" minValue="796.851" maxValue="15495.4"/>
    </cacheField>
    <cacheField name="PAPI_TOT_INS" numFmtId="0">
      <sharedItems containsNonDate="0" containsString="0" containsBlank="1"/>
    </cacheField>
    <cacheField name="maxresident" numFmtId="0">
      <sharedItems containsBlank="1"/>
    </cacheField>
    <cacheField name="exp" numFmtId="0">
      <sharedItems containsBlank="1" count="17">
        <s v="0% updates, key range [0, 2*10^6)"/>
        <s v="0% updates, key range [0, 2*10^7)"/>
        <s v="0% updates, key range [0, 2*10^8)"/>
        <s v="0% updates, key range [0, 2*10^9)"/>
        <s v="1% updates, key range [0, 2*10^6)"/>
        <s v="1% updates, key range [0, 2*10^7)"/>
        <s v="1% updates, key range [0, 2*10^8)"/>
        <s v="1% updates, key range [0, 2*10^9)"/>
        <s v="10% updates, key range [0, 2*10^6)"/>
        <s v="10% updates, key range [0, 2*10^7)"/>
        <s v="10% updates, key range [0, 2*10^8)"/>
        <s v="10% updates, key range [0, 2*10^9)"/>
        <s v="40% updates, key range [0, 2*10^6)"/>
        <s v="40% updates, key range [0, 2*10^7)"/>
        <s v="40% updates, key range [0, 2*10^8)"/>
        <s v="40% updates, key range [0, 2*10^9)"/>
        <m/>
      </sharedItems>
    </cacheField>
    <cacheField name="maxresident_mb"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21">
  <r>
    <s v="scaling_threads/step10001.txt"/>
    <x v="0"/>
    <n v="72"/>
    <s v="reclaimer_debra"/>
    <s v="allocator_new"/>
    <s v="pool_none"/>
    <n v="30000"/>
    <n v="0"/>
    <n v="0"/>
    <n v="0"/>
    <n v="1"/>
    <n v="2000000"/>
    <n v="24"/>
    <x v="0"/>
    <n v="24"/>
    <n v="0"/>
    <s v="insertIfAbsent"/>
    <n v="1000236558640"/>
    <n v="1000001"/>
    <m/>
    <m/>
    <s v="success"/>
    <n v="5"/>
    <n v="33035"/>
    <n v="1032033"/>
    <n v="1065068"/>
    <n v="1000001"/>
    <n v="32.240600000000001"/>
    <n v="0.96896199999999999"/>
    <n v="1.9389099999999999"/>
    <n v="3"/>
    <n v="2518595892"/>
    <n v="0"/>
    <n v="0"/>
    <n v="2518595892"/>
    <n v="2518595892"/>
    <n v="83953196"/>
    <n v="0"/>
    <n v="0"/>
    <n v="83953196"/>
    <n v="83953196"/>
    <m/>
    <n v="7.6751699999999996"/>
    <n v="1.94316E-2"/>
    <n v="796.851"/>
    <m/>
    <s v=" 1124mb"/>
    <x v="0"/>
    <s v="1124"/>
  </r>
  <r>
    <s v="scaling_threads/step10002.txt"/>
    <x v="0"/>
    <n v="72"/>
    <s v="reclaimer_debra"/>
    <s v="allocator_new"/>
    <s v="pool_none"/>
    <n v="30000"/>
    <n v="0"/>
    <n v="0"/>
    <n v="0"/>
    <n v="1"/>
    <n v="2000000"/>
    <n v="48"/>
    <x v="1"/>
    <n v="48"/>
    <n v="0"/>
    <s v="insertIfAbsent"/>
    <n v="999035134737"/>
    <n v="1000001"/>
    <m/>
    <m/>
    <s v="success"/>
    <n v="5"/>
    <n v="33035"/>
    <n v="1032033"/>
    <n v="1065068"/>
    <n v="1000001"/>
    <n v="32.240600000000001"/>
    <n v="0.96896199999999999"/>
    <n v="1.9389099999999999"/>
    <n v="3"/>
    <n v="3649530684"/>
    <n v="0"/>
    <n v="0"/>
    <n v="3649530684"/>
    <n v="3649530684"/>
    <n v="121651022"/>
    <n v="0"/>
    <n v="0"/>
    <n v="121651022"/>
    <n v="121651022"/>
    <m/>
    <n v="7.64236"/>
    <n v="2.32997E-2"/>
    <n v="1086.0999999999999"/>
    <m/>
    <s v=" 1136mb"/>
    <x v="0"/>
    <s v="1136"/>
  </r>
  <r>
    <s v="scaling_threads/step10003.txt"/>
    <x v="0"/>
    <n v="72"/>
    <s v="reclaimer_debra"/>
    <s v="allocator_new"/>
    <s v="pool_none"/>
    <n v="30000"/>
    <n v="0"/>
    <n v="0"/>
    <n v="0"/>
    <n v="1"/>
    <n v="2000000"/>
    <n v="96"/>
    <x v="2"/>
    <n v="96"/>
    <n v="0"/>
    <s v="insertIfAbsent"/>
    <n v="1000337239493"/>
    <n v="1000001"/>
    <m/>
    <m/>
    <s v="success"/>
    <n v="5"/>
    <n v="33035"/>
    <n v="1032033"/>
    <n v="1065068"/>
    <n v="1000001"/>
    <n v="32.240600000000001"/>
    <n v="0.96896199999999999"/>
    <n v="1.9389099999999999"/>
    <n v="3"/>
    <n v="6995515467"/>
    <n v="0"/>
    <n v="0"/>
    <n v="6995515467"/>
    <n v="6995515467"/>
    <n v="233183848"/>
    <n v="0"/>
    <n v="0"/>
    <n v="233183848"/>
    <n v="233183848"/>
    <m/>
    <n v="7.7200699999999998"/>
    <n v="6.2494300000000003E-2"/>
    <n v="1140.57"/>
    <m/>
    <s v=" 1162mb"/>
    <x v="0"/>
    <s v="1162"/>
  </r>
  <r>
    <s v="scaling_threads/step10004.txt"/>
    <x v="0"/>
    <n v="72"/>
    <s v="reclaimer_debra"/>
    <s v="allocator_new"/>
    <s v="pool_none"/>
    <n v="30000"/>
    <n v="0"/>
    <n v="0"/>
    <n v="0"/>
    <n v="1"/>
    <n v="2000000"/>
    <n v="144"/>
    <x v="3"/>
    <n v="144"/>
    <n v="0"/>
    <s v="insertIfAbsent"/>
    <n v="999645345976"/>
    <n v="1000001"/>
    <m/>
    <m/>
    <s v="success"/>
    <n v="5"/>
    <n v="33035"/>
    <n v="1032033"/>
    <n v="1065068"/>
    <n v="1000001"/>
    <n v="32.240600000000001"/>
    <n v="0.96896199999999999"/>
    <n v="1.9389099999999999"/>
    <n v="3"/>
    <n v="10120629635"/>
    <n v="0"/>
    <n v="0"/>
    <n v="10120629635"/>
    <n v="10120629635"/>
    <n v="337354321"/>
    <n v="0"/>
    <n v="0"/>
    <n v="337354321"/>
    <n v="337354321"/>
    <m/>
    <n v="8.4699500000000008"/>
    <n v="8.0457500000000001E-2"/>
    <n v="1149.68"/>
    <m/>
    <s v=" 1191mb"/>
    <x v="0"/>
    <s v="1191"/>
  </r>
  <r>
    <s v="scaling_threads/step10005.txt"/>
    <x v="0"/>
    <n v="72"/>
    <s v="reclaimer_debra"/>
    <s v="allocator_new"/>
    <s v="pool_none"/>
    <n v="30000"/>
    <n v="0"/>
    <n v="0"/>
    <n v="0"/>
    <n v="1"/>
    <n v="2000000"/>
    <n v="190"/>
    <x v="4"/>
    <n v="190"/>
    <n v="0"/>
    <s v="insertIfAbsent"/>
    <n v="1000357862174"/>
    <n v="1000001"/>
    <m/>
    <m/>
    <s v="success"/>
    <n v="5"/>
    <n v="33035"/>
    <n v="1032033"/>
    <n v="1065068"/>
    <n v="1000001"/>
    <n v="32.240600000000001"/>
    <n v="0.96896199999999999"/>
    <n v="1.9389099999999999"/>
    <n v="3"/>
    <n v="13397801464"/>
    <n v="0"/>
    <n v="0"/>
    <n v="13397801464"/>
    <n v="13397801464"/>
    <n v="446593382"/>
    <n v="0"/>
    <n v="0"/>
    <n v="446593382"/>
    <n v="446593382"/>
    <m/>
    <n v="8.7603799999999996"/>
    <n v="9.0570700000000004E-2"/>
    <n v="1155.53"/>
    <m/>
    <s v=" 1211mb"/>
    <x v="0"/>
    <s v="1211"/>
  </r>
  <r>
    <s v="scaling_threads/step10006.txt"/>
    <x v="1"/>
    <n v="208"/>
    <s v="reclaimer_debra"/>
    <s v="allocator_new"/>
    <s v="pool_none"/>
    <n v="30000"/>
    <n v="0"/>
    <n v="0"/>
    <n v="0"/>
    <n v="1"/>
    <n v="2000000"/>
    <n v="24"/>
    <x v="0"/>
    <n v="24"/>
    <n v="0"/>
    <s v="insertIfAbsent"/>
    <n v="1000023916105"/>
    <n v="1000000"/>
    <m/>
    <m/>
    <s v="success"/>
    <n v="8"/>
    <n v="18496"/>
    <n v="127418"/>
    <n v="145914"/>
    <n v="1000000"/>
    <n v="7.8889500000000004"/>
    <n v="7.8481800000000002"/>
    <n v="7.8533499999999998"/>
    <n v="7"/>
    <n v="2066327168"/>
    <n v="0"/>
    <n v="0"/>
    <n v="2066327168"/>
    <n v="2066327168"/>
    <n v="68877572"/>
    <n v="0"/>
    <n v="0"/>
    <n v="68877572"/>
    <n v="68877572"/>
    <m/>
    <n v="8.5982299999999992"/>
    <n v="0.27085199999999998"/>
    <n v="971.84400000000005"/>
    <m/>
    <s v=" 1102mb"/>
    <x v="0"/>
    <s v="1102"/>
  </r>
  <r>
    <s v="scaling_threads/step10007.txt"/>
    <x v="1"/>
    <n v="208"/>
    <s v="reclaimer_debra"/>
    <s v="allocator_new"/>
    <s v="pool_none"/>
    <n v="30000"/>
    <n v="0"/>
    <n v="0"/>
    <n v="0"/>
    <n v="1"/>
    <n v="2000000"/>
    <n v="48"/>
    <x v="1"/>
    <n v="48"/>
    <n v="0"/>
    <s v="insertIfAbsent"/>
    <n v="999999005390"/>
    <n v="1000000"/>
    <m/>
    <m/>
    <s v="success"/>
    <n v="8"/>
    <n v="18494"/>
    <n v="127477"/>
    <n v="145971"/>
    <n v="1000000"/>
    <n v="7.8928799999999999"/>
    <n v="7.8445499999999999"/>
    <n v="7.8506799999999997"/>
    <n v="7"/>
    <n v="3201535551"/>
    <n v="0"/>
    <n v="0"/>
    <n v="3201535551"/>
    <n v="3201535551"/>
    <n v="106717851"/>
    <n v="0"/>
    <n v="0"/>
    <n v="106717851"/>
    <n v="106717851"/>
    <m/>
    <n v="8.4631100000000004"/>
    <n v="0.28070099999999998"/>
    <n v="1211.44"/>
    <m/>
    <s v=" 1112mb"/>
    <x v="0"/>
    <s v="1112"/>
  </r>
  <r>
    <s v="scaling_threads/step10008.txt"/>
    <x v="1"/>
    <n v="208"/>
    <s v="reclaimer_debra"/>
    <s v="allocator_new"/>
    <s v="pool_none"/>
    <n v="30000"/>
    <n v="0"/>
    <n v="0"/>
    <n v="0"/>
    <n v="1"/>
    <n v="2000000"/>
    <n v="96"/>
    <x v="2"/>
    <n v="96"/>
    <n v="0"/>
    <s v="insertIfAbsent"/>
    <n v="999597856745"/>
    <n v="1000000"/>
    <m/>
    <m/>
    <s v="success"/>
    <n v="8"/>
    <n v="18496"/>
    <n v="127601"/>
    <n v="146097"/>
    <n v="1000000"/>
    <n v="7.8988399999999999"/>
    <n v="7.8369299999999997"/>
    <n v="7.8447699999999996"/>
    <n v="7"/>
    <n v="6334308221"/>
    <n v="0"/>
    <n v="0"/>
    <n v="6334308221"/>
    <n v="6334308221"/>
    <n v="211143607"/>
    <n v="0"/>
    <n v="0"/>
    <n v="211143607"/>
    <n v="211143607"/>
    <m/>
    <n v="8.5484200000000001"/>
    <n v="0.32513900000000001"/>
    <n v="1248.92"/>
    <m/>
    <s v=" 1124mb"/>
    <x v="0"/>
    <s v="1124"/>
  </r>
  <r>
    <s v="scaling_threads/step10009.txt"/>
    <x v="1"/>
    <n v="208"/>
    <s v="reclaimer_debra"/>
    <s v="allocator_new"/>
    <s v="pool_none"/>
    <n v="30000"/>
    <n v="0"/>
    <n v="0"/>
    <n v="0"/>
    <n v="1"/>
    <n v="2000000"/>
    <n v="144"/>
    <x v="3"/>
    <n v="144"/>
    <n v="0"/>
    <s v="insertIfAbsent"/>
    <n v="999841995134"/>
    <n v="1000000"/>
    <m/>
    <m/>
    <s v="success"/>
    <n v="8"/>
    <n v="18557"/>
    <n v="127677"/>
    <n v="146234"/>
    <n v="1000000"/>
    <n v="7.8802599999999998"/>
    <n v="7.8322599999999998"/>
    <n v="7.8383500000000002"/>
    <n v="7"/>
    <n v="9248370803"/>
    <n v="0"/>
    <n v="0"/>
    <n v="9248370803"/>
    <n v="9248370803"/>
    <n v="308279026"/>
    <n v="0"/>
    <n v="0"/>
    <n v="308279026"/>
    <n v="308279026"/>
    <m/>
    <n v="8.5707599999999999"/>
    <n v="0.37317299999999998"/>
    <n v="1243.5999999999999"/>
    <m/>
    <s v=" 1137mb"/>
    <x v="0"/>
    <s v="1137"/>
  </r>
  <r>
    <s v="scaling_threads/step10010.txt"/>
    <x v="1"/>
    <n v="208"/>
    <s v="reclaimer_debra"/>
    <s v="allocator_new"/>
    <s v="pool_none"/>
    <n v="30000"/>
    <n v="0"/>
    <n v="0"/>
    <n v="0"/>
    <n v="1"/>
    <n v="2000000"/>
    <n v="190"/>
    <x v="4"/>
    <n v="190"/>
    <n v="0"/>
    <s v="insertIfAbsent"/>
    <n v="1000193863080"/>
    <n v="1000000"/>
    <m/>
    <m/>
    <s v="success"/>
    <n v="8"/>
    <n v="18560"/>
    <n v="127733"/>
    <n v="146293"/>
    <n v="1000000"/>
    <n v="7.8821700000000003"/>
    <n v="7.82883"/>
    <n v="7.8356000000000003"/>
    <n v="7"/>
    <n v="12188675017"/>
    <n v="0"/>
    <n v="0"/>
    <n v="12188675017"/>
    <n v="12188675017"/>
    <n v="406289167"/>
    <n v="0"/>
    <n v="0"/>
    <n v="406289167"/>
    <n v="406289167"/>
    <m/>
    <n v="8.6484799999999993"/>
    <n v="0.371143"/>
    <n v="1251.31"/>
    <m/>
    <s v=" 1156mb"/>
    <x v="0"/>
    <s v="1156"/>
  </r>
  <r>
    <s v="scaling_threads/step10011.txt"/>
    <x v="2"/>
    <m/>
    <s v="reclaimer_debra"/>
    <s v="allocator_new"/>
    <s v="pool_none"/>
    <n v="30000"/>
    <n v="0"/>
    <n v="0"/>
    <n v="0"/>
    <n v="1"/>
    <n v="2000000"/>
    <n v="24"/>
    <x v="0"/>
    <n v="24"/>
    <n v="0"/>
    <s v="insertIfAbsent"/>
    <n v="1000349333966"/>
    <n v="1000000"/>
    <m/>
    <m/>
    <s v="success"/>
    <n v="25"/>
    <n v="571485"/>
    <n v="428516"/>
    <n v="1000001"/>
    <n v="1000000"/>
    <n v="1.74983"/>
    <n v="2.3336399999999999"/>
    <n v="2"/>
    <n v="19.327100000000002"/>
    <n v="934900943"/>
    <n v="0"/>
    <n v="0"/>
    <n v="934900943"/>
    <n v="934900943"/>
    <n v="31163364"/>
    <n v="0"/>
    <n v="0"/>
    <n v="31163364"/>
    <n v="31163364"/>
    <m/>
    <n v="14.999700000000001"/>
    <n v="1.82779"/>
    <n v="2148.1999999999998"/>
    <m/>
    <s v=" 1133mb"/>
    <x v="0"/>
    <s v="1133"/>
  </r>
  <r>
    <s v="scaling_threads/step10012.txt"/>
    <x v="2"/>
    <m/>
    <s v="reclaimer_debra"/>
    <s v="allocator_new"/>
    <s v="pool_none"/>
    <n v="30000"/>
    <n v="0"/>
    <n v="0"/>
    <n v="0"/>
    <n v="1"/>
    <n v="2000000"/>
    <n v="48"/>
    <x v="1"/>
    <n v="48"/>
    <n v="0"/>
    <s v="insertIfAbsent"/>
    <n v="1000182024700"/>
    <n v="1000000"/>
    <m/>
    <m/>
    <s v="success"/>
    <n v="25"/>
    <n v="571556"/>
    <n v="428445"/>
    <n v="1000001"/>
    <n v="1000000"/>
    <n v="1.7496100000000001"/>
    <n v="2.3340200000000002"/>
    <n v="2"/>
    <n v="19.2879"/>
    <n v="1602663637"/>
    <n v="0"/>
    <n v="0"/>
    <n v="1602663637"/>
    <n v="1602663637"/>
    <n v="53422121"/>
    <n v="0"/>
    <n v="0"/>
    <n v="53422121"/>
    <n v="53422121"/>
    <m/>
    <n v="15.7796"/>
    <n v="1.86073"/>
    <n v="2491.81"/>
    <m/>
    <s v=" 1138mb"/>
    <x v="0"/>
    <s v="1138"/>
  </r>
  <r>
    <s v="scaling_threads/step10013.txt"/>
    <x v="2"/>
    <m/>
    <s v="reclaimer_debra"/>
    <s v="allocator_new"/>
    <s v="pool_none"/>
    <n v="30000"/>
    <n v="0"/>
    <n v="0"/>
    <n v="0"/>
    <n v="1"/>
    <n v="2000000"/>
    <n v="96"/>
    <x v="2"/>
    <n v="96"/>
    <n v="0"/>
    <s v="insertIfAbsent"/>
    <n v="1000510226007"/>
    <n v="1000000"/>
    <m/>
    <m/>
    <s v="success"/>
    <n v="25"/>
    <n v="571537"/>
    <n v="428464"/>
    <n v="1000001"/>
    <n v="1000000"/>
    <n v="1.7496700000000001"/>
    <n v="2.33392"/>
    <n v="2"/>
    <n v="19.358499999999999"/>
    <n v="3364130764"/>
    <n v="0"/>
    <n v="0"/>
    <n v="3364130764"/>
    <n v="3364130764"/>
    <n v="112137692"/>
    <n v="0"/>
    <n v="0"/>
    <n v="112137692"/>
    <n v="112137692"/>
    <m/>
    <n v="15.7875"/>
    <n v="2.0996600000000001"/>
    <n v="2353.38"/>
    <m/>
    <s v=" 1147mb"/>
    <x v="0"/>
    <s v="1147"/>
  </r>
  <r>
    <s v="scaling_threads/step10014.txt"/>
    <x v="2"/>
    <m/>
    <s v="reclaimer_debra"/>
    <s v="allocator_new"/>
    <s v="pool_none"/>
    <n v="30000"/>
    <n v="0"/>
    <n v="0"/>
    <n v="0"/>
    <n v="1"/>
    <n v="2000000"/>
    <n v="144"/>
    <x v="3"/>
    <n v="144"/>
    <n v="0"/>
    <s v="insertIfAbsent"/>
    <n v="999754988348"/>
    <n v="1000000"/>
    <m/>
    <m/>
    <s v="success"/>
    <n v="25"/>
    <n v="571396"/>
    <n v="428605"/>
    <n v="1000001"/>
    <n v="1000000"/>
    <n v="1.7501"/>
    <n v="2.3331499999999998"/>
    <n v="2"/>
    <n v="19.309699999999999"/>
    <n v="5031784510"/>
    <n v="0"/>
    <n v="0"/>
    <n v="5031784510"/>
    <n v="5031784510"/>
    <n v="167726150"/>
    <n v="0"/>
    <n v="0"/>
    <n v="167726150"/>
    <n v="167726150"/>
    <m/>
    <n v="15.808199999999999"/>
    <n v="2.1168"/>
    <n v="2323.06"/>
    <m/>
    <s v=" 1156mb"/>
    <x v="0"/>
    <s v="1156"/>
  </r>
  <r>
    <s v="scaling_threads/step10015.txt"/>
    <x v="2"/>
    <m/>
    <s v="reclaimer_debra"/>
    <s v="allocator_new"/>
    <s v="pool_none"/>
    <n v="30000"/>
    <n v="0"/>
    <n v="0"/>
    <n v="0"/>
    <n v="1"/>
    <n v="2000000"/>
    <n v="190"/>
    <x v="4"/>
    <n v="190"/>
    <n v="0"/>
    <s v="insertIfAbsent"/>
    <n v="1000289659593"/>
    <n v="1000000"/>
    <m/>
    <m/>
    <s v="success"/>
    <n v="25"/>
    <n v="571353"/>
    <n v="428648"/>
    <n v="1000001"/>
    <n v="1000000"/>
    <n v="1.75023"/>
    <n v="2.3329200000000001"/>
    <n v="2"/>
    <n v="19.3264"/>
    <n v="6636391343"/>
    <n v="0"/>
    <n v="0"/>
    <n v="6636391343"/>
    <n v="6636391343"/>
    <n v="221213044"/>
    <n v="0"/>
    <n v="0"/>
    <n v="221213044"/>
    <n v="221213044"/>
    <m/>
    <n v="15.8033"/>
    <n v="2.1282199999999998"/>
    <n v="2325.9299999999998"/>
    <m/>
    <s v=" 1167mb"/>
    <x v="0"/>
    <s v="1167"/>
  </r>
  <r>
    <s v="scaling_threads/step10016.txt"/>
    <x v="3"/>
    <m/>
    <s v="reclaimer_debra"/>
    <s v="allocator_new"/>
    <s v="pool_none"/>
    <n v="30000"/>
    <n v="0"/>
    <n v="0"/>
    <n v="0"/>
    <n v="1"/>
    <n v="2000000"/>
    <n v="24"/>
    <x v="0"/>
    <n v="24"/>
    <n v="0"/>
    <s v="insertIfAbsent"/>
    <n v="1000432264138"/>
    <n v="1000000"/>
    <m/>
    <m/>
    <s v="success"/>
    <n v="49"/>
    <n v="999999"/>
    <n v="1000000"/>
    <n v="1999999"/>
    <n v="1000000"/>
    <n v="2"/>
    <n v="1"/>
    <n v="1.5"/>
    <n v="26.203600000000002"/>
    <n v="817147588"/>
    <n v="0"/>
    <n v="0"/>
    <n v="817147588"/>
    <n v="817147588"/>
    <n v="27238252"/>
    <n v="0"/>
    <n v="0"/>
    <n v="27238252"/>
    <n v="27238252"/>
    <m/>
    <n v="11.8339"/>
    <n v="1.5541499999999999"/>
    <n v="2457.96"/>
    <m/>
    <s v=" 1132mb"/>
    <x v="0"/>
    <s v="1132"/>
  </r>
  <r>
    <s v="scaling_threads/step10017.txt"/>
    <x v="3"/>
    <m/>
    <s v="reclaimer_debra"/>
    <s v="allocator_new"/>
    <s v="pool_none"/>
    <n v="30000"/>
    <n v="0"/>
    <n v="0"/>
    <n v="0"/>
    <n v="1"/>
    <n v="2000000"/>
    <n v="48"/>
    <x v="1"/>
    <n v="48"/>
    <n v="0"/>
    <s v="insertIfAbsent"/>
    <n v="999652976843"/>
    <n v="1000000"/>
    <m/>
    <m/>
    <s v="success"/>
    <n v="51"/>
    <n v="999999"/>
    <n v="1000000"/>
    <n v="1999999"/>
    <n v="1000000"/>
    <n v="2"/>
    <n v="1"/>
    <n v="1.5"/>
    <n v="26.748999999999999"/>
    <n v="1471877025"/>
    <n v="0"/>
    <n v="0"/>
    <n v="1471877025"/>
    <n v="1471877025"/>
    <n v="49062567"/>
    <n v="0"/>
    <n v="0"/>
    <n v="49062567"/>
    <n v="49062567"/>
    <m/>
    <n v="11.724"/>
    <n v="1.5457399999999999"/>
    <n v="2728.46"/>
    <m/>
    <s v=" 1137mb"/>
    <x v="0"/>
    <s v="1137"/>
  </r>
  <r>
    <s v="scaling_threads/step10018.txt"/>
    <x v="3"/>
    <m/>
    <s v="reclaimer_debra"/>
    <s v="allocator_new"/>
    <s v="pool_none"/>
    <n v="30000"/>
    <n v="0"/>
    <n v="0"/>
    <n v="0"/>
    <n v="1"/>
    <n v="2000000"/>
    <n v="96"/>
    <x v="2"/>
    <n v="96"/>
    <n v="0"/>
    <s v="insertIfAbsent"/>
    <n v="1000165403404"/>
    <n v="1000000"/>
    <m/>
    <m/>
    <s v="success"/>
    <n v="57"/>
    <n v="999999"/>
    <n v="1000000"/>
    <n v="1999999"/>
    <n v="1000000"/>
    <n v="2"/>
    <n v="1"/>
    <n v="1.5"/>
    <n v="27.290400000000002"/>
    <n v="3200501340"/>
    <n v="0"/>
    <n v="0"/>
    <n v="3200501340"/>
    <n v="3200501340"/>
    <n v="106683378"/>
    <n v="0"/>
    <n v="0"/>
    <n v="106683378"/>
    <n v="106683378"/>
    <m/>
    <n v="11.769600000000001"/>
    <n v="1.7575799999999999"/>
    <n v="2505.58"/>
    <m/>
    <s v=" 1147mb"/>
    <x v="0"/>
    <s v="1147"/>
  </r>
  <r>
    <s v="scaling_threads/step10019.txt"/>
    <x v="3"/>
    <m/>
    <s v="reclaimer_debra"/>
    <s v="allocator_new"/>
    <s v="pool_none"/>
    <n v="30000"/>
    <n v="0"/>
    <n v="0"/>
    <n v="0"/>
    <n v="1"/>
    <n v="2000000"/>
    <n v="144"/>
    <x v="3"/>
    <n v="144"/>
    <n v="0"/>
    <s v="insertIfAbsent"/>
    <n v="1000073646616"/>
    <n v="1000000"/>
    <m/>
    <m/>
    <s v="success"/>
    <n v="51"/>
    <n v="999999"/>
    <n v="1000000"/>
    <n v="1999999"/>
    <n v="1000000"/>
    <n v="2"/>
    <n v="1"/>
    <n v="1.5"/>
    <n v="25.8155"/>
    <n v="4839025183"/>
    <n v="0"/>
    <n v="0"/>
    <n v="4839025183"/>
    <n v="4839025183"/>
    <n v="161300839"/>
    <n v="0"/>
    <n v="0"/>
    <n v="161300839"/>
    <n v="161300839"/>
    <m/>
    <n v="11.937799999999999"/>
    <n v="1.7706999999999999"/>
    <n v="2486.08"/>
    <m/>
    <s v=" 1157mb"/>
    <x v="0"/>
    <s v="1157"/>
  </r>
  <r>
    <s v="scaling_threads/step10020.txt"/>
    <x v="3"/>
    <m/>
    <s v="reclaimer_debra"/>
    <s v="allocator_new"/>
    <s v="pool_none"/>
    <n v="30000"/>
    <n v="0"/>
    <n v="0"/>
    <n v="0"/>
    <n v="1"/>
    <n v="2000000"/>
    <n v="190"/>
    <x v="4"/>
    <n v="190"/>
    <n v="0"/>
    <s v="insertIfAbsent"/>
    <n v="1000176257963"/>
    <n v="1000000"/>
    <m/>
    <m/>
    <s v="success"/>
    <n v="50"/>
    <n v="999999"/>
    <n v="1000000"/>
    <n v="1999999"/>
    <n v="1000000"/>
    <n v="2"/>
    <n v="1"/>
    <n v="1.5"/>
    <n v="26.276499999999999"/>
    <n v="6478149486"/>
    <n v="0"/>
    <n v="0"/>
    <n v="6478149486"/>
    <n v="6478149486"/>
    <n v="215938316"/>
    <n v="0"/>
    <n v="0"/>
    <n v="215938316"/>
    <n v="215938316"/>
    <m/>
    <n v="11.7995"/>
    <n v="1.79131"/>
    <n v="2450.23"/>
    <m/>
    <s v=" 1166mb"/>
    <x v="0"/>
    <s v="1166"/>
  </r>
  <r>
    <s v="scaling_threads/step10021.txt"/>
    <x v="0"/>
    <n v="72"/>
    <s v="reclaimer_debra"/>
    <s v="allocator_new"/>
    <s v="pool_none"/>
    <n v="30000"/>
    <n v="0"/>
    <n v="0"/>
    <n v="0"/>
    <n v="1"/>
    <n v="20000000"/>
    <n v="24"/>
    <x v="0"/>
    <n v="24"/>
    <n v="0"/>
    <s v="insertIfAbsent"/>
    <n v="99994097357629"/>
    <n v="10000001"/>
    <m/>
    <m/>
    <s v="success"/>
    <n v="6"/>
    <n v="1625784"/>
    <n v="11442329"/>
    <n v="13068113"/>
    <n v="10000001"/>
    <n v="8.0380400000000005"/>
    <n v="0.87394799999999995"/>
    <n v="1.76522"/>
    <n v="4"/>
    <n v="1103233207"/>
    <n v="0"/>
    <n v="0"/>
    <n v="1103233207"/>
    <n v="1103233207"/>
    <n v="36774440"/>
    <n v="0"/>
    <n v="0"/>
    <n v="36774440"/>
    <n v="36774440"/>
    <m/>
    <n v="15.7272"/>
    <n v="5.56745"/>
    <n v="1820.45"/>
    <m/>
    <s v=" 1704mb"/>
    <x v="1"/>
    <s v="1704"/>
  </r>
  <r>
    <s v="scaling_threads/step10022.txt"/>
    <x v="0"/>
    <n v="72"/>
    <s v="reclaimer_debra"/>
    <s v="allocator_new"/>
    <s v="pool_none"/>
    <n v="30000"/>
    <n v="0"/>
    <n v="0"/>
    <n v="0"/>
    <n v="1"/>
    <n v="20000000"/>
    <n v="48"/>
    <x v="1"/>
    <n v="48"/>
    <n v="0"/>
    <s v="insertIfAbsent"/>
    <n v="99996959732775"/>
    <n v="10000001"/>
    <m/>
    <m/>
    <s v="success"/>
    <n v="6"/>
    <n v="1625784"/>
    <n v="11442329"/>
    <n v="13068113"/>
    <n v="10000001"/>
    <n v="8.0380400000000005"/>
    <n v="0.87394799999999995"/>
    <n v="1.76522"/>
    <n v="4"/>
    <n v="1895406111"/>
    <n v="0"/>
    <n v="0"/>
    <n v="1895406111"/>
    <n v="1895406111"/>
    <n v="63180203"/>
    <n v="0"/>
    <n v="0"/>
    <n v="63180203"/>
    <n v="63180203"/>
    <m/>
    <n v="15.250500000000001"/>
    <n v="5.5426599999999997"/>
    <n v="2118.0500000000002"/>
    <m/>
    <s v=" 1725mb"/>
    <x v="1"/>
    <s v="1725"/>
  </r>
  <r>
    <s v="scaling_threads/step10023.txt"/>
    <x v="0"/>
    <n v="72"/>
    <s v="reclaimer_debra"/>
    <s v="allocator_new"/>
    <s v="pool_none"/>
    <n v="30000"/>
    <n v="0"/>
    <n v="0"/>
    <n v="0"/>
    <n v="1"/>
    <n v="20000000"/>
    <n v="96"/>
    <x v="2"/>
    <n v="96"/>
    <n v="0"/>
    <s v="insertIfAbsent"/>
    <n v="100014260998811"/>
    <n v="10000001"/>
    <m/>
    <m/>
    <s v="success"/>
    <n v="6"/>
    <n v="1625784"/>
    <n v="11442329"/>
    <n v="13068113"/>
    <n v="10000001"/>
    <n v="8.0380400000000005"/>
    <n v="0.87394799999999995"/>
    <n v="1.76522"/>
    <n v="4"/>
    <n v="4177379151"/>
    <n v="0"/>
    <n v="0"/>
    <n v="4177379151"/>
    <n v="4177379151"/>
    <n v="139245971"/>
    <n v="0"/>
    <n v="0"/>
    <n v="139245971"/>
    <n v="139245971"/>
    <m/>
    <n v="15.3072"/>
    <n v="6.1359000000000004"/>
    <n v="1910.62"/>
    <m/>
    <s v=" 1763mb"/>
    <x v="1"/>
    <s v="1763"/>
  </r>
  <r>
    <s v="scaling_threads/step10024.txt"/>
    <x v="0"/>
    <n v="72"/>
    <s v="reclaimer_debra"/>
    <s v="allocator_new"/>
    <s v="pool_none"/>
    <n v="30000"/>
    <n v="0"/>
    <n v="0"/>
    <n v="0"/>
    <n v="1"/>
    <n v="20000000"/>
    <n v="144"/>
    <x v="3"/>
    <n v="144"/>
    <n v="0"/>
    <s v="insertIfAbsent"/>
    <n v="99993381535800"/>
    <n v="10000001"/>
    <m/>
    <m/>
    <s v="success"/>
    <n v="6"/>
    <n v="1625784"/>
    <n v="11442329"/>
    <n v="13068113"/>
    <n v="10000001"/>
    <n v="8.0380400000000005"/>
    <n v="0.87394799999999995"/>
    <n v="1.76522"/>
    <n v="4"/>
    <n v="6106746489"/>
    <n v="0"/>
    <n v="0"/>
    <n v="6106746489"/>
    <n v="6106746489"/>
    <n v="203558216"/>
    <n v="0"/>
    <n v="0"/>
    <n v="203558216"/>
    <n v="203558216"/>
    <m/>
    <n v="15.382899999999999"/>
    <n v="6.1806299999999998"/>
    <n v="1955.7"/>
    <m/>
    <s v=" 1813mb"/>
    <x v="1"/>
    <s v="1813"/>
  </r>
  <r>
    <s v="scaling_threads/step10025.txt"/>
    <x v="0"/>
    <n v="72"/>
    <s v="reclaimer_debra"/>
    <s v="allocator_new"/>
    <s v="pool_none"/>
    <n v="30000"/>
    <n v="0"/>
    <n v="0"/>
    <n v="0"/>
    <n v="1"/>
    <n v="20000000"/>
    <n v="190"/>
    <x v="4"/>
    <n v="190"/>
    <n v="0"/>
    <s v="insertIfAbsent"/>
    <n v="99994222887195"/>
    <n v="10000001"/>
    <m/>
    <m/>
    <s v="success"/>
    <n v="6"/>
    <n v="1625784"/>
    <n v="11442329"/>
    <n v="13068113"/>
    <n v="10000001"/>
    <n v="8.0380400000000005"/>
    <n v="0.87394799999999995"/>
    <n v="1.76522"/>
    <n v="4"/>
    <n v="7977516073"/>
    <n v="0"/>
    <n v="0"/>
    <n v="7977516073"/>
    <n v="7977516073"/>
    <n v="265917202"/>
    <n v="0"/>
    <n v="0"/>
    <n v="265917202"/>
    <n v="265917202"/>
    <m/>
    <n v="15.405099999999999"/>
    <n v="6.2151399999999999"/>
    <n v="1968.31"/>
    <m/>
    <s v=" 1850mb"/>
    <x v="1"/>
    <s v="1850"/>
  </r>
  <r>
    <s v="scaling_threads/step10026.txt"/>
    <x v="1"/>
    <n v="208"/>
    <s v="reclaimer_debra"/>
    <s v="allocator_new"/>
    <s v="pool_none"/>
    <n v="30000"/>
    <n v="0"/>
    <n v="0"/>
    <n v="0"/>
    <n v="1"/>
    <n v="20000000"/>
    <n v="24"/>
    <x v="0"/>
    <n v="24"/>
    <n v="0"/>
    <s v="insertIfAbsent"/>
    <n v="99999581598974"/>
    <n v="10000000"/>
    <m/>
    <m/>
    <s v="success"/>
    <n v="9"/>
    <n v="185438"/>
    <n v="1275323"/>
    <n v="1460761"/>
    <n v="10000000"/>
    <n v="7.8773600000000004"/>
    <n v="7.8411499999999998"/>
    <n v="7.8457499999999998"/>
    <n v="8"/>
    <n v="938264770"/>
    <n v="0"/>
    <n v="0"/>
    <n v="938264770"/>
    <n v="938264770"/>
    <n v="31275492"/>
    <n v="0"/>
    <n v="0"/>
    <n v="31275492"/>
    <n v="31275492"/>
    <m/>
    <n v="16.354800000000001"/>
    <n v="4.8441099999999997"/>
    <n v="2140.29"/>
    <m/>
    <s v=" 1402mb"/>
    <x v="1"/>
    <s v="1402"/>
  </r>
  <r>
    <s v="scaling_threads/step10027.txt"/>
    <x v="1"/>
    <n v="208"/>
    <s v="reclaimer_debra"/>
    <s v="allocator_new"/>
    <s v="pool_none"/>
    <n v="30000"/>
    <n v="0"/>
    <n v="0"/>
    <n v="0"/>
    <n v="1"/>
    <n v="20000000"/>
    <n v="48"/>
    <x v="1"/>
    <n v="48"/>
    <n v="0"/>
    <s v="insertIfAbsent"/>
    <n v="100015768702445"/>
    <n v="10000000"/>
    <m/>
    <m/>
    <s v="success"/>
    <n v="9"/>
    <n v="185214"/>
    <n v="1275685"/>
    <n v="1460899"/>
    <n v="10000000"/>
    <n v="7.8876299999999997"/>
    <n v="7.8389300000000004"/>
    <n v="7.8451000000000004"/>
    <n v="8"/>
    <n v="1707975266"/>
    <n v="0"/>
    <n v="0"/>
    <n v="1707975266"/>
    <n v="1707975266"/>
    <n v="56932508"/>
    <n v="0"/>
    <n v="0"/>
    <n v="56932508"/>
    <n v="56932508"/>
    <m/>
    <n v="16.322199999999999"/>
    <n v="4.8554000000000004"/>
    <n v="2348.85"/>
    <m/>
    <s v=" 1446mb"/>
    <x v="1"/>
    <s v="1446"/>
  </r>
  <r>
    <s v="scaling_threads/step10028.txt"/>
    <x v="1"/>
    <n v="208"/>
    <s v="reclaimer_debra"/>
    <s v="allocator_new"/>
    <s v="pool_none"/>
    <n v="30000"/>
    <n v="0"/>
    <n v="0"/>
    <n v="0"/>
    <n v="1"/>
    <n v="20000000"/>
    <n v="96"/>
    <x v="2"/>
    <n v="96"/>
    <n v="0"/>
    <s v="insertIfAbsent"/>
    <n v="100016708483845"/>
    <n v="10000000"/>
    <m/>
    <m/>
    <s v="success"/>
    <n v="9"/>
    <n v="185492"/>
    <n v="1275988"/>
    <n v="1461480"/>
    <n v="10000000"/>
    <n v="7.8789400000000001"/>
    <n v="7.8370600000000001"/>
    <n v="7.8423800000000004"/>
    <n v="8"/>
    <n v="3727688501"/>
    <n v="0"/>
    <n v="0"/>
    <n v="3727688501"/>
    <n v="3727688501"/>
    <n v="124256283"/>
    <n v="0"/>
    <n v="0"/>
    <n v="124256283"/>
    <n v="124256283"/>
    <m/>
    <n v="16.553999999999998"/>
    <n v="5.4957700000000003"/>
    <n v="2140.4899999999998"/>
    <m/>
    <s v=" 1546mb"/>
    <x v="1"/>
    <s v="1546"/>
  </r>
  <r>
    <s v="scaling_threads/step10029.txt"/>
    <x v="1"/>
    <n v="208"/>
    <s v="reclaimer_debra"/>
    <s v="allocator_new"/>
    <s v="pool_none"/>
    <n v="30000"/>
    <n v="0"/>
    <n v="0"/>
    <n v="0"/>
    <n v="1"/>
    <n v="20000000"/>
    <n v="144"/>
    <x v="3"/>
    <n v="144"/>
    <n v="0"/>
    <s v="insertIfAbsent"/>
    <n v="100002790333307"/>
    <n v="10000000"/>
    <m/>
    <m/>
    <s v="success"/>
    <n v="9"/>
    <n v="185383"/>
    <n v="1275961"/>
    <n v="1461344"/>
    <n v="10000000"/>
    <n v="7.8828399999999998"/>
    <n v="7.8372299999999999"/>
    <n v="7.8430200000000001"/>
    <n v="8"/>
    <n v="5489348965"/>
    <n v="0"/>
    <n v="0"/>
    <n v="5489348965"/>
    <n v="5489348965"/>
    <n v="182978298"/>
    <n v="0"/>
    <n v="0"/>
    <n v="182978298"/>
    <n v="182978298"/>
    <m/>
    <n v="16.5443"/>
    <n v="5.5397699999999999"/>
    <n v="2179.23"/>
    <m/>
    <s v=" 1580mb"/>
    <x v="1"/>
    <s v="1580"/>
  </r>
  <r>
    <s v="scaling_threads/step10030.txt"/>
    <x v="1"/>
    <n v="208"/>
    <s v="reclaimer_debra"/>
    <s v="allocator_new"/>
    <s v="pool_none"/>
    <n v="30000"/>
    <n v="0"/>
    <n v="0"/>
    <n v="0"/>
    <n v="1"/>
    <n v="20000000"/>
    <n v="190"/>
    <x v="4"/>
    <n v="190"/>
    <n v="0"/>
    <s v="insertIfAbsent"/>
    <n v="99994532785224"/>
    <n v="10000000"/>
    <m/>
    <m/>
    <s v="success"/>
    <n v="9"/>
    <n v="185062"/>
    <n v="1275578"/>
    <n v="1460640"/>
    <n v="10000000"/>
    <n v="7.8927100000000001"/>
    <n v="7.8395799999999998"/>
    <n v="7.8463099999999999"/>
    <n v="8"/>
    <n v="7274809916"/>
    <n v="0"/>
    <n v="0"/>
    <n v="7274809916"/>
    <n v="7274809916"/>
    <n v="242493663"/>
    <n v="0"/>
    <n v="0"/>
    <n v="242493663"/>
    <n v="242493663"/>
    <m/>
    <n v="16.503399999999999"/>
    <n v="5.5722199999999997"/>
    <n v="2162.14"/>
    <m/>
    <s v=" 1559mb"/>
    <x v="1"/>
    <s v="1559"/>
  </r>
  <r>
    <s v="scaling_threads/step10031.txt"/>
    <x v="2"/>
    <m/>
    <s v="reclaimer_debra"/>
    <s v="allocator_new"/>
    <s v="pool_none"/>
    <n v="30000"/>
    <n v="0"/>
    <n v="0"/>
    <n v="0"/>
    <n v="1"/>
    <n v="20000000"/>
    <n v="24"/>
    <x v="0"/>
    <n v="24"/>
    <n v="0"/>
    <s v="insertIfAbsent"/>
    <n v="100005685651241"/>
    <n v="10000000"/>
    <m/>
    <m/>
    <s v="success"/>
    <n v="29"/>
    <n v="5714954"/>
    <n v="4285047"/>
    <n v="10000001"/>
    <n v="10000000"/>
    <n v="1.7498"/>
    <n v="2.3336999999999999"/>
    <n v="2"/>
    <n v="22.6799"/>
    <n v="423049045"/>
    <n v="0"/>
    <n v="0"/>
    <n v="423049045"/>
    <n v="423049045"/>
    <n v="14101634"/>
    <n v="0"/>
    <n v="0"/>
    <n v="14101634"/>
    <n v="14101634"/>
    <m/>
    <n v="27.5822"/>
    <n v="9.4894099999999995"/>
    <n v="4747.1499999999996"/>
    <m/>
    <s v=" 1716mb"/>
    <x v="1"/>
    <s v="1716"/>
  </r>
  <r>
    <s v="scaling_threads/step10032.txt"/>
    <x v="2"/>
    <m/>
    <s v="reclaimer_debra"/>
    <s v="allocator_new"/>
    <s v="pool_none"/>
    <n v="30000"/>
    <n v="0"/>
    <n v="0"/>
    <n v="0"/>
    <n v="1"/>
    <n v="20000000"/>
    <n v="48"/>
    <x v="1"/>
    <n v="48"/>
    <n v="0"/>
    <s v="insertIfAbsent"/>
    <n v="99979801137632"/>
    <n v="10000000"/>
    <m/>
    <m/>
    <s v="success"/>
    <n v="29"/>
    <n v="5714735"/>
    <n v="4285266"/>
    <n v="10000001"/>
    <n v="10000000"/>
    <n v="1.74986"/>
    <n v="2.33358"/>
    <n v="2"/>
    <n v="22.677600000000002"/>
    <n v="798260075"/>
    <n v="0"/>
    <n v="0"/>
    <n v="798260075"/>
    <n v="798260075"/>
    <n v="26608669"/>
    <n v="0"/>
    <n v="0"/>
    <n v="26608669"/>
    <n v="26608669"/>
    <m/>
    <n v="28.286799999999999"/>
    <n v="9.3333499999999994"/>
    <n v="5025.3900000000003"/>
    <m/>
    <s v=" 1720mb"/>
    <x v="1"/>
    <s v="1720"/>
  </r>
  <r>
    <s v="scaling_threads/step10033.txt"/>
    <x v="2"/>
    <m/>
    <s v="reclaimer_debra"/>
    <s v="allocator_new"/>
    <s v="pool_none"/>
    <n v="30000"/>
    <n v="0"/>
    <n v="0"/>
    <n v="0"/>
    <n v="1"/>
    <n v="20000000"/>
    <n v="96"/>
    <x v="2"/>
    <n v="96"/>
    <n v="0"/>
    <s v="insertIfAbsent"/>
    <n v="100008037752758"/>
    <n v="10000000"/>
    <m/>
    <m/>
    <s v="success"/>
    <n v="29"/>
    <n v="5714135"/>
    <n v="4285866"/>
    <n v="10000001"/>
    <n v="10000000"/>
    <n v="1.7500500000000001"/>
    <n v="2.33325"/>
    <n v="2"/>
    <n v="22.6736"/>
    <n v="1760277293"/>
    <n v="0"/>
    <n v="0"/>
    <n v="1760277293"/>
    <n v="1760277293"/>
    <n v="58675909"/>
    <n v="0"/>
    <n v="0"/>
    <n v="58675909"/>
    <n v="58675909"/>
    <m/>
    <n v="28.750599999999999"/>
    <n v="10.657299999999999"/>
    <n v="4551.46"/>
    <m/>
    <s v=" 1733mb"/>
    <x v="1"/>
    <s v="1733"/>
  </r>
  <r>
    <s v="scaling_threads/step10034.txt"/>
    <x v="2"/>
    <m/>
    <s v="reclaimer_debra"/>
    <s v="allocator_new"/>
    <s v="pool_none"/>
    <n v="30000"/>
    <n v="0"/>
    <n v="0"/>
    <n v="0"/>
    <n v="1"/>
    <n v="20000000"/>
    <n v="144"/>
    <x v="3"/>
    <n v="144"/>
    <n v="0"/>
    <s v="insertIfAbsent"/>
    <n v="100031721958637"/>
    <n v="10000000"/>
    <m/>
    <m/>
    <s v="success"/>
    <n v="29"/>
    <n v="5714207"/>
    <n v="4285794"/>
    <n v="10000001"/>
    <n v="10000000"/>
    <n v="1.7500199999999999"/>
    <n v="2.3332899999999999"/>
    <n v="2"/>
    <n v="22.7454"/>
    <n v="2652975288"/>
    <n v="0"/>
    <n v="0"/>
    <n v="2652975288"/>
    <n v="2652975288"/>
    <n v="88432509"/>
    <n v="0"/>
    <n v="0"/>
    <n v="88432509"/>
    <n v="88432509"/>
    <m/>
    <n v="28.795100000000001"/>
    <n v="10.7499"/>
    <n v="4528.21"/>
    <m/>
    <s v=" 1743mb"/>
    <x v="1"/>
    <s v="1743"/>
  </r>
  <r>
    <s v="scaling_threads/step10035.txt"/>
    <x v="2"/>
    <m/>
    <s v="reclaimer_debra"/>
    <s v="allocator_new"/>
    <s v="pool_none"/>
    <n v="30000"/>
    <n v="0"/>
    <n v="0"/>
    <n v="0"/>
    <n v="1"/>
    <n v="20000000"/>
    <n v="190"/>
    <x v="4"/>
    <n v="190"/>
    <n v="0"/>
    <s v="insertIfAbsent"/>
    <n v="100006001369026"/>
    <n v="10000000"/>
    <m/>
    <m/>
    <s v="success"/>
    <n v="29"/>
    <n v="5714243"/>
    <n v="4285758"/>
    <n v="10000001"/>
    <n v="10000000"/>
    <n v="1.7500100000000001"/>
    <n v="2.33331"/>
    <n v="2"/>
    <n v="22.764099999999999"/>
    <n v="3521988975"/>
    <n v="0"/>
    <n v="0"/>
    <n v="3521988975"/>
    <n v="3521988975"/>
    <n v="117399632"/>
    <n v="0"/>
    <n v="0"/>
    <n v="117399632"/>
    <n v="117399632"/>
    <m/>
    <n v="28.414400000000001"/>
    <n v="10.7842"/>
    <n v="4493.75"/>
    <m/>
    <s v=" 1752mb"/>
    <x v="1"/>
    <s v="1752"/>
  </r>
  <r>
    <s v="scaling_threads/step10036.txt"/>
    <x v="3"/>
    <m/>
    <s v="reclaimer_debra"/>
    <s v="allocator_new"/>
    <s v="pool_none"/>
    <n v="30000"/>
    <n v="0"/>
    <n v="0"/>
    <n v="0"/>
    <n v="1"/>
    <n v="20000000"/>
    <n v="24"/>
    <x v="0"/>
    <n v="24"/>
    <n v="0"/>
    <s v="insertIfAbsent"/>
    <n v="99989726036600"/>
    <n v="10000000"/>
    <m/>
    <m/>
    <s v="success"/>
    <n v="61"/>
    <n v="9999999"/>
    <n v="10000000"/>
    <n v="19999999"/>
    <n v="10000000"/>
    <n v="2"/>
    <n v="1"/>
    <n v="1.5"/>
    <n v="32.4726"/>
    <n v="351517136"/>
    <n v="0"/>
    <n v="0"/>
    <n v="351517136"/>
    <n v="351517136"/>
    <n v="11717237"/>
    <n v="0"/>
    <n v="0"/>
    <n v="11717237"/>
    <n v="11717237"/>
    <m/>
    <n v="24.163900000000002"/>
    <n v="8.7382200000000001"/>
    <n v="5713.86"/>
    <m/>
    <s v=" 1716mb"/>
    <x v="1"/>
    <s v="1716"/>
  </r>
  <r>
    <s v="scaling_threads/step10037.txt"/>
    <x v="3"/>
    <m/>
    <s v="reclaimer_debra"/>
    <s v="allocator_new"/>
    <s v="pool_none"/>
    <n v="30000"/>
    <n v="0"/>
    <n v="0"/>
    <n v="0"/>
    <n v="1"/>
    <n v="20000000"/>
    <n v="48"/>
    <x v="1"/>
    <n v="48"/>
    <n v="0"/>
    <s v="insertIfAbsent"/>
    <n v="99995879740003"/>
    <n v="10000000"/>
    <m/>
    <m/>
    <s v="success"/>
    <n v="59"/>
    <n v="9999999"/>
    <n v="10000000"/>
    <n v="19999999"/>
    <n v="10000000"/>
    <n v="2"/>
    <n v="1"/>
    <n v="1.5"/>
    <n v="30.987500000000001"/>
    <n v="685801160"/>
    <n v="0"/>
    <n v="0"/>
    <n v="685801160"/>
    <n v="685801160"/>
    <n v="22860038"/>
    <n v="0"/>
    <n v="0"/>
    <n v="22860038"/>
    <n v="22860038"/>
    <m/>
    <n v="24.005400000000002"/>
    <n v="8.6225000000000005"/>
    <n v="5852.53"/>
    <m/>
    <s v=" 1720mb"/>
    <x v="1"/>
    <s v="1720"/>
  </r>
  <r>
    <s v="scaling_threads/step10038.txt"/>
    <x v="3"/>
    <m/>
    <s v="reclaimer_debra"/>
    <s v="allocator_new"/>
    <s v="pool_none"/>
    <n v="30000"/>
    <n v="0"/>
    <n v="0"/>
    <n v="0"/>
    <n v="1"/>
    <n v="20000000"/>
    <n v="96"/>
    <x v="2"/>
    <n v="96"/>
    <n v="0"/>
    <s v="insertIfAbsent"/>
    <n v="100011387005961"/>
    <n v="10000000"/>
    <m/>
    <m/>
    <s v="success"/>
    <n v="62"/>
    <n v="9999999"/>
    <n v="10000000"/>
    <n v="19999999"/>
    <n v="10000000"/>
    <n v="2"/>
    <n v="1"/>
    <n v="1.5"/>
    <n v="32.219099999999997"/>
    <n v="1530351091"/>
    <n v="0"/>
    <n v="0"/>
    <n v="1530351091"/>
    <n v="1530351091"/>
    <n v="51011703"/>
    <n v="0"/>
    <n v="0"/>
    <n v="51011703"/>
    <n v="51011703"/>
    <m/>
    <n v="24.697700000000001"/>
    <n v="9.9363100000000006"/>
    <n v="5236.72"/>
    <m/>
    <s v=" 1734mb"/>
    <x v="1"/>
    <s v="1734"/>
  </r>
  <r>
    <s v="scaling_threads/step10039.txt"/>
    <x v="3"/>
    <m/>
    <s v="reclaimer_debra"/>
    <s v="allocator_new"/>
    <s v="pool_none"/>
    <n v="30000"/>
    <n v="0"/>
    <n v="0"/>
    <n v="0"/>
    <n v="1"/>
    <n v="20000000"/>
    <n v="144"/>
    <x v="3"/>
    <n v="144"/>
    <n v="0"/>
    <s v="insertIfAbsent"/>
    <n v="100005675247247"/>
    <n v="10000000"/>
    <m/>
    <m/>
    <s v="success"/>
    <n v="59"/>
    <n v="9999999"/>
    <n v="10000000"/>
    <n v="19999999"/>
    <n v="10000000"/>
    <n v="2"/>
    <n v="1"/>
    <n v="1.5"/>
    <n v="30.63"/>
    <n v="2312177043"/>
    <n v="0"/>
    <n v="0"/>
    <n v="2312177043"/>
    <n v="2312177043"/>
    <n v="77072568"/>
    <n v="0"/>
    <n v="0"/>
    <n v="77072568"/>
    <n v="77072568"/>
    <m/>
    <n v="24.646599999999999"/>
    <n v="10.036"/>
    <n v="5201.74"/>
    <m/>
    <s v=" 1743mb"/>
    <x v="1"/>
    <s v="1743"/>
  </r>
  <r>
    <s v="scaling_threads/step10040.txt"/>
    <x v="3"/>
    <m/>
    <s v="reclaimer_debra"/>
    <s v="allocator_new"/>
    <s v="pool_none"/>
    <n v="30000"/>
    <n v="0"/>
    <n v="0"/>
    <n v="0"/>
    <n v="1"/>
    <n v="20000000"/>
    <n v="190"/>
    <x v="4"/>
    <n v="190"/>
    <n v="0"/>
    <s v="insertIfAbsent"/>
    <n v="100010763122955"/>
    <n v="10000000"/>
    <m/>
    <m/>
    <s v="success"/>
    <n v="59"/>
    <n v="9999999"/>
    <n v="10000000"/>
    <n v="19999999"/>
    <n v="10000000"/>
    <n v="2"/>
    <n v="1"/>
    <n v="1.5"/>
    <n v="31.1724"/>
    <n v="3079608923"/>
    <n v="0"/>
    <n v="0"/>
    <n v="3079608923"/>
    <n v="3079608923"/>
    <n v="102653630"/>
    <n v="0"/>
    <n v="0"/>
    <n v="102653630"/>
    <n v="102653630"/>
    <m/>
    <n v="24.667100000000001"/>
    <n v="10.068099999999999"/>
    <n v="5152.7299999999996"/>
    <m/>
    <s v=" 1751mb"/>
    <x v="1"/>
    <s v="1751"/>
  </r>
  <r>
    <s v="scaling_threads/step10041.txt"/>
    <x v="0"/>
    <n v="72"/>
    <s v="reclaimer_debra"/>
    <s v="allocator_new"/>
    <s v="pool_none"/>
    <n v="30000"/>
    <n v="0"/>
    <n v="0"/>
    <n v="0"/>
    <n v="1"/>
    <n v="200000000"/>
    <n v="24"/>
    <x v="0"/>
    <n v="24"/>
    <n v="0"/>
    <s v="insertIfAbsent"/>
    <n v="9999913715529900"/>
    <n v="100000001"/>
    <m/>
    <m/>
    <s v="success"/>
    <n v="6"/>
    <n v="11011103"/>
    <n v="110001001"/>
    <n v="121012104"/>
    <n v="100000001"/>
    <n v="10.99"/>
    <n v="0.90908299999999997"/>
    <n v="1.82636"/>
    <n v="4"/>
    <n v="876162595"/>
    <n v="0"/>
    <n v="0"/>
    <n v="876162595"/>
    <n v="876162595"/>
    <n v="29205419"/>
    <n v="0"/>
    <n v="0"/>
    <n v="29205419"/>
    <n v="29205419"/>
    <m/>
    <n v="18.555700000000002"/>
    <n v="8.0259800000000006"/>
    <n v="2292.0500000000002"/>
    <m/>
    <s v=" 7054mb"/>
    <x v="2"/>
    <s v="7054"/>
  </r>
  <r>
    <s v="scaling_threads/step10042.txt"/>
    <x v="0"/>
    <n v="72"/>
    <s v="reclaimer_debra"/>
    <s v="allocator_new"/>
    <s v="pool_none"/>
    <n v="30000"/>
    <n v="0"/>
    <n v="0"/>
    <n v="0"/>
    <n v="1"/>
    <n v="200000000"/>
    <n v="48"/>
    <x v="1"/>
    <n v="48"/>
    <n v="0"/>
    <s v="insertIfAbsent"/>
    <n v="9999999298436810"/>
    <n v="100000001"/>
    <m/>
    <m/>
    <s v="success"/>
    <n v="6"/>
    <n v="11011103"/>
    <n v="110001001"/>
    <n v="121012104"/>
    <n v="100000001"/>
    <n v="10.99"/>
    <n v="0.90908299999999997"/>
    <n v="1.82636"/>
    <n v="4"/>
    <n v="1526045501"/>
    <n v="0"/>
    <n v="0"/>
    <n v="1526045501"/>
    <n v="1526045501"/>
    <n v="50868183"/>
    <n v="0"/>
    <n v="0"/>
    <n v="50868183"/>
    <n v="50868183"/>
    <m/>
    <n v="18.5107"/>
    <n v="8.0152400000000004"/>
    <n v="2628.96"/>
    <m/>
    <s v=" 7095mb"/>
    <x v="2"/>
    <s v="7095"/>
  </r>
  <r>
    <s v="scaling_threads/step10043.txt"/>
    <x v="0"/>
    <n v="72"/>
    <s v="reclaimer_debra"/>
    <s v="allocator_new"/>
    <s v="pool_none"/>
    <n v="30000"/>
    <n v="0"/>
    <n v="0"/>
    <n v="0"/>
    <n v="1"/>
    <n v="200000000"/>
    <n v="96"/>
    <x v="2"/>
    <n v="96"/>
    <n v="0"/>
    <s v="insertIfAbsent"/>
    <n v="1.00002829441116E+16"/>
    <n v="100000001"/>
    <m/>
    <m/>
    <s v="success"/>
    <n v="6"/>
    <n v="11011103"/>
    <n v="110001001"/>
    <n v="121012104"/>
    <n v="100000001"/>
    <n v="10.99"/>
    <n v="0.90908299999999997"/>
    <n v="1.82636"/>
    <n v="4"/>
    <n v="3100780188"/>
    <n v="0"/>
    <n v="0"/>
    <n v="3100780188"/>
    <n v="3100780188"/>
    <n v="103359339"/>
    <n v="0"/>
    <n v="0"/>
    <n v="103359339"/>
    <n v="103359339"/>
    <m/>
    <n v="18.680399999999999"/>
    <n v="8.8047299999999993"/>
    <n v="2584.29"/>
    <m/>
    <s v=" 7181mb"/>
    <x v="2"/>
    <s v="7181"/>
  </r>
  <r>
    <s v="scaling_threads/step10044.txt"/>
    <x v="0"/>
    <n v="72"/>
    <s v="reclaimer_debra"/>
    <s v="allocator_new"/>
    <s v="pool_none"/>
    <n v="30000"/>
    <n v="0"/>
    <n v="0"/>
    <n v="0"/>
    <n v="1"/>
    <n v="200000000"/>
    <n v="144"/>
    <x v="3"/>
    <n v="144"/>
    <n v="0"/>
    <s v="insertIfAbsent"/>
    <n v="9999646347751770"/>
    <n v="100000001"/>
    <m/>
    <m/>
    <s v="success"/>
    <n v="6"/>
    <n v="11011103"/>
    <n v="110001001"/>
    <n v="121012104"/>
    <n v="100000001"/>
    <n v="10.99"/>
    <n v="0.90908299999999997"/>
    <n v="1.82636"/>
    <n v="4"/>
    <n v="4578437924"/>
    <n v="0"/>
    <n v="0"/>
    <n v="4578437924"/>
    <n v="4578437924"/>
    <n v="152614597"/>
    <n v="0"/>
    <n v="0"/>
    <n v="152614597"/>
    <n v="152614597"/>
    <m/>
    <n v="18.6907"/>
    <n v="9.0602300000000007"/>
    <n v="2618.48"/>
    <m/>
    <s v=" 7287mb"/>
    <x v="2"/>
    <s v="7287"/>
  </r>
  <r>
    <s v="scaling_threads/step10045.txt"/>
    <x v="0"/>
    <n v="72"/>
    <s v="reclaimer_debra"/>
    <s v="allocator_new"/>
    <s v="pool_none"/>
    <n v="30000"/>
    <n v="0"/>
    <n v="0"/>
    <n v="0"/>
    <n v="1"/>
    <n v="200000000"/>
    <n v="190"/>
    <x v="4"/>
    <n v="190"/>
    <n v="0"/>
    <s v="insertIfAbsent"/>
    <n v="1.00005398320445E+16"/>
    <n v="100000001"/>
    <m/>
    <m/>
    <s v="success"/>
    <n v="6"/>
    <n v="11011103"/>
    <n v="110001001"/>
    <n v="121012104"/>
    <n v="100000001"/>
    <n v="10.99"/>
    <n v="0.90908299999999997"/>
    <n v="1.82636"/>
    <n v="4"/>
    <n v="6018504838"/>
    <n v="0"/>
    <n v="0"/>
    <n v="6018504838"/>
    <n v="6018504838"/>
    <n v="200616827"/>
    <n v="0"/>
    <n v="0"/>
    <n v="200616827"/>
    <n v="200616827"/>
    <m/>
    <n v="18.804500000000001"/>
    <n v="9.2026699999999995"/>
    <n v="2625.29"/>
    <m/>
    <s v=" 7354mb"/>
    <x v="2"/>
    <s v="7354"/>
  </r>
  <r>
    <s v="scaling_threads/step10046.txt"/>
    <x v="1"/>
    <n v="208"/>
    <s v="reclaimer_debra"/>
    <s v="allocator_new"/>
    <s v="pool_none"/>
    <n v="30000"/>
    <n v="0"/>
    <n v="0"/>
    <n v="0"/>
    <n v="1"/>
    <n v="200000000"/>
    <n v="24"/>
    <x v="0"/>
    <n v="24"/>
    <n v="0"/>
    <s v="insertIfAbsent"/>
    <n v="9999566903971680"/>
    <n v="100000000"/>
    <m/>
    <m/>
    <s v="success"/>
    <n v="10"/>
    <n v="1853683"/>
    <n v="12756987"/>
    <n v="14610670"/>
    <n v="100000000"/>
    <n v="7.8819699999999999"/>
    <n v="7.8388400000000003"/>
    <n v="7.8443100000000001"/>
    <n v="9"/>
    <n v="632214904"/>
    <n v="0"/>
    <n v="0"/>
    <n v="632214904"/>
    <n v="632214904"/>
    <n v="21073830"/>
    <n v="0"/>
    <n v="0"/>
    <n v="21073830"/>
    <n v="21073830"/>
    <m/>
    <n v="23.408999999999999"/>
    <n v="9.5948799999999999"/>
    <n v="3172.01"/>
    <m/>
    <s v=" 4296mb"/>
    <x v="2"/>
    <s v="4296"/>
  </r>
  <r>
    <s v="scaling_threads/step10047.txt"/>
    <x v="1"/>
    <n v="208"/>
    <s v="reclaimer_debra"/>
    <s v="allocator_new"/>
    <s v="pool_none"/>
    <n v="30000"/>
    <n v="0"/>
    <n v="0"/>
    <n v="0"/>
    <n v="1"/>
    <n v="200000000"/>
    <n v="48"/>
    <x v="1"/>
    <n v="48"/>
    <n v="0"/>
    <s v="insertIfAbsent"/>
    <n v="9999371823725690"/>
    <n v="100000000"/>
    <m/>
    <m/>
    <s v="success"/>
    <n v="10"/>
    <n v="1853926"/>
    <n v="12757994"/>
    <n v="14611920"/>
    <n v="100000000"/>
    <n v="7.8816100000000002"/>
    <n v="7.8382199999999997"/>
    <n v="7.8437299999999999"/>
    <n v="9"/>
    <n v="1183870894"/>
    <n v="0"/>
    <n v="0"/>
    <n v="1183870894"/>
    <n v="1183870894"/>
    <n v="39462363"/>
    <n v="0"/>
    <n v="0"/>
    <n v="39462363"/>
    <n v="39462363"/>
    <m/>
    <n v="23.347999999999999"/>
    <n v="9.5079399999999996"/>
    <n v="3386.73"/>
    <m/>
    <s v=" 4399mb"/>
    <x v="2"/>
    <s v="4399"/>
  </r>
  <r>
    <s v="scaling_threads/step10048.txt"/>
    <x v="1"/>
    <n v="208"/>
    <s v="reclaimer_debra"/>
    <s v="allocator_new"/>
    <s v="pool_none"/>
    <n v="30000"/>
    <n v="0"/>
    <n v="0"/>
    <n v="0"/>
    <n v="1"/>
    <n v="200000000"/>
    <n v="96"/>
    <x v="2"/>
    <n v="96"/>
    <n v="0"/>
    <s v="insertIfAbsent"/>
    <n v="1.00002444700488E+16"/>
    <n v="100000000"/>
    <m/>
    <m/>
    <s v="success"/>
    <n v="10"/>
    <n v="1854364"/>
    <n v="12757420"/>
    <n v="14611784"/>
    <n v="100000000"/>
    <n v="7.87967"/>
    <n v="7.8385800000000003"/>
    <n v="7.8437900000000003"/>
    <n v="9"/>
    <n v="2444846468"/>
    <n v="0"/>
    <n v="0"/>
    <n v="2444846468"/>
    <n v="2444846468"/>
    <n v="81494882"/>
    <n v="0"/>
    <n v="0"/>
    <n v="81494882"/>
    <n v="81494882"/>
    <m/>
    <n v="23.325500000000002"/>
    <n v="10.288500000000001"/>
    <n v="3275.63"/>
    <m/>
    <s v=" 4628mb"/>
    <x v="2"/>
    <s v="4628"/>
  </r>
  <r>
    <s v="scaling_threads/step10049.txt"/>
    <x v="1"/>
    <n v="208"/>
    <s v="reclaimer_debra"/>
    <s v="allocator_new"/>
    <s v="pool_none"/>
    <n v="30000"/>
    <n v="0"/>
    <n v="0"/>
    <n v="0"/>
    <n v="1"/>
    <n v="200000000"/>
    <n v="144"/>
    <x v="3"/>
    <n v="144"/>
    <n v="0"/>
    <s v="insertIfAbsent"/>
    <n v="1.00002353965364E+16"/>
    <n v="100000000"/>
    <m/>
    <m/>
    <s v="success"/>
    <n v="10"/>
    <n v="1853968"/>
    <n v="12757479"/>
    <n v="14611447"/>
    <n v="100000000"/>
    <n v="7.8811799999999996"/>
    <n v="7.8385400000000001"/>
    <n v="7.8439500000000004"/>
    <n v="9"/>
    <n v="3647224966"/>
    <n v="0"/>
    <n v="0"/>
    <n v="3647224966"/>
    <n v="3647224966"/>
    <n v="121574165"/>
    <n v="0"/>
    <n v="0"/>
    <n v="121574165"/>
    <n v="121574165"/>
    <m/>
    <n v="23.4556"/>
    <n v="10.478899999999999"/>
    <n v="3291.88"/>
    <m/>
    <s v=" 4675mb"/>
    <x v="2"/>
    <s v="4675"/>
  </r>
  <r>
    <s v="scaling_threads/step10050.txt"/>
    <x v="1"/>
    <n v="208"/>
    <s v="reclaimer_debra"/>
    <s v="allocator_new"/>
    <s v="pool_none"/>
    <n v="30000"/>
    <n v="0"/>
    <n v="0"/>
    <n v="0"/>
    <n v="1"/>
    <n v="200000000"/>
    <n v="190"/>
    <x v="4"/>
    <n v="190"/>
    <n v="0"/>
    <s v="insertIfAbsent"/>
    <n v="9999340903727350"/>
    <n v="100000000"/>
    <m/>
    <m/>
    <s v="success"/>
    <n v="10"/>
    <n v="1854662"/>
    <n v="12757607"/>
    <n v="14612269"/>
    <n v="100000000"/>
    <n v="7.8786699999999996"/>
    <n v="7.8384600000000004"/>
    <n v="7.8435600000000001"/>
    <n v="9"/>
    <n v="4755284497"/>
    <n v="0"/>
    <n v="0"/>
    <n v="4755284497"/>
    <n v="4755284497"/>
    <n v="158509483"/>
    <n v="0"/>
    <n v="0"/>
    <n v="158509483"/>
    <n v="158509483"/>
    <m/>
    <n v="23.4895"/>
    <n v="10.8085"/>
    <n v="3327.51"/>
    <m/>
    <s v=" 5129mb"/>
    <x v="2"/>
    <s v="5129"/>
  </r>
  <r>
    <s v="scaling_threads/step10051.txt"/>
    <x v="2"/>
    <m/>
    <s v="reclaimer_debra"/>
    <s v="allocator_new"/>
    <s v="pool_none"/>
    <n v="30000"/>
    <n v="0"/>
    <n v="0"/>
    <n v="0"/>
    <n v="1"/>
    <n v="200000000"/>
    <n v="24"/>
    <x v="0"/>
    <n v="24"/>
    <n v="0"/>
    <s v="insertIfAbsent"/>
    <n v="1.00010948402918E+16"/>
    <n v="100000000"/>
    <m/>
    <m/>
    <s v="success"/>
    <n v="33"/>
    <n v="57143602"/>
    <n v="42856399"/>
    <n v="100000001"/>
    <n v="100000000"/>
    <n v="1.7499800000000001"/>
    <n v="2.3333699999999999"/>
    <n v="2"/>
    <n v="26.120100000000001"/>
    <n v="272434045"/>
    <n v="0"/>
    <n v="0"/>
    <n v="272434045"/>
    <n v="272434045"/>
    <n v="9081134"/>
    <n v="0"/>
    <n v="0"/>
    <n v="9081134"/>
    <n v="9081134"/>
    <m/>
    <n v="39.854700000000001"/>
    <n v="18.418399999999998"/>
    <n v="7362.94"/>
    <m/>
    <s v=" 7526mb"/>
    <x v="2"/>
    <s v="7526"/>
  </r>
  <r>
    <s v="scaling_threads/step10052.txt"/>
    <x v="2"/>
    <m/>
    <s v="reclaimer_debra"/>
    <s v="allocator_new"/>
    <s v="pool_none"/>
    <n v="30000"/>
    <n v="0"/>
    <n v="0"/>
    <n v="0"/>
    <n v="1"/>
    <n v="200000000"/>
    <n v="48"/>
    <x v="1"/>
    <n v="48"/>
    <n v="0"/>
    <s v="insertIfAbsent"/>
    <n v="9999900765470070"/>
    <n v="100000000"/>
    <m/>
    <m/>
    <s v="success"/>
    <n v="33"/>
    <n v="57146384"/>
    <n v="42853617"/>
    <n v="100000001"/>
    <n v="100000000"/>
    <n v="1.7498899999999999"/>
    <n v="2.3335300000000001"/>
    <n v="2"/>
    <n v="26.073699999999999"/>
    <n v="516983923"/>
    <n v="0"/>
    <n v="0"/>
    <n v="516983923"/>
    <n v="516983923"/>
    <n v="17232797"/>
    <n v="0"/>
    <n v="0"/>
    <n v="17232797"/>
    <n v="17232797"/>
    <m/>
    <n v="40.505400000000002"/>
    <n v="18.471499999999999"/>
    <n v="7755.74"/>
    <m/>
    <s v=" 7533mb"/>
    <x v="2"/>
    <s v="7533"/>
  </r>
  <r>
    <s v="scaling_threads/step10053.txt"/>
    <x v="2"/>
    <m/>
    <s v="reclaimer_debra"/>
    <s v="allocator_new"/>
    <s v="pool_none"/>
    <n v="30000"/>
    <n v="0"/>
    <n v="0"/>
    <n v="0"/>
    <n v="1"/>
    <n v="200000000"/>
    <n v="96"/>
    <x v="2"/>
    <n v="96"/>
    <n v="0"/>
    <s v="insertIfAbsent"/>
    <n v="9999611300687720"/>
    <n v="100000000"/>
    <m/>
    <m/>
    <s v="success"/>
    <n v="33"/>
    <n v="57145359"/>
    <n v="42854642"/>
    <n v="100000001"/>
    <n v="100000000"/>
    <n v="1.7499199999999999"/>
    <n v="2.3334700000000002"/>
    <n v="2"/>
    <n v="26.088100000000001"/>
    <n v="1059500303"/>
    <n v="0"/>
    <n v="0"/>
    <n v="1059500303"/>
    <n v="1059500303"/>
    <n v="35316676"/>
    <n v="0"/>
    <n v="0"/>
    <n v="35316676"/>
    <n v="35316676"/>
    <m/>
    <n v="40.644300000000001"/>
    <n v="19.561900000000001"/>
    <n v="7567.83"/>
    <m/>
    <s v=" 7547mb"/>
    <x v="2"/>
    <s v="7547"/>
  </r>
  <r>
    <s v="scaling_threads/step10054.txt"/>
    <x v="2"/>
    <m/>
    <s v="reclaimer_debra"/>
    <s v="allocator_new"/>
    <s v="pool_none"/>
    <n v="30000"/>
    <n v="0"/>
    <n v="0"/>
    <n v="0"/>
    <n v="1"/>
    <n v="200000000"/>
    <n v="144"/>
    <x v="3"/>
    <n v="144"/>
    <n v="0"/>
    <s v="insertIfAbsent"/>
    <n v="1.00001487225845E+16"/>
    <n v="100000000"/>
    <m/>
    <m/>
    <s v="success"/>
    <n v="33"/>
    <n v="57141677"/>
    <n v="42858324"/>
    <n v="100000001"/>
    <n v="100000000"/>
    <n v="1.75004"/>
    <n v="2.3332700000000002"/>
    <n v="2"/>
    <n v="26.061"/>
    <n v="1592751578"/>
    <n v="0"/>
    <n v="0"/>
    <n v="1592751578"/>
    <n v="1592751578"/>
    <n v="53091719"/>
    <n v="0"/>
    <n v="0"/>
    <n v="53091719"/>
    <n v="53091719"/>
    <m/>
    <n v="41.250100000000003"/>
    <n v="19.888400000000001"/>
    <n v="7550.44"/>
    <m/>
    <s v=" 7562mb"/>
    <x v="2"/>
    <s v="7562"/>
  </r>
  <r>
    <s v="scaling_threads/step10055.txt"/>
    <x v="2"/>
    <m/>
    <s v="reclaimer_debra"/>
    <s v="allocator_new"/>
    <s v="pool_none"/>
    <n v="30000"/>
    <n v="0"/>
    <n v="0"/>
    <n v="0"/>
    <n v="1"/>
    <n v="200000000"/>
    <n v="190"/>
    <x v="4"/>
    <n v="190"/>
    <n v="0"/>
    <s v="insertIfAbsent"/>
    <n v="9999449268408350"/>
    <n v="100000000"/>
    <m/>
    <m/>
    <s v="success"/>
    <n v="33"/>
    <n v="57142497"/>
    <n v="42857504"/>
    <n v="100000001"/>
    <n v="100000000"/>
    <n v="1.7500100000000001"/>
    <n v="2.33331"/>
    <n v="2"/>
    <n v="26.063700000000001"/>
    <n v="2124699220"/>
    <n v="0"/>
    <n v="0"/>
    <n v="2124699220"/>
    <n v="2124699220"/>
    <n v="70823307"/>
    <n v="0"/>
    <n v="0"/>
    <n v="70823307"/>
    <n v="70823307"/>
    <m/>
    <n v="40.847299999999997"/>
    <n v="20.078399999999998"/>
    <n v="7467.3"/>
    <m/>
    <s v=" 7574mb"/>
    <x v="2"/>
    <s v="7574"/>
  </r>
  <r>
    <s v="scaling_threads/step10056.txt"/>
    <x v="3"/>
    <m/>
    <s v="reclaimer_debra"/>
    <s v="allocator_new"/>
    <s v="pool_none"/>
    <n v="30000"/>
    <n v="0"/>
    <n v="0"/>
    <n v="0"/>
    <n v="1"/>
    <n v="200000000"/>
    <n v="24"/>
    <x v="0"/>
    <n v="24"/>
    <n v="0"/>
    <s v="insertIfAbsent"/>
    <n v="1.00002020905068E+16"/>
    <n v="100000000"/>
    <m/>
    <m/>
    <s v="success"/>
    <n v="71"/>
    <n v="99999999"/>
    <n v="100000000"/>
    <n v="199999999"/>
    <n v="100000000"/>
    <n v="2"/>
    <n v="1"/>
    <n v="1.5"/>
    <n v="36.621899999999997"/>
    <n v="222373282"/>
    <n v="0"/>
    <n v="0"/>
    <n v="222373282"/>
    <n v="222373282"/>
    <n v="7412442"/>
    <n v="0"/>
    <n v="0"/>
    <n v="7412442"/>
    <n v="7412442"/>
    <m/>
    <n v="37.935600000000001"/>
    <n v="18.448599999999999"/>
    <n v="9023.9699999999993"/>
    <m/>
    <s v=" 7526mb"/>
    <x v="2"/>
    <s v="7526"/>
  </r>
  <r>
    <s v="scaling_threads/step10057.txt"/>
    <x v="3"/>
    <m/>
    <s v="reclaimer_debra"/>
    <s v="allocator_new"/>
    <s v="pool_none"/>
    <n v="30000"/>
    <n v="0"/>
    <n v="0"/>
    <n v="0"/>
    <n v="1"/>
    <n v="200000000"/>
    <n v="48"/>
    <x v="1"/>
    <n v="48"/>
    <n v="0"/>
    <s v="insertIfAbsent"/>
    <n v="1.00005840479077E+16"/>
    <n v="100000000"/>
    <m/>
    <m/>
    <s v="success"/>
    <n v="70"/>
    <n v="99999999"/>
    <n v="100000000"/>
    <n v="199999999"/>
    <n v="100000000"/>
    <n v="2"/>
    <n v="1"/>
    <n v="1.5"/>
    <n v="36.405200000000001"/>
    <n v="432694393"/>
    <n v="0"/>
    <n v="0"/>
    <n v="432694393"/>
    <n v="432694393"/>
    <n v="14423146"/>
    <n v="0"/>
    <n v="0"/>
    <n v="14423146"/>
    <n v="14423146"/>
    <m/>
    <n v="37.7316"/>
    <n v="18.229299999999999"/>
    <n v="9270.48"/>
    <m/>
    <s v=" 7533mb"/>
    <x v="2"/>
    <s v="7533"/>
  </r>
  <r>
    <s v="scaling_threads/step10058.txt"/>
    <x v="3"/>
    <m/>
    <s v="reclaimer_debra"/>
    <s v="allocator_new"/>
    <s v="pool_none"/>
    <n v="30000"/>
    <n v="0"/>
    <n v="0"/>
    <n v="0"/>
    <n v="1"/>
    <n v="200000000"/>
    <n v="96"/>
    <x v="2"/>
    <n v="96"/>
    <n v="0"/>
    <s v="insertIfAbsent"/>
    <n v="9999587976409850"/>
    <n v="100000000"/>
    <m/>
    <m/>
    <s v="success"/>
    <n v="73"/>
    <n v="99999999"/>
    <n v="100000000"/>
    <n v="199999999"/>
    <n v="100000000"/>
    <n v="2"/>
    <n v="1"/>
    <n v="1.5"/>
    <n v="35.3523"/>
    <n v="885586521"/>
    <n v="0"/>
    <n v="0"/>
    <n v="885586521"/>
    <n v="885586521"/>
    <n v="29519550"/>
    <n v="0"/>
    <n v="0"/>
    <n v="29519550"/>
    <n v="29519550"/>
    <m/>
    <n v="37.981499999999997"/>
    <n v="18.8079"/>
    <n v="9055.65"/>
    <m/>
    <s v=" 7546mb"/>
    <x v="2"/>
    <s v="7546"/>
  </r>
  <r>
    <s v="scaling_threads/step10059.txt"/>
    <x v="3"/>
    <m/>
    <s v="reclaimer_debra"/>
    <s v="allocator_new"/>
    <s v="pool_none"/>
    <n v="30000"/>
    <n v="0"/>
    <n v="0"/>
    <n v="0"/>
    <n v="1"/>
    <n v="200000000"/>
    <n v="144"/>
    <x v="3"/>
    <n v="144"/>
    <n v="0"/>
    <s v="insertIfAbsent"/>
    <n v="1.00003125453949E+16"/>
    <n v="100000000"/>
    <m/>
    <m/>
    <s v="success"/>
    <n v="68"/>
    <n v="99999999"/>
    <n v="100000000"/>
    <n v="199999999"/>
    <n v="100000000"/>
    <n v="2"/>
    <n v="1"/>
    <n v="1.5"/>
    <n v="35.682400000000001"/>
    <n v="1341865008"/>
    <n v="0"/>
    <n v="0"/>
    <n v="1341865008"/>
    <n v="1341865008"/>
    <n v="44728833"/>
    <n v="0"/>
    <n v="0"/>
    <n v="44728833"/>
    <n v="44728833"/>
    <m/>
    <n v="38.031300000000002"/>
    <n v="19.0991"/>
    <n v="8965.7900000000009"/>
    <m/>
    <s v=" 7560mb"/>
    <x v="2"/>
    <s v="7560"/>
  </r>
  <r>
    <s v="scaling_threads/step10060.txt"/>
    <x v="3"/>
    <m/>
    <s v="reclaimer_debra"/>
    <s v="allocator_new"/>
    <s v="pool_none"/>
    <n v="30000"/>
    <n v="0"/>
    <n v="0"/>
    <n v="0"/>
    <n v="1"/>
    <n v="200000000"/>
    <n v="190"/>
    <x v="4"/>
    <n v="190"/>
    <n v="0"/>
    <s v="insertIfAbsent"/>
    <n v="1.00000651571827E+16"/>
    <n v="100000000"/>
    <m/>
    <m/>
    <s v="success"/>
    <n v="66"/>
    <n v="99999999"/>
    <n v="100000000"/>
    <n v="199999999"/>
    <n v="100000000"/>
    <n v="2"/>
    <n v="1"/>
    <n v="1.5"/>
    <n v="35.443800000000003"/>
    <n v="1791396707"/>
    <n v="0"/>
    <n v="0"/>
    <n v="1791396707"/>
    <n v="1791396707"/>
    <n v="59713223"/>
    <n v="0"/>
    <n v="0"/>
    <n v="59713223"/>
    <n v="59713223"/>
    <m/>
    <n v="38.101999999999997"/>
    <n v="19.3"/>
    <n v="8861.19"/>
    <m/>
    <s v=" 7572mb"/>
    <x v="2"/>
    <s v="7572"/>
  </r>
  <r>
    <s v="scaling_threads/step10061.txt"/>
    <x v="0"/>
    <n v="72"/>
    <s v="reclaimer_debra"/>
    <s v="allocator_new"/>
    <s v="pool_none"/>
    <n v="30000"/>
    <n v="0"/>
    <n v="0"/>
    <n v="0"/>
    <n v="1"/>
    <n v="2000000000"/>
    <n v="24"/>
    <x v="0"/>
    <n v="24"/>
    <n v="0"/>
    <s v="insertIfAbsent"/>
    <n v="1.00001253952605E+18"/>
    <n v="1000000001"/>
    <m/>
    <m/>
    <s v="success"/>
    <n v="6"/>
    <n v="84465035"/>
    <n v="1078804517"/>
    <n v="1163269552"/>
    <n v="1000000001"/>
    <n v="13.7722"/>
    <n v="0.926952"/>
    <n v="1.85965"/>
    <n v="4"/>
    <n v="555996907"/>
    <n v="0"/>
    <n v="0"/>
    <n v="555996907"/>
    <n v="555996907"/>
    <n v="18533230"/>
    <n v="0"/>
    <n v="0"/>
    <n v="18533230"/>
    <n v="18533230"/>
    <m/>
    <n v="21.842199999999998"/>
    <n v="12.745200000000001"/>
    <n v="3609.18"/>
    <m/>
    <s v=" 59147mb"/>
    <x v="3"/>
    <s v="59147"/>
  </r>
  <r>
    <s v="scaling_threads/step10062.txt"/>
    <x v="0"/>
    <n v="72"/>
    <s v="reclaimer_debra"/>
    <s v="allocator_new"/>
    <s v="pool_none"/>
    <n v="30000"/>
    <n v="0"/>
    <n v="0"/>
    <n v="0"/>
    <n v="1"/>
    <n v="2000000000"/>
    <n v="48"/>
    <x v="1"/>
    <n v="48"/>
    <n v="0"/>
    <s v="insertIfAbsent"/>
    <n v="9.9998861360346598E+17"/>
    <n v="1000000001"/>
    <m/>
    <m/>
    <s v="success"/>
    <n v="6"/>
    <n v="84465035"/>
    <n v="1078804517"/>
    <n v="1163269552"/>
    <n v="1000000001"/>
    <n v="13.7722"/>
    <n v="0.926952"/>
    <n v="1.85965"/>
    <n v="4"/>
    <n v="1006901408"/>
    <n v="0"/>
    <n v="0"/>
    <n v="1006901408"/>
    <n v="1006901408"/>
    <n v="33563380"/>
    <n v="0"/>
    <n v="0"/>
    <n v="33563380"/>
    <n v="33563380"/>
    <m/>
    <n v="21.700500000000002"/>
    <n v="12.684200000000001"/>
    <n v="3985.84"/>
    <m/>
    <s v=" 59274mb"/>
    <x v="3"/>
    <s v="59274"/>
  </r>
  <r>
    <s v="scaling_threads/step10063.txt"/>
    <x v="0"/>
    <n v="72"/>
    <s v="reclaimer_debra"/>
    <s v="allocator_new"/>
    <s v="pool_none"/>
    <n v="30000"/>
    <n v="0"/>
    <n v="0"/>
    <n v="0"/>
    <n v="1"/>
    <n v="2000000000"/>
    <n v="96"/>
    <x v="2"/>
    <n v="96"/>
    <n v="0"/>
    <s v="insertIfAbsent"/>
    <n v="9.9999991010303206E+17"/>
    <n v="1000000001"/>
    <m/>
    <m/>
    <s v="success"/>
    <n v="6"/>
    <n v="84465035"/>
    <n v="1078804517"/>
    <n v="1163269552"/>
    <n v="1000000001"/>
    <n v="13.7722"/>
    <n v="0.926952"/>
    <n v="1.85965"/>
    <n v="4"/>
    <n v="2226345847"/>
    <n v="0"/>
    <n v="0"/>
    <n v="2226345847"/>
    <n v="2226345847"/>
    <n v="74211528"/>
    <n v="0"/>
    <n v="0"/>
    <n v="74211528"/>
    <n v="74211528"/>
    <m/>
    <n v="21.770199999999999"/>
    <n v="13.4878"/>
    <n v="3602.48"/>
    <m/>
    <s v=" 59528mb"/>
    <x v="3"/>
    <s v="59528"/>
  </r>
  <r>
    <s v="scaling_threads/step10064.txt"/>
    <x v="0"/>
    <n v="72"/>
    <s v="reclaimer_debra"/>
    <s v="allocator_new"/>
    <s v="pool_none"/>
    <n v="30000"/>
    <n v="0"/>
    <n v="0"/>
    <n v="0"/>
    <n v="1"/>
    <n v="2000000000"/>
    <n v="144"/>
    <x v="3"/>
    <n v="144"/>
    <n v="0"/>
    <s v="insertIfAbsent"/>
    <n v="9.9999163924945203E+17"/>
    <n v="1000000001"/>
    <m/>
    <m/>
    <s v="success"/>
    <n v="6"/>
    <n v="84465035"/>
    <n v="1078804517"/>
    <n v="1163269552"/>
    <n v="1000000001"/>
    <n v="13.7722"/>
    <n v="0.926952"/>
    <n v="1.85965"/>
    <n v="4"/>
    <n v="3357707647"/>
    <n v="0"/>
    <n v="0"/>
    <n v="3357707647"/>
    <n v="3357707647"/>
    <n v="111923588"/>
    <n v="0"/>
    <n v="0"/>
    <n v="111923588"/>
    <n v="111923588"/>
    <m/>
    <n v="21.806799999999999"/>
    <n v="13.722099999999999"/>
    <n v="3580.88"/>
    <m/>
    <s v=" 59809mb"/>
    <x v="3"/>
    <s v="59809"/>
  </r>
  <r>
    <s v="scaling_threads/step10065.txt"/>
    <x v="0"/>
    <n v="72"/>
    <s v="reclaimer_debra"/>
    <s v="allocator_new"/>
    <s v="pool_none"/>
    <n v="30000"/>
    <n v="0"/>
    <n v="0"/>
    <n v="0"/>
    <n v="1"/>
    <n v="2000000000"/>
    <n v="190"/>
    <x v="4"/>
    <n v="190"/>
    <n v="0"/>
    <s v="insertIfAbsent"/>
    <n v="9.9999337202210906E+17"/>
    <n v="1000000001"/>
    <m/>
    <m/>
    <s v="success"/>
    <n v="6"/>
    <n v="84465035"/>
    <n v="1078804517"/>
    <n v="1163269552"/>
    <n v="1000000001"/>
    <n v="13.7722"/>
    <n v="0.926952"/>
    <n v="1.85965"/>
    <n v="4"/>
    <n v="4388249396"/>
    <n v="0"/>
    <n v="0"/>
    <n v="4388249396"/>
    <n v="4388249396"/>
    <n v="146274979"/>
    <n v="0"/>
    <n v="0"/>
    <n v="146274979"/>
    <n v="146274979"/>
    <m/>
    <n v="21.7758"/>
    <n v="13.8489"/>
    <n v="3612"/>
    <m/>
    <s v=" 59978mb"/>
    <x v="3"/>
    <s v="59978"/>
  </r>
  <r>
    <s v="scaling_threads/step10066.txt"/>
    <x v="1"/>
    <n v="208"/>
    <s v="reclaimer_debra"/>
    <s v="allocator_new"/>
    <s v="pool_none"/>
    <n v="30000"/>
    <n v="0"/>
    <n v="0"/>
    <n v="0"/>
    <n v="1"/>
    <n v="2000000000"/>
    <n v="24"/>
    <x v="0"/>
    <n v="24"/>
    <n v="0"/>
    <s v="insertIfAbsent"/>
    <n v="1.00002016457718E+18"/>
    <n v="1000000000"/>
    <m/>
    <m/>
    <s v="success"/>
    <n v="12"/>
    <n v="18538804"/>
    <n v="127577451"/>
    <n v="146116255"/>
    <n v="1000000000"/>
    <n v="7.88164"/>
    <n v="7.8383799999999999"/>
    <n v="7.8438699999999999"/>
    <n v="11"/>
    <n v="390040989"/>
    <n v="0"/>
    <n v="0"/>
    <n v="390040989"/>
    <n v="390040989"/>
    <n v="13001366"/>
    <n v="0"/>
    <n v="0"/>
    <n v="13001366"/>
    <n v="13001366"/>
    <m/>
    <n v="30.1754"/>
    <n v="17.195499999999999"/>
    <n v="5142.38"/>
    <m/>
    <s v=" 33248mb"/>
    <x v="3"/>
    <s v="33248"/>
  </r>
  <r>
    <s v="scaling_threads/step10067.txt"/>
    <x v="1"/>
    <n v="208"/>
    <s v="reclaimer_debra"/>
    <s v="allocator_new"/>
    <s v="pool_none"/>
    <n v="30000"/>
    <n v="0"/>
    <n v="0"/>
    <n v="0"/>
    <n v="1"/>
    <n v="2000000000"/>
    <n v="48"/>
    <x v="1"/>
    <n v="48"/>
    <n v="0"/>
    <s v="insertIfAbsent"/>
    <n v="1.00000308482518E+18"/>
    <n v="1000000000"/>
    <m/>
    <m/>
    <s v="success"/>
    <n v="12"/>
    <n v="18539886"/>
    <n v="127579055"/>
    <n v="146118941"/>
    <n v="1000000000"/>
    <n v="7.8813300000000002"/>
    <n v="7.8382800000000001"/>
    <n v="7.8437400000000004"/>
    <n v="11"/>
    <n v="733980406"/>
    <n v="0"/>
    <n v="0"/>
    <n v="733980406"/>
    <n v="733980406"/>
    <n v="24466013"/>
    <n v="0"/>
    <n v="0"/>
    <n v="24466013"/>
    <n v="24466013"/>
    <m/>
    <n v="30.11"/>
    <n v="17.0657"/>
    <n v="5461.75"/>
    <m/>
    <s v=" 33337mb"/>
    <x v="3"/>
    <s v="33337"/>
  </r>
  <r>
    <s v="scaling_threads/step10068.txt"/>
    <x v="1"/>
    <n v="208"/>
    <s v="reclaimer_debra"/>
    <s v="allocator_new"/>
    <s v="pool_none"/>
    <n v="30000"/>
    <n v="0"/>
    <n v="0"/>
    <n v="0"/>
    <n v="1"/>
    <n v="2000000000"/>
    <n v="96"/>
    <x v="2"/>
    <n v="96"/>
    <n v="0"/>
    <s v="insertIfAbsent"/>
    <n v="1.00000341860033E+18"/>
    <n v="1000000000"/>
    <m/>
    <m/>
    <s v="success"/>
    <n v="12"/>
    <n v="18538657"/>
    <n v="127573919"/>
    <n v="146112576"/>
    <n v="1000000000"/>
    <n v="7.8815099999999996"/>
    <n v="7.8385899999999999"/>
    <n v="7.8440399999999997"/>
    <n v="11"/>
    <n v="1475823186"/>
    <n v="0"/>
    <n v="0"/>
    <n v="1475823186"/>
    <n v="1475823186"/>
    <n v="49194106"/>
    <n v="0"/>
    <n v="0"/>
    <n v="49194106"/>
    <n v="49194106"/>
    <m/>
    <n v="30.2485"/>
    <n v="17.4788"/>
    <n v="5433.13"/>
    <m/>
    <s v=" 33579mb"/>
    <x v="3"/>
    <s v="33579"/>
  </r>
  <r>
    <s v="scaling_threads/step10069.txt"/>
    <x v="1"/>
    <n v="208"/>
    <s v="reclaimer_debra"/>
    <s v="allocator_new"/>
    <s v="pool_none"/>
    <n v="30000"/>
    <n v="0"/>
    <n v="0"/>
    <n v="0"/>
    <n v="1"/>
    <n v="2000000000"/>
    <n v="144"/>
    <x v="3"/>
    <n v="144"/>
    <n v="0"/>
    <s v="insertIfAbsent"/>
    <n v="9.99998639860944E+17"/>
    <n v="1000000000"/>
    <m/>
    <m/>
    <s v="success"/>
    <n v="12"/>
    <n v="18538753"/>
    <n v="127575086"/>
    <n v="146113839"/>
    <n v="1000000000"/>
    <n v="7.8815400000000002"/>
    <n v="7.8385199999999999"/>
    <n v="7.8439800000000002"/>
    <n v="11"/>
    <n v="2204984995"/>
    <n v="0"/>
    <n v="0"/>
    <n v="2204984995"/>
    <n v="2204984995"/>
    <n v="73499499"/>
    <n v="0"/>
    <n v="0"/>
    <n v="73499499"/>
    <n v="73499499"/>
    <m/>
    <n v="30.436499999999999"/>
    <n v="17.637"/>
    <n v="5451.48"/>
    <m/>
    <s v=" 33815mb"/>
    <x v="3"/>
    <s v="33815"/>
  </r>
  <r>
    <s v="scaling_threads/step10070.txt"/>
    <x v="1"/>
    <n v="208"/>
    <s v="reclaimer_debra"/>
    <s v="allocator_new"/>
    <s v="pool_none"/>
    <n v="30000"/>
    <n v="0"/>
    <n v="0"/>
    <n v="0"/>
    <n v="1"/>
    <n v="2000000000"/>
    <n v="190"/>
    <x v="4"/>
    <n v="190"/>
    <n v="0"/>
    <s v="insertIfAbsent"/>
    <n v="9.9999295131882394E+17"/>
    <n v="1000000000"/>
    <m/>
    <m/>
    <s v="success"/>
    <n v="12"/>
    <n v="18539516"/>
    <n v="127571393"/>
    <n v="146110909"/>
    <n v="1000000000"/>
    <n v="7.8810500000000001"/>
    <n v="7.8387500000000001"/>
    <n v="7.8441200000000002"/>
    <n v="11"/>
    <n v="2902156933"/>
    <n v="0"/>
    <n v="0"/>
    <n v="2902156933"/>
    <n v="2902156933"/>
    <n v="96738564"/>
    <n v="0"/>
    <n v="0"/>
    <n v="96738564"/>
    <n v="96738564"/>
    <m/>
    <n v="30.547699999999999"/>
    <n v="17.7651"/>
    <n v="5465.91"/>
    <m/>
    <s v=" 34099mb"/>
    <x v="3"/>
    <s v="34099"/>
  </r>
  <r>
    <s v="scaling_threads/step10071.txt"/>
    <x v="2"/>
    <m/>
    <s v="reclaimer_debra"/>
    <s v="allocator_new"/>
    <s v="pool_none"/>
    <n v="30000"/>
    <n v="0"/>
    <n v="0"/>
    <n v="0"/>
    <n v="1"/>
    <n v="2000000000"/>
    <n v="24"/>
    <x v="0"/>
    <n v="24"/>
    <n v="0"/>
    <s v="insertIfAbsent"/>
    <m/>
    <m/>
    <m/>
    <m/>
    <m/>
    <m/>
    <m/>
    <m/>
    <m/>
    <m/>
    <m/>
    <m/>
    <m/>
    <m/>
    <m/>
    <m/>
    <m/>
    <m/>
    <m/>
    <m/>
    <m/>
    <m/>
    <m/>
    <m/>
    <m/>
    <m/>
    <m/>
    <m/>
    <m/>
    <s v=" mb"/>
    <x v="3"/>
    <s v=""/>
  </r>
  <r>
    <s v="scaling_threads/step10072.txt"/>
    <x v="2"/>
    <m/>
    <s v="reclaimer_debra"/>
    <s v="allocator_new"/>
    <s v="pool_none"/>
    <n v="30000"/>
    <n v="0"/>
    <n v="0"/>
    <n v="0"/>
    <n v="1"/>
    <n v="2000000000"/>
    <n v="48"/>
    <x v="1"/>
    <n v="48"/>
    <n v="0"/>
    <s v="insertIfAbsent"/>
    <n v="1.00001000839943E+18"/>
    <n v="1000000000"/>
    <m/>
    <m/>
    <s v="success"/>
    <n v="37"/>
    <n v="571420105"/>
    <n v="428579896"/>
    <n v="1000000001"/>
    <n v="1000000000"/>
    <n v="1.75003"/>
    <n v="2.3332899999999999"/>
    <n v="2"/>
    <n v="29.523599999999998"/>
    <n v="343482625"/>
    <n v="0"/>
    <n v="0"/>
    <n v="343482625"/>
    <n v="343482625"/>
    <n v="11449420"/>
    <n v="0"/>
    <n v="0"/>
    <n v="11449420"/>
    <n v="11449420"/>
    <m/>
    <n v="54.750999999999998"/>
    <n v="30.932300000000001"/>
    <n v="11674.6"/>
    <m/>
    <s v=" 65651mb"/>
    <x v="3"/>
    <s v="65651"/>
  </r>
  <r>
    <s v="scaling_threads/step10073.txt"/>
    <x v="2"/>
    <m/>
    <s v="reclaimer_debra"/>
    <s v="allocator_new"/>
    <s v="pool_none"/>
    <n v="30000"/>
    <n v="0"/>
    <n v="0"/>
    <n v="0"/>
    <n v="1"/>
    <n v="2000000000"/>
    <n v="96"/>
    <x v="2"/>
    <n v="96"/>
    <n v="0"/>
    <s v="insertIfAbsent"/>
    <n v="9.99989481114064E+17"/>
    <n v="1000000000"/>
    <m/>
    <m/>
    <s v="success"/>
    <n v="37"/>
    <n v="571421200"/>
    <n v="428578801"/>
    <n v="1000000001"/>
    <n v="1000000000"/>
    <n v="1.7500199999999999"/>
    <n v="2.3332899999999999"/>
    <n v="2"/>
    <n v="29.432099999999998"/>
    <n v="690818823"/>
    <n v="0"/>
    <n v="0"/>
    <n v="690818823"/>
    <n v="690818823"/>
    <n v="23027294"/>
    <n v="0"/>
    <n v="0"/>
    <n v="23027294"/>
    <n v="23027294"/>
    <m/>
    <n v="54.818800000000003"/>
    <n v="31.2136"/>
    <n v="11613.8"/>
    <m/>
    <s v=" 65666mb"/>
    <x v="3"/>
    <s v="65666"/>
  </r>
  <r>
    <s v="scaling_threads/step10074.txt"/>
    <x v="2"/>
    <m/>
    <s v="reclaimer_debra"/>
    <s v="allocator_new"/>
    <s v="pool_none"/>
    <n v="30000"/>
    <n v="0"/>
    <n v="0"/>
    <n v="0"/>
    <n v="1"/>
    <n v="2000000000"/>
    <n v="144"/>
    <x v="3"/>
    <n v="144"/>
    <n v="0"/>
    <s v="insertIfAbsent"/>
    <n v="9.9998895627833702E+17"/>
    <n v="1000000000"/>
    <m/>
    <m/>
    <s v="success"/>
    <n v="36"/>
    <n v="571436858"/>
    <n v="428563143"/>
    <n v="1000000001"/>
    <n v="1000000000"/>
    <n v="1.74997"/>
    <n v="2.33338"/>
    <n v="2"/>
    <n v="29.4194"/>
    <n v="1025626930"/>
    <n v="0"/>
    <n v="0"/>
    <n v="1025626930"/>
    <n v="1025626930"/>
    <n v="34187564"/>
    <n v="0"/>
    <n v="0"/>
    <n v="34187564"/>
    <n v="34187564"/>
    <m/>
    <n v="56.1312"/>
    <n v="31.3795"/>
    <n v="11731.3"/>
    <m/>
    <s v=" 65680mb"/>
    <x v="3"/>
    <s v="65680"/>
  </r>
  <r>
    <s v="scaling_threads/step10075.txt"/>
    <x v="2"/>
    <m/>
    <s v="reclaimer_debra"/>
    <s v="allocator_new"/>
    <s v="pool_none"/>
    <n v="30000"/>
    <n v="0"/>
    <n v="0"/>
    <n v="0"/>
    <n v="1"/>
    <n v="2000000000"/>
    <n v="190"/>
    <x v="4"/>
    <n v="190"/>
    <n v="0"/>
    <s v="insertIfAbsent"/>
    <n v="1.00000735703777E+18"/>
    <n v="1000000000"/>
    <m/>
    <m/>
    <s v="success"/>
    <n v="37"/>
    <n v="571426408"/>
    <n v="428573593"/>
    <n v="1000000001"/>
    <n v="1000000000"/>
    <n v="1.7500100000000001"/>
    <n v="2.3333200000000001"/>
    <n v="2"/>
    <n v="29.438199999999998"/>
    <n v="1358776279"/>
    <n v="0"/>
    <n v="0"/>
    <n v="1358776279"/>
    <n v="1358776279"/>
    <n v="45292542"/>
    <n v="0"/>
    <n v="0"/>
    <n v="45292542"/>
    <n v="45292542"/>
    <m/>
    <n v="55.1629"/>
    <n v="31.495899999999999"/>
    <n v="11680.7"/>
    <m/>
    <s v=" 65690mb"/>
    <x v="3"/>
    <s v="65690"/>
  </r>
  <r>
    <s v="scaling_threads/step10076.txt"/>
    <x v="3"/>
    <m/>
    <s v="reclaimer_debra"/>
    <s v="allocator_new"/>
    <s v="pool_none"/>
    <n v="30000"/>
    <n v="0"/>
    <n v="0"/>
    <n v="0"/>
    <n v="1"/>
    <n v="2000000000"/>
    <n v="24"/>
    <x v="0"/>
    <n v="24"/>
    <n v="0"/>
    <s v="insertIfAbsent"/>
    <m/>
    <m/>
    <m/>
    <m/>
    <m/>
    <m/>
    <m/>
    <m/>
    <m/>
    <m/>
    <m/>
    <m/>
    <m/>
    <m/>
    <m/>
    <m/>
    <m/>
    <m/>
    <m/>
    <m/>
    <m/>
    <m/>
    <m/>
    <m/>
    <m/>
    <m/>
    <m/>
    <m/>
    <m/>
    <s v=" mb"/>
    <x v="3"/>
    <s v=""/>
  </r>
  <r>
    <s v="scaling_threads/step10077.txt"/>
    <x v="3"/>
    <m/>
    <s v="reclaimer_debra"/>
    <s v="allocator_new"/>
    <s v="pool_none"/>
    <n v="30000"/>
    <n v="0"/>
    <n v="0"/>
    <n v="0"/>
    <n v="1"/>
    <n v="2000000000"/>
    <n v="48"/>
    <x v="1"/>
    <n v="48"/>
    <n v="0"/>
    <s v="insertIfAbsent"/>
    <n v="1.00000876736266E+18"/>
    <n v="1000000000"/>
    <m/>
    <m/>
    <s v="success"/>
    <n v="80"/>
    <n v="999999999"/>
    <n v="1000000000"/>
    <n v="1999999999"/>
    <n v="1000000000"/>
    <n v="2"/>
    <n v="1"/>
    <n v="1.5"/>
    <n v="40.976700000000001"/>
    <n v="285596652"/>
    <n v="0"/>
    <n v="0"/>
    <n v="285596652"/>
    <n v="285596652"/>
    <n v="9519888"/>
    <n v="0"/>
    <n v="0"/>
    <n v="9519888"/>
    <n v="9519888"/>
    <m/>
    <n v="53.813499999999998"/>
    <n v="31.359300000000001"/>
    <n v="14045.1"/>
    <m/>
    <s v=" 65651mb"/>
    <x v="3"/>
    <s v="65651"/>
  </r>
  <r>
    <s v="scaling_threads/step10078.txt"/>
    <x v="3"/>
    <m/>
    <s v="reclaimer_debra"/>
    <s v="allocator_new"/>
    <s v="pool_none"/>
    <n v="30000"/>
    <n v="0"/>
    <n v="0"/>
    <n v="0"/>
    <n v="1"/>
    <n v="2000000000"/>
    <n v="96"/>
    <x v="2"/>
    <n v="96"/>
    <n v="0"/>
    <s v="insertIfAbsent"/>
    <n v="1.0000088238333E+18"/>
    <n v="1000000000"/>
    <m/>
    <m/>
    <s v="success"/>
    <n v="83"/>
    <n v="999999999"/>
    <n v="1000000000"/>
    <n v="1999999999"/>
    <n v="1000000000"/>
    <n v="2"/>
    <n v="1"/>
    <n v="1.5"/>
    <n v="40.524299999999997"/>
    <n v="577344689"/>
    <n v="0"/>
    <n v="0"/>
    <n v="577344689"/>
    <n v="577344689"/>
    <n v="19244822"/>
    <n v="0"/>
    <n v="0"/>
    <n v="19244822"/>
    <n v="19244822"/>
    <m/>
    <n v="53.959400000000002"/>
    <n v="31.444500000000001"/>
    <n v="13898.7"/>
    <m/>
    <s v=" 65665mb"/>
    <x v="3"/>
    <s v="65665"/>
  </r>
  <r>
    <s v="scaling_threads/step10079.txt"/>
    <x v="3"/>
    <m/>
    <s v="reclaimer_debra"/>
    <s v="allocator_new"/>
    <s v="pool_none"/>
    <n v="30000"/>
    <n v="0"/>
    <n v="0"/>
    <n v="0"/>
    <n v="1"/>
    <n v="2000000000"/>
    <n v="144"/>
    <x v="3"/>
    <n v="144"/>
    <n v="0"/>
    <s v="insertIfAbsent"/>
    <n v="1.0000003213265E+18"/>
    <n v="1000000000"/>
    <m/>
    <m/>
    <s v="success"/>
    <n v="81"/>
    <n v="999999999"/>
    <n v="1000000000"/>
    <n v="1999999999"/>
    <n v="1000000000"/>
    <n v="2"/>
    <n v="1"/>
    <n v="1.5"/>
    <n v="39.830199999999998"/>
    <n v="865427792"/>
    <n v="0"/>
    <n v="0"/>
    <n v="865427792"/>
    <n v="865427792"/>
    <n v="28847593"/>
    <n v="0"/>
    <n v="0"/>
    <n v="28847593"/>
    <n v="28847593"/>
    <m/>
    <n v="53.976700000000001"/>
    <n v="31.492599999999999"/>
    <n v="13906.9"/>
    <m/>
    <s v=" 65677mb"/>
    <x v="3"/>
    <s v="65677"/>
  </r>
  <r>
    <s v="scaling_threads/step10080.txt"/>
    <x v="3"/>
    <m/>
    <s v="reclaimer_debra"/>
    <s v="allocator_new"/>
    <s v="pool_none"/>
    <n v="30000"/>
    <n v="0"/>
    <n v="0"/>
    <n v="0"/>
    <n v="1"/>
    <n v="2000000000"/>
    <n v="190"/>
    <x v="4"/>
    <n v="190"/>
    <n v="0"/>
    <s v="insertIfAbsent"/>
    <n v="1.00001979162281E+18"/>
    <n v="1000000000"/>
    <m/>
    <m/>
    <s v="success"/>
    <n v="80"/>
    <n v="999999999"/>
    <n v="1000000000"/>
    <n v="1999999999"/>
    <n v="1000000000"/>
    <n v="2"/>
    <n v="1"/>
    <n v="1.5"/>
    <n v="40.309800000000003"/>
    <n v="1145992213"/>
    <n v="0"/>
    <n v="0"/>
    <n v="1145992213"/>
    <n v="1145992213"/>
    <n v="38199740"/>
    <n v="0"/>
    <n v="0"/>
    <n v="38199740"/>
    <n v="38199740"/>
    <m/>
    <n v="54.038899999999998"/>
    <n v="31.548100000000002"/>
    <n v="13856.4"/>
    <m/>
    <s v=" 65687mb"/>
    <x v="3"/>
    <s v="65687"/>
  </r>
  <r>
    <s v="scaling_threads/step10081.txt"/>
    <x v="0"/>
    <n v="72"/>
    <s v="reclaimer_debra"/>
    <s v="allocator_new"/>
    <s v="pool_none"/>
    <n v="30000"/>
    <n v="0.5"/>
    <n v="0.5"/>
    <n v="0"/>
    <n v="1"/>
    <n v="2000000"/>
    <n v="24"/>
    <x v="0"/>
    <n v="24"/>
    <n v="0"/>
    <s v="insertIfAbsent"/>
    <n v="1000041486617"/>
    <n v="1000079"/>
    <m/>
    <m/>
    <s v="success"/>
    <n v="7"/>
    <n v="79258"/>
    <n v="1129291"/>
    <n v="1208549"/>
    <n v="1000079"/>
    <n v="15.2483"/>
    <n v="0.88558099999999995"/>
    <n v="1.8274999999999999"/>
    <n v="3.1017000000000001"/>
    <n v="2315430214"/>
    <n v="0"/>
    <n v="23386621"/>
    <n v="2315430214"/>
    <n v="2338816835"/>
    <n v="77181007"/>
    <n v="0"/>
    <n v="779554"/>
    <n v="77181007"/>
    <n v="77960561"/>
    <m/>
    <n v="8.4996799999999997"/>
    <n v="9.2822199999999994E-2"/>
    <n v="857.93"/>
    <m/>
    <s v=" 1185mb"/>
    <x v="4"/>
    <s v="1185"/>
  </r>
  <r>
    <s v="scaling_threads/step10082.txt"/>
    <x v="0"/>
    <n v="72"/>
    <s v="reclaimer_debra"/>
    <s v="allocator_new"/>
    <s v="pool_none"/>
    <n v="30000"/>
    <n v="0.5"/>
    <n v="0.5"/>
    <n v="0"/>
    <n v="1"/>
    <n v="2000000"/>
    <n v="48"/>
    <x v="1"/>
    <n v="48"/>
    <n v="0"/>
    <s v="insertIfAbsent"/>
    <n v="999013204588"/>
    <n v="998854"/>
    <m/>
    <m/>
    <s v="success"/>
    <n v="6"/>
    <n v="58775"/>
    <n v="1083320"/>
    <n v="1142095"/>
    <n v="998854"/>
    <n v="19.4316"/>
    <n v="0.92203000000000002"/>
    <n v="1.8745799999999999"/>
    <n v="3.0537700000000001"/>
    <n v="3326332621"/>
    <n v="0"/>
    <n v="33597525"/>
    <n v="3326332621"/>
    <n v="3359930146"/>
    <n v="110877754"/>
    <n v="0"/>
    <n v="1119917"/>
    <n v="110877754"/>
    <n v="111997671"/>
    <m/>
    <n v="8.3770299999999995"/>
    <n v="0.11286"/>
    <n v="1187.74"/>
    <m/>
    <s v=" 1213mb"/>
    <x v="4"/>
    <s v="1213"/>
  </r>
  <r>
    <s v="scaling_threads/step10083.txt"/>
    <x v="0"/>
    <n v="72"/>
    <s v="reclaimer_debra"/>
    <s v="allocator_new"/>
    <s v="pool_none"/>
    <n v="30000"/>
    <n v="0.5"/>
    <n v="0.5"/>
    <n v="0"/>
    <n v="1"/>
    <n v="2000000"/>
    <n v="96"/>
    <x v="2"/>
    <n v="96"/>
    <n v="0"/>
    <s v="insertIfAbsent"/>
    <n v="999680147883"/>
    <n v="999836"/>
    <m/>
    <m/>
    <s v="success"/>
    <n v="6"/>
    <n v="41885"/>
    <n v="1049559"/>
    <n v="1091444"/>
    <n v="999836"/>
    <n v="26.0581"/>
    <n v="0.95262500000000006"/>
    <n v="1.9160699999999999"/>
    <n v="3.01803"/>
    <n v="6384033525"/>
    <n v="0"/>
    <n v="64492250"/>
    <n v="6384033525"/>
    <n v="6448525775"/>
    <n v="212801117"/>
    <n v="0"/>
    <n v="2149741"/>
    <n v="212801117"/>
    <n v="214950859"/>
    <m/>
    <n v="8.4195100000000007"/>
    <n v="0.24787400000000001"/>
    <n v="1232.58"/>
    <m/>
    <s v=" 1272mb"/>
    <x v="4"/>
    <s v="1272"/>
  </r>
  <r>
    <s v="scaling_threads/step10084.txt"/>
    <x v="0"/>
    <n v="72"/>
    <s v="reclaimer_debra"/>
    <s v="allocator_new"/>
    <s v="pool_none"/>
    <n v="30000"/>
    <n v="0.5"/>
    <n v="0.5"/>
    <n v="0"/>
    <n v="1"/>
    <n v="2000000"/>
    <n v="144"/>
    <x v="3"/>
    <n v="144"/>
    <n v="0"/>
    <s v="insertIfAbsent"/>
    <n v="999080291463"/>
    <n v="999095"/>
    <m/>
    <m/>
    <s v="success"/>
    <n v="6"/>
    <n v="51431"/>
    <n v="1068462"/>
    <n v="1119893"/>
    <n v="999095"/>
    <n v="21.774699999999999"/>
    <n v="0.93507799999999996"/>
    <n v="1.8921300000000001"/>
    <n v="3.0382699999999998"/>
    <n v="9290437915"/>
    <n v="0"/>
    <n v="93831831"/>
    <n v="9290437915"/>
    <n v="9384269746"/>
    <n v="309681263"/>
    <n v="0"/>
    <n v="3127727"/>
    <n v="309681263"/>
    <n v="312808991"/>
    <m/>
    <n v="8.5419800000000006"/>
    <n v="0.35672199999999998"/>
    <n v="1240.22"/>
    <m/>
    <s v=" 1345mb"/>
    <x v="4"/>
    <s v="1345"/>
  </r>
  <r>
    <s v="scaling_threads/step10085.txt"/>
    <x v="0"/>
    <n v="72"/>
    <s v="reclaimer_debra"/>
    <s v="allocator_new"/>
    <s v="pool_none"/>
    <n v="30000"/>
    <n v="0.5"/>
    <n v="0.5"/>
    <n v="0"/>
    <n v="1"/>
    <n v="2000000"/>
    <n v="190"/>
    <x v="4"/>
    <n v="190"/>
    <n v="0"/>
    <s v="insertIfAbsent"/>
    <n v="999639487470"/>
    <n v="999820"/>
    <m/>
    <m/>
    <s v="success"/>
    <n v="6"/>
    <n v="57602"/>
    <n v="1081918"/>
    <n v="1139520"/>
    <n v="999820"/>
    <n v="19.782599999999999"/>
    <n v="0.92411799999999999"/>
    <n v="1.8774"/>
    <n v="3.05145"/>
    <n v="12025916884"/>
    <n v="0"/>
    <n v="121485862"/>
    <n v="12025916884"/>
    <n v="12147402746"/>
    <n v="400863896"/>
    <n v="0"/>
    <n v="4049528"/>
    <n v="400863896"/>
    <n v="404913424"/>
    <m/>
    <n v="8.6215299999999999"/>
    <n v="0.41430400000000001"/>
    <n v="1271.8"/>
    <m/>
    <s v=" 1415mb"/>
    <x v="4"/>
    <s v="1415"/>
  </r>
  <r>
    <s v="scaling_threads/step10086.txt"/>
    <x v="1"/>
    <n v="208"/>
    <s v="reclaimer_debra"/>
    <s v="allocator_new"/>
    <s v="pool_none"/>
    <n v="30000"/>
    <n v="0.5"/>
    <n v="0.5"/>
    <n v="0"/>
    <n v="1"/>
    <n v="2000000"/>
    <n v="24"/>
    <x v="0"/>
    <n v="24"/>
    <n v="0"/>
    <s v="insertIfAbsent"/>
    <n v="999873174705"/>
    <n v="999929"/>
    <m/>
    <m/>
    <s v="success"/>
    <n v="8"/>
    <n v="27854"/>
    <n v="188677"/>
    <n v="216531"/>
    <n v="999929"/>
    <n v="7.7737800000000004"/>
    <n v="5.29969"/>
    <n v="5.6179500000000004"/>
    <n v="7"/>
    <n v="1746338012"/>
    <n v="0"/>
    <n v="17642525"/>
    <n v="1746338012"/>
    <n v="1763980537"/>
    <n v="58211267"/>
    <n v="0"/>
    <n v="588084"/>
    <n v="58211267"/>
    <n v="58799351"/>
    <m/>
    <n v="9.4834300000000002"/>
    <n v="0.733927"/>
    <n v="1138.32"/>
    <m/>
    <s v=" 1118mb"/>
    <x v="4"/>
    <s v="1118"/>
  </r>
  <r>
    <s v="scaling_threads/step10087.txt"/>
    <x v="1"/>
    <n v="208"/>
    <s v="reclaimer_debra"/>
    <s v="allocator_new"/>
    <s v="pool_none"/>
    <n v="30000"/>
    <n v="0.5"/>
    <n v="0.5"/>
    <n v="0"/>
    <n v="1"/>
    <n v="2000000"/>
    <n v="48"/>
    <x v="1"/>
    <n v="48"/>
    <n v="0"/>
    <s v="insertIfAbsent"/>
    <n v="999008831888"/>
    <n v="998879"/>
    <m/>
    <m/>
    <s v="success"/>
    <n v="8"/>
    <n v="29026"/>
    <n v="193547"/>
    <n v="222573"/>
    <n v="998879"/>
    <n v="7.6680599999999997"/>
    <n v="5.1609100000000003"/>
    <n v="5.48787"/>
    <n v="7"/>
    <n v="2772845238"/>
    <n v="0"/>
    <n v="27998635"/>
    <n v="2772845238"/>
    <n v="2800843873"/>
    <n v="92428174"/>
    <n v="0"/>
    <n v="933287"/>
    <n v="92428174"/>
    <n v="93361462"/>
    <m/>
    <n v="9.4968599999999999"/>
    <n v="0.80157699999999998"/>
    <n v="1404.62"/>
    <m/>
    <s v=" 1127mb"/>
    <x v="4"/>
    <s v="1127"/>
  </r>
  <r>
    <s v="scaling_threads/step10088.txt"/>
    <x v="1"/>
    <n v="208"/>
    <s v="reclaimer_debra"/>
    <s v="allocator_new"/>
    <s v="pool_none"/>
    <n v="30000"/>
    <n v="0.5"/>
    <n v="0.5"/>
    <n v="0"/>
    <n v="1"/>
    <n v="2000000"/>
    <n v="96"/>
    <x v="2"/>
    <n v="96"/>
    <n v="0"/>
    <s v="insertIfAbsent"/>
    <n v="1000584007409"/>
    <n v="1000492"/>
    <m/>
    <m/>
    <s v="success"/>
    <n v="8"/>
    <n v="30834"/>
    <n v="196656"/>
    <n v="227490"/>
    <n v="1000492"/>
    <n v="7.3778899999999998"/>
    <n v="5.0875199999999996"/>
    <n v="5.3979600000000003"/>
    <n v="7"/>
    <n v="5510838599"/>
    <n v="0"/>
    <n v="55655531"/>
    <n v="5510838599"/>
    <n v="5566494130"/>
    <n v="183694619"/>
    <n v="0"/>
    <n v="1855184"/>
    <n v="183694619"/>
    <n v="185549804"/>
    <m/>
    <n v="9.7432499999999997"/>
    <n v="1.1171500000000001"/>
    <n v="1405.47"/>
    <m/>
    <s v=" 1145mb"/>
    <x v="4"/>
    <s v="1145"/>
  </r>
  <r>
    <s v="scaling_threads/step10089.txt"/>
    <x v="1"/>
    <n v="208"/>
    <s v="reclaimer_debra"/>
    <s v="allocator_new"/>
    <s v="pool_none"/>
    <n v="30000"/>
    <n v="0.5"/>
    <n v="0.5"/>
    <n v="0"/>
    <n v="1"/>
    <n v="2000000"/>
    <n v="144"/>
    <x v="3"/>
    <n v="144"/>
    <n v="0"/>
    <s v="insertIfAbsent"/>
    <n v="1000467840323"/>
    <n v="1000187"/>
    <m/>
    <m/>
    <s v="success"/>
    <n v="8"/>
    <n v="31619"/>
    <n v="196312"/>
    <n v="227931"/>
    <n v="1000187"/>
    <n v="7.2086699999999997"/>
    <n v="5.0948799999999999"/>
    <n v="5.3881100000000002"/>
    <n v="7"/>
    <n v="8056774915"/>
    <n v="0"/>
    <n v="81387388"/>
    <n v="8056774915"/>
    <n v="8138162303"/>
    <n v="268559163"/>
    <n v="0"/>
    <n v="2712912"/>
    <n v="268559163"/>
    <n v="271272076"/>
    <m/>
    <n v="9.9055400000000002"/>
    <n v="1.2237199999999999"/>
    <n v="1424.62"/>
    <m/>
    <s v=" 1160mb"/>
    <x v="4"/>
    <s v="1160"/>
  </r>
  <r>
    <s v="scaling_threads/step10090.txt"/>
    <x v="1"/>
    <n v="208"/>
    <s v="reclaimer_debra"/>
    <s v="allocator_new"/>
    <s v="pool_none"/>
    <n v="30000"/>
    <n v="0.5"/>
    <n v="0.5"/>
    <n v="0"/>
    <n v="1"/>
    <n v="2000000"/>
    <n v="190"/>
    <x v="4"/>
    <n v="190"/>
    <n v="0"/>
    <s v="insertIfAbsent"/>
    <n v="1000872007568"/>
    <n v="1000872"/>
    <m/>
    <m/>
    <s v="success"/>
    <n v="8"/>
    <n v="32126"/>
    <n v="196038"/>
    <n v="228164"/>
    <n v="1000872"/>
    <n v="7.1021599999999996"/>
    <n v="5.1055000000000001"/>
    <n v="5.3866300000000003"/>
    <n v="7"/>
    <n v="10556639515"/>
    <n v="0"/>
    <n v="106648550"/>
    <n v="10556639515"/>
    <n v="10663288065"/>
    <n v="351887983"/>
    <n v="0"/>
    <n v="3554951"/>
    <n v="351887983"/>
    <n v="355442935"/>
    <m/>
    <n v="10.095700000000001"/>
    <n v="1.3132600000000001"/>
    <n v="1439.79"/>
    <m/>
    <s v=" 1174mb"/>
    <x v="4"/>
    <s v="1174"/>
  </r>
  <r>
    <s v="scaling_threads/step10091.txt"/>
    <x v="2"/>
    <m/>
    <s v="reclaimer_debra"/>
    <s v="allocator_new"/>
    <s v="pool_none"/>
    <n v="30000"/>
    <n v="0.5"/>
    <n v="0.5"/>
    <n v="0"/>
    <n v="1"/>
    <n v="2000000"/>
    <n v="24"/>
    <x v="0"/>
    <n v="24"/>
    <n v="0"/>
    <s v="insertIfAbsent"/>
    <n v="999459448056"/>
    <n v="999308"/>
    <m/>
    <m/>
    <s v="success"/>
    <n v="25"/>
    <n v="683752"/>
    <n v="518955"/>
    <n v="1202707"/>
    <n v="999308"/>
    <n v="1.75898"/>
    <n v="1.9256200000000001"/>
    <n v="1.8308800000000001"/>
    <n v="19.872499999999999"/>
    <n v="854914984"/>
    <n v="0"/>
    <n v="8635224"/>
    <n v="854914984"/>
    <n v="863550208"/>
    <n v="28497166"/>
    <n v="0"/>
    <n v="287840"/>
    <n v="28497166"/>
    <n v="28785006"/>
    <m/>
    <n v="15.6852"/>
    <n v="2.2891699999999999"/>
    <n v="2325.56"/>
    <m/>
    <s v=" 1146mb"/>
    <x v="4"/>
    <s v="1146"/>
  </r>
  <r>
    <s v="scaling_threads/step10092.txt"/>
    <x v="2"/>
    <m/>
    <s v="reclaimer_debra"/>
    <s v="allocator_new"/>
    <s v="pool_none"/>
    <n v="30000"/>
    <n v="0.5"/>
    <n v="0.5"/>
    <n v="0"/>
    <n v="1"/>
    <n v="2000000"/>
    <n v="48"/>
    <x v="1"/>
    <n v="48"/>
    <n v="0"/>
    <s v="insertIfAbsent"/>
    <n v="1000618174312"/>
    <n v="1000451"/>
    <m/>
    <m/>
    <s v="success"/>
    <n v="25"/>
    <n v="685967"/>
    <n v="521037"/>
    <n v="1207004"/>
    <n v="1000451"/>
    <n v="1.7595700000000001"/>
    <n v="1.92012"/>
    <n v="1.82887"/>
    <n v="19.886600000000001"/>
    <n v="1497657023"/>
    <n v="0"/>
    <n v="15130665"/>
    <n v="1497657023"/>
    <n v="1512787688"/>
    <n v="49921900"/>
    <n v="0"/>
    <n v="504355"/>
    <n v="49921900"/>
    <n v="50426256"/>
    <m/>
    <n v="16.513400000000001"/>
    <n v="2.3761999999999999"/>
    <n v="2640.49"/>
    <m/>
    <s v=" 1152mb"/>
    <x v="4"/>
    <s v="1152"/>
  </r>
  <r>
    <s v="scaling_threads/step10093.txt"/>
    <x v="2"/>
    <m/>
    <s v="reclaimer_debra"/>
    <s v="allocator_new"/>
    <s v="pool_none"/>
    <n v="30000"/>
    <n v="0.5"/>
    <n v="0.5"/>
    <n v="0"/>
    <n v="1"/>
    <n v="2000000"/>
    <n v="96"/>
    <x v="2"/>
    <n v="96"/>
    <n v="0"/>
    <s v="insertIfAbsent"/>
    <n v="999888154610"/>
    <n v="999860"/>
    <m/>
    <m/>
    <s v="success"/>
    <n v="25"/>
    <n v="685696"/>
    <n v="520297"/>
    <n v="1205993"/>
    <n v="999860"/>
    <n v="1.7587900000000001"/>
    <n v="1.92171"/>
    <n v="1.82908"/>
    <n v="19.8598"/>
    <n v="3109156154"/>
    <n v="0"/>
    <n v="31405300"/>
    <n v="3109156154"/>
    <n v="3140561454"/>
    <n v="103638538"/>
    <n v="0"/>
    <n v="1046843"/>
    <n v="103638538"/>
    <n v="104685381"/>
    <m/>
    <n v="16.6448"/>
    <n v="2.7722199999999999"/>
    <n v="2540.9499999999998"/>
    <m/>
    <s v=" 1164mb"/>
    <x v="4"/>
    <s v="1164"/>
  </r>
  <r>
    <s v="scaling_threads/step10094.txt"/>
    <x v="2"/>
    <m/>
    <s v="reclaimer_debra"/>
    <s v="allocator_new"/>
    <s v="pool_none"/>
    <n v="30000"/>
    <n v="0.5"/>
    <n v="0.5"/>
    <n v="0"/>
    <n v="1"/>
    <n v="2000000"/>
    <n v="144"/>
    <x v="3"/>
    <n v="144"/>
    <n v="0"/>
    <s v="insertIfAbsent"/>
    <n v="1000429482509"/>
    <n v="1000877"/>
    <m/>
    <m/>
    <s v="success"/>
    <n v="25"/>
    <n v="686086"/>
    <n v="520892"/>
    <n v="1206978"/>
    <n v="1000877"/>
    <n v="1.75922"/>
    <n v="1.92147"/>
    <n v="1.82924"/>
    <n v="19.864599999999999"/>
    <n v="4650696883"/>
    <n v="0"/>
    <n v="46987211"/>
    <n v="4650696883"/>
    <n v="4697684094"/>
    <n v="155023229"/>
    <n v="0"/>
    <n v="1566240"/>
    <n v="155023229"/>
    <n v="156589469"/>
    <m/>
    <n v="16.751100000000001"/>
    <n v="2.8384499999999999"/>
    <n v="2513.5"/>
    <m/>
    <s v=" 1176mb"/>
    <x v="4"/>
    <s v="1176"/>
  </r>
  <r>
    <s v="scaling_threads/step10095.txt"/>
    <x v="2"/>
    <m/>
    <s v="reclaimer_debra"/>
    <s v="allocator_new"/>
    <s v="pool_none"/>
    <n v="30000"/>
    <n v="0.5"/>
    <n v="0.5"/>
    <n v="0"/>
    <n v="1"/>
    <n v="2000000"/>
    <n v="190"/>
    <x v="4"/>
    <n v="190"/>
    <n v="0"/>
    <s v="insertIfAbsent"/>
    <n v="1000064018368"/>
    <n v="1000003"/>
    <m/>
    <m/>
    <s v="success"/>
    <n v="25"/>
    <n v="685477"/>
    <n v="520225"/>
    <n v="1205702"/>
    <n v="1000003"/>
    <n v="1.75892"/>
    <n v="1.92225"/>
    <n v="1.8293900000000001"/>
    <n v="19.889700000000001"/>
    <n v="6133731853"/>
    <n v="0"/>
    <n v="61953555"/>
    <n v="6133731853"/>
    <n v="6195685408"/>
    <n v="204457728"/>
    <n v="0"/>
    <n v="2065118"/>
    <n v="204457728"/>
    <n v="206522846"/>
    <m/>
    <n v="16.8462"/>
    <n v="2.8967700000000001"/>
    <n v="2508.65"/>
    <m/>
    <s v=" 1188mb"/>
    <x v="4"/>
    <s v="1188"/>
  </r>
  <r>
    <s v="scaling_threads/step10096.txt"/>
    <x v="3"/>
    <m/>
    <s v="reclaimer_debra"/>
    <s v="allocator_new"/>
    <s v="pool_none"/>
    <n v="30000"/>
    <n v="0.5"/>
    <n v="0.5"/>
    <n v="0"/>
    <n v="1"/>
    <n v="2000000"/>
    <n v="24"/>
    <x v="0"/>
    <n v="24"/>
    <n v="0"/>
    <s v="insertIfAbsent"/>
    <n v="1000267654204"/>
    <n v="1000071"/>
    <m/>
    <m/>
    <s v="success"/>
    <n v="50"/>
    <n v="1000070"/>
    <n v="1000071"/>
    <n v="2000141"/>
    <n v="1000071"/>
    <n v="2"/>
    <n v="1"/>
    <n v="1.5"/>
    <n v="26.078600000000002"/>
    <n v="758484710"/>
    <n v="0"/>
    <n v="7665124"/>
    <n v="758484710"/>
    <n v="766149834"/>
    <n v="25282823"/>
    <n v="0"/>
    <n v="255504"/>
    <n v="25282823"/>
    <n v="25538327"/>
    <m/>
    <n v="12.256600000000001"/>
    <n v="1.7821199999999999"/>
    <n v="2621.46"/>
    <m/>
    <s v=" 1134mb"/>
    <x v="4"/>
    <s v="1134"/>
  </r>
  <r>
    <s v="scaling_threads/step10097.txt"/>
    <x v="3"/>
    <m/>
    <s v="reclaimer_debra"/>
    <s v="allocator_new"/>
    <s v="pool_none"/>
    <n v="30000"/>
    <n v="0.5"/>
    <n v="0.5"/>
    <n v="0"/>
    <n v="1"/>
    <n v="2000000"/>
    <n v="48"/>
    <x v="1"/>
    <n v="48"/>
    <n v="0"/>
    <s v="insertIfAbsent"/>
    <n v="999311745694"/>
    <n v="1000031"/>
    <m/>
    <m/>
    <s v="success"/>
    <n v="48"/>
    <n v="1000030"/>
    <n v="1000031"/>
    <n v="2000061"/>
    <n v="1000031"/>
    <n v="2"/>
    <n v="1"/>
    <n v="1.5"/>
    <n v="26.229199999999999"/>
    <n v="1374581589"/>
    <n v="0"/>
    <n v="13882444"/>
    <n v="1374581589"/>
    <n v="1388464033"/>
    <n v="45819386"/>
    <n v="0"/>
    <n v="462748"/>
    <n v="45819386"/>
    <n v="46282134"/>
    <m/>
    <n v="12.1935"/>
    <n v="1.8126800000000001"/>
    <n v="2892.27"/>
    <m/>
    <s v=" 1140mb"/>
    <x v="4"/>
    <s v="1140"/>
  </r>
  <r>
    <s v="scaling_threads/step10098.txt"/>
    <x v="3"/>
    <m/>
    <s v="reclaimer_debra"/>
    <s v="allocator_new"/>
    <s v="pool_none"/>
    <n v="30000"/>
    <n v="0.5"/>
    <n v="0.5"/>
    <n v="0"/>
    <n v="1"/>
    <n v="2000000"/>
    <n v="96"/>
    <x v="2"/>
    <n v="96"/>
    <n v="0"/>
    <s v="insertIfAbsent"/>
    <n v="999410427293"/>
    <n v="1000067"/>
    <m/>
    <m/>
    <s v="success"/>
    <n v="49"/>
    <n v="1000066"/>
    <n v="1000067"/>
    <n v="2000133"/>
    <n v="1000067"/>
    <n v="2"/>
    <n v="1"/>
    <n v="1.5"/>
    <n v="26.213799999999999"/>
    <n v="3002826160"/>
    <n v="0"/>
    <n v="30333651"/>
    <n v="3002826160"/>
    <n v="3033159811"/>
    <n v="100094205"/>
    <n v="0"/>
    <n v="1011121"/>
    <n v="100094205"/>
    <n v="101105327"/>
    <m/>
    <n v="12.2523"/>
    <n v="2.1044900000000002"/>
    <n v="2644.02"/>
    <m/>
    <s v=" 1153mb"/>
    <x v="4"/>
    <s v="1153"/>
  </r>
  <r>
    <s v="scaling_threads/step10099.txt"/>
    <x v="3"/>
    <m/>
    <s v="reclaimer_debra"/>
    <s v="allocator_new"/>
    <s v="pool_none"/>
    <n v="30000"/>
    <n v="0.5"/>
    <n v="0.5"/>
    <n v="0"/>
    <n v="1"/>
    <n v="2000000"/>
    <n v="144"/>
    <x v="3"/>
    <n v="144"/>
    <n v="0"/>
    <s v="insertIfAbsent"/>
    <n v="999991868795"/>
    <n v="999728"/>
    <m/>
    <m/>
    <s v="success"/>
    <n v="53"/>
    <n v="999727"/>
    <n v="999728"/>
    <n v="1999455"/>
    <n v="999728"/>
    <n v="2"/>
    <n v="1"/>
    <n v="1.5"/>
    <n v="25.8245"/>
    <n v="4515394064"/>
    <n v="0"/>
    <n v="45611776"/>
    <n v="4515394064"/>
    <n v="4561005840"/>
    <n v="150513135"/>
    <n v="0"/>
    <n v="1520392"/>
    <n v="150513135"/>
    <n v="152033528"/>
    <m/>
    <n v="12.314399999999999"/>
    <n v="2.1776800000000001"/>
    <n v="2637.13"/>
    <m/>
    <s v=" 1166mb"/>
    <x v="4"/>
    <s v="1166"/>
  </r>
  <r>
    <s v="scaling_threads/step10100.txt"/>
    <x v="3"/>
    <m/>
    <s v="reclaimer_debra"/>
    <s v="allocator_new"/>
    <s v="pool_none"/>
    <n v="30000"/>
    <n v="0.5"/>
    <n v="0.5"/>
    <n v="0"/>
    <n v="1"/>
    <n v="2000000"/>
    <n v="190"/>
    <x v="4"/>
    <n v="190"/>
    <n v="0"/>
    <s v="insertIfAbsent"/>
    <n v="1000898307964"/>
    <n v="1000566"/>
    <m/>
    <m/>
    <s v="success"/>
    <n v="49"/>
    <n v="1000565"/>
    <n v="1000566"/>
    <n v="2001131"/>
    <n v="1000566"/>
    <n v="2"/>
    <n v="1"/>
    <n v="1.5"/>
    <n v="26.468900000000001"/>
    <n v="6000931524"/>
    <n v="0"/>
    <n v="60589071"/>
    <n v="6000931524"/>
    <n v="6061520595"/>
    <n v="200031050"/>
    <n v="0"/>
    <n v="2019635"/>
    <n v="200031050"/>
    <n v="202050686"/>
    <m/>
    <n v="12.402699999999999"/>
    <n v="2.2297199999999999"/>
    <n v="2618.63"/>
    <m/>
    <s v=" 1180mb"/>
    <x v="4"/>
    <s v="1180"/>
  </r>
  <r>
    <s v="scaling_threads/step10101.txt"/>
    <x v="0"/>
    <n v="72"/>
    <s v="reclaimer_debra"/>
    <s v="allocator_new"/>
    <s v="pool_none"/>
    <n v="30000"/>
    <n v="0.5"/>
    <n v="0.5"/>
    <n v="0"/>
    <n v="1"/>
    <n v="20000000"/>
    <n v="24"/>
    <x v="0"/>
    <n v="24"/>
    <n v="0"/>
    <s v="insertIfAbsent"/>
    <n v="100022208207370"/>
    <n v="10001445"/>
    <m/>
    <m/>
    <s v="success"/>
    <n v="7"/>
    <n v="1700223"/>
    <n v="11593337"/>
    <n v="13293560"/>
    <n v="10001445"/>
    <n v="7.8187199999999999"/>
    <n v="0.86268900000000004"/>
    <n v="1.7523500000000001"/>
    <n v="4.0148900000000003"/>
    <n v="1024227075"/>
    <n v="0"/>
    <n v="10339939"/>
    <n v="1024227075"/>
    <n v="1034567014"/>
    <n v="34140902"/>
    <n v="0"/>
    <n v="344664"/>
    <n v="34140902"/>
    <n v="34485567"/>
    <m/>
    <n v="16.440100000000001"/>
    <n v="5.8863599999999998"/>
    <n v="1938.63"/>
    <m/>
    <s v=" 2439mb"/>
    <x v="5"/>
    <s v="2439"/>
  </r>
  <r>
    <s v="scaling_threads/step10102.txt"/>
    <x v="0"/>
    <n v="72"/>
    <s v="reclaimer_debra"/>
    <s v="allocator_new"/>
    <s v="pool_none"/>
    <n v="30000"/>
    <n v="0.5"/>
    <n v="0.5"/>
    <n v="0"/>
    <n v="1"/>
    <n v="20000000"/>
    <n v="48"/>
    <x v="1"/>
    <n v="48"/>
    <n v="0"/>
    <s v="insertIfAbsent"/>
    <n v="100028085770894"/>
    <n v="10003007"/>
    <m/>
    <m/>
    <s v="success"/>
    <n v="7"/>
    <n v="1904712"/>
    <n v="12032526"/>
    <n v="13937238"/>
    <n v="10003007"/>
    <n v="7.31724"/>
    <n v="0.83133100000000004"/>
    <n v="1.7177199999999999"/>
    <n v="4.0556799999999997"/>
    <n v="1753201365"/>
    <n v="0"/>
    <n v="17707978"/>
    <n v="1753201365"/>
    <n v="1770909343"/>
    <n v="58440045"/>
    <n v="0"/>
    <n v="590265"/>
    <n v="58440045"/>
    <n v="59030311"/>
    <m/>
    <n v="16.0961"/>
    <n v="5.9582100000000002"/>
    <n v="2259.9899999999998"/>
    <m/>
    <s v=" 2474mb"/>
    <x v="5"/>
    <s v="2474"/>
  </r>
  <r>
    <s v="scaling_threads/step10103.txt"/>
    <x v="0"/>
    <n v="72"/>
    <s v="reclaimer_debra"/>
    <s v="allocator_new"/>
    <s v="pool_none"/>
    <n v="30000"/>
    <n v="0.5"/>
    <n v="0.5"/>
    <n v="0"/>
    <n v="1"/>
    <n v="20000000"/>
    <n v="96"/>
    <x v="2"/>
    <n v="96"/>
    <n v="0"/>
    <s v="insertIfAbsent"/>
    <n v="99995813121619"/>
    <n v="9999751"/>
    <m/>
    <m/>
    <s v="success"/>
    <n v="7"/>
    <n v="1899261"/>
    <n v="12013728"/>
    <n v="13912989"/>
    <n v="9999751"/>
    <n v="7.3254799999999998"/>
    <n v="0.83235999999999999"/>
    <n v="1.7187300000000001"/>
    <n v="4.0548000000000002"/>
    <n v="3706648987"/>
    <n v="0"/>
    <n v="37437069"/>
    <n v="3706648987"/>
    <n v="3744086056"/>
    <n v="123554966"/>
    <n v="0"/>
    <n v="1247902"/>
    <n v="123554966"/>
    <n v="124802868"/>
    <m/>
    <n v="16.233899999999998"/>
    <n v="6.40665"/>
    <n v="2113.69"/>
    <m/>
    <s v=" 2544mb"/>
    <x v="5"/>
    <s v="2544"/>
  </r>
  <r>
    <s v="scaling_threads/step10104.txt"/>
    <x v="0"/>
    <n v="72"/>
    <s v="reclaimer_debra"/>
    <s v="allocator_new"/>
    <s v="pool_none"/>
    <n v="30000"/>
    <n v="0.5"/>
    <n v="0.5"/>
    <n v="0"/>
    <n v="1"/>
    <n v="20000000"/>
    <n v="144"/>
    <x v="3"/>
    <n v="144"/>
    <n v="0"/>
    <s v="insertIfAbsent"/>
    <n v="99980600478156"/>
    <n v="9998479"/>
    <m/>
    <m/>
    <s v="success"/>
    <n v="7"/>
    <n v="1730330"/>
    <n v="11652501"/>
    <n v="13382831"/>
    <n v="9998479"/>
    <n v="7.7342700000000004"/>
    <n v="0.85805399999999998"/>
    <n v="1.7471099999999999"/>
    <n v="4.02102"/>
    <n v="5494180784"/>
    <n v="0"/>
    <n v="55501763"/>
    <n v="5494180784"/>
    <n v="5549682547"/>
    <n v="183139359"/>
    <n v="0"/>
    <n v="1850058"/>
    <n v="183139359"/>
    <n v="184989418"/>
    <m/>
    <n v="16.3003"/>
    <n v="6.5552099999999998"/>
    <n v="2139.66"/>
    <m/>
    <s v=" 2677mb"/>
    <x v="5"/>
    <s v="2677"/>
  </r>
  <r>
    <s v="scaling_threads/step10105.txt"/>
    <x v="0"/>
    <n v="72"/>
    <s v="reclaimer_debra"/>
    <s v="allocator_new"/>
    <s v="pool_none"/>
    <n v="30000"/>
    <n v="0.5"/>
    <n v="0.5"/>
    <n v="0"/>
    <n v="1"/>
    <n v="20000000"/>
    <n v="190"/>
    <x v="4"/>
    <n v="190"/>
    <n v="0"/>
    <s v="insertIfAbsent"/>
    <n v="99994481550456"/>
    <n v="9999085"/>
    <m/>
    <m/>
    <s v="success"/>
    <n v="7"/>
    <n v="1902922"/>
    <n v="12024391"/>
    <n v="13927313"/>
    <n v="9999085"/>
    <n v="7.3189099999999998"/>
    <n v="0.83156699999999995"/>
    <n v="1.7179500000000001"/>
    <n v="4.0554800000000002"/>
    <n v="7200606578"/>
    <n v="0"/>
    <n v="72736903"/>
    <n v="7200606578"/>
    <n v="7273343481"/>
    <n v="240020219"/>
    <n v="0"/>
    <n v="2424563"/>
    <n v="240020219"/>
    <n v="242444782"/>
    <m/>
    <n v="16.377500000000001"/>
    <n v="6.6303999999999998"/>
    <n v="2146.71"/>
    <m/>
    <s v=" 2766mb"/>
    <x v="5"/>
    <s v="2766"/>
  </r>
  <r>
    <s v="scaling_threads/step10106.txt"/>
    <x v="1"/>
    <n v="208"/>
    <s v="reclaimer_debra"/>
    <s v="allocator_new"/>
    <s v="pool_none"/>
    <n v="30000"/>
    <n v="0.5"/>
    <n v="0.5"/>
    <n v="0"/>
    <n v="1"/>
    <n v="20000000"/>
    <n v="24"/>
    <x v="0"/>
    <n v="24"/>
    <n v="0"/>
    <s v="insertIfAbsent"/>
    <n v="100023449336958"/>
    <n v="10001729"/>
    <m/>
    <m/>
    <s v="success"/>
    <n v="9"/>
    <n v="207613"/>
    <n v="1428320"/>
    <n v="1635933"/>
    <n v="10001729"/>
    <n v="7.8797199999999998"/>
    <n v="7.00244"/>
    <n v="7.1137800000000002"/>
    <n v="8"/>
    <n v="904799931"/>
    <n v="0"/>
    <n v="9141862"/>
    <n v="904799931"/>
    <n v="913941793"/>
    <n v="30159997"/>
    <n v="0"/>
    <n v="304728"/>
    <n v="30159997"/>
    <n v="30464726"/>
    <m/>
    <n v="16.661999999999999"/>
    <n v="5.0394699999999997"/>
    <n v="2197.17"/>
    <m/>
    <s v=" 1439mb"/>
    <x v="5"/>
    <s v="1439"/>
  </r>
  <r>
    <s v="scaling_threads/step10107.txt"/>
    <x v="1"/>
    <n v="208"/>
    <s v="reclaimer_debra"/>
    <s v="allocator_new"/>
    <s v="pool_none"/>
    <n v="30000"/>
    <n v="0.5"/>
    <n v="0.5"/>
    <n v="0"/>
    <n v="1"/>
    <n v="20000000"/>
    <n v="48"/>
    <x v="1"/>
    <n v="48"/>
    <n v="0"/>
    <s v="insertIfAbsent"/>
    <n v="99955659064878"/>
    <n v="9996188"/>
    <m/>
    <m/>
    <s v="success"/>
    <n v="9"/>
    <n v="217873"/>
    <n v="1497840"/>
    <n v="1715713"/>
    <n v="9996188"/>
    <n v="7.8748300000000002"/>
    <n v="6.6737399999999996"/>
    <n v="6.8262600000000004"/>
    <n v="8"/>
    <n v="1647168182"/>
    <n v="0"/>
    <n v="16637403"/>
    <n v="1647168182"/>
    <n v="1663805585"/>
    <n v="54905606"/>
    <n v="0"/>
    <n v="554580"/>
    <n v="54905606"/>
    <n v="55460186"/>
    <m/>
    <n v="16.761099999999999"/>
    <n v="5.0852000000000004"/>
    <n v="2411.06"/>
    <m/>
    <s v=" 1501mb"/>
    <x v="5"/>
    <s v="1501"/>
  </r>
  <r>
    <s v="scaling_threads/step10108.txt"/>
    <x v="1"/>
    <n v="208"/>
    <s v="reclaimer_debra"/>
    <s v="allocator_new"/>
    <s v="pool_none"/>
    <n v="30000"/>
    <n v="0.5"/>
    <n v="0.5"/>
    <n v="0"/>
    <n v="1"/>
    <n v="20000000"/>
    <n v="96"/>
    <x v="2"/>
    <n v="96"/>
    <n v="0"/>
    <s v="insertIfAbsent"/>
    <n v="99970991303355"/>
    <n v="9996241"/>
    <m/>
    <m/>
    <s v="success"/>
    <n v="9"/>
    <n v="234508"/>
    <n v="1612614"/>
    <n v="1847122"/>
    <n v="9996241"/>
    <n v="7.8765799999999997"/>
    <n v="6.1987800000000002"/>
    <n v="6.4117899999999999"/>
    <n v="8"/>
    <n v="3501376522"/>
    <n v="0"/>
    <n v="35365510"/>
    <n v="3501376522"/>
    <n v="3536742032"/>
    <n v="116712550"/>
    <n v="0"/>
    <n v="1178850"/>
    <n v="116712550"/>
    <n v="117891401"/>
    <m/>
    <n v="17.0885"/>
    <n v="5.63476"/>
    <n v="2259.08"/>
    <m/>
    <s v=" 1647mb"/>
    <x v="5"/>
    <s v="1647"/>
  </r>
  <r>
    <s v="scaling_threads/step10109.txt"/>
    <x v="1"/>
    <n v="208"/>
    <s v="reclaimer_debra"/>
    <s v="allocator_new"/>
    <s v="pool_none"/>
    <n v="30000"/>
    <n v="0.5"/>
    <n v="0.5"/>
    <n v="0"/>
    <n v="1"/>
    <n v="20000000"/>
    <n v="144"/>
    <x v="3"/>
    <n v="144"/>
    <n v="0"/>
    <s v="insertIfAbsent"/>
    <n v="100016327435137"/>
    <n v="10001737"/>
    <m/>
    <m/>
    <s v="success"/>
    <n v="9"/>
    <n v="244907"/>
    <n v="1679922"/>
    <n v="1924829"/>
    <n v="10001737"/>
    <n v="7.8594299999999997"/>
    <n v="5.9536899999999999"/>
    <n v="6.1961700000000004"/>
    <n v="8"/>
    <n v="5172181849"/>
    <n v="0"/>
    <n v="52245902"/>
    <n v="5172181849"/>
    <n v="5224427751"/>
    <n v="172406061"/>
    <n v="0"/>
    <n v="1741530"/>
    <n v="172406061"/>
    <n v="174147591"/>
    <m/>
    <n v="17.271999999999998"/>
    <n v="5.8109099999999998"/>
    <n v="2291.2399999999998"/>
    <m/>
    <s v=" 1623mb"/>
    <x v="5"/>
    <s v="1623"/>
  </r>
  <r>
    <s v="scaling_threads/step10110.txt"/>
    <x v="1"/>
    <n v="208"/>
    <s v="reclaimer_debra"/>
    <s v="allocator_new"/>
    <s v="pool_none"/>
    <n v="30000"/>
    <n v="0.5"/>
    <n v="0.5"/>
    <n v="0"/>
    <n v="1"/>
    <n v="20000000"/>
    <n v="190"/>
    <x v="4"/>
    <n v="190"/>
    <n v="0"/>
    <s v="insertIfAbsent"/>
    <n v="99967194851397"/>
    <n v="9998882"/>
    <m/>
    <m/>
    <s v="success"/>
    <n v="9"/>
    <n v="252103"/>
    <n v="1729210"/>
    <n v="1981313"/>
    <n v="9998882"/>
    <n v="7.85914"/>
    <n v="5.7823399999999996"/>
    <n v="6.0465900000000001"/>
    <n v="8"/>
    <n v="6764340256"/>
    <n v="0"/>
    <n v="68315240"/>
    <n v="6764340256"/>
    <n v="6832655496"/>
    <n v="225478008"/>
    <n v="0"/>
    <n v="2277174"/>
    <n v="225478008"/>
    <n v="227755183"/>
    <m/>
    <n v="17.398499999999999"/>
    <n v="5.9044600000000003"/>
    <n v="2307.59"/>
    <m/>
    <s v=" 1702mb"/>
    <x v="5"/>
    <s v="1702"/>
  </r>
  <r>
    <s v="scaling_threads/step10111.txt"/>
    <x v="2"/>
    <m/>
    <s v="reclaimer_debra"/>
    <s v="allocator_new"/>
    <s v="pool_none"/>
    <n v="30000"/>
    <n v="0.5"/>
    <n v="0.5"/>
    <n v="0"/>
    <n v="1"/>
    <n v="20000000"/>
    <n v="24"/>
    <x v="0"/>
    <n v="24"/>
    <n v="0"/>
    <s v="insertIfAbsent"/>
    <n v="99990441949083"/>
    <n v="9998990"/>
    <m/>
    <m/>
    <s v="success"/>
    <n v="29"/>
    <n v="5932688"/>
    <n v="4466241"/>
    <n v="10398929"/>
    <n v="9998990"/>
    <n v="1.75282"/>
    <n v="2.2387899999999998"/>
    <n v="1.9615400000000001"/>
    <n v="22.928699999999999"/>
    <n v="412867063"/>
    <n v="0"/>
    <n v="4173215"/>
    <n v="412867063"/>
    <n v="417040278"/>
    <n v="13762235"/>
    <n v="0"/>
    <n v="139107"/>
    <n v="13762235"/>
    <n v="13901342"/>
    <m/>
    <n v="27.828800000000001"/>
    <n v="9.5548300000000008"/>
    <n v="4815.37"/>
    <m/>
    <s v=" 1741mb"/>
    <x v="5"/>
    <s v="1741"/>
  </r>
  <r>
    <s v="scaling_threads/step10112.txt"/>
    <x v="2"/>
    <m/>
    <s v="reclaimer_debra"/>
    <s v="allocator_new"/>
    <s v="pool_none"/>
    <n v="30000"/>
    <n v="0.5"/>
    <n v="0.5"/>
    <n v="0"/>
    <n v="1"/>
    <n v="20000000"/>
    <n v="48"/>
    <x v="1"/>
    <n v="48"/>
    <n v="0"/>
    <s v="insertIfAbsent"/>
    <n v="100025178247301"/>
    <n v="9998881"/>
    <m/>
    <m/>
    <s v="success"/>
    <n v="29"/>
    <n v="6090534"/>
    <n v="4592137"/>
    <n v="10682671"/>
    <n v="9998881"/>
    <n v="1.7539800000000001"/>
    <n v="2.1773899999999999"/>
    <n v="1.9359900000000001"/>
    <n v="22.907699999999998"/>
    <n v="774799416"/>
    <n v="0"/>
    <n v="7829215"/>
    <n v="774799416"/>
    <n v="782628631"/>
    <n v="25826647"/>
    <n v="0"/>
    <n v="260973"/>
    <n v="25826647"/>
    <n v="26087621"/>
    <m/>
    <n v="28.514800000000001"/>
    <n v="9.41784"/>
    <n v="5124.12"/>
    <m/>
    <s v=" 1764mb"/>
    <x v="5"/>
    <s v="1764"/>
  </r>
  <r>
    <s v="scaling_threads/step10113.txt"/>
    <x v="2"/>
    <m/>
    <s v="reclaimer_debra"/>
    <s v="allocator_new"/>
    <s v="pool_none"/>
    <n v="30000"/>
    <n v="0.5"/>
    <n v="0.5"/>
    <n v="0"/>
    <n v="1"/>
    <n v="20000000"/>
    <n v="96"/>
    <x v="2"/>
    <n v="96"/>
    <n v="0"/>
    <s v="insertIfAbsent"/>
    <n v="99987715465627"/>
    <n v="9999867"/>
    <m/>
    <m/>
    <s v="success"/>
    <n v="29"/>
    <n v="6381895"/>
    <n v="4823944"/>
    <n v="11205839"/>
    <n v="9999867"/>
    <n v="1.7558800000000001"/>
    <n v="2.0729600000000001"/>
    <n v="1.89238"/>
    <n v="23.034700000000001"/>
    <n v="1706347193"/>
    <n v="0"/>
    <n v="17237049"/>
    <n v="1706347193"/>
    <n v="1723584242"/>
    <n v="56878239"/>
    <n v="0"/>
    <n v="574568"/>
    <n v="56878239"/>
    <n v="57452808"/>
    <m/>
    <n v="28.815999999999999"/>
    <n v="10.6638"/>
    <n v="4648.58"/>
    <m/>
    <s v=" 1812mb"/>
    <x v="5"/>
    <s v="1812"/>
  </r>
  <r>
    <s v="scaling_threads/step10114.txt"/>
    <x v="2"/>
    <m/>
    <s v="reclaimer_debra"/>
    <s v="allocator_new"/>
    <s v="pool_none"/>
    <n v="30000"/>
    <n v="0.5"/>
    <n v="0.5"/>
    <n v="0"/>
    <n v="1"/>
    <n v="20000000"/>
    <n v="144"/>
    <x v="3"/>
    <n v="144"/>
    <n v="0"/>
    <s v="insertIfAbsent"/>
    <n v="100009388223749"/>
    <n v="10000828"/>
    <m/>
    <m/>
    <s v="success"/>
    <n v="29"/>
    <n v="6553133"/>
    <n v="4960150"/>
    <n v="11513283"/>
    <n v="10000828"/>
    <n v="1.75691"/>
    <n v="2.0162300000000002"/>
    <n v="1.86863"/>
    <n v="23.097999999999999"/>
    <n v="2572023899"/>
    <n v="0"/>
    <n v="25979162"/>
    <n v="2572023899"/>
    <n v="2598003061"/>
    <n v="85734129"/>
    <n v="0"/>
    <n v="865972"/>
    <n v="85734129"/>
    <n v="86600102"/>
    <m/>
    <n v="28.9772"/>
    <n v="10.848599999999999"/>
    <n v="4625.91"/>
    <m/>
    <s v=" 1842mb"/>
    <x v="5"/>
    <s v="1842"/>
  </r>
  <r>
    <s v="scaling_threads/step10115.txt"/>
    <x v="2"/>
    <m/>
    <s v="reclaimer_debra"/>
    <s v="allocator_new"/>
    <s v="pool_none"/>
    <n v="30000"/>
    <n v="0.5"/>
    <n v="0.5"/>
    <n v="0"/>
    <n v="1"/>
    <n v="20000000"/>
    <n v="190"/>
    <x v="4"/>
    <n v="190"/>
    <n v="0"/>
    <s v="insertIfAbsent"/>
    <n v="100023499302971"/>
    <n v="9998442"/>
    <m/>
    <m/>
    <s v="success"/>
    <n v="29"/>
    <n v="6658651"/>
    <n v="5042431"/>
    <n v="11701082"/>
    <n v="9998442"/>
    <n v="1.75728"/>
    <n v="1.9828600000000001"/>
    <n v="1.85449"/>
    <n v="23.1675"/>
    <n v="3411830911"/>
    <n v="0"/>
    <n v="34466082"/>
    <n v="3411830911"/>
    <n v="3446296993"/>
    <n v="113727697"/>
    <n v="0"/>
    <n v="1148869"/>
    <n v="113727697"/>
    <n v="114876566"/>
    <m/>
    <n v="28.945699999999999"/>
    <n v="10.956300000000001"/>
    <n v="4596.3"/>
    <m/>
    <s v=" 1862mb"/>
    <x v="5"/>
    <s v="1862"/>
  </r>
  <r>
    <s v="scaling_threads/step10116.txt"/>
    <x v="3"/>
    <m/>
    <s v="reclaimer_debra"/>
    <s v="allocator_new"/>
    <s v="pool_none"/>
    <n v="30000"/>
    <n v="0.5"/>
    <n v="0.5"/>
    <n v="0"/>
    <n v="1"/>
    <n v="20000000"/>
    <n v="24"/>
    <x v="0"/>
    <n v="24"/>
    <n v="0"/>
    <s v="insertIfAbsent"/>
    <n v="99964430136736"/>
    <n v="9999653"/>
    <m/>
    <m/>
    <s v="success"/>
    <n v="61"/>
    <n v="9999652"/>
    <n v="9999653"/>
    <n v="19999305"/>
    <n v="9999653"/>
    <n v="2"/>
    <n v="1"/>
    <n v="1.5"/>
    <n v="30.684200000000001"/>
    <n v="347020388"/>
    <n v="0"/>
    <n v="3507633"/>
    <n v="347020388"/>
    <n v="350528021"/>
    <n v="11567346"/>
    <n v="0"/>
    <n v="116921"/>
    <n v="11567346"/>
    <n v="11684267"/>
    <m/>
    <n v="24.389600000000002"/>
    <n v="8.8381299999999996"/>
    <n v="5729.86"/>
    <m/>
    <s v=" 1717mb"/>
    <x v="5"/>
    <s v="1717"/>
  </r>
  <r>
    <s v="scaling_threads/step10117.txt"/>
    <x v="3"/>
    <m/>
    <s v="reclaimer_debra"/>
    <s v="allocator_new"/>
    <s v="pool_none"/>
    <n v="30000"/>
    <n v="0.5"/>
    <n v="0.5"/>
    <n v="0"/>
    <n v="1"/>
    <n v="20000000"/>
    <n v="48"/>
    <x v="1"/>
    <n v="48"/>
    <n v="0"/>
    <s v="insertIfAbsent"/>
    <n v="99977704144564"/>
    <n v="9997374"/>
    <m/>
    <m/>
    <s v="success"/>
    <n v="60"/>
    <n v="9997373"/>
    <n v="9997374"/>
    <n v="19994747"/>
    <n v="9997374"/>
    <n v="2"/>
    <n v="1"/>
    <n v="1.5"/>
    <n v="31.103999999999999"/>
    <n v="649475535"/>
    <n v="0"/>
    <n v="6562538"/>
    <n v="649475535"/>
    <n v="656038073"/>
    <n v="21649184"/>
    <n v="0"/>
    <n v="218751"/>
    <n v="21649184"/>
    <n v="21867935"/>
    <m/>
    <n v="24.34"/>
    <n v="8.7053200000000004"/>
    <n v="6114.84"/>
    <m/>
    <s v=" 1721mb"/>
    <x v="5"/>
    <s v="1721"/>
  </r>
  <r>
    <s v="scaling_threads/step10118.txt"/>
    <x v="3"/>
    <m/>
    <s v="reclaimer_debra"/>
    <s v="allocator_new"/>
    <s v="pool_none"/>
    <n v="30000"/>
    <n v="0.5"/>
    <n v="0.5"/>
    <n v="0"/>
    <n v="1"/>
    <n v="20000000"/>
    <n v="96"/>
    <x v="2"/>
    <n v="96"/>
    <n v="0"/>
    <s v="insertIfAbsent"/>
    <n v="99955248790831"/>
    <n v="9997076"/>
    <m/>
    <m/>
    <s v="success"/>
    <n v="60"/>
    <n v="9997075"/>
    <n v="9997076"/>
    <n v="19994151"/>
    <n v="9997076"/>
    <n v="2"/>
    <n v="1"/>
    <n v="1.5"/>
    <n v="31.0214"/>
    <n v="1464111458"/>
    <n v="0"/>
    <n v="14789829"/>
    <n v="1464111458"/>
    <n v="1478901287"/>
    <n v="48803715"/>
    <n v="0"/>
    <n v="492994"/>
    <n v="48803715"/>
    <n v="49296709"/>
    <m/>
    <n v="25.0791"/>
    <n v="10.0251"/>
    <n v="5419.49"/>
    <m/>
    <s v=" 1736mb"/>
    <x v="5"/>
    <s v="1736"/>
  </r>
  <r>
    <s v="scaling_threads/step10119.txt"/>
    <x v="3"/>
    <m/>
    <s v="reclaimer_debra"/>
    <s v="allocator_new"/>
    <s v="pool_none"/>
    <n v="30000"/>
    <n v="0.5"/>
    <n v="0.5"/>
    <n v="0"/>
    <n v="1"/>
    <n v="20000000"/>
    <n v="144"/>
    <x v="3"/>
    <n v="144"/>
    <n v="0"/>
    <s v="insertIfAbsent"/>
    <n v="100004615171903"/>
    <n v="10001012"/>
    <m/>
    <m/>
    <s v="success"/>
    <n v="62"/>
    <n v="10001011"/>
    <n v="10001012"/>
    <n v="20002023"/>
    <n v="10001012"/>
    <n v="2"/>
    <n v="1"/>
    <n v="1.5"/>
    <n v="32.152099999999997"/>
    <n v="2220028559"/>
    <n v="0"/>
    <n v="22429700"/>
    <n v="2220028559"/>
    <n v="2242458259"/>
    <n v="74000951"/>
    <n v="0"/>
    <n v="747656"/>
    <n v="74000951"/>
    <n v="74748608"/>
    <m/>
    <n v="25.1935"/>
    <n v="10.2303"/>
    <n v="5363.8"/>
    <m/>
    <s v=" 1748mb"/>
    <x v="5"/>
    <s v="1748"/>
  </r>
  <r>
    <s v="scaling_threads/step10120.txt"/>
    <x v="3"/>
    <m/>
    <s v="reclaimer_debra"/>
    <s v="allocator_new"/>
    <s v="pool_none"/>
    <n v="30000"/>
    <n v="0.5"/>
    <n v="0.5"/>
    <n v="0"/>
    <n v="1"/>
    <n v="20000000"/>
    <n v="190"/>
    <x v="4"/>
    <n v="190"/>
    <n v="0"/>
    <s v="insertIfAbsent"/>
    <n v="99955041327102"/>
    <n v="9996713"/>
    <m/>
    <m/>
    <s v="success"/>
    <n v="60"/>
    <n v="9996712"/>
    <n v="9996713"/>
    <n v="19993425"/>
    <n v="9996713"/>
    <n v="2"/>
    <n v="1"/>
    <n v="1.5"/>
    <n v="32.424999999999997"/>
    <n v="2965387370"/>
    <n v="0"/>
    <n v="29947980"/>
    <n v="2965387370"/>
    <n v="2995335350"/>
    <n v="98846245"/>
    <n v="0"/>
    <n v="998266"/>
    <n v="98846245"/>
    <n v="99844511"/>
    <m/>
    <n v="25.238099999999999"/>
    <n v="10.3376"/>
    <n v="5296.81"/>
    <m/>
    <s v=" 1759mb"/>
    <x v="5"/>
    <s v="1759"/>
  </r>
  <r>
    <s v="scaling_threads/step10121.txt"/>
    <x v="0"/>
    <n v="72"/>
    <s v="reclaimer_debra"/>
    <s v="allocator_new"/>
    <s v="pool_none"/>
    <n v="30000"/>
    <n v="0.5"/>
    <n v="0.5"/>
    <n v="0"/>
    <n v="1"/>
    <n v="200000000"/>
    <n v="24"/>
    <x v="0"/>
    <n v="24"/>
    <n v="0"/>
    <s v="insertIfAbsent"/>
    <n v="9999336599660550"/>
    <n v="99999745"/>
    <m/>
    <m/>
    <s v="success"/>
    <n v="7"/>
    <n v="12901762"/>
    <n v="113834361"/>
    <n v="126736123"/>
    <n v="99999745"/>
    <n v="9.8231599999999997"/>
    <n v="0.878467"/>
    <n v="1.78904"/>
    <n v="4.0386800000000003"/>
    <n v="851555864"/>
    <n v="0"/>
    <n v="8598824"/>
    <n v="851555864"/>
    <n v="860154688"/>
    <n v="28385195"/>
    <n v="0"/>
    <n v="286627"/>
    <n v="28385195"/>
    <n v="28671822"/>
    <m/>
    <n v="18.8657"/>
    <n v="8.1685599999999994"/>
    <n v="2333.83"/>
    <m/>
    <s v=" 7279mb"/>
    <x v="6"/>
    <s v="7279"/>
  </r>
  <r>
    <s v="scaling_threads/step10122.txt"/>
    <x v="0"/>
    <n v="72"/>
    <s v="reclaimer_debra"/>
    <s v="allocator_new"/>
    <s v="pool_none"/>
    <n v="30000"/>
    <n v="0.5"/>
    <n v="0.5"/>
    <n v="0"/>
    <n v="1"/>
    <n v="200000000"/>
    <n v="48"/>
    <x v="1"/>
    <n v="48"/>
    <n v="0"/>
    <s v="insertIfAbsent"/>
    <n v="1.0000673285338E+16"/>
    <n v="100000193"/>
    <m/>
    <m/>
    <s v="success"/>
    <n v="7"/>
    <n v="13860527"/>
    <n v="115842434"/>
    <n v="129702961"/>
    <n v="100000193"/>
    <n v="9.3577200000000005"/>
    <n v="0.86324299999999998"/>
    <n v="1.7709900000000001"/>
    <n v="4.0588600000000001"/>
    <n v="1475574014"/>
    <n v="0"/>
    <n v="14902326"/>
    <n v="1475574014"/>
    <n v="1490476340"/>
    <n v="49185800"/>
    <n v="0"/>
    <n v="496744"/>
    <n v="49185800"/>
    <n v="49682544"/>
    <m/>
    <n v="18.856999999999999"/>
    <n v="8.2159300000000002"/>
    <n v="2690.92"/>
    <m/>
    <s v=" 7472mb"/>
    <x v="6"/>
    <s v="7472"/>
  </r>
  <r>
    <s v="scaling_threads/step10123.txt"/>
    <x v="0"/>
    <n v="72"/>
    <s v="reclaimer_debra"/>
    <s v="allocator_new"/>
    <s v="pool_none"/>
    <n v="30000"/>
    <n v="0.5"/>
    <n v="0.5"/>
    <n v="0"/>
    <n v="1"/>
    <n v="200000000"/>
    <n v="96"/>
    <x v="2"/>
    <n v="96"/>
    <n v="0"/>
    <s v="insertIfAbsent"/>
    <n v="1.00002507843629E+16"/>
    <n v="99999205"/>
    <m/>
    <m/>
    <s v="success"/>
    <n v="7"/>
    <n v="14914798"/>
    <n v="118187128"/>
    <n v="133101926"/>
    <n v="99999205"/>
    <n v="8.9241499999999991"/>
    <n v="0.846109"/>
    <n v="1.7513000000000001"/>
    <n v="4.0815400000000004"/>
    <n v="2937642040"/>
    <n v="0"/>
    <n v="29669122"/>
    <n v="2937642040"/>
    <n v="2967311162"/>
    <n v="97921401"/>
    <n v="0"/>
    <n v="988970"/>
    <n v="97921401"/>
    <n v="98910372"/>
    <m/>
    <n v="19.1401"/>
    <n v="9.1138100000000009"/>
    <n v="2699.36"/>
    <m/>
    <s v=" 7889mb"/>
    <x v="6"/>
    <s v="7889"/>
  </r>
  <r>
    <s v="scaling_threads/step10124.txt"/>
    <x v="0"/>
    <n v="72"/>
    <s v="reclaimer_debra"/>
    <s v="allocator_new"/>
    <s v="pool_none"/>
    <n v="30000"/>
    <n v="0.5"/>
    <n v="0.5"/>
    <n v="0"/>
    <n v="1"/>
    <n v="200000000"/>
    <n v="144"/>
    <x v="3"/>
    <n v="144"/>
    <n v="0"/>
    <s v="insertIfAbsent"/>
    <n v="9999568533377620"/>
    <n v="99999511"/>
    <m/>
    <m/>
    <s v="success"/>
    <n v="7"/>
    <n v="14078764"/>
    <n v="116365192"/>
    <n v="130443956"/>
    <n v="99999511"/>
    <n v="9.2652999999999999"/>
    <n v="0.85935899999999998"/>
    <n v="1.76661"/>
    <n v="4.0613400000000004"/>
    <n v="4348864449"/>
    <n v="0"/>
    <n v="43919462"/>
    <n v="4348864449"/>
    <n v="4392783911"/>
    <n v="144962148"/>
    <n v="0"/>
    <n v="1463982"/>
    <n v="144962148"/>
    <n v="146426130"/>
    <m/>
    <n v="19.302299999999999"/>
    <n v="9.4047999999999998"/>
    <n v="2734.02"/>
    <m/>
    <s v=" 8642mb"/>
    <x v="6"/>
    <s v="8642"/>
  </r>
  <r>
    <s v="scaling_threads/step10125.txt"/>
    <x v="0"/>
    <n v="72"/>
    <s v="reclaimer_debra"/>
    <s v="allocator_new"/>
    <s v="pool_none"/>
    <n v="30000"/>
    <n v="0.5"/>
    <n v="0.5"/>
    <n v="0"/>
    <n v="1"/>
    <n v="200000000"/>
    <n v="190"/>
    <x v="4"/>
    <n v="190"/>
    <n v="0"/>
    <s v="insertIfAbsent"/>
    <n v="9999920596805950"/>
    <n v="99999828"/>
    <m/>
    <m/>
    <s v="success"/>
    <n v="7"/>
    <n v="12327219"/>
    <n v="112656856"/>
    <n v="124984075"/>
    <n v="99999828"/>
    <n v="10.1389"/>
    <n v="0.88765000000000005"/>
    <n v="1.8001"/>
    <n v="4.0267600000000003"/>
    <n v="5510597425"/>
    <n v="0"/>
    <n v="55653994"/>
    <n v="5510597425"/>
    <n v="5566251419"/>
    <n v="183686580"/>
    <n v="0"/>
    <n v="1855133"/>
    <n v="183686580"/>
    <n v="185541713"/>
    <m/>
    <n v="19.427"/>
    <n v="9.5263299999999997"/>
    <n v="2788.77"/>
    <m/>
    <s v=" 13352mb"/>
    <x v="6"/>
    <s v="13352"/>
  </r>
  <r>
    <s v="scaling_threads/step10126.txt"/>
    <x v="1"/>
    <n v="208"/>
    <s v="reclaimer_debra"/>
    <s v="allocator_new"/>
    <s v="pool_none"/>
    <n v="30000"/>
    <n v="0.5"/>
    <n v="0.5"/>
    <n v="0"/>
    <n v="1"/>
    <n v="200000000"/>
    <n v="24"/>
    <x v="0"/>
    <n v="24"/>
    <n v="0"/>
    <s v="insertIfAbsent"/>
    <n v="1.00001588783387E+16"/>
    <n v="100001453"/>
    <m/>
    <m/>
    <s v="success"/>
    <n v="10"/>
    <n v="1879848"/>
    <n v="12939902"/>
    <n v="14819750"/>
    <n v="100001453"/>
    <n v="7.8834799999999996"/>
    <n v="7.7281500000000003"/>
    <n v="7.7478499999999997"/>
    <n v="9"/>
    <n v="613538963"/>
    <n v="0"/>
    <n v="6200720"/>
    <n v="613538963"/>
    <n v="619739683"/>
    <n v="20451298"/>
    <n v="0"/>
    <n v="206690"/>
    <n v="20451298"/>
    <n v="20657989"/>
    <m/>
    <n v="23.594999999999999"/>
    <n v="9.6196199999999994"/>
    <n v="3236.71"/>
    <m/>
    <s v=" 4341mb"/>
    <x v="6"/>
    <s v="4341"/>
  </r>
  <r>
    <s v="scaling_threads/step10127.txt"/>
    <x v="1"/>
    <n v="208"/>
    <s v="reclaimer_debra"/>
    <s v="allocator_new"/>
    <s v="pool_none"/>
    <n v="30000"/>
    <n v="0.5"/>
    <n v="0.5"/>
    <n v="0"/>
    <n v="1"/>
    <n v="200000000"/>
    <n v="48"/>
    <x v="1"/>
    <n v="48"/>
    <n v="0"/>
    <s v="insertIfAbsent"/>
    <n v="1.0000320724256E+16"/>
    <n v="100001145"/>
    <m/>
    <m/>
    <s v="success"/>
    <n v="10"/>
    <n v="1900063"/>
    <n v="13073242"/>
    <n v="14973305"/>
    <n v="100001145"/>
    <n v="7.8804299999999996"/>
    <n v="7.6493000000000002"/>
    <n v="7.6786300000000001"/>
    <n v="9"/>
    <n v="1140001369"/>
    <n v="0"/>
    <n v="11518086"/>
    <n v="1140001369"/>
    <n v="1151519455"/>
    <n v="38000045"/>
    <n v="0"/>
    <n v="383936"/>
    <n v="38000045"/>
    <n v="38383981"/>
    <m/>
    <n v="23.4815"/>
    <n v="9.5582999999999991"/>
    <n v="3481.94"/>
    <m/>
    <s v=" 4479mb"/>
    <x v="6"/>
    <s v="4479"/>
  </r>
  <r>
    <s v="scaling_threads/step10128.txt"/>
    <x v="1"/>
    <n v="208"/>
    <s v="reclaimer_debra"/>
    <s v="allocator_new"/>
    <s v="pool_none"/>
    <n v="30000"/>
    <n v="0.5"/>
    <n v="0.5"/>
    <n v="0"/>
    <n v="1"/>
    <n v="200000000"/>
    <n v="96"/>
    <x v="2"/>
    <n v="96"/>
    <n v="0"/>
    <s v="insertIfAbsent"/>
    <n v="1.00003684416195E+16"/>
    <n v="99997925"/>
    <m/>
    <m/>
    <s v="success"/>
    <n v="10"/>
    <n v="1938241"/>
    <n v="13338281"/>
    <n v="15276522"/>
    <n v="99997925"/>
    <n v="7.88164"/>
    <n v="7.4970600000000003"/>
    <n v="7.5458600000000002"/>
    <n v="9"/>
    <n v="2367297362"/>
    <n v="0"/>
    <n v="23906388"/>
    <n v="2367297362"/>
    <n v="2391203750"/>
    <n v="78909912"/>
    <n v="0"/>
    <n v="796879"/>
    <n v="78909912"/>
    <n v="79706791"/>
    <m/>
    <n v="23.628900000000002"/>
    <n v="10.2384"/>
    <n v="3351.99"/>
    <m/>
    <s v=" 4719mb"/>
    <x v="6"/>
    <s v="4719"/>
  </r>
  <r>
    <s v="scaling_threads/step10129.txt"/>
    <x v="1"/>
    <n v="208"/>
    <s v="reclaimer_debra"/>
    <s v="allocator_new"/>
    <s v="pool_none"/>
    <n v="30000"/>
    <n v="0.5"/>
    <n v="0.5"/>
    <n v="0"/>
    <n v="1"/>
    <n v="200000000"/>
    <n v="144"/>
    <x v="3"/>
    <n v="144"/>
    <n v="0"/>
    <s v="insertIfAbsent"/>
    <n v="1.00006846277746E+16"/>
    <n v="100004739"/>
    <m/>
    <m/>
    <s v="success"/>
    <n v="10"/>
    <n v="1969019"/>
    <n v="13549179"/>
    <n v="15518198"/>
    <n v="100004739"/>
    <n v="7.8811799999999996"/>
    <n v="7.3808699999999998"/>
    <n v="7.44435"/>
    <n v="9"/>
    <n v="3524189123"/>
    <n v="0"/>
    <n v="35605011"/>
    <n v="3524189123"/>
    <n v="3559794134"/>
    <n v="117472970"/>
    <n v="0"/>
    <n v="1186833"/>
    <n v="117472970"/>
    <n v="118659804"/>
    <m/>
    <n v="23.7273"/>
    <n v="10.518000000000001"/>
    <n v="3370.37"/>
    <m/>
    <s v=" 4983mb"/>
    <x v="6"/>
    <s v="4983"/>
  </r>
  <r>
    <s v="scaling_threads/step10130.txt"/>
    <x v="1"/>
    <n v="208"/>
    <s v="reclaimer_debra"/>
    <s v="allocator_new"/>
    <s v="pool_none"/>
    <n v="30000"/>
    <n v="0.5"/>
    <n v="0.5"/>
    <n v="0"/>
    <n v="1"/>
    <n v="200000000"/>
    <n v="190"/>
    <x v="4"/>
    <n v="190"/>
    <n v="0"/>
    <s v="insertIfAbsent"/>
    <n v="9999141312752280"/>
    <n v="99996632"/>
    <m/>
    <m/>
    <s v="success"/>
    <n v="10"/>
    <n v="1994230"/>
    <n v="13718416"/>
    <n v="15712646"/>
    <n v="99996632"/>
    <n v="7.8790500000000003"/>
    <n v="7.2892299999999999"/>
    <n v="7.36409"/>
    <n v="9"/>
    <n v="4599479116"/>
    <n v="0"/>
    <n v="46452458"/>
    <n v="4599479116"/>
    <n v="4645931574"/>
    <n v="153315970"/>
    <n v="0"/>
    <n v="1548415"/>
    <n v="153315970"/>
    <n v="154864385"/>
    <m/>
    <n v="23.812799999999999"/>
    <n v="10.773899999999999"/>
    <n v="3408.79"/>
    <m/>
    <s v=" 5369mb"/>
    <x v="6"/>
    <s v="5369"/>
  </r>
  <r>
    <s v="scaling_threads/step10131.txt"/>
    <x v="2"/>
    <m/>
    <s v="reclaimer_debra"/>
    <s v="allocator_new"/>
    <s v="pool_none"/>
    <n v="30000"/>
    <n v="0.5"/>
    <n v="0.5"/>
    <n v="0"/>
    <n v="1"/>
    <n v="200000000"/>
    <n v="24"/>
    <x v="0"/>
    <n v="24"/>
    <n v="0"/>
    <s v="insertIfAbsent"/>
    <n v="9999648348731770"/>
    <n v="99999957"/>
    <m/>
    <m/>
    <s v="success"/>
    <n v="33"/>
    <n v="57298079"/>
    <n v="42989243"/>
    <n v="100287322"/>
    <n v="99999957"/>
    <n v="1.75027"/>
    <n v="2.3261599999999998"/>
    <n v="1.9971300000000001"/>
    <n v="26.101600000000001"/>
    <n v="267057532"/>
    <n v="0"/>
    <n v="2697270"/>
    <n v="267057532"/>
    <n v="269754802"/>
    <n v="8901917"/>
    <n v="0"/>
    <n v="89909"/>
    <n v="8901917"/>
    <n v="8991826"/>
    <m/>
    <n v="39.995899999999999"/>
    <n v="18.493400000000001"/>
    <n v="7435.55"/>
    <m/>
    <s v=" 7545mb"/>
    <x v="6"/>
    <s v="7545"/>
  </r>
  <r>
    <s v="scaling_threads/step10132.txt"/>
    <x v="2"/>
    <m/>
    <s v="reclaimer_debra"/>
    <s v="allocator_new"/>
    <s v="pool_none"/>
    <n v="30000"/>
    <n v="0.5"/>
    <n v="0.5"/>
    <n v="0"/>
    <n v="1"/>
    <n v="200000000"/>
    <n v="48"/>
    <x v="1"/>
    <n v="48"/>
    <n v="0"/>
    <s v="insertIfAbsent"/>
    <n v="1.0000332042625E+16"/>
    <n v="100001145"/>
    <m/>
    <m/>
    <s v="success"/>
    <n v="33"/>
    <n v="57441966"/>
    <n v="43100680"/>
    <n v="100542646"/>
    <n v="100001145"/>
    <n v="1.7503299999999999"/>
    <n v="2.3201800000000001"/>
    <n v="1.99461"/>
    <n v="26.1632"/>
    <n v="507961294"/>
    <n v="0"/>
    <n v="5130631"/>
    <n v="507961294"/>
    <n v="513091925"/>
    <n v="16932043"/>
    <n v="0"/>
    <n v="171021"/>
    <n v="16932043"/>
    <n v="17103064"/>
    <m/>
    <n v="40.625599999999999"/>
    <n v="18.503"/>
    <n v="7816.56"/>
    <m/>
    <s v=" 7568mb"/>
    <x v="6"/>
    <s v="7568"/>
  </r>
  <r>
    <s v="scaling_threads/step10133.txt"/>
    <x v="2"/>
    <m/>
    <s v="reclaimer_debra"/>
    <s v="allocator_new"/>
    <s v="pool_none"/>
    <n v="30000"/>
    <n v="0.5"/>
    <n v="0.5"/>
    <n v="0"/>
    <n v="1"/>
    <n v="200000000"/>
    <n v="96"/>
    <x v="2"/>
    <n v="96"/>
    <n v="0"/>
    <s v="insertIfAbsent"/>
    <n v="9999699119141100"/>
    <n v="100001046"/>
    <m/>
    <m/>
    <s v="success"/>
    <n v="33"/>
    <n v="57742897"/>
    <n v="43355073"/>
    <n v="101097970"/>
    <n v="100001046"/>
    <n v="1.7508300000000001"/>
    <n v="2.3065600000000002"/>
    <n v="1.98915"/>
    <n v="26.069099999999999"/>
    <n v="1043529899"/>
    <n v="0"/>
    <n v="10540141"/>
    <n v="1043529899"/>
    <n v="1054070040"/>
    <n v="34784329"/>
    <n v="0"/>
    <n v="351338"/>
    <n v="34784329"/>
    <n v="35135668"/>
    <m/>
    <n v="41.2348"/>
    <n v="19.573399999999999"/>
    <n v="7607.42"/>
    <m/>
    <s v=" 7618mb"/>
    <x v="6"/>
    <s v="7618"/>
  </r>
  <r>
    <s v="scaling_threads/step10134.txt"/>
    <x v="2"/>
    <m/>
    <s v="reclaimer_debra"/>
    <s v="allocator_new"/>
    <s v="pool_none"/>
    <n v="30000"/>
    <n v="0.5"/>
    <n v="0.5"/>
    <n v="0"/>
    <n v="1"/>
    <n v="200000000"/>
    <n v="144"/>
    <x v="3"/>
    <n v="144"/>
    <n v="0"/>
    <s v="insertIfAbsent"/>
    <n v="1.00001401051356E+16"/>
    <n v="100000331"/>
    <m/>
    <m/>
    <s v="success"/>
    <n v="33"/>
    <n v="58032932"/>
    <n v="43595936"/>
    <n v="101628868"/>
    <n v="100000331"/>
    <n v="1.7512300000000001"/>
    <n v="2.2938000000000001"/>
    <n v="1.9839800000000001"/>
    <n v="26.083400000000001"/>
    <n v="1572027504"/>
    <n v="0"/>
    <n v="15880617"/>
    <n v="1572027504"/>
    <n v="1587908121"/>
    <n v="52400916"/>
    <n v="0"/>
    <n v="529353"/>
    <n v="52400916"/>
    <n v="52930270"/>
    <m/>
    <n v="40.993600000000001"/>
    <n v="19.9175"/>
    <n v="7573.79"/>
    <m/>
    <s v=" 7666mb"/>
    <x v="6"/>
    <s v="7666"/>
  </r>
  <r>
    <s v="scaling_threads/step10135.txt"/>
    <x v="2"/>
    <m/>
    <s v="reclaimer_debra"/>
    <s v="allocator_new"/>
    <s v="pool_none"/>
    <n v="30000"/>
    <n v="0.5"/>
    <n v="0.5"/>
    <n v="0"/>
    <n v="1"/>
    <n v="200000000"/>
    <n v="190"/>
    <x v="4"/>
    <n v="190"/>
    <n v="0"/>
    <s v="insertIfAbsent"/>
    <n v="1.00000805490275E+16"/>
    <n v="100003243"/>
    <m/>
    <m/>
    <s v="success"/>
    <n v="33"/>
    <n v="58303380"/>
    <n v="43824983"/>
    <n v="102128363"/>
    <n v="100003243"/>
    <n v="1.7516700000000001"/>
    <n v="2.2818800000000001"/>
    <n v="1.97919"/>
    <n v="26.2501"/>
    <n v="2078021194"/>
    <n v="0"/>
    <n v="20987810"/>
    <n v="2078021194"/>
    <n v="2099009004"/>
    <n v="69267373"/>
    <n v="0"/>
    <n v="699593"/>
    <n v="69267373"/>
    <n v="69966966"/>
    <m/>
    <n v="41.389699999999998"/>
    <n v="20.101600000000001"/>
    <n v="7558.77"/>
    <m/>
    <s v=" 7710mb"/>
    <x v="6"/>
    <s v="7710"/>
  </r>
  <r>
    <s v="scaling_threads/step10136.txt"/>
    <x v="3"/>
    <m/>
    <s v="reclaimer_debra"/>
    <s v="allocator_new"/>
    <s v="pool_none"/>
    <n v="30000"/>
    <n v="0.5"/>
    <n v="0.5"/>
    <n v="0"/>
    <n v="1"/>
    <n v="200000000"/>
    <n v="24"/>
    <x v="0"/>
    <n v="24"/>
    <n v="0"/>
    <s v="insertIfAbsent"/>
    <n v="9999918119568260"/>
    <n v="100001100"/>
    <m/>
    <m/>
    <s v="success"/>
    <n v="67"/>
    <n v="100001099"/>
    <n v="100001100"/>
    <n v="200002199"/>
    <n v="100001100"/>
    <n v="2"/>
    <n v="1"/>
    <n v="1.5"/>
    <n v="35.195999999999998"/>
    <n v="219043169"/>
    <n v="0"/>
    <n v="2211890"/>
    <n v="219043169"/>
    <n v="221255059"/>
    <n v="7301438"/>
    <n v="0"/>
    <n v="73729"/>
    <n v="7301438"/>
    <n v="7375168"/>
    <m/>
    <n v="38.055300000000003"/>
    <n v="18.520299999999999"/>
    <n v="9068.19"/>
    <m/>
    <s v=" 7527mb"/>
    <x v="6"/>
    <s v="7527"/>
  </r>
  <r>
    <s v="scaling_threads/step10137.txt"/>
    <x v="3"/>
    <m/>
    <s v="reclaimer_debra"/>
    <s v="allocator_new"/>
    <s v="pool_none"/>
    <n v="30000"/>
    <n v="0.5"/>
    <n v="0.5"/>
    <n v="0"/>
    <n v="1"/>
    <n v="200000000"/>
    <n v="48"/>
    <x v="1"/>
    <n v="48"/>
    <n v="0"/>
    <s v="insertIfAbsent"/>
    <n v="1.00001328764059E+16"/>
    <n v="99999965"/>
    <m/>
    <m/>
    <s v="success"/>
    <n v="68"/>
    <n v="99999964"/>
    <n v="99999965"/>
    <n v="199999929"/>
    <n v="99999965"/>
    <n v="2"/>
    <n v="1"/>
    <n v="1.5"/>
    <n v="35.396599999999999"/>
    <n v="426562350"/>
    <n v="0"/>
    <n v="4311430"/>
    <n v="426562350"/>
    <n v="430873780"/>
    <n v="14218745"/>
    <n v="0"/>
    <n v="143714"/>
    <n v="14218745"/>
    <n v="14362459"/>
    <m/>
    <n v="37.824100000000001"/>
    <n v="18.321300000000001"/>
    <n v="9308.6299999999992"/>
    <m/>
    <s v=" 7534mb"/>
    <x v="6"/>
    <s v="7534"/>
  </r>
  <r>
    <s v="scaling_threads/step10138.txt"/>
    <x v="3"/>
    <m/>
    <s v="reclaimer_debra"/>
    <s v="allocator_new"/>
    <s v="pool_none"/>
    <n v="30000"/>
    <n v="0.5"/>
    <n v="0.5"/>
    <n v="0"/>
    <n v="1"/>
    <n v="200000000"/>
    <n v="96"/>
    <x v="2"/>
    <n v="96"/>
    <n v="0"/>
    <s v="insertIfAbsent"/>
    <n v="1.00002292819014E+16"/>
    <n v="100000950"/>
    <m/>
    <m/>
    <s v="success"/>
    <n v="76"/>
    <n v="100000949"/>
    <n v="100000950"/>
    <n v="200001899"/>
    <n v="100000950"/>
    <n v="2"/>
    <n v="1"/>
    <n v="1.5"/>
    <n v="38.906199999999998"/>
    <n v="869875571"/>
    <n v="0"/>
    <n v="8787595"/>
    <n v="869875571"/>
    <n v="878663166"/>
    <n v="28995852"/>
    <n v="0"/>
    <n v="292919"/>
    <n v="28995852"/>
    <n v="29288772"/>
    <m/>
    <n v="38.154499999999999"/>
    <n v="18.8872"/>
    <n v="9128.67"/>
    <m/>
    <s v=" 7549mb"/>
    <x v="6"/>
    <s v="7549"/>
  </r>
  <r>
    <s v="scaling_threads/step10139.txt"/>
    <x v="3"/>
    <m/>
    <s v="reclaimer_debra"/>
    <s v="allocator_new"/>
    <s v="pool_none"/>
    <n v="30000"/>
    <n v="0.5"/>
    <n v="0.5"/>
    <n v="0"/>
    <n v="1"/>
    <n v="200000000"/>
    <n v="144"/>
    <x v="3"/>
    <n v="144"/>
    <n v="0"/>
    <s v="insertIfAbsent"/>
    <n v="9999801748842680"/>
    <n v="100001562"/>
    <m/>
    <m/>
    <s v="success"/>
    <n v="71"/>
    <n v="100001561"/>
    <n v="100001562"/>
    <n v="200003123"/>
    <n v="100001562"/>
    <n v="2"/>
    <n v="1"/>
    <n v="1.5"/>
    <n v="35.756100000000004"/>
    <n v="1319578284"/>
    <n v="0"/>
    <n v="13327517"/>
    <n v="1319578284"/>
    <n v="1332905801"/>
    <n v="43985942"/>
    <n v="0"/>
    <n v="444250"/>
    <n v="43985942"/>
    <n v="44430193"/>
    <m/>
    <n v="38.154600000000002"/>
    <n v="19.1616"/>
    <n v="9024.36"/>
    <m/>
    <s v=" 7564mb"/>
    <x v="6"/>
    <s v="7564"/>
  </r>
  <r>
    <s v="scaling_threads/step10140.txt"/>
    <x v="3"/>
    <m/>
    <s v="reclaimer_debra"/>
    <s v="allocator_new"/>
    <s v="pool_none"/>
    <n v="30000"/>
    <n v="0.5"/>
    <n v="0.5"/>
    <n v="0"/>
    <n v="1"/>
    <n v="200000000"/>
    <n v="190"/>
    <x v="4"/>
    <n v="190"/>
    <n v="0"/>
    <s v="insertIfAbsent"/>
    <n v="1.00003237380176E+16"/>
    <n v="100002324"/>
    <m/>
    <m/>
    <s v="success"/>
    <n v="73"/>
    <n v="100002323"/>
    <n v="100002324"/>
    <n v="200004647"/>
    <n v="100002324"/>
    <n v="2"/>
    <n v="1"/>
    <n v="1.5"/>
    <n v="36.408299999999997"/>
    <n v="1760306499"/>
    <n v="0"/>
    <n v="17779379"/>
    <n v="1760306499"/>
    <n v="1778085878"/>
    <n v="58676883"/>
    <n v="0"/>
    <n v="592645"/>
    <n v="58676883"/>
    <n v="59269529"/>
    <m/>
    <n v="38.424700000000001"/>
    <n v="19.338200000000001"/>
    <n v="8927.57"/>
    <m/>
    <s v=" 7576mb"/>
    <x v="6"/>
    <s v="7576"/>
  </r>
  <r>
    <s v="scaling_threads/step10141.txt"/>
    <x v="0"/>
    <n v="72"/>
    <s v="reclaimer_debra"/>
    <s v="allocator_new"/>
    <s v="pool_none"/>
    <n v="30000"/>
    <n v="0.5"/>
    <n v="0.5"/>
    <n v="0"/>
    <n v="1"/>
    <n v="2000000000"/>
    <n v="24"/>
    <x v="0"/>
    <n v="24"/>
    <n v="0"/>
    <s v="insertIfAbsent"/>
    <n v="9.9999293362094195E+17"/>
    <n v="999999722"/>
    <m/>
    <m/>
    <s v="success"/>
    <n v="7"/>
    <n v="85837536"/>
    <n v="1081551446"/>
    <n v="1167388982"/>
    <n v="999999722"/>
    <n v="13.6"/>
    <n v="0.924597"/>
    <n v="1.8566100000000001"/>
    <n v="4.0027499999999998"/>
    <n v="546315353"/>
    <n v="0"/>
    <n v="5515940"/>
    <n v="546315353"/>
    <n v="551831293"/>
    <n v="18210511"/>
    <n v="0"/>
    <n v="183864"/>
    <n v="18210511"/>
    <n v="18394376"/>
    <m/>
    <n v="22.013300000000001"/>
    <n v="12.8186"/>
    <n v="3635.97"/>
    <m/>
    <s v=" 59298mb"/>
    <x v="7"/>
    <s v="59298"/>
  </r>
  <r>
    <s v="scaling_threads/step10142.txt"/>
    <x v="0"/>
    <n v="72"/>
    <s v="reclaimer_debra"/>
    <s v="allocator_new"/>
    <s v="pool_none"/>
    <n v="30000"/>
    <n v="0.5"/>
    <n v="0.5"/>
    <n v="0"/>
    <n v="1"/>
    <n v="2000000000"/>
    <n v="48"/>
    <x v="1"/>
    <n v="48"/>
    <n v="0"/>
    <s v="insertIfAbsent"/>
    <n v="1.00000268746887E+18"/>
    <n v="999998684"/>
    <m/>
    <m/>
    <s v="success"/>
    <n v="7"/>
    <n v="86939378"/>
    <n v="1083759520"/>
    <n v="1170698898"/>
    <n v="999998684"/>
    <n v="13.4657"/>
    <n v="0.92271300000000001"/>
    <n v="1.85419"/>
    <n v="4.0049700000000001"/>
    <n v="987811829"/>
    <n v="0"/>
    <n v="9977178"/>
    <n v="987811829"/>
    <n v="997789007"/>
    <n v="32927060"/>
    <n v="0"/>
    <n v="332572"/>
    <n v="32927060"/>
    <n v="33259633"/>
    <m/>
    <n v="21.8597"/>
    <n v="12.796900000000001"/>
    <n v="4021.13"/>
    <m/>
    <s v=" 59548mb"/>
    <x v="7"/>
    <s v="59548"/>
  </r>
  <r>
    <s v="scaling_threads/step10143.txt"/>
    <x v="0"/>
    <n v="72"/>
    <s v="reclaimer_debra"/>
    <s v="allocator_new"/>
    <s v="pool_none"/>
    <n v="30000"/>
    <n v="0.5"/>
    <n v="0.5"/>
    <n v="0"/>
    <n v="1"/>
    <n v="2000000000"/>
    <n v="96"/>
    <x v="2"/>
    <n v="96"/>
    <n v="0"/>
    <s v="insertIfAbsent"/>
    <n v="1.00002391041472E+18"/>
    <n v="1000002631"/>
    <m/>
    <m/>
    <s v="success"/>
    <n v="7"/>
    <n v="89852361"/>
    <n v="1089609794"/>
    <n v="1179462155"/>
    <n v="1000002631"/>
    <n v="13.1267"/>
    <n v="0.91776199999999997"/>
    <n v="1.84785"/>
    <n v="4.0108600000000001"/>
    <n v="2173271566"/>
    <n v="0"/>
    <n v="21958736"/>
    <n v="2173271566"/>
    <n v="2195230302"/>
    <n v="72442385"/>
    <n v="0"/>
    <n v="731957"/>
    <n v="72442385"/>
    <n v="73174343"/>
    <m/>
    <n v="21.9147"/>
    <n v="13.5174"/>
    <n v="3652.83"/>
    <m/>
    <s v=" 60125mb"/>
    <x v="7"/>
    <s v="60125"/>
  </r>
  <r>
    <s v="scaling_threads/step10144.txt"/>
    <x v="0"/>
    <n v="72"/>
    <s v="reclaimer_debra"/>
    <s v="allocator_new"/>
    <s v="pool_none"/>
    <n v="30000"/>
    <n v="0.5"/>
    <n v="0.5"/>
    <n v="0"/>
    <n v="1"/>
    <n v="2000000000"/>
    <n v="144"/>
    <x v="3"/>
    <n v="144"/>
    <n v="0"/>
    <s v="insertIfAbsent"/>
    <n v="9.9998200937438003E+17"/>
    <n v="999998059"/>
    <m/>
    <m/>
    <s v="success"/>
    <n v="7"/>
    <n v="92457031"/>
    <n v="1094858203"/>
    <n v="1187315234"/>
    <n v="999998059"/>
    <n v="12.841799999999999"/>
    <n v="0.91335900000000003"/>
    <n v="1.84223"/>
    <n v="4.0161699999999998"/>
    <n v="3262959882"/>
    <n v="0"/>
    <n v="32959891"/>
    <n v="3262959882"/>
    <n v="3295919773"/>
    <n v="108765329"/>
    <n v="0"/>
    <n v="1098663"/>
    <n v="108765329"/>
    <n v="109863992"/>
    <m/>
    <n v="21.896699999999999"/>
    <n v="13.7525"/>
    <n v="3649.24"/>
    <m/>
    <s v=" 60697mb"/>
    <x v="7"/>
    <s v="60697"/>
  </r>
  <r>
    <s v="scaling_threads/step10145.txt"/>
    <x v="0"/>
    <n v="72"/>
    <s v="reclaimer_debra"/>
    <s v="allocator_new"/>
    <s v="pool_none"/>
    <n v="30000"/>
    <n v="0.5"/>
    <n v="0.5"/>
    <n v="0"/>
    <n v="1"/>
    <n v="2000000000"/>
    <n v="190"/>
    <x v="4"/>
    <n v="190"/>
    <n v="0"/>
    <s v="insertIfAbsent"/>
    <n v="9.9998767814717299E+17"/>
    <n v="1000000337"/>
    <m/>
    <m/>
    <s v="success"/>
    <n v="7"/>
    <n v="94761754"/>
    <n v="1099515882"/>
    <n v="1194277636"/>
    <n v="1000000337"/>
    <n v="12.6029"/>
    <n v="0.90949100000000005"/>
    <n v="1.8373299999999999"/>
    <n v="4.0209000000000001"/>
    <n v="4252352055"/>
    <n v="0"/>
    <n v="42940626"/>
    <n v="4252352055"/>
    <n v="4295292681"/>
    <n v="141745068"/>
    <n v="0"/>
    <n v="1431354"/>
    <n v="141745068"/>
    <n v="143176422"/>
    <m/>
    <n v="21.983000000000001"/>
    <n v="13.893000000000001"/>
    <n v="3691.53"/>
    <m/>
    <s v=" 61130mb"/>
    <x v="7"/>
    <s v="61130"/>
  </r>
  <r>
    <s v="scaling_threads/step10146.txt"/>
    <x v="1"/>
    <n v="208"/>
    <s v="reclaimer_debra"/>
    <s v="allocator_new"/>
    <s v="pool_none"/>
    <n v="30000"/>
    <n v="0.5"/>
    <n v="0.5"/>
    <n v="0"/>
    <n v="1"/>
    <n v="2000000000"/>
    <n v="24"/>
    <x v="0"/>
    <n v="24"/>
    <n v="0"/>
    <s v="insertIfAbsent"/>
    <n v="9.9999193016527603E+17"/>
    <n v="1000001351"/>
    <m/>
    <m/>
    <s v="success"/>
    <n v="12"/>
    <n v="18557955"/>
    <n v="127697093"/>
    <n v="146255048"/>
    <n v="1000001351"/>
    <n v="7.8809899999999997"/>
    <n v="7.8310399999999998"/>
    <n v="7.8373799999999996"/>
    <n v="11"/>
    <n v="383708907"/>
    <n v="0"/>
    <n v="3871879"/>
    <n v="383708907"/>
    <n v="387580786"/>
    <n v="12790296"/>
    <n v="0"/>
    <n v="129062"/>
    <n v="12790296"/>
    <n v="12919359"/>
    <m/>
    <n v="30.5153"/>
    <n v="17.277899999999999"/>
    <n v="5174.62"/>
    <m/>
    <s v=" 33278mb"/>
    <x v="7"/>
    <s v="33278"/>
  </r>
  <r>
    <s v="scaling_threads/step10147.txt"/>
    <x v="1"/>
    <n v="208"/>
    <s v="reclaimer_debra"/>
    <s v="allocator_new"/>
    <s v="pool_none"/>
    <n v="30000"/>
    <n v="0.5"/>
    <n v="0.5"/>
    <n v="0"/>
    <n v="1"/>
    <n v="2000000000"/>
    <n v="48"/>
    <x v="1"/>
    <n v="48"/>
    <n v="0"/>
    <s v="insertIfAbsent"/>
    <n v="9.9997150996715098E+17"/>
    <n v="999998822"/>
    <m/>
    <m/>
    <s v="success"/>
    <n v="12"/>
    <n v="18572317"/>
    <n v="127805248"/>
    <n v="146377565"/>
    <n v="999998822"/>
    <n v="7.8814900000000003"/>
    <n v="7.8243999999999998"/>
    <n v="7.8316400000000002"/>
    <n v="11"/>
    <n v="726677096"/>
    <n v="0"/>
    <n v="7336694"/>
    <n v="726677096"/>
    <n v="734013790"/>
    <n v="24222569"/>
    <n v="0"/>
    <n v="244556"/>
    <n v="24222569"/>
    <n v="24467126"/>
    <m/>
    <n v="30.280200000000001"/>
    <n v="17.1173"/>
    <n v="5462.91"/>
    <m/>
    <s v=" 33417mb"/>
    <x v="7"/>
    <s v="33417"/>
  </r>
  <r>
    <s v="scaling_threads/step10148.txt"/>
    <x v="1"/>
    <n v="208"/>
    <s v="reclaimer_debra"/>
    <s v="allocator_new"/>
    <s v="pool_none"/>
    <n v="30000"/>
    <n v="0.5"/>
    <n v="0.5"/>
    <n v="0"/>
    <n v="1"/>
    <n v="2000000000"/>
    <n v="96"/>
    <x v="2"/>
    <n v="96"/>
    <n v="0"/>
    <s v="insertIfAbsent"/>
    <n v="1.0000064605809201E+18"/>
    <n v="1000002640"/>
    <m/>
    <m/>
    <s v="success"/>
    <n v="12"/>
    <n v="18606238"/>
    <n v="128040636"/>
    <n v="146646874"/>
    <n v="1000002640"/>
    <n v="7.8815999999999997"/>
    <n v="7.8100399999999999"/>
    <n v="7.8191199999999998"/>
    <n v="11"/>
    <n v="1460086624"/>
    <n v="0"/>
    <n v="14749197"/>
    <n v="1460086624"/>
    <n v="1474835821"/>
    <n v="48669554"/>
    <n v="0"/>
    <n v="491639"/>
    <n v="48669554"/>
    <n v="49161194"/>
    <m/>
    <n v="30.520199999999999"/>
    <n v="17.568000000000001"/>
    <n v="5437.32"/>
    <m/>
    <s v=" 33709mb"/>
    <x v="7"/>
    <s v="33709"/>
  </r>
  <r>
    <s v="scaling_threads/step10149.txt"/>
    <x v="1"/>
    <n v="208"/>
    <s v="reclaimer_debra"/>
    <s v="allocator_new"/>
    <s v="pool_none"/>
    <n v="30000"/>
    <n v="0.5"/>
    <n v="0.5"/>
    <n v="0"/>
    <n v="1"/>
    <n v="2000000000"/>
    <n v="144"/>
    <x v="3"/>
    <n v="144"/>
    <n v="0"/>
    <s v="insertIfAbsent"/>
    <n v="1.00000418028354E+18"/>
    <n v="1000003928"/>
    <m/>
    <m/>
    <s v="success"/>
    <n v="12"/>
    <n v="18636153"/>
    <n v="128253948"/>
    <n v="146890101"/>
    <n v="1000003928"/>
    <n v="7.8819999999999997"/>
    <n v="7.7970600000000001"/>
    <n v="7.8078399999999997"/>
    <n v="11"/>
    <n v="2177592792"/>
    <n v="0"/>
    <n v="21989027"/>
    <n v="2177592792"/>
    <n v="2199581819"/>
    <n v="72586426"/>
    <n v="0"/>
    <n v="732967"/>
    <n v="72586426"/>
    <n v="73319393"/>
    <m/>
    <n v="30.755700000000001"/>
    <n v="17.7348"/>
    <n v="5467.44"/>
    <m/>
    <s v=" 33995mb"/>
    <x v="7"/>
    <s v="33995"/>
  </r>
  <r>
    <s v="scaling_threads/step10150.txt"/>
    <x v="1"/>
    <n v="208"/>
    <s v="reclaimer_debra"/>
    <s v="allocator_new"/>
    <s v="pool_none"/>
    <n v="30000"/>
    <n v="0.5"/>
    <n v="0.5"/>
    <n v="0"/>
    <n v="1"/>
    <n v="2000000000"/>
    <n v="190"/>
    <x v="4"/>
    <n v="190"/>
    <n v="0"/>
    <s v="insertIfAbsent"/>
    <n v="9.9998322672299699E+17"/>
    <n v="999995370"/>
    <m/>
    <m/>
    <s v="success"/>
    <n v="12"/>
    <n v="18668382"/>
    <n v="128464274"/>
    <n v="147132656"/>
    <n v="999995370"/>
    <n v="7.8813800000000001"/>
    <n v="7.78423"/>
    <n v="7.7965600000000004"/>
    <n v="11"/>
    <n v="2864479153"/>
    <n v="0"/>
    <n v="28924867"/>
    <n v="2864479153"/>
    <n v="2893404020"/>
    <n v="95482638"/>
    <n v="0"/>
    <n v="964162"/>
    <n v="95482638"/>
    <n v="96446800"/>
    <m/>
    <n v="30.8172"/>
    <n v="17.835000000000001"/>
    <n v="5483.34"/>
    <m/>
    <s v=" 34351mb"/>
    <x v="7"/>
    <s v="34351"/>
  </r>
  <r>
    <s v="scaling_threads/step10151.txt"/>
    <x v="2"/>
    <m/>
    <s v="reclaimer_debra"/>
    <s v="allocator_new"/>
    <s v="pool_none"/>
    <n v="30000"/>
    <n v="0.5"/>
    <n v="0.5"/>
    <n v="0"/>
    <n v="1"/>
    <n v="2000000000"/>
    <n v="24"/>
    <x v="0"/>
    <n v="24"/>
    <n v="0"/>
    <s v="insertIfAbsent"/>
    <m/>
    <m/>
    <m/>
    <m/>
    <m/>
    <m/>
    <m/>
    <m/>
    <m/>
    <m/>
    <m/>
    <m/>
    <m/>
    <m/>
    <m/>
    <m/>
    <m/>
    <m/>
    <m/>
    <m/>
    <m/>
    <m/>
    <m/>
    <m/>
    <m/>
    <m/>
    <m/>
    <m/>
    <m/>
    <s v=" mb"/>
    <x v="7"/>
    <s v=""/>
  </r>
  <r>
    <s v="scaling_threads/step10152.txt"/>
    <x v="2"/>
    <m/>
    <s v="reclaimer_debra"/>
    <s v="allocator_new"/>
    <s v="pool_none"/>
    <n v="30000"/>
    <n v="0.5"/>
    <n v="0.5"/>
    <n v="0"/>
    <n v="1"/>
    <n v="2000000000"/>
    <n v="48"/>
    <x v="1"/>
    <n v="48"/>
    <n v="0"/>
    <s v="insertIfAbsent"/>
    <n v="1.00002253751099E+18"/>
    <n v="1000002635"/>
    <m/>
    <m/>
    <s v="success"/>
    <n v="37"/>
    <n v="571630028"/>
    <n v="428738684"/>
    <n v="1000368712"/>
    <n v="1000002635"/>
    <n v="1.75003"/>
    <n v="2.33243"/>
    <n v="1.99963"/>
    <n v="29.439299999999999"/>
    <n v="339805134"/>
    <n v="0"/>
    <n v="3429788"/>
    <n v="339805134"/>
    <n v="343234922"/>
    <n v="11326837"/>
    <n v="0"/>
    <n v="114326"/>
    <n v="11326837"/>
    <n v="11441164"/>
    <m/>
    <n v="55.096400000000003"/>
    <n v="31.0275"/>
    <n v="11685.5"/>
    <m/>
    <s v=" 65675mb"/>
    <x v="7"/>
    <s v="65675"/>
  </r>
  <r>
    <s v="scaling_threads/step10153.txt"/>
    <x v="2"/>
    <m/>
    <s v="reclaimer_debra"/>
    <s v="allocator_new"/>
    <s v="pool_none"/>
    <n v="30000"/>
    <n v="0.5"/>
    <n v="0.5"/>
    <n v="0"/>
    <n v="1"/>
    <n v="2000000000"/>
    <n v="96"/>
    <x v="2"/>
    <n v="96"/>
    <n v="0"/>
    <s v="insertIfAbsent"/>
    <n v="1.00000437303682E+18"/>
    <n v="1000000045"/>
    <m/>
    <m/>
    <s v="success"/>
    <n v="37"/>
    <n v="571833640"/>
    <n v="428902587"/>
    <n v="1000736227"/>
    <n v="1000000045"/>
    <n v="1.7500500000000001"/>
    <n v="2.3315299999999999"/>
    <n v="1.99926"/>
    <n v="29.424600000000002"/>
    <n v="682048205"/>
    <n v="0"/>
    <n v="6891394"/>
    <n v="682048205"/>
    <n v="688939599"/>
    <n v="22734940"/>
    <n v="0"/>
    <n v="229713"/>
    <n v="22734940"/>
    <n v="22964653"/>
    <m/>
    <n v="55.317999999999998"/>
    <n v="31.302900000000001"/>
    <n v="11647"/>
    <m/>
    <s v=" 65714mb"/>
    <x v="7"/>
    <s v="65714"/>
  </r>
  <r>
    <s v="scaling_threads/step10154.txt"/>
    <x v="2"/>
    <m/>
    <s v="reclaimer_debra"/>
    <s v="allocator_new"/>
    <s v="pool_none"/>
    <n v="30000"/>
    <n v="0.5"/>
    <n v="0.5"/>
    <n v="0"/>
    <n v="1"/>
    <n v="2000000000"/>
    <n v="144"/>
    <x v="3"/>
    <n v="144"/>
    <n v="0"/>
    <s v="insertIfAbsent"/>
    <n v="1.00000778238827E+18"/>
    <n v="999999559"/>
    <m/>
    <m/>
    <s v="success"/>
    <n v="37"/>
    <n v="572021574"/>
    <n v="429075869"/>
    <n v="1001097443"/>
    <n v="999999559"/>
    <n v="1.7501"/>
    <n v="2.3305899999999999"/>
    <n v="1.9988999999999999"/>
    <n v="29.474399999999999"/>
    <n v="1016810573"/>
    <n v="0"/>
    <n v="10270808"/>
    <n v="1016810573"/>
    <n v="1027081381"/>
    <n v="33893685"/>
    <n v="0"/>
    <n v="342360"/>
    <n v="33893685"/>
    <n v="34236046"/>
    <m/>
    <n v="55.538899999999998"/>
    <n v="31.457599999999999"/>
    <n v="11716.3"/>
    <m/>
    <s v=" 65751mb"/>
    <x v="7"/>
    <s v="65751"/>
  </r>
  <r>
    <s v="scaling_threads/step10155.txt"/>
    <x v="2"/>
    <m/>
    <s v="reclaimer_debra"/>
    <s v="allocator_new"/>
    <s v="pool_none"/>
    <n v="30000"/>
    <n v="0.5"/>
    <n v="0.5"/>
    <n v="0"/>
    <n v="1"/>
    <n v="2000000000"/>
    <n v="190"/>
    <x v="4"/>
    <n v="190"/>
    <n v="0"/>
    <s v="insertIfAbsent"/>
    <n v="1.00001118311579E+18"/>
    <n v="999995430"/>
    <m/>
    <m/>
    <s v="success"/>
    <n v="37"/>
    <n v="572215876"/>
    <n v="429230665"/>
    <n v="1001446541"/>
    <n v="999995430"/>
    <n v="1.7501199999999999"/>
    <n v="2.3297400000000001"/>
    <n v="1.99855"/>
    <n v="29.445499999999999"/>
    <n v="1345051274"/>
    <n v="0"/>
    <n v="13584335"/>
    <n v="1345051274"/>
    <n v="1358635609"/>
    <n v="44835042"/>
    <n v="0"/>
    <n v="452811"/>
    <n v="44835042"/>
    <n v="45287853"/>
    <m/>
    <n v="55.641300000000001"/>
    <n v="31.577200000000001"/>
    <n v="11684.2"/>
    <m/>
    <s v=" 65783mb"/>
    <x v="7"/>
    <s v="65783"/>
  </r>
  <r>
    <s v="scaling_threads/step10156.txt"/>
    <x v="3"/>
    <m/>
    <s v="reclaimer_debra"/>
    <s v="allocator_new"/>
    <s v="pool_none"/>
    <n v="30000"/>
    <n v="0.5"/>
    <n v="0.5"/>
    <n v="0"/>
    <n v="1"/>
    <n v="2000000000"/>
    <n v="24"/>
    <x v="0"/>
    <n v="24"/>
    <n v="0"/>
    <s v="insertIfAbsent"/>
    <m/>
    <m/>
    <m/>
    <m/>
    <m/>
    <m/>
    <m/>
    <m/>
    <m/>
    <m/>
    <m/>
    <m/>
    <m/>
    <m/>
    <m/>
    <m/>
    <m/>
    <m/>
    <m/>
    <m/>
    <m/>
    <m/>
    <m/>
    <m/>
    <m/>
    <m/>
    <m/>
    <m/>
    <m/>
    <s v=" mb"/>
    <x v="7"/>
    <s v=""/>
  </r>
  <r>
    <s v="scaling_threads/step10157.txt"/>
    <x v="3"/>
    <m/>
    <s v="reclaimer_debra"/>
    <s v="allocator_new"/>
    <s v="pool_none"/>
    <n v="30000"/>
    <n v="0.5"/>
    <n v="0.5"/>
    <n v="0"/>
    <n v="1"/>
    <n v="2000000000"/>
    <n v="48"/>
    <x v="1"/>
    <n v="48"/>
    <n v="0"/>
    <s v="insertIfAbsent"/>
    <n v="1.00000579376011E+18"/>
    <n v="999997581"/>
    <m/>
    <m/>
    <s v="success"/>
    <n v="83"/>
    <n v="999997580"/>
    <n v="999997581"/>
    <n v="1999995161"/>
    <n v="999997581"/>
    <n v="2"/>
    <n v="1"/>
    <n v="1.5"/>
    <n v="40.806699999999999"/>
    <n v="281125893"/>
    <n v="0"/>
    <n v="2840677"/>
    <n v="281125893"/>
    <n v="283966570"/>
    <n v="9370863"/>
    <n v="0"/>
    <n v="94689"/>
    <n v="9370863"/>
    <n v="9465552"/>
    <m/>
    <n v="54.042499999999997"/>
    <n v="31.464400000000001"/>
    <n v="14127.1"/>
    <m/>
    <s v=" 65652mb"/>
    <x v="7"/>
    <s v="65652"/>
  </r>
  <r>
    <s v="scaling_threads/step10158.txt"/>
    <x v="3"/>
    <m/>
    <s v="reclaimer_debra"/>
    <s v="allocator_new"/>
    <s v="pool_none"/>
    <n v="30000"/>
    <n v="0.5"/>
    <n v="0.5"/>
    <n v="0"/>
    <n v="1"/>
    <n v="2000000000"/>
    <n v="96"/>
    <x v="2"/>
    <n v="96"/>
    <n v="0"/>
    <s v="insertIfAbsent"/>
    <n v="1.00000239900051E+18"/>
    <n v="1000001503"/>
    <m/>
    <m/>
    <s v="success"/>
    <n v="79"/>
    <n v="1000001502"/>
    <n v="1000001503"/>
    <n v="2000003005"/>
    <n v="1000001503"/>
    <n v="2"/>
    <n v="1"/>
    <n v="1.5"/>
    <n v="39.960099999999997"/>
    <n v="570807209"/>
    <n v="0"/>
    <n v="5766986"/>
    <n v="570807209"/>
    <n v="576574195"/>
    <n v="19026906"/>
    <n v="0"/>
    <n v="192232"/>
    <n v="19026906"/>
    <n v="19219139"/>
    <m/>
    <n v="53.927300000000002"/>
    <n v="31.480799999999999"/>
    <n v="13918.8"/>
    <m/>
    <s v=" 65667mb"/>
    <x v="7"/>
    <s v="65667"/>
  </r>
  <r>
    <s v="scaling_threads/step10159.txt"/>
    <x v="3"/>
    <m/>
    <s v="reclaimer_debra"/>
    <s v="allocator_new"/>
    <s v="pool_none"/>
    <n v="30000"/>
    <n v="0.5"/>
    <n v="0.5"/>
    <n v="0"/>
    <n v="1"/>
    <n v="2000000000"/>
    <n v="144"/>
    <x v="3"/>
    <n v="144"/>
    <n v="0"/>
    <s v="insertIfAbsent"/>
    <n v="9.9999539184515405E+17"/>
    <n v="999998463"/>
    <m/>
    <m/>
    <s v="success"/>
    <n v="81"/>
    <n v="999998462"/>
    <n v="999998463"/>
    <n v="1999996925"/>
    <n v="999998463"/>
    <n v="2"/>
    <n v="1"/>
    <n v="1.5"/>
    <n v="41.505099999999999"/>
    <n v="855587431"/>
    <n v="0"/>
    <n v="8641332"/>
    <n v="855587431"/>
    <n v="864228763"/>
    <n v="28519581"/>
    <n v="0"/>
    <n v="288044"/>
    <n v="28519581"/>
    <n v="28807625"/>
    <m/>
    <n v="54.201000000000001"/>
    <n v="31.545300000000001"/>
    <n v="13926.2"/>
    <m/>
    <s v=" 65677mb"/>
    <x v="7"/>
    <s v="65677"/>
  </r>
  <r>
    <s v="scaling_threads/step10160.txt"/>
    <x v="3"/>
    <m/>
    <s v="reclaimer_debra"/>
    <s v="allocator_new"/>
    <s v="pool_none"/>
    <n v="30000"/>
    <n v="0.5"/>
    <n v="0.5"/>
    <n v="0"/>
    <n v="1"/>
    <n v="2000000000"/>
    <n v="190"/>
    <x v="4"/>
    <n v="190"/>
    <n v="0"/>
    <s v="insertIfAbsent"/>
    <n v="1.00002130966446E+18"/>
    <n v="999999118"/>
    <m/>
    <m/>
    <s v="success"/>
    <n v="81"/>
    <n v="999999117"/>
    <n v="999999118"/>
    <n v="1999998235"/>
    <n v="999999118"/>
    <n v="2"/>
    <n v="1"/>
    <n v="1.5"/>
    <n v="41.4392"/>
    <n v="1130229189"/>
    <n v="0"/>
    <n v="11417244"/>
    <n v="1130229189"/>
    <n v="1141646433"/>
    <n v="37674306"/>
    <n v="0"/>
    <n v="380574"/>
    <n v="37674306"/>
    <n v="38054881"/>
    <m/>
    <n v="54.115699999999997"/>
    <n v="31.622699999999998"/>
    <n v="13909.7"/>
    <m/>
    <s v=" 65691mb"/>
    <x v="7"/>
    <s v="65691"/>
  </r>
  <r>
    <s v="scaling_threads/step10161.txt"/>
    <x v="0"/>
    <n v="72"/>
    <s v="reclaimer_debra"/>
    <s v="allocator_new"/>
    <s v="pool_none"/>
    <n v="30000"/>
    <n v="5"/>
    <n v="5"/>
    <n v="0"/>
    <n v="1"/>
    <n v="2000000"/>
    <n v="24"/>
    <x v="0"/>
    <n v="24"/>
    <n v="0"/>
    <s v="insertIfAbsent"/>
    <n v="1000868813302"/>
    <n v="1000331"/>
    <m/>
    <m/>
    <s v="success"/>
    <n v="6"/>
    <n v="51452"/>
    <n v="1069412"/>
    <n v="1120864"/>
    <n v="1000331"/>
    <n v="21.784700000000001"/>
    <n v="0.93540299999999998"/>
    <n v="1.89246"/>
    <n v="3.0377900000000002"/>
    <n v="1701704906"/>
    <n v="0"/>
    <n v="189075132"/>
    <n v="1701704906"/>
    <n v="1890780038"/>
    <n v="56723496"/>
    <n v="0"/>
    <n v="6302504"/>
    <n v="56723496"/>
    <n v="63026001"/>
    <m/>
    <n v="10.2193"/>
    <n v="0.36773499999999998"/>
    <n v="1060.9100000000001"/>
    <m/>
    <s v=" 1196mb"/>
    <x v="8"/>
    <s v="1196"/>
  </r>
  <r>
    <s v="scaling_threads/step10162.txt"/>
    <x v="0"/>
    <n v="72"/>
    <s v="reclaimer_debra"/>
    <s v="allocator_new"/>
    <s v="pool_none"/>
    <n v="30000"/>
    <n v="5"/>
    <n v="5"/>
    <n v="0"/>
    <n v="1"/>
    <n v="2000000"/>
    <n v="48"/>
    <x v="1"/>
    <n v="48"/>
    <n v="0"/>
    <s v="insertIfAbsent"/>
    <n v="999942795740"/>
    <n v="999803"/>
    <m/>
    <m/>
    <s v="success"/>
    <n v="6"/>
    <n v="52304"/>
    <n v="1071392"/>
    <n v="1123696"/>
    <n v="999803"/>
    <n v="21.483899999999998"/>
    <n v="0.93318100000000004"/>
    <n v="1.88975"/>
    <n v="3.0404900000000001"/>
    <n v="2443041115"/>
    <n v="0"/>
    <n v="271420333"/>
    <n v="2443041115"/>
    <n v="2714461448"/>
    <n v="81434703"/>
    <n v="0"/>
    <n v="9047344"/>
    <n v="81434703"/>
    <n v="90482048"/>
    <m/>
    <n v="10.2508"/>
    <n v="0.47168900000000002"/>
    <n v="1452.23"/>
    <m/>
    <s v=" 1236mb"/>
    <x v="8"/>
    <s v="1236"/>
  </r>
  <r>
    <s v="scaling_threads/step10163.txt"/>
    <x v="0"/>
    <n v="72"/>
    <s v="reclaimer_debra"/>
    <s v="allocator_new"/>
    <s v="pool_none"/>
    <n v="30000"/>
    <n v="5"/>
    <n v="5"/>
    <n v="0"/>
    <n v="1"/>
    <n v="2000000"/>
    <n v="96"/>
    <x v="2"/>
    <n v="96"/>
    <n v="0"/>
    <s v="insertIfAbsent"/>
    <n v="999207063590"/>
    <n v="999515"/>
    <m/>
    <m/>
    <s v="success"/>
    <n v="6"/>
    <n v="63423"/>
    <n v="1093581"/>
    <n v="1157004"/>
    <n v="999515"/>
    <n v="18.242699999999999"/>
    <n v="0.91398400000000002"/>
    <n v="1.86388"/>
    <n v="3.0644300000000002"/>
    <n v="3967322020"/>
    <n v="0"/>
    <n v="440786242"/>
    <n v="3967322020"/>
    <n v="4408108262"/>
    <n v="132244067"/>
    <n v="0"/>
    <n v="14692874"/>
    <n v="132244067"/>
    <n v="146936942"/>
    <m/>
    <n v="10.979799999999999"/>
    <n v="1.62517"/>
    <n v="1809.13"/>
    <m/>
    <s v=" 1332mb"/>
    <x v="8"/>
    <s v="1332"/>
  </r>
  <r>
    <s v="scaling_threads/step10164.txt"/>
    <x v="0"/>
    <n v="72"/>
    <s v="reclaimer_debra"/>
    <s v="allocator_new"/>
    <s v="pool_none"/>
    <n v="30000"/>
    <n v="5"/>
    <n v="5"/>
    <n v="0"/>
    <n v="1"/>
    <n v="2000000"/>
    <n v="144"/>
    <x v="3"/>
    <n v="144"/>
    <n v="0"/>
    <s v="insertIfAbsent"/>
    <n v="998922947277"/>
    <n v="999136"/>
    <m/>
    <m/>
    <s v="success"/>
    <n v="6"/>
    <n v="33032"/>
    <n v="1031201"/>
    <n v="1064233"/>
    <n v="999136"/>
    <n v="32.218200000000003"/>
    <n v="0.96890500000000002"/>
    <n v="1.9388300000000001"/>
    <n v="3.0000599999999999"/>
    <n v="5071178745"/>
    <n v="0"/>
    <n v="563488623"/>
    <n v="5071178745"/>
    <n v="5634667368"/>
    <n v="169039291"/>
    <n v="0"/>
    <n v="18782954"/>
    <n v="169039291"/>
    <n v="187822245"/>
    <m/>
    <n v="12.1556"/>
    <n v="2.7472300000000001"/>
    <n v="2112.0300000000002"/>
    <m/>
    <s v=" 1469mb"/>
    <x v="8"/>
    <s v="1469"/>
  </r>
  <r>
    <s v="scaling_threads/step10165.txt"/>
    <x v="0"/>
    <n v="72"/>
    <s v="reclaimer_debra"/>
    <s v="allocator_new"/>
    <s v="pool_none"/>
    <n v="30000"/>
    <n v="5"/>
    <n v="5"/>
    <n v="0"/>
    <n v="1"/>
    <n v="2000000"/>
    <n v="190"/>
    <x v="4"/>
    <n v="190"/>
    <n v="0"/>
    <s v="insertIfAbsent"/>
    <n v="998681928112"/>
    <n v="999207"/>
    <m/>
    <m/>
    <s v="success"/>
    <n v="6"/>
    <n v="53098"/>
    <n v="1072153"/>
    <n v="1125251"/>
    <n v="999207"/>
    <n v="21.192"/>
    <n v="0.93196299999999999"/>
    <n v="1.8879900000000001"/>
    <n v="3.04196"/>
    <n v="6263443210"/>
    <n v="0"/>
    <n v="695959915"/>
    <n v="6263443210"/>
    <n v="6959403125"/>
    <n v="208781440"/>
    <n v="0"/>
    <n v="23198663"/>
    <n v="208781440"/>
    <n v="231980104"/>
    <m/>
    <n v="12.361499999999999"/>
    <n v="3.15754"/>
    <n v="2264.88"/>
    <m/>
    <s v=" 1588mb"/>
    <x v="8"/>
    <s v="1588"/>
  </r>
  <r>
    <s v="scaling_threads/step10166.txt"/>
    <x v="1"/>
    <n v="208"/>
    <s v="reclaimer_debra"/>
    <s v="allocator_new"/>
    <s v="pool_none"/>
    <n v="30000"/>
    <n v="5"/>
    <n v="5"/>
    <n v="0"/>
    <n v="1"/>
    <n v="2000000"/>
    <n v="24"/>
    <x v="0"/>
    <n v="24"/>
    <n v="0"/>
    <s v="insertIfAbsent"/>
    <n v="1001503400068"/>
    <n v="1001123"/>
    <m/>
    <m/>
    <s v="success"/>
    <n v="8"/>
    <n v="32823"/>
    <n v="195551"/>
    <n v="228374"/>
    <n v="1001123"/>
    <n v="6.9577400000000003"/>
    <n v="5.1195000000000004"/>
    <n v="5.3837000000000002"/>
    <n v="7"/>
    <n v="1434828854"/>
    <n v="0"/>
    <n v="159422737"/>
    <n v="1434828854"/>
    <n v="1594251591"/>
    <n v="47827628"/>
    <n v="0"/>
    <n v="5314091"/>
    <n v="47827628"/>
    <n v="53141719"/>
    <m/>
    <n v="10.3817"/>
    <n v="0.99163100000000004"/>
    <n v="1259.3499999999999"/>
    <m/>
    <s v=" 1125mb"/>
    <x v="8"/>
    <s v="1125"/>
  </r>
  <r>
    <s v="scaling_threads/step10167.txt"/>
    <x v="1"/>
    <n v="208"/>
    <s v="reclaimer_debra"/>
    <s v="allocator_new"/>
    <s v="pool_none"/>
    <n v="30000"/>
    <n v="5"/>
    <n v="5"/>
    <n v="0"/>
    <n v="1"/>
    <n v="2000000"/>
    <n v="48"/>
    <x v="1"/>
    <n v="48"/>
    <n v="0"/>
    <s v="insertIfAbsent"/>
    <n v="1000354359523"/>
    <n v="1000483"/>
    <m/>
    <m/>
    <s v="success"/>
    <n v="8"/>
    <n v="33630"/>
    <n v="195405"/>
    <n v="229035"/>
    <n v="1000483"/>
    <n v="6.8104399999999998"/>
    <n v="5.12005"/>
    <n v="5.3682499999999997"/>
    <n v="7"/>
    <n v="2294798603"/>
    <n v="0"/>
    <n v="254965589"/>
    <n v="2294798603"/>
    <n v="2549764192"/>
    <n v="76493286"/>
    <n v="0"/>
    <n v="8498852"/>
    <n v="76493286"/>
    <n v="84992139"/>
    <m/>
    <n v="10.553900000000001"/>
    <n v="1.0927100000000001"/>
    <n v="1541.81"/>
    <m/>
    <s v=" 1143mb"/>
    <x v="8"/>
    <s v="1143"/>
  </r>
  <r>
    <s v="scaling_threads/step10168.txt"/>
    <x v="1"/>
    <n v="208"/>
    <s v="reclaimer_debra"/>
    <s v="allocator_new"/>
    <s v="pool_none"/>
    <n v="30000"/>
    <n v="5"/>
    <n v="5"/>
    <n v="0"/>
    <n v="1"/>
    <n v="2000000"/>
    <n v="96"/>
    <x v="2"/>
    <n v="96"/>
    <n v="0"/>
    <s v="insertIfAbsent"/>
    <n v="999913057047"/>
    <n v="1000851"/>
    <m/>
    <m/>
    <s v="success"/>
    <n v="8"/>
    <n v="34430"/>
    <n v="195087"/>
    <n v="229517"/>
    <n v="1000851"/>
    <n v="6.6661900000000003"/>
    <n v="5.13028"/>
    <n v="5.3606800000000003"/>
    <n v="7"/>
    <n v="4331466668"/>
    <n v="0"/>
    <n v="481290828"/>
    <n v="4331466668"/>
    <n v="4812757496"/>
    <n v="144382222"/>
    <n v="0"/>
    <n v="16043027"/>
    <n v="144382222"/>
    <n v="160425249"/>
    <m/>
    <n v="10.861499999999999"/>
    <n v="1.81975"/>
    <n v="1641.81"/>
    <m/>
    <s v=" 1163mb"/>
    <x v="8"/>
    <s v="1163"/>
  </r>
  <r>
    <s v="scaling_threads/step10169.txt"/>
    <x v="1"/>
    <n v="208"/>
    <s v="reclaimer_debra"/>
    <s v="allocator_new"/>
    <s v="pool_none"/>
    <n v="30000"/>
    <n v="5"/>
    <n v="5"/>
    <n v="0"/>
    <n v="1"/>
    <n v="2000000"/>
    <n v="144"/>
    <x v="3"/>
    <n v="144"/>
    <n v="0"/>
    <s v="insertIfAbsent"/>
    <n v="1000052018694"/>
    <n v="999660"/>
    <m/>
    <m/>
    <s v="success"/>
    <n v="8"/>
    <n v="34996"/>
    <n v="194905"/>
    <n v="229901"/>
    <n v="999660"/>
    <n v="6.56935"/>
    <n v="5.1289600000000002"/>
    <n v="5.3482200000000004"/>
    <n v="7"/>
    <n v="6196773940"/>
    <n v="0"/>
    <n v="688490250"/>
    <n v="6196773940"/>
    <n v="6885264190"/>
    <n v="206559131"/>
    <n v="0"/>
    <n v="22949675"/>
    <n v="206559131"/>
    <n v="229508806"/>
    <m/>
    <n v="11.282"/>
    <n v="2.1462400000000001"/>
    <n v="1694.49"/>
    <m/>
    <s v=" 1210mb"/>
    <x v="8"/>
    <s v="1210"/>
  </r>
  <r>
    <s v="scaling_threads/step10170.txt"/>
    <x v="1"/>
    <n v="208"/>
    <s v="reclaimer_debra"/>
    <s v="allocator_new"/>
    <s v="pool_none"/>
    <n v="30000"/>
    <n v="5"/>
    <n v="5"/>
    <n v="0"/>
    <n v="1"/>
    <n v="2000000"/>
    <n v="190"/>
    <x v="4"/>
    <n v="190"/>
    <n v="0"/>
    <s v="insertIfAbsent"/>
    <n v="1000302553661"/>
    <n v="1000721"/>
    <m/>
    <m/>
    <s v="success"/>
    <n v="8"/>
    <n v="35398"/>
    <n v="194904"/>
    <n v="230302"/>
    <n v="1000721"/>
    <n v="6.5060700000000002"/>
    <n v="5.13443"/>
    <n v="5.3452599999999997"/>
    <n v="7"/>
    <n v="8073317249"/>
    <n v="0"/>
    <n v="897050993"/>
    <n v="8073317249"/>
    <n v="8970368242"/>
    <n v="269110574"/>
    <n v="0"/>
    <n v="29901699"/>
    <n v="269110574"/>
    <n v="299012274"/>
    <m/>
    <n v="11.4443"/>
    <n v="2.3658199999999998"/>
    <n v="1719.95"/>
    <m/>
    <s v=" 1228mb"/>
    <x v="8"/>
    <s v="1228"/>
  </r>
  <r>
    <s v="scaling_threads/step10171.txt"/>
    <x v="2"/>
    <m/>
    <s v="reclaimer_debra"/>
    <s v="allocator_new"/>
    <s v="pool_none"/>
    <n v="30000"/>
    <n v="5"/>
    <n v="5"/>
    <n v="0"/>
    <n v="1"/>
    <n v="2000000"/>
    <n v="24"/>
    <x v="0"/>
    <n v="24"/>
    <n v="0"/>
    <s v="insertIfAbsent"/>
    <n v="1001126449583"/>
    <n v="1000564"/>
    <m/>
    <m/>
    <s v="success"/>
    <n v="25"/>
    <n v="686162"/>
    <n v="520098"/>
    <n v="1206260"/>
    <n v="1000564"/>
    <n v="1.7579800000000001"/>
    <n v="1.9238"/>
    <n v="1.82948"/>
    <n v="19.9316"/>
    <n v="726105758"/>
    <n v="0"/>
    <n v="80673448"/>
    <n v="726105758"/>
    <n v="806779206"/>
    <n v="24203525"/>
    <n v="0"/>
    <n v="2689114"/>
    <n v="24203525"/>
    <n v="26892640"/>
    <m/>
    <n v="16.630400000000002"/>
    <n v="2.6676500000000001"/>
    <n v="2489.31"/>
    <m/>
    <s v=" 1155mb"/>
    <x v="8"/>
    <s v="1155"/>
  </r>
  <r>
    <s v="scaling_threads/step10172.txt"/>
    <x v="2"/>
    <m/>
    <s v="reclaimer_debra"/>
    <s v="allocator_new"/>
    <s v="pool_none"/>
    <n v="30000"/>
    <n v="5"/>
    <n v="5"/>
    <n v="0"/>
    <n v="1"/>
    <n v="2000000"/>
    <n v="48"/>
    <x v="1"/>
    <n v="48"/>
    <n v="0"/>
    <s v="insertIfAbsent"/>
    <n v="999218273901"/>
    <n v="998620"/>
    <m/>
    <m/>
    <s v="success"/>
    <n v="25"/>
    <n v="685379"/>
    <n v="519868"/>
    <n v="1205247"/>
    <n v="998620"/>
    <n v="1.75851"/>
    <n v="1.9209099999999999"/>
    <n v="1.82856"/>
    <n v="19.828299999999999"/>
    <n v="1263197345"/>
    <n v="0"/>
    <n v="140353720"/>
    <n v="1263197345"/>
    <n v="1403551065"/>
    <n v="42106578"/>
    <n v="0"/>
    <n v="4678457"/>
    <n v="42106578"/>
    <n v="46785035"/>
    <m/>
    <n v="17.302099999999999"/>
    <n v="2.7625299999999999"/>
    <n v="2846.62"/>
    <m/>
    <s v=" 1167mb"/>
    <x v="8"/>
    <s v="1167"/>
  </r>
  <r>
    <s v="scaling_threads/step10173.txt"/>
    <x v="2"/>
    <m/>
    <s v="reclaimer_debra"/>
    <s v="allocator_new"/>
    <s v="pool_none"/>
    <n v="30000"/>
    <n v="5"/>
    <n v="5"/>
    <n v="0"/>
    <n v="1"/>
    <n v="2000000"/>
    <n v="96"/>
    <x v="2"/>
    <n v="96"/>
    <n v="0"/>
    <s v="insertIfAbsent"/>
    <n v="1000069099923"/>
    <n v="999322"/>
    <m/>
    <m/>
    <s v="success"/>
    <n v="25"/>
    <n v="685459"/>
    <n v="519890"/>
    <n v="1205349"/>
    <n v="999322"/>
    <n v="1.7584599999999999"/>
    <n v="1.92218"/>
    <n v="1.82907"/>
    <n v="19.882899999999999"/>
    <n v="2530928830"/>
    <n v="0"/>
    <n v="281248145"/>
    <n v="2530928830"/>
    <n v="2812176975"/>
    <n v="84364294"/>
    <n v="0"/>
    <n v="9374938"/>
    <n v="84364294"/>
    <n v="93739232"/>
    <m/>
    <n v="17.843699999999998"/>
    <n v="3.2410299999999999"/>
    <n v="2841.48"/>
    <m/>
    <s v=" 1192mb"/>
    <x v="8"/>
    <s v="1192"/>
  </r>
  <r>
    <s v="scaling_threads/step10174.txt"/>
    <x v="2"/>
    <m/>
    <s v="reclaimer_debra"/>
    <s v="allocator_new"/>
    <s v="pool_none"/>
    <n v="30000"/>
    <n v="5"/>
    <n v="5"/>
    <n v="0"/>
    <n v="1"/>
    <n v="2000000"/>
    <n v="144"/>
    <x v="3"/>
    <n v="144"/>
    <n v="0"/>
    <s v="insertIfAbsent"/>
    <n v="1000146210497"/>
    <n v="1000677"/>
    <m/>
    <m/>
    <s v="success"/>
    <n v="25"/>
    <n v="686180"/>
    <n v="520618"/>
    <n v="1206798"/>
    <n v="1000677"/>
    <n v="1.7587200000000001"/>
    <n v="1.9220900000000001"/>
    <n v="1.8291999999999999"/>
    <n v="19.8552"/>
    <n v="3743657434"/>
    <n v="0"/>
    <n v="415998980"/>
    <n v="3743657434"/>
    <n v="4159656414"/>
    <n v="124788581"/>
    <n v="0"/>
    <n v="13866632"/>
    <n v="124788581"/>
    <n v="138655213"/>
    <m/>
    <n v="18.1525"/>
    <n v="3.4151199999999999"/>
    <n v="2854.09"/>
    <m/>
    <s v=" 1213mb"/>
    <x v="8"/>
    <s v="1213"/>
  </r>
  <r>
    <s v="scaling_threads/step10175.txt"/>
    <x v="2"/>
    <m/>
    <s v="reclaimer_debra"/>
    <s v="allocator_new"/>
    <s v="pool_none"/>
    <n v="30000"/>
    <n v="5"/>
    <n v="5"/>
    <n v="0"/>
    <n v="1"/>
    <n v="2000000"/>
    <n v="190"/>
    <x v="4"/>
    <n v="190"/>
    <n v="0"/>
    <s v="insertIfAbsent"/>
    <n v="999734690811"/>
    <n v="1000603"/>
    <m/>
    <m/>
    <s v="success"/>
    <n v="25"/>
    <n v="686300"/>
    <n v="521206"/>
    <n v="1207506"/>
    <n v="1000603"/>
    <n v="1.7594399999999999"/>
    <n v="1.91978"/>
    <n v="1.8286500000000001"/>
    <n v="19.868600000000001"/>
    <n v="4935680040"/>
    <n v="0"/>
    <n v="548412082"/>
    <n v="4935680040"/>
    <n v="5484092122"/>
    <n v="164522668"/>
    <n v="0"/>
    <n v="18280402"/>
    <n v="164522668"/>
    <n v="182803070"/>
    <m/>
    <n v="18.463799999999999"/>
    <n v="3.51539"/>
    <n v="2851.07"/>
    <m/>
    <s v=" 1232mb"/>
    <x v="8"/>
    <s v="1232"/>
  </r>
  <r>
    <s v="scaling_threads/step10176.txt"/>
    <x v="3"/>
    <m/>
    <s v="reclaimer_debra"/>
    <s v="allocator_new"/>
    <s v="pool_none"/>
    <n v="30000"/>
    <n v="5"/>
    <n v="5"/>
    <n v="0"/>
    <n v="1"/>
    <n v="2000000"/>
    <n v="24"/>
    <x v="0"/>
    <n v="24"/>
    <n v="0"/>
    <s v="insertIfAbsent"/>
    <n v="999295110254"/>
    <n v="999237"/>
    <m/>
    <m/>
    <s v="success"/>
    <n v="50"/>
    <n v="999236"/>
    <n v="999237"/>
    <n v="1998473"/>
    <n v="999237"/>
    <n v="2"/>
    <n v="1"/>
    <n v="1.5"/>
    <n v="26.260100000000001"/>
    <n v="659604672"/>
    <n v="0"/>
    <n v="73298043"/>
    <n v="659604672"/>
    <n v="732902715"/>
    <n v="21986822"/>
    <n v="0"/>
    <n v="2443268"/>
    <n v="21986822"/>
    <n v="24430090"/>
    <m/>
    <n v="12.3787"/>
    <n v="2.0404900000000001"/>
    <n v="2740.26"/>
    <m/>
    <s v=" 1147mb"/>
    <x v="8"/>
    <s v="1147"/>
  </r>
  <r>
    <s v="scaling_threads/step10177.txt"/>
    <x v="3"/>
    <m/>
    <s v="reclaimer_debra"/>
    <s v="allocator_new"/>
    <s v="pool_none"/>
    <n v="30000"/>
    <n v="5"/>
    <n v="5"/>
    <n v="0"/>
    <n v="1"/>
    <n v="2000000"/>
    <n v="48"/>
    <x v="1"/>
    <n v="48"/>
    <n v="0"/>
    <s v="insertIfAbsent"/>
    <n v="999657984601"/>
    <n v="999558"/>
    <m/>
    <m/>
    <s v="success"/>
    <n v="47"/>
    <n v="999557"/>
    <n v="999558"/>
    <n v="1999115"/>
    <n v="999558"/>
    <n v="2"/>
    <n v="1"/>
    <n v="1.5"/>
    <n v="26.812100000000001"/>
    <n v="1174932479"/>
    <n v="0"/>
    <n v="130555936"/>
    <n v="1174932479"/>
    <n v="1305488415"/>
    <n v="39164415"/>
    <n v="0"/>
    <n v="4351864"/>
    <n v="39164415"/>
    <n v="43516280"/>
    <m/>
    <n v="12.458600000000001"/>
    <n v="2.1299000000000001"/>
    <n v="3076.07"/>
    <m/>
    <s v=" 1162mb"/>
    <x v="8"/>
    <s v="1162"/>
  </r>
  <r>
    <s v="scaling_threads/step10178.txt"/>
    <x v="3"/>
    <m/>
    <s v="reclaimer_debra"/>
    <s v="allocator_new"/>
    <s v="pool_none"/>
    <n v="30000"/>
    <n v="5"/>
    <n v="5"/>
    <n v="0"/>
    <n v="1"/>
    <n v="2000000"/>
    <n v="96"/>
    <x v="2"/>
    <n v="96"/>
    <n v="0"/>
    <s v="insertIfAbsent"/>
    <n v="999297013454"/>
    <n v="999209"/>
    <m/>
    <m/>
    <s v="success"/>
    <n v="46"/>
    <n v="999208"/>
    <n v="999209"/>
    <n v="1998417"/>
    <n v="999209"/>
    <n v="2"/>
    <n v="1"/>
    <n v="1.5"/>
    <n v="25.482399999999998"/>
    <n v="2509244436"/>
    <n v="0"/>
    <n v="278800665"/>
    <n v="2509244436"/>
    <n v="2788045101"/>
    <n v="83641481"/>
    <n v="0"/>
    <n v="9293355"/>
    <n v="83641481"/>
    <n v="92934836"/>
    <m/>
    <n v="12.927"/>
    <n v="2.55769"/>
    <n v="2876.43"/>
    <m/>
    <s v=" 1192mb"/>
    <x v="8"/>
    <s v="1192"/>
  </r>
  <r>
    <s v="scaling_threads/step10179.txt"/>
    <x v="3"/>
    <m/>
    <s v="reclaimer_debra"/>
    <s v="allocator_new"/>
    <s v="pool_none"/>
    <n v="30000"/>
    <n v="5"/>
    <n v="5"/>
    <n v="0"/>
    <n v="1"/>
    <n v="2000000"/>
    <n v="144"/>
    <x v="3"/>
    <n v="144"/>
    <n v="0"/>
    <s v="insertIfAbsent"/>
    <n v="1001369619067"/>
    <n v="1000509"/>
    <m/>
    <m/>
    <s v="success"/>
    <n v="50"/>
    <n v="1000508"/>
    <n v="1000509"/>
    <n v="2001017"/>
    <n v="1000509"/>
    <n v="2"/>
    <n v="1"/>
    <n v="1.5"/>
    <n v="26.5868"/>
    <n v="3787895897"/>
    <n v="0"/>
    <n v="420884859"/>
    <n v="3787895897"/>
    <n v="4208780756"/>
    <n v="126263196"/>
    <n v="0"/>
    <n v="14029495"/>
    <n v="126263196"/>
    <n v="140292691"/>
    <m/>
    <n v="13.225"/>
    <n v="2.6471"/>
    <n v="2856.3"/>
    <m/>
    <s v=" 1217mb"/>
    <x v="8"/>
    <s v="1217"/>
  </r>
  <r>
    <s v="scaling_threads/step10180.txt"/>
    <x v="3"/>
    <m/>
    <s v="reclaimer_debra"/>
    <s v="allocator_new"/>
    <s v="pool_none"/>
    <n v="30000"/>
    <n v="5"/>
    <n v="5"/>
    <n v="0"/>
    <n v="1"/>
    <n v="2000000"/>
    <n v="190"/>
    <x v="4"/>
    <n v="190"/>
    <n v="0"/>
    <s v="insertIfAbsent"/>
    <n v="1000359446250"/>
    <n v="1000588"/>
    <m/>
    <m/>
    <s v="success"/>
    <n v="48"/>
    <n v="1000587"/>
    <n v="1000588"/>
    <n v="2001175"/>
    <n v="1000588"/>
    <n v="2"/>
    <n v="1"/>
    <n v="1.5"/>
    <n v="26.174299999999999"/>
    <n v="5055887983"/>
    <n v="0"/>
    <n v="561746994"/>
    <n v="5055887983"/>
    <n v="5617634977"/>
    <n v="168529599"/>
    <n v="0"/>
    <n v="18724899"/>
    <n v="168529599"/>
    <n v="187254499"/>
    <m/>
    <n v="13.2494"/>
    <n v="2.6874600000000002"/>
    <n v="2824.9"/>
    <m/>
    <s v=" 1231mb"/>
    <x v="8"/>
    <s v="1231"/>
  </r>
  <r>
    <s v="scaling_threads/step10181.txt"/>
    <x v="0"/>
    <n v="72"/>
    <s v="reclaimer_debra"/>
    <s v="allocator_new"/>
    <s v="pool_none"/>
    <n v="30000"/>
    <n v="5"/>
    <n v="5"/>
    <n v="0"/>
    <n v="1"/>
    <n v="20000000"/>
    <n v="24"/>
    <x v="0"/>
    <n v="24"/>
    <n v="0"/>
    <s v="insertIfAbsent"/>
    <n v="100040774252212"/>
    <n v="10002874"/>
    <m/>
    <m/>
    <s v="success"/>
    <n v="7"/>
    <n v="1625792"/>
    <n v="11445217"/>
    <n v="13071009"/>
    <n v="10002874"/>
    <n v="8.0397800000000004"/>
    <n v="0.87397899999999995"/>
    <n v="1.7652699999999999"/>
    <n v="4"/>
    <n v="765071524"/>
    <n v="0"/>
    <n v="85015912"/>
    <n v="765071524"/>
    <n v="850087436"/>
    <n v="25502384"/>
    <n v="0"/>
    <n v="2833863"/>
    <n v="25502384"/>
    <n v="28336247"/>
    <m/>
    <n v="18.8583"/>
    <n v="7.3501200000000004"/>
    <n v="2342.1799999999998"/>
    <m/>
    <s v=" 2444mb"/>
    <x v="9"/>
    <s v="2444"/>
  </r>
  <r>
    <s v="scaling_threads/step10182.txt"/>
    <x v="0"/>
    <n v="72"/>
    <s v="reclaimer_debra"/>
    <s v="allocator_new"/>
    <s v="pool_none"/>
    <n v="30000"/>
    <n v="5"/>
    <n v="5"/>
    <n v="0"/>
    <n v="1"/>
    <n v="20000000"/>
    <n v="48"/>
    <x v="1"/>
    <n v="48"/>
    <n v="0"/>
    <s v="insertIfAbsent"/>
    <n v="100021456259069"/>
    <n v="10001534"/>
    <m/>
    <m/>
    <s v="success"/>
    <n v="7"/>
    <n v="1903179"/>
    <n v="12033824"/>
    <n v="13937003"/>
    <n v="10001534"/>
    <n v="7.32301"/>
    <n v="0.83111900000000005"/>
    <n v="1.7176199999999999"/>
    <n v="4.0549900000000001"/>
    <n v="1290620979"/>
    <n v="0"/>
    <n v="143400726"/>
    <n v="1290620979"/>
    <n v="1434021705"/>
    <n v="43020699"/>
    <n v="0"/>
    <n v="4780024"/>
    <n v="43020699"/>
    <n v="47800723"/>
    <m/>
    <n v="18.7683"/>
    <n v="7.4993400000000001"/>
    <n v="2769.69"/>
    <m/>
    <s v=" 2489mb"/>
    <x v="9"/>
    <s v="2489"/>
  </r>
  <r>
    <s v="scaling_threads/step10183.txt"/>
    <x v="0"/>
    <n v="72"/>
    <s v="reclaimer_debra"/>
    <s v="allocator_new"/>
    <s v="pool_none"/>
    <n v="30000"/>
    <n v="5"/>
    <n v="5"/>
    <n v="0"/>
    <n v="1"/>
    <n v="20000000"/>
    <n v="96"/>
    <x v="2"/>
    <n v="96"/>
    <n v="0"/>
    <s v="insertIfAbsent"/>
    <n v="100035359240242"/>
    <n v="10003614"/>
    <m/>
    <m/>
    <s v="success"/>
    <n v="7"/>
    <n v="1759206"/>
    <n v="11722992"/>
    <n v="13482198"/>
    <n v="10003614"/>
    <n v="7.6638000000000002"/>
    <n v="0.85333300000000001"/>
    <n v="1.7419899999999999"/>
    <n v="4.0274200000000002"/>
    <n v="2563575441"/>
    <n v="0"/>
    <n v="284837644"/>
    <n v="2563575441"/>
    <n v="2848413085"/>
    <n v="85452514"/>
    <n v="0"/>
    <n v="9494588"/>
    <n v="85452514"/>
    <n v="94947102"/>
    <m/>
    <n v="19.002500000000001"/>
    <n v="7.9750800000000002"/>
    <n v="2777.58"/>
    <m/>
    <s v=" 2599mb"/>
    <x v="9"/>
    <s v="2599"/>
  </r>
  <r>
    <s v="scaling_threads/step10184.txt"/>
    <x v="0"/>
    <n v="72"/>
    <s v="reclaimer_debra"/>
    <s v="allocator_new"/>
    <s v="pool_none"/>
    <n v="30000"/>
    <n v="5"/>
    <n v="5"/>
    <n v="0"/>
    <n v="1"/>
    <n v="20000000"/>
    <n v="144"/>
    <x v="3"/>
    <n v="144"/>
    <n v="0"/>
    <s v="insertIfAbsent"/>
    <n v="99949999123977"/>
    <n v="9996919"/>
    <m/>
    <m/>
    <s v="success"/>
    <n v="7"/>
    <n v="1725392"/>
    <n v="11647485"/>
    <n v="13372877"/>
    <n v="9996919"/>
    <n v="7.7506300000000001"/>
    <n v="0.85829"/>
    <n v="1.7475499999999999"/>
    <n v="4.0206600000000003"/>
    <n v="3725332134"/>
    <n v="0"/>
    <n v="413937045"/>
    <n v="3725332134"/>
    <n v="4139269179"/>
    <n v="124177737"/>
    <n v="0"/>
    <n v="13797901"/>
    <n v="124177737"/>
    <n v="137975639"/>
    <m/>
    <n v="19.110499999999998"/>
    <n v="8.2964500000000001"/>
    <n v="2856.28"/>
    <m/>
    <s v=" 2762mb"/>
    <x v="9"/>
    <s v="2762"/>
  </r>
  <r>
    <s v="scaling_threads/step10185.txt"/>
    <x v="0"/>
    <n v="72"/>
    <s v="reclaimer_debra"/>
    <s v="allocator_new"/>
    <s v="pool_none"/>
    <n v="30000"/>
    <n v="5"/>
    <n v="5"/>
    <n v="0"/>
    <n v="1"/>
    <n v="20000000"/>
    <n v="190"/>
    <x v="4"/>
    <n v="190"/>
    <n v="0"/>
    <s v="insertIfAbsent"/>
    <n v="99974473192207"/>
    <n v="9998246"/>
    <m/>
    <m/>
    <s v="success"/>
    <n v="7"/>
    <n v="1809825"/>
    <n v="11832260"/>
    <n v="13642085"/>
    <n v="9998246"/>
    <n v="7.5377900000000002"/>
    <n v="0.84499899999999994"/>
    <n v="1.7329000000000001"/>
    <n v="4.0368199999999996"/>
    <n v="4756303493"/>
    <n v="0"/>
    <n v="528468387"/>
    <n v="4756303493"/>
    <n v="5284771880"/>
    <n v="158543449"/>
    <n v="0"/>
    <n v="17615612"/>
    <n v="158543449"/>
    <n v="176159062"/>
    <m/>
    <n v="19.311"/>
    <n v="8.5716900000000003"/>
    <n v="2932.96"/>
    <m/>
    <s v=" 2865mb"/>
    <x v="9"/>
    <s v="2865"/>
  </r>
  <r>
    <s v="scaling_threads/step10186.txt"/>
    <x v="1"/>
    <n v="208"/>
    <s v="reclaimer_debra"/>
    <s v="allocator_new"/>
    <s v="pool_none"/>
    <n v="30000"/>
    <n v="5"/>
    <n v="5"/>
    <n v="0"/>
    <n v="1"/>
    <n v="20000000"/>
    <n v="24"/>
    <x v="0"/>
    <n v="24"/>
    <n v="0"/>
    <s v="insertIfAbsent"/>
    <n v="100012911389697"/>
    <n v="9998698"/>
    <m/>
    <m/>
    <s v="success"/>
    <n v="9"/>
    <n v="258074"/>
    <n v="1767742"/>
    <n v="2025816"/>
    <n v="9998698"/>
    <n v="7.8497500000000002"/>
    <n v="5.6562000000000001"/>
    <n v="5.9356400000000002"/>
    <n v="8"/>
    <n v="760742613"/>
    <n v="0"/>
    <n v="84533220"/>
    <n v="760742613"/>
    <n v="845275833"/>
    <n v="25358087"/>
    <n v="0"/>
    <n v="2817774"/>
    <n v="25358087"/>
    <n v="28175861"/>
    <m/>
    <n v="17.913799999999998"/>
    <n v="5.6863999999999999"/>
    <n v="2375.06"/>
    <m/>
    <s v=" 1525mb"/>
    <x v="9"/>
    <s v="1525"/>
  </r>
  <r>
    <s v="scaling_threads/step10187.txt"/>
    <x v="1"/>
    <n v="208"/>
    <s v="reclaimer_debra"/>
    <s v="allocator_new"/>
    <s v="pool_none"/>
    <n v="30000"/>
    <n v="5"/>
    <n v="5"/>
    <n v="0"/>
    <n v="1"/>
    <n v="20000000"/>
    <n v="48"/>
    <x v="1"/>
    <n v="48"/>
    <n v="0"/>
    <s v="insertIfAbsent"/>
    <n v="100005976350622"/>
    <n v="10001649"/>
    <m/>
    <m/>
    <s v="success"/>
    <n v="9"/>
    <n v="273723"/>
    <n v="1862633"/>
    <n v="2136356"/>
    <n v="10001649"/>
    <n v="7.8048099999999998"/>
    <n v="5.3696299999999999"/>
    <n v="5.6816399999999998"/>
    <n v="8"/>
    <n v="1378631152"/>
    <n v="0"/>
    <n v="153201242"/>
    <n v="1378631152"/>
    <n v="1531832394"/>
    <n v="45954371"/>
    <n v="0"/>
    <n v="5106708"/>
    <n v="45954371"/>
    <n v="51061079"/>
    <m/>
    <n v="18.0991"/>
    <n v="5.8452799999999998"/>
    <n v="2619.08"/>
    <m/>
    <s v=" 1600mb"/>
    <x v="9"/>
    <s v="1600"/>
  </r>
  <r>
    <s v="scaling_threads/step10188.txt"/>
    <x v="1"/>
    <n v="208"/>
    <s v="reclaimer_debra"/>
    <s v="allocator_new"/>
    <s v="pool_none"/>
    <n v="30000"/>
    <n v="5"/>
    <n v="5"/>
    <n v="0"/>
    <n v="1"/>
    <n v="20000000"/>
    <n v="96"/>
    <x v="2"/>
    <n v="96"/>
    <n v="0"/>
    <s v="insertIfAbsent"/>
    <n v="99954295303810"/>
    <n v="9998337"/>
    <m/>
    <m/>
    <s v="success"/>
    <n v="9"/>
    <n v="293578"/>
    <n v="1947996"/>
    <n v="2241574"/>
    <n v="9998337"/>
    <n v="7.6353600000000004"/>
    <n v="5.1326299999999998"/>
    <n v="5.4604100000000004"/>
    <n v="8"/>
    <n v="2783626647"/>
    <n v="0"/>
    <n v="309268150"/>
    <n v="2783626647"/>
    <n v="3092894797"/>
    <n v="92787554"/>
    <n v="0"/>
    <n v="10308938"/>
    <n v="92787554"/>
    <n v="103096493"/>
    <m/>
    <n v="18.4832"/>
    <n v="6.1700200000000001"/>
    <n v="2585.44"/>
    <m/>
    <s v=" 1747mb"/>
    <x v="9"/>
    <s v="1747"/>
  </r>
  <r>
    <s v="scaling_threads/step10189.txt"/>
    <x v="1"/>
    <n v="208"/>
    <s v="reclaimer_debra"/>
    <s v="allocator_new"/>
    <s v="pool_none"/>
    <n v="30000"/>
    <n v="5"/>
    <n v="5"/>
    <n v="0"/>
    <n v="1"/>
    <n v="20000000"/>
    <n v="144"/>
    <x v="3"/>
    <n v="144"/>
    <n v="0"/>
    <s v="insertIfAbsent"/>
    <n v="100018771371670"/>
    <n v="10003936"/>
    <m/>
    <m/>
    <s v="success"/>
    <n v="9"/>
    <n v="303623"/>
    <n v="1964253"/>
    <n v="2267876"/>
    <n v="10003936"/>
    <n v="7.4693800000000001"/>
    <n v="5.093"/>
    <n v="5.4111500000000001"/>
    <n v="8"/>
    <n v="4119054548"/>
    <n v="0"/>
    <n v="457665761"/>
    <n v="4119054548"/>
    <n v="4576720309"/>
    <n v="137301818"/>
    <n v="0"/>
    <n v="15255525"/>
    <n v="137301818"/>
    <n v="152557343"/>
    <m/>
    <n v="18.6462"/>
    <n v="6.4015000000000004"/>
    <n v="2616.36"/>
    <m/>
    <s v=" 1724mb"/>
    <x v="9"/>
    <s v="1724"/>
  </r>
  <r>
    <s v="scaling_threads/step10190.txt"/>
    <x v="1"/>
    <n v="208"/>
    <s v="reclaimer_debra"/>
    <s v="allocator_new"/>
    <s v="pool_none"/>
    <n v="30000"/>
    <n v="5"/>
    <n v="5"/>
    <n v="0"/>
    <n v="1"/>
    <n v="20000000"/>
    <n v="190"/>
    <x v="4"/>
    <n v="190"/>
    <n v="0"/>
    <s v="insertIfAbsent"/>
    <n v="100004762563060"/>
    <n v="9999650"/>
    <m/>
    <m/>
    <s v="success"/>
    <n v="9"/>
    <n v="309603"/>
    <n v="1966193"/>
    <n v="2275796"/>
    <n v="9999650"/>
    <n v="7.3506900000000002"/>
    <n v="5.0857900000000003"/>
    <n v="5.39391"/>
    <n v="8"/>
    <n v="5382380807"/>
    <n v="0"/>
    <n v="598004671"/>
    <n v="5382380807"/>
    <n v="5980385478"/>
    <n v="179412693"/>
    <n v="0"/>
    <n v="19933489"/>
    <n v="179412693"/>
    <n v="199346182"/>
    <m/>
    <n v="18.894600000000001"/>
    <n v="6.59497"/>
    <n v="2641.66"/>
    <m/>
    <s v=" 1934mb"/>
    <x v="9"/>
    <s v="1934"/>
  </r>
  <r>
    <s v="scaling_threads/step10191.txt"/>
    <x v="2"/>
    <m/>
    <s v="reclaimer_debra"/>
    <s v="allocator_new"/>
    <s v="pool_none"/>
    <n v="30000"/>
    <n v="5"/>
    <n v="5"/>
    <n v="0"/>
    <n v="1"/>
    <n v="20000000"/>
    <n v="24"/>
    <x v="0"/>
    <n v="24"/>
    <n v="0"/>
    <s v="insertIfAbsent"/>
    <n v="99977374968268"/>
    <n v="9997511"/>
    <m/>
    <m/>
    <s v="success"/>
    <n v="30"/>
    <n v="6709717"/>
    <n v="5083149"/>
    <n v="11792866"/>
    <n v="9997511"/>
    <n v="1.7575799999999999"/>
    <n v="1.96679"/>
    <n v="1.8477600000000001"/>
    <n v="23.2517"/>
    <n v="362704217"/>
    <n v="0"/>
    <n v="40297386"/>
    <n v="362704217"/>
    <n v="403001603"/>
    <n v="12090140"/>
    <n v="0"/>
    <n v="1343246"/>
    <n v="12090140"/>
    <n v="13433386"/>
    <m/>
    <n v="28.528400000000001"/>
    <n v="9.7951899999999998"/>
    <n v="4977.16"/>
    <m/>
    <s v=" 1832mb"/>
    <x v="9"/>
    <s v="1832"/>
  </r>
  <r>
    <s v="scaling_threads/step10192.txt"/>
    <x v="2"/>
    <m/>
    <s v="reclaimer_debra"/>
    <s v="allocator_new"/>
    <s v="pool_none"/>
    <n v="30000"/>
    <n v="5"/>
    <n v="5"/>
    <n v="0"/>
    <n v="1"/>
    <n v="20000000"/>
    <n v="48"/>
    <x v="1"/>
    <n v="48"/>
    <n v="0"/>
    <s v="insertIfAbsent"/>
    <n v="99999062069472"/>
    <n v="10000004"/>
    <m/>
    <m/>
    <s v="success"/>
    <n v="29"/>
    <n v="6820155"/>
    <n v="5173884"/>
    <n v="11994039"/>
    <n v="10000004"/>
    <n v="1.7586200000000001"/>
    <n v="1.9327799999999999"/>
    <n v="1.83375"/>
    <n v="23.223299999999998"/>
    <n v="679194953"/>
    <n v="0"/>
    <n v="75472408"/>
    <n v="679194953"/>
    <n v="754667361"/>
    <n v="22639831"/>
    <n v="0"/>
    <n v="2515746"/>
    <n v="22639831"/>
    <n v="25155578"/>
    <m/>
    <n v="29.2591"/>
    <n v="9.8366399999999992"/>
    <n v="5316.31"/>
    <m/>
    <s v=" 1850mb"/>
    <x v="9"/>
    <s v="1850"/>
  </r>
  <r>
    <s v="scaling_threads/step10193.txt"/>
    <x v="2"/>
    <m/>
    <s v="reclaimer_debra"/>
    <s v="allocator_new"/>
    <s v="pool_none"/>
    <n v="30000"/>
    <n v="5"/>
    <n v="5"/>
    <n v="0"/>
    <n v="1"/>
    <n v="20000000"/>
    <n v="96"/>
    <x v="2"/>
    <n v="96"/>
    <n v="0"/>
    <s v="insertIfAbsent"/>
    <n v="100016504524734"/>
    <n v="10001257"/>
    <m/>
    <m/>
    <s v="success"/>
    <n v="29"/>
    <n v="6858041"/>
    <n v="5204602"/>
    <n v="12062643"/>
    <n v="10001257"/>
    <n v="1.75891"/>
    <n v="1.9216200000000001"/>
    <n v="1.82911"/>
    <n v="23.254899999999999"/>
    <n v="1446060372"/>
    <n v="0"/>
    <n v="160706843"/>
    <n v="1446060372"/>
    <n v="1606767215"/>
    <n v="48202012"/>
    <n v="0"/>
    <n v="5356894"/>
    <n v="48202012"/>
    <n v="53558907"/>
    <m/>
    <n v="29.6995"/>
    <n v="10.688800000000001"/>
    <n v="4991.28"/>
    <m/>
    <s v=" 1881mb"/>
    <x v="9"/>
    <s v="1881"/>
  </r>
  <r>
    <s v="scaling_threads/step10194.txt"/>
    <x v="2"/>
    <m/>
    <s v="reclaimer_debra"/>
    <s v="allocator_new"/>
    <s v="pool_none"/>
    <n v="30000"/>
    <n v="5"/>
    <n v="5"/>
    <n v="0"/>
    <n v="1"/>
    <n v="20000000"/>
    <n v="144"/>
    <x v="3"/>
    <n v="144"/>
    <n v="0"/>
    <s v="insertIfAbsent"/>
    <n v="100009434395022"/>
    <n v="9999206"/>
    <m/>
    <m/>
    <s v="success"/>
    <n v="29"/>
    <n v="6857777"/>
    <n v="5206650"/>
    <n v="12064427"/>
    <n v="9999206"/>
    <n v="1.7592300000000001"/>
    <n v="1.9204699999999999"/>
    <n v="1.8288199999999999"/>
    <n v="23.2484"/>
    <n v="2169633295"/>
    <n v="0"/>
    <n v="241064664"/>
    <n v="2169633295"/>
    <n v="2410697959"/>
    <n v="72321109"/>
    <n v="0"/>
    <n v="8035488"/>
    <n v="72321109"/>
    <n v="80356598"/>
    <m/>
    <n v="30.017900000000001"/>
    <n v="10.951700000000001"/>
    <n v="4979.5"/>
    <m/>
    <s v=" 1906mb"/>
    <x v="9"/>
    <s v="1906"/>
  </r>
  <r>
    <s v="scaling_threads/step10195.txt"/>
    <x v="2"/>
    <m/>
    <s v="reclaimer_debra"/>
    <s v="allocator_new"/>
    <s v="pool_none"/>
    <n v="30000"/>
    <n v="5"/>
    <n v="5"/>
    <n v="0"/>
    <n v="1"/>
    <n v="20000000"/>
    <n v="190"/>
    <x v="4"/>
    <n v="190"/>
    <n v="0"/>
    <s v="insertIfAbsent"/>
    <n v="100018376067622"/>
    <n v="10002077"/>
    <m/>
    <m/>
    <s v="success"/>
    <n v="29"/>
    <n v="6860040"/>
    <n v="5203367"/>
    <n v="12063407"/>
    <n v="10002077"/>
    <n v="1.7585"/>
    <n v="1.9222300000000001"/>
    <n v="1.8291299999999999"/>
    <n v="23.327300000000001"/>
    <n v="2870193439"/>
    <n v="0"/>
    <n v="318941463"/>
    <n v="2870193439"/>
    <n v="3189134902"/>
    <n v="95673114"/>
    <n v="0"/>
    <n v="10631382"/>
    <n v="95673114"/>
    <n v="106304496"/>
    <m/>
    <n v="30.046299999999999"/>
    <n v="11.118499999999999"/>
    <n v="4969.58"/>
    <m/>
    <s v=" 1930mb"/>
    <x v="9"/>
    <s v="1930"/>
  </r>
  <r>
    <s v="scaling_threads/step10196.txt"/>
    <x v="3"/>
    <m/>
    <s v="reclaimer_debra"/>
    <s v="allocator_new"/>
    <s v="pool_none"/>
    <n v="30000"/>
    <n v="5"/>
    <n v="5"/>
    <n v="0"/>
    <n v="1"/>
    <n v="20000000"/>
    <n v="24"/>
    <x v="0"/>
    <n v="24"/>
    <n v="0"/>
    <s v="insertIfAbsent"/>
    <n v="99990721480699"/>
    <n v="9998790"/>
    <m/>
    <m/>
    <s v="success"/>
    <n v="63"/>
    <n v="9998789"/>
    <n v="9998790"/>
    <n v="19997579"/>
    <n v="9998790"/>
    <n v="2"/>
    <n v="1"/>
    <n v="1.5"/>
    <n v="30.999500000000001"/>
    <n v="296401540"/>
    <n v="0"/>
    <n v="32930904"/>
    <n v="296401540"/>
    <n v="329332444"/>
    <n v="9880051"/>
    <n v="0"/>
    <n v="1097696"/>
    <n v="9880051"/>
    <n v="10977748"/>
    <m/>
    <n v="24.999199999999998"/>
    <n v="9.14161"/>
    <n v="6098.22"/>
    <m/>
    <s v=" 1723mb"/>
    <x v="9"/>
    <s v="1723"/>
  </r>
  <r>
    <s v="scaling_threads/step10197.txt"/>
    <x v="3"/>
    <m/>
    <s v="reclaimer_debra"/>
    <s v="allocator_new"/>
    <s v="pool_none"/>
    <n v="30000"/>
    <n v="5"/>
    <n v="5"/>
    <n v="0"/>
    <n v="1"/>
    <n v="20000000"/>
    <n v="48"/>
    <x v="1"/>
    <n v="48"/>
    <n v="0"/>
    <s v="insertIfAbsent"/>
    <n v="100011335371112"/>
    <n v="10002121"/>
    <m/>
    <m/>
    <s v="success"/>
    <n v="60"/>
    <n v="10002120"/>
    <n v="10002121"/>
    <n v="20004241"/>
    <n v="10002121"/>
    <n v="2"/>
    <n v="1"/>
    <n v="1.5"/>
    <n v="30.3703"/>
    <n v="570019291"/>
    <n v="0"/>
    <n v="63331138"/>
    <n v="570019291"/>
    <n v="633350429"/>
    <n v="19000643"/>
    <n v="0"/>
    <n v="2111037"/>
    <n v="19000643"/>
    <n v="21111680"/>
    <m/>
    <n v="25.035399999999999"/>
    <n v="9.1339299999999994"/>
    <n v="6336.67"/>
    <m/>
    <s v=" 1736mb"/>
    <x v="9"/>
    <s v="1736"/>
  </r>
  <r>
    <s v="scaling_threads/step10198.txt"/>
    <x v="3"/>
    <m/>
    <s v="reclaimer_debra"/>
    <s v="allocator_new"/>
    <s v="pool_none"/>
    <n v="30000"/>
    <n v="5"/>
    <n v="5"/>
    <n v="0"/>
    <n v="1"/>
    <n v="20000000"/>
    <n v="96"/>
    <x v="2"/>
    <n v="96"/>
    <n v="0"/>
    <s v="insertIfAbsent"/>
    <n v="100001043736662"/>
    <n v="9999908"/>
    <m/>
    <m/>
    <s v="success"/>
    <n v="61"/>
    <n v="9999907"/>
    <n v="9999908"/>
    <n v="19999815"/>
    <n v="9999908"/>
    <n v="2"/>
    <n v="1"/>
    <n v="1.5"/>
    <n v="30.901299999999999"/>
    <n v="1248064409"/>
    <n v="0"/>
    <n v="138668597"/>
    <n v="1248064409"/>
    <n v="1386733006"/>
    <n v="41602146"/>
    <n v="0"/>
    <n v="4622286"/>
    <n v="41602146"/>
    <n v="46224433"/>
    <m/>
    <n v="25.634799999999998"/>
    <n v="10.0654"/>
    <n v="5783.91"/>
    <m/>
    <s v=" 1773mb"/>
    <x v="9"/>
    <s v="1773"/>
  </r>
  <r>
    <s v="scaling_threads/step10199.txt"/>
    <x v="3"/>
    <m/>
    <s v="reclaimer_debra"/>
    <s v="allocator_new"/>
    <s v="pool_none"/>
    <n v="30000"/>
    <n v="5"/>
    <n v="5"/>
    <n v="0"/>
    <n v="1"/>
    <n v="20000000"/>
    <n v="144"/>
    <x v="3"/>
    <n v="144"/>
    <n v="0"/>
    <s v="insertIfAbsent"/>
    <n v="100016167021897"/>
    <n v="9999953"/>
    <m/>
    <m/>
    <s v="success"/>
    <n v="62"/>
    <n v="9999952"/>
    <n v="9999953"/>
    <n v="19999905"/>
    <n v="9999953"/>
    <n v="2"/>
    <n v="1"/>
    <n v="1.5"/>
    <n v="31.1721"/>
    <n v="1909939939"/>
    <n v="0"/>
    <n v="212211268"/>
    <n v="1909939939"/>
    <n v="2122151207"/>
    <n v="63664664"/>
    <n v="0"/>
    <n v="7073708"/>
    <n v="63664664"/>
    <n v="70738373"/>
    <m/>
    <n v="25.727499999999999"/>
    <n v="10.2759"/>
    <n v="5669.35"/>
    <m/>
    <s v=" 1813mb"/>
    <x v="9"/>
    <s v="1813"/>
  </r>
  <r>
    <s v="scaling_threads/step10200.txt"/>
    <x v="3"/>
    <m/>
    <s v="reclaimer_debra"/>
    <s v="allocator_new"/>
    <s v="pool_none"/>
    <n v="30000"/>
    <n v="5"/>
    <n v="5"/>
    <n v="0"/>
    <n v="1"/>
    <n v="20000000"/>
    <n v="190"/>
    <x v="4"/>
    <n v="190"/>
    <n v="0"/>
    <s v="insertIfAbsent"/>
    <n v="99991323350372"/>
    <n v="9997926"/>
    <m/>
    <m/>
    <s v="success"/>
    <n v="57"/>
    <n v="9997925"/>
    <n v="9997926"/>
    <n v="19995851"/>
    <n v="9997926"/>
    <n v="2"/>
    <n v="1"/>
    <n v="1.5"/>
    <n v="30.765000000000001"/>
    <n v="2543828639"/>
    <n v="0"/>
    <n v="282636848"/>
    <n v="2543828639"/>
    <n v="2826465487"/>
    <n v="84794287"/>
    <n v="0"/>
    <n v="9421228"/>
    <n v="84794287"/>
    <n v="94215516"/>
    <m/>
    <n v="25.884399999999999"/>
    <n v="10.3934"/>
    <n v="5613.76"/>
    <m/>
    <s v=" 1868mb"/>
    <x v="9"/>
    <s v="1868"/>
  </r>
  <r>
    <s v="scaling_threads/step10201.txt"/>
    <x v="0"/>
    <n v="72"/>
    <s v="reclaimer_debra"/>
    <s v="allocator_new"/>
    <s v="pool_none"/>
    <n v="30000"/>
    <n v="5"/>
    <n v="5"/>
    <n v="0"/>
    <n v="1"/>
    <n v="200000000"/>
    <n v="24"/>
    <x v="0"/>
    <n v="24"/>
    <n v="0"/>
    <s v="insertIfAbsent"/>
    <n v="1.00002178706426E+16"/>
    <n v="100004873"/>
    <m/>
    <m/>
    <s v="success"/>
    <n v="7"/>
    <n v="14580366"/>
    <n v="117414266"/>
    <n v="131994632"/>
    <n v="100004873"/>
    <n v="9.0528999999999993"/>
    <n v="0.85172700000000001"/>
    <n v="1.7576400000000001"/>
    <n v="4.0743"/>
    <n v="652161318"/>
    <n v="0"/>
    <n v="72459637"/>
    <n v="652161318"/>
    <n v="724620955"/>
    <n v="21738710"/>
    <n v="0"/>
    <n v="2415321"/>
    <n v="21738710"/>
    <n v="24154031"/>
    <m/>
    <n v="20.7346"/>
    <n v="9.2804800000000007"/>
    <n v="2736.55"/>
    <m/>
    <s v=" 9437mb"/>
    <x v="10"/>
    <s v="9437"/>
  </r>
  <r>
    <s v="scaling_threads/step10202.txt"/>
    <x v="0"/>
    <n v="72"/>
    <s v="reclaimer_debra"/>
    <s v="allocator_new"/>
    <s v="pool_none"/>
    <n v="30000"/>
    <n v="5"/>
    <n v="5"/>
    <n v="0"/>
    <n v="1"/>
    <n v="200000000"/>
    <n v="48"/>
    <x v="1"/>
    <n v="48"/>
    <n v="0"/>
    <s v="insertIfAbsent"/>
    <n v="1.00007418048458E+16"/>
    <n v="100008306"/>
    <m/>
    <m/>
    <s v="success"/>
    <n v="7"/>
    <n v="14485459"/>
    <n v="117202324"/>
    <n v="131687783"/>
    <n v="100008306"/>
    <n v="9.0910299999999999"/>
    <n v="0.85329600000000005"/>
    <n v="1.75943"/>
    <n v="4.0722399999999999"/>
    <n v="1090442577"/>
    <n v="0"/>
    <n v="121152847"/>
    <n v="1090442577"/>
    <n v="1211595424"/>
    <n v="36348085"/>
    <n v="0"/>
    <n v="4038428"/>
    <n v="36348085"/>
    <n v="40386514"/>
    <m/>
    <n v="21.368200000000002"/>
    <n v="9.7080900000000003"/>
    <n v="3266.99"/>
    <m/>
    <s v=" 13502mb"/>
    <x v="10"/>
    <s v="13502"/>
  </r>
  <r>
    <s v="scaling_threads/step10203.txt"/>
    <x v="0"/>
    <n v="72"/>
    <s v="reclaimer_debra"/>
    <s v="allocator_new"/>
    <s v="pool_none"/>
    <n v="30000"/>
    <n v="5"/>
    <n v="5"/>
    <n v="0"/>
    <n v="1"/>
    <n v="200000000"/>
    <n v="96"/>
    <x v="2"/>
    <n v="96"/>
    <n v="0"/>
    <s v="insertIfAbsent"/>
    <n v="9999131738872600"/>
    <n v="99997884"/>
    <m/>
    <m/>
    <s v="success"/>
    <n v="7"/>
    <n v="14923620"/>
    <n v="118204128"/>
    <n v="133127748"/>
    <n v="99997884"/>
    <n v="8.9206099999999999"/>
    <n v="0.84597599999999995"/>
    <n v="1.7511399999999999"/>
    <n v="4.0817399999999999"/>
    <n v="2069034872"/>
    <n v="0"/>
    <n v="229885430"/>
    <n v="2069034872"/>
    <n v="2298920302"/>
    <n v="68967829"/>
    <n v="0"/>
    <n v="7662847"/>
    <n v="68967829"/>
    <n v="76630676"/>
    <m/>
    <n v="21.820499999999999"/>
    <n v="10.6065"/>
    <n v="3350"/>
    <m/>
    <s v=" 13151mb"/>
    <x v="10"/>
    <s v="13151"/>
  </r>
  <r>
    <s v="scaling_threads/step10204.txt"/>
    <x v="0"/>
    <n v="72"/>
    <s v="reclaimer_debra"/>
    <s v="allocator_new"/>
    <s v="pool_none"/>
    <n v="30000"/>
    <n v="5"/>
    <n v="5"/>
    <n v="0"/>
    <n v="1"/>
    <n v="200000000"/>
    <n v="144"/>
    <x v="3"/>
    <n v="144"/>
    <n v="0"/>
    <s v="insertIfAbsent"/>
    <n v="1.00004824945737E+16"/>
    <n v="100001606"/>
    <m/>
    <m/>
    <s v="success"/>
    <n v="7"/>
    <n v="14918848"/>
    <n v="118195670"/>
    <n v="133114518"/>
    <n v="100001606"/>
    <n v="8.9225700000000003"/>
    <n v="0.84606800000000004"/>
    <n v="1.7512399999999999"/>
    <n v="4.08162"/>
    <n v="2967767683"/>
    <n v="0"/>
    <n v="329726600"/>
    <n v="2967767683"/>
    <n v="3297494283"/>
    <n v="98925589"/>
    <n v="0"/>
    <n v="10990886"/>
    <n v="98925589"/>
    <n v="109916476"/>
    <m/>
    <n v="22.025600000000001"/>
    <n v="10.9903"/>
    <n v="3431.96"/>
    <m/>
    <s v=" 14043mb"/>
    <x v="10"/>
    <s v="14043"/>
  </r>
  <r>
    <s v="scaling_threads/step10205.txt"/>
    <x v="0"/>
    <n v="72"/>
    <s v="reclaimer_debra"/>
    <s v="allocator_new"/>
    <s v="pool_none"/>
    <n v="30000"/>
    <n v="5"/>
    <n v="5"/>
    <n v="0"/>
    <n v="1"/>
    <n v="200000000"/>
    <n v="190"/>
    <x v="4"/>
    <n v="190"/>
    <n v="0"/>
    <s v="insertIfAbsent"/>
    <n v="1.00001711300331E+16"/>
    <n v="99997714"/>
    <m/>
    <m/>
    <s v="success"/>
    <n v="7"/>
    <n v="14012034"/>
    <n v="116166155"/>
    <n v="130178189"/>
    <n v="99997714"/>
    <n v="9.2904599999999995"/>
    <n v="0.86081600000000003"/>
    <n v="1.76816"/>
    <n v="4.0621"/>
    <n v="3745537106"/>
    <n v="0"/>
    <n v="416167509"/>
    <n v="3745537106"/>
    <n v="4161704615"/>
    <n v="124851236"/>
    <n v="0"/>
    <n v="13872250"/>
    <n v="124851236"/>
    <n v="138723487"/>
    <m/>
    <n v="22.224399999999999"/>
    <n v="11.278"/>
    <n v="3530.96"/>
    <m/>
    <s v=" 14272mb"/>
    <x v="10"/>
    <s v="14272"/>
  </r>
  <r>
    <s v="scaling_threads/step10206.txt"/>
    <x v="1"/>
    <n v="208"/>
    <s v="reclaimer_debra"/>
    <s v="allocator_new"/>
    <s v="pool_none"/>
    <n v="30000"/>
    <n v="5"/>
    <n v="5"/>
    <n v="0"/>
    <n v="1"/>
    <n v="200000000"/>
    <n v="24"/>
    <x v="0"/>
    <n v="24"/>
    <n v="0"/>
    <s v="insertIfAbsent"/>
    <n v="1.00003412103042E+16"/>
    <n v="100003824"/>
    <m/>
    <m/>
    <s v="success"/>
    <n v="10"/>
    <n v="2018312"/>
    <n v="13886747"/>
    <n v="15905059"/>
    <n v="100003824"/>
    <n v="7.8803799999999997"/>
    <n v="7.20139"/>
    <n v="7.2875500000000004"/>
    <n v="9"/>
    <n v="525797149"/>
    <n v="0"/>
    <n v="58428012"/>
    <n v="525797149"/>
    <n v="584225161"/>
    <n v="17526571"/>
    <n v="0"/>
    <n v="1947600"/>
    <n v="17526571"/>
    <n v="19474172"/>
    <m/>
    <n v="24.246300000000002"/>
    <n v="9.9445200000000007"/>
    <n v="3432.71"/>
    <m/>
    <s v=" 4581mb"/>
    <x v="10"/>
    <s v="4581"/>
  </r>
  <r>
    <s v="scaling_threads/step10207.txt"/>
    <x v="1"/>
    <n v="208"/>
    <s v="reclaimer_debra"/>
    <s v="allocator_new"/>
    <s v="pool_none"/>
    <n v="30000"/>
    <n v="5"/>
    <n v="5"/>
    <n v="0"/>
    <n v="1"/>
    <n v="200000000"/>
    <n v="48"/>
    <x v="1"/>
    <n v="48"/>
    <n v="0"/>
    <s v="insertIfAbsent"/>
    <n v="9998673947395820"/>
    <n v="99992856"/>
    <m/>
    <m/>
    <s v="success"/>
    <n v="10"/>
    <n v="2102829"/>
    <n v="14469606"/>
    <n v="16572435"/>
    <n v="99992856"/>
    <n v="7.8810200000000004"/>
    <n v="6.9105400000000001"/>
    <n v="7.03369"/>
    <n v="9"/>
    <n v="983660151"/>
    <n v="0"/>
    <n v="109295300"/>
    <n v="983660151"/>
    <n v="1092955451"/>
    <n v="32788671"/>
    <n v="0"/>
    <n v="3643176"/>
    <n v="32788671"/>
    <n v="36431848"/>
    <m/>
    <n v="24.168700000000001"/>
    <n v="9.9227699999999999"/>
    <n v="3669.73"/>
    <m/>
    <s v=" 4827mb"/>
    <x v="10"/>
    <s v="4827"/>
  </r>
  <r>
    <s v="scaling_threads/step10208.txt"/>
    <x v="1"/>
    <n v="208"/>
    <s v="reclaimer_debra"/>
    <s v="allocator_new"/>
    <s v="pool_none"/>
    <n v="30000"/>
    <n v="5"/>
    <n v="5"/>
    <n v="0"/>
    <n v="1"/>
    <n v="200000000"/>
    <n v="96"/>
    <x v="2"/>
    <n v="96"/>
    <n v="0"/>
    <s v="insertIfAbsent"/>
    <n v="1.00000897104014E+16"/>
    <n v="99998646"/>
    <m/>
    <m/>
    <s v="success"/>
    <n v="11"/>
    <n v="2239231"/>
    <n v="15400260"/>
    <n v="17639491"/>
    <n v="99998646"/>
    <n v="7.8774800000000003"/>
    <n v="6.4933100000000001"/>
    <n v="6.6690199999999997"/>
    <n v="10"/>
    <n v="2018332711"/>
    <n v="0"/>
    <n v="224267613"/>
    <n v="2018332711"/>
    <n v="2242600324"/>
    <n v="67277757"/>
    <n v="0"/>
    <n v="7475587"/>
    <n v="67277757"/>
    <n v="74753344"/>
    <m/>
    <n v="24.424600000000002"/>
    <n v="10.416"/>
    <n v="3573.69"/>
    <m/>
    <s v=" 5242mb"/>
    <x v="10"/>
    <s v="5242"/>
  </r>
  <r>
    <s v="scaling_threads/step10209.txt"/>
    <x v="1"/>
    <n v="208"/>
    <s v="reclaimer_debra"/>
    <s v="allocator_new"/>
    <s v="pool_none"/>
    <n v="30000"/>
    <n v="5"/>
    <n v="5"/>
    <n v="0"/>
    <n v="1"/>
    <n v="200000000"/>
    <n v="144"/>
    <x v="3"/>
    <n v="144"/>
    <n v="0"/>
    <s v="insertIfAbsent"/>
    <n v="1.0000870596054E+16"/>
    <n v="100003171"/>
    <m/>
    <m/>
    <s v="success"/>
    <n v="10"/>
    <n v="2329243"/>
    <n v="16014898"/>
    <n v="18344141"/>
    <n v="100003171"/>
    <n v="7.8755800000000002"/>
    <n v="6.2443799999999996"/>
    <n v="6.4515000000000002"/>
    <n v="9"/>
    <n v="2988242068"/>
    <n v="0"/>
    <n v="332027595"/>
    <n v="2988242068"/>
    <n v="3320269663"/>
    <n v="99608068"/>
    <n v="0"/>
    <n v="11067586"/>
    <n v="99608068"/>
    <n v="110675655"/>
    <m/>
    <n v="24.67"/>
    <n v="10.749000000000001"/>
    <n v="3614.53"/>
    <m/>
    <s v=" 5650mb"/>
    <x v="10"/>
    <s v="5650"/>
  </r>
  <r>
    <s v="scaling_threads/step10210.txt"/>
    <x v="1"/>
    <n v="208"/>
    <s v="reclaimer_debra"/>
    <s v="allocator_new"/>
    <s v="pool_none"/>
    <n v="30000"/>
    <n v="5"/>
    <n v="5"/>
    <n v="0"/>
    <n v="1"/>
    <n v="200000000"/>
    <n v="190"/>
    <x v="4"/>
    <n v="190"/>
    <n v="0"/>
    <s v="insertIfAbsent"/>
    <n v="1.00004610406273E+16"/>
    <n v="100001379"/>
    <m/>
    <m/>
    <s v="success"/>
    <n v="10"/>
    <n v="2394724"/>
    <n v="16456511"/>
    <n v="18851235"/>
    <n v="100001379"/>
    <n v="7.8719900000000003"/>
    <n v="6.0767100000000003"/>
    <n v="6.3047700000000004"/>
    <n v="9"/>
    <n v="3854358999"/>
    <n v="0"/>
    <n v="428268784"/>
    <n v="3854358999"/>
    <n v="4282627783"/>
    <n v="128478633"/>
    <n v="0"/>
    <n v="14275626"/>
    <n v="128478633"/>
    <n v="142754259"/>
    <m/>
    <n v="24.884599999999999"/>
    <n v="11.095800000000001"/>
    <n v="3699.73"/>
    <m/>
    <s v=" 6351mb"/>
    <x v="10"/>
    <s v="6351"/>
  </r>
  <r>
    <s v="scaling_threads/step10211.txt"/>
    <x v="2"/>
    <m/>
    <s v="reclaimer_debra"/>
    <s v="allocator_new"/>
    <s v="pool_none"/>
    <n v="30000"/>
    <n v="5"/>
    <n v="5"/>
    <n v="0"/>
    <n v="1"/>
    <n v="200000000"/>
    <n v="24"/>
    <x v="0"/>
    <n v="24"/>
    <n v="0"/>
    <s v="insertIfAbsent"/>
    <n v="1.00005864961041E+16"/>
    <n v="100006620"/>
    <m/>
    <m/>
    <s v="success"/>
    <n v="33"/>
    <n v="58554517"/>
    <n v="44028279"/>
    <n v="102582796"/>
    <n v="100006620"/>
    <n v="1.7519199999999999"/>
    <n v="2.27142"/>
    <n v="1.97489"/>
    <n v="26.111499999999999"/>
    <n v="232968282"/>
    <n v="0"/>
    <n v="25889505"/>
    <n v="232968282"/>
    <n v="258857787"/>
    <n v="7765609"/>
    <n v="0"/>
    <n v="862983"/>
    <n v="7765609"/>
    <n v="8628592"/>
    <m/>
    <n v="40.5396"/>
    <n v="18.631499999999999"/>
    <n v="7749.41"/>
    <m/>
    <s v=" 7693mb"/>
    <x v="10"/>
    <s v="7693"/>
  </r>
  <r>
    <s v="scaling_threads/step10212.txt"/>
    <x v="2"/>
    <m/>
    <s v="reclaimer_debra"/>
    <s v="allocator_new"/>
    <s v="pool_none"/>
    <n v="30000"/>
    <n v="5"/>
    <n v="5"/>
    <n v="0"/>
    <n v="1"/>
    <n v="200000000"/>
    <n v="48"/>
    <x v="1"/>
    <n v="48"/>
    <n v="0"/>
    <s v="insertIfAbsent"/>
    <n v="1.00002466586016E+16"/>
    <n v="100004732"/>
    <m/>
    <m/>
    <s v="success"/>
    <n v="33"/>
    <n v="59694923"/>
    <n v="44962627"/>
    <n v="104657550"/>
    <n v="100004732"/>
    <n v="1.7532099999999999"/>
    <n v="2.22417"/>
    <n v="1.9555400000000001"/>
    <n v="26.173400000000001"/>
    <n v="446200755"/>
    <n v="0"/>
    <n v="49578565"/>
    <n v="446200755"/>
    <n v="495779320"/>
    <n v="14873358"/>
    <n v="0"/>
    <n v="1652618"/>
    <n v="14873358"/>
    <n v="16525977"/>
    <m/>
    <n v="41.217599999999997"/>
    <n v="18.623799999999999"/>
    <n v="8086.89"/>
    <m/>
    <s v=" 7834mb"/>
    <x v="10"/>
    <s v="7834"/>
  </r>
  <r>
    <s v="scaling_threads/step10213.txt"/>
    <x v="2"/>
    <m/>
    <s v="reclaimer_debra"/>
    <s v="allocator_new"/>
    <s v="pool_none"/>
    <n v="30000"/>
    <n v="5"/>
    <n v="5"/>
    <n v="0"/>
    <n v="1"/>
    <n v="200000000"/>
    <n v="96"/>
    <x v="2"/>
    <n v="96"/>
    <n v="0"/>
    <s v="insertIfAbsent"/>
    <n v="1.00010749819309E+16"/>
    <n v="100008750"/>
    <m/>
    <m/>
    <s v="success"/>
    <n v="33"/>
    <n v="61795890"/>
    <n v="46648925"/>
    <n v="108444815"/>
    <n v="100008750"/>
    <n v="1.7548900000000001"/>
    <n v="2.1438600000000001"/>
    <n v="1.92221"/>
    <n v="26.283899999999999"/>
    <n v="927491623"/>
    <n v="0"/>
    <n v="103063905"/>
    <n v="927491623"/>
    <n v="1030555528"/>
    <n v="30916387"/>
    <n v="0"/>
    <n v="3435463"/>
    <n v="30916387"/>
    <n v="34351850"/>
    <m/>
    <n v="41.446100000000001"/>
    <n v="19.686"/>
    <n v="7780.48"/>
    <m/>
    <s v=" 8093mb"/>
    <x v="10"/>
    <s v="8093"/>
  </r>
  <r>
    <s v="scaling_threads/step10214.txt"/>
    <x v="2"/>
    <m/>
    <s v="reclaimer_debra"/>
    <s v="allocator_new"/>
    <s v="pool_none"/>
    <n v="30000"/>
    <n v="5"/>
    <n v="5"/>
    <n v="0"/>
    <n v="1"/>
    <n v="200000000"/>
    <n v="144"/>
    <x v="3"/>
    <n v="144"/>
    <n v="0"/>
    <s v="insertIfAbsent"/>
    <n v="9999890795092980"/>
    <n v="100001567"/>
    <m/>
    <m/>
    <s v="success"/>
    <n v="33"/>
    <n v="63351606"/>
    <n v="47878409"/>
    <n v="111230015"/>
    <n v="100001567"/>
    <n v="1.75576"/>
    <n v="2.08866"/>
    <n v="1.8990499999999999"/>
    <n v="26.401900000000001"/>
    <n v="1385375377"/>
    <n v="0"/>
    <n v="153951925"/>
    <n v="1385375377"/>
    <n v="1539327302"/>
    <n v="46179179"/>
    <n v="0"/>
    <n v="5131730"/>
    <n v="46179179"/>
    <n v="51310910"/>
    <m/>
    <n v="41.653599999999997"/>
    <n v="20.0334"/>
    <n v="7813.17"/>
    <m/>
    <s v=" 8288mb"/>
    <x v="10"/>
    <s v="8288"/>
  </r>
  <r>
    <s v="scaling_threads/step10215.txt"/>
    <x v="2"/>
    <m/>
    <s v="reclaimer_debra"/>
    <s v="allocator_new"/>
    <s v="pool_none"/>
    <n v="30000"/>
    <n v="5"/>
    <n v="5"/>
    <n v="0"/>
    <n v="1"/>
    <n v="200000000"/>
    <n v="190"/>
    <x v="4"/>
    <n v="190"/>
    <n v="0"/>
    <s v="insertIfAbsent"/>
    <n v="9999049281495020"/>
    <n v="99993517"/>
    <m/>
    <m/>
    <s v="success"/>
    <n v="33"/>
    <n v="64514602"/>
    <n v="48797354"/>
    <n v="113311956"/>
    <n v="99993517"/>
    <n v="1.7563800000000001"/>
    <n v="2.0491600000000001"/>
    <n v="1.88246"/>
    <n v="26.4132"/>
    <n v="1831778684"/>
    <n v="0"/>
    <n v="203526159"/>
    <n v="1831778684"/>
    <n v="2035304843"/>
    <n v="61059289"/>
    <n v="0"/>
    <n v="6784205"/>
    <n v="61059289"/>
    <n v="67843494"/>
    <m/>
    <n v="41.730600000000003"/>
    <n v="20.241800000000001"/>
    <n v="7796.4"/>
    <m/>
    <s v=" 8437mb"/>
    <x v="10"/>
    <s v="8437"/>
  </r>
  <r>
    <s v="scaling_threads/step10216.txt"/>
    <x v="3"/>
    <m/>
    <s v="reclaimer_debra"/>
    <s v="allocator_new"/>
    <s v="pool_none"/>
    <n v="30000"/>
    <n v="5"/>
    <n v="5"/>
    <n v="0"/>
    <n v="1"/>
    <n v="200000000"/>
    <n v="24"/>
    <x v="0"/>
    <n v="24"/>
    <n v="0"/>
    <s v="insertIfAbsent"/>
    <n v="1.00003448415942E+16"/>
    <n v="100004740"/>
    <m/>
    <m/>
    <s v="success"/>
    <n v="70"/>
    <n v="100004739"/>
    <n v="100004740"/>
    <n v="200009479"/>
    <n v="100004740"/>
    <n v="2"/>
    <n v="1"/>
    <n v="1.5"/>
    <n v="36.328800000000001"/>
    <n v="192212561"/>
    <n v="0"/>
    <n v="21359168"/>
    <n v="192212561"/>
    <n v="213571729"/>
    <n v="6407085"/>
    <n v="0"/>
    <n v="711972"/>
    <n v="6407085"/>
    <n v="7119057"/>
    <m/>
    <n v="38.362699999999997"/>
    <n v="18.790600000000001"/>
    <n v="9396.11"/>
    <m/>
    <s v=" 7531mb"/>
    <x v="10"/>
    <s v="7531"/>
  </r>
  <r>
    <s v="scaling_threads/step10217.txt"/>
    <x v="3"/>
    <m/>
    <s v="reclaimer_debra"/>
    <s v="allocator_new"/>
    <s v="pool_none"/>
    <n v="30000"/>
    <n v="5"/>
    <n v="5"/>
    <n v="0"/>
    <n v="1"/>
    <n v="200000000"/>
    <n v="48"/>
    <x v="1"/>
    <n v="48"/>
    <n v="0"/>
    <s v="insertIfAbsent"/>
    <n v="1.00001751521588E+16"/>
    <n v="100001125"/>
    <m/>
    <m/>
    <s v="success"/>
    <n v="70"/>
    <n v="100001124"/>
    <n v="100001125"/>
    <n v="200002249"/>
    <n v="100001125"/>
    <n v="2"/>
    <n v="1"/>
    <n v="1.5"/>
    <n v="36.233199999999997"/>
    <n v="370644810"/>
    <n v="0"/>
    <n v="41180986"/>
    <n v="370644810"/>
    <n v="411825796"/>
    <n v="12354827"/>
    <n v="0"/>
    <n v="1372699"/>
    <n v="12354827"/>
    <n v="13727526"/>
    <m/>
    <n v="38.28"/>
    <n v="18.5471"/>
    <n v="9741.9500000000007"/>
    <m/>
    <s v=" 7544mb"/>
    <x v="10"/>
    <s v="7544"/>
  </r>
  <r>
    <s v="scaling_threads/step10218.txt"/>
    <x v="3"/>
    <m/>
    <s v="reclaimer_debra"/>
    <s v="allocator_new"/>
    <s v="pool_none"/>
    <n v="30000"/>
    <n v="5"/>
    <n v="5"/>
    <n v="0"/>
    <n v="1"/>
    <n v="200000000"/>
    <n v="96"/>
    <x v="2"/>
    <n v="96"/>
    <n v="0"/>
    <s v="insertIfAbsent"/>
    <n v="9999225349288620"/>
    <n v="99993108"/>
    <m/>
    <m/>
    <s v="success"/>
    <n v="72"/>
    <n v="99993107"/>
    <n v="99993108"/>
    <n v="199986215"/>
    <n v="99993108"/>
    <n v="2"/>
    <n v="1"/>
    <n v="1.5"/>
    <n v="36.659599999999998"/>
    <n v="777296814"/>
    <n v="0"/>
    <n v="86358430"/>
    <n v="777296814"/>
    <n v="863655244"/>
    <n v="25909893"/>
    <n v="0"/>
    <n v="2878614"/>
    <n v="25909893"/>
    <n v="28788508"/>
    <m/>
    <n v="38.405099999999997"/>
    <n v="19.015899999999998"/>
    <n v="9286.65"/>
    <m/>
    <s v=" 7572mb"/>
    <x v="10"/>
    <s v="7572"/>
  </r>
  <r>
    <s v="scaling_threads/step10219.txt"/>
    <x v="3"/>
    <m/>
    <s v="reclaimer_debra"/>
    <s v="allocator_new"/>
    <s v="pool_none"/>
    <n v="30000"/>
    <n v="5"/>
    <n v="5"/>
    <n v="0"/>
    <n v="1"/>
    <n v="200000000"/>
    <n v="144"/>
    <x v="3"/>
    <n v="144"/>
    <n v="0"/>
    <s v="insertIfAbsent"/>
    <n v="1.00008193225872E+16"/>
    <n v="100006349"/>
    <m/>
    <m/>
    <s v="success"/>
    <n v="75"/>
    <n v="100006348"/>
    <n v="100006349"/>
    <n v="200012697"/>
    <n v="100006349"/>
    <n v="2"/>
    <n v="1"/>
    <n v="1.5"/>
    <n v="38.089399999999998"/>
    <n v="1175348196"/>
    <n v="0"/>
    <n v="130588709"/>
    <n v="1175348196"/>
    <n v="1305936905"/>
    <n v="39178273"/>
    <n v="0"/>
    <n v="4352956"/>
    <n v="39178273"/>
    <n v="43531230"/>
    <m/>
    <n v="38.669600000000003"/>
    <n v="19.389099999999999"/>
    <n v="9212.51"/>
    <m/>
    <s v=" 7606mb"/>
    <x v="10"/>
    <s v="7606"/>
  </r>
  <r>
    <s v="scaling_threads/step10220.txt"/>
    <x v="3"/>
    <m/>
    <s v="reclaimer_debra"/>
    <s v="allocator_new"/>
    <s v="pool_none"/>
    <n v="30000"/>
    <n v="5"/>
    <n v="5"/>
    <n v="0"/>
    <n v="1"/>
    <n v="200000000"/>
    <n v="190"/>
    <x v="4"/>
    <n v="190"/>
    <n v="0"/>
    <s v="insertIfAbsent"/>
    <n v="9998854653020630"/>
    <n v="99990699"/>
    <m/>
    <m/>
    <s v="success"/>
    <n v="67"/>
    <n v="99990698"/>
    <n v="99990699"/>
    <n v="199981397"/>
    <n v="99990699"/>
    <n v="2"/>
    <n v="1"/>
    <n v="1.5"/>
    <n v="35.122"/>
    <n v="1564551664"/>
    <n v="0"/>
    <n v="173834666"/>
    <n v="1564551664"/>
    <n v="1738386330"/>
    <n v="52151722"/>
    <n v="0"/>
    <n v="5794488"/>
    <n v="52151722"/>
    <n v="57946211"/>
    <m/>
    <n v="38.846800000000002"/>
    <n v="19.640499999999999"/>
    <n v="9132.1299999999992"/>
    <m/>
    <s v=" 7658mb"/>
    <x v="10"/>
    <s v="7658"/>
  </r>
  <r>
    <s v="scaling_threads/step10221.txt"/>
    <x v="0"/>
    <n v="72"/>
    <s v="reclaimer_debra"/>
    <s v="allocator_new"/>
    <s v="pool_none"/>
    <n v="30000"/>
    <n v="5"/>
    <n v="5"/>
    <n v="0"/>
    <n v="1"/>
    <n v="2000000000"/>
    <n v="24"/>
    <x v="0"/>
    <n v="24"/>
    <n v="0"/>
    <s v="insertIfAbsent"/>
    <n v="9.9999360124796198E+17"/>
    <n v="999992000"/>
    <m/>
    <m/>
    <s v="success"/>
    <n v="7"/>
    <n v="96997766"/>
    <n v="1104049614"/>
    <n v="1201047380"/>
    <n v="999992000"/>
    <n v="12.382199999999999"/>
    <n v="0.90574900000000003"/>
    <n v="1.8326"/>
    <n v="4.0255099999999997"/>
    <n v="476498504"/>
    <n v="0"/>
    <n v="52928621"/>
    <n v="476498504"/>
    <n v="529427125"/>
    <n v="15883283"/>
    <n v="0"/>
    <n v="1764287"/>
    <n v="15883283"/>
    <n v="17647570"/>
    <m/>
    <n v="22.815999999999999"/>
    <n v="13.335699999999999"/>
    <n v="3783"/>
    <m/>
    <s v=" 60549mb"/>
    <x v="11"/>
    <s v="60549"/>
  </r>
  <r>
    <s v="scaling_threads/step10222.txt"/>
    <x v="0"/>
    <n v="72"/>
    <s v="reclaimer_debra"/>
    <s v="allocator_new"/>
    <s v="pool_none"/>
    <n v="30000"/>
    <n v="5"/>
    <n v="5"/>
    <n v="0"/>
    <n v="1"/>
    <n v="2000000000"/>
    <n v="48"/>
    <x v="1"/>
    <n v="48"/>
    <n v="0"/>
    <s v="insertIfAbsent"/>
    <n v="9.9997174441818995E+17"/>
    <n v="1000003436"/>
    <m/>
    <m/>
    <s v="success"/>
    <n v="7"/>
    <n v="105630061"/>
    <n v="1121702761"/>
    <n v="1227332822"/>
    <n v="1000003436"/>
    <n v="11.619199999999999"/>
    <n v="0.89150499999999999"/>
    <n v="1.8147800000000001"/>
    <n v="4.0435800000000004"/>
    <n v="856660158"/>
    <n v="0"/>
    <n v="95188767"/>
    <n v="856660158"/>
    <n v="951848925"/>
    <n v="28555338"/>
    <n v="0"/>
    <n v="3172958"/>
    <n v="28555338"/>
    <n v="31728297"/>
    <m/>
    <n v="22.770399999999999"/>
    <n v="13.399100000000001"/>
    <n v="4208.38"/>
    <m/>
    <s v=" 61708mb"/>
    <x v="11"/>
    <s v="61708"/>
  </r>
  <r>
    <s v="scaling_threads/step10223.txt"/>
    <x v="0"/>
    <n v="72"/>
    <s v="reclaimer_debra"/>
    <s v="allocator_new"/>
    <s v="pool_none"/>
    <n v="30000"/>
    <n v="5"/>
    <n v="5"/>
    <n v="0"/>
    <n v="1"/>
    <n v="2000000000"/>
    <n v="96"/>
    <x v="2"/>
    <n v="96"/>
    <n v="0"/>
    <s v="insertIfAbsent"/>
    <n v="9.9999917811590797E+17"/>
    <n v="999999725"/>
    <m/>
    <m/>
    <s v="success"/>
    <n v="7"/>
    <n v="120854715"/>
    <n v="1153868453"/>
    <n v="1274723168"/>
    <n v="999999725"/>
    <n v="10.547599999999999"/>
    <n v="0.86665000000000003"/>
    <n v="1.7844800000000001"/>
    <n v="4.0764300000000002"/>
    <n v="1833213475"/>
    <n v="0"/>
    <n v="203672673"/>
    <n v="1833213475"/>
    <n v="2036886148"/>
    <n v="61107115"/>
    <n v="0"/>
    <n v="6789089"/>
    <n v="61107115"/>
    <n v="67896204"/>
    <m/>
    <n v="23.051400000000001"/>
    <n v="14.225199999999999"/>
    <n v="3930.29"/>
    <m/>
    <s v=" 64204mb"/>
    <x v="11"/>
    <s v="64204"/>
  </r>
  <r>
    <s v="scaling_threads/step10224.txt"/>
    <x v="0"/>
    <n v="72"/>
    <s v="reclaimer_debra"/>
    <s v="allocator_new"/>
    <s v="pool_none"/>
    <n v="30000"/>
    <n v="5"/>
    <n v="5"/>
    <n v="0"/>
    <n v="1"/>
    <n v="2000000000"/>
    <n v="144"/>
    <x v="3"/>
    <n v="144"/>
    <n v="0"/>
    <s v="insertIfAbsent"/>
    <n v="9.99999989776144E+17"/>
    <n v="1000001435"/>
    <m/>
    <m/>
    <s v="success"/>
    <n v="7"/>
    <n v="127079249"/>
    <n v="1167932652"/>
    <n v="1295011901"/>
    <n v="1000001435"/>
    <n v="10.1906"/>
    <n v="0.85621499999999995"/>
    <n v="1.7721899999999999"/>
    <n v="4.0904499999999997"/>
    <n v="2687028470"/>
    <n v="0"/>
    <n v="298570760"/>
    <n v="2687028470"/>
    <n v="2985599230"/>
    <n v="89567615"/>
    <n v="0"/>
    <n v="9952358"/>
    <n v="89567615"/>
    <n v="99519974"/>
    <m/>
    <n v="23.211099999999998"/>
    <n v="14.5579"/>
    <n v="4021.87"/>
    <m/>
    <s v=" 66029mb"/>
    <x v="11"/>
    <s v="66029"/>
  </r>
  <r>
    <s v="scaling_threads/step10225.txt"/>
    <x v="0"/>
    <n v="72"/>
    <s v="reclaimer_debra"/>
    <s v="allocator_new"/>
    <s v="pool_none"/>
    <n v="30000"/>
    <n v="5"/>
    <n v="5"/>
    <n v="0"/>
    <n v="1"/>
    <n v="2000000000"/>
    <n v="190"/>
    <x v="4"/>
    <n v="190"/>
    <n v="0"/>
    <s v="insertIfAbsent"/>
    <n v="9.9999547041254899E+17"/>
    <n v="999985242"/>
    <m/>
    <m/>
    <s v="success"/>
    <n v="7"/>
    <n v="127353839"/>
    <n v="1169456837"/>
    <n v="1296810676"/>
    <n v="999985242"/>
    <n v="10.182700000000001"/>
    <n v="0.85508499999999998"/>
    <n v="1.77111"/>
    <n v="4.0915600000000003"/>
    <n v="3437783222"/>
    <n v="0"/>
    <n v="382004799"/>
    <n v="3437783222"/>
    <n v="3819788021"/>
    <n v="114592774"/>
    <n v="0"/>
    <n v="12733493"/>
    <n v="114592774"/>
    <n v="127326267"/>
    <m/>
    <n v="23.432700000000001"/>
    <n v="14.8474"/>
    <n v="4143.5200000000004"/>
    <m/>
    <s v=" 67062mb"/>
    <x v="11"/>
    <s v="67062"/>
  </r>
  <r>
    <s v="scaling_threads/step10226.txt"/>
    <x v="1"/>
    <n v="208"/>
    <s v="reclaimer_debra"/>
    <s v="allocator_new"/>
    <s v="pool_none"/>
    <n v="30000"/>
    <n v="5"/>
    <n v="5"/>
    <n v="0"/>
    <n v="1"/>
    <n v="2000000000"/>
    <n v="24"/>
    <x v="0"/>
    <n v="24"/>
    <n v="0"/>
    <s v="insertIfAbsent"/>
    <n v="1.00001207392935E+18"/>
    <n v="1000004163"/>
    <m/>
    <m/>
    <s v="success"/>
    <n v="12"/>
    <n v="18705076"/>
    <n v="128710697"/>
    <n v="147415773"/>
    <n v="1000004163"/>
    <n v="7.8810599999999997"/>
    <n v="7.7693899999999996"/>
    <n v="7.7835599999999996"/>
    <n v="11"/>
    <n v="338928325"/>
    <n v="0"/>
    <n v="37661271"/>
    <n v="338928325"/>
    <n v="376589596"/>
    <n v="11297610"/>
    <n v="0"/>
    <n v="1255375"/>
    <n v="11297610"/>
    <n v="12552986"/>
    <m/>
    <n v="31.279399999999999"/>
    <n v="17.640499999999999"/>
    <n v="5325.18"/>
    <m/>
    <s v=" 33533mb"/>
    <x v="11"/>
    <s v="33533"/>
  </r>
  <r>
    <s v="scaling_threads/step10227.txt"/>
    <x v="1"/>
    <n v="208"/>
    <s v="reclaimer_debra"/>
    <s v="allocator_new"/>
    <s v="pool_none"/>
    <n v="30000"/>
    <n v="5"/>
    <n v="5"/>
    <n v="0"/>
    <n v="1"/>
    <n v="2000000000"/>
    <n v="48"/>
    <x v="1"/>
    <n v="48"/>
    <n v="0"/>
    <s v="insertIfAbsent"/>
    <n v="1.0000053370836E+18"/>
    <n v="1000005060"/>
    <m/>
    <m/>
    <s v="success"/>
    <n v="12"/>
    <n v="18837159"/>
    <n v="129633793"/>
    <n v="148470952"/>
    <n v="1000005060"/>
    <n v="7.8818099999999998"/>
    <n v="7.71408"/>
    <n v="7.73536"/>
    <n v="11"/>
    <n v="639230500"/>
    <n v="0"/>
    <n v="71015399"/>
    <n v="639230500"/>
    <n v="710245899"/>
    <n v="21307683"/>
    <n v="0"/>
    <n v="2367179"/>
    <n v="21307683"/>
    <n v="23674863"/>
    <m/>
    <n v="30.967300000000002"/>
    <n v="17.505700000000001"/>
    <n v="5643.92"/>
    <m/>
    <s v=" 33868mb"/>
    <x v="11"/>
    <s v="33868"/>
  </r>
  <r>
    <s v="scaling_threads/step10228.txt"/>
    <x v="1"/>
    <n v="208"/>
    <s v="reclaimer_debra"/>
    <s v="allocator_new"/>
    <s v="pool_none"/>
    <n v="30000"/>
    <n v="5"/>
    <n v="5"/>
    <n v="0"/>
    <n v="1"/>
    <n v="2000000000"/>
    <n v="96"/>
    <x v="2"/>
    <n v="96"/>
    <n v="0"/>
    <s v="insertIfAbsent"/>
    <n v="9.9999832802118502E+17"/>
    <n v="999999755"/>
    <m/>
    <m/>
    <s v="success"/>
    <n v="12"/>
    <n v="19093763"/>
    <n v="131402110"/>
    <n v="150495873"/>
    <n v="999999755"/>
    <n v="7.8819400000000002"/>
    <n v="7.6102299999999996"/>
    <n v="7.6447000000000003"/>
    <n v="11"/>
    <n v="1291104614"/>
    <n v="0"/>
    <n v="143459122"/>
    <n v="1291104614"/>
    <n v="1434563736"/>
    <n v="43036820"/>
    <n v="0"/>
    <n v="4781970"/>
    <n v="43036820"/>
    <n v="47818791"/>
    <m/>
    <n v="31.243600000000001"/>
    <n v="17.913699999999999"/>
    <n v="5588.33"/>
    <m/>
    <s v=" 34539mb"/>
    <x v="11"/>
    <s v="34539"/>
  </r>
  <r>
    <s v="scaling_threads/step10229.txt"/>
    <x v="1"/>
    <n v="208"/>
    <s v="reclaimer_debra"/>
    <s v="allocator_new"/>
    <s v="pool_none"/>
    <n v="30000"/>
    <n v="5"/>
    <n v="5"/>
    <n v="0"/>
    <n v="1"/>
    <n v="2000000000"/>
    <n v="144"/>
    <x v="3"/>
    <n v="144"/>
    <n v="0"/>
    <s v="insertIfAbsent"/>
    <n v="9.99979011464128E+17"/>
    <n v="999996017"/>
    <m/>
    <m/>
    <s v="success"/>
    <n v="12"/>
    <n v="19311035"/>
    <n v="132891699"/>
    <n v="152202734"/>
    <n v="999996017"/>
    <n v="7.8816499999999996"/>
    <n v="7.5248900000000001"/>
    <n v="7.5701599999999996"/>
    <n v="11"/>
    <n v="1922181897"/>
    <n v="0"/>
    <n v="213596170"/>
    <n v="1922181897"/>
    <n v="2135778067"/>
    <n v="64072729"/>
    <n v="0"/>
    <n v="7119872"/>
    <n v="64072729"/>
    <n v="71192602"/>
    <m/>
    <n v="31.430599999999998"/>
    <n v="18.1404"/>
    <n v="5628.42"/>
    <m/>
    <s v=" 35249mb"/>
    <x v="11"/>
    <s v="35249"/>
  </r>
  <r>
    <s v="scaling_threads/step10230.txt"/>
    <x v="1"/>
    <n v="208"/>
    <s v="reclaimer_debra"/>
    <s v="allocator_new"/>
    <s v="pool_none"/>
    <n v="30000"/>
    <n v="5"/>
    <n v="5"/>
    <n v="0"/>
    <n v="1"/>
    <n v="2000000000"/>
    <n v="190"/>
    <x v="4"/>
    <n v="190"/>
    <n v="0"/>
    <s v="insertIfAbsent"/>
    <n v="9.9999262637716506E+17"/>
    <n v="999988103"/>
    <m/>
    <m/>
    <s v="success"/>
    <n v="12"/>
    <n v="19497153"/>
    <n v="134156605"/>
    <n v="153653758"/>
    <n v="999988103"/>
    <n v="7.8808299999999996"/>
    <n v="7.4538900000000003"/>
    <n v="7.5080600000000004"/>
    <n v="11"/>
    <n v="2520099509"/>
    <n v="0"/>
    <n v="279954490"/>
    <n v="2520099509"/>
    <n v="2800053999"/>
    <n v="84003316"/>
    <n v="0"/>
    <n v="9331816"/>
    <n v="84003316"/>
    <n v="93335133"/>
    <m/>
    <n v="31.611799999999999"/>
    <n v="18.285299999999999"/>
    <n v="5662.72"/>
    <m/>
    <s v=" 36060mb"/>
    <x v="11"/>
    <s v="36060"/>
  </r>
  <r>
    <s v="scaling_threads/step10231.txt"/>
    <x v="2"/>
    <m/>
    <s v="reclaimer_debra"/>
    <s v="allocator_new"/>
    <s v="pool_none"/>
    <n v="30000"/>
    <n v="5"/>
    <n v="5"/>
    <n v="0"/>
    <n v="1"/>
    <n v="2000000000"/>
    <n v="24"/>
    <x v="0"/>
    <n v="24"/>
    <n v="0"/>
    <s v="insertIfAbsent"/>
    <m/>
    <m/>
    <m/>
    <m/>
    <m/>
    <m/>
    <m/>
    <m/>
    <m/>
    <m/>
    <m/>
    <m/>
    <m/>
    <m/>
    <m/>
    <m/>
    <m/>
    <m/>
    <m/>
    <m/>
    <m/>
    <m/>
    <m/>
    <m/>
    <m/>
    <m/>
    <m/>
    <m/>
    <m/>
    <s v=" mb"/>
    <x v="11"/>
    <s v=""/>
  </r>
  <r>
    <s v="scaling_threads/step10232.txt"/>
    <x v="2"/>
    <m/>
    <s v="reclaimer_debra"/>
    <s v="allocator_new"/>
    <s v="pool_none"/>
    <n v="30000"/>
    <n v="5"/>
    <n v="5"/>
    <n v="0"/>
    <n v="1"/>
    <n v="2000000000"/>
    <n v="48"/>
    <x v="1"/>
    <n v="48"/>
    <n v="0"/>
    <s v="insertIfAbsent"/>
    <n v="1.00001078138513E+18"/>
    <n v="1000002505"/>
    <m/>
    <m/>
    <s v="success"/>
    <n v="37"/>
    <n v="573356769"/>
    <n v="430176511"/>
    <n v="1003533280"/>
    <n v="1000002505"/>
    <n v="1.7502800000000001"/>
    <n v="2.32463"/>
    <n v="1.99648"/>
    <n v="29.429600000000001"/>
    <n v="299394787"/>
    <n v="0"/>
    <n v="33272952"/>
    <n v="299394787"/>
    <n v="332667739"/>
    <n v="9979826"/>
    <n v="0"/>
    <n v="1109098"/>
    <n v="9979826"/>
    <n v="11088924"/>
    <m/>
    <n v="55.473199999999999"/>
    <n v="31.441500000000001"/>
    <n v="12055"/>
    <m/>
    <s v=" 65879mb"/>
    <x v="11"/>
    <s v="65879"/>
  </r>
  <r>
    <s v="scaling_threads/step10233.txt"/>
    <x v="2"/>
    <m/>
    <s v="reclaimer_debra"/>
    <s v="allocator_new"/>
    <s v="pool_none"/>
    <n v="30000"/>
    <n v="5"/>
    <n v="5"/>
    <n v="0"/>
    <n v="1"/>
    <n v="2000000000"/>
    <n v="96"/>
    <x v="2"/>
    <n v="96"/>
    <n v="0"/>
    <s v="insertIfAbsent"/>
    <n v="9.9999274923882394E+17"/>
    <n v="999999136"/>
    <m/>
    <m/>
    <s v="success"/>
    <n v="37"/>
    <n v="575329643"/>
    <n v="431826141"/>
    <n v="1007155784"/>
    <n v="999999136"/>
    <n v="1.75057"/>
    <n v="2.3157399999999999"/>
    <n v="1.9928900000000001"/>
    <n v="29.465"/>
    <n v="612510957"/>
    <n v="0"/>
    <n v="68051381"/>
    <n v="612510957"/>
    <n v="680562338"/>
    <n v="20417031"/>
    <n v="0"/>
    <n v="2268379"/>
    <n v="20417031"/>
    <n v="22685411"/>
    <m/>
    <n v="55.665500000000002"/>
    <n v="31.549199999999999"/>
    <n v="11788.9"/>
    <m/>
    <s v=" 66128mb"/>
    <x v="11"/>
    <s v="66128"/>
  </r>
  <r>
    <s v="scaling_threads/step10234.txt"/>
    <x v="2"/>
    <m/>
    <s v="reclaimer_debra"/>
    <s v="allocator_new"/>
    <s v="pool_none"/>
    <n v="30000"/>
    <n v="5"/>
    <n v="5"/>
    <n v="0"/>
    <n v="1"/>
    <n v="2000000000"/>
    <n v="144"/>
    <x v="3"/>
    <n v="144"/>
    <n v="0"/>
    <s v="insertIfAbsent"/>
    <n v="9.9999387668038899E+17"/>
    <n v="999999903"/>
    <m/>
    <m/>
    <s v="success"/>
    <n v="37"/>
    <n v="577214899"/>
    <n v="433384866"/>
    <n v="1010599765"/>
    <n v="999999903"/>
    <n v="1.75082"/>
    <n v="2.30742"/>
    <n v="1.9895099999999999"/>
    <n v="29.482600000000001"/>
    <n v="916044509"/>
    <n v="0"/>
    <n v="101776017"/>
    <n v="916044509"/>
    <n v="1017820526"/>
    <n v="30534816"/>
    <n v="0"/>
    <n v="3392533"/>
    <n v="30534816"/>
    <n v="33927350"/>
    <m/>
    <n v="56.1496"/>
    <n v="31.726600000000001"/>
    <n v="11822.4"/>
    <m/>
    <s v=" 66366mb"/>
    <x v="11"/>
    <s v="66366"/>
  </r>
  <r>
    <s v="scaling_threads/step10235.txt"/>
    <x v="2"/>
    <m/>
    <s v="reclaimer_debra"/>
    <s v="allocator_new"/>
    <s v="pool_none"/>
    <n v="30000"/>
    <n v="5"/>
    <n v="5"/>
    <n v="0"/>
    <n v="1"/>
    <n v="2000000000"/>
    <n v="190"/>
    <x v="4"/>
    <n v="190"/>
    <n v="0"/>
    <s v="insertIfAbsent"/>
    <n v="9.9998359241626906E+17"/>
    <n v="999988364"/>
    <m/>
    <m/>
    <s v="success"/>
    <n v="37"/>
    <n v="578962523"/>
    <n v="434844108"/>
    <n v="1013806631"/>
    <n v="999988364"/>
    <n v="1.7510699999999999"/>
    <n v="2.2996500000000002"/>
    <n v="1.98637"/>
    <n v="29.572199999999999"/>
    <n v="1205038819"/>
    <n v="0"/>
    <n v="133882209"/>
    <n v="1205038819"/>
    <n v="1338921028"/>
    <n v="40167960"/>
    <n v="0"/>
    <n v="4462740"/>
    <n v="40167960"/>
    <n v="44630700"/>
    <m/>
    <n v="56.514899999999997"/>
    <n v="31.855399999999999"/>
    <n v="11855.2"/>
    <m/>
    <s v=" 66586mb"/>
    <x v="11"/>
    <s v="66586"/>
  </r>
  <r>
    <s v="scaling_threads/step10236.txt"/>
    <x v="3"/>
    <m/>
    <s v="reclaimer_debra"/>
    <s v="allocator_new"/>
    <s v="pool_none"/>
    <n v="30000"/>
    <n v="5"/>
    <n v="5"/>
    <n v="0"/>
    <n v="1"/>
    <n v="2000000000"/>
    <n v="24"/>
    <x v="0"/>
    <n v="24"/>
    <n v="0"/>
    <s v="insertIfAbsent"/>
    <m/>
    <m/>
    <m/>
    <m/>
    <m/>
    <m/>
    <m/>
    <m/>
    <m/>
    <m/>
    <m/>
    <m/>
    <m/>
    <m/>
    <m/>
    <m/>
    <m/>
    <m/>
    <m/>
    <m/>
    <m/>
    <m/>
    <m/>
    <m/>
    <m/>
    <m/>
    <m/>
    <m/>
    <m/>
    <s v=" mb"/>
    <x v="11"/>
    <s v=""/>
  </r>
  <r>
    <s v="scaling_threads/step10237.txt"/>
    <x v="3"/>
    <m/>
    <s v="reclaimer_debra"/>
    <s v="allocator_new"/>
    <s v="pool_none"/>
    <n v="30000"/>
    <n v="5"/>
    <n v="5"/>
    <n v="0"/>
    <n v="1"/>
    <n v="2000000000"/>
    <n v="48"/>
    <x v="1"/>
    <n v="48"/>
    <n v="0"/>
    <s v="insertIfAbsent"/>
    <m/>
    <m/>
    <m/>
    <m/>
    <m/>
    <m/>
    <m/>
    <m/>
    <m/>
    <m/>
    <m/>
    <m/>
    <m/>
    <m/>
    <m/>
    <m/>
    <m/>
    <m/>
    <m/>
    <m/>
    <m/>
    <m/>
    <m/>
    <m/>
    <m/>
    <m/>
    <m/>
    <m/>
    <m/>
    <s v=" mb"/>
    <x v="11"/>
    <s v=""/>
  </r>
  <r>
    <s v="scaling_threads/step10238.txt"/>
    <x v="3"/>
    <m/>
    <s v="reclaimer_debra"/>
    <s v="allocator_new"/>
    <s v="pool_none"/>
    <n v="30000"/>
    <n v="5"/>
    <n v="5"/>
    <n v="0"/>
    <n v="1"/>
    <n v="2000000000"/>
    <n v="96"/>
    <x v="2"/>
    <n v="96"/>
    <n v="0"/>
    <s v="insertIfAbsent"/>
    <n v="9.9998422587196301E+17"/>
    <n v="999992841"/>
    <m/>
    <m/>
    <s v="success"/>
    <n v="80"/>
    <n v="999992840"/>
    <n v="999992841"/>
    <n v="1999985681"/>
    <n v="999992841"/>
    <n v="2"/>
    <n v="1"/>
    <n v="1.5"/>
    <n v="41.2376"/>
    <n v="514663166"/>
    <n v="0"/>
    <n v="57189930"/>
    <n v="514663166"/>
    <n v="571853096"/>
    <n v="17155438"/>
    <n v="0"/>
    <n v="1906331"/>
    <n v="17155438"/>
    <n v="19061769"/>
    <m/>
    <n v="54.192999999999998"/>
    <n v="31.746400000000001"/>
    <n v="14031.8"/>
    <m/>
    <s v=" 65683mb"/>
    <x v="11"/>
    <s v="65683"/>
  </r>
  <r>
    <s v="scaling_threads/step10239.txt"/>
    <x v="3"/>
    <m/>
    <s v="reclaimer_debra"/>
    <s v="allocator_new"/>
    <s v="pool_none"/>
    <n v="30000"/>
    <n v="5"/>
    <n v="5"/>
    <n v="0"/>
    <n v="1"/>
    <n v="2000000000"/>
    <n v="144"/>
    <x v="3"/>
    <n v="144"/>
    <n v="0"/>
    <s v="insertIfAbsent"/>
    <n v="9.9998702725569203E+17"/>
    <n v="999993972"/>
    <m/>
    <m/>
    <s v="success"/>
    <n v="78"/>
    <n v="999993971"/>
    <n v="999993972"/>
    <n v="1999987943"/>
    <n v="999993972"/>
    <n v="2"/>
    <n v="1"/>
    <n v="1.5"/>
    <n v="39.961599999999997"/>
    <n v="771351562"/>
    <n v="0"/>
    <n v="85699250"/>
    <n v="771351562"/>
    <n v="857050812"/>
    <n v="25711718"/>
    <n v="0"/>
    <n v="2856641"/>
    <n v="25711718"/>
    <n v="28568360"/>
    <m/>
    <n v="54.4373"/>
    <n v="31.731100000000001"/>
    <n v="14042.4"/>
    <m/>
    <s v=" 65709mb"/>
    <x v="11"/>
    <s v="65709"/>
  </r>
  <r>
    <s v="scaling_threads/step10240.txt"/>
    <x v="3"/>
    <m/>
    <s v="reclaimer_debra"/>
    <s v="allocator_new"/>
    <s v="pool_none"/>
    <n v="30000"/>
    <n v="5"/>
    <n v="5"/>
    <n v="0"/>
    <n v="1"/>
    <n v="2000000000"/>
    <n v="190"/>
    <x v="4"/>
    <n v="190"/>
    <n v="0"/>
    <s v="insertIfAbsent"/>
    <n v="9.9999615419867494E+17"/>
    <n v="1000003800"/>
    <m/>
    <m/>
    <s v="success"/>
    <n v="81"/>
    <n v="1000003799"/>
    <n v="1000003800"/>
    <n v="2000007599"/>
    <n v="1000003800"/>
    <n v="2"/>
    <n v="1"/>
    <n v="1.5"/>
    <n v="41.611699999999999"/>
    <n v="1019649576"/>
    <n v="0"/>
    <n v="113293843"/>
    <n v="1019649576"/>
    <n v="1132943419"/>
    <n v="33988319"/>
    <n v="0"/>
    <n v="3776461"/>
    <n v="33988319"/>
    <n v="37764780"/>
    <m/>
    <n v="54.537700000000001"/>
    <n v="31.843499999999999"/>
    <n v="14015.8"/>
    <m/>
    <s v=" 65743mb"/>
    <x v="11"/>
    <s v="65743"/>
  </r>
  <r>
    <s v="scaling_threads/step10241.txt"/>
    <x v="0"/>
    <n v="72"/>
    <s v="reclaimer_debra"/>
    <s v="allocator_new"/>
    <s v="pool_none"/>
    <n v="30000"/>
    <n v="20"/>
    <n v="20"/>
    <n v="0"/>
    <n v="1"/>
    <n v="2000000"/>
    <n v="24"/>
    <x v="0"/>
    <n v="24"/>
    <n v="0"/>
    <s v="insertIfAbsent"/>
    <n v="999082219961"/>
    <n v="999357"/>
    <m/>
    <m/>
    <s v="success"/>
    <n v="6"/>
    <n v="74096"/>
    <n v="1115575"/>
    <n v="1189671"/>
    <n v="999357"/>
    <n v="16.055800000000001"/>
    <n v="0.89582200000000001"/>
    <n v="1.8400300000000001"/>
    <n v="3.0878399999999999"/>
    <n v="737350110"/>
    <n v="0"/>
    <n v="491602639"/>
    <n v="737350110"/>
    <n v="1228952749"/>
    <n v="24578337"/>
    <n v="0"/>
    <n v="16386754"/>
    <n v="24578337"/>
    <n v="40965091"/>
    <m/>
    <n v="15.773099999999999"/>
    <n v="1.05044"/>
    <n v="1631.7"/>
    <m/>
    <s v=" 1213mb"/>
    <x v="12"/>
    <s v="1213"/>
  </r>
  <r>
    <s v="scaling_threads/step10242.txt"/>
    <x v="0"/>
    <n v="72"/>
    <s v="reclaimer_debra"/>
    <s v="allocator_new"/>
    <s v="pool_none"/>
    <n v="30000"/>
    <n v="20"/>
    <n v="20"/>
    <n v="0"/>
    <n v="1"/>
    <n v="2000000"/>
    <n v="48"/>
    <x v="1"/>
    <n v="48"/>
    <n v="0"/>
    <s v="insertIfAbsent"/>
    <n v="998902998412"/>
    <n v="999349"/>
    <m/>
    <m/>
    <s v="success"/>
    <n v="6"/>
    <n v="61718"/>
    <n v="1091357"/>
    <n v="1153075"/>
    <n v="999349"/>
    <n v="18.683"/>
    <n v="0.91569400000000001"/>
    <n v="1.8666799999999999"/>
    <n v="3.0622600000000002"/>
    <n v="1019625278"/>
    <n v="0"/>
    <n v="679797896"/>
    <n v="1019625278"/>
    <n v="1699423174"/>
    <n v="33987509"/>
    <n v="0"/>
    <n v="22659929"/>
    <n v="33987509"/>
    <n v="56647439"/>
    <m/>
    <n v="16.272400000000001"/>
    <n v="1.5301400000000001"/>
    <n v="2293.21"/>
    <m/>
    <s v=" 1265mb"/>
    <x v="12"/>
    <s v="1265"/>
  </r>
  <r>
    <s v="scaling_threads/step10243.txt"/>
    <x v="0"/>
    <n v="72"/>
    <s v="reclaimer_debra"/>
    <s v="allocator_new"/>
    <s v="pool_none"/>
    <n v="30000"/>
    <n v="20"/>
    <n v="20"/>
    <n v="0"/>
    <n v="1"/>
    <n v="2000000"/>
    <n v="96"/>
    <x v="2"/>
    <n v="96"/>
    <n v="0"/>
    <s v="insertIfAbsent"/>
    <n v="1000351549210"/>
    <n v="1000627"/>
    <m/>
    <m/>
    <s v="success"/>
    <n v="6"/>
    <n v="59943"/>
    <n v="1087175"/>
    <n v="1147118"/>
    <n v="1000627"/>
    <n v="19.136800000000001"/>
    <n v="0.92039199999999999"/>
    <n v="1.8723000000000001"/>
    <n v="3.0568300000000002"/>
    <n v="1290753662"/>
    <n v="0"/>
    <n v="860506326"/>
    <n v="1290753662"/>
    <n v="2151259988"/>
    <n v="43025122"/>
    <n v="0"/>
    <n v="28683544"/>
    <n v="43025122"/>
    <n v="71708666"/>
    <m/>
    <n v="19.572600000000001"/>
    <n v="6.1432900000000004"/>
    <n v="3725.54"/>
    <m/>
    <s v=" 1380mb"/>
    <x v="12"/>
    <s v="1380"/>
  </r>
  <r>
    <s v="scaling_threads/step10244.txt"/>
    <x v="0"/>
    <n v="72"/>
    <s v="reclaimer_debra"/>
    <s v="allocator_new"/>
    <s v="pool_none"/>
    <n v="30000"/>
    <n v="20"/>
    <n v="20"/>
    <n v="0"/>
    <n v="1"/>
    <n v="2000000"/>
    <n v="144"/>
    <x v="3"/>
    <n v="144"/>
    <n v="0"/>
    <s v="insertIfAbsent"/>
    <n v="999350934081"/>
    <n v="999053"/>
    <m/>
    <m/>
    <s v="success"/>
    <n v="6"/>
    <n v="51974"/>
    <n v="1069554"/>
    <n v="1121528"/>
    <n v="999053"/>
    <n v="21.578600000000002"/>
    <n v="0.93408400000000003"/>
    <n v="1.8908"/>
    <n v="3.0395400000000001"/>
    <n v="1425295610"/>
    <n v="0"/>
    <n v="950223350"/>
    <n v="1425295610"/>
    <n v="2375518960"/>
    <n v="47509853"/>
    <n v="0"/>
    <n v="31674111"/>
    <n v="47509853"/>
    <n v="79183965"/>
    <m/>
    <n v="24.581099999999999"/>
    <n v="10.7052"/>
    <n v="5055.59"/>
    <m/>
    <s v=" 1610mb"/>
    <x v="12"/>
    <s v="1610"/>
  </r>
  <r>
    <s v="scaling_threads/step10245.txt"/>
    <x v="0"/>
    <n v="72"/>
    <s v="reclaimer_debra"/>
    <s v="allocator_new"/>
    <s v="pool_none"/>
    <n v="30000"/>
    <n v="20"/>
    <n v="20"/>
    <n v="0"/>
    <n v="1"/>
    <n v="2000000"/>
    <n v="190"/>
    <x v="4"/>
    <n v="190"/>
    <n v="0"/>
    <s v="insertIfAbsent"/>
    <n v="1000778861188"/>
    <n v="1000960"/>
    <m/>
    <m/>
    <s v="success"/>
    <n v="6"/>
    <n v="56280"/>
    <n v="1080340"/>
    <n v="1136620"/>
    <n v="1000960"/>
    <n v="20.195799999999998"/>
    <n v="0.92652299999999999"/>
    <n v="1.8806499999999999"/>
    <n v="3.0482800000000001"/>
    <n v="1676860128"/>
    <n v="0"/>
    <n v="1117901262"/>
    <n v="1676860128"/>
    <n v="2794761390"/>
    <n v="55895337"/>
    <n v="0"/>
    <n v="37263375"/>
    <n v="55895337"/>
    <n v="93158713"/>
    <m/>
    <n v="25.158799999999999"/>
    <n v="12.0017"/>
    <n v="5672.14"/>
    <m/>
    <s v=" 1773mb"/>
    <x v="12"/>
    <s v="1773"/>
  </r>
  <r>
    <s v="scaling_threads/step10246.txt"/>
    <x v="1"/>
    <n v="208"/>
    <s v="reclaimer_debra"/>
    <s v="allocator_new"/>
    <s v="pool_none"/>
    <n v="30000"/>
    <n v="20"/>
    <n v="20"/>
    <n v="0"/>
    <n v="1"/>
    <n v="2000000"/>
    <n v="24"/>
    <x v="0"/>
    <n v="24"/>
    <n v="0"/>
    <s v="insertIfAbsent"/>
    <n v="1000618113745"/>
    <n v="1000268"/>
    <m/>
    <m/>
    <s v="success"/>
    <n v="8"/>
    <n v="34730"/>
    <n v="194906"/>
    <n v="229636"/>
    <n v="1000268"/>
    <n v="6.6120400000000004"/>
    <n v="5.1320499999999996"/>
    <n v="5.35588"/>
    <n v="7"/>
    <n v="847958297"/>
    <n v="0"/>
    <n v="565357141"/>
    <n v="847958297"/>
    <n v="1413315438"/>
    <n v="28265276"/>
    <n v="0"/>
    <n v="18845238"/>
    <n v="28265276"/>
    <n v="47110514"/>
    <m/>
    <n v="11.779299999999999"/>
    <n v="1.1233900000000001"/>
    <n v="1420.48"/>
    <m/>
    <s v=" 1139mb"/>
    <x v="12"/>
    <s v="1139"/>
  </r>
  <r>
    <s v="scaling_threads/step10247.txt"/>
    <x v="1"/>
    <n v="208"/>
    <s v="reclaimer_debra"/>
    <s v="allocator_new"/>
    <s v="pool_none"/>
    <n v="30000"/>
    <n v="20"/>
    <n v="20"/>
    <n v="0"/>
    <n v="1"/>
    <n v="2000000"/>
    <n v="48"/>
    <x v="1"/>
    <n v="48"/>
    <n v="0"/>
    <s v="insertIfAbsent"/>
    <n v="1000235065451"/>
    <n v="1000240"/>
    <m/>
    <m/>
    <s v="success"/>
    <n v="8"/>
    <n v="35205"/>
    <n v="194968"/>
    <n v="230173"/>
    <n v="1000240"/>
    <n v="6.5380799999999999"/>
    <n v="5.13028"/>
    <n v="5.3456000000000001"/>
    <n v="7"/>
    <n v="1303428732"/>
    <n v="0"/>
    <n v="868924763"/>
    <n v="1303428732"/>
    <n v="2172353495"/>
    <n v="43447624"/>
    <n v="0"/>
    <n v="28964158"/>
    <n v="43447624"/>
    <n v="72411783"/>
    <m/>
    <n v="12.4621"/>
    <n v="1.39412"/>
    <n v="1794.59"/>
    <m/>
    <s v=" 1164mb"/>
    <x v="12"/>
    <s v="1164"/>
  </r>
  <r>
    <s v="scaling_threads/step10248.txt"/>
    <x v="1"/>
    <n v="208"/>
    <s v="reclaimer_debra"/>
    <s v="allocator_new"/>
    <s v="pool_none"/>
    <n v="30000"/>
    <n v="20"/>
    <n v="20"/>
    <n v="0"/>
    <n v="1"/>
    <n v="2000000"/>
    <n v="96"/>
    <x v="2"/>
    <n v="96"/>
    <n v="0"/>
    <s v="insertIfAbsent"/>
    <n v="999437359966"/>
    <n v="998866"/>
    <m/>
    <m/>
    <s v="success"/>
    <n v="8"/>
    <n v="35782"/>
    <n v="194498"/>
    <n v="230280"/>
    <n v="998866"/>
    <n v="6.4356400000000002"/>
    <n v="5.1356099999999998"/>
    <n v="5.3376200000000003"/>
    <n v="7"/>
    <n v="2042225905"/>
    <n v="0"/>
    <n v="1361550402"/>
    <n v="2042225905"/>
    <n v="3403776307"/>
    <n v="68074196"/>
    <n v="0"/>
    <n v="45385013"/>
    <n v="68074196"/>
    <n v="113459210"/>
    <m/>
    <n v="13.813599999999999"/>
    <n v="3.7416200000000002"/>
    <n v="2349.71"/>
    <m/>
    <s v=" 1227mb"/>
    <x v="12"/>
    <s v="1227"/>
  </r>
  <r>
    <s v="scaling_threads/step10249.txt"/>
    <x v="1"/>
    <n v="208"/>
    <s v="reclaimer_debra"/>
    <s v="allocator_new"/>
    <s v="pool_none"/>
    <n v="30000"/>
    <n v="20"/>
    <n v="20"/>
    <n v="0"/>
    <n v="1"/>
    <n v="2000000"/>
    <n v="144"/>
    <x v="3"/>
    <n v="144"/>
    <n v="0"/>
    <s v="insertIfAbsent"/>
    <n v="1000515309476"/>
    <n v="1000185"/>
    <m/>
    <m/>
    <s v="success"/>
    <n v="8"/>
    <n v="36065"/>
    <n v="194739"/>
    <n v="230804"/>
    <n v="1000185"/>
    <n v="6.3996700000000004"/>
    <n v="5.1360299999999999"/>
    <n v="5.3334799999999998"/>
    <n v="7"/>
    <n v="2544034137"/>
    <n v="0"/>
    <n v="1696060707"/>
    <n v="2544034137"/>
    <n v="4240094844"/>
    <n v="84801137"/>
    <n v="0"/>
    <n v="56535356"/>
    <n v="84801137"/>
    <n v="141336494"/>
    <m/>
    <n v="14.9397"/>
    <n v="5.0407999999999999"/>
    <n v="2820.23"/>
    <m/>
    <s v=" 1359mb"/>
    <x v="12"/>
    <s v="1359"/>
  </r>
  <r>
    <s v="scaling_threads/step10250.txt"/>
    <x v="1"/>
    <n v="208"/>
    <s v="reclaimer_debra"/>
    <s v="allocator_new"/>
    <s v="pool_none"/>
    <n v="30000"/>
    <n v="20"/>
    <n v="20"/>
    <n v="0"/>
    <n v="1"/>
    <n v="2000000"/>
    <n v="190"/>
    <x v="4"/>
    <n v="190"/>
    <n v="0"/>
    <s v="insertIfAbsent"/>
    <n v="1001011472147"/>
    <n v="1000175"/>
    <m/>
    <m/>
    <s v="success"/>
    <n v="8"/>
    <n v="35899"/>
    <n v="194865"/>
    <n v="230764"/>
    <n v="1000175"/>
    <n v="6.4281499999999996"/>
    <n v="5.1326599999999996"/>
    <n v="5.3341900000000004"/>
    <n v="7"/>
    <n v="2213168924"/>
    <n v="0"/>
    <n v="1475439228"/>
    <n v="2213168924"/>
    <n v="3688608152"/>
    <n v="73772297"/>
    <n v="0"/>
    <n v="49181307"/>
    <n v="73772297"/>
    <n v="122953605"/>
    <m/>
    <n v="15.6249"/>
    <n v="5.8991600000000002"/>
    <n v="3902.21"/>
    <m/>
    <s v=" 1295mb"/>
    <x v="12"/>
    <s v="1295"/>
  </r>
  <r>
    <s v="scaling_threads/step10251.txt"/>
    <x v="2"/>
    <m/>
    <s v="reclaimer_debra"/>
    <s v="allocator_new"/>
    <s v="pool_none"/>
    <n v="30000"/>
    <n v="20"/>
    <n v="20"/>
    <n v="0"/>
    <n v="1"/>
    <n v="2000000"/>
    <n v="24"/>
    <x v="0"/>
    <n v="24"/>
    <n v="0"/>
    <s v="insertIfAbsent"/>
    <n v="998986382478"/>
    <n v="999193"/>
    <m/>
    <m/>
    <s v="success"/>
    <n v="25"/>
    <n v="685152"/>
    <n v="520348"/>
    <n v="1205500"/>
    <n v="999193"/>
    <n v="1.75946"/>
    <n v="1.9202399999999999"/>
    <n v="1.8288599999999999"/>
    <n v="19.842600000000001"/>
    <n v="435623456"/>
    <n v="0"/>
    <n v="290412723"/>
    <n v="435623456"/>
    <n v="726036179"/>
    <n v="14520781"/>
    <n v="0"/>
    <n v="9680424"/>
    <n v="14520781"/>
    <n v="24201205"/>
    <m/>
    <n v="18.052700000000002"/>
    <n v="3.1510500000000001"/>
    <n v="2765.81"/>
    <m/>
    <s v=" 1177mb"/>
    <x v="12"/>
    <s v="1177"/>
  </r>
  <r>
    <s v="scaling_threads/step10252.txt"/>
    <x v="2"/>
    <m/>
    <s v="reclaimer_debra"/>
    <s v="allocator_new"/>
    <s v="pool_none"/>
    <n v="30000"/>
    <n v="20"/>
    <n v="20"/>
    <n v="0"/>
    <n v="1"/>
    <n v="2000000"/>
    <n v="48"/>
    <x v="1"/>
    <n v="48"/>
    <n v="0"/>
    <s v="insertIfAbsent"/>
    <n v="999716531784"/>
    <n v="999548"/>
    <m/>
    <m/>
    <s v="success"/>
    <n v="25"/>
    <n v="685803"/>
    <n v="520330"/>
    <n v="1206133"/>
    <n v="999548"/>
    <n v="1.7587200000000001"/>
    <n v="1.92099"/>
    <n v="1.8287199999999999"/>
    <n v="19.8416"/>
    <n v="742042724"/>
    <n v="0"/>
    <n v="494705164"/>
    <n v="742042724"/>
    <n v="1236747888"/>
    <n v="24734757"/>
    <n v="0"/>
    <n v="16490172"/>
    <n v="24734757"/>
    <n v="41224929"/>
    <m/>
    <n v="19.1325"/>
    <n v="3.31393"/>
    <n v="3237.42"/>
    <m/>
    <s v=" 1200mb"/>
    <x v="12"/>
    <s v="1200"/>
  </r>
  <r>
    <s v="scaling_threads/step10253.txt"/>
    <x v="2"/>
    <m/>
    <s v="reclaimer_debra"/>
    <s v="allocator_new"/>
    <s v="pool_none"/>
    <n v="30000"/>
    <n v="20"/>
    <n v="20"/>
    <n v="0"/>
    <n v="1"/>
    <n v="2000000"/>
    <n v="96"/>
    <x v="2"/>
    <n v="96"/>
    <n v="0"/>
    <s v="insertIfAbsent"/>
    <n v="1000239533941"/>
    <n v="1000485"/>
    <m/>
    <m/>
    <s v="success"/>
    <n v="25"/>
    <n v="686003"/>
    <n v="521552"/>
    <n v="1207555"/>
    <n v="1000485"/>
    <n v="1.7602800000000001"/>
    <n v="1.91828"/>
    <n v="1.8285199999999999"/>
    <n v="19.787299999999998"/>
    <n v="1404780500"/>
    <n v="0"/>
    <n v="936472915"/>
    <n v="1404780500"/>
    <n v="2341253415"/>
    <n v="46826016"/>
    <n v="0"/>
    <n v="31215763"/>
    <n v="46826016"/>
    <n v="78041780"/>
    <m/>
    <n v="20.12"/>
    <n v="4.0219399999999998"/>
    <n v="3411.78"/>
    <m/>
    <s v=" 1232mb"/>
    <x v="12"/>
    <s v="1232"/>
  </r>
  <r>
    <s v="scaling_threads/step10254.txt"/>
    <x v="2"/>
    <m/>
    <s v="reclaimer_debra"/>
    <s v="allocator_new"/>
    <s v="pool_none"/>
    <n v="30000"/>
    <n v="20"/>
    <n v="20"/>
    <n v="0"/>
    <n v="1"/>
    <n v="2000000"/>
    <n v="144"/>
    <x v="3"/>
    <n v="144"/>
    <n v="0"/>
    <s v="insertIfAbsent"/>
    <n v="999060903311"/>
    <n v="999630"/>
    <m/>
    <m/>
    <s v="success"/>
    <n v="25"/>
    <n v="685784"/>
    <n v="520512"/>
    <n v="1206296"/>
    <n v="999630"/>
    <n v="1.7589999999999999"/>
    <n v="1.9204699999999999"/>
    <n v="1.8286800000000001"/>
    <n v="19.8078"/>
    <n v="2019431992"/>
    <n v="0"/>
    <n v="1346286364"/>
    <n v="2019431992"/>
    <n v="3365718356"/>
    <n v="67314399"/>
    <n v="0"/>
    <n v="44876212"/>
    <n v="67314399"/>
    <n v="112190611"/>
    <m/>
    <n v="20.644400000000001"/>
    <n v="4.4716199999999997"/>
    <n v="3534.67"/>
    <m/>
    <s v=" 1249mb"/>
    <x v="12"/>
    <s v="1249"/>
  </r>
  <r>
    <s v="scaling_threads/step10255.txt"/>
    <x v="2"/>
    <m/>
    <s v="reclaimer_debra"/>
    <s v="allocator_new"/>
    <s v="pool_none"/>
    <n v="30000"/>
    <n v="20"/>
    <n v="20"/>
    <n v="0"/>
    <n v="1"/>
    <n v="2000000"/>
    <n v="190"/>
    <x v="4"/>
    <n v="190"/>
    <n v="0"/>
    <s v="insertIfAbsent"/>
    <n v="999890330100"/>
    <n v="999866"/>
    <m/>
    <m/>
    <s v="success"/>
    <n v="25"/>
    <n v="686114"/>
    <n v="520271"/>
    <n v="1206385"/>
    <n v="999866"/>
    <n v="1.7582899999999999"/>
    <n v="1.9218200000000001"/>
    <n v="1.82881"/>
    <n v="19.839300000000001"/>
    <n v="2572979121"/>
    <n v="0"/>
    <n v="1715331942"/>
    <n v="2572979121"/>
    <n v="4288311063"/>
    <n v="85765970"/>
    <n v="0"/>
    <n v="57177731"/>
    <n v="85765970"/>
    <n v="142943702"/>
    <m/>
    <n v="21.029800000000002"/>
    <n v="4.9425699999999999"/>
    <n v="3661.6"/>
    <m/>
    <s v=" 1266mb"/>
    <x v="12"/>
    <s v="1266"/>
  </r>
  <r>
    <s v="scaling_threads/step10256.txt"/>
    <x v="3"/>
    <m/>
    <s v="reclaimer_debra"/>
    <s v="allocator_new"/>
    <s v="pool_none"/>
    <n v="30000"/>
    <n v="20"/>
    <n v="20"/>
    <n v="0"/>
    <n v="1"/>
    <n v="2000000"/>
    <n v="24"/>
    <x v="0"/>
    <n v="24"/>
    <n v="0"/>
    <s v="insertIfAbsent"/>
    <n v="998809653252"/>
    <n v="998948"/>
    <m/>
    <m/>
    <s v="success"/>
    <n v="44"/>
    <n v="998947"/>
    <n v="998948"/>
    <n v="1997895"/>
    <n v="998948"/>
    <n v="2"/>
    <n v="1"/>
    <n v="1.5"/>
    <n v="24.875299999999999"/>
    <n v="414241283"/>
    <n v="0"/>
    <n v="276183834"/>
    <n v="414241283"/>
    <n v="690425117"/>
    <n v="13808042"/>
    <n v="0"/>
    <n v="9206127"/>
    <n v="13808042"/>
    <n v="23014170"/>
    <m/>
    <n v="13.1548"/>
    <n v="2.3570899999999999"/>
    <n v="2908.72"/>
    <m/>
    <s v=" 1176mb"/>
    <x v="12"/>
    <s v="1176"/>
  </r>
  <r>
    <s v="scaling_threads/step10257.txt"/>
    <x v="3"/>
    <m/>
    <s v="reclaimer_debra"/>
    <s v="allocator_new"/>
    <s v="pool_none"/>
    <n v="30000"/>
    <n v="20"/>
    <n v="20"/>
    <n v="0"/>
    <n v="1"/>
    <n v="2000000"/>
    <n v="48"/>
    <x v="1"/>
    <n v="48"/>
    <n v="0"/>
    <s v="insertIfAbsent"/>
    <n v="1000063618957"/>
    <n v="1000626"/>
    <m/>
    <m/>
    <s v="success"/>
    <n v="46"/>
    <n v="1000625"/>
    <n v="1000626"/>
    <n v="2001251"/>
    <n v="1000626"/>
    <n v="2"/>
    <n v="1"/>
    <n v="1.5"/>
    <n v="25.709900000000001"/>
    <n v="739043939"/>
    <n v="0"/>
    <n v="492669750"/>
    <n v="739043939"/>
    <n v="1231713689"/>
    <n v="24634797"/>
    <n v="0"/>
    <n v="16422325"/>
    <n v="24634797"/>
    <n v="41057122"/>
    <m/>
    <n v="13.370200000000001"/>
    <n v="2.4182000000000001"/>
    <n v="3259.75"/>
    <m/>
    <s v=" 1197mb"/>
    <x v="12"/>
    <s v="1197"/>
  </r>
  <r>
    <s v="scaling_threads/step10258.txt"/>
    <x v="3"/>
    <m/>
    <s v="reclaimer_debra"/>
    <s v="allocator_new"/>
    <s v="pool_none"/>
    <n v="30000"/>
    <n v="20"/>
    <n v="20"/>
    <n v="0"/>
    <n v="1"/>
    <n v="2000000"/>
    <n v="96"/>
    <x v="2"/>
    <n v="96"/>
    <n v="0"/>
    <s v="insertIfAbsent"/>
    <n v="1000256095532"/>
    <n v="1000055"/>
    <m/>
    <m/>
    <s v="success"/>
    <n v="48"/>
    <n v="1000054"/>
    <n v="1000055"/>
    <n v="2000109"/>
    <n v="1000055"/>
    <n v="2"/>
    <n v="1"/>
    <n v="1.5"/>
    <n v="26.256"/>
    <n v="1433744735"/>
    <n v="0"/>
    <n v="955855753"/>
    <n v="1433744735"/>
    <n v="2389600488"/>
    <n v="47791491"/>
    <n v="0"/>
    <n v="31861858"/>
    <n v="47791491"/>
    <n v="79653349"/>
    <m/>
    <n v="14.812099999999999"/>
    <n v="3.2330399999999999"/>
    <n v="3356.08"/>
    <m/>
    <s v=" 1204mb"/>
    <x v="12"/>
    <s v="1204"/>
  </r>
  <r>
    <s v="scaling_threads/step10259.txt"/>
    <x v="3"/>
    <m/>
    <s v="reclaimer_debra"/>
    <s v="allocator_new"/>
    <s v="pool_none"/>
    <n v="30000"/>
    <n v="20"/>
    <n v="20"/>
    <n v="0"/>
    <n v="1"/>
    <n v="2000000"/>
    <n v="144"/>
    <x v="3"/>
    <n v="144"/>
    <n v="0"/>
    <s v="insertIfAbsent"/>
    <n v="1000305251728"/>
    <n v="1000253"/>
    <m/>
    <m/>
    <s v="success"/>
    <n v="46"/>
    <n v="1000252"/>
    <n v="1000253"/>
    <n v="2000505"/>
    <n v="1000253"/>
    <n v="2"/>
    <n v="1"/>
    <n v="1.5"/>
    <n v="25.821200000000001"/>
    <n v="1912159036"/>
    <n v="0"/>
    <n v="1274847541"/>
    <n v="1912159036"/>
    <n v="3187006577"/>
    <n v="63738634"/>
    <n v="0"/>
    <n v="42494918"/>
    <n v="63738634"/>
    <n v="106233552"/>
    <m/>
    <n v="15.675599999999999"/>
    <n v="3.9782500000000001"/>
    <n v="3769.28"/>
    <m/>
    <s v=" 1226mb"/>
    <x v="12"/>
    <s v="1226"/>
  </r>
  <r>
    <s v="scaling_threads/step10260.txt"/>
    <x v="3"/>
    <m/>
    <s v="reclaimer_debra"/>
    <s v="allocator_new"/>
    <s v="pool_none"/>
    <n v="30000"/>
    <n v="20"/>
    <n v="20"/>
    <n v="0"/>
    <n v="1"/>
    <n v="2000000"/>
    <n v="190"/>
    <x v="4"/>
    <n v="190"/>
    <n v="0"/>
    <s v="insertIfAbsent"/>
    <n v="1001434205284"/>
    <n v="1001209"/>
    <m/>
    <m/>
    <s v="success"/>
    <n v="48"/>
    <n v="1001208"/>
    <n v="1001209"/>
    <n v="2002417"/>
    <n v="1001209"/>
    <n v="2"/>
    <n v="1"/>
    <n v="1.5"/>
    <n v="26.877400000000002"/>
    <n v="2225008168"/>
    <n v="0"/>
    <n v="1483472964"/>
    <n v="2225008168"/>
    <n v="3708481132"/>
    <n v="74166938"/>
    <n v="0"/>
    <n v="49449098"/>
    <n v="74166938"/>
    <n v="123616037"/>
    <m/>
    <n v="16.279699999999998"/>
    <n v="4.3550800000000001"/>
    <n v="4247.34"/>
    <m/>
    <s v=" 1227mb"/>
    <x v="12"/>
    <s v="1227"/>
  </r>
  <r>
    <s v="scaling_threads/step10261.txt"/>
    <x v="0"/>
    <n v="72"/>
    <s v="reclaimer_debra"/>
    <s v="allocator_new"/>
    <s v="pool_none"/>
    <n v="30000"/>
    <n v="20"/>
    <n v="20"/>
    <n v="0"/>
    <n v="1"/>
    <n v="20000000"/>
    <n v="24"/>
    <x v="0"/>
    <n v="24"/>
    <n v="0"/>
    <s v="insertIfAbsent"/>
    <n v="99980402040160"/>
    <n v="9999742"/>
    <m/>
    <m/>
    <s v="success"/>
    <n v="7"/>
    <n v="1805455"/>
    <n v="11810094"/>
    <n v="13615549"/>
    <n v="9999742"/>
    <n v="7.5413399999999999"/>
    <n v="0.84671099999999999"/>
    <n v="1.73444"/>
    <n v="4.0359499999999997"/>
    <n v="346615996"/>
    <n v="0"/>
    <n v="231082174"/>
    <n v="346615996"/>
    <n v="577698170"/>
    <n v="11553866"/>
    <n v="0"/>
    <n v="7702739"/>
    <n v="11553866"/>
    <n v="19256605"/>
    <m/>
    <n v="26.5303"/>
    <n v="11.2364"/>
    <n v="3444.95"/>
    <m/>
    <s v=" 2450mb"/>
    <x v="13"/>
    <s v="2450"/>
  </r>
  <r>
    <s v="scaling_threads/step10262.txt"/>
    <x v="0"/>
    <n v="72"/>
    <s v="reclaimer_debra"/>
    <s v="allocator_new"/>
    <s v="pool_none"/>
    <n v="30000"/>
    <n v="20"/>
    <n v="20"/>
    <n v="0"/>
    <n v="1"/>
    <n v="20000000"/>
    <n v="48"/>
    <x v="1"/>
    <n v="48"/>
    <n v="0"/>
    <s v="insertIfAbsent"/>
    <n v="99970950088961"/>
    <n v="9999516"/>
    <m/>
    <m/>
    <s v="success"/>
    <n v="7"/>
    <n v="1884079"/>
    <n v="11997357"/>
    <n v="13881436"/>
    <n v="9999516"/>
    <n v="7.3677599999999996"/>
    <n v="0.83347700000000002"/>
    <n v="1.72035"/>
    <n v="4.0500400000000001"/>
    <n v="553557914"/>
    <n v="0"/>
    <n v="368995605"/>
    <n v="553557914"/>
    <n v="922553519"/>
    <n v="18451930"/>
    <n v="0"/>
    <n v="12299853"/>
    <n v="18451930"/>
    <n v="30751783"/>
    <m/>
    <n v="26.865400000000001"/>
    <n v="11.8171"/>
    <n v="4304.8100000000004"/>
    <m/>
    <s v=" 2507mb"/>
    <x v="13"/>
    <s v="2507"/>
  </r>
  <r>
    <s v="scaling_threads/step10263.txt"/>
    <x v="0"/>
    <n v="72"/>
    <s v="reclaimer_debra"/>
    <s v="allocator_new"/>
    <s v="pool_none"/>
    <n v="30000"/>
    <n v="20"/>
    <n v="20"/>
    <n v="0"/>
    <n v="1"/>
    <n v="20000000"/>
    <n v="96"/>
    <x v="2"/>
    <n v="96"/>
    <n v="0"/>
    <s v="insertIfAbsent"/>
    <n v="100017951394446"/>
    <n v="10000025"/>
    <m/>
    <m/>
    <s v="success"/>
    <n v="7"/>
    <n v="1756903"/>
    <n v="11714594"/>
    <n v="13471497"/>
    <n v="10000025"/>
    <n v="7.6677499999999998"/>
    <n v="0.85363800000000001"/>
    <n v="1.74231"/>
    <n v="4.0270700000000001"/>
    <n v="982203219"/>
    <n v="0"/>
    <n v="654759520"/>
    <n v="982203219"/>
    <n v="1636962739"/>
    <n v="32740107"/>
    <n v="0"/>
    <n v="21825317"/>
    <n v="32740107"/>
    <n v="54565424"/>
    <m/>
    <n v="27.849599999999999"/>
    <n v="13.738200000000001"/>
    <n v="4812.6499999999996"/>
    <m/>
    <s v=" 2633mb"/>
    <x v="13"/>
    <s v="2633"/>
  </r>
  <r>
    <s v="scaling_threads/step10264.txt"/>
    <x v="0"/>
    <n v="72"/>
    <s v="reclaimer_debra"/>
    <s v="allocator_new"/>
    <s v="pool_none"/>
    <n v="30000"/>
    <n v="20"/>
    <n v="20"/>
    <n v="0"/>
    <n v="1"/>
    <n v="20000000"/>
    <n v="144"/>
    <x v="3"/>
    <n v="144"/>
    <n v="0"/>
    <s v="insertIfAbsent"/>
    <n v="100019247826999"/>
    <n v="9999557"/>
    <m/>
    <m/>
    <s v="success"/>
    <n v="7"/>
    <n v="1625824"/>
    <n v="11441956"/>
    <n v="13067780"/>
    <n v="9999557"/>
    <n v="8.0376399999999997"/>
    <n v="0.87393799999999999"/>
    <n v="1.7652099999999999"/>
    <n v="4.0000099999999996"/>
    <n v="1379796764"/>
    <n v="0"/>
    <n v="919844677"/>
    <n v="1379796764"/>
    <n v="2299641441"/>
    <n v="45993225"/>
    <n v="0"/>
    <n v="30661489"/>
    <n v="45993225"/>
    <n v="76654714"/>
    <m/>
    <n v="28.184799999999999"/>
    <n v="14.590299999999999"/>
    <n v="5099.29"/>
    <m/>
    <s v=" 2818mb"/>
    <x v="13"/>
    <s v="2818"/>
  </r>
  <r>
    <s v="scaling_threads/step10265.txt"/>
    <x v="0"/>
    <n v="72"/>
    <s v="reclaimer_debra"/>
    <s v="allocator_new"/>
    <s v="pool_none"/>
    <n v="30000"/>
    <n v="20"/>
    <n v="20"/>
    <n v="0"/>
    <n v="1"/>
    <n v="20000000"/>
    <n v="190"/>
    <x v="4"/>
    <n v="190"/>
    <n v="0"/>
    <s v="insertIfAbsent"/>
    <n v="100014311764210"/>
    <n v="10000801"/>
    <m/>
    <m/>
    <s v="success"/>
    <n v="7"/>
    <n v="1769192"/>
    <n v="11748835"/>
    <n v="13518027"/>
    <n v="10000801"/>
    <n v="7.64079"/>
    <n v="0.85121599999999997"/>
    <n v="1.7398100000000001"/>
    <n v="4.0287499999999996"/>
    <n v="1670490372"/>
    <n v="0"/>
    <n v="1113618933"/>
    <n v="1670490372"/>
    <n v="2784109305"/>
    <n v="55683012"/>
    <n v="0"/>
    <n v="37120631"/>
    <n v="55683012"/>
    <n v="92803643"/>
    <m/>
    <n v="28.770099999999999"/>
    <n v="15.3847"/>
    <n v="5517.07"/>
    <m/>
    <s v=" 2938mb"/>
    <x v="13"/>
    <s v="2938"/>
  </r>
  <r>
    <s v="scaling_threads/step10266.txt"/>
    <x v="1"/>
    <n v="208"/>
    <s v="reclaimer_debra"/>
    <s v="allocator_new"/>
    <s v="pool_none"/>
    <n v="30000"/>
    <n v="20"/>
    <n v="20"/>
    <n v="0"/>
    <n v="1"/>
    <n v="20000000"/>
    <n v="24"/>
    <x v="0"/>
    <n v="24"/>
    <n v="0"/>
    <s v="insertIfAbsent"/>
    <n v="100058614412771"/>
    <n v="10003408"/>
    <m/>
    <m/>
    <s v="success"/>
    <n v="9"/>
    <n v="293633"/>
    <n v="1947202"/>
    <n v="2240835"/>
    <n v="10003408"/>
    <n v="7.6314099999999998"/>
    <n v="5.1373199999999999"/>
    <n v="5.4641400000000004"/>
    <n v="8"/>
    <n v="463675485"/>
    <n v="0"/>
    <n v="309106540"/>
    <n v="463675485"/>
    <n v="772782025"/>
    <n v="15455849"/>
    <n v="0"/>
    <n v="10303551"/>
    <n v="15455849"/>
    <n v="25759400"/>
    <m/>
    <n v="19.576000000000001"/>
    <n v="6.4038599999999999"/>
    <n v="2597.41"/>
    <m/>
    <s v=" 1574mb"/>
    <x v="13"/>
    <s v="1574"/>
  </r>
  <r>
    <s v="scaling_threads/step10267.txt"/>
    <x v="1"/>
    <n v="208"/>
    <s v="reclaimer_debra"/>
    <s v="allocator_new"/>
    <s v="pool_none"/>
    <n v="30000"/>
    <n v="20"/>
    <n v="20"/>
    <n v="0"/>
    <n v="1"/>
    <n v="20000000"/>
    <n v="48"/>
    <x v="1"/>
    <n v="48"/>
    <n v="0"/>
    <s v="insertIfAbsent"/>
    <n v="100019650095740"/>
    <n v="10001750"/>
    <m/>
    <m/>
    <s v="success"/>
    <n v="9"/>
    <n v="308310"/>
    <n v="1966589"/>
    <n v="2274899"/>
    <n v="10001750"/>
    <n v="7.3786100000000001"/>
    <n v="5.0858400000000001"/>
    <n v="5.3965699999999996"/>
    <n v="8"/>
    <n v="824156429"/>
    <n v="0"/>
    <n v="549479964"/>
    <n v="824156429"/>
    <n v="1373636393"/>
    <n v="27471880"/>
    <n v="0"/>
    <n v="18315998"/>
    <n v="27471880"/>
    <n v="45787879"/>
    <m/>
    <n v="20.0871"/>
    <n v="6.7718600000000002"/>
    <n v="2919.22"/>
    <m/>
    <s v=" 1712mb"/>
    <x v="13"/>
    <s v="1712"/>
  </r>
  <r>
    <s v="scaling_threads/step10268.txt"/>
    <x v="1"/>
    <n v="208"/>
    <s v="reclaimer_debra"/>
    <s v="allocator_new"/>
    <s v="pool_none"/>
    <n v="30000"/>
    <n v="20"/>
    <n v="20"/>
    <n v="0"/>
    <n v="1"/>
    <n v="20000000"/>
    <n v="96"/>
    <x v="2"/>
    <n v="96"/>
    <n v="0"/>
    <s v="insertIfAbsent"/>
    <n v="99969656321582"/>
    <n v="9998961"/>
    <m/>
    <m/>
    <s v="success"/>
    <n v="10"/>
    <n v="319978"/>
    <n v="1960623"/>
    <n v="2280601"/>
    <n v="9998961"/>
    <n v="7.12737"/>
    <n v="5.0998900000000003"/>
    <n v="5.3843500000000004"/>
    <n v="9"/>
    <n v="1481477330"/>
    <n v="0"/>
    <n v="987623678"/>
    <n v="1481477330"/>
    <n v="2469101008"/>
    <n v="49382577"/>
    <n v="0"/>
    <n v="32920789"/>
    <n v="49382577"/>
    <n v="82303366"/>
    <m/>
    <n v="21.331800000000001"/>
    <n v="7.6409000000000002"/>
    <n v="3239.27"/>
    <m/>
    <s v=" 2140mb"/>
    <x v="13"/>
    <s v="2140"/>
  </r>
  <r>
    <s v="scaling_threads/step10269.txt"/>
    <x v="1"/>
    <n v="208"/>
    <s v="reclaimer_debra"/>
    <s v="allocator_new"/>
    <s v="pool_none"/>
    <n v="30000"/>
    <n v="20"/>
    <n v="20"/>
    <n v="0"/>
    <n v="1"/>
    <n v="20000000"/>
    <n v="144"/>
    <x v="3"/>
    <n v="144"/>
    <n v="0"/>
    <s v="insertIfAbsent"/>
    <n v="100022977518468"/>
    <n v="10000781"/>
    <m/>
    <m/>
    <s v="success"/>
    <n v="10"/>
    <n v="325006"/>
    <n v="1956937"/>
    <n v="2281943"/>
    <n v="10000781"/>
    <n v="7.0212300000000001"/>
    <n v="5.11043"/>
    <n v="5.3825700000000003"/>
    <n v="9"/>
    <n v="1932711973"/>
    <n v="0"/>
    <n v="1288559673"/>
    <n v="1932711973"/>
    <n v="3221271646"/>
    <n v="64423732"/>
    <n v="0"/>
    <n v="42951989"/>
    <n v="64423732"/>
    <n v="107375721"/>
    <m/>
    <n v="22.539200000000001"/>
    <n v="8.6455500000000001"/>
    <n v="3724.88"/>
    <m/>
    <s v=" 2109mb"/>
    <x v="13"/>
    <s v="2109"/>
  </r>
  <r>
    <s v="scaling_threads/step10270.txt"/>
    <x v="1"/>
    <n v="208"/>
    <s v="reclaimer_debra"/>
    <s v="allocator_new"/>
    <s v="pool_none"/>
    <n v="30000"/>
    <n v="20"/>
    <n v="20"/>
    <n v="0"/>
    <n v="1"/>
    <n v="20000000"/>
    <n v="190"/>
    <x v="4"/>
    <n v="190"/>
    <n v="0"/>
    <s v="insertIfAbsent"/>
    <n v="99991089219578"/>
    <n v="9998919"/>
    <m/>
    <m/>
    <s v="success"/>
    <n v="10"/>
    <n v="327372"/>
    <n v="1954958"/>
    <n v="2282330"/>
    <n v="9998919"/>
    <n v="6.9716699999999996"/>
    <n v="5.1146500000000001"/>
    <n v="5.3810099999999998"/>
    <n v="9"/>
    <n v="2211355372"/>
    <n v="0"/>
    <n v="1474259220"/>
    <n v="2211355372"/>
    <n v="3685614592"/>
    <n v="73711845"/>
    <n v="0"/>
    <n v="49141974"/>
    <n v="73711845"/>
    <n v="122853819"/>
    <m/>
    <n v="22.851400000000002"/>
    <n v="9.1099899999999998"/>
    <n v="4267.75"/>
    <m/>
    <s v=" 2266mb"/>
    <x v="13"/>
    <s v="2266"/>
  </r>
  <r>
    <s v="scaling_threads/step10271.txt"/>
    <x v="2"/>
    <m/>
    <s v="reclaimer_debra"/>
    <s v="allocator_new"/>
    <s v="pool_none"/>
    <n v="30000"/>
    <n v="20"/>
    <n v="20"/>
    <n v="0"/>
    <n v="1"/>
    <n v="20000000"/>
    <n v="24"/>
    <x v="0"/>
    <n v="24"/>
    <n v="0"/>
    <s v="insertIfAbsent"/>
    <n v="99944966943250"/>
    <n v="9997289"/>
    <m/>
    <m/>
    <s v="success"/>
    <n v="29"/>
    <n v="6856929"/>
    <n v="5202104"/>
    <n v="12059033"/>
    <n v="9997289"/>
    <n v="1.7586599999999999"/>
    <n v="1.92178"/>
    <n v="1.8290299999999999"/>
    <n v="23.245999999999999"/>
    <n v="224595554"/>
    <n v="0"/>
    <n v="149739823"/>
    <n v="224595554"/>
    <n v="374335377"/>
    <n v="7486518"/>
    <n v="0"/>
    <n v="4991327"/>
    <n v="7486518"/>
    <n v="12477845"/>
    <m/>
    <n v="30.1065"/>
    <n v="10.6172"/>
    <n v="5356.96"/>
    <m/>
    <s v=" 1860mb"/>
    <x v="13"/>
    <s v="1860"/>
  </r>
  <r>
    <s v="scaling_threads/step10272.txt"/>
    <x v="2"/>
    <m/>
    <s v="reclaimer_debra"/>
    <s v="allocator_new"/>
    <s v="pool_none"/>
    <n v="30000"/>
    <n v="20"/>
    <n v="20"/>
    <n v="0"/>
    <n v="1"/>
    <n v="20000000"/>
    <n v="48"/>
    <x v="1"/>
    <n v="48"/>
    <n v="0"/>
    <s v="insertIfAbsent"/>
    <n v="100008888886242"/>
    <n v="10000177"/>
    <m/>
    <m/>
    <s v="success"/>
    <n v="29"/>
    <n v="6857872"/>
    <n v="5203557"/>
    <n v="12061429"/>
    <n v="10000177"/>
    <n v="1.7587699999999999"/>
    <n v="1.9218"/>
    <n v="1.8290999999999999"/>
    <n v="23.305"/>
    <n v="423696497"/>
    <n v="0"/>
    <n v="282494460"/>
    <n v="423696497"/>
    <n v="706190957"/>
    <n v="14123216"/>
    <n v="0"/>
    <n v="9416482"/>
    <n v="14123216"/>
    <n v="23539698"/>
    <m/>
    <n v="30.7804"/>
    <n v="10.601100000000001"/>
    <n v="5679.69"/>
    <m/>
    <s v=" 1890mb"/>
    <x v="13"/>
    <s v="1890"/>
  </r>
  <r>
    <s v="scaling_threads/step10273.txt"/>
    <x v="2"/>
    <m/>
    <s v="reclaimer_debra"/>
    <s v="allocator_new"/>
    <s v="pool_none"/>
    <n v="30000"/>
    <n v="20"/>
    <n v="20"/>
    <n v="0"/>
    <n v="1"/>
    <n v="20000000"/>
    <n v="96"/>
    <x v="2"/>
    <n v="96"/>
    <n v="0"/>
    <s v="insertIfAbsent"/>
    <n v="100021104857961"/>
    <n v="10001511"/>
    <m/>
    <m/>
    <s v="success"/>
    <n v="29"/>
    <n v="6860243"/>
    <n v="5217017"/>
    <n v="12077260"/>
    <n v="10001511"/>
    <n v="1.76047"/>
    <n v="1.91709"/>
    <n v="1.82813"/>
    <n v="23.250699999999998"/>
    <n v="876820626"/>
    <n v="0"/>
    <n v="584584430"/>
    <n v="876820626"/>
    <n v="1461405056"/>
    <n v="29227354"/>
    <n v="0"/>
    <n v="19486147"/>
    <n v="29227354"/>
    <n v="48713501"/>
    <m/>
    <n v="31.513500000000001"/>
    <n v="11.194900000000001"/>
    <n v="5488.4"/>
    <m/>
    <s v=" 2044mb"/>
    <x v="13"/>
    <s v="2044"/>
  </r>
  <r>
    <s v="scaling_threads/step10274.txt"/>
    <x v="2"/>
    <m/>
    <s v="reclaimer_debra"/>
    <s v="allocator_new"/>
    <s v="pool_none"/>
    <n v="30000"/>
    <n v="20"/>
    <n v="20"/>
    <n v="0"/>
    <n v="1"/>
    <n v="20000000"/>
    <n v="144"/>
    <x v="3"/>
    <n v="144"/>
    <n v="0"/>
    <s v="insertIfAbsent"/>
    <n v="100006071057778"/>
    <n v="10000434"/>
    <m/>
    <m/>
    <s v="success"/>
    <n v="29"/>
    <n v="6858383"/>
    <n v="5203229"/>
    <n v="12061612"/>
    <n v="10000434"/>
    <n v="1.75867"/>
    <n v="1.92197"/>
    <n v="1.82911"/>
    <n v="23.206900000000001"/>
    <n v="1280733607"/>
    <n v="0"/>
    <n v="853781035"/>
    <n v="1280733607"/>
    <n v="2134514642"/>
    <n v="42691120"/>
    <n v="0"/>
    <n v="28459367"/>
    <n v="42691120"/>
    <n v="71150488"/>
    <m/>
    <n v="32.4345"/>
    <n v="11.8695"/>
    <n v="5626.12"/>
    <m/>
    <s v=" 2417mb"/>
    <x v="13"/>
    <s v="2417"/>
  </r>
  <r>
    <s v="scaling_threads/step10275.txt"/>
    <x v="2"/>
    <m/>
    <s v="reclaimer_debra"/>
    <s v="allocator_new"/>
    <s v="pool_none"/>
    <n v="30000"/>
    <n v="20"/>
    <n v="20"/>
    <n v="0"/>
    <n v="1"/>
    <n v="20000000"/>
    <n v="190"/>
    <x v="4"/>
    <n v="190"/>
    <n v="0"/>
    <s v="insertIfAbsent"/>
    <n v="99997142776401"/>
    <n v="9998842"/>
    <m/>
    <m/>
    <s v="success"/>
    <n v="29"/>
    <n v="6857152"/>
    <n v="5201412"/>
    <n v="12058564"/>
    <n v="9998842"/>
    <n v="1.75854"/>
    <n v="1.9223300000000001"/>
    <n v="1.8291900000000001"/>
    <n v="23.262"/>
    <n v="1650843212"/>
    <n v="0"/>
    <n v="1100565034"/>
    <n v="1650843212"/>
    <n v="2751408246"/>
    <n v="55028107"/>
    <n v="0"/>
    <n v="36685501"/>
    <n v="55028107"/>
    <n v="91713608"/>
    <m/>
    <n v="33.021599999999999"/>
    <n v="12.347300000000001"/>
    <n v="5760.61"/>
    <m/>
    <s v=" 2512mb"/>
    <x v="13"/>
    <s v="2512"/>
  </r>
  <r>
    <s v="scaling_threads/step10276.txt"/>
    <x v="3"/>
    <m/>
    <s v="reclaimer_debra"/>
    <s v="allocator_new"/>
    <s v="pool_none"/>
    <n v="30000"/>
    <n v="20"/>
    <n v="20"/>
    <n v="0"/>
    <n v="1"/>
    <n v="20000000"/>
    <n v="24"/>
    <x v="0"/>
    <n v="24"/>
    <n v="0"/>
    <s v="insertIfAbsent"/>
    <n v="99991859156274"/>
    <n v="9999010"/>
    <m/>
    <m/>
    <s v="success"/>
    <n v="58"/>
    <n v="9999009"/>
    <n v="9999010"/>
    <n v="19998019"/>
    <n v="9999010"/>
    <n v="2"/>
    <n v="1"/>
    <n v="1.5"/>
    <n v="31.5275"/>
    <n v="188182508"/>
    <n v="0"/>
    <n v="125430413"/>
    <n v="188182508"/>
    <n v="313612921"/>
    <n v="6272750"/>
    <n v="0"/>
    <n v="4181013"/>
    <n v="6272750"/>
    <n v="10453764"/>
    <m/>
    <n v="26.156600000000001"/>
    <n v="9.7874700000000008"/>
    <n v="6403.36"/>
    <m/>
    <s v=" 1750mb"/>
    <x v="13"/>
    <s v="1750"/>
  </r>
  <r>
    <s v="scaling_threads/step10277.txt"/>
    <x v="3"/>
    <m/>
    <s v="reclaimer_debra"/>
    <s v="allocator_new"/>
    <s v="pool_none"/>
    <n v="30000"/>
    <n v="20"/>
    <n v="20"/>
    <n v="0"/>
    <n v="1"/>
    <n v="20000000"/>
    <n v="48"/>
    <x v="1"/>
    <n v="48"/>
    <n v="0"/>
    <s v="insertIfAbsent"/>
    <n v="99997999498442"/>
    <n v="10001698"/>
    <m/>
    <m/>
    <s v="success"/>
    <n v="58"/>
    <n v="10001697"/>
    <n v="10001698"/>
    <n v="20003395"/>
    <n v="10001698"/>
    <n v="2"/>
    <n v="1"/>
    <n v="1.5"/>
    <n v="31.013300000000001"/>
    <n v="361014622"/>
    <n v="0"/>
    <n v="240705326"/>
    <n v="361014622"/>
    <n v="601719948"/>
    <n v="12033820"/>
    <n v="0"/>
    <n v="8023510"/>
    <n v="12033820"/>
    <n v="20057331"/>
    <m/>
    <n v="26.109000000000002"/>
    <n v="9.5933700000000002"/>
    <n v="6670.09"/>
    <m/>
    <s v=" 1818mb"/>
    <x v="13"/>
    <s v="1818"/>
  </r>
  <r>
    <s v="scaling_threads/step10278.txt"/>
    <x v="3"/>
    <m/>
    <s v="reclaimer_debra"/>
    <s v="allocator_new"/>
    <s v="pool_none"/>
    <n v="30000"/>
    <n v="20"/>
    <n v="20"/>
    <n v="0"/>
    <n v="1"/>
    <n v="20000000"/>
    <n v="96"/>
    <x v="2"/>
    <n v="96"/>
    <n v="0"/>
    <s v="insertIfAbsent"/>
    <n v="100023087845286"/>
    <n v="10001834"/>
    <m/>
    <m/>
    <s v="success"/>
    <n v="55"/>
    <n v="10001833"/>
    <n v="10001834"/>
    <n v="20003667"/>
    <n v="10001834"/>
    <n v="2"/>
    <n v="1"/>
    <n v="1.5"/>
    <n v="30.066299999999998"/>
    <n v="762912601"/>
    <n v="0"/>
    <n v="508612904"/>
    <n v="762912601"/>
    <n v="1271525505"/>
    <n v="25430420"/>
    <n v="0"/>
    <n v="16953763"/>
    <n v="25430420"/>
    <n v="42384183"/>
    <m/>
    <n v="27.485099999999999"/>
    <n v="10.628399999999999"/>
    <n v="6311.44"/>
    <m/>
    <s v=" 2276mb"/>
    <x v="13"/>
    <s v="2276"/>
  </r>
  <r>
    <s v="scaling_threads/step10279.txt"/>
    <x v="3"/>
    <m/>
    <s v="reclaimer_debra"/>
    <s v="allocator_new"/>
    <s v="pool_none"/>
    <n v="30000"/>
    <n v="20"/>
    <n v="20"/>
    <n v="0"/>
    <n v="1"/>
    <n v="20000000"/>
    <n v="144"/>
    <x v="3"/>
    <n v="144"/>
    <n v="0"/>
    <s v="insertIfAbsent"/>
    <n v="99947251995170"/>
    <n v="9996993"/>
    <m/>
    <m/>
    <s v="success"/>
    <n v="60"/>
    <n v="9996992"/>
    <n v="9996993"/>
    <n v="19993985"/>
    <n v="9996993"/>
    <n v="2"/>
    <n v="1"/>
    <n v="1.5"/>
    <n v="30.868500000000001"/>
    <n v="1065739933"/>
    <n v="0"/>
    <n v="710520252"/>
    <n v="1065739933"/>
    <n v="1776260185"/>
    <n v="35524664"/>
    <n v="0"/>
    <n v="23684008"/>
    <n v="35524664"/>
    <n v="59208672"/>
    <m/>
    <n v="28.7546"/>
    <n v="11.5708"/>
    <n v="6773.05"/>
    <m/>
    <s v=" 2342mb"/>
    <x v="13"/>
    <s v="2342"/>
  </r>
  <r>
    <s v="scaling_threads/step10280.txt"/>
    <x v="3"/>
    <m/>
    <s v="reclaimer_debra"/>
    <s v="allocator_new"/>
    <s v="pool_none"/>
    <n v="30000"/>
    <n v="20"/>
    <n v="20"/>
    <n v="0"/>
    <n v="1"/>
    <n v="20000000"/>
    <n v="190"/>
    <x v="4"/>
    <n v="190"/>
    <n v="0"/>
    <s v="insertIfAbsent"/>
    <n v="99995429185856"/>
    <n v="10000485"/>
    <m/>
    <m/>
    <s v="success"/>
    <n v="56"/>
    <n v="10000484"/>
    <n v="10000485"/>
    <n v="20000969"/>
    <n v="10000485"/>
    <n v="2"/>
    <n v="1"/>
    <n v="1.5"/>
    <n v="30.548300000000001"/>
    <n v="1293873418"/>
    <n v="0"/>
    <n v="862553305"/>
    <n v="1293873418"/>
    <n v="2156426723"/>
    <n v="43129113"/>
    <n v="0"/>
    <n v="28751776"/>
    <n v="43129113"/>
    <n v="71880890"/>
    <m/>
    <n v="29.239100000000001"/>
    <n v="12.1327"/>
    <n v="7332.03"/>
    <m/>
    <s v=" 2317mb"/>
    <x v="13"/>
    <s v="2317"/>
  </r>
  <r>
    <s v="scaling_threads/step10281.txt"/>
    <x v="0"/>
    <n v="72"/>
    <s v="reclaimer_debra"/>
    <s v="allocator_new"/>
    <s v="pool_none"/>
    <n v="30000"/>
    <n v="20"/>
    <n v="20"/>
    <n v="0"/>
    <n v="1"/>
    <n v="200000000"/>
    <n v="24"/>
    <x v="0"/>
    <n v="24"/>
    <n v="0"/>
    <s v="insertIfAbsent"/>
    <n v="1.0001012818703E+16"/>
    <n v="100011350"/>
    <m/>
    <m/>
    <s v="success"/>
    <n v="7"/>
    <n v="13517400"/>
    <n v="115102200"/>
    <n v="128619600"/>
    <n v="100011350"/>
    <n v="9.51511"/>
    <n v="0.868892"/>
    <n v="1.7775700000000001"/>
    <n v="4.0482100000000001"/>
    <n v="298193487"/>
    <n v="0"/>
    <n v="198823588"/>
    <n v="298193487"/>
    <n v="497017075"/>
    <n v="9939782"/>
    <n v="0"/>
    <n v="6627452"/>
    <n v="9939782"/>
    <n v="16567235"/>
    <m/>
    <n v="27.1374"/>
    <n v="12.986000000000001"/>
    <n v="3908.49"/>
    <m/>
    <s v=" 12592mb"/>
    <x v="14"/>
    <s v="12592"/>
  </r>
  <r>
    <s v="scaling_threads/step10282.txt"/>
    <x v="0"/>
    <n v="72"/>
    <s v="reclaimer_debra"/>
    <s v="allocator_new"/>
    <s v="pool_none"/>
    <n v="30000"/>
    <n v="20"/>
    <n v="20"/>
    <n v="0"/>
    <n v="1"/>
    <n v="200000000"/>
    <n v="48"/>
    <x v="1"/>
    <n v="48"/>
    <n v="0"/>
    <s v="insertIfAbsent"/>
    <n v="9999143019562460"/>
    <n v="99995529"/>
    <m/>
    <m/>
    <s v="success"/>
    <n v="7"/>
    <n v="12372529"/>
    <n v="112745417"/>
    <n v="125117946"/>
    <n v="99995529"/>
    <n v="10.1126"/>
    <n v="0.88691399999999998"/>
    <n v="1.79921"/>
    <n v="4.0277200000000004"/>
    <n v="458806862"/>
    <n v="0"/>
    <n v="305851273"/>
    <n v="458806862"/>
    <n v="764658135"/>
    <n v="15293562"/>
    <n v="0"/>
    <n v="10195042"/>
    <n v="15293562"/>
    <n v="25488604"/>
    <m/>
    <n v="29.7898"/>
    <n v="14.400499999999999"/>
    <n v="5027.3100000000004"/>
    <m/>
    <s v=" 13140mb"/>
    <x v="14"/>
    <s v="13140"/>
  </r>
  <r>
    <s v="scaling_threads/step10283.txt"/>
    <x v="0"/>
    <n v="72"/>
    <s v="reclaimer_debra"/>
    <s v="allocator_new"/>
    <s v="pool_none"/>
    <n v="30000"/>
    <n v="20"/>
    <n v="20"/>
    <n v="0"/>
    <n v="1"/>
    <n v="200000000"/>
    <n v="96"/>
    <x v="2"/>
    <n v="96"/>
    <n v="0"/>
    <s v="insertIfAbsent"/>
    <n v="1.00001606750084E+16"/>
    <n v="100003295"/>
    <m/>
    <m/>
    <s v="success"/>
    <n v="7"/>
    <n v="13780423"/>
    <n v="115676585"/>
    <n v="129457008"/>
    <n v="100003295"/>
    <n v="9.3942700000000006"/>
    <n v="0.86450800000000005"/>
    <n v="1.7724800000000001"/>
    <n v="4.05715"/>
    <n v="846527339"/>
    <n v="0"/>
    <n v="564317486"/>
    <n v="846527339"/>
    <n v="1410844825"/>
    <n v="28217577"/>
    <n v="0"/>
    <n v="18810582"/>
    <n v="28217577"/>
    <n v="47028160"/>
    <m/>
    <n v="30.780100000000001"/>
    <n v="16.087700000000002"/>
    <n v="5329.84"/>
    <m/>
    <s v=" 13733mb"/>
    <x v="14"/>
    <s v="13733"/>
  </r>
  <r>
    <s v="scaling_threads/step10284.txt"/>
    <x v="0"/>
    <n v="72"/>
    <s v="reclaimer_debra"/>
    <s v="allocator_new"/>
    <s v="pool_none"/>
    <n v="30000"/>
    <n v="20"/>
    <n v="20"/>
    <n v="0"/>
    <n v="1"/>
    <n v="200000000"/>
    <n v="144"/>
    <x v="3"/>
    <n v="144"/>
    <n v="0"/>
    <s v="insertIfAbsent"/>
    <n v="1.0000307859793E+16"/>
    <n v="99998327"/>
    <m/>
    <m/>
    <s v="success"/>
    <n v="7"/>
    <n v="14541462"/>
    <n v="117365238"/>
    <n v="131906700"/>
    <n v="99998327"/>
    <n v="9.0710800000000003"/>
    <n v="0.85202699999999998"/>
    <n v="1.7581"/>
    <n v="4.0714300000000003"/>
    <n v="1188420203"/>
    <n v="0"/>
    <n v="792288480"/>
    <n v="1188420203"/>
    <n v="1980708683"/>
    <n v="39614006"/>
    <n v="0"/>
    <n v="26409616"/>
    <n v="39614006"/>
    <n v="66023622"/>
    <m/>
    <n v="30.91"/>
    <n v="16.8171"/>
    <n v="5566.38"/>
    <m/>
    <s v=" 14172mb"/>
    <x v="14"/>
    <s v="14172"/>
  </r>
  <r>
    <s v="scaling_threads/step10285.txt"/>
    <x v="0"/>
    <n v="72"/>
    <s v="reclaimer_debra"/>
    <s v="allocator_new"/>
    <s v="pool_none"/>
    <n v="30000"/>
    <n v="20"/>
    <n v="20"/>
    <n v="0"/>
    <n v="1"/>
    <n v="200000000"/>
    <n v="190"/>
    <x v="4"/>
    <n v="190"/>
    <n v="0"/>
    <s v="insertIfAbsent"/>
    <n v="1.00007839327184E+16"/>
    <n v="100009649"/>
    <m/>
    <m/>
    <s v="success"/>
    <n v="7"/>
    <n v="14764237"/>
    <n v="117816721"/>
    <n v="132580958"/>
    <n v="100009649"/>
    <n v="8.97987"/>
    <n v="0.848858"/>
    <n v="1.7543299999999999"/>
    <n v="4.07796"/>
    <n v="1462801037"/>
    <n v="0"/>
    <n v="975152022"/>
    <n v="1462801037"/>
    <n v="2437953059"/>
    <n v="48760034"/>
    <n v="0"/>
    <n v="32505067"/>
    <n v="48760034"/>
    <n v="81265101"/>
    <m/>
    <n v="31.356999999999999"/>
    <n v="17.501000000000001"/>
    <n v="5855.6"/>
    <m/>
    <s v=" 14391mb"/>
    <x v="14"/>
    <s v="14391"/>
  </r>
  <r>
    <s v="scaling_threads/step10286.txt"/>
    <x v="1"/>
    <n v="208"/>
    <s v="reclaimer_debra"/>
    <s v="allocator_new"/>
    <s v="pool_none"/>
    <n v="30000"/>
    <n v="20"/>
    <n v="20"/>
    <n v="0"/>
    <n v="1"/>
    <n v="200000000"/>
    <n v="24"/>
    <x v="0"/>
    <n v="24"/>
    <n v="0"/>
    <s v="insertIfAbsent"/>
    <n v="9999404658736000"/>
    <n v="99998923"/>
    <m/>
    <m/>
    <s v="success"/>
    <n v="11"/>
    <n v="2211666"/>
    <n v="15210942"/>
    <n v="17422608"/>
    <n v="99998923"/>
    <n v="7.8775899999999996"/>
    <n v="6.5741399999999999"/>
    <n v="6.7396099999999999"/>
    <n v="10"/>
    <n v="319643654"/>
    <n v="0"/>
    <n v="213098249"/>
    <n v="319643654"/>
    <n v="532741903"/>
    <n v="10654788"/>
    <n v="0"/>
    <n v="7103274"/>
    <n v="10654788"/>
    <n v="17758063"/>
    <m/>
    <n v="25.911799999999999"/>
    <n v="11.0807"/>
    <n v="3763.14"/>
    <m/>
    <s v=" 4914mb"/>
    <x v="14"/>
    <s v="4914"/>
  </r>
  <r>
    <s v="scaling_threads/step10287.txt"/>
    <x v="1"/>
    <n v="208"/>
    <s v="reclaimer_debra"/>
    <s v="allocator_new"/>
    <s v="pool_none"/>
    <n v="30000"/>
    <n v="20"/>
    <n v="20"/>
    <n v="0"/>
    <n v="1"/>
    <n v="200000000"/>
    <n v="48"/>
    <x v="1"/>
    <n v="48"/>
    <n v="0"/>
    <s v="insertIfAbsent"/>
    <n v="9999806841263090"/>
    <n v="99994462"/>
    <m/>
    <m/>
    <s v="success"/>
    <n v="10"/>
    <n v="2364011"/>
    <n v="16255546"/>
    <n v="18619557"/>
    <n v="99994462"/>
    <n v="7.8762600000000003"/>
    <n v="6.1514100000000003"/>
    <n v="6.3704000000000001"/>
    <n v="9"/>
    <n v="600136335"/>
    <n v="0"/>
    <n v="400094515"/>
    <n v="600136335"/>
    <n v="1000230850"/>
    <n v="20004544"/>
    <n v="0"/>
    <n v="13336483"/>
    <n v="20004544"/>
    <n v="33341028"/>
    <m/>
    <n v="26.263300000000001"/>
    <n v="11.091900000000001"/>
    <n v="4009.44"/>
    <m/>
    <s v=" 5453mb"/>
    <x v="14"/>
    <s v="5453"/>
  </r>
  <r>
    <s v="scaling_threads/step10288.txt"/>
    <x v="1"/>
    <n v="208"/>
    <s v="reclaimer_debra"/>
    <s v="allocator_new"/>
    <s v="pool_none"/>
    <n v="30000"/>
    <n v="20"/>
    <n v="20"/>
    <n v="0"/>
    <n v="1"/>
    <n v="200000000"/>
    <n v="96"/>
    <x v="2"/>
    <n v="96"/>
    <n v="0"/>
    <s v="insertIfAbsent"/>
    <n v="1.00005533458502E+16"/>
    <n v="100009312"/>
    <m/>
    <m/>
    <s v="success"/>
    <n v="11"/>
    <n v="2542832"/>
    <n v="17440854"/>
    <n v="19983686"/>
    <n v="100009312"/>
    <n v="7.8588300000000002"/>
    <n v="5.7342000000000004"/>
    <n v="6.0045500000000001"/>
    <n v="10"/>
    <n v="1114040733"/>
    <n v="0"/>
    <n v="742718506"/>
    <n v="1114040733"/>
    <n v="1856759239"/>
    <n v="37134691"/>
    <n v="0"/>
    <n v="24757283"/>
    <n v="37134691"/>
    <n v="61891974"/>
    <m/>
    <n v="27.744700000000002"/>
    <n v="12.521599999999999"/>
    <n v="4309.49"/>
    <m/>
    <s v=" 8934mb"/>
    <x v="14"/>
    <s v="8934"/>
  </r>
  <r>
    <s v="scaling_threads/step10289.txt"/>
    <x v="1"/>
    <n v="208"/>
    <s v="reclaimer_debra"/>
    <s v="allocator_new"/>
    <s v="pool_none"/>
    <n v="30000"/>
    <n v="20"/>
    <n v="20"/>
    <n v="0"/>
    <n v="1"/>
    <n v="200000000"/>
    <n v="144"/>
    <x v="3"/>
    <n v="144"/>
    <n v="0"/>
    <s v="insertIfAbsent"/>
    <n v="1.00002676853649E+16"/>
    <n v="99998148"/>
    <m/>
    <m/>
    <s v="success"/>
    <n v="11"/>
    <n v="2623678"/>
    <n v="17958298"/>
    <n v="20581976"/>
    <n v="99998148"/>
    <n v="7.8446999999999996"/>
    <n v="5.5683499999999997"/>
    <n v="5.85853"/>
    <n v="10"/>
    <n v="1492535201"/>
    <n v="0"/>
    <n v="995063038"/>
    <n v="1492535201"/>
    <n v="2487598239"/>
    <n v="49751173"/>
    <n v="0"/>
    <n v="33168767"/>
    <n v="49751173"/>
    <n v="82919941"/>
    <m/>
    <n v="28.9436"/>
    <n v="13.368"/>
    <n v="4815.8"/>
    <m/>
    <s v=" 9250mb"/>
    <x v="14"/>
    <s v="9250"/>
  </r>
  <r>
    <s v="scaling_threads/step10290.txt"/>
    <x v="1"/>
    <n v="208"/>
    <s v="reclaimer_debra"/>
    <s v="allocator_new"/>
    <s v="pool_none"/>
    <n v="30000"/>
    <n v="20"/>
    <n v="20"/>
    <n v="0"/>
    <n v="1"/>
    <n v="200000000"/>
    <n v="190"/>
    <x v="4"/>
    <n v="190"/>
    <n v="0"/>
    <s v="insertIfAbsent"/>
    <n v="1.00003191513294E+16"/>
    <n v="100002886"/>
    <m/>
    <m/>
    <s v="success"/>
    <n v="11"/>
    <n v="2667873"/>
    <n v="18227568"/>
    <n v="20895441"/>
    <n v="100002886"/>
    <n v="7.8322500000000002"/>
    <n v="5.4863499999999998"/>
    <n v="5.7858700000000001"/>
    <n v="10"/>
    <n v="1744242516"/>
    <n v="0"/>
    <n v="1162782784"/>
    <n v="1744242516"/>
    <n v="2907025300"/>
    <n v="58141417"/>
    <n v="0"/>
    <n v="38759426"/>
    <n v="58141417"/>
    <n v="96900843"/>
    <m/>
    <n v="29.512599999999999"/>
    <n v="13.923"/>
    <n v="5419.15"/>
    <m/>
    <s v=" 9789mb"/>
    <x v="14"/>
    <s v="9789"/>
  </r>
  <r>
    <s v="scaling_threads/step10291.txt"/>
    <x v="2"/>
    <m/>
    <s v="reclaimer_debra"/>
    <s v="allocator_new"/>
    <s v="pool_none"/>
    <n v="30000"/>
    <n v="20"/>
    <n v="20"/>
    <n v="0"/>
    <n v="1"/>
    <n v="200000000"/>
    <n v="24"/>
    <x v="0"/>
    <n v="24"/>
    <n v="0"/>
    <s v="insertIfAbsent"/>
    <n v="9999470073703220"/>
    <n v="100000133"/>
    <m/>
    <m/>
    <s v="success"/>
    <n v="33"/>
    <n v="61630942"/>
    <n v="46516529"/>
    <n v="108147471"/>
    <n v="100000133"/>
    <n v="1.7547600000000001"/>
    <n v="2.1497799999999998"/>
    <n v="1.92466"/>
    <n v="26.3645"/>
    <n v="146918937"/>
    <n v="0"/>
    <n v="97938428"/>
    <n v="146918937"/>
    <n v="244857365"/>
    <n v="4897297"/>
    <n v="0"/>
    <n v="3264614"/>
    <n v="4897297"/>
    <n v="8161912"/>
    <m/>
    <n v="42.109099999999998"/>
    <n v="19.1434"/>
    <n v="8189.26"/>
    <m/>
    <s v=" 8053mb"/>
    <x v="14"/>
    <s v="8053"/>
  </r>
  <r>
    <s v="scaling_threads/step10292.txt"/>
    <x v="2"/>
    <m/>
    <s v="reclaimer_debra"/>
    <s v="allocator_new"/>
    <s v="pool_none"/>
    <n v="30000"/>
    <n v="20"/>
    <n v="20"/>
    <n v="0"/>
    <n v="1"/>
    <n v="200000000"/>
    <n v="48"/>
    <x v="1"/>
    <n v="48"/>
    <n v="0"/>
    <s v="insertIfAbsent"/>
    <n v="1.00002865596473E+16"/>
    <n v="100001050"/>
    <m/>
    <m/>
    <s v="success"/>
    <n v="33"/>
    <n v="64174715"/>
    <n v="48529134"/>
    <n v="112703849"/>
    <n v="100001050"/>
    <n v="1.7562"/>
    <n v="2.0606399999999998"/>
    <n v="1.8872899999999999"/>
    <n v="26.404599999999999"/>
    <n v="281201749"/>
    <n v="0"/>
    <n v="187461523"/>
    <n v="281201749"/>
    <n v="468663272"/>
    <n v="9373391"/>
    <n v="0"/>
    <n v="6248717"/>
    <n v="9373391"/>
    <n v="15622109"/>
    <m/>
    <n v="42.713099999999997"/>
    <n v="19.043600000000001"/>
    <n v="8554.59"/>
    <m/>
    <s v=" 8354mb"/>
    <x v="14"/>
    <s v="8354"/>
  </r>
  <r>
    <s v="scaling_threads/step10293.txt"/>
    <x v="2"/>
    <m/>
    <s v="reclaimer_debra"/>
    <s v="allocator_new"/>
    <s v="pool_none"/>
    <n v="30000"/>
    <n v="20"/>
    <n v="20"/>
    <n v="0"/>
    <n v="1"/>
    <n v="200000000"/>
    <n v="96"/>
    <x v="2"/>
    <n v="96"/>
    <n v="0"/>
    <s v="insertIfAbsent"/>
    <n v="1.00004047036243E+16"/>
    <n v="100001155"/>
    <m/>
    <m/>
    <s v="success"/>
    <n v="33"/>
    <n v="66979893"/>
    <n v="50743959"/>
    <n v="117723852"/>
    <n v="100001155"/>
    <n v="1.7576000000000001"/>
    <n v="1.9706999999999999"/>
    <n v="1.8494600000000001"/>
    <n v="26.589600000000001"/>
    <n v="583529912"/>
    <n v="0"/>
    <n v="389043290"/>
    <n v="583529912"/>
    <n v="972573202"/>
    <n v="19450997"/>
    <n v="0"/>
    <n v="12968109"/>
    <n v="19450997"/>
    <n v="32419106"/>
    <m/>
    <n v="42.942100000000003"/>
    <n v="20.303599999999999"/>
    <n v="8236.43"/>
    <m/>
    <s v=" 8724mb"/>
    <x v="14"/>
    <s v="8724"/>
  </r>
  <r>
    <s v="scaling_threads/step10294.txt"/>
    <x v="2"/>
    <m/>
    <s v="reclaimer_debra"/>
    <s v="allocator_new"/>
    <s v="pool_none"/>
    <n v="30000"/>
    <n v="20"/>
    <n v="20"/>
    <n v="0"/>
    <n v="1"/>
    <n v="200000000"/>
    <n v="144"/>
    <x v="3"/>
    <n v="144"/>
    <n v="0"/>
    <s v="insertIfAbsent"/>
    <n v="9998600574452690"/>
    <n v="99991198"/>
    <m/>
    <m/>
    <s v="success"/>
    <n v="33"/>
    <n v="67963444"/>
    <n v="51521588"/>
    <n v="119485032"/>
    <n v="99991198"/>
    <n v="1.7580800000000001"/>
    <n v="1.94076"/>
    <n v="1.8368500000000001"/>
    <n v="26.586300000000001"/>
    <n v="864956510"/>
    <n v="0"/>
    <n v="576622090"/>
    <n v="864956510"/>
    <n v="1441578600"/>
    <n v="28831883"/>
    <n v="0"/>
    <n v="19220736"/>
    <n v="28831883"/>
    <n v="48052620"/>
    <m/>
    <n v="43.7074"/>
    <n v="20.870200000000001"/>
    <n v="8339.35"/>
    <m/>
    <s v=" 9460mb"/>
    <x v="14"/>
    <s v="9460"/>
  </r>
  <r>
    <s v="scaling_threads/step10295.txt"/>
    <x v="2"/>
    <m/>
    <s v="reclaimer_debra"/>
    <s v="allocator_new"/>
    <s v="pool_none"/>
    <n v="30000"/>
    <n v="20"/>
    <n v="20"/>
    <n v="0"/>
    <n v="1"/>
    <n v="200000000"/>
    <n v="190"/>
    <x v="4"/>
    <n v="190"/>
    <n v="0"/>
    <s v="insertIfAbsent"/>
    <n v="9998962638379850"/>
    <n v="99995089"/>
    <m/>
    <m/>
    <s v="success"/>
    <n v="33"/>
    <n v="68317744"/>
    <n v="51808548"/>
    <n v="120126292"/>
    <n v="99995089"/>
    <n v="1.7583500000000001"/>
    <n v="1.9300900000000001"/>
    <n v="1.8324199999999999"/>
    <n v="26.633900000000001"/>
    <n v="1119357565"/>
    <n v="0"/>
    <n v="746334163"/>
    <n v="1119357565"/>
    <n v="1865691728"/>
    <n v="37311918"/>
    <n v="0"/>
    <n v="24877805"/>
    <n v="37311918"/>
    <n v="62189724"/>
    <m/>
    <n v="44.222900000000003"/>
    <n v="21.413799999999998"/>
    <n v="8500.4"/>
    <m/>
    <s v=" 10598mb"/>
    <x v="14"/>
    <s v="10598"/>
  </r>
  <r>
    <s v="scaling_threads/step10296.txt"/>
    <x v="3"/>
    <m/>
    <s v="reclaimer_debra"/>
    <s v="allocator_new"/>
    <s v="pool_none"/>
    <n v="30000"/>
    <n v="20"/>
    <n v="20"/>
    <n v="0"/>
    <n v="1"/>
    <n v="200000000"/>
    <n v="24"/>
    <x v="0"/>
    <n v="24"/>
    <n v="0"/>
    <s v="insertIfAbsent"/>
    <n v="9999872677792920"/>
    <n v="100003853"/>
    <m/>
    <m/>
    <s v="success"/>
    <n v="71"/>
    <n v="100003852"/>
    <n v="100003853"/>
    <n v="200007705"/>
    <n v="100003853"/>
    <n v="2"/>
    <n v="1"/>
    <n v="1.5"/>
    <n v="36.622900000000001"/>
    <n v="122288923"/>
    <n v="0"/>
    <n v="81530703"/>
    <n v="122288923"/>
    <n v="203819626"/>
    <n v="4076297"/>
    <n v="0"/>
    <n v="2717690"/>
    <n v="4076297"/>
    <n v="6793987"/>
    <m/>
    <n v="39.394599999999997"/>
    <n v="19.18"/>
    <n v="9841.8799999999992"/>
    <m/>
    <s v=" 7549mb"/>
    <x v="14"/>
    <s v="7549"/>
  </r>
  <r>
    <s v="scaling_threads/step10297.txt"/>
    <x v="3"/>
    <m/>
    <s v="reclaimer_debra"/>
    <s v="allocator_new"/>
    <s v="pool_none"/>
    <n v="30000"/>
    <n v="20"/>
    <n v="20"/>
    <n v="0"/>
    <n v="1"/>
    <n v="200000000"/>
    <n v="48"/>
    <x v="1"/>
    <n v="48"/>
    <n v="0"/>
    <s v="insertIfAbsent"/>
    <n v="1.00007098502362E+16"/>
    <n v="100004857"/>
    <m/>
    <m/>
    <s v="success"/>
    <n v="72"/>
    <n v="100004856"/>
    <n v="100004857"/>
    <n v="200009713"/>
    <n v="100004857"/>
    <n v="2"/>
    <n v="1"/>
    <n v="1.5"/>
    <n v="36.482799999999997"/>
    <n v="235418641"/>
    <n v="0"/>
    <n v="156931760"/>
    <n v="235418641"/>
    <n v="392350401"/>
    <n v="7847288"/>
    <n v="0"/>
    <n v="5231058"/>
    <n v="7847288"/>
    <n v="13078346"/>
    <m/>
    <n v="39.379100000000001"/>
    <n v="18.967600000000001"/>
    <n v="10225.1"/>
    <m/>
    <s v=" 7602mb"/>
    <x v="14"/>
    <s v="7602"/>
  </r>
  <r>
    <s v="scaling_threads/step10298.txt"/>
    <x v="3"/>
    <m/>
    <s v="reclaimer_debra"/>
    <s v="allocator_new"/>
    <s v="pool_none"/>
    <n v="30000"/>
    <n v="20"/>
    <n v="20"/>
    <n v="0"/>
    <n v="1"/>
    <n v="200000000"/>
    <n v="96"/>
    <x v="2"/>
    <n v="96"/>
    <n v="0"/>
    <s v="insertIfAbsent"/>
    <n v="9999583018796110"/>
    <n v="99996211"/>
    <m/>
    <m/>
    <s v="success"/>
    <n v="70"/>
    <n v="99996210"/>
    <n v="99996211"/>
    <n v="199992421"/>
    <n v="99996211"/>
    <n v="2"/>
    <n v="1"/>
    <n v="1.5"/>
    <n v="35.560400000000001"/>
    <n v="492731289"/>
    <n v="0"/>
    <n v="328451330"/>
    <n v="492731289"/>
    <n v="821182619"/>
    <n v="16424376"/>
    <n v="0"/>
    <n v="10948377"/>
    <n v="16424376"/>
    <n v="27372753"/>
    <m/>
    <n v="40.292700000000004"/>
    <n v="19.992100000000001"/>
    <n v="9763.51"/>
    <m/>
    <s v=" 8519mb"/>
    <x v="14"/>
    <s v="8519"/>
  </r>
  <r>
    <s v="scaling_threads/step10299.txt"/>
    <x v="3"/>
    <m/>
    <s v="reclaimer_debra"/>
    <s v="allocator_new"/>
    <s v="pool_none"/>
    <n v="30000"/>
    <n v="20"/>
    <n v="20"/>
    <n v="0"/>
    <n v="1"/>
    <n v="200000000"/>
    <n v="144"/>
    <x v="3"/>
    <n v="144"/>
    <n v="0"/>
    <s v="insertIfAbsent"/>
    <n v="9998284610389140"/>
    <n v="99988187"/>
    <m/>
    <m/>
    <s v="success"/>
    <n v="67"/>
    <n v="99988186"/>
    <n v="99988187"/>
    <n v="199976373"/>
    <n v="99988187"/>
    <n v="2"/>
    <n v="1"/>
    <n v="1.5"/>
    <n v="34.865099999999998"/>
    <n v="710962508"/>
    <n v="0"/>
    <n v="474016669"/>
    <n v="710962508"/>
    <n v="1184979177"/>
    <n v="23698750"/>
    <n v="0"/>
    <n v="15800555"/>
    <n v="23698750"/>
    <n v="39499305"/>
    <m/>
    <n v="41.3872"/>
    <n v="20.994"/>
    <n v="10146.700000000001"/>
    <m/>
    <s v=" 10044mb"/>
    <x v="14"/>
    <s v="10044"/>
  </r>
  <r>
    <s v="scaling_threads/step10300.txt"/>
    <x v="3"/>
    <m/>
    <s v="reclaimer_debra"/>
    <s v="allocator_new"/>
    <s v="pool_none"/>
    <n v="30000"/>
    <n v="20"/>
    <n v="20"/>
    <n v="0"/>
    <n v="1"/>
    <n v="200000000"/>
    <n v="190"/>
    <x v="4"/>
    <n v="190"/>
    <n v="0"/>
    <s v="insertIfAbsent"/>
    <n v="9999950286207210"/>
    <n v="99998528"/>
    <m/>
    <m/>
    <s v="success"/>
    <n v="70"/>
    <n v="99998527"/>
    <n v="99998528"/>
    <n v="199997055"/>
    <n v="99998528"/>
    <n v="2"/>
    <n v="1"/>
    <n v="1.5"/>
    <n v="36.087800000000001"/>
    <n v="902862051"/>
    <n v="0"/>
    <n v="601892001"/>
    <n v="902862051"/>
    <n v="1504754052"/>
    <n v="30095401"/>
    <n v="0"/>
    <n v="20063066"/>
    <n v="30095401"/>
    <n v="50158468"/>
    <m/>
    <n v="42.121899999999997"/>
    <n v="21.643799999999999"/>
    <n v="10539.2"/>
    <m/>
    <s v=" 10916mb"/>
    <x v="14"/>
    <s v="10916"/>
  </r>
  <r>
    <s v="scaling_threads/step10301.txt"/>
    <x v="0"/>
    <n v="72"/>
    <s v="reclaimer_debra"/>
    <s v="allocator_new"/>
    <s v="pool_none"/>
    <n v="30000"/>
    <n v="20"/>
    <n v="20"/>
    <n v="0"/>
    <n v="1"/>
    <n v="2000000000"/>
    <n v="24"/>
    <x v="0"/>
    <n v="24"/>
    <n v="0"/>
    <s v="insertIfAbsent"/>
    <n v="9.9998011393095603E+17"/>
    <n v="999998721"/>
    <m/>
    <m/>
    <s v="success"/>
    <n v="7"/>
    <n v="118599574"/>
    <n v="1148976102"/>
    <n v="1267575676"/>
    <n v="999998721"/>
    <n v="10.687900000000001"/>
    <n v="0.87033899999999997"/>
    <n v="1.78891"/>
    <n v="4.0714600000000001"/>
    <n v="272981832"/>
    <n v="0"/>
    <n v="181996536"/>
    <n v="272981832"/>
    <n v="454978368"/>
    <n v="9099394"/>
    <n v="0"/>
    <n v="6066551"/>
    <n v="9099394"/>
    <n v="15165945"/>
    <m/>
    <n v="25.410599999999999"/>
    <n v="14.716799999999999"/>
    <n v="4236.25"/>
    <m/>
    <s v=" 62826mb"/>
    <x v="15"/>
    <s v="62826"/>
  </r>
  <r>
    <s v="scaling_threads/step10302.txt"/>
    <x v="0"/>
    <n v="72"/>
    <s v="reclaimer_debra"/>
    <s v="allocator_new"/>
    <s v="pool_none"/>
    <n v="30000"/>
    <n v="20"/>
    <n v="20"/>
    <n v="0"/>
    <n v="1"/>
    <n v="2000000000"/>
    <n v="48"/>
    <x v="1"/>
    <n v="48"/>
    <n v="0"/>
    <s v="insertIfAbsent"/>
    <n v="1.00000175427631E+18"/>
    <n v="1000008008"/>
    <m/>
    <m/>
    <s v="success"/>
    <n v="7"/>
    <n v="127738052"/>
    <n v="1169560727"/>
    <n v="1297298779"/>
    <n v="1000008008"/>
    <n v="10.155900000000001"/>
    <n v="0.85502900000000004"/>
    <n v="1.77084"/>
    <n v="4.0920500000000004"/>
    <n v="481974344"/>
    <n v="0"/>
    <n v="321332845"/>
    <n v="481974344"/>
    <n v="803307189"/>
    <n v="16065811"/>
    <n v="0"/>
    <n v="10711094"/>
    <n v="16065811"/>
    <n v="26776906"/>
    <m/>
    <n v="25.960999999999999"/>
    <n v="15.234999999999999"/>
    <n v="4965.54"/>
    <m/>
    <s v=" 64992mb"/>
    <x v="15"/>
    <s v="64992"/>
  </r>
  <r>
    <s v="scaling_threads/step10303.txt"/>
    <x v="0"/>
    <n v="72"/>
    <s v="reclaimer_debra"/>
    <s v="allocator_new"/>
    <s v="pool_none"/>
    <n v="30000"/>
    <n v="20"/>
    <n v="20"/>
    <n v="0"/>
    <n v="1"/>
    <n v="2000000000"/>
    <n v="96"/>
    <x v="2"/>
    <n v="96"/>
    <n v="0"/>
    <s v="insertIfAbsent"/>
    <n v="1.00000293751503E+18"/>
    <n v="999999214"/>
    <m/>
    <m/>
    <s v="success"/>
    <n v="7"/>
    <n v="84465056"/>
    <n v="1078803777"/>
    <n v="1163268833"/>
    <n v="999999214"/>
    <n v="13.7722"/>
    <n v="0.926952"/>
    <n v="1.85965"/>
    <n v="4"/>
    <n v="750056316"/>
    <n v="0"/>
    <n v="500028336"/>
    <n v="750056316"/>
    <n v="1250084652"/>
    <n v="25001877"/>
    <n v="0"/>
    <n v="16667611"/>
    <n v="25001877"/>
    <n v="41669488"/>
    <m/>
    <n v="32.677399999999999"/>
    <n v="20.349"/>
    <n v="5865.96"/>
    <m/>
    <s v=" 88039mb"/>
    <x v="15"/>
    <s v="88039"/>
  </r>
  <r>
    <s v="scaling_threads/step10304.txt"/>
    <x v="0"/>
    <n v="72"/>
    <s v="reclaimer_debra"/>
    <s v="allocator_new"/>
    <s v="pool_none"/>
    <n v="30000"/>
    <n v="20"/>
    <n v="20"/>
    <n v="0"/>
    <n v="1"/>
    <n v="2000000000"/>
    <n v="144"/>
    <x v="3"/>
    <n v="144"/>
    <n v="0"/>
    <s v="insertIfAbsent"/>
    <n v="1.00000001292005E+18"/>
    <n v="999991585"/>
    <m/>
    <m/>
    <s v="success"/>
    <n v="7"/>
    <n v="125794479"/>
    <n v="1164913835"/>
    <n v="1290708314"/>
    <n v="999991585"/>
    <n v="10.2605"/>
    <n v="0.85842499999999999"/>
    <n v="1.7747599999999999"/>
    <n v="4.08751"/>
    <n v="1156424098"/>
    <n v="0"/>
    <n v="770924651"/>
    <n v="1156424098"/>
    <n v="1927348749"/>
    <n v="38547469"/>
    <n v="0"/>
    <n v="25697488"/>
    <n v="38547469"/>
    <n v="64244958"/>
    <m/>
    <n v="30.507200000000001"/>
    <n v="19.273199999999999"/>
    <n v="5616.47"/>
    <m/>
    <s v=" 120299mb"/>
    <x v="15"/>
    <s v="120299"/>
  </r>
  <r>
    <s v="scaling_threads/step10305.txt"/>
    <x v="0"/>
    <n v="72"/>
    <s v="reclaimer_debra"/>
    <s v="allocator_new"/>
    <s v="pool_none"/>
    <n v="30000"/>
    <n v="20"/>
    <n v="20"/>
    <n v="0"/>
    <n v="1"/>
    <n v="2000000000"/>
    <n v="190"/>
    <x v="4"/>
    <n v="190"/>
    <n v="0"/>
    <s v="insertIfAbsent"/>
    <n v="1.0000312642133E+18"/>
    <n v="1000029035"/>
    <m/>
    <m/>
    <s v="success"/>
    <n v="7"/>
    <n v="119021653"/>
    <n v="1152416839"/>
    <n v="1271438492"/>
    <n v="1000029035"/>
    <n v="10.682399999999999"/>
    <n v="0.86776699999999996"/>
    <n v="1.78653"/>
    <n v="4.0739700000000001"/>
    <n v="1443135733"/>
    <n v="0"/>
    <n v="962012988"/>
    <n v="1443135733"/>
    <n v="2405148721"/>
    <n v="48104524"/>
    <n v="0"/>
    <n v="32067099"/>
    <n v="48104524"/>
    <n v="80171624"/>
    <m/>
    <n v="30.4649"/>
    <n v="19.490600000000001"/>
    <n v="5867.27"/>
    <m/>
    <s v=" 120691mb"/>
    <x v="15"/>
    <s v="120691"/>
  </r>
  <r>
    <s v="scaling_threads/step10306.txt"/>
    <x v="1"/>
    <n v="208"/>
    <s v="reclaimer_debra"/>
    <s v="allocator_new"/>
    <s v="pool_none"/>
    <n v="30000"/>
    <n v="20"/>
    <n v="20"/>
    <n v="0"/>
    <n v="1"/>
    <n v="2000000000"/>
    <n v="24"/>
    <x v="0"/>
    <n v="24"/>
    <n v="0"/>
    <s v="insertIfAbsent"/>
    <n v="1.00000254707683E+18"/>
    <n v="1000013075"/>
    <m/>
    <m/>
    <s v="success"/>
    <n v="12"/>
    <n v="19080183"/>
    <n v="131303601"/>
    <n v="150383784"/>
    <n v="1000013075"/>
    <n v="7.8816699999999997"/>
    <n v="7.6160399999999999"/>
    <n v="7.6497400000000004"/>
    <n v="11"/>
    <n v="209009589"/>
    <n v="0"/>
    <n v="139335302"/>
    <n v="209009589"/>
    <n v="348344891"/>
    <n v="6966986"/>
    <n v="0"/>
    <n v="4644510"/>
    <n v="6966986"/>
    <n v="11611496"/>
    <m/>
    <n v="33.021500000000003"/>
    <n v="18.888300000000001"/>
    <n v="5751.57"/>
    <m/>
    <s v=" 34187mb"/>
    <x v="15"/>
    <s v="34187"/>
  </r>
  <r>
    <s v="scaling_threads/step10307.txt"/>
    <x v="1"/>
    <n v="208"/>
    <s v="reclaimer_debra"/>
    <s v="allocator_new"/>
    <s v="pool_none"/>
    <n v="30000"/>
    <n v="20"/>
    <n v="20"/>
    <n v="0"/>
    <n v="1"/>
    <n v="2000000000"/>
    <n v="48"/>
    <x v="1"/>
    <n v="48"/>
    <n v="0"/>
    <s v="insertIfAbsent"/>
    <n v="9.9996427647636698E+17"/>
    <n v="999968719"/>
    <m/>
    <m/>
    <s v="success"/>
    <n v="12"/>
    <n v="19448744"/>
    <n v="133844068"/>
    <n v="153292812"/>
    <n v="999968719"/>
    <n v="7.8818900000000003"/>
    <n v="7.4711499999999997"/>
    <n v="7.5232599999999996"/>
    <n v="11"/>
    <n v="394206134"/>
    <n v="0"/>
    <n v="262846255"/>
    <n v="394206134"/>
    <n v="657052389"/>
    <n v="13140204"/>
    <n v="0"/>
    <n v="8761541"/>
    <n v="13140204"/>
    <n v="21901746"/>
    <m/>
    <n v="33.101100000000002"/>
    <n v="18.651299999999999"/>
    <n v="6094.59"/>
    <m/>
    <s v=" 35152mb"/>
    <x v="15"/>
    <s v="35152"/>
  </r>
  <r>
    <s v="scaling_threads/step10308.txt"/>
    <x v="1"/>
    <n v="208"/>
    <s v="reclaimer_debra"/>
    <s v="allocator_new"/>
    <s v="pool_none"/>
    <n v="30000"/>
    <n v="20"/>
    <n v="20"/>
    <n v="0"/>
    <n v="1"/>
    <n v="2000000000"/>
    <n v="96"/>
    <x v="2"/>
    <n v="96"/>
    <n v="0"/>
    <s v="insertIfAbsent"/>
    <n v="1.00001582428018E+18"/>
    <n v="1000013658"/>
    <m/>
    <m/>
    <s v="success"/>
    <n v="12"/>
    <n v="20022070"/>
    <n v="137778956"/>
    <n v="157801026"/>
    <n v="1000013658"/>
    <n v="7.8813500000000003"/>
    <n v="7.2580999999999998"/>
    <n v="7.33718"/>
    <n v="11"/>
    <n v="756388880"/>
    <n v="0"/>
    <n v="504262342"/>
    <n v="756388880"/>
    <n v="1260651222"/>
    <n v="25212962"/>
    <n v="0"/>
    <n v="16808744"/>
    <n v="25212962"/>
    <n v="42021707"/>
    <m/>
    <n v="35.003900000000002"/>
    <n v="19.725899999999999"/>
    <n v="6325.14"/>
    <m/>
    <s v=" 47458mb"/>
    <x v="15"/>
    <s v="47458"/>
  </r>
  <r>
    <s v="scaling_threads/step10309.txt"/>
    <x v="1"/>
    <n v="208"/>
    <s v="reclaimer_debra"/>
    <s v="allocator_new"/>
    <s v="pool_none"/>
    <n v="30000"/>
    <n v="20"/>
    <n v="20"/>
    <n v="0"/>
    <n v="1"/>
    <n v="2000000000"/>
    <n v="144"/>
    <x v="3"/>
    <n v="144"/>
    <n v="0"/>
    <s v="insertIfAbsent"/>
    <n v="9.9993467008964698E+17"/>
    <n v="999978780"/>
    <m/>
    <m/>
    <s v="success"/>
    <n v="12"/>
    <n v="20410594"/>
    <n v="140444462"/>
    <n v="160855056"/>
    <n v="999978780"/>
    <n v="7.88096"/>
    <n v="7.1200999999999999"/>
    <n v="7.2166499999999996"/>
    <n v="11"/>
    <n v="1056767784"/>
    <n v="0"/>
    <n v="704511724"/>
    <n v="1056767784"/>
    <n v="1761279508"/>
    <n v="35225592"/>
    <n v="0"/>
    <n v="23483724"/>
    <n v="35225592"/>
    <n v="58709316"/>
    <m/>
    <n v="36.508499999999998"/>
    <n v="20.694600000000001"/>
    <n v="6754.24"/>
    <m/>
    <s v=" 58487mb"/>
    <x v="15"/>
    <s v="58487"/>
  </r>
  <r>
    <s v="scaling_threads/step10310.txt"/>
    <x v="1"/>
    <n v="208"/>
    <s v="reclaimer_debra"/>
    <s v="allocator_new"/>
    <s v="pool_none"/>
    <n v="30000"/>
    <n v="20"/>
    <n v="20"/>
    <n v="0"/>
    <n v="1"/>
    <n v="2000000000"/>
    <n v="190"/>
    <x v="4"/>
    <n v="190"/>
    <n v="0"/>
    <s v="insertIfAbsent"/>
    <n v="1.00000268069354E+18"/>
    <n v="1000003145"/>
    <m/>
    <m/>
    <s v="success"/>
    <n v="12"/>
    <n v="20675813"/>
    <n v="142260197"/>
    <n v="162936010"/>
    <n v="1000003145"/>
    <n v="7.8805100000000001"/>
    <n v="7.0293999999999999"/>
    <n v="7.1374000000000004"/>
    <n v="11"/>
    <n v="1287655767"/>
    <n v="0"/>
    <n v="858380684"/>
    <n v="1287655767"/>
    <n v="2146036451"/>
    <n v="42921858"/>
    <n v="0"/>
    <n v="28612689"/>
    <n v="42921858"/>
    <n v="71534548"/>
    <m/>
    <n v="37.398600000000002"/>
    <n v="21.316299999999998"/>
    <n v="7264.05"/>
    <m/>
    <s v=" 63046mb"/>
    <x v="15"/>
    <s v="63046"/>
  </r>
  <r>
    <s v="scaling_threads/step10311.txt"/>
    <x v="2"/>
    <m/>
    <s v="reclaimer_debra"/>
    <s v="allocator_new"/>
    <s v="pool_none"/>
    <n v="30000"/>
    <n v="20"/>
    <n v="20"/>
    <n v="0"/>
    <n v="1"/>
    <n v="2000000000"/>
    <n v="24"/>
    <x v="0"/>
    <n v="24"/>
    <n v="0"/>
    <s v="insertIfAbsent"/>
    <m/>
    <m/>
    <m/>
    <m/>
    <m/>
    <m/>
    <m/>
    <m/>
    <m/>
    <m/>
    <m/>
    <m/>
    <m/>
    <m/>
    <m/>
    <m/>
    <m/>
    <m/>
    <m/>
    <m/>
    <m/>
    <m/>
    <m/>
    <m/>
    <m/>
    <m/>
    <m/>
    <m/>
    <m/>
    <s v=" mb"/>
    <x v="15"/>
    <s v=""/>
  </r>
  <r>
    <s v="scaling_threads/step10312.txt"/>
    <x v="2"/>
    <m/>
    <s v="reclaimer_debra"/>
    <s v="allocator_new"/>
    <s v="pool_none"/>
    <n v="30000"/>
    <n v="20"/>
    <n v="20"/>
    <n v="0"/>
    <n v="1"/>
    <n v="2000000000"/>
    <n v="48"/>
    <x v="1"/>
    <n v="48"/>
    <n v="0"/>
    <s v="insertIfAbsent"/>
    <n v="9.9998974744454694E+17"/>
    <n v="1000008565"/>
    <m/>
    <m/>
    <s v="success"/>
    <n v="37"/>
    <n v="578591612"/>
    <n v="434538363"/>
    <n v="1013129975"/>
    <n v="1000008565"/>
    <n v="1.7510300000000001"/>
    <n v="2.30131"/>
    <n v="1.98705"/>
    <n v="29.517399999999999"/>
    <n v="190334967"/>
    <n v="0"/>
    <n v="126900369"/>
    <n v="190334967"/>
    <n v="317235336"/>
    <n v="6344498"/>
    <n v="0"/>
    <n v="4230012"/>
    <n v="6344498"/>
    <n v="10574511"/>
    <m/>
    <n v="57.305599999999998"/>
    <n v="32.435600000000001"/>
    <n v="12633.3"/>
    <m/>
    <s v=" 66500mb"/>
    <x v="15"/>
    <s v="66500"/>
  </r>
  <r>
    <s v="scaling_threads/step10313.txt"/>
    <x v="2"/>
    <m/>
    <s v="reclaimer_debra"/>
    <s v="allocator_new"/>
    <s v="pool_none"/>
    <n v="30000"/>
    <n v="20"/>
    <n v="20"/>
    <n v="0"/>
    <n v="1"/>
    <n v="2000000000"/>
    <n v="96"/>
    <x v="2"/>
    <n v="96"/>
    <n v="0"/>
    <s v="insertIfAbsent"/>
    <n v="1.0000018020005E+18"/>
    <n v="1000003672"/>
    <m/>
    <m/>
    <s v="success"/>
    <n v="37"/>
    <n v="585730345"/>
    <n v="440417495"/>
    <n v="1026147840"/>
    <n v="1000003672"/>
    <n v="1.7519100000000001"/>
    <n v="2.2705799999999998"/>
    <n v="1.9745200000000001"/>
    <n v="29.517399999999999"/>
    <n v="392909119"/>
    <n v="0"/>
    <n v="261994243"/>
    <n v="392909119"/>
    <n v="654903362"/>
    <n v="13096970"/>
    <n v="0"/>
    <n v="8733141"/>
    <n v="13096970"/>
    <n v="21830112"/>
    <m/>
    <n v="57.601500000000001"/>
    <n v="32.484400000000001"/>
    <n v="12242.2"/>
    <m/>
    <s v=" 67357mb"/>
    <x v="15"/>
    <s v="67357"/>
  </r>
  <r>
    <s v="scaling_threads/step10314.txt"/>
    <x v="2"/>
    <m/>
    <s v="reclaimer_debra"/>
    <s v="allocator_new"/>
    <s v="pool_none"/>
    <n v="30000"/>
    <n v="20"/>
    <n v="20"/>
    <n v="0"/>
    <n v="1"/>
    <n v="2000000000"/>
    <n v="144"/>
    <x v="3"/>
    <n v="144"/>
    <n v="0"/>
    <s v="insertIfAbsent"/>
    <n v="9.9998621525236595E+17"/>
    <n v="999988928"/>
    <m/>
    <m/>
    <s v="success"/>
    <n v="37"/>
    <n v="592001555"/>
    <n v="445577225"/>
    <n v="1037578780"/>
    <n v="999988928"/>
    <n v="1.7526600000000001"/>
    <n v="2.2442600000000001"/>
    <n v="1.96377"/>
    <n v="29.559899999999999"/>
    <n v="585117186"/>
    <n v="0"/>
    <n v="390069009"/>
    <n v="585117186"/>
    <n v="975186195"/>
    <n v="19503906"/>
    <n v="0"/>
    <n v="13002300"/>
    <n v="19503906"/>
    <n v="32506206"/>
    <m/>
    <n v="57.9544"/>
    <n v="32.698099999999997"/>
    <n v="12327.6"/>
    <m/>
    <s v=" 68262mb"/>
    <x v="15"/>
    <s v="68262"/>
  </r>
  <r>
    <s v="scaling_threads/step10315.txt"/>
    <x v="2"/>
    <m/>
    <s v="reclaimer_debra"/>
    <s v="allocator_new"/>
    <s v="pool_none"/>
    <n v="30000"/>
    <n v="20"/>
    <n v="20"/>
    <n v="0"/>
    <n v="1"/>
    <n v="2000000000"/>
    <n v="190"/>
    <x v="4"/>
    <n v="190"/>
    <n v="0"/>
    <s v="insertIfAbsent"/>
    <n v="9.9998312779400704E+17"/>
    <n v="999988438"/>
    <m/>
    <m/>
    <s v="success"/>
    <n v="37"/>
    <n v="597652158"/>
    <n v="450158908"/>
    <n v="1047811066"/>
    <n v="999988438"/>
    <n v="1.7532099999999999"/>
    <n v="2.2214100000000001"/>
    <n v="1.9543600000000001"/>
    <n v="29.6053"/>
    <n v="769100715"/>
    <n v="0"/>
    <n v="512681352"/>
    <n v="769100715"/>
    <n v="1281782067"/>
    <n v="25636690"/>
    <n v="0"/>
    <n v="17089378"/>
    <n v="25636690"/>
    <n v="42726068"/>
    <m/>
    <n v="58.568800000000003"/>
    <n v="32.932299999999998"/>
    <n v="12373.6"/>
    <m/>
    <s v=" 69541mb"/>
    <x v="15"/>
    <s v="69541"/>
  </r>
  <r>
    <s v="scaling_threads/step10316.txt"/>
    <x v="3"/>
    <m/>
    <s v="reclaimer_debra"/>
    <s v="allocator_new"/>
    <s v="pool_none"/>
    <n v="30000"/>
    <n v="20"/>
    <n v="20"/>
    <n v="0"/>
    <n v="1"/>
    <n v="2000000000"/>
    <n v="24"/>
    <x v="0"/>
    <n v="24"/>
    <n v="0"/>
    <s v="insertIfAbsent"/>
    <m/>
    <m/>
    <m/>
    <m/>
    <m/>
    <m/>
    <m/>
    <m/>
    <m/>
    <m/>
    <m/>
    <m/>
    <m/>
    <m/>
    <m/>
    <m/>
    <m/>
    <m/>
    <m/>
    <m/>
    <m/>
    <m/>
    <m/>
    <m/>
    <m/>
    <m/>
    <m/>
    <m/>
    <m/>
    <s v=" mb"/>
    <x v="15"/>
    <s v=""/>
  </r>
  <r>
    <s v="scaling_threads/step10317.txt"/>
    <x v="3"/>
    <m/>
    <s v="reclaimer_debra"/>
    <s v="allocator_new"/>
    <s v="pool_none"/>
    <n v="30000"/>
    <n v="20"/>
    <n v="20"/>
    <n v="0"/>
    <n v="1"/>
    <n v="2000000000"/>
    <n v="48"/>
    <x v="1"/>
    <n v="48"/>
    <n v="0"/>
    <s v="insertIfAbsent"/>
    <m/>
    <m/>
    <m/>
    <m/>
    <m/>
    <m/>
    <m/>
    <m/>
    <m/>
    <m/>
    <m/>
    <m/>
    <m/>
    <m/>
    <m/>
    <m/>
    <m/>
    <m/>
    <m/>
    <m/>
    <m/>
    <m/>
    <m/>
    <m/>
    <m/>
    <m/>
    <m/>
    <m/>
    <m/>
    <s v=" mb"/>
    <x v="15"/>
    <s v=""/>
  </r>
  <r>
    <s v="scaling_threads/step10318.txt"/>
    <x v="3"/>
    <m/>
    <s v="reclaimer_debra"/>
    <s v="allocator_new"/>
    <s v="pool_none"/>
    <n v="30000"/>
    <n v="20"/>
    <n v="20"/>
    <n v="0"/>
    <n v="1"/>
    <n v="2000000000"/>
    <n v="96"/>
    <x v="2"/>
    <n v="96"/>
    <n v="0"/>
    <s v="insertIfAbsent"/>
    <n v="9.9996252282802496E+17"/>
    <n v="999981413"/>
    <m/>
    <m/>
    <s v="success"/>
    <n v="79"/>
    <n v="999981412"/>
    <n v="999981413"/>
    <n v="1999962825"/>
    <n v="999981413"/>
    <n v="2"/>
    <n v="1"/>
    <n v="1.5"/>
    <n v="41.195700000000002"/>
    <n v="331929379"/>
    <n v="0"/>
    <n v="221277540"/>
    <n v="331929379"/>
    <n v="553206919"/>
    <n v="11064312"/>
    <n v="0"/>
    <n v="7375918"/>
    <n v="11064312"/>
    <n v="18440230"/>
    <m/>
    <n v="55.944899999999997"/>
    <n v="32.597900000000003"/>
    <n v="14501.9"/>
    <m/>
    <s v=" 66401mb"/>
    <x v="15"/>
    <s v="66401"/>
  </r>
  <r>
    <s v="scaling_threads/step10319.txt"/>
    <x v="3"/>
    <m/>
    <s v="reclaimer_debra"/>
    <s v="allocator_new"/>
    <s v="pool_none"/>
    <n v="30000"/>
    <n v="20"/>
    <n v="20"/>
    <n v="0"/>
    <n v="1"/>
    <n v="2000000000"/>
    <n v="144"/>
    <x v="3"/>
    <n v="144"/>
    <n v="0"/>
    <s v="insertIfAbsent"/>
    <n v="9.9999572569714701E+17"/>
    <n v="1000009585"/>
    <m/>
    <m/>
    <s v="success"/>
    <n v="76"/>
    <n v="1000009584"/>
    <n v="1000009585"/>
    <n v="2000019169"/>
    <n v="1000009585"/>
    <n v="2"/>
    <n v="1"/>
    <n v="1.5"/>
    <n v="40.063600000000001"/>
    <n v="483907452"/>
    <n v="0"/>
    <n v="322639576"/>
    <n v="483907452"/>
    <n v="806547028"/>
    <n v="16130248"/>
    <n v="0"/>
    <n v="10754652"/>
    <n v="16130248"/>
    <n v="26884900"/>
    <m/>
    <n v="56.994100000000003"/>
    <n v="33.061100000000003"/>
    <n v="14912.5"/>
    <m/>
    <s v=" 67971mb"/>
    <x v="15"/>
    <s v="67971"/>
  </r>
  <r>
    <s v="scaling_threads/step10320.txt"/>
    <x v="3"/>
    <m/>
    <s v="reclaimer_debra"/>
    <s v="allocator_new"/>
    <s v="pool_none"/>
    <n v="30000"/>
    <n v="20"/>
    <n v="20"/>
    <n v="0"/>
    <n v="1"/>
    <n v="2000000000"/>
    <n v="190"/>
    <x v="4"/>
    <n v="190"/>
    <n v="0"/>
    <s v="insertIfAbsent"/>
    <n v="1.00000243072571E+18"/>
    <n v="999985373"/>
    <m/>
    <m/>
    <s v="success"/>
    <n v="79"/>
    <n v="999985372"/>
    <n v="999985373"/>
    <n v="1999970745"/>
    <n v="999985373"/>
    <n v="2"/>
    <n v="1"/>
    <n v="1.5"/>
    <n v="40.465499999999999"/>
    <n v="613814064"/>
    <n v="0"/>
    <n v="409222264"/>
    <n v="613814064"/>
    <n v="1023036328"/>
    <n v="20460468"/>
    <n v="0"/>
    <n v="13640742"/>
    <n v="20460468"/>
    <n v="34101210"/>
    <m/>
    <n v="56.944200000000002"/>
    <n v="33.381799999999998"/>
    <n v="15495.4"/>
    <m/>
    <s v=" 69310mb"/>
    <x v="15"/>
    <s v="69310"/>
  </r>
  <r>
    <m/>
    <x v="4"/>
    <m/>
    <m/>
    <m/>
    <m/>
    <m/>
    <m/>
    <m/>
    <m/>
    <m/>
    <m/>
    <m/>
    <x v="5"/>
    <m/>
    <m/>
    <m/>
    <m/>
    <m/>
    <m/>
    <m/>
    <m/>
    <m/>
    <m/>
    <m/>
    <m/>
    <m/>
    <m/>
    <m/>
    <m/>
    <m/>
    <m/>
    <m/>
    <m/>
    <m/>
    <m/>
    <m/>
    <m/>
    <m/>
    <m/>
    <m/>
    <m/>
    <m/>
    <m/>
    <m/>
    <m/>
    <m/>
    <x v="16"/>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Main" cacheId="96" applyNumberFormats="0" applyBorderFormats="0" applyFontFormats="0" applyPatternFormats="0" applyAlignmentFormats="0" applyWidthHeightFormats="1" dataCaption="Values" updatedVersion="6" minRefreshableVersion="3" asteriskTotals="1" rowGrandTotals="0" colGrandTotals="0" itemPrintTitles="1" createdVersion="5" indent="0" outline="1" outlineData="1" multipleFieldFilters="0" chartFormat="7">
  <location ref="A4:E10" firstHeaderRow="1" firstDataRow="2" firstDataCol="1" rowPageCount="1" colPageCount="1"/>
  <pivotFields count="49">
    <pivotField showAll="0" defaultSubtotal="0"/>
    <pivotField axis="axisCol" showAll="0" defaultSubtotal="0">
      <items count="5">
        <item h="1" x="4"/>
        <item x="3"/>
        <item x="2"/>
        <item x="1"/>
        <item x="0"/>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axis="axisRow" showAll="0" defaultSubtotal="0">
      <items count="6">
        <item x="5"/>
        <item x="0"/>
        <item x="1"/>
        <item x="2"/>
        <item x="3"/>
        <item x="4"/>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axis="axisPage" showAll="0" defaultSubtotal="0">
      <items count="17">
        <item x="4"/>
        <item x="5"/>
        <item x="6"/>
        <item x="8"/>
        <item x="9"/>
        <item x="10"/>
        <item x="12"/>
        <item x="13"/>
        <item x="14"/>
        <item x="16"/>
        <item x="0"/>
        <item x="1"/>
        <item x="2"/>
        <item x="3"/>
        <item x="7"/>
        <item x="11"/>
        <item x="15"/>
      </items>
    </pivotField>
    <pivotField showAll="0" defaultSubtotal="0"/>
  </pivotFields>
  <rowFields count="1">
    <field x="13"/>
  </rowFields>
  <rowItems count="5">
    <i>
      <x v="1"/>
    </i>
    <i>
      <x v="2"/>
    </i>
    <i>
      <x v="3"/>
    </i>
    <i>
      <x v="4"/>
    </i>
    <i>
      <x v="5"/>
    </i>
  </rowItems>
  <colFields count="1">
    <field x="1"/>
  </colFields>
  <colItems count="4">
    <i>
      <x v="1"/>
    </i>
    <i>
      <x v="2"/>
    </i>
    <i>
      <x v="3"/>
    </i>
    <i>
      <x v="4"/>
    </i>
  </colItems>
  <pageFields count="1">
    <pageField fld="47" item="16" hier="-1"/>
  </pageFields>
  <dataFields count="1">
    <dataField name="Average of total_throughput" fld="40" subtotal="average" baseField="13" baseItem="0" numFmtId="1"/>
  </dataFields>
  <formats count="2">
    <format dxfId="1">
      <pivotArea outline="0" collapsedLevelsAreSubtotals="1" fieldPosition="0"/>
    </format>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3" growShrinkType="overwriteClear" connectionId="2" autoFormatId="0" applyNumberFormats="0" applyBorderFormats="0" applyFontFormats="1" applyPatternFormats="1" applyAlignmentFormats="0" applyWidthHeightFormats="0"/>
</file>

<file path=xl/queryTables/queryTable2.xml><?xml version="1.0" encoding="utf-8"?>
<queryTable xmlns="http://schemas.openxmlformats.org/spreadsheetml/2006/main" name="ExternalData_12" growShrinkType="overwriteClear" connectionId="1" autoFormatId="0" applyNumberFormats="0" applyBorderFormats="0" applyFontFormats="1" applyPatternFormats="1" applyAlignmentFormats="0" applyWidthHeightFormats="0"/>
</file>

<file path=xl/queryTables/queryTable3.xml><?xml version="1.0" encoding="utf-8"?>
<queryTable xmlns="http://schemas.openxmlformats.org/spreadsheetml/2006/main" name="ExternalData_11" growShrinkType="overwriteClear" connectionId="3"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849DB8"/>
      </a:dk1>
      <a:lt1>
        <a:sysClr val="window" lastClr="2D3640"/>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queryTable" Target="../queryTables/queryTable3.xml"/><Relationship Id="rId2" Type="http://schemas.openxmlformats.org/officeDocument/2006/relationships/queryTable" Target="../queryTables/queryTable2.xml"/><Relationship Id="rId1" Type="http://schemas.openxmlformats.org/officeDocument/2006/relationships/queryTable" Target="../queryTables/query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20"/>
  <sheetViews>
    <sheetView workbookViewId="0"/>
  </sheetViews>
  <sheetFormatPr defaultRowHeight="14.6"/>
  <cols>
    <col min="1" max="1" width="8.23046875" customWidth="1"/>
    <col min="5" max="5" width="8.69140625" customWidth="1"/>
    <col min="7" max="7" width="8.69140625" customWidth="1"/>
  </cols>
  <sheetData>
    <row r="1" spans="1:3" s="5" customFormat="1" ht="20.6">
      <c r="A1" s="4" t="s">
        <v>1</v>
      </c>
    </row>
    <row r="2" spans="1:3" s="5" customFormat="1" ht="20.6">
      <c r="A2" s="4">
        <v>1</v>
      </c>
      <c r="B2" s="5" t="s">
        <v>19</v>
      </c>
    </row>
    <row r="3" spans="1:3" s="5" customFormat="1" ht="20.6">
      <c r="A3" s="4">
        <v>2</v>
      </c>
      <c r="B3" s="5" t="s">
        <v>6</v>
      </c>
    </row>
    <row r="4" spans="1:3" s="5" customFormat="1" ht="20.6">
      <c r="A4" s="4"/>
      <c r="B4" s="5" t="s">
        <v>5</v>
      </c>
    </row>
    <row r="5" spans="1:3" s="5" customFormat="1" ht="20.6">
      <c r="B5" s="5" t="s">
        <v>9</v>
      </c>
    </row>
    <row r="6" spans="1:3" s="5" customFormat="1" ht="20.6">
      <c r="B6" s="5" t="s">
        <v>10</v>
      </c>
    </row>
    <row r="7" spans="1:3" s="5" customFormat="1" ht="20.6">
      <c r="A7" s="5">
        <v>3</v>
      </c>
      <c r="B7" s="5" t="s">
        <v>13</v>
      </c>
    </row>
    <row r="8" spans="1:3" s="5" customFormat="1" ht="20.6">
      <c r="A8" s="4"/>
      <c r="B8" s="5" t="s">
        <v>14</v>
      </c>
    </row>
    <row r="9" spans="1:3" s="5" customFormat="1" ht="20.6">
      <c r="A9" s="4"/>
      <c r="B9" s="5" t="s">
        <v>15</v>
      </c>
      <c r="C9"/>
    </row>
    <row r="10" spans="1:3" ht="20.6">
      <c r="B10" s="5" t="s">
        <v>16</v>
      </c>
    </row>
    <row r="11" spans="1:3" ht="20.6">
      <c r="B11" s="5" t="s">
        <v>17</v>
      </c>
    </row>
    <row r="12" spans="1:3" ht="20.6">
      <c r="A12" s="4">
        <v>4</v>
      </c>
      <c r="B12" s="5" t="s">
        <v>2</v>
      </c>
    </row>
    <row r="13" spans="1:3" ht="20.6">
      <c r="B13" s="5" t="s">
        <v>3</v>
      </c>
    </row>
    <row r="14" spans="1:3" ht="20.6">
      <c r="A14" s="4"/>
      <c r="B14" s="5" t="s">
        <v>4</v>
      </c>
    </row>
    <row r="16" spans="1:3" ht="20.6">
      <c r="B16" s="5" t="s">
        <v>18</v>
      </c>
    </row>
    <row r="17" spans="2:2" ht="20.6">
      <c r="B17" s="5" t="s">
        <v>7</v>
      </c>
    </row>
    <row r="20" spans="2:2">
      <c r="B20" s="2"/>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W321"/>
  <sheetViews>
    <sheetView topLeftCell="AI1" workbookViewId="0">
      <selection activeCell="AV1" sqref="AV1"/>
    </sheetView>
  </sheetViews>
  <sheetFormatPr defaultRowHeight="14.6"/>
  <cols>
    <col min="1" max="1" width="29.07421875" customWidth="1"/>
    <col min="2" max="2" width="19.765625" customWidth="1"/>
    <col min="3" max="3" width="9.07421875" customWidth="1"/>
    <col min="4" max="4" width="14.3828125" bestFit="1" customWidth="1"/>
    <col min="5" max="5" width="12.53515625" customWidth="1"/>
    <col min="6" max="6" width="9.765625" customWidth="1"/>
    <col min="7" max="7" width="14.3046875" bestFit="1" customWidth="1"/>
    <col min="8" max="8" width="3.84375" bestFit="1" customWidth="1"/>
    <col min="9" max="9" width="3.921875" bestFit="1" customWidth="1"/>
    <col min="10" max="10" width="3.3046875" bestFit="1" customWidth="1"/>
    <col min="11" max="11" width="6.69140625" bestFit="1" customWidth="1"/>
    <col min="12" max="12" width="10.84375" bestFit="1" customWidth="1"/>
    <col min="13" max="13" width="15.765625" customWidth="1"/>
    <col min="14" max="14" width="14.84375" customWidth="1"/>
    <col min="15" max="15" width="14.765625" customWidth="1"/>
    <col min="16" max="16" width="11.921875" customWidth="1"/>
    <col min="17" max="17" width="12.4609375" customWidth="1"/>
    <col min="18" max="18" width="19.07421875" bestFit="1" customWidth="1"/>
    <col min="19" max="19" width="15.69140625" customWidth="1"/>
    <col min="20" max="20" width="11.69140625" customWidth="1"/>
    <col min="21" max="21" width="8.3828125" customWidth="1"/>
    <col min="22" max="22" width="13.07421875" customWidth="1"/>
    <col min="23" max="23" width="15.3828125" customWidth="1"/>
    <col min="24" max="24" width="21.3046875" customWidth="1"/>
    <col min="25" max="25" width="19.4609375" customWidth="1"/>
    <col min="26" max="26" width="19.23046875" customWidth="1"/>
    <col min="27" max="27" width="17.765625" bestFit="1" customWidth="1"/>
    <col min="28" max="28" width="25.4609375" bestFit="1" customWidth="1"/>
    <col min="29" max="29" width="24.3828125" bestFit="1" customWidth="1"/>
    <col min="30" max="30" width="18.84375" customWidth="1"/>
    <col min="31" max="31" width="21.15234375" customWidth="1"/>
    <col min="32" max="32" width="11.84375" bestFit="1" customWidth="1"/>
    <col min="33" max="33" width="7.4609375" customWidth="1"/>
    <col min="34" max="34" width="12.3046875" customWidth="1"/>
    <col min="35" max="36" width="11.84375" customWidth="1"/>
    <col min="37" max="37" width="14.61328125" customWidth="1"/>
    <col min="38" max="38" width="13.15234375" customWidth="1"/>
    <col min="39" max="39" width="17.3046875" bestFit="1" customWidth="1"/>
    <col min="40" max="40" width="16.15234375" bestFit="1" customWidth="1"/>
    <col min="41" max="41" width="15.23046875" customWidth="1"/>
    <col min="42" max="42" width="12.3828125" customWidth="1"/>
    <col min="43" max="44" width="12.15234375" bestFit="1" customWidth="1"/>
    <col min="45" max="45" width="13.07421875" bestFit="1" customWidth="1"/>
    <col min="46" max="46" width="12.61328125" bestFit="1" customWidth="1"/>
    <col min="47" max="47" width="30.23046875" bestFit="1" customWidth="1"/>
  </cols>
  <sheetData>
    <row r="1" spans="1:49">
      <c r="A1" t="s">
        <v>26</v>
      </c>
      <c r="B1" t="s">
        <v>27</v>
      </c>
      <c r="C1" t="s">
        <v>28</v>
      </c>
      <c r="D1" t="s">
        <v>29</v>
      </c>
      <c r="E1" t="s">
        <v>30</v>
      </c>
      <c r="F1" t="s">
        <v>31</v>
      </c>
      <c r="G1" t="s">
        <v>32</v>
      </c>
      <c r="H1" t="s">
        <v>33</v>
      </c>
      <c r="I1" t="s">
        <v>34</v>
      </c>
      <c r="J1" t="s">
        <v>35</v>
      </c>
      <c r="K1" t="s">
        <v>36</v>
      </c>
      <c r="L1" t="s">
        <v>37</v>
      </c>
      <c r="M1" t="s">
        <v>38</v>
      </c>
      <c r="N1" t="s">
        <v>39</v>
      </c>
      <c r="O1" t="s">
        <v>40</v>
      </c>
      <c r="P1" t="s">
        <v>41</v>
      </c>
      <c r="Q1" t="s">
        <v>42</v>
      </c>
      <c r="R1" t="s">
        <v>79</v>
      </c>
      <c r="S1" t="s">
        <v>80</v>
      </c>
      <c r="T1" t="s">
        <v>52</v>
      </c>
      <c r="U1" t="s">
        <v>81</v>
      </c>
      <c r="V1" t="s">
        <v>82</v>
      </c>
      <c r="W1" t="s">
        <v>43</v>
      </c>
      <c r="X1" t="s">
        <v>44</v>
      </c>
      <c r="Y1" t="s">
        <v>45</v>
      </c>
      <c r="Z1" t="s">
        <v>46</v>
      </c>
      <c r="AA1" t="s">
        <v>47</v>
      </c>
      <c r="AB1" t="s">
        <v>48</v>
      </c>
      <c r="AC1" t="s">
        <v>49</v>
      </c>
      <c r="AD1" t="s">
        <v>50</v>
      </c>
      <c r="AE1" t="s">
        <v>51</v>
      </c>
      <c r="AF1" t="s">
        <v>53</v>
      </c>
      <c r="AG1" t="s">
        <v>54</v>
      </c>
      <c r="AH1" t="s">
        <v>55</v>
      </c>
      <c r="AI1" t="s">
        <v>56</v>
      </c>
      <c r="AJ1" t="s">
        <v>57</v>
      </c>
      <c r="AK1" t="s">
        <v>58</v>
      </c>
      <c r="AL1" t="s">
        <v>59</v>
      </c>
      <c r="AM1" t="s">
        <v>60</v>
      </c>
      <c r="AN1" t="s">
        <v>61</v>
      </c>
      <c r="AO1" t="s">
        <v>62</v>
      </c>
      <c r="AP1" t="s">
        <v>63</v>
      </c>
      <c r="AQ1" t="s">
        <v>64</v>
      </c>
      <c r="AR1" t="s">
        <v>65</v>
      </c>
      <c r="AS1" t="s">
        <v>66</v>
      </c>
      <c r="AT1" t="s">
        <v>67</v>
      </c>
      <c r="AU1" t="s">
        <v>356</v>
      </c>
      <c r="AV1" t="s">
        <v>77</v>
      </c>
      <c r="AW1" t="s">
        <v>690</v>
      </c>
    </row>
    <row r="2" spans="1:49">
      <c r="A2" t="s">
        <v>84</v>
      </c>
      <c r="B2" t="s">
        <v>72</v>
      </c>
      <c r="C2">
        <v>72</v>
      </c>
      <c r="D2" t="s">
        <v>73</v>
      </c>
      <c r="E2" t="s">
        <v>68</v>
      </c>
      <c r="F2" t="s">
        <v>69</v>
      </c>
      <c r="G2">
        <v>30000</v>
      </c>
      <c r="H2">
        <v>0</v>
      </c>
      <c r="I2">
        <v>0</v>
      </c>
      <c r="J2">
        <v>0</v>
      </c>
      <c r="K2">
        <v>1</v>
      </c>
      <c r="L2">
        <v>2000000</v>
      </c>
      <c r="M2">
        <v>24</v>
      </c>
      <c r="N2">
        <v>24</v>
      </c>
      <c r="O2">
        <v>24</v>
      </c>
      <c r="P2">
        <v>0</v>
      </c>
      <c r="Q2" t="s">
        <v>70</v>
      </c>
      <c r="R2">
        <v>1000236558640</v>
      </c>
      <c r="S2">
        <v>1000001</v>
      </c>
      <c r="V2" t="s">
        <v>83</v>
      </c>
      <c r="W2">
        <v>5</v>
      </c>
      <c r="X2">
        <v>33035</v>
      </c>
      <c r="Y2">
        <v>1032033</v>
      </c>
      <c r="Z2">
        <v>1065068</v>
      </c>
      <c r="AA2">
        <v>1000001</v>
      </c>
      <c r="AB2">
        <v>32.240600000000001</v>
      </c>
      <c r="AC2">
        <v>0.96896199999999999</v>
      </c>
      <c r="AD2">
        <v>1.9389099999999999</v>
      </c>
      <c r="AE2">
        <v>3</v>
      </c>
      <c r="AF2">
        <v>2518595892</v>
      </c>
      <c r="AG2">
        <v>0</v>
      </c>
      <c r="AH2">
        <v>0</v>
      </c>
      <c r="AI2">
        <v>2518595892</v>
      </c>
      <c r="AJ2">
        <v>2518595892</v>
      </c>
      <c r="AK2">
        <v>83953196</v>
      </c>
      <c r="AL2">
        <v>0</v>
      </c>
      <c r="AM2">
        <v>0</v>
      </c>
      <c r="AN2">
        <v>83953196</v>
      </c>
      <c r="AO2">
        <v>83953196</v>
      </c>
      <c r="AQ2">
        <v>7.6751699999999996</v>
      </c>
      <c r="AR2">
        <v>1.94316E-2</v>
      </c>
      <c r="AS2">
        <v>796.851</v>
      </c>
      <c r="AU2" t="s">
        <v>357</v>
      </c>
      <c r="AV2" t="str">
        <f>(H2+I2)&amp;"% updates, key range [0, 2*10^"&amp;LOG10(L2/2)&amp;")"</f>
        <v>0% updates, key range [0, 2*10^6)</v>
      </c>
      <c r="AW2" t="str">
        <f>MID(AU2,2,FIND("m",AU2)-2)</f>
        <v>1124</v>
      </c>
    </row>
    <row r="3" spans="1:49">
      <c r="A3" t="s">
        <v>85</v>
      </c>
      <c r="B3" t="s">
        <v>72</v>
      </c>
      <c r="C3">
        <v>72</v>
      </c>
      <c r="D3" t="s">
        <v>73</v>
      </c>
      <c r="E3" t="s">
        <v>68</v>
      </c>
      <c r="F3" t="s">
        <v>69</v>
      </c>
      <c r="G3">
        <v>30000</v>
      </c>
      <c r="H3">
        <v>0</v>
      </c>
      <c r="I3">
        <v>0</v>
      </c>
      <c r="J3">
        <v>0</v>
      </c>
      <c r="K3">
        <v>1</v>
      </c>
      <c r="L3">
        <v>2000000</v>
      </c>
      <c r="M3">
        <v>48</v>
      </c>
      <c r="N3">
        <v>48</v>
      </c>
      <c r="O3">
        <v>48</v>
      </c>
      <c r="P3">
        <v>0</v>
      </c>
      <c r="Q3" t="s">
        <v>70</v>
      </c>
      <c r="R3">
        <v>999035134737</v>
      </c>
      <c r="S3">
        <v>1000001</v>
      </c>
      <c r="V3" t="s">
        <v>83</v>
      </c>
      <c r="W3">
        <v>5</v>
      </c>
      <c r="X3">
        <v>33035</v>
      </c>
      <c r="Y3">
        <v>1032033</v>
      </c>
      <c r="Z3">
        <v>1065068</v>
      </c>
      <c r="AA3">
        <v>1000001</v>
      </c>
      <c r="AB3">
        <v>32.240600000000001</v>
      </c>
      <c r="AC3">
        <v>0.96896199999999999</v>
      </c>
      <c r="AD3">
        <v>1.9389099999999999</v>
      </c>
      <c r="AE3">
        <v>3</v>
      </c>
      <c r="AF3">
        <v>3649530684</v>
      </c>
      <c r="AG3">
        <v>0</v>
      </c>
      <c r="AH3">
        <v>0</v>
      </c>
      <c r="AI3">
        <v>3649530684</v>
      </c>
      <c r="AJ3">
        <v>3649530684</v>
      </c>
      <c r="AK3">
        <v>121651022</v>
      </c>
      <c r="AL3">
        <v>0</v>
      </c>
      <c r="AM3">
        <v>0</v>
      </c>
      <c r="AN3">
        <v>121651022</v>
      </c>
      <c r="AO3">
        <v>121651022</v>
      </c>
      <c r="AQ3">
        <v>7.64236</v>
      </c>
      <c r="AR3">
        <v>2.32997E-2</v>
      </c>
      <c r="AS3">
        <v>1086.0999999999999</v>
      </c>
      <c r="AU3" t="s">
        <v>358</v>
      </c>
      <c r="AV3" t="str">
        <f t="shared" ref="AV3:AV66" si="0">(H3+I3)&amp;"% updates, key range [0, 2*10^"&amp;LOG10(L3/2)&amp;")"</f>
        <v>0% updates, key range [0, 2*10^6)</v>
      </c>
      <c r="AW3" t="str">
        <f t="shared" ref="AW3:AW66" si="1">MID(AU3,2,FIND("m",AU3)-2)</f>
        <v>1136</v>
      </c>
    </row>
    <row r="4" spans="1:49">
      <c r="A4" t="s">
        <v>86</v>
      </c>
      <c r="B4" t="s">
        <v>72</v>
      </c>
      <c r="C4">
        <v>72</v>
      </c>
      <c r="D4" t="s">
        <v>73</v>
      </c>
      <c r="E4" t="s">
        <v>68</v>
      </c>
      <c r="F4" t="s">
        <v>69</v>
      </c>
      <c r="G4">
        <v>30000</v>
      </c>
      <c r="H4">
        <v>0</v>
      </c>
      <c r="I4">
        <v>0</v>
      </c>
      <c r="J4">
        <v>0</v>
      </c>
      <c r="K4">
        <v>1</v>
      </c>
      <c r="L4">
        <v>2000000</v>
      </c>
      <c r="M4">
        <v>96</v>
      </c>
      <c r="N4">
        <v>96</v>
      </c>
      <c r="O4">
        <v>96</v>
      </c>
      <c r="P4">
        <v>0</v>
      </c>
      <c r="Q4" t="s">
        <v>70</v>
      </c>
      <c r="R4">
        <v>1000337239493</v>
      </c>
      <c r="S4">
        <v>1000001</v>
      </c>
      <c r="V4" t="s">
        <v>83</v>
      </c>
      <c r="W4">
        <v>5</v>
      </c>
      <c r="X4">
        <v>33035</v>
      </c>
      <c r="Y4">
        <v>1032033</v>
      </c>
      <c r="Z4">
        <v>1065068</v>
      </c>
      <c r="AA4">
        <v>1000001</v>
      </c>
      <c r="AB4">
        <v>32.240600000000001</v>
      </c>
      <c r="AC4">
        <v>0.96896199999999999</v>
      </c>
      <c r="AD4">
        <v>1.9389099999999999</v>
      </c>
      <c r="AE4">
        <v>3</v>
      </c>
      <c r="AF4">
        <v>6995515467</v>
      </c>
      <c r="AG4">
        <v>0</v>
      </c>
      <c r="AH4">
        <v>0</v>
      </c>
      <c r="AI4">
        <v>6995515467</v>
      </c>
      <c r="AJ4">
        <v>6995515467</v>
      </c>
      <c r="AK4">
        <v>233183848</v>
      </c>
      <c r="AL4">
        <v>0</v>
      </c>
      <c r="AM4">
        <v>0</v>
      </c>
      <c r="AN4">
        <v>233183848</v>
      </c>
      <c r="AO4">
        <v>233183848</v>
      </c>
      <c r="AQ4">
        <v>7.7200699999999998</v>
      </c>
      <c r="AR4">
        <v>6.2494300000000003E-2</v>
      </c>
      <c r="AS4">
        <v>1140.57</v>
      </c>
      <c r="AU4" t="s">
        <v>359</v>
      </c>
      <c r="AV4" t="str">
        <f t="shared" si="0"/>
        <v>0% updates, key range [0, 2*10^6)</v>
      </c>
      <c r="AW4" t="str">
        <f t="shared" si="1"/>
        <v>1162</v>
      </c>
    </row>
    <row r="5" spans="1:49">
      <c r="A5" t="s">
        <v>87</v>
      </c>
      <c r="B5" t="s">
        <v>72</v>
      </c>
      <c r="C5">
        <v>72</v>
      </c>
      <c r="D5" t="s">
        <v>73</v>
      </c>
      <c r="E5" t="s">
        <v>68</v>
      </c>
      <c r="F5" t="s">
        <v>69</v>
      </c>
      <c r="G5">
        <v>30000</v>
      </c>
      <c r="H5">
        <v>0</v>
      </c>
      <c r="I5">
        <v>0</v>
      </c>
      <c r="J5">
        <v>0</v>
      </c>
      <c r="K5">
        <v>1</v>
      </c>
      <c r="L5">
        <v>2000000</v>
      </c>
      <c r="M5">
        <v>144</v>
      </c>
      <c r="N5">
        <v>144</v>
      </c>
      <c r="O5">
        <v>144</v>
      </c>
      <c r="P5">
        <v>0</v>
      </c>
      <c r="Q5" t="s">
        <v>70</v>
      </c>
      <c r="R5">
        <v>999645345976</v>
      </c>
      <c r="S5">
        <v>1000001</v>
      </c>
      <c r="V5" t="s">
        <v>83</v>
      </c>
      <c r="W5">
        <v>5</v>
      </c>
      <c r="X5">
        <v>33035</v>
      </c>
      <c r="Y5">
        <v>1032033</v>
      </c>
      <c r="Z5">
        <v>1065068</v>
      </c>
      <c r="AA5">
        <v>1000001</v>
      </c>
      <c r="AB5">
        <v>32.240600000000001</v>
      </c>
      <c r="AC5">
        <v>0.96896199999999999</v>
      </c>
      <c r="AD5">
        <v>1.9389099999999999</v>
      </c>
      <c r="AE5">
        <v>3</v>
      </c>
      <c r="AF5">
        <v>10120629635</v>
      </c>
      <c r="AG5">
        <v>0</v>
      </c>
      <c r="AH5">
        <v>0</v>
      </c>
      <c r="AI5">
        <v>10120629635</v>
      </c>
      <c r="AJ5">
        <v>10120629635</v>
      </c>
      <c r="AK5">
        <v>337354321</v>
      </c>
      <c r="AL5">
        <v>0</v>
      </c>
      <c r="AM5">
        <v>0</v>
      </c>
      <c r="AN5">
        <v>337354321</v>
      </c>
      <c r="AO5">
        <v>337354321</v>
      </c>
      <c r="AQ5">
        <v>8.4699500000000008</v>
      </c>
      <c r="AR5">
        <v>8.0457500000000001E-2</v>
      </c>
      <c r="AS5">
        <v>1149.68</v>
      </c>
      <c r="AU5" t="s">
        <v>360</v>
      </c>
      <c r="AV5" t="str">
        <f t="shared" si="0"/>
        <v>0% updates, key range [0, 2*10^6)</v>
      </c>
      <c r="AW5" t="str">
        <f t="shared" si="1"/>
        <v>1191</v>
      </c>
    </row>
    <row r="6" spans="1:49">
      <c r="A6" t="s">
        <v>88</v>
      </c>
      <c r="B6" t="s">
        <v>72</v>
      </c>
      <c r="C6">
        <v>72</v>
      </c>
      <c r="D6" t="s">
        <v>73</v>
      </c>
      <c r="E6" t="s">
        <v>68</v>
      </c>
      <c r="F6" t="s">
        <v>69</v>
      </c>
      <c r="G6">
        <v>30000</v>
      </c>
      <c r="H6">
        <v>0</v>
      </c>
      <c r="I6">
        <v>0</v>
      </c>
      <c r="J6">
        <v>0</v>
      </c>
      <c r="K6">
        <v>1</v>
      </c>
      <c r="L6">
        <v>2000000</v>
      </c>
      <c r="M6">
        <v>190</v>
      </c>
      <c r="N6">
        <v>190</v>
      </c>
      <c r="O6">
        <v>190</v>
      </c>
      <c r="P6">
        <v>0</v>
      </c>
      <c r="Q6" t="s">
        <v>70</v>
      </c>
      <c r="R6">
        <v>1000357862174</v>
      </c>
      <c r="S6">
        <v>1000001</v>
      </c>
      <c r="V6" t="s">
        <v>83</v>
      </c>
      <c r="W6">
        <v>5</v>
      </c>
      <c r="X6">
        <v>33035</v>
      </c>
      <c r="Y6">
        <v>1032033</v>
      </c>
      <c r="Z6">
        <v>1065068</v>
      </c>
      <c r="AA6">
        <v>1000001</v>
      </c>
      <c r="AB6">
        <v>32.240600000000001</v>
      </c>
      <c r="AC6">
        <v>0.96896199999999999</v>
      </c>
      <c r="AD6">
        <v>1.9389099999999999</v>
      </c>
      <c r="AE6">
        <v>3</v>
      </c>
      <c r="AF6">
        <v>13397801464</v>
      </c>
      <c r="AG6">
        <v>0</v>
      </c>
      <c r="AH6">
        <v>0</v>
      </c>
      <c r="AI6">
        <v>13397801464</v>
      </c>
      <c r="AJ6">
        <v>13397801464</v>
      </c>
      <c r="AK6">
        <v>446593382</v>
      </c>
      <c r="AL6">
        <v>0</v>
      </c>
      <c r="AM6">
        <v>0</v>
      </c>
      <c r="AN6">
        <v>446593382</v>
      </c>
      <c r="AO6">
        <v>446593382</v>
      </c>
      <c r="AQ6">
        <v>8.7603799999999996</v>
      </c>
      <c r="AR6">
        <v>9.0570700000000004E-2</v>
      </c>
      <c r="AS6">
        <v>1155.53</v>
      </c>
      <c r="AU6" t="s">
        <v>361</v>
      </c>
      <c r="AV6" t="str">
        <f t="shared" si="0"/>
        <v>0% updates, key range [0, 2*10^6)</v>
      </c>
      <c r="AW6" t="str">
        <f t="shared" si="1"/>
        <v>1211</v>
      </c>
    </row>
    <row r="7" spans="1:49">
      <c r="A7" t="s">
        <v>89</v>
      </c>
      <c r="B7" t="s">
        <v>74</v>
      </c>
      <c r="C7">
        <v>208</v>
      </c>
      <c r="D7" t="s">
        <v>73</v>
      </c>
      <c r="E7" t="s">
        <v>68</v>
      </c>
      <c r="F7" t="s">
        <v>69</v>
      </c>
      <c r="G7">
        <v>30000</v>
      </c>
      <c r="H7">
        <v>0</v>
      </c>
      <c r="I7">
        <v>0</v>
      </c>
      <c r="J7">
        <v>0</v>
      </c>
      <c r="K7">
        <v>1</v>
      </c>
      <c r="L7">
        <v>2000000</v>
      </c>
      <c r="M7">
        <v>24</v>
      </c>
      <c r="N7">
        <v>24</v>
      </c>
      <c r="O7">
        <v>24</v>
      </c>
      <c r="P7">
        <v>0</v>
      </c>
      <c r="Q7" t="s">
        <v>70</v>
      </c>
      <c r="R7">
        <v>1000023916105</v>
      </c>
      <c r="S7">
        <v>1000000</v>
      </c>
      <c r="V7" t="s">
        <v>83</v>
      </c>
      <c r="W7">
        <v>8</v>
      </c>
      <c r="X7">
        <v>18496</v>
      </c>
      <c r="Y7">
        <v>127418</v>
      </c>
      <c r="Z7">
        <v>145914</v>
      </c>
      <c r="AA7">
        <v>1000000</v>
      </c>
      <c r="AB7">
        <v>7.8889500000000004</v>
      </c>
      <c r="AC7">
        <v>7.8481800000000002</v>
      </c>
      <c r="AD7">
        <v>7.8533499999999998</v>
      </c>
      <c r="AE7">
        <v>7</v>
      </c>
      <c r="AF7">
        <v>2066327168</v>
      </c>
      <c r="AG7">
        <v>0</v>
      </c>
      <c r="AH7">
        <v>0</v>
      </c>
      <c r="AI7">
        <v>2066327168</v>
      </c>
      <c r="AJ7">
        <v>2066327168</v>
      </c>
      <c r="AK7">
        <v>68877572</v>
      </c>
      <c r="AL7">
        <v>0</v>
      </c>
      <c r="AM7">
        <v>0</v>
      </c>
      <c r="AN7">
        <v>68877572</v>
      </c>
      <c r="AO7">
        <v>68877572</v>
      </c>
      <c r="AQ7">
        <v>8.5982299999999992</v>
      </c>
      <c r="AR7">
        <v>0.27085199999999998</v>
      </c>
      <c r="AS7">
        <v>971.84400000000005</v>
      </c>
      <c r="AU7" t="s">
        <v>362</v>
      </c>
      <c r="AV7" t="str">
        <f t="shared" si="0"/>
        <v>0% updates, key range [0, 2*10^6)</v>
      </c>
      <c r="AW7" t="str">
        <f t="shared" si="1"/>
        <v>1102</v>
      </c>
    </row>
    <row r="8" spans="1:49">
      <c r="A8" t="s">
        <v>90</v>
      </c>
      <c r="B8" t="s">
        <v>74</v>
      </c>
      <c r="C8">
        <v>208</v>
      </c>
      <c r="D8" t="s">
        <v>73</v>
      </c>
      <c r="E8" t="s">
        <v>68</v>
      </c>
      <c r="F8" t="s">
        <v>69</v>
      </c>
      <c r="G8">
        <v>30000</v>
      </c>
      <c r="H8">
        <v>0</v>
      </c>
      <c r="I8">
        <v>0</v>
      </c>
      <c r="J8">
        <v>0</v>
      </c>
      <c r="K8">
        <v>1</v>
      </c>
      <c r="L8">
        <v>2000000</v>
      </c>
      <c r="M8">
        <v>48</v>
      </c>
      <c r="N8">
        <v>48</v>
      </c>
      <c r="O8">
        <v>48</v>
      </c>
      <c r="P8">
        <v>0</v>
      </c>
      <c r="Q8" t="s">
        <v>70</v>
      </c>
      <c r="R8">
        <v>999999005390</v>
      </c>
      <c r="S8">
        <v>1000000</v>
      </c>
      <c r="V8" t="s">
        <v>83</v>
      </c>
      <c r="W8">
        <v>8</v>
      </c>
      <c r="X8">
        <v>18494</v>
      </c>
      <c r="Y8">
        <v>127477</v>
      </c>
      <c r="Z8">
        <v>145971</v>
      </c>
      <c r="AA8">
        <v>1000000</v>
      </c>
      <c r="AB8">
        <v>7.8928799999999999</v>
      </c>
      <c r="AC8">
        <v>7.8445499999999999</v>
      </c>
      <c r="AD8">
        <v>7.8506799999999997</v>
      </c>
      <c r="AE8">
        <v>7</v>
      </c>
      <c r="AF8">
        <v>3201535551</v>
      </c>
      <c r="AG8">
        <v>0</v>
      </c>
      <c r="AH8">
        <v>0</v>
      </c>
      <c r="AI8">
        <v>3201535551</v>
      </c>
      <c r="AJ8">
        <v>3201535551</v>
      </c>
      <c r="AK8">
        <v>106717851</v>
      </c>
      <c r="AL8">
        <v>0</v>
      </c>
      <c r="AM8">
        <v>0</v>
      </c>
      <c r="AN8">
        <v>106717851</v>
      </c>
      <c r="AO8">
        <v>106717851</v>
      </c>
      <c r="AQ8">
        <v>8.4631100000000004</v>
      </c>
      <c r="AR8">
        <v>0.28070099999999998</v>
      </c>
      <c r="AS8">
        <v>1211.44</v>
      </c>
      <c r="AU8" t="s">
        <v>363</v>
      </c>
      <c r="AV8" t="str">
        <f t="shared" si="0"/>
        <v>0% updates, key range [0, 2*10^6)</v>
      </c>
      <c r="AW8" t="str">
        <f t="shared" si="1"/>
        <v>1112</v>
      </c>
    </row>
    <row r="9" spans="1:49">
      <c r="A9" t="s">
        <v>91</v>
      </c>
      <c r="B9" t="s">
        <v>74</v>
      </c>
      <c r="C9">
        <v>208</v>
      </c>
      <c r="D9" t="s">
        <v>73</v>
      </c>
      <c r="E9" t="s">
        <v>68</v>
      </c>
      <c r="F9" t="s">
        <v>69</v>
      </c>
      <c r="G9">
        <v>30000</v>
      </c>
      <c r="H9">
        <v>0</v>
      </c>
      <c r="I9">
        <v>0</v>
      </c>
      <c r="J9">
        <v>0</v>
      </c>
      <c r="K9">
        <v>1</v>
      </c>
      <c r="L9">
        <v>2000000</v>
      </c>
      <c r="M9">
        <v>96</v>
      </c>
      <c r="N9">
        <v>96</v>
      </c>
      <c r="O9">
        <v>96</v>
      </c>
      <c r="P9">
        <v>0</v>
      </c>
      <c r="Q9" t="s">
        <v>70</v>
      </c>
      <c r="R9">
        <v>999597856745</v>
      </c>
      <c r="S9">
        <v>1000000</v>
      </c>
      <c r="V9" t="s">
        <v>83</v>
      </c>
      <c r="W9">
        <v>8</v>
      </c>
      <c r="X9">
        <v>18496</v>
      </c>
      <c r="Y9">
        <v>127601</v>
      </c>
      <c r="Z9">
        <v>146097</v>
      </c>
      <c r="AA9">
        <v>1000000</v>
      </c>
      <c r="AB9">
        <v>7.8988399999999999</v>
      </c>
      <c r="AC9">
        <v>7.8369299999999997</v>
      </c>
      <c r="AD9">
        <v>7.8447699999999996</v>
      </c>
      <c r="AE9">
        <v>7</v>
      </c>
      <c r="AF9">
        <v>6334308221</v>
      </c>
      <c r="AG9">
        <v>0</v>
      </c>
      <c r="AH9">
        <v>0</v>
      </c>
      <c r="AI9">
        <v>6334308221</v>
      </c>
      <c r="AJ9">
        <v>6334308221</v>
      </c>
      <c r="AK9">
        <v>211143607</v>
      </c>
      <c r="AL9">
        <v>0</v>
      </c>
      <c r="AM9">
        <v>0</v>
      </c>
      <c r="AN9">
        <v>211143607</v>
      </c>
      <c r="AO9">
        <v>211143607</v>
      </c>
      <c r="AQ9">
        <v>8.5484200000000001</v>
      </c>
      <c r="AR9">
        <v>0.32513900000000001</v>
      </c>
      <c r="AS9">
        <v>1248.92</v>
      </c>
      <c r="AU9" t="s">
        <v>357</v>
      </c>
      <c r="AV9" t="str">
        <f t="shared" si="0"/>
        <v>0% updates, key range [0, 2*10^6)</v>
      </c>
      <c r="AW9" t="str">
        <f t="shared" si="1"/>
        <v>1124</v>
      </c>
    </row>
    <row r="10" spans="1:49">
      <c r="A10" t="s">
        <v>92</v>
      </c>
      <c r="B10" t="s">
        <v>74</v>
      </c>
      <c r="C10">
        <v>208</v>
      </c>
      <c r="D10" t="s">
        <v>73</v>
      </c>
      <c r="E10" t="s">
        <v>68</v>
      </c>
      <c r="F10" t="s">
        <v>69</v>
      </c>
      <c r="G10">
        <v>30000</v>
      </c>
      <c r="H10">
        <v>0</v>
      </c>
      <c r="I10">
        <v>0</v>
      </c>
      <c r="J10">
        <v>0</v>
      </c>
      <c r="K10">
        <v>1</v>
      </c>
      <c r="L10">
        <v>2000000</v>
      </c>
      <c r="M10">
        <v>144</v>
      </c>
      <c r="N10">
        <v>144</v>
      </c>
      <c r="O10">
        <v>144</v>
      </c>
      <c r="P10">
        <v>0</v>
      </c>
      <c r="Q10" t="s">
        <v>70</v>
      </c>
      <c r="R10">
        <v>999841995134</v>
      </c>
      <c r="S10">
        <v>1000000</v>
      </c>
      <c r="V10" t="s">
        <v>83</v>
      </c>
      <c r="W10">
        <v>8</v>
      </c>
      <c r="X10">
        <v>18557</v>
      </c>
      <c r="Y10">
        <v>127677</v>
      </c>
      <c r="Z10">
        <v>146234</v>
      </c>
      <c r="AA10">
        <v>1000000</v>
      </c>
      <c r="AB10">
        <v>7.8802599999999998</v>
      </c>
      <c r="AC10">
        <v>7.8322599999999998</v>
      </c>
      <c r="AD10">
        <v>7.8383500000000002</v>
      </c>
      <c r="AE10">
        <v>7</v>
      </c>
      <c r="AF10">
        <v>9248370803</v>
      </c>
      <c r="AG10">
        <v>0</v>
      </c>
      <c r="AH10">
        <v>0</v>
      </c>
      <c r="AI10">
        <v>9248370803</v>
      </c>
      <c r="AJ10">
        <v>9248370803</v>
      </c>
      <c r="AK10">
        <v>308279026</v>
      </c>
      <c r="AL10">
        <v>0</v>
      </c>
      <c r="AM10">
        <v>0</v>
      </c>
      <c r="AN10">
        <v>308279026</v>
      </c>
      <c r="AO10">
        <v>308279026</v>
      </c>
      <c r="AQ10">
        <v>8.5707599999999999</v>
      </c>
      <c r="AR10">
        <v>0.37317299999999998</v>
      </c>
      <c r="AS10">
        <v>1243.5999999999999</v>
      </c>
      <c r="AU10" t="s">
        <v>364</v>
      </c>
      <c r="AV10" t="str">
        <f t="shared" si="0"/>
        <v>0% updates, key range [0, 2*10^6)</v>
      </c>
      <c r="AW10" t="str">
        <f t="shared" si="1"/>
        <v>1137</v>
      </c>
    </row>
    <row r="11" spans="1:49">
      <c r="A11" t="s">
        <v>93</v>
      </c>
      <c r="B11" t="s">
        <v>74</v>
      </c>
      <c r="C11">
        <v>208</v>
      </c>
      <c r="D11" t="s">
        <v>73</v>
      </c>
      <c r="E11" t="s">
        <v>68</v>
      </c>
      <c r="F11" t="s">
        <v>69</v>
      </c>
      <c r="G11">
        <v>30000</v>
      </c>
      <c r="H11">
        <v>0</v>
      </c>
      <c r="I11">
        <v>0</v>
      </c>
      <c r="J11">
        <v>0</v>
      </c>
      <c r="K11">
        <v>1</v>
      </c>
      <c r="L11">
        <v>2000000</v>
      </c>
      <c r="M11">
        <v>190</v>
      </c>
      <c r="N11">
        <v>190</v>
      </c>
      <c r="O11">
        <v>190</v>
      </c>
      <c r="P11">
        <v>0</v>
      </c>
      <c r="Q11" t="s">
        <v>70</v>
      </c>
      <c r="R11">
        <v>1000193863080</v>
      </c>
      <c r="S11">
        <v>1000000</v>
      </c>
      <c r="V11" t="s">
        <v>83</v>
      </c>
      <c r="W11">
        <v>8</v>
      </c>
      <c r="X11">
        <v>18560</v>
      </c>
      <c r="Y11">
        <v>127733</v>
      </c>
      <c r="Z11">
        <v>146293</v>
      </c>
      <c r="AA11">
        <v>1000000</v>
      </c>
      <c r="AB11">
        <v>7.8821700000000003</v>
      </c>
      <c r="AC11">
        <v>7.82883</v>
      </c>
      <c r="AD11">
        <v>7.8356000000000003</v>
      </c>
      <c r="AE11">
        <v>7</v>
      </c>
      <c r="AF11">
        <v>12188675017</v>
      </c>
      <c r="AG11">
        <v>0</v>
      </c>
      <c r="AH11">
        <v>0</v>
      </c>
      <c r="AI11">
        <v>12188675017</v>
      </c>
      <c r="AJ11">
        <v>12188675017</v>
      </c>
      <c r="AK11">
        <v>406289167</v>
      </c>
      <c r="AL11">
        <v>0</v>
      </c>
      <c r="AM11">
        <v>0</v>
      </c>
      <c r="AN11">
        <v>406289167</v>
      </c>
      <c r="AO11">
        <v>406289167</v>
      </c>
      <c r="AQ11">
        <v>8.6484799999999993</v>
      </c>
      <c r="AR11">
        <v>0.371143</v>
      </c>
      <c r="AS11">
        <v>1251.31</v>
      </c>
      <c r="AU11" t="s">
        <v>365</v>
      </c>
      <c r="AV11" t="str">
        <f t="shared" si="0"/>
        <v>0% updates, key range [0, 2*10^6)</v>
      </c>
      <c r="AW11" t="str">
        <f t="shared" si="1"/>
        <v>1156</v>
      </c>
    </row>
    <row r="12" spans="1:49">
      <c r="A12" t="s">
        <v>94</v>
      </c>
      <c r="B12" t="s">
        <v>75</v>
      </c>
      <c r="D12" t="s">
        <v>73</v>
      </c>
      <c r="E12" t="s">
        <v>68</v>
      </c>
      <c r="F12" t="s">
        <v>69</v>
      </c>
      <c r="G12">
        <v>30000</v>
      </c>
      <c r="H12">
        <v>0</v>
      </c>
      <c r="I12">
        <v>0</v>
      </c>
      <c r="J12">
        <v>0</v>
      </c>
      <c r="K12">
        <v>1</v>
      </c>
      <c r="L12">
        <v>2000000</v>
      </c>
      <c r="M12">
        <v>24</v>
      </c>
      <c r="N12">
        <v>24</v>
      </c>
      <c r="O12">
        <v>24</v>
      </c>
      <c r="P12">
        <v>0</v>
      </c>
      <c r="Q12" t="s">
        <v>70</v>
      </c>
      <c r="R12">
        <v>1000349333966</v>
      </c>
      <c r="S12">
        <v>1000000</v>
      </c>
      <c r="V12" t="s">
        <v>83</v>
      </c>
      <c r="W12">
        <v>25</v>
      </c>
      <c r="X12">
        <v>571485</v>
      </c>
      <c r="Y12">
        <v>428516</v>
      </c>
      <c r="Z12">
        <v>1000001</v>
      </c>
      <c r="AA12">
        <v>1000000</v>
      </c>
      <c r="AB12">
        <v>1.74983</v>
      </c>
      <c r="AC12">
        <v>2.3336399999999999</v>
      </c>
      <c r="AD12">
        <v>2</v>
      </c>
      <c r="AE12">
        <v>19.327100000000002</v>
      </c>
      <c r="AF12">
        <v>934900943</v>
      </c>
      <c r="AG12">
        <v>0</v>
      </c>
      <c r="AH12">
        <v>0</v>
      </c>
      <c r="AI12">
        <v>934900943</v>
      </c>
      <c r="AJ12">
        <v>934900943</v>
      </c>
      <c r="AK12">
        <v>31163364</v>
      </c>
      <c r="AL12">
        <v>0</v>
      </c>
      <c r="AM12">
        <v>0</v>
      </c>
      <c r="AN12">
        <v>31163364</v>
      </c>
      <c r="AO12">
        <v>31163364</v>
      </c>
      <c r="AQ12">
        <v>14.999700000000001</v>
      </c>
      <c r="AR12">
        <v>1.82779</v>
      </c>
      <c r="AS12">
        <v>2148.1999999999998</v>
      </c>
      <c r="AU12" t="s">
        <v>366</v>
      </c>
      <c r="AV12" t="str">
        <f t="shared" si="0"/>
        <v>0% updates, key range [0, 2*10^6)</v>
      </c>
      <c r="AW12" t="str">
        <f t="shared" si="1"/>
        <v>1133</v>
      </c>
    </row>
    <row r="13" spans="1:49">
      <c r="A13" t="s">
        <v>95</v>
      </c>
      <c r="B13" t="s">
        <v>75</v>
      </c>
      <c r="D13" t="s">
        <v>73</v>
      </c>
      <c r="E13" t="s">
        <v>68</v>
      </c>
      <c r="F13" t="s">
        <v>69</v>
      </c>
      <c r="G13">
        <v>30000</v>
      </c>
      <c r="H13">
        <v>0</v>
      </c>
      <c r="I13">
        <v>0</v>
      </c>
      <c r="J13">
        <v>0</v>
      </c>
      <c r="K13">
        <v>1</v>
      </c>
      <c r="L13">
        <v>2000000</v>
      </c>
      <c r="M13">
        <v>48</v>
      </c>
      <c r="N13">
        <v>48</v>
      </c>
      <c r="O13">
        <v>48</v>
      </c>
      <c r="P13">
        <v>0</v>
      </c>
      <c r="Q13" t="s">
        <v>70</v>
      </c>
      <c r="R13">
        <v>1000182024700</v>
      </c>
      <c r="S13">
        <v>1000000</v>
      </c>
      <c r="V13" t="s">
        <v>83</v>
      </c>
      <c r="W13">
        <v>25</v>
      </c>
      <c r="X13">
        <v>571556</v>
      </c>
      <c r="Y13">
        <v>428445</v>
      </c>
      <c r="Z13">
        <v>1000001</v>
      </c>
      <c r="AA13">
        <v>1000000</v>
      </c>
      <c r="AB13">
        <v>1.7496100000000001</v>
      </c>
      <c r="AC13">
        <v>2.3340200000000002</v>
      </c>
      <c r="AD13">
        <v>2</v>
      </c>
      <c r="AE13">
        <v>19.2879</v>
      </c>
      <c r="AF13">
        <v>1602663637</v>
      </c>
      <c r="AG13">
        <v>0</v>
      </c>
      <c r="AH13">
        <v>0</v>
      </c>
      <c r="AI13">
        <v>1602663637</v>
      </c>
      <c r="AJ13">
        <v>1602663637</v>
      </c>
      <c r="AK13">
        <v>53422121</v>
      </c>
      <c r="AL13">
        <v>0</v>
      </c>
      <c r="AM13">
        <v>0</v>
      </c>
      <c r="AN13">
        <v>53422121</v>
      </c>
      <c r="AO13">
        <v>53422121</v>
      </c>
      <c r="AQ13">
        <v>15.7796</v>
      </c>
      <c r="AR13">
        <v>1.86073</v>
      </c>
      <c r="AS13">
        <v>2491.81</v>
      </c>
      <c r="AU13" t="s">
        <v>367</v>
      </c>
      <c r="AV13" t="str">
        <f t="shared" si="0"/>
        <v>0% updates, key range [0, 2*10^6)</v>
      </c>
      <c r="AW13" t="str">
        <f t="shared" si="1"/>
        <v>1138</v>
      </c>
    </row>
    <row r="14" spans="1:49">
      <c r="A14" t="s">
        <v>96</v>
      </c>
      <c r="B14" t="s">
        <v>75</v>
      </c>
      <c r="D14" t="s">
        <v>73</v>
      </c>
      <c r="E14" t="s">
        <v>68</v>
      </c>
      <c r="F14" t="s">
        <v>69</v>
      </c>
      <c r="G14">
        <v>30000</v>
      </c>
      <c r="H14">
        <v>0</v>
      </c>
      <c r="I14">
        <v>0</v>
      </c>
      <c r="J14">
        <v>0</v>
      </c>
      <c r="K14">
        <v>1</v>
      </c>
      <c r="L14">
        <v>2000000</v>
      </c>
      <c r="M14">
        <v>96</v>
      </c>
      <c r="N14">
        <v>96</v>
      </c>
      <c r="O14">
        <v>96</v>
      </c>
      <c r="P14">
        <v>0</v>
      </c>
      <c r="Q14" t="s">
        <v>70</v>
      </c>
      <c r="R14">
        <v>1000510226007</v>
      </c>
      <c r="S14">
        <v>1000000</v>
      </c>
      <c r="V14" t="s">
        <v>83</v>
      </c>
      <c r="W14">
        <v>25</v>
      </c>
      <c r="X14">
        <v>571537</v>
      </c>
      <c r="Y14">
        <v>428464</v>
      </c>
      <c r="Z14">
        <v>1000001</v>
      </c>
      <c r="AA14">
        <v>1000000</v>
      </c>
      <c r="AB14">
        <v>1.7496700000000001</v>
      </c>
      <c r="AC14">
        <v>2.33392</v>
      </c>
      <c r="AD14">
        <v>2</v>
      </c>
      <c r="AE14">
        <v>19.358499999999999</v>
      </c>
      <c r="AF14">
        <v>3364130764</v>
      </c>
      <c r="AG14">
        <v>0</v>
      </c>
      <c r="AH14">
        <v>0</v>
      </c>
      <c r="AI14">
        <v>3364130764</v>
      </c>
      <c r="AJ14">
        <v>3364130764</v>
      </c>
      <c r="AK14">
        <v>112137692</v>
      </c>
      <c r="AL14">
        <v>0</v>
      </c>
      <c r="AM14">
        <v>0</v>
      </c>
      <c r="AN14">
        <v>112137692</v>
      </c>
      <c r="AO14">
        <v>112137692</v>
      </c>
      <c r="AQ14">
        <v>15.7875</v>
      </c>
      <c r="AR14">
        <v>2.0996600000000001</v>
      </c>
      <c r="AS14">
        <v>2353.38</v>
      </c>
      <c r="AU14" t="s">
        <v>368</v>
      </c>
      <c r="AV14" t="str">
        <f t="shared" si="0"/>
        <v>0% updates, key range [0, 2*10^6)</v>
      </c>
      <c r="AW14" t="str">
        <f t="shared" si="1"/>
        <v>1147</v>
      </c>
    </row>
    <row r="15" spans="1:49">
      <c r="A15" t="s">
        <v>97</v>
      </c>
      <c r="B15" t="s">
        <v>75</v>
      </c>
      <c r="D15" t="s">
        <v>73</v>
      </c>
      <c r="E15" t="s">
        <v>68</v>
      </c>
      <c r="F15" t="s">
        <v>69</v>
      </c>
      <c r="G15">
        <v>30000</v>
      </c>
      <c r="H15">
        <v>0</v>
      </c>
      <c r="I15">
        <v>0</v>
      </c>
      <c r="J15">
        <v>0</v>
      </c>
      <c r="K15">
        <v>1</v>
      </c>
      <c r="L15">
        <v>2000000</v>
      </c>
      <c r="M15">
        <v>144</v>
      </c>
      <c r="N15">
        <v>144</v>
      </c>
      <c r="O15">
        <v>144</v>
      </c>
      <c r="P15">
        <v>0</v>
      </c>
      <c r="Q15" t="s">
        <v>70</v>
      </c>
      <c r="R15">
        <v>999754988348</v>
      </c>
      <c r="S15">
        <v>1000000</v>
      </c>
      <c r="V15" t="s">
        <v>83</v>
      </c>
      <c r="W15">
        <v>25</v>
      </c>
      <c r="X15">
        <v>571396</v>
      </c>
      <c r="Y15">
        <v>428605</v>
      </c>
      <c r="Z15">
        <v>1000001</v>
      </c>
      <c r="AA15">
        <v>1000000</v>
      </c>
      <c r="AB15">
        <v>1.7501</v>
      </c>
      <c r="AC15">
        <v>2.3331499999999998</v>
      </c>
      <c r="AD15">
        <v>2</v>
      </c>
      <c r="AE15">
        <v>19.309699999999999</v>
      </c>
      <c r="AF15">
        <v>5031784510</v>
      </c>
      <c r="AG15">
        <v>0</v>
      </c>
      <c r="AH15">
        <v>0</v>
      </c>
      <c r="AI15">
        <v>5031784510</v>
      </c>
      <c r="AJ15">
        <v>5031784510</v>
      </c>
      <c r="AK15">
        <v>167726150</v>
      </c>
      <c r="AL15">
        <v>0</v>
      </c>
      <c r="AM15">
        <v>0</v>
      </c>
      <c r="AN15">
        <v>167726150</v>
      </c>
      <c r="AO15">
        <v>167726150</v>
      </c>
      <c r="AQ15">
        <v>15.808199999999999</v>
      </c>
      <c r="AR15">
        <v>2.1168</v>
      </c>
      <c r="AS15">
        <v>2323.06</v>
      </c>
      <c r="AU15" t="s">
        <v>365</v>
      </c>
      <c r="AV15" t="str">
        <f t="shared" si="0"/>
        <v>0% updates, key range [0, 2*10^6)</v>
      </c>
      <c r="AW15" t="str">
        <f t="shared" si="1"/>
        <v>1156</v>
      </c>
    </row>
    <row r="16" spans="1:49">
      <c r="A16" t="s">
        <v>98</v>
      </c>
      <c r="B16" t="s">
        <v>75</v>
      </c>
      <c r="D16" t="s">
        <v>73</v>
      </c>
      <c r="E16" t="s">
        <v>68</v>
      </c>
      <c r="F16" t="s">
        <v>69</v>
      </c>
      <c r="G16">
        <v>30000</v>
      </c>
      <c r="H16">
        <v>0</v>
      </c>
      <c r="I16">
        <v>0</v>
      </c>
      <c r="J16">
        <v>0</v>
      </c>
      <c r="K16">
        <v>1</v>
      </c>
      <c r="L16">
        <v>2000000</v>
      </c>
      <c r="M16">
        <v>190</v>
      </c>
      <c r="N16">
        <v>190</v>
      </c>
      <c r="O16">
        <v>190</v>
      </c>
      <c r="P16">
        <v>0</v>
      </c>
      <c r="Q16" t="s">
        <v>70</v>
      </c>
      <c r="R16">
        <v>1000289659593</v>
      </c>
      <c r="S16">
        <v>1000000</v>
      </c>
      <c r="V16" t="s">
        <v>83</v>
      </c>
      <c r="W16">
        <v>25</v>
      </c>
      <c r="X16">
        <v>571353</v>
      </c>
      <c r="Y16">
        <v>428648</v>
      </c>
      <c r="Z16">
        <v>1000001</v>
      </c>
      <c r="AA16">
        <v>1000000</v>
      </c>
      <c r="AB16">
        <v>1.75023</v>
      </c>
      <c r="AC16">
        <v>2.3329200000000001</v>
      </c>
      <c r="AD16">
        <v>2</v>
      </c>
      <c r="AE16">
        <v>19.3264</v>
      </c>
      <c r="AF16">
        <v>6636391343</v>
      </c>
      <c r="AG16">
        <v>0</v>
      </c>
      <c r="AH16">
        <v>0</v>
      </c>
      <c r="AI16">
        <v>6636391343</v>
      </c>
      <c r="AJ16">
        <v>6636391343</v>
      </c>
      <c r="AK16">
        <v>221213044</v>
      </c>
      <c r="AL16">
        <v>0</v>
      </c>
      <c r="AM16">
        <v>0</v>
      </c>
      <c r="AN16">
        <v>221213044</v>
      </c>
      <c r="AO16">
        <v>221213044</v>
      </c>
      <c r="AQ16">
        <v>15.8033</v>
      </c>
      <c r="AR16">
        <v>2.1282199999999998</v>
      </c>
      <c r="AS16">
        <v>2325.9299999999998</v>
      </c>
      <c r="AU16" t="s">
        <v>369</v>
      </c>
      <c r="AV16" t="str">
        <f t="shared" si="0"/>
        <v>0% updates, key range [0, 2*10^6)</v>
      </c>
      <c r="AW16" t="str">
        <f t="shared" si="1"/>
        <v>1167</v>
      </c>
    </row>
    <row r="17" spans="1:49">
      <c r="A17" t="s">
        <v>99</v>
      </c>
      <c r="B17" t="s">
        <v>76</v>
      </c>
      <c r="D17" t="s">
        <v>73</v>
      </c>
      <c r="E17" t="s">
        <v>68</v>
      </c>
      <c r="F17" t="s">
        <v>69</v>
      </c>
      <c r="G17">
        <v>30000</v>
      </c>
      <c r="H17">
        <v>0</v>
      </c>
      <c r="I17">
        <v>0</v>
      </c>
      <c r="J17">
        <v>0</v>
      </c>
      <c r="K17">
        <v>1</v>
      </c>
      <c r="L17">
        <v>2000000</v>
      </c>
      <c r="M17">
        <v>24</v>
      </c>
      <c r="N17">
        <v>24</v>
      </c>
      <c r="O17">
        <v>24</v>
      </c>
      <c r="P17">
        <v>0</v>
      </c>
      <c r="Q17" t="s">
        <v>70</v>
      </c>
      <c r="R17">
        <v>1000432264138</v>
      </c>
      <c r="S17">
        <v>1000000</v>
      </c>
      <c r="V17" t="s">
        <v>83</v>
      </c>
      <c r="W17">
        <v>49</v>
      </c>
      <c r="X17">
        <v>999999</v>
      </c>
      <c r="Y17">
        <v>1000000</v>
      </c>
      <c r="Z17">
        <v>1999999</v>
      </c>
      <c r="AA17">
        <v>1000000</v>
      </c>
      <c r="AB17">
        <v>2</v>
      </c>
      <c r="AC17">
        <v>1</v>
      </c>
      <c r="AD17">
        <v>1.5</v>
      </c>
      <c r="AE17">
        <v>26.203600000000002</v>
      </c>
      <c r="AF17">
        <v>817147588</v>
      </c>
      <c r="AG17">
        <v>0</v>
      </c>
      <c r="AH17">
        <v>0</v>
      </c>
      <c r="AI17">
        <v>817147588</v>
      </c>
      <c r="AJ17">
        <v>817147588</v>
      </c>
      <c r="AK17">
        <v>27238252</v>
      </c>
      <c r="AL17">
        <v>0</v>
      </c>
      <c r="AM17">
        <v>0</v>
      </c>
      <c r="AN17">
        <v>27238252</v>
      </c>
      <c r="AO17">
        <v>27238252</v>
      </c>
      <c r="AQ17">
        <v>11.8339</v>
      </c>
      <c r="AR17">
        <v>1.5541499999999999</v>
      </c>
      <c r="AS17">
        <v>2457.96</v>
      </c>
      <c r="AU17" t="s">
        <v>370</v>
      </c>
      <c r="AV17" t="str">
        <f t="shared" si="0"/>
        <v>0% updates, key range [0, 2*10^6)</v>
      </c>
      <c r="AW17" t="str">
        <f t="shared" si="1"/>
        <v>1132</v>
      </c>
    </row>
    <row r="18" spans="1:49">
      <c r="A18" t="s">
        <v>100</v>
      </c>
      <c r="B18" t="s">
        <v>76</v>
      </c>
      <c r="D18" t="s">
        <v>73</v>
      </c>
      <c r="E18" t="s">
        <v>68</v>
      </c>
      <c r="F18" t="s">
        <v>69</v>
      </c>
      <c r="G18">
        <v>30000</v>
      </c>
      <c r="H18">
        <v>0</v>
      </c>
      <c r="I18">
        <v>0</v>
      </c>
      <c r="J18">
        <v>0</v>
      </c>
      <c r="K18">
        <v>1</v>
      </c>
      <c r="L18">
        <v>2000000</v>
      </c>
      <c r="M18">
        <v>48</v>
      </c>
      <c r="N18">
        <v>48</v>
      </c>
      <c r="O18">
        <v>48</v>
      </c>
      <c r="P18">
        <v>0</v>
      </c>
      <c r="Q18" t="s">
        <v>70</v>
      </c>
      <c r="R18">
        <v>999652976843</v>
      </c>
      <c r="S18">
        <v>1000000</v>
      </c>
      <c r="V18" t="s">
        <v>83</v>
      </c>
      <c r="W18">
        <v>51</v>
      </c>
      <c r="X18">
        <v>999999</v>
      </c>
      <c r="Y18">
        <v>1000000</v>
      </c>
      <c r="Z18">
        <v>1999999</v>
      </c>
      <c r="AA18">
        <v>1000000</v>
      </c>
      <c r="AB18">
        <v>2</v>
      </c>
      <c r="AC18">
        <v>1</v>
      </c>
      <c r="AD18">
        <v>1.5</v>
      </c>
      <c r="AE18">
        <v>26.748999999999999</v>
      </c>
      <c r="AF18">
        <v>1471877025</v>
      </c>
      <c r="AG18">
        <v>0</v>
      </c>
      <c r="AH18">
        <v>0</v>
      </c>
      <c r="AI18">
        <v>1471877025</v>
      </c>
      <c r="AJ18">
        <v>1471877025</v>
      </c>
      <c r="AK18">
        <v>49062567</v>
      </c>
      <c r="AL18">
        <v>0</v>
      </c>
      <c r="AM18">
        <v>0</v>
      </c>
      <c r="AN18">
        <v>49062567</v>
      </c>
      <c r="AO18">
        <v>49062567</v>
      </c>
      <c r="AQ18">
        <v>11.724</v>
      </c>
      <c r="AR18">
        <v>1.5457399999999999</v>
      </c>
      <c r="AS18">
        <v>2728.46</v>
      </c>
      <c r="AU18" t="s">
        <v>364</v>
      </c>
      <c r="AV18" t="str">
        <f t="shared" si="0"/>
        <v>0% updates, key range [0, 2*10^6)</v>
      </c>
      <c r="AW18" t="str">
        <f t="shared" si="1"/>
        <v>1137</v>
      </c>
    </row>
    <row r="19" spans="1:49">
      <c r="A19" t="s">
        <v>101</v>
      </c>
      <c r="B19" t="s">
        <v>76</v>
      </c>
      <c r="D19" t="s">
        <v>73</v>
      </c>
      <c r="E19" t="s">
        <v>68</v>
      </c>
      <c r="F19" t="s">
        <v>69</v>
      </c>
      <c r="G19">
        <v>30000</v>
      </c>
      <c r="H19">
        <v>0</v>
      </c>
      <c r="I19">
        <v>0</v>
      </c>
      <c r="J19">
        <v>0</v>
      </c>
      <c r="K19">
        <v>1</v>
      </c>
      <c r="L19">
        <v>2000000</v>
      </c>
      <c r="M19">
        <v>96</v>
      </c>
      <c r="N19">
        <v>96</v>
      </c>
      <c r="O19">
        <v>96</v>
      </c>
      <c r="P19">
        <v>0</v>
      </c>
      <c r="Q19" t="s">
        <v>70</v>
      </c>
      <c r="R19">
        <v>1000165403404</v>
      </c>
      <c r="S19">
        <v>1000000</v>
      </c>
      <c r="V19" t="s">
        <v>83</v>
      </c>
      <c r="W19">
        <v>57</v>
      </c>
      <c r="X19">
        <v>999999</v>
      </c>
      <c r="Y19">
        <v>1000000</v>
      </c>
      <c r="Z19">
        <v>1999999</v>
      </c>
      <c r="AA19">
        <v>1000000</v>
      </c>
      <c r="AB19">
        <v>2</v>
      </c>
      <c r="AC19">
        <v>1</v>
      </c>
      <c r="AD19">
        <v>1.5</v>
      </c>
      <c r="AE19">
        <v>27.290400000000002</v>
      </c>
      <c r="AF19">
        <v>3200501340</v>
      </c>
      <c r="AG19">
        <v>0</v>
      </c>
      <c r="AH19">
        <v>0</v>
      </c>
      <c r="AI19">
        <v>3200501340</v>
      </c>
      <c r="AJ19">
        <v>3200501340</v>
      </c>
      <c r="AK19">
        <v>106683378</v>
      </c>
      <c r="AL19">
        <v>0</v>
      </c>
      <c r="AM19">
        <v>0</v>
      </c>
      <c r="AN19">
        <v>106683378</v>
      </c>
      <c r="AO19">
        <v>106683378</v>
      </c>
      <c r="AQ19">
        <v>11.769600000000001</v>
      </c>
      <c r="AR19">
        <v>1.7575799999999999</v>
      </c>
      <c r="AS19">
        <v>2505.58</v>
      </c>
      <c r="AU19" t="s">
        <v>368</v>
      </c>
      <c r="AV19" t="str">
        <f t="shared" si="0"/>
        <v>0% updates, key range [0, 2*10^6)</v>
      </c>
      <c r="AW19" t="str">
        <f t="shared" si="1"/>
        <v>1147</v>
      </c>
    </row>
    <row r="20" spans="1:49">
      <c r="A20" t="s">
        <v>102</v>
      </c>
      <c r="B20" t="s">
        <v>76</v>
      </c>
      <c r="D20" t="s">
        <v>73</v>
      </c>
      <c r="E20" t="s">
        <v>68</v>
      </c>
      <c r="F20" t="s">
        <v>69</v>
      </c>
      <c r="G20">
        <v>30000</v>
      </c>
      <c r="H20">
        <v>0</v>
      </c>
      <c r="I20">
        <v>0</v>
      </c>
      <c r="J20">
        <v>0</v>
      </c>
      <c r="K20">
        <v>1</v>
      </c>
      <c r="L20">
        <v>2000000</v>
      </c>
      <c r="M20">
        <v>144</v>
      </c>
      <c r="N20">
        <v>144</v>
      </c>
      <c r="O20">
        <v>144</v>
      </c>
      <c r="P20">
        <v>0</v>
      </c>
      <c r="Q20" t="s">
        <v>70</v>
      </c>
      <c r="R20">
        <v>1000073646616</v>
      </c>
      <c r="S20">
        <v>1000000</v>
      </c>
      <c r="V20" t="s">
        <v>83</v>
      </c>
      <c r="W20">
        <v>51</v>
      </c>
      <c r="X20">
        <v>999999</v>
      </c>
      <c r="Y20">
        <v>1000000</v>
      </c>
      <c r="Z20">
        <v>1999999</v>
      </c>
      <c r="AA20">
        <v>1000000</v>
      </c>
      <c r="AB20">
        <v>2</v>
      </c>
      <c r="AC20">
        <v>1</v>
      </c>
      <c r="AD20">
        <v>1.5</v>
      </c>
      <c r="AE20">
        <v>25.8155</v>
      </c>
      <c r="AF20">
        <v>4839025183</v>
      </c>
      <c r="AG20">
        <v>0</v>
      </c>
      <c r="AH20">
        <v>0</v>
      </c>
      <c r="AI20">
        <v>4839025183</v>
      </c>
      <c r="AJ20">
        <v>4839025183</v>
      </c>
      <c r="AK20">
        <v>161300839</v>
      </c>
      <c r="AL20">
        <v>0</v>
      </c>
      <c r="AM20">
        <v>0</v>
      </c>
      <c r="AN20">
        <v>161300839</v>
      </c>
      <c r="AO20">
        <v>161300839</v>
      </c>
      <c r="AQ20">
        <v>11.937799999999999</v>
      </c>
      <c r="AR20">
        <v>1.7706999999999999</v>
      </c>
      <c r="AS20">
        <v>2486.08</v>
      </c>
      <c r="AU20" t="s">
        <v>371</v>
      </c>
      <c r="AV20" t="str">
        <f t="shared" si="0"/>
        <v>0% updates, key range [0, 2*10^6)</v>
      </c>
      <c r="AW20" t="str">
        <f t="shared" si="1"/>
        <v>1157</v>
      </c>
    </row>
    <row r="21" spans="1:49">
      <c r="A21" t="s">
        <v>103</v>
      </c>
      <c r="B21" t="s">
        <v>76</v>
      </c>
      <c r="D21" t="s">
        <v>73</v>
      </c>
      <c r="E21" t="s">
        <v>68</v>
      </c>
      <c r="F21" t="s">
        <v>69</v>
      </c>
      <c r="G21">
        <v>30000</v>
      </c>
      <c r="H21">
        <v>0</v>
      </c>
      <c r="I21">
        <v>0</v>
      </c>
      <c r="J21">
        <v>0</v>
      </c>
      <c r="K21">
        <v>1</v>
      </c>
      <c r="L21">
        <v>2000000</v>
      </c>
      <c r="M21">
        <v>190</v>
      </c>
      <c r="N21">
        <v>190</v>
      </c>
      <c r="O21">
        <v>190</v>
      </c>
      <c r="P21">
        <v>0</v>
      </c>
      <c r="Q21" t="s">
        <v>70</v>
      </c>
      <c r="R21">
        <v>1000176257963</v>
      </c>
      <c r="S21">
        <v>1000000</v>
      </c>
      <c r="V21" t="s">
        <v>83</v>
      </c>
      <c r="W21">
        <v>50</v>
      </c>
      <c r="X21">
        <v>999999</v>
      </c>
      <c r="Y21">
        <v>1000000</v>
      </c>
      <c r="Z21">
        <v>1999999</v>
      </c>
      <c r="AA21">
        <v>1000000</v>
      </c>
      <c r="AB21">
        <v>2</v>
      </c>
      <c r="AC21">
        <v>1</v>
      </c>
      <c r="AD21">
        <v>1.5</v>
      </c>
      <c r="AE21">
        <v>26.276499999999999</v>
      </c>
      <c r="AF21">
        <v>6478149486</v>
      </c>
      <c r="AG21">
        <v>0</v>
      </c>
      <c r="AH21">
        <v>0</v>
      </c>
      <c r="AI21">
        <v>6478149486</v>
      </c>
      <c r="AJ21">
        <v>6478149486</v>
      </c>
      <c r="AK21">
        <v>215938316</v>
      </c>
      <c r="AL21">
        <v>0</v>
      </c>
      <c r="AM21">
        <v>0</v>
      </c>
      <c r="AN21">
        <v>215938316</v>
      </c>
      <c r="AO21">
        <v>215938316</v>
      </c>
      <c r="AQ21">
        <v>11.7995</v>
      </c>
      <c r="AR21">
        <v>1.79131</v>
      </c>
      <c r="AS21">
        <v>2450.23</v>
      </c>
      <c r="AU21" t="s">
        <v>372</v>
      </c>
      <c r="AV21" t="str">
        <f t="shared" si="0"/>
        <v>0% updates, key range [0, 2*10^6)</v>
      </c>
      <c r="AW21" t="str">
        <f t="shared" si="1"/>
        <v>1166</v>
      </c>
    </row>
    <row r="22" spans="1:49">
      <c r="A22" t="s">
        <v>104</v>
      </c>
      <c r="B22" t="s">
        <v>72</v>
      </c>
      <c r="C22">
        <v>72</v>
      </c>
      <c r="D22" t="s">
        <v>73</v>
      </c>
      <c r="E22" t="s">
        <v>68</v>
      </c>
      <c r="F22" t="s">
        <v>69</v>
      </c>
      <c r="G22">
        <v>30000</v>
      </c>
      <c r="H22">
        <v>0</v>
      </c>
      <c r="I22">
        <v>0</v>
      </c>
      <c r="J22">
        <v>0</v>
      </c>
      <c r="K22">
        <v>1</v>
      </c>
      <c r="L22">
        <v>20000000</v>
      </c>
      <c r="M22">
        <v>24</v>
      </c>
      <c r="N22">
        <v>24</v>
      </c>
      <c r="O22">
        <v>24</v>
      </c>
      <c r="P22">
        <v>0</v>
      </c>
      <c r="Q22" t="s">
        <v>70</v>
      </c>
      <c r="R22">
        <v>99994097357629</v>
      </c>
      <c r="S22">
        <v>10000001</v>
      </c>
      <c r="V22" t="s">
        <v>83</v>
      </c>
      <c r="W22">
        <v>6</v>
      </c>
      <c r="X22">
        <v>1625784</v>
      </c>
      <c r="Y22">
        <v>11442329</v>
      </c>
      <c r="Z22">
        <v>13068113</v>
      </c>
      <c r="AA22">
        <v>10000001</v>
      </c>
      <c r="AB22">
        <v>8.0380400000000005</v>
      </c>
      <c r="AC22">
        <v>0.87394799999999995</v>
      </c>
      <c r="AD22">
        <v>1.76522</v>
      </c>
      <c r="AE22">
        <v>4</v>
      </c>
      <c r="AF22">
        <v>1103233207</v>
      </c>
      <c r="AG22">
        <v>0</v>
      </c>
      <c r="AH22">
        <v>0</v>
      </c>
      <c r="AI22">
        <v>1103233207</v>
      </c>
      <c r="AJ22">
        <v>1103233207</v>
      </c>
      <c r="AK22">
        <v>36774440</v>
      </c>
      <c r="AL22">
        <v>0</v>
      </c>
      <c r="AM22">
        <v>0</v>
      </c>
      <c r="AN22">
        <v>36774440</v>
      </c>
      <c r="AO22">
        <v>36774440</v>
      </c>
      <c r="AQ22">
        <v>15.7272</v>
      </c>
      <c r="AR22">
        <v>5.56745</v>
      </c>
      <c r="AS22">
        <v>1820.45</v>
      </c>
      <c r="AU22" t="s">
        <v>373</v>
      </c>
      <c r="AV22" t="str">
        <f t="shared" si="0"/>
        <v>0% updates, key range [0, 2*10^7)</v>
      </c>
      <c r="AW22" t="str">
        <f t="shared" si="1"/>
        <v>1704</v>
      </c>
    </row>
    <row r="23" spans="1:49">
      <c r="A23" t="s">
        <v>105</v>
      </c>
      <c r="B23" t="s">
        <v>72</v>
      </c>
      <c r="C23">
        <v>72</v>
      </c>
      <c r="D23" t="s">
        <v>73</v>
      </c>
      <c r="E23" t="s">
        <v>68</v>
      </c>
      <c r="F23" t="s">
        <v>69</v>
      </c>
      <c r="G23">
        <v>30000</v>
      </c>
      <c r="H23">
        <v>0</v>
      </c>
      <c r="I23">
        <v>0</v>
      </c>
      <c r="J23">
        <v>0</v>
      </c>
      <c r="K23">
        <v>1</v>
      </c>
      <c r="L23">
        <v>20000000</v>
      </c>
      <c r="M23">
        <v>48</v>
      </c>
      <c r="N23">
        <v>48</v>
      </c>
      <c r="O23">
        <v>48</v>
      </c>
      <c r="P23">
        <v>0</v>
      </c>
      <c r="Q23" t="s">
        <v>70</v>
      </c>
      <c r="R23">
        <v>99996959732775</v>
      </c>
      <c r="S23">
        <v>10000001</v>
      </c>
      <c r="V23" t="s">
        <v>83</v>
      </c>
      <c r="W23">
        <v>6</v>
      </c>
      <c r="X23">
        <v>1625784</v>
      </c>
      <c r="Y23">
        <v>11442329</v>
      </c>
      <c r="Z23">
        <v>13068113</v>
      </c>
      <c r="AA23">
        <v>10000001</v>
      </c>
      <c r="AB23">
        <v>8.0380400000000005</v>
      </c>
      <c r="AC23">
        <v>0.87394799999999995</v>
      </c>
      <c r="AD23">
        <v>1.76522</v>
      </c>
      <c r="AE23">
        <v>4</v>
      </c>
      <c r="AF23">
        <v>1895406111</v>
      </c>
      <c r="AG23">
        <v>0</v>
      </c>
      <c r="AH23">
        <v>0</v>
      </c>
      <c r="AI23">
        <v>1895406111</v>
      </c>
      <c r="AJ23">
        <v>1895406111</v>
      </c>
      <c r="AK23">
        <v>63180203</v>
      </c>
      <c r="AL23">
        <v>0</v>
      </c>
      <c r="AM23">
        <v>0</v>
      </c>
      <c r="AN23">
        <v>63180203</v>
      </c>
      <c r="AO23">
        <v>63180203</v>
      </c>
      <c r="AQ23">
        <v>15.250500000000001</v>
      </c>
      <c r="AR23">
        <v>5.5426599999999997</v>
      </c>
      <c r="AS23">
        <v>2118.0500000000002</v>
      </c>
      <c r="AU23" t="s">
        <v>374</v>
      </c>
      <c r="AV23" t="str">
        <f t="shared" si="0"/>
        <v>0% updates, key range [0, 2*10^7)</v>
      </c>
      <c r="AW23" t="str">
        <f t="shared" si="1"/>
        <v>1725</v>
      </c>
    </row>
    <row r="24" spans="1:49">
      <c r="A24" t="s">
        <v>106</v>
      </c>
      <c r="B24" t="s">
        <v>72</v>
      </c>
      <c r="C24">
        <v>72</v>
      </c>
      <c r="D24" t="s">
        <v>73</v>
      </c>
      <c r="E24" t="s">
        <v>68</v>
      </c>
      <c r="F24" t="s">
        <v>69</v>
      </c>
      <c r="G24">
        <v>30000</v>
      </c>
      <c r="H24">
        <v>0</v>
      </c>
      <c r="I24">
        <v>0</v>
      </c>
      <c r="J24">
        <v>0</v>
      </c>
      <c r="K24">
        <v>1</v>
      </c>
      <c r="L24">
        <v>20000000</v>
      </c>
      <c r="M24">
        <v>96</v>
      </c>
      <c r="N24">
        <v>96</v>
      </c>
      <c r="O24">
        <v>96</v>
      </c>
      <c r="P24">
        <v>0</v>
      </c>
      <c r="Q24" t="s">
        <v>70</v>
      </c>
      <c r="R24">
        <v>100014260998811</v>
      </c>
      <c r="S24">
        <v>10000001</v>
      </c>
      <c r="V24" t="s">
        <v>83</v>
      </c>
      <c r="W24">
        <v>6</v>
      </c>
      <c r="X24">
        <v>1625784</v>
      </c>
      <c r="Y24">
        <v>11442329</v>
      </c>
      <c r="Z24">
        <v>13068113</v>
      </c>
      <c r="AA24">
        <v>10000001</v>
      </c>
      <c r="AB24">
        <v>8.0380400000000005</v>
      </c>
      <c r="AC24">
        <v>0.87394799999999995</v>
      </c>
      <c r="AD24">
        <v>1.76522</v>
      </c>
      <c r="AE24">
        <v>4</v>
      </c>
      <c r="AF24">
        <v>4177379151</v>
      </c>
      <c r="AG24">
        <v>0</v>
      </c>
      <c r="AH24">
        <v>0</v>
      </c>
      <c r="AI24">
        <v>4177379151</v>
      </c>
      <c r="AJ24">
        <v>4177379151</v>
      </c>
      <c r="AK24">
        <v>139245971</v>
      </c>
      <c r="AL24">
        <v>0</v>
      </c>
      <c r="AM24">
        <v>0</v>
      </c>
      <c r="AN24">
        <v>139245971</v>
      </c>
      <c r="AO24">
        <v>139245971</v>
      </c>
      <c r="AQ24">
        <v>15.3072</v>
      </c>
      <c r="AR24">
        <v>6.1359000000000004</v>
      </c>
      <c r="AS24">
        <v>1910.62</v>
      </c>
      <c r="AU24" t="s">
        <v>375</v>
      </c>
      <c r="AV24" t="str">
        <f t="shared" si="0"/>
        <v>0% updates, key range [0, 2*10^7)</v>
      </c>
      <c r="AW24" t="str">
        <f t="shared" si="1"/>
        <v>1763</v>
      </c>
    </row>
    <row r="25" spans="1:49">
      <c r="A25" t="s">
        <v>107</v>
      </c>
      <c r="B25" t="s">
        <v>72</v>
      </c>
      <c r="C25">
        <v>72</v>
      </c>
      <c r="D25" t="s">
        <v>73</v>
      </c>
      <c r="E25" t="s">
        <v>68</v>
      </c>
      <c r="F25" t="s">
        <v>69</v>
      </c>
      <c r="G25">
        <v>30000</v>
      </c>
      <c r="H25">
        <v>0</v>
      </c>
      <c r="I25">
        <v>0</v>
      </c>
      <c r="J25">
        <v>0</v>
      </c>
      <c r="K25">
        <v>1</v>
      </c>
      <c r="L25">
        <v>20000000</v>
      </c>
      <c r="M25">
        <v>144</v>
      </c>
      <c r="N25">
        <v>144</v>
      </c>
      <c r="O25">
        <v>144</v>
      </c>
      <c r="P25">
        <v>0</v>
      </c>
      <c r="Q25" t="s">
        <v>70</v>
      </c>
      <c r="R25">
        <v>99993381535800</v>
      </c>
      <c r="S25">
        <v>10000001</v>
      </c>
      <c r="V25" t="s">
        <v>83</v>
      </c>
      <c r="W25">
        <v>6</v>
      </c>
      <c r="X25">
        <v>1625784</v>
      </c>
      <c r="Y25">
        <v>11442329</v>
      </c>
      <c r="Z25">
        <v>13068113</v>
      </c>
      <c r="AA25">
        <v>10000001</v>
      </c>
      <c r="AB25">
        <v>8.0380400000000005</v>
      </c>
      <c r="AC25">
        <v>0.87394799999999995</v>
      </c>
      <c r="AD25">
        <v>1.76522</v>
      </c>
      <c r="AE25">
        <v>4</v>
      </c>
      <c r="AF25">
        <v>6106746489</v>
      </c>
      <c r="AG25">
        <v>0</v>
      </c>
      <c r="AH25">
        <v>0</v>
      </c>
      <c r="AI25">
        <v>6106746489</v>
      </c>
      <c r="AJ25">
        <v>6106746489</v>
      </c>
      <c r="AK25">
        <v>203558216</v>
      </c>
      <c r="AL25">
        <v>0</v>
      </c>
      <c r="AM25">
        <v>0</v>
      </c>
      <c r="AN25">
        <v>203558216</v>
      </c>
      <c r="AO25">
        <v>203558216</v>
      </c>
      <c r="AQ25">
        <v>15.382899999999999</v>
      </c>
      <c r="AR25">
        <v>6.1806299999999998</v>
      </c>
      <c r="AS25">
        <v>1955.7</v>
      </c>
      <c r="AU25" t="s">
        <v>376</v>
      </c>
      <c r="AV25" t="str">
        <f t="shared" si="0"/>
        <v>0% updates, key range [0, 2*10^7)</v>
      </c>
      <c r="AW25" t="str">
        <f t="shared" si="1"/>
        <v>1813</v>
      </c>
    </row>
    <row r="26" spans="1:49">
      <c r="A26" t="s">
        <v>108</v>
      </c>
      <c r="B26" t="s">
        <v>72</v>
      </c>
      <c r="C26">
        <v>72</v>
      </c>
      <c r="D26" t="s">
        <v>73</v>
      </c>
      <c r="E26" t="s">
        <v>68</v>
      </c>
      <c r="F26" t="s">
        <v>69</v>
      </c>
      <c r="G26">
        <v>30000</v>
      </c>
      <c r="H26">
        <v>0</v>
      </c>
      <c r="I26">
        <v>0</v>
      </c>
      <c r="J26">
        <v>0</v>
      </c>
      <c r="K26">
        <v>1</v>
      </c>
      <c r="L26">
        <v>20000000</v>
      </c>
      <c r="M26">
        <v>190</v>
      </c>
      <c r="N26">
        <v>190</v>
      </c>
      <c r="O26">
        <v>190</v>
      </c>
      <c r="P26">
        <v>0</v>
      </c>
      <c r="Q26" t="s">
        <v>70</v>
      </c>
      <c r="R26">
        <v>99994222887195</v>
      </c>
      <c r="S26">
        <v>10000001</v>
      </c>
      <c r="V26" t="s">
        <v>83</v>
      </c>
      <c r="W26">
        <v>6</v>
      </c>
      <c r="X26">
        <v>1625784</v>
      </c>
      <c r="Y26">
        <v>11442329</v>
      </c>
      <c r="Z26">
        <v>13068113</v>
      </c>
      <c r="AA26">
        <v>10000001</v>
      </c>
      <c r="AB26">
        <v>8.0380400000000005</v>
      </c>
      <c r="AC26">
        <v>0.87394799999999995</v>
      </c>
      <c r="AD26">
        <v>1.76522</v>
      </c>
      <c r="AE26">
        <v>4</v>
      </c>
      <c r="AF26">
        <v>7977516073</v>
      </c>
      <c r="AG26">
        <v>0</v>
      </c>
      <c r="AH26">
        <v>0</v>
      </c>
      <c r="AI26">
        <v>7977516073</v>
      </c>
      <c r="AJ26">
        <v>7977516073</v>
      </c>
      <c r="AK26">
        <v>265917202</v>
      </c>
      <c r="AL26">
        <v>0</v>
      </c>
      <c r="AM26">
        <v>0</v>
      </c>
      <c r="AN26">
        <v>265917202</v>
      </c>
      <c r="AO26">
        <v>265917202</v>
      </c>
      <c r="AQ26">
        <v>15.405099999999999</v>
      </c>
      <c r="AR26">
        <v>6.2151399999999999</v>
      </c>
      <c r="AS26">
        <v>1968.31</v>
      </c>
      <c r="AU26" t="s">
        <v>377</v>
      </c>
      <c r="AV26" t="str">
        <f t="shared" si="0"/>
        <v>0% updates, key range [0, 2*10^7)</v>
      </c>
      <c r="AW26" t="str">
        <f t="shared" si="1"/>
        <v>1850</v>
      </c>
    </row>
    <row r="27" spans="1:49">
      <c r="A27" t="s">
        <v>109</v>
      </c>
      <c r="B27" t="s">
        <v>74</v>
      </c>
      <c r="C27">
        <v>208</v>
      </c>
      <c r="D27" t="s">
        <v>73</v>
      </c>
      <c r="E27" t="s">
        <v>68</v>
      </c>
      <c r="F27" t="s">
        <v>69</v>
      </c>
      <c r="G27">
        <v>30000</v>
      </c>
      <c r="H27">
        <v>0</v>
      </c>
      <c r="I27">
        <v>0</v>
      </c>
      <c r="J27">
        <v>0</v>
      </c>
      <c r="K27">
        <v>1</v>
      </c>
      <c r="L27">
        <v>20000000</v>
      </c>
      <c r="M27">
        <v>24</v>
      </c>
      <c r="N27">
        <v>24</v>
      </c>
      <c r="O27">
        <v>24</v>
      </c>
      <c r="P27">
        <v>0</v>
      </c>
      <c r="Q27" t="s">
        <v>70</v>
      </c>
      <c r="R27">
        <v>99999581598974</v>
      </c>
      <c r="S27">
        <v>10000000</v>
      </c>
      <c r="V27" t="s">
        <v>83</v>
      </c>
      <c r="W27">
        <v>9</v>
      </c>
      <c r="X27">
        <v>185438</v>
      </c>
      <c r="Y27">
        <v>1275323</v>
      </c>
      <c r="Z27">
        <v>1460761</v>
      </c>
      <c r="AA27">
        <v>10000000</v>
      </c>
      <c r="AB27">
        <v>7.8773600000000004</v>
      </c>
      <c r="AC27">
        <v>7.8411499999999998</v>
      </c>
      <c r="AD27">
        <v>7.8457499999999998</v>
      </c>
      <c r="AE27">
        <v>8</v>
      </c>
      <c r="AF27">
        <v>938264770</v>
      </c>
      <c r="AG27">
        <v>0</v>
      </c>
      <c r="AH27">
        <v>0</v>
      </c>
      <c r="AI27">
        <v>938264770</v>
      </c>
      <c r="AJ27">
        <v>938264770</v>
      </c>
      <c r="AK27">
        <v>31275492</v>
      </c>
      <c r="AL27">
        <v>0</v>
      </c>
      <c r="AM27">
        <v>0</v>
      </c>
      <c r="AN27">
        <v>31275492</v>
      </c>
      <c r="AO27">
        <v>31275492</v>
      </c>
      <c r="AQ27">
        <v>16.354800000000001</v>
      </c>
      <c r="AR27">
        <v>4.8441099999999997</v>
      </c>
      <c r="AS27">
        <v>2140.29</v>
      </c>
      <c r="AU27" t="s">
        <v>378</v>
      </c>
      <c r="AV27" t="str">
        <f t="shared" si="0"/>
        <v>0% updates, key range [0, 2*10^7)</v>
      </c>
      <c r="AW27" t="str">
        <f t="shared" si="1"/>
        <v>1402</v>
      </c>
    </row>
    <row r="28" spans="1:49">
      <c r="A28" t="s">
        <v>110</v>
      </c>
      <c r="B28" t="s">
        <v>74</v>
      </c>
      <c r="C28">
        <v>208</v>
      </c>
      <c r="D28" t="s">
        <v>73</v>
      </c>
      <c r="E28" t="s">
        <v>68</v>
      </c>
      <c r="F28" t="s">
        <v>69</v>
      </c>
      <c r="G28">
        <v>30000</v>
      </c>
      <c r="H28">
        <v>0</v>
      </c>
      <c r="I28">
        <v>0</v>
      </c>
      <c r="J28">
        <v>0</v>
      </c>
      <c r="K28">
        <v>1</v>
      </c>
      <c r="L28">
        <v>20000000</v>
      </c>
      <c r="M28">
        <v>48</v>
      </c>
      <c r="N28">
        <v>48</v>
      </c>
      <c r="O28">
        <v>48</v>
      </c>
      <c r="P28">
        <v>0</v>
      </c>
      <c r="Q28" t="s">
        <v>70</v>
      </c>
      <c r="R28">
        <v>100015768702445</v>
      </c>
      <c r="S28">
        <v>10000000</v>
      </c>
      <c r="V28" t="s">
        <v>83</v>
      </c>
      <c r="W28">
        <v>9</v>
      </c>
      <c r="X28">
        <v>185214</v>
      </c>
      <c r="Y28">
        <v>1275685</v>
      </c>
      <c r="Z28">
        <v>1460899</v>
      </c>
      <c r="AA28">
        <v>10000000</v>
      </c>
      <c r="AB28">
        <v>7.8876299999999997</v>
      </c>
      <c r="AC28">
        <v>7.8389300000000004</v>
      </c>
      <c r="AD28">
        <v>7.8451000000000004</v>
      </c>
      <c r="AE28">
        <v>8</v>
      </c>
      <c r="AF28">
        <v>1707975266</v>
      </c>
      <c r="AG28">
        <v>0</v>
      </c>
      <c r="AH28">
        <v>0</v>
      </c>
      <c r="AI28">
        <v>1707975266</v>
      </c>
      <c r="AJ28">
        <v>1707975266</v>
      </c>
      <c r="AK28">
        <v>56932508</v>
      </c>
      <c r="AL28">
        <v>0</v>
      </c>
      <c r="AM28">
        <v>0</v>
      </c>
      <c r="AN28">
        <v>56932508</v>
      </c>
      <c r="AO28">
        <v>56932508</v>
      </c>
      <c r="AQ28">
        <v>16.322199999999999</v>
      </c>
      <c r="AR28">
        <v>4.8554000000000004</v>
      </c>
      <c r="AS28">
        <v>2348.85</v>
      </c>
      <c r="AU28" t="s">
        <v>379</v>
      </c>
      <c r="AV28" t="str">
        <f t="shared" si="0"/>
        <v>0% updates, key range [0, 2*10^7)</v>
      </c>
      <c r="AW28" t="str">
        <f t="shared" si="1"/>
        <v>1446</v>
      </c>
    </row>
    <row r="29" spans="1:49">
      <c r="A29" t="s">
        <v>111</v>
      </c>
      <c r="B29" t="s">
        <v>74</v>
      </c>
      <c r="C29">
        <v>208</v>
      </c>
      <c r="D29" t="s">
        <v>73</v>
      </c>
      <c r="E29" t="s">
        <v>68</v>
      </c>
      <c r="F29" t="s">
        <v>69</v>
      </c>
      <c r="G29">
        <v>30000</v>
      </c>
      <c r="H29">
        <v>0</v>
      </c>
      <c r="I29">
        <v>0</v>
      </c>
      <c r="J29">
        <v>0</v>
      </c>
      <c r="K29">
        <v>1</v>
      </c>
      <c r="L29">
        <v>20000000</v>
      </c>
      <c r="M29">
        <v>96</v>
      </c>
      <c r="N29">
        <v>96</v>
      </c>
      <c r="O29">
        <v>96</v>
      </c>
      <c r="P29">
        <v>0</v>
      </c>
      <c r="Q29" t="s">
        <v>70</v>
      </c>
      <c r="R29">
        <v>100016708483845</v>
      </c>
      <c r="S29">
        <v>10000000</v>
      </c>
      <c r="V29" t="s">
        <v>83</v>
      </c>
      <c r="W29">
        <v>9</v>
      </c>
      <c r="X29">
        <v>185492</v>
      </c>
      <c r="Y29">
        <v>1275988</v>
      </c>
      <c r="Z29">
        <v>1461480</v>
      </c>
      <c r="AA29">
        <v>10000000</v>
      </c>
      <c r="AB29">
        <v>7.8789400000000001</v>
      </c>
      <c r="AC29">
        <v>7.8370600000000001</v>
      </c>
      <c r="AD29">
        <v>7.8423800000000004</v>
      </c>
      <c r="AE29">
        <v>8</v>
      </c>
      <c r="AF29">
        <v>3727688501</v>
      </c>
      <c r="AG29">
        <v>0</v>
      </c>
      <c r="AH29">
        <v>0</v>
      </c>
      <c r="AI29">
        <v>3727688501</v>
      </c>
      <c r="AJ29">
        <v>3727688501</v>
      </c>
      <c r="AK29">
        <v>124256283</v>
      </c>
      <c r="AL29">
        <v>0</v>
      </c>
      <c r="AM29">
        <v>0</v>
      </c>
      <c r="AN29">
        <v>124256283</v>
      </c>
      <c r="AO29">
        <v>124256283</v>
      </c>
      <c r="AQ29">
        <v>16.553999999999998</v>
      </c>
      <c r="AR29">
        <v>5.4957700000000003</v>
      </c>
      <c r="AS29">
        <v>2140.4899999999998</v>
      </c>
      <c r="AU29" t="s">
        <v>380</v>
      </c>
      <c r="AV29" t="str">
        <f t="shared" si="0"/>
        <v>0% updates, key range [0, 2*10^7)</v>
      </c>
      <c r="AW29" t="str">
        <f t="shared" si="1"/>
        <v>1546</v>
      </c>
    </row>
    <row r="30" spans="1:49">
      <c r="A30" t="s">
        <v>112</v>
      </c>
      <c r="B30" t="s">
        <v>74</v>
      </c>
      <c r="C30">
        <v>208</v>
      </c>
      <c r="D30" t="s">
        <v>73</v>
      </c>
      <c r="E30" t="s">
        <v>68</v>
      </c>
      <c r="F30" t="s">
        <v>69</v>
      </c>
      <c r="G30">
        <v>30000</v>
      </c>
      <c r="H30">
        <v>0</v>
      </c>
      <c r="I30">
        <v>0</v>
      </c>
      <c r="J30">
        <v>0</v>
      </c>
      <c r="K30">
        <v>1</v>
      </c>
      <c r="L30">
        <v>20000000</v>
      </c>
      <c r="M30">
        <v>144</v>
      </c>
      <c r="N30">
        <v>144</v>
      </c>
      <c r="O30">
        <v>144</v>
      </c>
      <c r="P30">
        <v>0</v>
      </c>
      <c r="Q30" t="s">
        <v>70</v>
      </c>
      <c r="R30">
        <v>100002790333307</v>
      </c>
      <c r="S30">
        <v>10000000</v>
      </c>
      <c r="V30" t="s">
        <v>83</v>
      </c>
      <c r="W30">
        <v>9</v>
      </c>
      <c r="X30">
        <v>185383</v>
      </c>
      <c r="Y30">
        <v>1275961</v>
      </c>
      <c r="Z30">
        <v>1461344</v>
      </c>
      <c r="AA30">
        <v>10000000</v>
      </c>
      <c r="AB30">
        <v>7.8828399999999998</v>
      </c>
      <c r="AC30">
        <v>7.8372299999999999</v>
      </c>
      <c r="AD30">
        <v>7.8430200000000001</v>
      </c>
      <c r="AE30">
        <v>8</v>
      </c>
      <c r="AF30">
        <v>5489348965</v>
      </c>
      <c r="AG30">
        <v>0</v>
      </c>
      <c r="AH30">
        <v>0</v>
      </c>
      <c r="AI30">
        <v>5489348965</v>
      </c>
      <c r="AJ30">
        <v>5489348965</v>
      </c>
      <c r="AK30">
        <v>182978298</v>
      </c>
      <c r="AL30">
        <v>0</v>
      </c>
      <c r="AM30">
        <v>0</v>
      </c>
      <c r="AN30">
        <v>182978298</v>
      </c>
      <c r="AO30">
        <v>182978298</v>
      </c>
      <c r="AQ30">
        <v>16.5443</v>
      </c>
      <c r="AR30">
        <v>5.5397699999999999</v>
      </c>
      <c r="AS30">
        <v>2179.23</v>
      </c>
      <c r="AU30" t="s">
        <v>381</v>
      </c>
      <c r="AV30" t="str">
        <f t="shared" si="0"/>
        <v>0% updates, key range [0, 2*10^7)</v>
      </c>
      <c r="AW30" t="str">
        <f t="shared" si="1"/>
        <v>1580</v>
      </c>
    </row>
    <row r="31" spans="1:49">
      <c r="A31" t="s">
        <v>113</v>
      </c>
      <c r="B31" t="s">
        <v>74</v>
      </c>
      <c r="C31">
        <v>208</v>
      </c>
      <c r="D31" t="s">
        <v>73</v>
      </c>
      <c r="E31" t="s">
        <v>68</v>
      </c>
      <c r="F31" t="s">
        <v>69</v>
      </c>
      <c r="G31">
        <v>30000</v>
      </c>
      <c r="H31">
        <v>0</v>
      </c>
      <c r="I31">
        <v>0</v>
      </c>
      <c r="J31">
        <v>0</v>
      </c>
      <c r="K31">
        <v>1</v>
      </c>
      <c r="L31">
        <v>20000000</v>
      </c>
      <c r="M31">
        <v>190</v>
      </c>
      <c r="N31">
        <v>190</v>
      </c>
      <c r="O31">
        <v>190</v>
      </c>
      <c r="P31">
        <v>0</v>
      </c>
      <c r="Q31" t="s">
        <v>70</v>
      </c>
      <c r="R31">
        <v>99994532785224</v>
      </c>
      <c r="S31">
        <v>10000000</v>
      </c>
      <c r="V31" t="s">
        <v>83</v>
      </c>
      <c r="W31">
        <v>9</v>
      </c>
      <c r="X31">
        <v>185062</v>
      </c>
      <c r="Y31">
        <v>1275578</v>
      </c>
      <c r="Z31">
        <v>1460640</v>
      </c>
      <c r="AA31">
        <v>10000000</v>
      </c>
      <c r="AB31">
        <v>7.8927100000000001</v>
      </c>
      <c r="AC31">
        <v>7.8395799999999998</v>
      </c>
      <c r="AD31">
        <v>7.8463099999999999</v>
      </c>
      <c r="AE31">
        <v>8</v>
      </c>
      <c r="AF31">
        <v>7274809916</v>
      </c>
      <c r="AG31">
        <v>0</v>
      </c>
      <c r="AH31">
        <v>0</v>
      </c>
      <c r="AI31">
        <v>7274809916</v>
      </c>
      <c r="AJ31">
        <v>7274809916</v>
      </c>
      <c r="AK31">
        <v>242493663</v>
      </c>
      <c r="AL31">
        <v>0</v>
      </c>
      <c r="AM31">
        <v>0</v>
      </c>
      <c r="AN31">
        <v>242493663</v>
      </c>
      <c r="AO31">
        <v>242493663</v>
      </c>
      <c r="AQ31">
        <v>16.503399999999999</v>
      </c>
      <c r="AR31">
        <v>5.5722199999999997</v>
      </c>
      <c r="AS31">
        <v>2162.14</v>
      </c>
      <c r="AU31" t="s">
        <v>382</v>
      </c>
      <c r="AV31" t="str">
        <f t="shared" si="0"/>
        <v>0% updates, key range [0, 2*10^7)</v>
      </c>
      <c r="AW31" t="str">
        <f t="shared" si="1"/>
        <v>1559</v>
      </c>
    </row>
    <row r="32" spans="1:49">
      <c r="A32" t="s">
        <v>114</v>
      </c>
      <c r="B32" t="s">
        <v>75</v>
      </c>
      <c r="D32" t="s">
        <v>73</v>
      </c>
      <c r="E32" t="s">
        <v>68</v>
      </c>
      <c r="F32" t="s">
        <v>69</v>
      </c>
      <c r="G32">
        <v>30000</v>
      </c>
      <c r="H32">
        <v>0</v>
      </c>
      <c r="I32">
        <v>0</v>
      </c>
      <c r="J32">
        <v>0</v>
      </c>
      <c r="K32">
        <v>1</v>
      </c>
      <c r="L32">
        <v>20000000</v>
      </c>
      <c r="M32">
        <v>24</v>
      </c>
      <c r="N32">
        <v>24</v>
      </c>
      <c r="O32">
        <v>24</v>
      </c>
      <c r="P32">
        <v>0</v>
      </c>
      <c r="Q32" t="s">
        <v>70</v>
      </c>
      <c r="R32">
        <v>100005685651241</v>
      </c>
      <c r="S32">
        <v>10000000</v>
      </c>
      <c r="V32" t="s">
        <v>83</v>
      </c>
      <c r="W32">
        <v>29</v>
      </c>
      <c r="X32">
        <v>5714954</v>
      </c>
      <c r="Y32">
        <v>4285047</v>
      </c>
      <c r="Z32">
        <v>10000001</v>
      </c>
      <c r="AA32">
        <v>10000000</v>
      </c>
      <c r="AB32">
        <v>1.7498</v>
      </c>
      <c r="AC32">
        <v>2.3336999999999999</v>
      </c>
      <c r="AD32">
        <v>2</v>
      </c>
      <c r="AE32">
        <v>22.6799</v>
      </c>
      <c r="AF32">
        <v>423049045</v>
      </c>
      <c r="AG32">
        <v>0</v>
      </c>
      <c r="AH32">
        <v>0</v>
      </c>
      <c r="AI32">
        <v>423049045</v>
      </c>
      <c r="AJ32">
        <v>423049045</v>
      </c>
      <c r="AK32">
        <v>14101634</v>
      </c>
      <c r="AL32">
        <v>0</v>
      </c>
      <c r="AM32">
        <v>0</v>
      </c>
      <c r="AN32">
        <v>14101634</v>
      </c>
      <c r="AO32">
        <v>14101634</v>
      </c>
      <c r="AQ32">
        <v>27.5822</v>
      </c>
      <c r="AR32">
        <v>9.4894099999999995</v>
      </c>
      <c r="AS32">
        <v>4747.1499999999996</v>
      </c>
      <c r="AU32" t="s">
        <v>383</v>
      </c>
      <c r="AV32" t="str">
        <f t="shared" si="0"/>
        <v>0% updates, key range [0, 2*10^7)</v>
      </c>
      <c r="AW32" t="str">
        <f t="shared" si="1"/>
        <v>1716</v>
      </c>
    </row>
    <row r="33" spans="1:49">
      <c r="A33" t="s">
        <v>115</v>
      </c>
      <c r="B33" t="s">
        <v>75</v>
      </c>
      <c r="D33" t="s">
        <v>73</v>
      </c>
      <c r="E33" t="s">
        <v>68</v>
      </c>
      <c r="F33" t="s">
        <v>69</v>
      </c>
      <c r="G33">
        <v>30000</v>
      </c>
      <c r="H33">
        <v>0</v>
      </c>
      <c r="I33">
        <v>0</v>
      </c>
      <c r="J33">
        <v>0</v>
      </c>
      <c r="K33">
        <v>1</v>
      </c>
      <c r="L33">
        <v>20000000</v>
      </c>
      <c r="M33">
        <v>48</v>
      </c>
      <c r="N33">
        <v>48</v>
      </c>
      <c r="O33">
        <v>48</v>
      </c>
      <c r="P33">
        <v>0</v>
      </c>
      <c r="Q33" t="s">
        <v>70</v>
      </c>
      <c r="R33">
        <v>99979801137632</v>
      </c>
      <c r="S33">
        <v>10000000</v>
      </c>
      <c r="V33" t="s">
        <v>83</v>
      </c>
      <c r="W33">
        <v>29</v>
      </c>
      <c r="X33">
        <v>5714735</v>
      </c>
      <c r="Y33">
        <v>4285266</v>
      </c>
      <c r="Z33">
        <v>10000001</v>
      </c>
      <c r="AA33">
        <v>10000000</v>
      </c>
      <c r="AB33">
        <v>1.74986</v>
      </c>
      <c r="AC33">
        <v>2.33358</v>
      </c>
      <c r="AD33">
        <v>2</v>
      </c>
      <c r="AE33">
        <v>22.677600000000002</v>
      </c>
      <c r="AF33">
        <v>798260075</v>
      </c>
      <c r="AG33">
        <v>0</v>
      </c>
      <c r="AH33">
        <v>0</v>
      </c>
      <c r="AI33">
        <v>798260075</v>
      </c>
      <c r="AJ33">
        <v>798260075</v>
      </c>
      <c r="AK33">
        <v>26608669</v>
      </c>
      <c r="AL33">
        <v>0</v>
      </c>
      <c r="AM33">
        <v>0</v>
      </c>
      <c r="AN33">
        <v>26608669</v>
      </c>
      <c r="AO33">
        <v>26608669</v>
      </c>
      <c r="AQ33">
        <v>28.286799999999999</v>
      </c>
      <c r="AR33">
        <v>9.3333499999999994</v>
      </c>
      <c r="AS33">
        <v>5025.3900000000003</v>
      </c>
      <c r="AU33" t="s">
        <v>384</v>
      </c>
      <c r="AV33" t="str">
        <f t="shared" si="0"/>
        <v>0% updates, key range [0, 2*10^7)</v>
      </c>
      <c r="AW33" t="str">
        <f t="shared" si="1"/>
        <v>1720</v>
      </c>
    </row>
    <row r="34" spans="1:49">
      <c r="A34" t="s">
        <v>116</v>
      </c>
      <c r="B34" t="s">
        <v>75</v>
      </c>
      <c r="D34" t="s">
        <v>73</v>
      </c>
      <c r="E34" t="s">
        <v>68</v>
      </c>
      <c r="F34" t="s">
        <v>69</v>
      </c>
      <c r="G34">
        <v>30000</v>
      </c>
      <c r="H34">
        <v>0</v>
      </c>
      <c r="I34">
        <v>0</v>
      </c>
      <c r="J34">
        <v>0</v>
      </c>
      <c r="K34">
        <v>1</v>
      </c>
      <c r="L34">
        <v>20000000</v>
      </c>
      <c r="M34">
        <v>96</v>
      </c>
      <c r="N34">
        <v>96</v>
      </c>
      <c r="O34">
        <v>96</v>
      </c>
      <c r="P34">
        <v>0</v>
      </c>
      <c r="Q34" t="s">
        <v>70</v>
      </c>
      <c r="R34">
        <v>100008037752758</v>
      </c>
      <c r="S34">
        <v>10000000</v>
      </c>
      <c r="V34" t="s">
        <v>83</v>
      </c>
      <c r="W34">
        <v>29</v>
      </c>
      <c r="X34">
        <v>5714135</v>
      </c>
      <c r="Y34">
        <v>4285866</v>
      </c>
      <c r="Z34">
        <v>10000001</v>
      </c>
      <c r="AA34">
        <v>10000000</v>
      </c>
      <c r="AB34">
        <v>1.7500500000000001</v>
      </c>
      <c r="AC34">
        <v>2.33325</v>
      </c>
      <c r="AD34">
        <v>2</v>
      </c>
      <c r="AE34">
        <v>22.6736</v>
      </c>
      <c r="AF34">
        <v>1760277293</v>
      </c>
      <c r="AG34">
        <v>0</v>
      </c>
      <c r="AH34">
        <v>0</v>
      </c>
      <c r="AI34">
        <v>1760277293</v>
      </c>
      <c r="AJ34">
        <v>1760277293</v>
      </c>
      <c r="AK34">
        <v>58675909</v>
      </c>
      <c r="AL34">
        <v>0</v>
      </c>
      <c r="AM34">
        <v>0</v>
      </c>
      <c r="AN34">
        <v>58675909</v>
      </c>
      <c r="AO34">
        <v>58675909</v>
      </c>
      <c r="AQ34">
        <v>28.750599999999999</v>
      </c>
      <c r="AR34">
        <v>10.657299999999999</v>
      </c>
      <c r="AS34">
        <v>4551.46</v>
      </c>
      <c r="AU34" t="s">
        <v>385</v>
      </c>
      <c r="AV34" t="str">
        <f t="shared" si="0"/>
        <v>0% updates, key range [0, 2*10^7)</v>
      </c>
      <c r="AW34" t="str">
        <f t="shared" si="1"/>
        <v>1733</v>
      </c>
    </row>
    <row r="35" spans="1:49">
      <c r="A35" t="s">
        <v>117</v>
      </c>
      <c r="B35" t="s">
        <v>75</v>
      </c>
      <c r="D35" t="s">
        <v>73</v>
      </c>
      <c r="E35" t="s">
        <v>68</v>
      </c>
      <c r="F35" t="s">
        <v>69</v>
      </c>
      <c r="G35">
        <v>30000</v>
      </c>
      <c r="H35">
        <v>0</v>
      </c>
      <c r="I35">
        <v>0</v>
      </c>
      <c r="J35">
        <v>0</v>
      </c>
      <c r="K35">
        <v>1</v>
      </c>
      <c r="L35">
        <v>20000000</v>
      </c>
      <c r="M35">
        <v>144</v>
      </c>
      <c r="N35">
        <v>144</v>
      </c>
      <c r="O35">
        <v>144</v>
      </c>
      <c r="P35">
        <v>0</v>
      </c>
      <c r="Q35" t="s">
        <v>70</v>
      </c>
      <c r="R35">
        <v>100031721958637</v>
      </c>
      <c r="S35">
        <v>10000000</v>
      </c>
      <c r="V35" t="s">
        <v>83</v>
      </c>
      <c r="W35">
        <v>29</v>
      </c>
      <c r="X35">
        <v>5714207</v>
      </c>
      <c r="Y35">
        <v>4285794</v>
      </c>
      <c r="Z35">
        <v>10000001</v>
      </c>
      <c r="AA35">
        <v>10000000</v>
      </c>
      <c r="AB35">
        <v>1.7500199999999999</v>
      </c>
      <c r="AC35">
        <v>2.3332899999999999</v>
      </c>
      <c r="AD35">
        <v>2</v>
      </c>
      <c r="AE35">
        <v>22.7454</v>
      </c>
      <c r="AF35">
        <v>2652975288</v>
      </c>
      <c r="AG35">
        <v>0</v>
      </c>
      <c r="AH35">
        <v>0</v>
      </c>
      <c r="AI35">
        <v>2652975288</v>
      </c>
      <c r="AJ35">
        <v>2652975288</v>
      </c>
      <c r="AK35">
        <v>88432509</v>
      </c>
      <c r="AL35">
        <v>0</v>
      </c>
      <c r="AM35">
        <v>0</v>
      </c>
      <c r="AN35">
        <v>88432509</v>
      </c>
      <c r="AO35">
        <v>88432509</v>
      </c>
      <c r="AQ35">
        <v>28.795100000000001</v>
      </c>
      <c r="AR35">
        <v>10.7499</v>
      </c>
      <c r="AS35">
        <v>4528.21</v>
      </c>
      <c r="AU35" t="s">
        <v>386</v>
      </c>
      <c r="AV35" t="str">
        <f t="shared" si="0"/>
        <v>0% updates, key range [0, 2*10^7)</v>
      </c>
      <c r="AW35" t="str">
        <f t="shared" si="1"/>
        <v>1743</v>
      </c>
    </row>
    <row r="36" spans="1:49">
      <c r="A36" t="s">
        <v>118</v>
      </c>
      <c r="B36" t="s">
        <v>75</v>
      </c>
      <c r="D36" t="s">
        <v>73</v>
      </c>
      <c r="E36" t="s">
        <v>68</v>
      </c>
      <c r="F36" t="s">
        <v>69</v>
      </c>
      <c r="G36">
        <v>30000</v>
      </c>
      <c r="H36">
        <v>0</v>
      </c>
      <c r="I36">
        <v>0</v>
      </c>
      <c r="J36">
        <v>0</v>
      </c>
      <c r="K36">
        <v>1</v>
      </c>
      <c r="L36">
        <v>20000000</v>
      </c>
      <c r="M36">
        <v>190</v>
      </c>
      <c r="N36">
        <v>190</v>
      </c>
      <c r="O36">
        <v>190</v>
      </c>
      <c r="P36">
        <v>0</v>
      </c>
      <c r="Q36" t="s">
        <v>70</v>
      </c>
      <c r="R36">
        <v>100006001369026</v>
      </c>
      <c r="S36">
        <v>10000000</v>
      </c>
      <c r="V36" t="s">
        <v>83</v>
      </c>
      <c r="W36">
        <v>29</v>
      </c>
      <c r="X36">
        <v>5714243</v>
      </c>
      <c r="Y36">
        <v>4285758</v>
      </c>
      <c r="Z36">
        <v>10000001</v>
      </c>
      <c r="AA36">
        <v>10000000</v>
      </c>
      <c r="AB36">
        <v>1.7500100000000001</v>
      </c>
      <c r="AC36">
        <v>2.33331</v>
      </c>
      <c r="AD36">
        <v>2</v>
      </c>
      <c r="AE36">
        <v>22.764099999999999</v>
      </c>
      <c r="AF36">
        <v>3521988975</v>
      </c>
      <c r="AG36">
        <v>0</v>
      </c>
      <c r="AH36">
        <v>0</v>
      </c>
      <c r="AI36">
        <v>3521988975</v>
      </c>
      <c r="AJ36">
        <v>3521988975</v>
      </c>
      <c r="AK36">
        <v>117399632</v>
      </c>
      <c r="AL36">
        <v>0</v>
      </c>
      <c r="AM36">
        <v>0</v>
      </c>
      <c r="AN36">
        <v>117399632</v>
      </c>
      <c r="AO36">
        <v>117399632</v>
      </c>
      <c r="AQ36">
        <v>28.414400000000001</v>
      </c>
      <c r="AR36">
        <v>10.7842</v>
      </c>
      <c r="AS36">
        <v>4493.75</v>
      </c>
      <c r="AU36" t="s">
        <v>387</v>
      </c>
      <c r="AV36" t="str">
        <f t="shared" si="0"/>
        <v>0% updates, key range [0, 2*10^7)</v>
      </c>
      <c r="AW36" t="str">
        <f t="shared" si="1"/>
        <v>1752</v>
      </c>
    </row>
    <row r="37" spans="1:49">
      <c r="A37" t="s">
        <v>119</v>
      </c>
      <c r="B37" t="s">
        <v>76</v>
      </c>
      <c r="D37" t="s">
        <v>73</v>
      </c>
      <c r="E37" t="s">
        <v>68</v>
      </c>
      <c r="F37" t="s">
        <v>69</v>
      </c>
      <c r="G37">
        <v>30000</v>
      </c>
      <c r="H37">
        <v>0</v>
      </c>
      <c r="I37">
        <v>0</v>
      </c>
      <c r="J37">
        <v>0</v>
      </c>
      <c r="K37">
        <v>1</v>
      </c>
      <c r="L37">
        <v>20000000</v>
      </c>
      <c r="M37">
        <v>24</v>
      </c>
      <c r="N37">
        <v>24</v>
      </c>
      <c r="O37">
        <v>24</v>
      </c>
      <c r="P37">
        <v>0</v>
      </c>
      <c r="Q37" t="s">
        <v>70</v>
      </c>
      <c r="R37">
        <v>99989726036600</v>
      </c>
      <c r="S37">
        <v>10000000</v>
      </c>
      <c r="V37" t="s">
        <v>83</v>
      </c>
      <c r="W37">
        <v>61</v>
      </c>
      <c r="X37">
        <v>9999999</v>
      </c>
      <c r="Y37">
        <v>10000000</v>
      </c>
      <c r="Z37">
        <v>19999999</v>
      </c>
      <c r="AA37">
        <v>10000000</v>
      </c>
      <c r="AB37">
        <v>2</v>
      </c>
      <c r="AC37">
        <v>1</v>
      </c>
      <c r="AD37">
        <v>1.5</v>
      </c>
      <c r="AE37">
        <v>32.4726</v>
      </c>
      <c r="AF37">
        <v>351517136</v>
      </c>
      <c r="AG37">
        <v>0</v>
      </c>
      <c r="AH37">
        <v>0</v>
      </c>
      <c r="AI37">
        <v>351517136</v>
      </c>
      <c r="AJ37">
        <v>351517136</v>
      </c>
      <c r="AK37">
        <v>11717237</v>
      </c>
      <c r="AL37">
        <v>0</v>
      </c>
      <c r="AM37">
        <v>0</v>
      </c>
      <c r="AN37">
        <v>11717237</v>
      </c>
      <c r="AO37">
        <v>11717237</v>
      </c>
      <c r="AQ37">
        <v>24.163900000000002</v>
      </c>
      <c r="AR37">
        <v>8.7382200000000001</v>
      </c>
      <c r="AS37">
        <v>5713.86</v>
      </c>
      <c r="AU37" t="s">
        <v>383</v>
      </c>
      <c r="AV37" t="str">
        <f t="shared" si="0"/>
        <v>0% updates, key range [0, 2*10^7)</v>
      </c>
      <c r="AW37" t="str">
        <f t="shared" si="1"/>
        <v>1716</v>
      </c>
    </row>
    <row r="38" spans="1:49">
      <c r="A38" t="s">
        <v>120</v>
      </c>
      <c r="B38" t="s">
        <v>76</v>
      </c>
      <c r="D38" t="s">
        <v>73</v>
      </c>
      <c r="E38" t="s">
        <v>68</v>
      </c>
      <c r="F38" t="s">
        <v>69</v>
      </c>
      <c r="G38">
        <v>30000</v>
      </c>
      <c r="H38">
        <v>0</v>
      </c>
      <c r="I38">
        <v>0</v>
      </c>
      <c r="J38">
        <v>0</v>
      </c>
      <c r="K38">
        <v>1</v>
      </c>
      <c r="L38">
        <v>20000000</v>
      </c>
      <c r="M38">
        <v>48</v>
      </c>
      <c r="N38">
        <v>48</v>
      </c>
      <c r="O38">
        <v>48</v>
      </c>
      <c r="P38">
        <v>0</v>
      </c>
      <c r="Q38" t="s">
        <v>70</v>
      </c>
      <c r="R38">
        <v>99995879740003</v>
      </c>
      <c r="S38">
        <v>10000000</v>
      </c>
      <c r="V38" t="s">
        <v>83</v>
      </c>
      <c r="W38">
        <v>59</v>
      </c>
      <c r="X38">
        <v>9999999</v>
      </c>
      <c r="Y38">
        <v>10000000</v>
      </c>
      <c r="Z38">
        <v>19999999</v>
      </c>
      <c r="AA38">
        <v>10000000</v>
      </c>
      <c r="AB38">
        <v>2</v>
      </c>
      <c r="AC38">
        <v>1</v>
      </c>
      <c r="AD38">
        <v>1.5</v>
      </c>
      <c r="AE38">
        <v>30.987500000000001</v>
      </c>
      <c r="AF38">
        <v>685801160</v>
      </c>
      <c r="AG38">
        <v>0</v>
      </c>
      <c r="AH38">
        <v>0</v>
      </c>
      <c r="AI38">
        <v>685801160</v>
      </c>
      <c r="AJ38">
        <v>685801160</v>
      </c>
      <c r="AK38">
        <v>22860038</v>
      </c>
      <c r="AL38">
        <v>0</v>
      </c>
      <c r="AM38">
        <v>0</v>
      </c>
      <c r="AN38">
        <v>22860038</v>
      </c>
      <c r="AO38">
        <v>22860038</v>
      </c>
      <c r="AQ38">
        <v>24.005400000000002</v>
      </c>
      <c r="AR38">
        <v>8.6225000000000005</v>
      </c>
      <c r="AS38">
        <v>5852.53</v>
      </c>
      <c r="AU38" t="s">
        <v>384</v>
      </c>
      <c r="AV38" t="str">
        <f t="shared" si="0"/>
        <v>0% updates, key range [0, 2*10^7)</v>
      </c>
      <c r="AW38" t="str">
        <f t="shared" si="1"/>
        <v>1720</v>
      </c>
    </row>
    <row r="39" spans="1:49">
      <c r="A39" t="s">
        <v>121</v>
      </c>
      <c r="B39" t="s">
        <v>76</v>
      </c>
      <c r="D39" t="s">
        <v>73</v>
      </c>
      <c r="E39" t="s">
        <v>68</v>
      </c>
      <c r="F39" t="s">
        <v>69</v>
      </c>
      <c r="G39">
        <v>30000</v>
      </c>
      <c r="H39">
        <v>0</v>
      </c>
      <c r="I39">
        <v>0</v>
      </c>
      <c r="J39">
        <v>0</v>
      </c>
      <c r="K39">
        <v>1</v>
      </c>
      <c r="L39">
        <v>20000000</v>
      </c>
      <c r="M39">
        <v>96</v>
      </c>
      <c r="N39">
        <v>96</v>
      </c>
      <c r="O39">
        <v>96</v>
      </c>
      <c r="P39">
        <v>0</v>
      </c>
      <c r="Q39" t="s">
        <v>70</v>
      </c>
      <c r="R39">
        <v>100011387005961</v>
      </c>
      <c r="S39">
        <v>10000000</v>
      </c>
      <c r="V39" t="s">
        <v>83</v>
      </c>
      <c r="W39">
        <v>62</v>
      </c>
      <c r="X39">
        <v>9999999</v>
      </c>
      <c r="Y39">
        <v>10000000</v>
      </c>
      <c r="Z39">
        <v>19999999</v>
      </c>
      <c r="AA39">
        <v>10000000</v>
      </c>
      <c r="AB39">
        <v>2</v>
      </c>
      <c r="AC39">
        <v>1</v>
      </c>
      <c r="AD39">
        <v>1.5</v>
      </c>
      <c r="AE39">
        <v>32.219099999999997</v>
      </c>
      <c r="AF39">
        <v>1530351091</v>
      </c>
      <c r="AG39">
        <v>0</v>
      </c>
      <c r="AH39">
        <v>0</v>
      </c>
      <c r="AI39">
        <v>1530351091</v>
      </c>
      <c r="AJ39">
        <v>1530351091</v>
      </c>
      <c r="AK39">
        <v>51011703</v>
      </c>
      <c r="AL39">
        <v>0</v>
      </c>
      <c r="AM39">
        <v>0</v>
      </c>
      <c r="AN39">
        <v>51011703</v>
      </c>
      <c r="AO39">
        <v>51011703</v>
      </c>
      <c r="AQ39">
        <v>24.697700000000001</v>
      </c>
      <c r="AR39">
        <v>9.9363100000000006</v>
      </c>
      <c r="AS39">
        <v>5236.72</v>
      </c>
      <c r="AU39" t="s">
        <v>388</v>
      </c>
      <c r="AV39" t="str">
        <f t="shared" si="0"/>
        <v>0% updates, key range [0, 2*10^7)</v>
      </c>
      <c r="AW39" t="str">
        <f t="shared" si="1"/>
        <v>1734</v>
      </c>
    </row>
    <row r="40" spans="1:49">
      <c r="A40" t="s">
        <v>122</v>
      </c>
      <c r="B40" t="s">
        <v>76</v>
      </c>
      <c r="D40" t="s">
        <v>73</v>
      </c>
      <c r="E40" t="s">
        <v>68</v>
      </c>
      <c r="F40" t="s">
        <v>69</v>
      </c>
      <c r="G40">
        <v>30000</v>
      </c>
      <c r="H40">
        <v>0</v>
      </c>
      <c r="I40">
        <v>0</v>
      </c>
      <c r="J40">
        <v>0</v>
      </c>
      <c r="K40">
        <v>1</v>
      </c>
      <c r="L40">
        <v>20000000</v>
      </c>
      <c r="M40">
        <v>144</v>
      </c>
      <c r="N40">
        <v>144</v>
      </c>
      <c r="O40">
        <v>144</v>
      </c>
      <c r="P40">
        <v>0</v>
      </c>
      <c r="Q40" t="s">
        <v>70</v>
      </c>
      <c r="R40">
        <v>100005675247247</v>
      </c>
      <c r="S40">
        <v>10000000</v>
      </c>
      <c r="V40" t="s">
        <v>83</v>
      </c>
      <c r="W40">
        <v>59</v>
      </c>
      <c r="X40">
        <v>9999999</v>
      </c>
      <c r="Y40">
        <v>10000000</v>
      </c>
      <c r="Z40">
        <v>19999999</v>
      </c>
      <c r="AA40">
        <v>10000000</v>
      </c>
      <c r="AB40">
        <v>2</v>
      </c>
      <c r="AC40">
        <v>1</v>
      </c>
      <c r="AD40">
        <v>1.5</v>
      </c>
      <c r="AE40">
        <v>30.63</v>
      </c>
      <c r="AF40">
        <v>2312177043</v>
      </c>
      <c r="AG40">
        <v>0</v>
      </c>
      <c r="AH40">
        <v>0</v>
      </c>
      <c r="AI40">
        <v>2312177043</v>
      </c>
      <c r="AJ40">
        <v>2312177043</v>
      </c>
      <c r="AK40">
        <v>77072568</v>
      </c>
      <c r="AL40">
        <v>0</v>
      </c>
      <c r="AM40">
        <v>0</v>
      </c>
      <c r="AN40">
        <v>77072568</v>
      </c>
      <c r="AO40">
        <v>77072568</v>
      </c>
      <c r="AQ40">
        <v>24.646599999999999</v>
      </c>
      <c r="AR40">
        <v>10.036</v>
      </c>
      <c r="AS40">
        <v>5201.74</v>
      </c>
      <c r="AU40" t="s">
        <v>386</v>
      </c>
      <c r="AV40" t="str">
        <f t="shared" si="0"/>
        <v>0% updates, key range [0, 2*10^7)</v>
      </c>
      <c r="AW40" t="str">
        <f t="shared" si="1"/>
        <v>1743</v>
      </c>
    </row>
    <row r="41" spans="1:49">
      <c r="A41" t="s">
        <v>123</v>
      </c>
      <c r="B41" t="s">
        <v>76</v>
      </c>
      <c r="D41" t="s">
        <v>73</v>
      </c>
      <c r="E41" t="s">
        <v>68</v>
      </c>
      <c r="F41" t="s">
        <v>69</v>
      </c>
      <c r="G41">
        <v>30000</v>
      </c>
      <c r="H41">
        <v>0</v>
      </c>
      <c r="I41">
        <v>0</v>
      </c>
      <c r="J41">
        <v>0</v>
      </c>
      <c r="K41">
        <v>1</v>
      </c>
      <c r="L41">
        <v>20000000</v>
      </c>
      <c r="M41">
        <v>190</v>
      </c>
      <c r="N41">
        <v>190</v>
      </c>
      <c r="O41">
        <v>190</v>
      </c>
      <c r="P41">
        <v>0</v>
      </c>
      <c r="Q41" t="s">
        <v>70</v>
      </c>
      <c r="R41">
        <v>100010763122955</v>
      </c>
      <c r="S41">
        <v>10000000</v>
      </c>
      <c r="V41" t="s">
        <v>83</v>
      </c>
      <c r="W41">
        <v>59</v>
      </c>
      <c r="X41">
        <v>9999999</v>
      </c>
      <c r="Y41">
        <v>10000000</v>
      </c>
      <c r="Z41">
        <v>19999999</v>
      </c>
      <c r="AA41">
        <v>10000000</v>
      </c>
      <c r="AB41">
        <v>2</v>
      </c>
      <c r="AC41">
        <v>1</v>
      </c>
      <c r="AD41">
        <v>1.5</v>
      </c>
      <c r="AE41">
        <v>31.1724</v>
      </c>
      <c r="AF41">
        <v>3079608923</v>
      </c>
      <c r="AG41">
        <v>0</v>
      </c>
      <c r="AH41">
        <v>0</v>
      </c>
      <c r="AI41">
        <v>3079608923</v>
      </c>
      <c r="AJ41">
        <v>3079608923</v>
      </c>
      <c r="AK41">
        <v>102653630</v>
      </c>
      <c r="AL41">
        <v>0</v>
      </c>
      <c r="AM41">
        <v>0</v>
      </c>
      <c r="AN41">
        <v>102653630</v>
      </c>
      <c r="AO41">
        <v>102653630</v>
      </c>
      <c r="AQ41">
        <v>24.667100000000001</v>
      </c>
      <c r="AR41">
        <v>10.068099999999999</v>
      </c>
      <c r="AS41">
        <v>5152.7299999999996</v>
      </c>
      <c r="AU41" t="s">
        <v>389</v>
      </c>
      <c r="AV41" t="str">
        <f t="shared" si="0"/>
        <v>0% updates, key range [0, 2*10^7)</v>
      </c>
      <c r="AW41" t="str">
        <f t="shared" si="1"/>
        <v>1751</v>
      </c>
    </row>
    <row r="42" spans="1:49">
      <c r="A42" t="s">
        <v>124</v>
      </c>
      <c r="B42" t="s">
        <v>72</v>
      </c>
      <c r="C42">
        <v>72</v>
      </c>
      <c r="D42" t="s">
        <v>73</v>
      </c>
      <c r="E42" t="s">
        <v>68</v>
      </c>
      <c r="F42" t="s">
        <v>69</v>
      </c>
      <c r="G42">
        <v>30000</v>
      </c>
      <c r="H42">
        <v>0</v>
      </c>
      <c r="I42">
        <v>0</v>
      </c>
      <c r="J42">
        <v>0</v>
      </c>
      <c r="K42">
        <v>1</v>
      </c>
      <c r="L42">
        <v>200000000</v>
      </c>
      <c r="M42">
        <v>24</v>
      </c>
      <c r="N42">
        <v>24</v>
      </c>
      <c r="O42">
        <v>24</v>
      </c>
      <c r="P42">
        <v>0</v>
      </c>
      <c r="Q42" t="s">
        <v>70</v>
      </c>
      <c r="R42">
        <v>9999913715529900</v>
      </c>
      <c r="S42">
        <v>100000001</v>
      </c>
      <c r="V42" t="s">
        <v>83</v>
      </c>
      <c r="W42">
        <v>6</v>
      </c>
      <c r="X42">
        <v>11011103</v>
      </c>
      <c r="Y42">
        <v>110001001</v>
      </c>
      <c r="Z42">
        <v>121012104</v>
      </c>
      <c r="AA42">
        <v>100000001</v>
      </c>
      <c r="AB42">
        <v>10.99</v>
      </c>
      <c r="AC42">
        <v>0.90908299999999997</v>
      </c>
      <c r="AD42">
        <v>1.82636</v>
      </c>
      <c r="AE42">
        <v>4</v>
      </c>
      <c r="AF42">
        <v>876162595</v>
      </c>
      <c r="AG42">
        <v>0</v>
      </c>
      <c r="AH42">
        <v>0</v>
      </c>
      <c r="AI42">
        <v>876162595</v>
      </c>
      <c r="AJ42">
        <v>876162595</v>
      </c>
      <c r="AK42">
        <v>29205419</v>
      </c>
      <c r="AL42">
        <v>0</v>
      </c>
      <c r="AM42">
        <v>0</v>
      </c>
      <c r="AN42">
        <v>29205419</v>
      </c>
      <c r="AO42">
        <v>29205419</v>
      </c>
      <c r="AQ42">
        <v>18.555700000000002</v>
      </c>
      <c r="AR42">
        <v>8.0259800000000006</v>
      </c>
      <c r="AS42">
        <v>2292.0500000000002</v>
      </c>
      <c r="AU42" t="s">
        <v>390</v>
      </c>
      <c r="AV42" t="str">
        <f t="shared" si="0"/>
        <v>0% updates, key range [0, 2*10^8)</v>
      </c>
      <c r="AW42" t="str">
        <f t="shared" si="1"/>
        <v>7054</v>
      </c>
    </row>
    <row r="43" spans="1:49">
      <c r="A43" t="s">
        <v>125</v>
      </c>
      <c r="B43" t="s">
        <v>72</v>
      </c>
      <c r="C43">
        <v>72</v>
      </c>
      <c r="D43" t="s">
        <v>73</v>
      </c>
      <c r="E43" t="s">
        <v>68</v>
      </c>
      <c r="F43" t="s">
        <v>69</v>
      </c>
      <c r="G43">
        <v>30000</v>
      </c>
      <c r="H43">
        <v>0</v>
      </c>
      <c r="I43">
        <v>0</v>
      </c>
      <c r="J43">
        <v>0</v>
      </c>
      <c r="K43">
        <v>1</v>
      </c>
      <c r="L43">
        <v>200000000</v>
      </c>
      <c r="M43">
        <v>48</v>
      </c>
      <c r="N43">
        <v>48</v>
      </c>
      <c r="O43">
        <v>48</v>
      </c>
      <c r="P43">
        <v>0</v>
      </c>
      <c r="Q43" t="s">
        <v>70</v>
      </c>
      <c r="R43">
        <v>9999999298436810</v>
      </c>
      <c r="S43">
        <v>100000001</v>
      </c>
      <c r="V43" t="s">
        <v>83</v>
      </c>
      <c r="W43">
        <v>6</v>
      </c>
      <c r="X43">
        <v>11011103</v>
      </c>
      <c r="Y43">
        <v>110001001</v>
      </c>
      <c r="Z43">
        <v>121012104</v>
      </c>
      <c r="AA43">
        <v>100000001</v>
      </c>
      <c r="AB43">
        <v>10.99</v>
      </c>
      <c r="AC43">
        <v>0.90908299999999997</v>
      </c>
      <c r="AD43">
        <v>1.82636</v>
      </c>
      <c r="AE43">
        <v>4</v>
      </c>
      <c r="AF43">
        <v>1526045501</v>
      </c>
      <c r="AG43">
        <v>0</v>
      </c>
      <c r="AH43">
        <v>0</v>
      </c>
      <c r="AI43">
        <v>1526045501</v>
      </c>
      <c r="AJ43">
        <v>1526045501</v>
      </c>
      <c r="AK43">
        <v>50868183</v>
      </c>
      <c r="AL43">
        <v>0</v>
      </c>
      <c r="AM43">
        <v>0</v>
      </c>
      <c r="AN43">
        <v>50868183</v>
      </c>
      <c r="AO43">
        <v>50868183</v>
      </c>
      <c r="AQ43">
        <v>18.5107</v>
      </c>
      <c r="AR43">
        <v>8.0152400000000004</v>
      </c>
      <c r="AS43">
        <v>2628.96</v>
      </c>
      <c r="AU43" t="s">
        <v>391</v>
      </c>
      <c r="AV43" t="str">
        <f t="shared" si="0"/>
        <v>0% updates, key range [0, 2*10^8)</v>
      </c>
      <c r="AW43" t="str">
        <f t="shared" si="1"/>
        <v>7095</v>
      </c>
    </row>
    <row r="44" spans="1:49">
      <c r="A44" t="s">
        <v>126</v>
      </c>
      <c r="B44" t="s">
        <v>72</v>
      </c>
      <c r="C44">
        <v>72</v>
      </c>
      <c r="D44" t="s">
        <v>73</v>
      </c>
      <c r="E44" t="s">
        <v>68</v>
      </c>
      <c r="F44" t="s">
        <v>69</v>
      </c>
      <c r="G44">
        <v>30000</v>
      </c>
      <c r="H44">
        <v>0</v>
      </c>
      <c r="I44">
        <v>0</v>
      </c>
      <c r="J44">
        <v>0</v>
      </c>
      <c r="K44">
        <v>1</v>
      </c>
      <c r="L44">
        <v>200000000</v>
      </c>
      <c r="M44">
        <v>96</v>
      </c>
      <c r="N44">
        <v>96</v>
      </c>
      <c r="O44">
        <v>96</v>
      </c>
      <c r="P44">
        <v>0</v>
      </c>
      <c r="Q44" t="s">
        <v>70</v>
      </c>
      <c r="R44">
        <v>1.00002829441116E+16</v>
      </c>
      <c r="S44">
        <v>100000001</v>
      </c>
      <c r="V44" t="s">
        <v>83</v>
      </c>
      <c r="W44">
        <v>6</v>
      </c>
      <c r="X44">
        <v>11011103</v>
      </c>
      <c r="Y44">
        <v>110001001</v>
      </c>
      <c r="Z44">
        <v>121012104</v>
      </c>
      <c r="AA44">
        <v>100000001</v>
      </c>
      <c r="AB44">
        <v>10.99</v>
      </c>
      <c r="AC44">
        <v>0.90908299999999997</v>
      </c>
      <c r="AD44">
        <v>1.82636</v>
      </c>
      <c r="AE44">
        <v>4</v>
      </c>
      <c r="AF44">
        <v>3100780188</v>
      </c>
      <c r="AG44">
        <v>0</v>
      </c>
      <c r="AH44">
        <v>0</v>
      </c>
      <c r="AI44">
        <v>3100780188</v>
      </c>
      <c r="AJ44">
        <v>3100780188</v>
      </c>
      <c r="AK44">
        <v>103359339</v>
      </c>
      <c r="AL44">
        <v>0</v>
      </c>
      <c r="AM44">
        <v>0</v>
      </c>
      <c r="AN44">
        <v>103359339</v>
      </c>
      <c r="AO44">
        <v>103359339</v>
      </c>
      <c r="AQ44">
        <v>18.680399999999999</v>
      </c>
      <c r="AR44">
        <v>8.8047299999999993</v>
      </c>
      <c r="AS44">
        <v>2584.29</v>
      </c>
      <c r="AU44" t="s">
        <v>392</v>
      </c>
      <c r="AV44" t="str">
        <f t="shared" si="0"/>
        <v>0% updates, key range [0, 2*10^8)</v>
      </c>
      <c r="AW44" t="str">
        <f t="shared" si="1"/>
        <v>7181</v>
      </c>
    </row>
    <row r="45" spans="1:49">
      <c r="A45" t="s">
        <v>127</v>
      </c>
      <c r="B45" t="s">
        <v>72</v>
      </c>
      <c r="C45">
        <v>72</v>
      </c>
      <c r="D45" t="s">
        <v>73</v>
      </c>
      <c r="E45" t="s">
        <v>68</v>
      </c>
      <c r="F45" t="s">
        <v>69</v>
      </c>
      <c r="G45">
        <v>30000</v>
      </c>
      <c r="H45">
        <v>0</v>
      </c>
      <c r="I45">
        <v>0</v>
      </c>
      <c r="J45">
        <v>0</v>
      </c>
      <c r="K45">
        <v>1</v>
      </c>
      <c r="L45">
        <v>200000000</v>
      </c>
      <c r="M45">
        <v>144</v>
      </c>
      <c r="N45">
        <v>144</v>
      </c>
      <c r="O45">
        <v>144</v>
      </c>
      <c r="P45">
        <v>0</v>
      </c>
      <c r="Q45" t="s">
        <v>70</v>
      </c>
      <c r="R45">
        <v>9999646347751770</v>
      </c>
      <c r="S45">
        <v>100000001</v>
      </c>
      <c r="V45" t="s">
        <v>83</v>
      </c>
      <c r="W45">
        <v>6</v>
      </c>
      <c r="X45">
        <v>11011103</v>
      </c>
      <c r="Y45">
        <v>110001001</v>
      </c>
      <c r="Z45">
        <v>121012104</v>
      </c>
      <c r="AA45">
        <v>100000001</v>
      </c>
      <c r="AB45">
        <v>10.99</v>
      </c>
      <c r="AC45">
        <v>0.90908299999999997</v>
      </c>
      <c r="AD45">
        <v>1.82636</v>
      </c>
      <c r="AE45">
        <v>4</v>
      </c>
      <c r="AF45">
        <v>4578437924</v>
      </c>
      <c r="AG45">
        <v>0</v>
      </c>
      <c r="AH45">
        <v>0</v>
      </c>
      <c r="AI45">
        <v>4578437924</v>
      </c>
      <c r="AJ45">
        <v>4578437924</v>
      </c>
      <c r="AK45">
        <v>152614597</v>
      </c>
      <c r="AL45">
        <v>0</v>
      </c>
      <c r="AM45">
        <v>0</v>
      </c>
      <c r="AN45">
        <v>152614597</v>
      </c>
      <c r="AO45">
        <v>152614597</v>
      </c>
      <c r="AQ45">
        <v>18.6907</v>
      </c>
      <c r="AR45">
        <v>9.0602300000000007</v>
      </c>
      <c r="AS45">
        <v>2618.48</v>
      </c>
      <c r="AU45" t="s">
        <v>393</v>
      </c>
      <c r="AV45" t="str">
        <f t="shared" si="0"/>
        <v>0% updates, key range [0, 2*10^8)</v>
      </c>
      <c r="AW45" t="str">
        <f t="shared" si="1"/>
        <v>7287</v>
      </c>
    </row>
    <row r="46" spans="1:49">
      <c r="A46" t="s">
        <v>128</v>
      </c>
      <c r="B46" t="s">
        <v>72</v>
      </c>
      <c r="C46">
        <v>72</v>
      </c>
      <c r="D46" t="s">
        <v>73</v>
      </c>
      <c r="E46" t="s">
        <v>68</v>
      </c>
      <c r="F46" t="s">
        <v>69</v>
      </c>
      <c r="G46">
        <v>30000</v>
      </c>
      <c r="H46">
        <v>0</v>
      </c>
      <c r="I46">
        <v>0</v>
      </c>
      <c r="J46">
        <v>0</v>
      </c>
      <c r="K46">
        <v>1</v>
      </c>
      <c r="L46">
        <v>200000000</v>
      </c>
      <c r="M46">
        <v>190</v>
      </c>
      <c r="N46">
        <v>190</v>
      </c>
      <c r="O46">
        <v>190</v>
      </c>
      <c r="P46">
        <v>0</v>
      </c>
      <c r="Q46" t="s">
        <v>70</v>
      </c>
      <c r="R46">
        <v>1.00005398320445E+16</v>
      </c>
      <c r="S46">
        <v>100000001</v>
      </c>
      <c r="V46" t="s">
        <v>83</v>
      </c>
      <c r="W46">
        <v>6</v>
      </c>
      <c r="X46">
        <v>11011103</v>
      </c>
      <c r="Y46">
        <v>110001001</v>
      </c>
      <c r="Z46">
        <v>121012104</v>
      </c>
      <c r="AA46">
        <v>100000001</v>
      </c>
      <c r="AB46">
        <v>10.99</v>
      </c>
      <c r="AC46">
        <v>0.90908299999999997</v>
      </c>
      <c r="AD46">
        <v>1.82636</v>
      </c>
      <c r="AE46">
        <v>4</v>
      </c>
      <c r="AF46">
        <v>6018504838</v>
      </c>
      <c r="AG46">
        <v>0</v>
      </c>
      <c r="AH46">
        <v>0</v>
      </c>
      <c r="AI46">
        <v>6018504838</v>
      </c>
      <c r="AJ46">
        <v>6018504838</v>
      </c>
      <c r="AK46">
        <v>200616827</v>
      </c>
      <c r="AL46">
        <v>0</v>
      </c>
      <c r="AM46">
        <v>0</v>
      </c>
      <c r="AN46">
        <v>200616827</v>
      </c>
      <c r="AO46">
        <v>200616827</v>
      </c>
      <c r="AQ46">
        <v>18.804500000000001</v>
      </c>
      <c r="AR46">
        <v>9.2026699999999995</v>
      </c>
      <c r="AS46">
        <v>2625.29</v>
      </c>
      <c r="AU46" t="s">
        <v>394</v>
      </c>
      <c r="AV46" t="str">
        <f t="shared" si="0"/>
        <v>0% updates, key range [0, 2*10^8)</v>
      </c>
      <c r="AW46" t="str">
        <f t="shared" si="1"/>
        <v>7354</v>
      </c>
    </row>
    <row r="47" spans="1:49">
      <c r="A47" t="s">
        <v>129</v>
      </c>
      <c r="B47" t="s">
        <v>74</v>
      </c>
      <c r="C47">
        <v>208</v>
      </c>
      <c r="D47" t="s">
        <v>73</v>
      </c>
      <c r="E47" t="s">
        <v>68</v>
      </c>
      <c r="F47" t="s">
        <v>69</v>
      </c>
      <c r="G47">
        <v>30000</v>
      </c>
      <c r="H47">
        <v>0</v>
      </c>
      <c r="I47">
        <v>0</v>
      </c>
      <c r="J47">
        <v>0</v>
      </c>
      <c r="K47">
        <v>1</v>
      </c>
      <c r="L47">
        <v>200000000</v>
      </c>
      <c r="M47">
        <v>24</v>
      </c>
      <c r="N47">
        <v>24</v>
      </c>
      <c r="O47">
        <v>24</v>
      </c>
      <c r="P47">
        <v>0</v>
      </c>
      <c r="Q47" t="s">
        <v>70</v>
      </c>
      <c r="R47">
        <v>9999566903971680</v>
      </c>
      <c r="S47">
        <v>100000000</v>
      </c>
      <c r="V47" t="s">
        <v>83</v>
      </c>
      <c r="W47">
        <v>10</v>
      </c>
      <c r="X47">
        <v>1853683</v>
      </c>
      <c r="Y47">
        <v>12756987</v>
      </c>
      <c r="Z47">
        <v>14610670</v>
      </c>
      <c r="AA47">
        <v>100000000</v>
      </c>
      <c r="AB47">
        <v>7.8819699999999999</v>
      </c>
      <c r="AC47">
        <v>7.8388400000000003</v>
      </c>
      <c r="AD47">
        <v>7.8443100000000001</v>
      </c>
      <c r="AE47">
        <v>9</v>
      </c>
      <c r="AF47">
        <v>632214904</v>
      </c>
      <c r="AG47">
        <v>0</v>
      </c>
      <c r="AH47">
        <v>0</v>
      </c>
      <c r="AI47">
        <v>632214904</v>
      </c>
      <c r="AJ47">
        <v>632214904</v>
      </c>
      <c r="AK47">
        <v>21073830</v>
      </c>
      <c r="AL47">
        <v>0</v>
      </c>
      <c r="AM47">
        <v>0</v>
      </c>
      <c r="AN47">
        <v>21073830</v>
      </c>
      <c r="AO47">
        <v>21073830</v>
      </c>
      <c r="AQ47">
        <v>23.408999999999999</v>
      </c>
      <c r="AR47">
        <v>9.5948799999999999</v>
      </c>
      <c r="AS47">
        <v>3172.01</v>
      </c>
      <c r="AU47" t="s">
        <v>395</v>
      </c>
      <c r="AV47" t="str">
        <f t="shared" si="0"/>
        <v>0% updates, key range [0, 2*10^8)</v>
      </c>
      <c r="AW47" t="str">
        <f t="shared" si="1"/>
        <v>4296</v>
      </c>
    </row>
    <row r="48" spans="1:49">
      <c r="A48" t="s">
        <v>130</v>
      </c>
      <c r="B48" t="s">
        <v>74</v>
      </c>
      <c r="C48">
        <v>208</v>
      </c>
      <c r="D48" t="s">
        <v>73</v>
      </c>
      <c r="E48" t="s">
        <v>68</v>
      </c>
      <c r="F48" t="s">
        <v>69</v>
      </c>
      <c r="G48">
        <v>30000</v>
      </c>
      <c r="H48">
        <v>0</v>
      </c>
      <c r="I48">
        <v>0</v>
      </c>
      <c r="J48">
        <v>0</v>
      </c>
      <c r="K48">
        <v>1</v>
      </c>
      <c r="L48">
        <v>200000000</v>
      </c>
      <c r="M48">
        <v>48</v>
      </c>
      <c r="N48">
        <v>48</v>
      </c>
      <c r="O48">
        <v>48</v>
      </c>
      <c r="P48">
        <v>0</v>
      </c>
      <c r="Q48" t="s">
        <v>70</v>
      </c>
      <c r="R48">
        <v>9999371823725690</v>
      </c>
      <c r="S48">
        <v>100000000</v>
      </c>
      <c r="V48" t="s">
        <v>83</v>
      </c>
      <c r="W48">
        <v>10</v>
      </c>
      <c r="X48">
        <v>1853926</v>
      </c>
      <c r="Y48">
        <v>12757994</v>
      </c>
      <c r="Z48">
        <v>14611920</v>
      </c>
      <c r="AA48">
        <v>100000000</v>
      </c>
      <c r="AB48">
        <v>7.8816100000000002</v>
      </c>
      <c r="AC48">
        <v>7.8382199999999997</v>
      </c>
      <c r="AD48">
        <v>7.8437299999999999</v>
      </c>
      <c r="AE48">
        <v>9</v>
      </c>
      <c r="AF48">
        <v>1183870894</v>
      </c>
      <c r="AG48">
        <v>0</v>
      </c>
      <c r="AH48">
        <v>0</v>
      </c>
      <c r="AI48">
        <v>1183870894</v>
      </c>
      <c r="AJ48">
        <v>1183870894</v>
      </c>
      <c r="AK48">
        <v>39462363</v>
      </c>
      <c r="AL48">
        <v>0</v>
      </c>
      <c r="AM48">
        <v>0</v>
      </c>
      <c r="AN48">
        <v>39462363</v>
      </c>
      <c r="AO48">
        <v>39462363</v>
      </c>
      <c r="AQ48">
        <v>23.347999999999999</v>
      </c>
      <c r="AR48">
        <v>9.5079399999999996</v>
      </c>
      <c r="AS48">
        <v>3386.73</v>
      </c>
      <c r="AU48" t="s">
        <v>396</v>
      </c>
      <c r="AV48" t="str">
        <f t="shared" si="0"/>
        <v>0% updates, key range [0, 2*10^8)</v>
      </c>
      <c r="AW48" t="str">
        <f t="shared" si="1"/>
        <v>4399</v>
      </c>
    </row>
    <row r="49" spans="1:49">
      <c r="A49" t="s">
        <v>131</v>
      </c>
      <c r="B49" t="s">
        <v>74</v>
      </c>
      <c r="C49">
        <v>208</v>
      </c>
      <c r="D49" t="s">
        <v>73</v>
      </c>
      <c r="E49" t="s">
        <v>68</v>
      </c>
      <c r="F49" t="s">
        <v>69</v>
      </c>
      <c r="G49">
        <v>30000</v>
      </c>
      <c r="H49">
        <v>0</v>
      </c>
      <c r="I49">
        <v>0</v>
      </c>
      <c r="J49">
        <v>0</v>
      </c>
      <c r="K49">
        <v>1</v>
      </c>
      <c r="L49">
        <v>200000000</v>
      </c>
      <c r="M49">
        <v>96</v>
      </c>
      <c r="N49">
        <v>96</v>
      </c>
      <c r="O49">
        <v>96</v>
      </c>
      <c r="P49">
        <v>0</v>
      </c>
      <c r="Q49" t="s">
        <v>70</v>
      </c>
      <c r="R49">
        <v>1.00002444700488E+16</v>
      </c>
      <c r="S49">
        <v>100000000</v>
      </c>
      <c r="V49" t="s">
        <v>83</v>
      </c>
      <c r="W49">
        <v>10</v>
      </c>
      <c r="X49">
        <v>1854364</v>
      </c>
      <c r="Y49">
        <v>12757420</v>
      </c>
      <c r="Z49">
        <v>14611784</v>
      </c>
      <c r="AA49">
        <v>100000000</v>
      </c>
      <c r="AB49">
        <v>7.87967</v>
      </c>
      <c r="AC49">
        <v>7.8385800000000003</v>
      </c>
      <c r="AD49">
        <v>7.8437900000000003</v>
      </c>
      <c r="AE49">
        <v>9</v>
      </c>
      <c r="AF49">
        <v>2444846468</v>
      </c>
      <c r="AG49">
        <v>0</v>
      </c>
      <c r="AH49">
        <v>0</v>
      </c>
      <c r="AI49">
        <v>2444846468</v>
      </c>
      <c r="AJ49">
        <v>2444846468</v>
      </c>
      <c r="AK49">
        <v>81494882</v>
      </c>
      <c r="AL49">
        <v>0</v>
      </c>
      <c r="AM49">
        <v>0</v>
      </c>
      <c r="AN49">
        <v>81494882</v>
      </c>
      <c r="AO49">
        <v>81494882</v>
      </c>
      <c r="AQ49">
        <v>23.325500000000002</v>
      </c>
      <c r="AR49">
        <v>10.288500000000001</v>
      </c>
      <c r="AS49">
        <v>3275.63</v>
      </c>
      <c r="AU49" t="s">
        <v>397</v>
      </c>
      <c r="AV49" t="str">
        <f t="shared" si="0"/>
        <v>0% updates, key range [0, 2*10^8)</v>
      </c>
      <c r="AW49" t="str">
        <f t="shared" si="1"/>
        <v>4628</v>
      </c>
    </row>
    <row r="50" spans="1:49">
      <c r="A50" t="s">
        <v>132</v>
      </c>
      <c r="B50" t="s">
        <v>74</v>
      </c>
      <c r="C50">
        <v>208</v>
      </c>
      <c r="D50" t="s">
        <v>73</v>
      </c>
      <c r="E50" t="s">
        <v>68</v>
      </c>
      <c r="F50" t="s">
        <v>69</v>
      </c>
      <c r="G50">
        <v>30000</v>
      </c>
      <c r="H50">
        <v>0</v>
      </c>
      <c r="I50">
        <v>0</v>
      </c>
      <c r="J50">
        <v>0</v>
      </c>
      <c r="K50">
        <v>1</v>
      </c>
      <c r="L50">
        <v>200000000</v>
      </c>
      <c r="M50">
        <v>144</v>
      </c>
      <c r="N50">
        <v>144</v>
      </c>
      <c r="O50">
        <v>144</v>
      </c>
      <c r="P50">
        <v>0</v>
      </c>
      <c r="Q50" t="s">
        <v>70</v>
      </c>
      <c r="R50">
        <v>1.00002353965364E+16</v>
      </c>
      <c r="S50">
        <v>100000000</v>
      </c>
      <c r="V50" t="s">
        <v>83</v>
      </c>
      <c r="W50">
        <v>10</v>
      </c>
      <c r="X50">
        <v>1853968</v>
      </c>
      <c r="Y50">
        <v>12757479</v>
      </c>
      <c r="Z50">
        <v>14611447</v>
      </c>
      <c r="AA50">
        <v>100000000</v>
      </c>
      <c r="AB50">
        <v>7.8811799999999996</v>
      </c>
      <c r="AC50">
        <v>7.8385400000000001</v>
      </c>
      <c r="AD50">
        <v>7.8439500000000004</v>
      </c>
      <c r="AE50">
        <v>9</v>
      </c>
      <c r="AF50">
        <v>3647224966</v>
      </c>
      <c r="AG50">
        <v>0</v>
      </c>
      <c r="AH50">
        <v>0</v>
      </c>
      <c r="AI50">
        <v>3647224966</v>
      </c>
      <c r="AJ50">
        <v>3647224966</v>
      </c>
      <c r="AK50">
        <v>121574165</v>
      </c>
      <c r="AL50">
        <v>0</v>
      </c>
      <c r="AM50">
        <v>0</v>
      </c>
      <c r="AN50">
        <v>121574165</v>
      </c>
      <c r="AO50">
        <v>121574165</v>
      </c>
      <c r="AQ50">
        <v>23.4556</v>
      </c>
      <c r="AR50">
        <v>10.478899999999999</v>
      </c>
      <c r="AS50">
        <v>3291.88</v>
      </c>
      <c r="AU50" t="s">
        <v>398</v>
      </c>
      <c r="AV50" t="str">
        <f t="shared" si="0"/>
        <v>0% updates, key range [0, 2*10^8)</v>
      </c>
      <c r="AW50" t="str">
        <f t="shared" si="1"/>
        <v>4675</v>
      </c>
    </row>
    <row r="51" spans="1:49">
      <c r="A51" t="s">
        <v>133</v>
      </c>
      <c r="B51" t="s">
        <v>74</v>
      </c>
      <c r="C51">
        <v>208</v>
      </c>
      <c r="D51" t="s">
        <v>73</v>
      </c>
      <c r="E51" t="s">
        <v>68</v>
      </c>
      <c r="F51" t="s">
        <v>69</v>
      </c>
      <c r="G51">
        <v>30000</v>
      </c>
      <c r="H51">
        <v>0</v>
      </c>
      <c r="I51">
        <v>0</v>
      </c>
      <c r="J51">
        <v>0</v>
      </c>
      <c r="K51">
        <v>1</v>
      </c>
      <c r="L51">
        <v>200000000</v>
      </c>
      <c r="M51">
        <v>190</v>
      </c>
      <c r="N51">
        <v>190</v>
      </c>
      <c r="O51">
        <v>190</v>
      </c>
      <c r="P51">
        <v>0</v>
      </c>
      <c r="Q51" t="s">
        <v>70</v>
      </c>
      <c r="R51">
        <v>9999340903727350</v>
      </c>
      <c r="S51">
        <v>100000000</v>
      </c>
      <c r="V51" t="s">
        <v>83</v>
      </c>
      <c r="W51">
        <v>10</v>
      </c>
      <c r="X51">
        <v>1854662</v>
      </c>
      <c r="Y51">
        <v>12757607</v>
      </c>
      <c r="Z51">
        <v>14612269</v>
      </c>
      <c r="AA51">
        <v>100000000</v>
      </c>
      <c r="AB51">
        <v>7.8786699999999996</v>
      </c>
      <c r="AC51">
        <v>7.8384600000000004</v>
      </c>
      <c r="AD51">
        <v>7.8435600000000001</v>
      </c>
      <c r="AE51">
        <v>9</v>
      </c>
      <c r="AF51">
        <v>4755284497</v>
      </c>
      <c r="AG51">
        <v>0</v>
      </c>
      <c r="AH51">
        <v>0</v>
      </c>
      <c r="AI51">
        <v>4755284497</v>
      </c>
      <c r="AJ51">
        <v>4755284497</v>
      </c>
      <c r="AK51">
        <v>158509483</v>
      </c>
      <c r="AL51">
        <v>0</v>
      </c>
      <c r="AM51">
        <v>0</v>
      </c>
      <c r="AN51">
        <v>158509483</v>
      </c>
      <c r="AO51">
        <v>158509483</v>
      </c>
      <c r="AQ51">
        <v>23.4895</v>
      </c>
      <c r="AR51">
        <v>10.8085</v>
      </c>
      <c r="AS51">
        <v>3327.51</v>
      </c>
      <c r="AU51" t="s">
        <v>399</v>
      </c>
      <c r="AV51" t="str">
        <f t="shared" si="0"/>
        <v>0% updates, key range [0, 2*10^8)</v>
      </c>
      <c r="AW51" t="str">
        <f t="shared" si="1"/>
        <v>5129</v>
      </c>
    </row>
    <row r="52" spans="1:49">
      <c r="A52" t="s">
        <v>134</v>
      </c>
      <c r="B52" t="s">
        <v>75</v>
      </c>
      <c r="D52" t="s">
        <v>73</v>
      </c>
      <c r="E52" t="s">
        <v>68</v>
      </c>
      <c r="F52" t="s">
        <v>69</v>
      </c>
      <c r="G52">
        <v>30000</v>
      </c>
      <c r="H52">
        <v>0</v>
      </c>
      <c r="I52">
        <v>0</v>
      </c>
      <c r="J52">
        <v>0</v>
      </c>
      <c r="K52">
        <v>1</v>
      </c>
      <c r="L52">
        <v>200000000</v>
      </c>
      <c r="M52">
        <v>24</v>
      </c>
      <c r="N52">
        <v>24</v>
      </c>
      <c r="O52">
        <v>24</v>
      </c>
      <c r="P52">
        <v>0</v>
      </c>
      <c r="Q52" t="s">
        <v>70</v>
      </c>
      <c r="R52">
        <v>1.00010948402918E+16</v>
      </c>
      <c r="S52">
        <v>100000000</v>
      </c>
      <c r="V52" t="s">
        <v>83</v>
      </c>
      <c r="W52">
        <v>33</v>
      </c>
      <c r="X52">
        <v>57143602</v>
      </c>
      <c r="Y52">
        <v>42856399</v>
      </c>
      <c r="Z52">
        <v>100000001</v>
      </c>
      <c r="AA52">
        <v>100000000</v>
      </c>
      <c r="AB52">
        <v>1.7499800000000001</v>
      </c>
      <c r="AC52">
        <v>2.3333699999999999</v>
      </c>
      <c r="AD52">
        <v>2</v>
      </c>
      <c r="AE52">
        <v>26.120100000000001</v>
      </c>
      <c r="AF52">
        <v>272434045</v>
      </c>
      <c r="AG52">
        <v>0</v>
      </c>
      <c r="AH52">
        <v>0</v>
      </c>
      <c r="AI52">
        <v>272434045</v>
      </c>
      <c r="AJ52">
        <v>272434045</v>
      </c>
      <c r="AK52">
        <v>9081134</v>
      </c>
      <c r="AL52">
        <v>0</v>
      </c>
      <c r="AM52">
        <v>0</v>
      </c>
      <c r="AN52">
        <v>9081134</v>
      </c>
      <c r="AO52">
        <v>9081134</v>
      </c>
      <c r="AQ52">
        <v>39.854700000000001</v>
      </c>
      <c r="AR52">
        <v>18.418399999999998</v>
      </c>
      <c r="AS52">
        <v>7362.94</v>
      </c>
      <c r="AU52" t="s">
        <v>400</v>
      </c>
      <c r="AV52" t="str">
        <f t="shared" si="0"/>
        <v>0% updates, key range [0, 2*10^8)</v>
      </c>
      <c r="AW52" t="str">
        <f t="shared" si="1"/>
        <v>7526</v>
      </c>
    </row>
    <row r="53" spans="1:49">
      <c r="A53" t="s">
        <v>135</v>
      </c>
      <c r="B53" t="s">
        <v>75</v>
      </c>
      <c r="D53" t="s">
        <v>73</v>
      </c>
      <c r="E53" t="s">
        <v>68</v>
      </c>
      <c r="F53" t="s">
        <v>69</v>
      </c>
      <c r="G53">
        <v>30000</v>
      </c>
      <c r="H53">
        <v>0</v>
      </c>
      <c r="I53">
        <v>0</v>
      </c>
      <c r="J53">
        <v>0</v>
      </c>
      <c r="K53">
        <v>1</v>
      </c>
      <c r="L53">
        <v>200000000</v>
      </c>
      <c r="M53">
        <v>48</v>
      </c>
      <c r="N53">
        <v>48</v>
      </c>
      <c r="O53">
        <v>48</v>
      </c>
      <c r="P53">
        <v>0</v>
      </c>
      <c r="Q53" t="s">
        <v>70</v>
      </c>
      <c r="R53">
        <v>9999900765470070</v>
      </c>
      <c r="S53">
        <v>100000000</v>
      </c>
      <c r="V53" t="s">
        <v>83</v>
      </c>
      <c r="W53">
        <v>33</v>
      </c>
      <c r="X53">
        <v>57146384</v>
      </c>
      <c r="Y53">
        <v>42853617</v>
      </c>
      <c r="Z53">
        <v>100000001</v>
      </c>
      <c r="AA53">
        <v>100000000</v>
      </c>
      <c r="AB53">
        <v>1.7498899999999999</v>
      </c>
      <c r="AC53">
        <v>2.3335300000000001</v>
      </c>
      <c r="AD53">
        <v>2</v>
      </c>
      <c r="AE53">
        <v>26.073699999999999</v>
      </c>
      <c r="AF53">
        <v>516983923</v>
      </c>
      <c r="AG53">
        <v>0</v>
      </c>
      <c r="AH53">
        <v>0</v>
      </c>
      <c r="AI53">
        <v>516983923</v>
      </c>
      <c r="AJ53">
        <v>516983923</v>
      </c>
      <c r="AK53">
        <v>17232797</v>
      </c>
      <c r="AL53">
        <v>0</v>
      </c>
      <c r="AM53">
        <v>0</v>
      </c>
      <c r="AN53">
        <v>17232797</v>
      </c>
      <c r="AO53">
        <v>17232797</v>
      </c>
      <c r="AQ53">
        <v>40.505400000000002</v>
      </c>
      <c r="AR53">
        <v>18.471499999999999</v>
      </c>
      <c r="AS53">
        <v>7755.74</v>
      </c>
      <c r="AU53" t="s">
        <v>401</v>
      </c>
      <c r="AV53" t="str">
        <f t="shared" si="0"/>
        <v>0% updates, key range [0, 2*10^8)</v>
      </c>
      <c r="AW53" t="str">
        <f t="shared" si="1"/>
        <v>7533</v>
      </c>
    </row>
    <row r="54" spans="1:49">
      <c r="A54" t="s">
        <v>136</v>
      </c>
      <c r="B54" t="s">
        <v>75</v>
      </c>
      <c r="D54" t="s">
        <v>73</v>
      </c>
      <c r="E54" t="s">
        <v>68</v>
      </c>
      <c r="F54" t="s">
        <v>69</v>
      </c>
      <c r="G54">
        <v>30000</v>
      </c>
      <c r="H54">
        <v>0</v>
      </c>
      <c r="I54">
        <v>0</v>
      </c>
      <c r="J54">
        <v>0</v>
      </c>
      <c r="K54">
        <v>1</v>
      </c>
      <c r="L54">
        <v>200000000</v>
      </c>
      <c r="M54">
        <v>96</v>
      </c>
      <c r="N54">
        <v>96</v>
      </c>
      <c r="O54">
        <v>96</v>
      </c>
      <c r="P54">
        <v>0</v>
      </c>
      <c r="Q54" t="s">
        <v>70</v>
      </c>
      <c r="R54">
        <v>9999611300687720</v>
      </c>
      <c r="S54">
        <v>100000000</v>
      </c>
      <c r="V54" t="s">
        <v>83</v>
      </c>
      <c r="W54">
        <v>33</v>
      </c>
      <c r="X54">
        <v>57145359</v>
      </c>
      <c r="Y54">
        <v>42854642</v>
      </c>
      <c r="Z54">
        <v>100000001</v>
      </c>
      <c r="AA54">
        <v>100000000</v>
      </c>
      <c r="AB54">
        <v>1.7499199999999999</v>
      </c>
      <c r="AC54">
        <v>2.3334700000000002</v>
      </c>
      <c r="AD54">
        <v>2</v>
      </c>
      <c r="AE54">
        <v>26.088100000000001</v>
      </c>
      <c r="AF54">
        <v>1059500303</v>
      </c>
      <c r="AG54">
        <v>0</v>
      </c>
      <c r="AH54">
        <v>0</v>
      </c>
      <c r="AI54">
        <v>1059500303</v>
      </c>
      <c r="AJ54">
        <v>1059500303</v>
      </c>
      <c r="AK54">
        <v>35316676</v>
      </c>
      <c r="AL54">
        <v>0</v>
      </c>
      <c r="AM54">
        <v>0</v>
      </c>
      <c r="AN54">
        <v>35316676</v>
      </c>
      <c r="AO54">
        <v>35316676</v>
      </c>
      <c r="AQ54">
        <v>40.644300000000001</v>
      </c>
      <c r="AR54">
        <v>19.561900000000001</v>
      </c>
      <c r="AS54">
        <v>7567.83</v>
      </c>
      <c r="AU54" t="s">
        <v>402</v>
      </c>
      <c r="AV54" t="str">
        <f t="shared" si="0"/>
        <v>0% updates, key range [0, 2*10^8)</v>
      </c>
      <c r="AW54" t="str">
        <f t="shared" si="1"/>
        <v>7547</v>
      </c>
    </row>
    <row r="55" spans="1:49">
      <c r="A55" t="s">
        <v>137</v>
      </c>
      <c r="B55" t="s">
        <v>75</v>
      </c>
      <c r="D55" t="s">
        <v>73</v>
      </c>
      <c r="E55" t="s">
        <v>68</v>
      </c>
      <c r="F55" t="s">
        <v>69</v>
      </c>
      <c r="G55">
        <v>30000</v>
      </c>
      <c r="H55">
        <v>0</v>
      </c>
      <c r="I55">
        <v>0</v>
      </c>
      <c r="J55">
        <v>0</v>
      </c>
      <c r="K55">
        <v>1</v>
      </c>
      <c r="L55">
        <v>200000000</v>
      </c>
      <c r="M55">
        <v>144</v>
      </c>
      <c r="N55">
        <v>144</v>
      </c>
      <c r="O55">
        <v>144</v>
      </c>
      <c r="P55">
        <v>0</v>
      </c>
      <c r="Q55" t="s">
        <v>70</v>
      </c>
      <c r="R55">
        <v>1.00001487225845E+16</v>
      </c>
      <c r="S55">
        <v>100000000</v>
      </c>
      <c r="V55" t="s">
        <v>83</v>
      </c>
      <c r="W55">
        <v>33</v>
      </c>
      <c r="X55">
        <v>57141677</v>
      </c>
      <c r="Y55">
        <v>42858324</v>
      </c>
      <c r="Z55">
        <v>100000001</v>
      </c>
      <c r="AA55">
        <v>100000000</v>
      </c>
      <c r="AB55">
        <v>1.75004</v>
      </c>
      <c r="AC55">
        <v>2.3332700000000002</v>
      </c>
      <c r="AD55">
        <v>2</v>
      </c>
      <c r="AE55">
        <v>26.061</v>
      </c>
      <c r="AF55">
        <v>1592751578</v>
      </c>
      <c r="AG55">
        <v>0</v>
      </c>
      <c r="AH55">
        <v>0</v>
      </c>
      <c r="AI55">
        <v>1592751578</v>
      </c>
      <c r="AJ55">
        <v>1592751578</v>
      </c>
      <c r="AK55">
        <v>53091719</v>
      </c>
      <c r="AL55">
        <v>0</v>
      </c>
      <c r="AM55">
        <v>0</v>
      </c>
      <c r="AN55">
        <v>53091719</v>
      </c>
      <c r="AO55">
        <v>53091719</v>
      </c>
      <c r="AQ55">
        <v>41.250100000000003</v>
      </c>
      <c r="AR55">
        <v>19.888400000000001</v>
      </c>
      <c r="AS55">
        <v>7550.44</v>
      </c>
      <c r="AU55" t="s">
        <v>403</v>
      </c>
      <c r="AV55" t="str">
        <f t="shared" si="0"/>
        <v>0% updates, key range [0, 2*10^8)</v>
      </c>
      <c r="AW55" t="str">
        <f t="shared" si="1"/>
        <v>7562</v>
      </c>
    </row>
    <row r="56" spans="1:49">
      <c r="A56" t="s">
        <v>138</v>
      </c>
      <c r="B56" t="s">
        <v>75</v>
      </c>
      <c r="D56" t="s">
        <v>73</v>
      </c>
      <c r="E56" t="s">
        <v>68</v>
      </c>
      <c r="F56" t="s">
        <v>69</v>
      </c>
      <c r="G56">
        <v>30000</v>
      </c>
      <c r="H56">
        <v>0</v>
      </c>
      <c r="I56">
        <v>0</v>
      </c>
      <c r="J56">
        <v>0</v>
      </c>
      <c r="K56">
        <v>1</v>
      </c>
      <c r="L56">
        <v>200000000</v>
      </c>
      <c r="M56">
        <v>190</v>
      </c>
      <c r="N56">
        <v>190</v>
      </c>
      <c r="O56">
        <v>190</v>
      </c>
      <c r="P56">
        <v>0</v>
      </c>
      <c r="Q56" t="s">
        <v>70</v>
      </c>
      <c r="R56">
        <v>9999449268408350</v>
      </c>
      <c r="S56">
        <v>100000000</v>
      </c>
      <c r="V56" t="s">
        <v>83</v>
      </c>
      <c r="W56">
        <v>33</v>
      </c>
      <c r="X56">
        <v>57142497</v>
      </c>
      <c r="Y56">
        <v>42857504</v>
      </c>
      <c r="Z56">
        <v>100000001</v>
      </c>
      <c r="AA56">
        <v>100000000</v>
      </c>
      <c r="AB56">
        <v>1.7500100000000001</v>
      </c>
      <c r="AC56">
        <v>2.33331</v>
      </c>
      <c r="AD56">
        <v>2</v>
      </c>
      <c r="AE56">
        <v>26.063700000000001</v>
      </c>
      <c r="AF56">
        <v>2124699220</v>
      </c>
      <c r="AG56">
        <v>0</v>
      </c>
      <c r="AH56">
        <v>0</v>
      </c>
      <c r="AI56">
        <v>2124699220</v>
      </c>
      <c r="AJ56">
        <v>2124699220</v>
      </c>
      <c r="AK56">
        <v>70823307</v>
      </c>
      <c r="AL56">
        <v>0</v>
      </c>
      <c r="AM56">
        <v>0</v>
      </c>
      <c r="AN56">
        <v>70823307</v>
      </c>
      <c r="AO56">
        <v>70823307</v>
      </c>
      <c r="AQ56">
        <v>40.847299999999997</v>
      </c>
      <c r="AR56">
        <v>20.078399999999998</v>
      </c>
      <c r="AS56">
        <v>7467.3</v>
      </c>
      <c r="AU56" t="s">
        <v>404</v>
      </c>
      <c r="AV56" t="str">
        <f t="shared" si="0"/>
        <v>0% updates, key range [0, 2*10^8)</v>
      </c>
      <c r="AW56" t="str">
        <f t="shared" si="1"/>
        <v>7574</v>
      </c>
    </row>
    <row r="57" spans="1:49">
      <c r="A57" t="s">
        <v>139</v>
      </c>
      <c r="B57" t="s">
        <v>76</v>
      </c>
      <c r="D57" t="s">
        <v>73</v>
      </c>
      <c r="E57" t="s">
        <v>68</v>
      </c>
      <c r="F57" t="s">
        <v>69</v>
      </c>
      <c r="G57">
        <v>30000</v>
      </c>
      <c r="H57">
        <v>0</v>
      </c>
      <c r="I57">
        <v>0</v>
      </c>
      <c r="J57">
        <v>0</v>
      </c>
      <c r="K57">
        <v>1</v>
      </c>
      <c r="L57">
        <v>200000000</v>
      </c>
      <c r="M57">
        <v>24</v>
      </c>
      <c r="N57">
        <v>24</v>
      </c>
      <c r="O57">
        <v>24</v>
      </c>
      <c r="P57">
        <v>0</v>
      </c>
      <c r="Q57" t="s">
        <v>70</v>
      </c>
      <c r="R57">
        <v>1.00002020905068E+16</v>
      </c>
      <c r="S57">
        <v>100000000</v>
      </c>
      <c r="V57" t="s">
        <v>83</v>
      </c>
      <c r="W57">
        <v>71</v>
      </c>
      <c r="X57">
        <v>99999999</v>
      </c>
      <c r="Y57">
        <v>100000000</v>
      </c>
      <c r="Z57">
        <v>199999999</v>
      </c>
      <c r="AA57">
        <v>100000000</v>
      </c>
      <c r="AB57">
        <v>2</v>
      </c>
      <c r="AC57">
        <v>1</v>
      </c>
      <c r="AD57">
        <v>1.5</v>
      </c>
      <c r="AE57">
        <v>36.621899999999997</v>
      </c>
      <c r="AF57">
        <v>222373282</v>
      </c>
      <c r="AG57">
        <v>0</v>
      </c>
      <c r="AH57">
        <v>0</v>
      </c>
      <c r="AI57">
        <v>222373282</v>
      </c>
      <c r="AJ57">
        <v>222373282</v>
      </c>
      <c r="AK57">
        <v>7412442</v>
      </c>
      <c r="AL57">
        <v>0</v>
      </c>
      <c r="AM57">
        <v>0</v>
      </c>
      <c r="AN57">
        <v>7412442</v>
      </c>
      <c r="AO57">
        <v>7412442</v>
      </c>
      <c r="AQ57">
        <v>37.935600000000001</v>
      </c>
      <c r="AR57">
        <v>18.448599999999999</v>
      </c>
      <c r="AS57">
        <v>9023.9699999999993</v>
      </c>
      <c r="AU57" t="s">
        <v>400</v>
      </c>
      <c r="AV57" t="str">
        <f t="shared" si="0"/>
        <v>0% updates, key range [0, 2*10^8)</v>
      </c>
      <c r="AW57" t="str">
        <f t="shared" si="1"/>
        <v>7526</v>
      </c>
    </row>
    <row r="58" spans="1:49">
      <c r="A58" t="s">
        <v>140</v>
      </c>
      <c r="B58" t="s">
        <v>76</v>
      </c>
      <c r="D58" t="s">
        <v>73</v>
      </c>
      <c r="E58" t="s">
        <v>68</v>
      </c>
      <c r="F58" t="s">
        <v>69</v>
      </c>
      <c r="G58">
        <v>30000</v>
      </c>
      <c r="H58">
        <v>0</v>
      </c>
      <c r="I58">
        <v>0</v>
      </c>
      <c r="J58">
        <v>0</v>
      </c>
      <c r="K58">
        <v>1</v>
      </c>
      <c r="L58">
        <v>200000000</v>
      </c>
      <c r="M58">
        <v>48</v>
      </c>
      <c r="N58">
        <v>48</v>
      </c>
      <c r="O58">
        <v>48</v>
      </c>
      <c r="P58">
        <v>0</v>
      </c>
      <c r="Q58" t="s">
        <v>70</v>
      </c>
      <c r="R58">
        <v>1.00005840479077E+16</v>
      </c>
      <c r="S58">
        <v>100000000</v>
      </c>
      <c r="V58" t="s">
        <v>83</v>
      </c>
      <c r="W58">
        <v>70</v>
      </c>
      <c r="X58">
        <v>99999999</v>
      </c>
      <c r="Y58">
        <v>100000000</v>
      </c>
      <c r="Z58">
        <v>199999999</v>
      </c>
      <c r="AA58">
        <v>100000000</v>
      </c>
      <c r="AB58">
        <v>2</v>
      </c>
      <c r="AC58">
        <v>1</v>
      </c>
      <c r="AD58">
        <v>1.5</v>
      </c>
      <c r="AE58">
        <v>36.405200000000001</v>
      </c>
      <c r="AF58">
        <v>432694393</v>
      </c>
      <c r="AG58">
        <v>0</v>
      </c>
      <c r="AH58">
        <v>0</v>
      </c>
      <c r="AI58">
        <v>432694393</v>
      </c>
      <c r="AJ58">
        <v>432694393</v>
      </c>
      <c r="AK58">
        <v>14423146</v>
      </c>
      <c r="AL58">
        <v>0</v>
      </c>
      <c r="AM58">
        <v>0</v>
      </c>
      <c r="AN58">
        <v>14423146</v>
      </c>
      <c r="AO58">
        <v>14423146</v>
      </c>
      <c r="AQ58">
        <v>37.7316</v>
      </c>
      <c r="AR58">
        <v>18.229299999999999</v>
      </c>
      <c r="AS58">
        <v>9270.48</v>
      </c>
      <c r="AU58" t="s">
        <v>401</v>
      </c>
      <c r="AV58" t="str">
        <f t="shared" si="0"/>
        <v>0% updates, key range [0, 2*10^8)</v>
      </c>
      <c r="AW58" t="str">
        <f t="shared" si="1"/>
        <v>7533</v>
      </c>
    </row>
    <row r="59" spans="1:49">
      <c r="A59" t="s">
        <v>141</v>
      </c>
      <c r="B59" t="s">
        <v>76</v>
      </c>
      <c r="D59" t="s">
        <v>73</v>
      </c>
      <c r="E59" t="s">
        <v>68</v>
      </c>
      <c r="F59" t="s">
        <v>69</v>
      </c>
      <c r="G59">
        <v>30000</v>
      </c>
      <c r="H59">
        <v>0</v>
      </c>
      <c r="I59">
        <v>0</v>
      </c>
      <c r="J59">
        <v>0</v>
      </c>
      <c r="K59">
        <v>1</v>
      </c>
      <c r="L59">
        <v>200000000</v>
      </c>
      <c r="M59">
        <v>96</v>
      </c>
      <c r="N59">
        <v>96</v>
      </c>
      <c r="O59">
        <v>96</v>
      </c>
      <c r="P59">
        <v>0</v>
      </c>
      <c r="Q59" t="s">
        <v>70</v>
      </c>
      <c r="R59">
        <v>9999587976409850</v>
      </c>
      <c r="S59">
        <v>100000000</v>
      </c>
      <c r="V59" t="s">
        <v>83</v>
      </c>
      <c r="W59">
        <v>73</v>
      </c>
      <c r="X59">
        <v>99999999</v>
      </c>
      <c r="Y59">
        <v>100000000</v>
      </c>
      <c r="Z59">
        <v>199999999</v>
      </c>
      <c r="AA59">
        <v>100000000</v>
      </c>
      <c r="AB59">
        <v>2</v>
      </c>
      <c r="AC59">
        <v>1</v>
      </c>
      <c r="AD59">
        <v>1.5</v>
      </c>
      <c r="AE59">
        <v>35.3523</v>
      </c>
      <c r="AF59">
        <v>885586521</v>
      </c>
      <c r="AG59">
        <v>0</v>
      </c>
      <c r="AH59">
        <v>0</v>
      </c>
      <c r="AI59">
        <v>885586521</v>
      </c>
      <c r="AJ59">
        <v>885586521</v>
      </c>
      <c r="AK59">
        <v>29519550</v>
      </c>
      <c r="AL59">
        <v>0</v>
      </c>
      <c r="AM59">
        <v>0</v>
      </c>
      <c r="AN59">
        <v>29519550</v>
      </c>
      <c r="AO59">
        <v>29519550</v>
      </c>
      <c r="AQ59">
        <v>37.981499999999997</v>
      </c>
      <c r="AR59">
        <v>18.8079</v>
      </c>
      <c r="AS59">
        <v>9055.65</v>
      </c>
      <c r="AU59" t="s">
        <v>405</v>
      </c>
      <c r="AV59" t="str">
        <f t="shared" si="0"/>
        <v>0% updates, key range [0, 2*10^8)</v>
      </c>
      <c r="AW59" t="str">
        <f t="shared" si="1"/>
        <v>7546</v>
      </c>
    </row>
    <row r="60" spans="1:49">
      <c r="A60" t="s">
        <v>142</v>
      </c>
      <c r="B60" t="s">
        <v>76</v>
      </c>
      <c r="D60" t="s">
        <v>73</v>
      </c>
      <c r="E60" t="s">
        <v>68</v>
      </c>
      <c r="F60" t="s">
        <v>69</v>
      </c>
      <c r="G60">
        <v>30000</v>
      </c>
      <c r="H60">
        <v>0</v>
      </c>
      <c r="I60">
        <v>0</v>
      </c>
      <c r="J60">
        <v>0</v>
      </c>
      <c r="K60">
        <v>1</v>
      </c>
      <c r="L60">
        <v>200000000</v>
      </c>
      <c r="M60">
        <v>144</v>
      </c>
      <c r="N60">
        <v>144</v>
      </c>
      <c r="O60">
        <v>144</v>
      </c>
      <c r="P60">
        <v>0</v>
      </c>
      <c r="Q60" t="s">
        <v>70</v>
      </c>
      <c r="R60">
        <v>1.00003125453949E+16</v>
      </c>
      <c r="S60">
        <v>100000000</v>
      </c>
      <c r="V60" t="s">
        <v>83</v>
      </c>
      <c r="W60">
        <v>68</v>
      </c>
      <c r="X60">
        <v>99999999</v>
      </c>
      <c r="Y60">
        <v>100000000</v>
      </c>
      <c r="Z60">
        <v>199999999</v>
      </c>
      <c r="AA60">
        <v>100000000</v>
      </c>
      <c r="AB60">
        <v>2</v>
      </c>
      <c r="AC60">
        <v>1</v>
      </c>
      <c r="AD60">
        <v>1.5</v>
      </c>
      <c r="AE60">
        <v>35.682400000000001</v>
      </c>
      <c r="AF60">
        <v>1341865008</v>
      </c>
      <c r="AG60">
        <v>0</v>
      </c>
      <c r="AH60">
        <v>0</v>
      </c>
      <c r="AI60">
        <v>1341865008</v>
      </c>
      <c r="AJ60">
        <v>1341865008</v>
      </c>
      <c r="AK60">
        <v>44728833</v>
      </c>
      <c r="AL60">
        <v>0</v>
      </c>
      <c r="AM60">
        <v>0</v>
      </c>
      <c r="AN60">
        <v>44728833</v>
      </c>
      <c r="AO60">
        <v>44728833</v>
      </c>
      <c r="AQ60">
        <v>38.031300000000002</v>
      </c>
      <c r="AR60">
        <v>19.0991</v>
      </c>
      <c r="AS60">
        <v>8965.7900000000009</v>
      </c>
      <c r="AU60" t="s">
        <v>406</v>
      </c>
      <c r="AV60" t="str">
        <f t="shared" si="0"/>
        <v>0% updates, key range [0, 2*10^8)</v>
      </c>
      <c r="AW60" t="str">
        <f t="shared" si="1"/>
        <v>7560</v>
      </c>
    </row>
    <row r="61" spans="1:49">
      <c r="A61" t="s">
        <v>143</v>
      </c>
      <c r="B61" t="s">
        <v>76</v>
      </c>
      <c r="D61" t="s">
        <v>73</v>
      </c>
      <c r="E61" t="s">
        <v>68</v>
      </c>
      <c r="F61" t="s">
        <v>69</v>
      </c>
      <c r="G61">
        <v>30000</v>
      </c>
      <c r="H61">
        <v>0</v>
      </c>
      <c r="I61">
        <v>0</v>
      </c>
      <c r="J61">
        <v>0</v>
      </c>
      <c r="K61">
        <v>1</v>
      </c>
      <c r="L61">
        <v>200000000</v>
      </c>
      <c r="M61">
        <v>190</v>
      </c>
      <c r="N61">
        <v>190</v>
      </c>
      <c r="O61">
        <v>190</v>
      </c>
      <c r="P61">
        <v>0</v>
      </c>
      <c r="Q61" t="s">
        <v>70</v>
      </c>
      <c r="R61">
        <v>1.00000651571827E+16</v>
      </c>
      <c r="S61">
        <v>100000000</v>
      </c>
      <c r="V61" t="s">
        <v>83</v>
      </c>
      <c r="W61">
        <v>66</v>
      </c>
      <c r="X61">
        <v>99999999</v>
      </c>
      <c r="Y61">
        <v>100000000</v>
      </c>
      <c r="Z61">
        <v>199999999</v>
      </c>
      <c r="AA61">
        <v>100000000</v>
      </c>
      <c r="AB61">
        <v>2</v>
      </c>
      <c r="AC61">
        <v>1</v>
      </c>
      <c r="AD61">
        <v>1.5</v>
      </c>
      <c r="AE61">
        <v>35.443800000000003</v>
      </c>
      <c r="AF61">
        <v>1791396707</v>
      </c>
      <c r="AG61">
        <v>0</v>
      </c>
      <c r="AH61">
        <v>0</v>
      </c>
      <c r="AI61">
        <v>1791396707</v>
      </c>
      <c r="AJ61">
        <v>1791396707</v>
      </c>
      <c r="AK61">
        <v>59713223</v>
      </c>
      <c r="AL61">
        <v>0</v>
      </c>
      <c r="AM61">
        <v>0</v>
      </c>
      <c r="AN61">
        <v>59713223</v>
      </c>
      <c r="AO61">
        <v>59713223</v>
      </c>
      <c r="AQ61">
        <v>38.101999999999997</v>
      </c>
      <c r="AR61">
        <v>19.3</v>
      </c>
      <c r="AS61">
        <v>8861.19</v>
      </c>
      <c r="AU61" t="s">
        <v>407</v>
      </c>
      <c r="AV61" t="str">
        <f t="shared" si="0"/>
        <v>0% updates, key range [0, 2*10^8)</v>
      </c>
      <c r="AW61" t="str">
        <f t="shared" si="1"/>
        <v>7572</v>
      </c>
    </row>
    <row r="62" spans="1:49">
      <c r="A62" t="s">
        <v>144</v>
      </c>
      <c r="B62" t="s">
        <v>72</v>
      </c>
      <c r="C62">
        <v>72</v>
      </c>
      <c r="D62" t="s">
        <v>73</v>
      </c>
      <c r="E62" t="s">
        <v>68</v>
      </c>
      <c r="F62" t="s">
        <v>69</v>
      </c>
      <c r="G62">
        <v>30000</v>
      </c>
      <c r="H62">
        <v>0</v>
      </c>
      <c r="I62">
        <v>0</v>
      </c>
      <c r="J62">
        <v>0</v>
      </c>
      <c r="K62">
        <v>1</v>
      </c>
      <c r="L62">
        <v>2000000000</v>
      </c>
      <c r="M62">
        <v>24</v>
      </c>
      <c r="N62">
        <v>24</v>
      </c>
      <c r="O62">
        <v>24</v>
      </c>
      <c r="P62">
        <v>0</v>
      </c>
      <c r="Q62" t="s">
        <v>70</v>
      </c>
      <c r="R62">
        <v>1.00001253952605E+18</v>
      </c>
      <c r="S62">
        <v>1000000001</v>
      </c>
      <c r="V62" t="s">
        <v>83</v>
      </c>
      <c r="W62">
        <v>6</v>
      </c>
      <c r="X62">
        <v>84465035</v>
      </c>
      <c r="Y62">
        <v>1078804517</v>
      </c>
      <c r="Z62">
        <v>1163269552</v>
      </c>
      <c r="AA62">
        <v>1000000001</v>
      </c>
      <c r="AB62">
        <v>13.7722</v>
      </c>
      <c r="AC62">
        <v>0.926952</v>
      </c>
      <c r="AD62">
        <v>1.85965</v>
      </c>
      <c r="AE62">
        <v>4</v>
      </c>
      <c r="AF62">
        <v>555996907</v>
      </c>
      <c r="AG62">
        <v>0</v>
      </c>
      <c r="AH62">
        <v>0</v>
      </c>
      <c r="AI62">
        <v>555996907</v>
      </c>
      <c r="AJ62">
        <v>555996907</v>
      </c>
      <c r="AK62">
        <v>18533230</v>
      </c>
      <c r="AL62">
        <v>0</v>
      </c>
      <c r="AM62">
        <v>0</v>
      </c>
      <c r="AN62">
        <v>18533230</v>
      </c>
      <c r="AO62">
        <v>18533230</v>
      </c>
      <c r="AQ62">
        <v>21.842199999999998</v>
      </c>
      <c r="AR62">
        <v>12.745200000000001</v>
      </c>
      <c r="AS62">
        <v>3609.18</v>
      </c>
      <c r="AU62" t="s">
        <v>408</v>
      </c>
      <c r="AV62" t="str">
        <f t="shared" si="0"/>
        <v>0% updates, key range [0, 2*10^9)</v>
      </c>
      <c r="AW62" t="str">
        <f t="shared" si="1"/>
        <v>59147</v>
      </c>
    </row>
    <row r="63" spans="1:49">
      <c r="A63" t="s">
        <v>145</v>
      </c>
      <c r="B63" t="s">
        <v>72</v>
      </c>
      <c r="C63">
        <v>72</v>
      </c>
      <c r="D63" t="s">
        <v>73</v>
      </c>
      <c r="E63" t="s">
        <v>68</v>
      </c>
      <c r="F63" t="s">
        <v>69</v>
      </c>
      <c r="G63">
        <v>30000</v>
      </c>
      <c r="H63">
        <v>0</v>
      </c>
      <c r="I63">
        <v>0</v>
      </c>
      <c r="J63">
        <v>0</v>
      </c>
      <c r="K63">
        <v>1</v>
      </c>
      <c r="L63">
        <v>2000000000</v>
      </c>
      <c r="M63">
        <v>48</v>
      </c>
      <c r="N63">
        <v>48</v>
      </c>
      <c r="O63">
        <v>48</v>
      </c>
      <c r="P63">
        <v>0</v>
      </c>
      <c r="Q63" t="s">
        <v>70</v>
      </c>
      <c r="R63">
        <v>9.9998861360346598E+17</v>
      </c>
      <c r="S63">
        <v>1000000001</v>
      </c>
      <c r="V63" t="s">
        <v>83</v>
      </c>
      <c r="W63">
        <v>6</v>
      </c>
      <c r="X63">
        <v>84465035</v>
      </c>
      <c r="Y63">
        <v>1078804517</v>
      </c>
      <c r="Z63">
        <v>1163269552</v>
      </c>
      <c r="AA63">
        <v>1000000001</v>
      </c>
      <c r="AB63">
        <v>13.7722</v>
      </c>
      <c r="AC63">
        <v>0.926952</v>
      </c>
      <c r="AD63">
        <v>1.85965</v>
      </c>
      <c r="AE63">
        <v>4</v>
      </c>
      <c r="AF63">
        <v>1006901408</v>
      </c>
      <c r="AG63">
        <v>0</v>
      </c>
      <c r="AH63">
        <v>0</v>
      </c>
      <c r="AI63">
        <v>1006901408</v>
      </c>
      <c r="AJ63">
        <v>1006901408</v>
      </c>
      <c r="AK63">
        <v>33563380</v>
      </c>
      <c r="AL63">
        <v>0</v>
      </c>
      <c r="AM63">
        <v>0</v>
      </c>
      <c r="AN63">
        <v>33563380</v>
      </c>
      <c r="AO63">
        <v>33563380</v>
      </c>
      <c r="AQ63">
        <v>21.700500000000002</v>
      </c>
      <c r="AR63">
        <v>12.684200000000001</v>
      </c>
      <c r="AS63">
        <v>3985.84</v>
      </c>
      <c r="AU63" t="s">
        <v>409</v>
      </c>
      <c r="AV63" t="str">
        <f t="shared" si="0"/>
        <v>0% updates, key range [0, 2*10^9)</v>
      </c>
      <c r="AW63" t="str">
        <f t="shared" si="1"/>
        <v>59274</v>
      </c>
    </row>
    <row r="64" spans="1:49">
      <c r="A64" t="s">
        <v>146</v>
      </c>
      <c r="B64" t="s">
        <v>72</v>
      </c>
      <c r="C64">
        <v>72</v>
      </c>
      <c r="D64" t="s">
        <v>73</v>
      </c>
      <c r="E64" t="s">
        <v>68</v>
      </c>
      <c r="F64" t="s">
        <v>69</v>
      </c>
      <c r="G64">
        <v>30000</v>
      </c>
      <c r="H64">
        <v>0</v>
      </c>
      <c r="I64">
        <v>0</v>
      </c>
      <c r="J64">
        <v>0</v>
      </c>
      <c r="K64">
        <v>1</v>
      </c>
      <c r="L64">
        <v>2000000000</v>
      </c>
      <c r="M64">
        <v>96</v>
      </c>
      <c r="N64">
        <v>96</v>
      </c>
      <c r="O64">
        <v>96</v>
      </c>
      <c r="P64">
        <v>0</v>
      </c>
      <c r="Q64" t="s">
        <v>70</v>
      </c>
      <c r="R64">
        <v>9.9999991010303206E+17</v>
      </c>
      <c r="S64">
        <v>1000000001</v>
      </c>
      <c r="V64" t="s">
        <v>83</v>
      </c>
      <c r="W64">
        <v>6</v>
      </c>
      <c r="X64">
        <v>84465035</v>
      </c>
      <c r="Y64">
        <v>1078804517</v>
      </c>
      <c r="Z64">
        <v>1163269552</v>
      </c>
      <c r="AA64">
        <v>1000000001</v>
      </c>
      <c r="AB64">
        <v>13.7722</v>
      </c>
      <c r="AC64">
        <v>0.926952</v>
      </c>
      <c r="AD64">
        <v>1.85965</v>
      </c>
      <c r="AE64">
        <v>4</v>
      </c>
      <c r="AF64">
        <v>2226345847</v>
      </c>
      <c r="AG64">
        <v>0</v>
      </c>
      <c r="AH64">
        <v>0</v>
      </c>
      <c r="AI64">
        <v>2226345847</v>
      </c>
      <c r="AJ64">
        <v>2226345847</v>
      </c>
      <c r="AK64">
        <v>74211528</v>
      </c>
      <c r="AL64">
        <v>0</v>
      </c>
      <c r="AM64">
        <v>0</v>
      </c>
      <c r="AN64">
        <v>74211528</v>
      </c>
      <c r="AO64">
        <v>74211528</v>
      </c>
      <c r="AQ64">
        <v>21.770199999999999</v>
      </c>
      <c r="AR64">
        <v>13.4878</v>
      </c>
      <c r="AS64">
        <v>3602.48</v>
      </c>
      <c r="AU64" t="s">
        <v>410</v>
      </c>
      <c r="AV64" t="str">
        <f t="shared" si="0"/>
        <v>0% updates, key range [0, 2*10^9)</v>
      </c>
      <c r="AW64" t="str">
        <f t="shared" si="1"/>
        <v>59528</v>
      </c>
    </row>
    <row r="65" spans="1:49">
      <c r="A65" t="s">
        <v>147</v>
      </c>
      <c r="B65" t="s">
        <v>72</v>
      </c>
      <c r="C65">
        <v>72</v>
      </c>
      <c r="D65" t="s">
        <v>73</v>
      </c>
      <c r="E65" t="s">
        <v>68</v>
      </c>
      <c r="F65" t="s">
        <v>69</v>
      </c>
      <c r="G65">
        <v>30000</v>
      </c>
      <c r="H65">
        <v>0</v>
      </c>
      <c r="I65">
        <v>0</v>
      </c>
      <c r="J65">
        <v>0</v>
      </c>
      <c r="K65">
        <v>1</v>
      </c>
      <c r="L65">
        <v>2000000000</v>
      </c>
      <c r="M65">
        <v>144</v>
      </c>
      <c r="N65">
        <v>144</v>
      </c>
      <c r="O65">
        <v>144</v>
      </c>
      <c r="P65">
        <v>0</v>
      </c>
      <c r="Q65" t="s">
        <v>70</v>
      </c>
      <c r="R65">
        <v>9.9999163924945203E+17</v>
      </c>
      <c r="S65">
        <v>1000000001</v>
      </c>
      <c r="V65" t="s">
        <v>83</v>
      </c>
      <c r="W65">
        <v>6</v>
      </c>
      <c r="X65">
        <v>84465035</v>
      </c>
      <c r="Y65">
        <v>1078804517</v>
      </c>
      <c r="Z65">
        <v>1163269552</v>
      </c>
      <c r="AA65">
        <v>1000000001</v>
      </c>
      <c r="AB65">
        <v>13.7722</v>
      </c>
      <c r="AC65">
        <v>0.926952</v>
      </c>
      <c r="AD65">
        <v>1.85965</v>
      </c>
      <c r="AE65">
        <v>4</v>
      </c>
      <c r="AF65">
        <v>3357707647</v>
      </c>
      <c r="AG65">
        <v>0</v>
      </c>
      <c r="AH65">
        <v>0</v>
      </c>
      <c r="AI65">
        <v>3357707647</v>
      </c>
      <c r="AJ65">
        <v>3357707647</v>
      </c>
      <c r="AK65">
        <v>111923588</v>
      </c>
      <c r="AL65">
        <v>0</v>
      </c>
      <c r="AM65">
        <v>0</v>
      </c>
      <c r="AN65">
        <v>111923588</v>
      </c>
      <c r="AO65">
        <v>111923588</v>
      </c>
      <c r="AQ65">
        <v>21.806799999999999</v>
      </c>
      <c r="AR65">
        <v>13.722099999999999</v>
      </c>
      <c r="AS65">
        <v>3580.88</v>
      </c>
      <c r="AU65" t="s">
        <v>411</v>
      </c>
      <c r="AV65" t="str">
        <f t="shared" si="0"/>
        <v>0% updates, key range [0, 2*10^9)</v>
      </c>
      <c r="AW65" t="str">
        <f t="shared" si="1"/>
        <v>59809</v>
      </c>
    </row>
    <row r="66" spans="1:49">
      <c r="A66" t="s">
        <v>148</v>
      </c>
      <c r="B66" t="s">
        <v>72</v>
      </c>
      <c r="C66">
        <v>72</v>
      </c>
      <c r="D66" t="s">
        <v>73</v>
      </c>
      <c r="E66" t="s">
        <v>68</v>
      </c>
      <c r="F66" t="s">
        <v>69</v>
      </c>
      <c r="G66">
        <v>30000</v>
      </c>
      <c r="H66">
        <v>0</v>
      </c>
      <c r="I66">
        <v>0</v>
      </c>
      <c r="J66">
        <v>0</v>
      </c>
      <c r="K66">
        <v>1</v>
      </c>
      <c r="L66">
        <v>2000000000</v>
      </c>
      <c r="M66">
        <v>190</v>
      </c>
      <c r="N66">
        <v>190</v>
      </c>
      <c r="O66">
        <v>190</v>
      </c>
      <c r="P66">
        <v>0</v>
      </c>
      <c r="Q66" t="s">
        <v>70</v>
      </c>
      <c r="R66">
        <v>9.9999337202210906E+17</v>
      </c>
      <c r="S66">
        <v>1000000001</v>
      </c>
      <c r="V66" t="s">
        <v>83</v>
      </c>
      <c r="W66">
        <v>6</v>
      </c>
      <c r="X66">
        <v>84465035</v>
      </c>
      <c r="Y66">
        <v>1078804517</v>
      </c>
      <c r="Z66">
        <v>1163269552</v>
      </c>
      <c r="AA66">
        <v>1000000001</v>
      </c>
      <c r="AB66">
        <v>13.7722</v>
      </c>
      <c r="AC66">
        <v>0.926952</v>
      </c>
      <c r="AD66">
        <v>1.85965</v>
      </c>
      <c r="AE66">
        <v>4</v>
      </c>
      <c r="AF66">
        <v>4388249396</v>
      </c>
      <c r="AG66">
        <v>0</v>
      </c>
      <c r="AH66">
        <v>0</v>
      </c>
      <c r="AI66">
        <v>4388249396</v>
      </c>
      <c r="AJ66">
        <v>4388249396</v>
      </c>
      <c r="AK66">
        <v>146274979</v>
      </c>
      <c r="AL66">
        <v>0</v>
      </c>
      <c r="AM66">
        <v>0</v>
      </c>
      <c r="AN66">
        <v>146274979</v>
      </c>
      <c r="AO66">
        <v>146274979</v>
      </c>
      <c r="AQ66">
        <v>21.7758</v>
      </c>
      <c r="AR66">
        <v>13.8489</v>
      </c>
      <c r="AS66">
        <v>3612</v>
      </c>
      <c r="AU66" t="s">
        <v>412</v>
      </c>
      <c r="AV66" t="str">
        <f t="shared" si="0"/>
        <v>0% updates, key range [0, 2*10^9)</v>
      </c>
      <c r="AW66" t="str">
        <f t="shared" si="1"/>
        <v>59978</v>
      </c>
    </row>
    <row r="67" spans="1:49">
      <c r="A67" t="s">
        <v>149</v>
      </c>
      <c r="B67" t="s">
        <v>74</v>
      </c>
      <c r="C67">
        <v>208</v>
      </c>
      <c r="D67" t="s">
        <v>73</v>
      </c>
      <c r="E67" t="s">
        <v>68</v>
      </c>
      <c r="F67" t="s">
        <v>69</v>
      </c>
      <c r="G67">
        <v>30000</v>
      </c>
      <c r="H67">
        <v>0</v>
      </c>
      <c r="I67">
        <v>0</v>
      </c>
      <c r="J67">
        <v>0</v>
      </c>
      <c r="K67">
        <v>1</v>
      </c>
      <c r="L67">
        <v>2000000000</v>
      </c>
      <c r="M67">
        <v>24</v>
      </c>
      <c r="N67">
        <v>24</v>
      </c>
      <c r="O67">
        <v>24</v>
      </c>
      <c r="P67">
        <v>0</v>
      </c>
      <c r="Q67" t="s">
        <v>70</v>
      </c>
      <c r="R67">
        <v>1.00002016457718E+18</v>
      </c>
      <c r="S67">
        <v>1000000000</v>
      </c>
      <c r="V67" t="s">
        <v>83</v>
      </c>
      <c r="W67">
        <v>12</v>
      </c>
      <c r="X67">
        <v>18538804</v>
      </c>
      <c r="Y67">
        <v>127577451</v>
      </c>
      <c r="Z67">
        <v>146116255</v>
      </c>
      <c r="AA67">
        <v>1000000000</v>
      </c>
      <c r="AB67">
        <v>7.88164</v>
      </c>
      <c r="AC67">
        <v>7.8383799999999999</v>
      </c>
      <c r="AD67">
        <v>7.8438699999999999</v>
      </c>
      <c r="AE67">
        <v>11</v>
      </c>
      <c r="AF67">
        <v>390040989</v>
      </c>
      <c r="AG67">
        <v>0</v>
      </c>
      <c r="AH67">
        <v>0</v>
      </c>
      <c r="AI67">
        <v>390040989</v>
      </c>
      <c r="AJ67">
        <v>390040989</v>
      </c>
      <c r="AK67">
        <v>13001366</v>
      </c>
      <c r="AL67">
        <v>0</v>
      </c>
      <c r="AM67">
        <v>0</v>
      </c>
      <c r="AN67">
        <v>13001366</v>
      </c>
      <c r="AO67">
        <v>13001366</v>
      </c>
      <c r="AQ67">
        <v>30.1754</v>
      </c>
      <c r="AR67">
        <v>17.195499999999999</v>
      </c>
      <c r="AS67">
        <v>5142.38</v>
      </c>
      <c r="AU67" t="s">
        <v>413</v>
      </c>
      <c r="AV67" t="str">
        <f t="shared" ref="AV67:AV130" si="2">(H67+I67)&amp;"% updates, key range [0, 2*10^"&amp;LOG10(L67/2)&amp;")"</f>
        <v>0% updates, key range [0, 2*10^9)</v>
      </c>
      <c r="AW67" t="str">
        <f t="shared" ref="AW67:AW130" si="3">MID(AU67,2,FIND("m",AU67)-2)</f>
        <v>33248</v>
      </c>
    </row>
    <row r="68" spans="1:49">
      <c r="A68" t="s">
        <v>150</v>
      </c>
      <c r="B68" t="s">
        <v>74</v>
      </c>
      <c r="C68">
        <v>208</v>
      </c>
      <c r="D68" t="s">
        <v>73</v>
      </c>
      <c r="E68" t="s">
        <v>68</v>
      </c>
      <c r="F68" t="s">
        <v>69</v>
      </c>
      <c r="G68">
        <v>30000</v>
      </c>
      <c r="H68">
        <v>0</v>
      </c>
      <c r="I68">
        <v>0</v>
      </c>
      <c r="J68">
        <v>0</v>
      </c>
      <c r="K68">
        <v>1</v>
      </c>
      <c r="L68">
        <v>2000000000</v>
      </c>
      <c r="M68">
        <v>48</v>
      </c>
      <c r="N68">
        <v>48</v>
      </c>
      <c r="O68">
        <v>48</v>
      </c>
      <c r="P68">
        <v>0</v>
      </c>
      <c r="Q68" t="s">
        <v>70</v>
      </c>
      <c r="R68">
        <v>1.00000308482518E+18</v>
      </c>
      <c r="S68">
        <v>1000000000</v>
      </c>
      <c r="V68" t="s">
        <v>83</v>
      </c>
      <c r="W68">
        <v>12</v>
      </c>
      <c r="X68">
        <v>18539886</v>
      </c>
      <c r="Y68">
        <v>127579055</v>
      </c>
      <c r="Z68">
        <v>146118941</v>
      </c>
      <c r="AA68">
        <v>1000000000</v>
      </c>
      <c r="AB68">
        <v>7.8813300000000002</v>
      </c>
      <c r="AC68">
        <v>7.8382800000000001</v>
      </c>
      <c r="AD68">
        <v>7.8437400000000004</v>
      </c>
      <c r="AE68">
        <v>11</v>
      </c>
      <c r="AF68">
        <v>733980406</v>
      </c>
      <c r="AG68">
        <v>0</v>
      </c>
      <c r="AH68">
        <v>0</v>
      </c>
      <c r="AI68">
        <v>733980406</v>
      </c>
      <c r="AJ68">
        <v>733980406</v>
      </c>
      <c r="AK68">
        <v>24466013</v>
      </c>
      <c r="AL68">
        <v>0</v>
      </c>
      <c r="AM68">
        <v>0</v>
      </c>
      <c r="AN68">
        <v>24466013</v>
      </c>
      <c r="AO68">
        <v>24466013</v>
      </c>
      <c r="AQ68">
        <v>30.11</v>
      </c>
      <c r="AR68">
        <v>17.0657</v>
      </c>
      <c r="AS68">
        <v>5461.75</v>
      </c>
      <c r="AU68" t="s">
        <v>414</v>
      </c>
      <c r="AV68" t="str">
        <f t="shared" si="2"/>
        <v>0% updates, key range [0, 2*10^9)</v>
      </c>
      <c r="AW68" t="str">
        <f t="shared" si="3"/>
        <v>33337</v>
      </c>
    </row>
    <row r="69" spans="1:49">
      <c r="A69" t="s">
        <v>151</v>
      </c>
      <c r="B69" t="s">
        <v>74</v>
      </c>
      <c r="C69">
        <v>208</v>
      </c>
      <c r="D69" t="s">
        <v>73</v>
      </c>
      <c r="E69" t="s">
        <v>68</v>
      </c>
      <c r="F69" t="s">
        <v>69</v>
      </c>
      <c r="G69">
        <v>30000</v>
      </c>
      <c r="H69">
        <v>0</v>
      </c>
      <c r="I69">
        <v>0</v>
      </c>
      <c r="J69">
        <v>0</v>
      </c>
      <c r="K69">
        <v>1</v>
      </c>
      <c r="L69">
        <v>2000000000</v>
      </c>
      <c r="M69">
        <v>96</v>
      </c>
      <c r="N69">
        <v>96</v>
      </c>
      <c r="O69">
        <v>96</v>
      </c>
      <c r="P69">
        <v>0</v>
      </c>
      <c r="Q69" t="s">
        <v>70</v>
      </c>
      <c r="R69">
        <v>1.00000341860033E+18</v>
      </c>
      <c r="S69">
        <v>1000000000</v>
      </c>
      <c r="V69" t="s">
        <v>83</v>
      </c>
      <c r="W69">
        <v>12</v>
      </c>
      <c r="X69">
        <v>18538657</v>
      </c>
      <c r="Y69">
        <v>127573919</v>
      </c>
      <c r="Z69">
        <v>146112576</v>
      </c>
      <c r="AA69">
        <v>1000000000</v>
      </c>
      <c r="AB69">
        <v>7.8815099999999996</v>
      </c>
      <c r="AC69">
        <v>7.8385899999999999</v>
      </c>
      <c r="AD69">
        <v>7.8440399999999997</v>
      </c>
      <c r="AE69">
        <v>11</v>
      </c>
      <c r="AF69">
        <v>1475823186</v>
      </c>
      <c r="AG69">
        <v>0</v>
      </c>
      <c r="AH69">
        <v>0</v>
      </c>
      <c r="AI69">
        <v>1475823186</v>
      </c>
      <c r="AJ69">
        <v>1475823186</v>
      </c>
      <c r="AK69">
        <v>49194106</v>
      </c>
      <c r="AL69">
        <v>0</v>
      </c>
      <c r="AM69">
        <v>0</v>
      </c>
      <c r="AN69">
        <v>49194106</v>
      </c>
      <c r="AO69">
        <v>49194106</v>
      </c>
      <c r="AQ69">
        <v>30.2485</v>
      </c>
      <c r="AR69">
        <v>17.4788</v>
      </c>
      <c r="AS69">
        <v>5433.13</v>
      </c>
      <c r="AU69" t="s">
        <v>415</v>
      </c>
      <c r="AV69" t="str">
        <f t="shared" si="2"/>
        <v>0% updates, key range [0, 2*10^9)</v>
      </c>
      <c r="AW69" t="str">
        <f t="shared" si="3"/>
        <v>33579</v>
      </c>
    </row>
    <row r="70" spans="1:49">
      <c r="A70" t="s">
        <v>152</v>
      </c>
      <c r="B70" t="s">
        <v>74</v>
      </c>
      <c r="C70">
        <v>208</v>
      </c>
      <c r="D70" t="s">
        <v>73</v>
      </c>
      <c r="E70" t="s">
        <v>68</v>
      </c>
      <c r="F70" t="s">
        <v>69</v>
      </c>
      <c r="G70">
        <v>30000</v>
      </c>
      <c r="H70">
        <v>0</v>
      </c>
      <c r="I70">
        <v>0</v>
      </c>
      <c r="J70">
        <v>0</v>
      </c>
      <c r="K70">
        <v>1</v>
      </c>
      <c r="L70">
        <v>2000000000</v>
      </c>
      <c r="M70">
        <v>144</v>
      </c>
      <c r="N70">
        <v>144</v>
      </c>
      <c r="O70">
        <v>144</v>
      </c>
      <c r="P70">
        <v>0</v>
      </c>
      <c r="Q70" t="s">
        <v>70</v>
      </c>
      <c r="R70">
        <v>9.99998639860944E+17</v>
      </c>
      <c r="S70">
        <v>1000000000</v>
      </c>
      <c r="V70" t="s">
        <v>83</v>
      </c>
      <c r="W70">
        <v>12</v>
      </c>
      <c r="X70">
        <v>18538753</v>
      </c>
      <c r="Y70">
        <v>127575086</v>
      </c>
      <c r="Z70">
        <v>146113839</v>
      </c>
      <c r="AA70">
        <v>1000000000</v>
      </c>
      <c r="AB70">
        <v>7.8815400000000002</v>
      </c>
      <c r="AC70">
        <v>7.8385199999999999</v>
      </c>
      <c r="AD70">
        <v>7.8439800000000002</v>
      </c>
      <c r="AE70">
        <v>11</v>
      </c>
      <c r="AF70">
        <v>2204984995</v>
      </c>
      <c r="AG70">
        <v>0</v>
      </c>
      <c r="AH70">
        <v>0</v>
      </c>
      <c r="AI70">
        <v>2204984995</v>
      </c>
      <c r="AJ70">
        <v>2204984995</v>
      </c>
      <c r="AK70">
        <v>73499499</v>
      </c>
      <c r="AL70">
        <v>0</v>
      </c>
      <c r="AM70">
        <v>0</v>
      </c>
      <c r="AN70">
        <v>73499499</v>
      </c>
      <c r="AO70">
        <v>73499499</v>
      </c>
      <c r="AQ70">
        <v>30.436499999999999</v>
      </c>
      <c r="AR70">
        <v>17.637</v>
      </c>
      <c r="AS70">
        <v>5451.48</v>
      </c>
      <c r="AU70" t="s">
        <v>416</v>
      </c>
      <c r="AV70" t="str">
        <f t="shared" si="2"/>
        <v>0% updates, key range [0, 2*10^9)</v>
      </c>
      <c r="AW70" t="str">
        <f t="shared" si="3"/>
        <v>33815</v>
      </c>
    </row>
    <row r="71" spans="1:49">
      <c r="A71" t="s">
        <v>153</v>
      </c>
      <c r="B71" t="s">
        <v>74</v>
      </c>
      <c r="C71">
        <v>208</v>
      </c>
      <c r="D71" t="s">
        <v>73</v>
      </c>
      <c r="E71" t="s">
        <v>68</v>
      </c>
      <c r="F71" t="s">
        <v>69</v>
      </c>
      <c r="G71">
        <v>30000</v>
      </c>
      <c r="H71">
        <v>0</v>
      </c>
      <c r="I71">
        <v>0</v>
      </c>
      <c r="J71">
        <v>0</v>
      </c>
      <c r="K71">
        <v>1</v>
      </c>
      <c r="L71">
        <v>2000000000</v>
      </c>
      <c r="M71">
        <v>190</v>
      </c>
      <c r="N71">
        <v>190</v>
      </c>
      <c r="O71">
        <v>190</v>
      </c>
      <c r="P71">
        <v>0</v>
      </c>
      <c r="Q71" t="s">
        <v>70</v>
      </c>
      <c r="R71">
        <v>9.9999295131882394E+17</v>
      </c>
      <c r="S71">
        <v>1000000000</v>
      </c>
      <c r="V71" t="s">
        <v>83</v>
      </c>
      <c r="W71">
        <v>12</v>
      </c>
      <c r="X71">
        <v>18539516</v>
      </c>
      <c r="Y71">
        <v>127571393</v>
      </c>
      <c r="Z71">
        <v>146110909</v>
      </c>
      <c r="AA71">
        <v>1000000000</v>
      </c>
      <c r="AB71">
        <v>7.8810500000000001</v>
      </c>
      <c r="AC71">
        <v>7.8387500000000001</v>
      </c>
      <c r="AD71">
        <v>7.8441200000000002</v>
      </c>
      <c r="AE71">
        <v>11</v>
      </c>
      <c r="AF71">
        <v>2902156933</v>
      </c>
      <c r="AG71">
        <v>0</v>
      </c>
      <c r="AH71">
        <v>0</v>
      </c>
      <c r="AI71">
        <v>2902156933</v>
      </c>
      <c r="AJ71">
        <v>2902156933</v>
      </c>
      <c r="AK71">
        <v>96738564</v>
      </c>
      <c r="AL71">
        <v>0</v>
      </c>
      <c r="AM71">
        <v>0</v>
      </c>
      <c r="AN71">
        <v>96738564</v>
      </c>
      <c r="AO71">
        <v>96738564</v>
      </c>
      <c r="AQ71">
        <v>30.547699999999999</v>
      </c>
      <c r="AR71">
        <v>17.7651</v>
      </c>
      <c r="AS71">
        <v>5465.91</v>
      </c>
      <c r="AU71" t="s">
        <v>417</v>
      </c>
      <c r="AV71" t="str">
        <f t="shared" si="2"/>
        <v>0% updates, key range [0, 2*10^9)</v>
      </c>
      <c r="AW71" t="str">
        <f t="shared" si="3"/>
        <v>34099</v>
      </c>
    </row>
    <row r="72" spans="1:49">
      <c r="A72" t="s">
        <v>154</v>
      </c>
      <c r="B72" t="s">
        <v>75</v>
      </c>
      <c r="D72" t="s">
        <v>73</v>
      </c>
      <c r="E72" t="s">
        <v>68</v>
      </c>
      <c r="F72" t="s">
        <v>69</v>
      </c>
      <c r="G72">
        <v>30000</v>
      </c>
      <c r="H72">
        <v>0</v>
      </c>
      <c r="I72">
        <v>0</v>
      </c>
      <c r="J72">
        <v>0</v>
      </c>
      <c r="K72">
        <v>1</v>
      </c>
      <c r="L72">
        <v>2000000000</v>
      </c>
      <c r="M72">
        <v>24</v>
      </c>
      <c r="N72">
        <v>24</v>
      </c>
      <c r="O72">
        <v>24</v>
      </c>
      <c r="P72">
        <v>0</v>
      </c>
      <c r="Q72" t="s">
        <v>70</v>
      </c>
      <c r="AU72" t="s">
        <v>418</v>
      </c>
      <c r="AV72" t="str">
        <f t="shared" si="2"/>
        <v>0% updates, key range [0, 2*10^9)</v>
      </c>
      <c r="AW72" t="str">
        <f>MID(AU72,2,FIND("m",AU72)-2)</f>
        <v/>
      </c>
    </row>
    <row r="73" spans="1:49">
      <c r="A73" t="s">
        <v>155</v>
      </c>
      <c r="B73" t="s">
        <v>75</v>
      </c>
      <c r="D73" t="s">
        <v>73</v>
      </c>
      <c r="E73" t="s">
        <v>68</v>
      </c>
      <c r="F73" t="s">
        <v>69</v>
      </c>
      <c r="G73">
        <v>30000</v>
      </c>
      <c r="H73">
        <v>0</v>
      </c>
      <c r="I73">
        <v>0</v>
      </c>
      <c r="J73">
        <v>0</v>
      </c>
      <c r="K73">
        <v>1</v>
      </c>
      <c r="L73">
        <v>2000000000</v>
      </c>
      <c r="M73">
        <v>48</v>
      </c>
      <c r="N73">
        <v>48</v>
      </c>
      <c r="O73">
        <v>48</v>
      </c>
      <c r="P73">
        <v>0</v>
      </c>
      <c r="Q73" t="s">
        <v>70</v>
      </c>
      <c r="R73">
        <v>1.00001000839943E+18</v>
      </c>
      <c r="S73">
        <v>1000000000</v>
      </c>
      <c r="V73" t="s">
        <v>83</v>
      </c>
      <c r="W73">
        <v>37</v>
      </c>
      <c r="X73">
        <v>571420105</v>
      </c>
      <c r="Y73">
        <v>428579896</v>
      </c>
      <c r="Z73">
        <v>1000000001</v>
      </c>
      <c r="AA73">
        <v>1000000000</v>
      </c>
      <c r="AB73">
        <v>1.75003</v>
      </c>
      <c r="AC73">
        <v>2.3332899999999999</v>
      </c>
      <c r="AD73">
        <v>2</v>
      </c>
      <c r="AE73">
        <v>29.523599999999998</v>
      </c>
      <c r="AF73">
        <v>343482625</v>
      </c>
      <c r="AG73">
        <v>0</v>
      </c>
      <c r="AH73">
        <v>0</v>
      </c>
      <c r="AI73">
        <v>343482625</v>
      </c>
      <c r="AJ73">
        <v>343482625</v>
      </c>
      <c r="AK73">
        <v>11449420</v>
      </c>
      <c r="AL73">
        <v>0</v>
      </c>
      <c r="AM73">
        <v>0</v>
      </c>
      <c r="AN73">
        <v>11449420</v>
      </c>
      <c r="AO73">
        <v>11449420</v>
      </c>
      <c r="AQ73">
        <v>54.750999999999998</v>
      </c>
      <c r="AR73">
        <v>30.932300000000001</v>
      </c>
      <c r="AS73">
        <v>11674.6</v>
      </c>
      <c r="AU73" t="s">
        <v>419</v>
      </c>
      <c r="AV73" t="str">
        <f t="shared" si="2"/>
        <v>0% updates, key range [0, 2*10^9)</v>
      </c>
      <c r="AW73" t="str">
        <f t="shared" si="3"/>
        <v>65651</v>
      </c>
    </row>
    <row r="74" spans="1:49">
      <c r="A74" t="s">
        <v>156</v>
      </c>
      <c r="B74" t="s">
        <v>75</v>
      </c>
      <c r="D74" t="s">
        <v>73</v>
      </c>
      <c r="E74" t="s">
        <v>68</v>
      </c>
      <c r="F74" t="s">
        <v>69</v>
      </c>
      <c r="G74">
        <v>30000</v>
      </c>
      <c r="H74">
        <v>0</v>
      </c>
      <c r="I74">
        <v>0</v>
      </c>
      <c r="J74">
        <v>0</v>
      </c>
      <c r="K74">
        <v>1</v>
      </c>
      <c r="L74">
        <v>2000000000</v>
      </c>
      <c r="M74">
        <v>96</v>
      </c>
      <c r="N74">
        <v>96</v>
      </c>
      <c r="O74">
        <v>96</v>
      </c>
      <c r="P74">
        <v>0</v>
      </c>
      <c r="Q74" t="s">
        <v>70</v>
      </c>
      <c r="R74">
        <v>9.99989481114064E+17</v>
      </c>
      <c r="S74">
        <v>1000000000</v>
      </c>
      <c r="V74" t="s">
        <v>83</v>
      </c>
      <c r="W74">
        <v>37</v>
      </c>
      <c r="X74">
        <v>571421200</v>
      </c>
      <c r="Y74">
        <v>428578801</v>
      </c>
      <c r="Z74">
        <v>1000000001</v>
      </c>
      <c r="AA74">
        <v>1000000000</v>
      </c>
      <c r="AB74">
        <v>1.7500199999999999</v>
      </c>
      <c r="AC74">
        <v>2.3332899999999999</v>
      </c>
      <c r="AD74">
        <v>2</v>
      </c>
      <c r="AE74">
        <v>29.432099999999998</v>
      </c>
      <c r="AF74">
        <v>690818823</v>
      </c>
      <c r="AG74">
        <v>0</v>
      </c>
      <c r="AH74">
        <v>0</v>
      </c>
      <c r="AI74">
        <v>690818823</v>
      </c>
      <c r="AJ74">
        <v>690818823</v>
      </c>
      <c r="AK74">
        <v>23027294</v>
      </c>
      <c r="AL74">
        <v>0</v>
      </c>
      <c r="AM74">
        <v>0</v>
      </c>
      <c r="AN74">
        <v>23027294</v>
      </c>
      <c r="AO74">
        <v>23027294</v>
      </c>
      <c r="AQ74">
        <v>54.818800000000003</v>
      </c>
      <c r="AR74">
        <v>31.2136</v>
      </c>
      <c r="AS74">
        <v>11613.8</v>
      </c>
      <c r="AU74" t="s">
        <v>420</v>
      </c>
      <c r="AV74" t="str">
        <f t="shared" si="2"/>
        <v>0% updates, key range [0, 2*10^9)</v>
      </c>
      <c r="AW74" t="str">
        <f t="shared" si="3"/>
        <v>65666</v>
      </c>
    </row>
    <row r="75" spans="1:49">
      <c r="A75" t="s">
        <v>157</v>
      </c>
      <c r="B75" t="s">
        <v>75</v>
      </c>
      <c r="D75" t="s">
        <v>73</v>
      </c>
      <c r="E75" t="s">
        <v>68</v>
      </c>
      <c r="F75" t="s">
        <v>69</v>
      </c>
      <c r="G75">
        <v>30000</v>
      </c>
      <c r="H75">
        <v>0</v>
      </c>
      <c r="I75">
        <v>0</v>
      </c>
      <c r="J75">
        <v>0</v>
      </c>
      <c r="K75">
        <v>1</v>
      </c>
      <c r="L75">
        <v>2000000000</v>
      </c>
      <c r="M75">
        <v>144</v>
      </c>
      <c r="N75">
        <v>144</v>
      </c>
      <c r="O75">
        <v>144</v>
      </c>
      <c r="P75">
        <v>0</v>
      </c>
      <c r="Q75" t="s">
        <v>70</v>
      </c>
      <c r="R75">
        <v>9.9998895627833702E+17</v>
      </c>
      <c r="S75">
        <v>1000000000</v>
      </c>
      <c r="V75" t="s">
        <v>83</v>
      </c>
      <c r="W75">
        <v>36</v>
      </c>
      <c r="X75">
        <v>571436858</v>
      </c>
      <c r="Y75">
        <v>428563143</v>
      </c>
      <c r="Z75">
        <v>1000000001</v>
      </c>
      <c r="AA75">
        <v>1000000000</v>
      </c>
      <c r="AB75">
        <v>1.74997</v>
      </c>
      <c r="AC75">
        <v>2.33338</v>
      </c>
      <c r="AD75">
        <v>2</v>
      </c>
      <c r="AE75">
        <v>29.4194</v>
      </c>
      <c r="AF75">
        <v>1025626930</v>
      </c>
      <c r="AG75">
        <v>0</v>
      </c>
      <c r="AH75">
        <v>0</v>
      </c>
      <c r="AI75">
        <v>1025626930</v>
      </c>
      <c r="AJ75">
        <v>1025626930</v>
      </c>
      <c r="AK75">
        <v>34187564</v>
      </c>
      <c r="AL75">
        <v>0</v>
      </c>
      <c r="AM75">
        <v>0</v>
      </c>
      <c r="AN75">
        <v>34187564</v>
      </c>
      <c r="AO75">
        <v>34187564</v>
      </c>
      <c r="AQ75">
        <v>56.1312</v>
      </c>
      <c r="AR75">
        <v>31.3795</v>
      </c>
      <c r="AS75">
        <v>11731.3</v>
      </c>
      <c r="AU75" t="s">
        <v>421</v>
      </c>
      <c r="AV75" t="str">
        <f t="shared" si="2"/>
        <v>0% updates, key range [0, 2*10^9)</v>
      </c>
      <c r="AW75" t="str">
        <f t="shared" si="3"/>
        <v>65680</v>
      </c>
    </row>
    <row r="76" spans="1:49">
      <c r="A76" t="s">
        <v>158</v>
      </c>
      <c r="B76" t="s">
        <v>75</v>
      </c>
      <c r="D76" t="s">
        <v>73</v>
      </c>
      <c r="E76" t="s">
        <v>68</v>
      </c>
      <c r="F76" t="s">
        <v>69</v>
      </c>
      <c r="G76">
        <v>30000</v>
      </c>
      <c r="H76">
        <v>0</v>
      </c>
      <c r="I76">
        <v>0</v>
      </c>
      <c r="J76">
        <v>0</v>
      </c>
      <c r="K76">
        <v>1</v>
      </c>
      <c r="L76">
        <v>2000000000</v>
      </c>
      <c r="M76">
        <v>190</v>
      </c>
      <c r="N76">
        <v>190</v>
      </c>
      <c r="O76">
        <v>190</v>
      </c>
      <c r="P76">
        <v>0</v>
      </c>
      <c r="Q76" t="s">
        <v>70</v>
      </c>
      <c r="R76">
        <v>1.00000735703777E+18</v>
      </c>
      <c r="S76">
        <v>1000000000</v>
      </c>
      <c r="V76" t="s">
        <v>83</v>
      </c>
      <c r="W76">
        <v>37</v>
      </c>
      <c r="X76">
        <v>571426408</v>
      </c>
      <c r="Y76">
        <v>428573593</v>
      </c>
      <c r="Z76">
        <v>1000000001</v>
      </c>
      <c r="AA76">
        <v>1000000000</v>
      </c>
      <c r="AB76">
        <v>1.7500100000000001</v>
      </c>
      <c r="AC76">
        <v>2.3333200000000001</v>
      </c>
      <c r="AD76">
        <v>2</v>
      </c>
      <c r="AE76">
        <v>29.438199999999998</v>
      </c>
      <c r="AF76">
        <v>1358776279</v>
      </c>
      <c r="AG76">
        <v>0</v>
      </c>
      <c r="AH76">
        <v>0</v>
      </c>
      <c r="AI76">
        <v>1358776279</v>
      </c>
      <c r="AJ76">
        <v>1358776279</v>
      </c>
      <c r="AK76">
        <v>45292542</v>
      </c>
      <c r="AL76">
        <v>0</v>
      </c>
      <c r="AM76">
        <v>0</v>
      </c>
      <c r="AN76">
        <v>45292542</v>
      </c>
      <c r="AO76">
        <v>45292542</v>
      </c>
      <c r="AQ76">
        <v>55.1629</v>
      </c>
      <c r="AR76">
        <v>31.495899999999999</v>
      </c>
      <c r="AS76">
        <v>11680.7</v>
      </c>
      <c r="AU76" t="s">
        <v>422</v>
      </c>
      <c r="AV76" t="str">
        <f t="shared" si="2"/>
        <v>0% updates, key range [0, 2*10^9)</v>
      </c>
      <c r="AW76" t="str">
        <f t="shared" si="3"/>
        <v>65690</v>
      </c>
    </row>
    <row r="77" spans="1:49">
      <c r="A77" t="s">
        <v>159</v>
      </c>
      <c r="B77" t="s">
        <v>76</v>
      </c>
      <c r="D77" t="s">
        <v>73</v>
      </c>
      <c r="E77" t="s">
        <v>68</v>
      </c>
      <c r="F77" t="s">
        <v>69</v>
      </c>
      <c r="G77">
        <v>30000</v>
      </c>
      <c r="H77">
        <v>0</v>
      </c>
      <c r="I77">
        <v>0</v>
      </c>
      <c r="J77">
        <v>0</v>
      </c>
      <c r="K77">
        <v>1</v>
      </c>
      <c r="L77">
        <v>2000000000</v>
      </c>
      <c r="M77">
        <v>24</v>
      </c>
      <c r="N77">
        <v>24</v>
      </c>
      <c r="O77">
        <v>24</v>
      </c>
      <c r="P77">
        <v>0</v>
      </c>
      <c r="Q77" t="s">
        <v>70</v>
      </c>
      <c r="AU77" t="s">
        <v>418</v>
      </c>
      <c r="AV77" t="str">
        <f t="shared" si="2"/>
        <v>0% updates, key range [0, 2*10^9)</v>
      </c>
      <c r="AW77" t="str">
        <f t="shared" si="3"/>
        <v/>
      </c>
    </row>
    <row r="78" spans="1:49">
      <c r="A78" t="s">
        <v>160</v>
      </c>
      <c r="B78" t="s">
        <v>76</v>
      </c>
      <c r="D78" t="s">
        <v>73</v>
      </c>
      <c r="E78" t="s">
        <v>68</v>
      </c>
      <c r="F78" t="s">
        <v>69</v>
      </c>
      <c r="G78">
        <v>30000</v>
      </c>
      <c r="H78">
        <v>0</v>
      </c>
      <c r="I78">
        <v>0</v>
      </c>
      <c r="J78">
        <v>0</v>
      </c>
      <c r="K78">
        <v>1</v>
      </c>
      <c r="L78">
        <v>2000000000</v>
      </c>
      <c r="M78">
        <v>48</v>
      </c>
      <c r="N78">
        <v>48</v>
      </c>
      <c r="O78">
        <v>48</v>
      </c>
      <c r="P78">
        <v>0</v>
      </c>
      <c r="Q78" t="s">
        <v>70</v>
      </c>
      <c r="R78">
        <v>1.00000876736266E+18</v>
      </c>
      <c r="S78">
        <v>1000000000</v>
      </c>
      <c r="V78" t="s">
        <v>83</v>
      </c>
      <c r="W78">
        <v>80</v>
      </c>
      <c r="X78">
        <v>999999999</v>
      </c>
      <c r="Y78">
        <v>1000000000</v>
      </c>
      <c r="Z78">
        <v>1999999999</v>
      </c>
      <c r="AA78">
        <v>1000000000</v>
      </c>
      <c r="AB78">
        <v>2</v>
      </c>
      <c r="AC78">
        <v>1</v>
      </c>
      <c r="AD78">
        <v>1.5</v>
      </c>
      <c r="AE78">
        <v>40.976700000000001</v>
      </c>
      <c r="AF78">
        <v>285596652</v>
      </c>
      <c r="AG78">
        <v>0</v>
      </c>
      <c r="AH78">
        <v>0</v>
      </c>
      <c r="AI78">
        <v>285596652</v>
      </c>
      <c r="AJ78">
        <v>285596652</v>
      </c>
      <c r="AK78">
        <v>9519888</v>
      </c>
      <c r="AL78">
        <v>0</v>
      </c>
      <c r="AM78">
        <v>0</v>
      </c>
      <c r="AN78">
        <v>9519888</v>
      </c>
      <c r="AO78">
        <v>9519888</v>
      </c>
      <c r="AQ78">
        <v>53.813499999999998</v>
      </c>
      <c r="AR78">
        <v>31.359300000000001</v>
      </c>
      <c r="AS78">
        <v>14045.1</v>
      </c>
      <c r="AU78" t="s">
        <v>419</v>
      </c>
      <c r="AV78" t="str">
        <f t="shared" si="2"/>
        <v>0% updates, key range [0, 2*10^9)</v>
      </c>
      <c r="AW78" t="str">
        <f t="shared" si="3"/>
        <v>65651</v>
      </c>
    </row>
    <row r="79" spans="1:49">
      <c r="A79" t="s">
        <v>161</v>
      </c>
      <c r="B79" t="s">
        <v>76</v>
      </c>
      <c r="D79" t="s">
        <v>73</v>
      </c>
      <c r="E79" t="s">
        <v>68</v>
      </c>
      <c r="F79" t="s">
        <v>69</v>
      </c>
      <c r="G79">
        <v>30000</v>
      </c>
      <c r="H79">
        <v>0</v>
      </c>
      <c r="I79">
        <v>0</v>
      </c>
      <c r="J79">
        <v>0</v>
      </c>
      <c r="K79">
        <v>1</v>
      </c>
      <c r="L79">
        <v>2000000000</v>
      </c>
      <c r="M79">
        <v>96</v>
      </c>
      <c r="N79">
        <v>96</v>
      </c>
      <c r="O79">
        <v>96</v>
      </c>
      <c r="P79">
        <v>0</v>
      </c>
      <c r="Q79" t="s">
        <v>70</v>
      </c>
      <c r="R79">
        <v>1.0000088238333E+18</v>
      </c>
      <c r="S79">
        <v>1000000000</v>
      </c>
      <c r="V79" t="s">
        <v>83</v>
      </c>
      <c r="W79">
        <v>83</v>
      </c>
      <c r="X79">
        <v>999999999</v>
      </c>
      <c r="Y79">
        <v>1000000000</v>
      </c>
      <c r="Z79">
        <v>1999999999</v>
      </c>
      <c r="AA79">
        <v>1000000000</v>
      </c>
      <c r="AB79">
        <v>2</v>
      </c>
      <c r="AC79">
        <v>1</v>
      </c>
      <c r="AD79">
        <v>1.5</v>
      </c>
      <c r="AE79">
        <v>40.524299999999997</v>
      </c>
      <c r="AF79">
        <v>577344689</v>
      </c>
      <c r="AG79">
        <v>0</v>
      </c>
      <c r="AH79">
        <v>0</v>
      </c>
      <c r="AI79">
        <v>577344689</v>
      </c>
      <c r="AJ79">
        <v>577344689</v>
      </c>
      <c r="AK79">
        <v>19244822</v>
      </c>
      <c r="AL79">
        <v>0</v>
      </c>
      <c r="AM79">
        <v>0</v>
      </c>
      <c r="AN79">
        <v>19244822</v>
      </c>
      <c r="AO79">
        <v>19244822</v>
      </c>
      <c r="AQ79">
        <v>53.959400000000002</v>
      </c>
      <c r="AR79">
        <v>31.444500000000001</v>
      </c>
      <c r="AS79">
        <v>13898.7</v>
      </c>
      <c r="AU79" t="s">
        <v>423</v>
      </c>
      <c r="AV79" t="str">
        <f t="shared" si="2"/>
        <v>0% updates, key range [0, 2*10^9)</v>
      </c>
      <c r="AW79" t="str">
        <f t="shared" si="3"/>
        <v>65665</v>
      </c>
    </row>
    <row r="80" spans="1:49">
      <c r="A80" t="s">
        <v>162</v>
      </c>
      <c r="B80" t="s">
        <v>76</v>
      </c>
      <c r="D80" t="s">
        <v>73</v>
      </c>
      <c r="E80" t="s">
        <v>68</v>
      </c>
      <c r="F80" t="s">
        <v>69</v>
      </c>
      <c r="G80">
        <v>30000</v>
      </c>
      <c r="H80">
        <v>0</v>
      </c>
      <c r="I80">
        <v>0</v>
      </c>
      <c r="J80">
        <v>0</v>
      </c>
      <c r="K80">
        <v>1</v>
      </c>
      <c r="L80">
        <v>2000000000</v>
      </c>
      <c r="M80">
        <v>144</v>
      </c>
      <c r="N80">
        <v>144</v>
      </c>
      <c r="O80">
        <v>144</v>
      </c>
      <c r="P80">
        <v>0</v>
      </c>
      <c r="Q80" t="s">
        <v>70</v>
      </c>
      <c r="R80">
        <v>1.0000003213265E+18</v>
      </c>
      <c r="S80">
        <v>1000000000</v>
      </c>
      <c r="V80" t="s">
        <v>83</v>
      </c>
      <c r="W80">
        <v>81</v>
      </c>
      <c r="X80">
        <v>999999999</v>
      </c>
      <c r="Y80">
        <v>1000000000</v>
      </c>
      <c r="Z80">
        <v>1999999999</v>
      </c>
      <c r="AA80">
        <v>1000000000</v>
      </c>
      <c r="AB80">
        <v>2</v>
      </c>
      <c r="AC80">
        <v>1</v>
      </c>
      <c r="AD80">
        <v>1.5</v>
      </c>
      <c r="AE80">
        <v>39.830199999999998</v>
      </c>
      <c r="AF80">
        <v>865427792</v>
      </c>
      <c r="AG80">
        <v>0</v>
      </c>
      <c r="AH80">
        <v>0</v>
      </c>
      <c r="AI80">
        <v>865427792</v>
      </c>
      <c r="AJ80">
        <v>865427792</v>
      </c>
      <c r="AK80">
        <v>28847593</v>
      </c>
      <c r="AL80">
        <v>0</v>
      </c>
      <c r="AM80">
        <v>0</v>
      </c>
      <c r="AN80">
        <v>28847593</v>
      </c>
      <c r="AO80">
        <v>28847593</v>
      </c>
      <c r="AQ80">
        <v>53.976700000000001</v>
      </c>
      <c r="AR80">
        <v>31.492599999999999</v>
      </c>
      <c r="AS80">
        <v>13906.9</v>
      </c>
      <c r="AU80" t="s">
        <v>424</v>
      </c>
      <c r="AV80" t="str">
        <f t="shared" si="2"/>
        <v>0% updates, key range [0, 2*10^9)</v>
      </c>
      <c r="AW80" t="str">
        <f t="shared" si="3"/>
        <v>65677</v>
      </c>
    </row>
    <row r="81" spans="1:49">
      <c r="A81" t="s">
        <v>163</v>
      </c>
      <c r="B81" t="s">
        <v>76</v>
      </c>
      <c r="D81" t="s">
        <v>73</v>
      </c>
      <c r="E81" t="s">
        <v>68</v>
      </c>
      <c r="F81" t="s">
        <v>69</v>
      </c>
      <c r="G81">
        <v>30000</v>
      </c>
      <c r="H81">
        <v>0</v>
      </c>
      <c r="I81">
        <v>0</v>
      </c>
      <c r="J81">
        <v>0</v>
      </c>
      <c r="K81">
        <v>1</v>
      </c>
      <c r="L81">
        <v>2000000000</v>
      </c>
      <c r="M81">
        <v>190</v>
      </c>
      <c r="N81">
        <v>190</v>
      </c>
      <c r="O81">
        <v>190</v>
      </c>
      <c r="P81">
        <v>0</v>
      </c>
      <c r="Q81" t="s">
        <v>70</v>
      </c>
      <c r="R81">
        <v>1.00001979162281E+18</v>
      </c>
      <c r="S81">
        <v>1000000000</v>
      </c>
      <c r="V81" t="s">
        <v>83</v>
      </c>
      <c r="W81">
        <v>80</v>
      </c>
      <c r="X81">
        <v>999999999</v>
      </c>
      <c r="Y81">
        <v>1000000000</v>
      </c>
      <c r="Z81">
        <v>1999999999</v>
      </c>
      <c r="AA81">
        <v>1000000000</v>
      </c>
      <c r="AB81">
        <v>2</v>
      </c>
      <c r="AC81">
        <v>1</v>
      </c>
      <c r="AD81">
        <v>1.5</v>
      </c>
      <c r="AE81">
        <v>40.309800000000003</v>
      </c>
      <c r="AF81">
        <v>1145992213</v>
      </c>
      <c r="AG81">
        <v>0</v>
      </c>
      <c r="AH81">
        <v>0</v>
      </c>
      <c r="AI81">
        <v>1145992213</v>
      </c>
      <c r="AJ81">
        <v>1145992213</v>
      </c>
      <c r="AK81">
        <v>38199740</v>
      </c>
      <c r="AL81">
        <v>0</v>
      </c>
      <c r="AM81">
        <v>0</v>
      </c>
      <c r="AN81">
        <v>38199740</v>
      </c>
      <c r="AO81">
        <v>38199740</v>
      </c>
      <c r="AQ81">
        <v>54.038899999999998</v>
      </c>
      <c r="AR81">
        <v>31.548100000000002</v>
      </c>
      <c r="AS81">
        <v>13856.4</v>
      </c>
      <c r="AU81" t="s">
        <v>425</v>
      </c>
      <c r="AV81" t="str">
        <f t="shared" si="2"/>
        <v>0% updates, key range [0, 2*10^9)</v>
      </c>
      <c r="AW81" t="str">
        <f t="shared" si="3"/>
        <v>65687</v>
      </c>
    </row>
    <row r="82" spans="1:49">
      <c r="A82" t="s">
        <v>164</v>
      </c>
      <c r="B82" t="s">
        <v>72</v>
      </c>
      <c r="C82">
        <v>72</v>
      </c>
      <c r="D82" t="s">
        <v>73</v>
      </c>
      <c r="E82" t="s">
        <v>68</v>
      </c>
      <c r="F82" t="s">
        <v>69</v>
      </c>
      <c r="G82">
        <v>30000</v>
      </c>
      <c r="H82">
        <v>0.5</v>
      </c>
      <c r="I82">
        <v>0.5</v>
      </c>
      <c r="J82">
        <v>0</v>
      </c>
      <c r="K82">
        <v>1</v>
      </c>
      <c r="L82">
        <v>2000000</v>
      </c>
      <c r="M82">
        <v>24</v>
      </c>
      <c r="N82">
        <v>24</v>
      </c>
      <c r="O82">
        <v>24</v>
      </c>
      <c r="P82">
        <v>0</v>
      </c>
      <c r="Q82" t="s">
        <v>70</v>
      </c>
      <c r="R82">
        <v>1000041486617</v>
      </c>
      <c r="S82">
        <v>1000079</v>
      </c>
      <c r="V82" t="s">
        <v>83</v>
      </c>
      <c r="W82">
        <v>7</v>
      </c>
      <c r="X82">
        <v>79258</v>
      </c>
      <c r="Y82">
        <v>1129291</v>
      </c>
      <c r="Z82">
        <v>1208549</v>
      </c>
      <c r="AA82">
        <v>1000079</v>
      </c>
      <c r="AB82">
        <v>15.2483</v>
      </c>
      <c r="AC82">
        <v>0.88558099999999995</v>
      </c>
      <c r="AD82">
        <v>1.8274999999999999</v>
      </c>
      <c r="AE82">
        <v>3.1017000000000001</v>
      </c>
      <c r="AF82">
        <v>2315430214</v>
      </c>
      <c r="AG82">
        <v>0</v>
      </c>
      <c r="AH82">
        <v>23386621</v>
      </c>
      <c r="AI82">
        <v>2315430214</v>
      </c>
      <c r="AJ82">
        <v>2338816835</v>
      </c>
      <c r="AK82">
        <v>77181007</v>
      </c>
      <c r="AL82">
        <v>0</v>
      </c>
      <c r="AM82">
        <v>779554</v>
      </c>
      <c r="AN82">
        <v>77181007</v>
      </c>
      <c r="AO82">
        <v>77960561</v>
      </c>
      <c r="AQ82">
        <v>8.4996799999999997</v>
      </c>
      <c r="AR82">
        <v>9.2822199999999994E-2</v>
      </c>
      <c r="AS82">
        <v>857.93</v>
      </c>
      <c r="AU82" t="s">
        <v>426</v>
      </c>
      <c r="AV82" t="str">
        <f t="shared" si="2"/>
        <v>1% updates, key range [0, 2*10^6)</v>
      </c>
      <c r="AW82" t="str">
        <f t="shared" si="3"/>
        <v>1185</v>
      </c>
    </row>
    <row r="83" spans="1:49">
      <c r="A83" t="s">
        <v>165</v>
      </c>
      <c r="B83" t="s">
        <v>72</v>
      </c>
      <c r="C83">
        <v>72</v>
      </c>
      <c r="D83" t="s">
        <v>73</v>
      </c>
      <c r="E83" t="s">
        <v>68</v>
      </c>
      <c r="F83" t="s">
        <v>69</v>
      </c>
      <c r="G83">
        <v>30000</v>
      </c>
      <c r="H83">
        <v>0.5</v>
      </c>
      <c r="I83">
        <v>0.5</v>
      </c>
      <c r="J83">
        <v>0</v>
      </c>
      <c r="K83">
        <v>1</v>
      </c>
      <c r="L83">
        <v>2000000</v>
      </c>
      <c r="M83">
        <v>48</v>
      </c>
      <c r="N83">
        <v>48</v>
      </c>
      <c r="O83">
        <v>48</v>
      </c>
      <c r="P83">
        <v>0</v>
      </c>
      <c r="Q83" t="s">
        <v>70</v>
      </c>
      <c r="R83">
        <v>999013204588</v>
      </c>
      <c r="S83">
        <v>998854</v>
      </c>
      <c r="V83" t="s">
        <v>83</v>
      </c>
      <c r="W83">
        <v>6</v>
      </c>
      <c r="X83">
        <v>58775</v>
      </c>
      <c r="Y83">
        <v>1083320</v>
      </c>
      <c r="Z83">
        <v>1142095</v>
      </c>
      <c r="AA83">
        <v>998854</v>
      </c>
      <c r="AB83">
        <v>19.4316</v>
      </c>
      <c r="AC83">
        <v>0.92203000000000002</v>
      </c>
      <c r="AD83">
        <v>1.8745799999999999</v>
      </c>
      <c r="AE83">
        <v>3.0537700000000001</v>
      </c>
      <c r="AF83">
        <v>3326332621</v>
      </c>
      <c r="AG83">
        <v>0</v>
      </c>
      <c r="AH83">
        <v>33597525</v>
      </c>
      <c r="AI83">
        <v>3326332621</v>
      </c>
      <c r="AJ83">
        <v>3359930146</v>
      </c>
      <c r="AK83">
        <v>110877754</v>
      </c>
      <c r="AL83">
        <v>0</v>
      </c>
      <c r="AM83">
        <v>1119917</v>
      </c>
      <c r="AN83">
        <v>110877754</v>
      </c>
      <c r="AO83">
        <v>111997671</v>
      </c>
      <c r="AQ83">
        <v>8.3770299999999995</v>
      </c>
      <c r="AR83">
        <v>0.11286</v>
      </c>
      <c r="AS83">
        <v>1187.74</v>
      </c>
      <c r="AU83" t="s">
        <v>427</v>
      </c>
      <c r="AV83" t="str">
        <f t="shared" si="2"/>
        <v>1% updates, key range [0, 2*10^6)</v>
      </c>
      <c r="AW83" t="str">
        <f t="shared" si="3"/>
        <v>1213</v>
      </c>
    </row>
    <row r="84" spans="1:49">
      <c r="A84" t="s">
        <v>166</v>
      </c>
      <c r="B84" t="s">
        <v>72</v>
      </c>
      <c r="C84">
        <v>72</v>
      </c>
      <c r="D84" t="s">
        <v>73</v>
      </c>
      <c r="E84" t="s">
        <v>68</v>
      </c>
      <c r="F84" t="s">
        <v>69</v>
      </c>
      <c r="G84">
        <v>30000</v>
      </c>
      <c r="H84">
        <v>0.5</v>
      </c>
      <c r="I84">
        <v>0.5</v>
      </c>
      <c r="J84">
        <v>0</v>
      </c>
      <c r="K84">
        <v>1</v>
      </c>
      <c r="L84">
        <v>2000000</v>
      </c>
      <c r="M84">
        <v>96</v>
      </c>
      <c r="N84">
        <v>96</v>
      </c>
      <c r="O84">
        <v>96</v>
      </c>
      <c r="P84">
        <v>0</v>
      </c>
      <c r="Q84" t="s">
        <v>70</v>
      </c>
      <c r="R84">
        <v>999680147883</v>
      </c>
      <c r="S84">
        <v>999836</v>
      </c>
      <c r="V84" t="s">
        <v>83</v>
      </c>
      <c r="W84">
        <v>6</v>
      </c>
      <c r="X84">
        <v>41885</v>
      </c>
      <c r="Y84">
        <v>1049559</v>
      </c>
      <c r="Z84">
        <v>1091444</v>
      </c>
      <c r="AA84">
        <v>999836</v>
      </c>
      <c r="AB84">
        <v>26.0581</v>
      </c>
      <c r="AC84">
        <v>0.95262500000000006</v>
      </c>
      <c r="AD84">
        <v>1.9160699999999999</v>
      </c>
      <c r="AE84">
        <v>3.01803</v>
      </c>
      <c r="AF84">
        <v>6384033525</v>
      </c>
      <c r="AG84">
        <v>0</v>
      </c>
      <c r="AH84">
        <v>64492250</v>
      </c>
      <c r="AI84">
        <v>6384033525</v>
      </c>
      <c r="AJ84">
        <v>6448525775</v>
      </c>
      <c r="AK84">
        <v>212801117</v>
      </c>
      <c r="AL84">
        <v>0</v>
      </c>
      <c r="AM84">
        <v>2149741</v>
      </c>
      <c r="AN84">
        <v>212801117</v>
      </c>
      <c r="AO84">
        <v>214950859</v>
      </c>
      <c r="AQ84">
        <v>8.4195100000000007</v>
      </c>
      <c r="AR84">
        <v>0.24787400000000001</v>
      </c>
      <c r="AS84">
        <v>1232.58</v>
      </c>
      <c r="AU84" t="s">
        <v>428</v>
      </c>
      <c r="AV84" t="str">
        <f t="shared" si="2"/>
        <v>1% updates, key range [0, 2*10^6)</v>
      </c>
      <c r="AW84" t="str">
        <f t="shared" si="3"/>
        <v>1272</v>
      </c>
    </row>
    <row r="85" spans="1:49">
      <c r="A85" t="s">
        <v>167</v>
      </c>
      <c r="B85" t="s">
        <v>72</v>
      </c>
      <c r="C85">
        <v>72</v>
      </c>
      <c r="D85" t="s">
        <v>73</v>
      </c>
      <c r="E85" t="s">
        <v>68</v>
      </c>
      <c r="F85" t="s">
        <v>69</v>
      </c>
      <c r="G85">
        <v>30000</v>
      </c>
      <c r="H85">
        <v>0.5</v>
      </c>
      <c r="I85">
        <v>0.5</v>
      </c>
      <c r="J85">
        <v>0</v>
      </c>
      <c r="K85">
        <v>1</v>
      </c>
      <c r="L85">
        <v>2000000</v>
      </c>
      <c r="M85">
        <v>144</v>
      </c>
      <c r="N85">
        <v>144</v>
      </c>
      <c r="O85">
        <v>144</v>
      </c>
      <c r="P85">
        <v>0</v>
      </c>
      <c r="Q85" t="s">
        <v>70</v>
      </c>
      <c r="R85">
        <v>999080291463</v>
      </c>
      <c r="S85">
        <v>999095</v>
      </c>
      <c r="V85" t="s">
        <v>83</v>
      </c>
      <c r="W85">
        <v>6</v>
      </c>
      <c r="X85">
        <v>51431</v>
      </c>
      <c r="Y85">
        <v>1068462</v>
      </c>
      <c r="Z85">
        <v>1119893</v>
      </c>
      <c r="AA85">
        <v>999095</v>
      </c>
      <c r="AB85">
        <v>21.774699999999999</v>
      </c>
      <c r="AC85">
        <v>0.93507799999999996</v>
      </c>
      <c r="AD85">
        <v>1.8921300000000001</v>
      </c>
      <c r="AE85">
        <v>3.0382699999999998</v>
      </c>
      <c r="AF85">
        <v>9290437915</v>
      </c>
      <c r="AG85">
        <v>0</v>
      </c>
      <c r="AH85">
        <v>93831831</v>
      </c>
      <c r="AI85">
        <v>9290437915</v>
      </c>
      <c r="AJ85">
        <v>9384269746</v>
      </c>
      <c r="AK85">
        <v>309681263</v>
      </c>
      <c r="AL85">
        <v>0</v>
      </c>
      <c r="AM85">
        <v>3127727</v>
      </c>
      <c r="AN85">
        <v>309681263</v>
      </c>
      <c r="AO85">
        <v>312808991</v>
      </c>
      <c r="AQ85">
        <v>8.5419800000000006</v>
      </c>
      <c r="AR85">
        <v>0.35672199999999998</v>
      </c>
      <c r="AS85">
        <v>1240.22</v>
      </c>
      <c r="AU85" t="s">
        <v>429</v>
      </c>
      <c r="AV85" t="str">
        <f t="shared" si="2"/>
        <v>1% updates, key range [0, 2*10^6)</v>
      </c>
      <c r="AW85" t="str">
        <f t="shared" si="3"/>
        <v>1345</v>
      </c>
    </row>
    <row r="86" spans="1:49">
      <c r="A86" t="s">
        <v>168</v>
      </c>
      <c r="B86" t="s">
        <v>72</v>
      </c>
      <c r="C86">
        <v>72</v>
      </c>
      <c r="D86" t="s">
        <v>73</v>
      </c>
      <c r="E86" t="s">
        <v>68</v>
      </c>
      <c r="F86" t="s">
        <v>69</v>
      </c>
      <c r="G86">
        <v>30000</v>
      </c>
      <c r="H86">
        <v>0.5</v>
      </c>
      <c r="I86">
        <v>0.5</v>
      </c>
      <c r="J86">
        <v>0</v>
      </c>
      <c r="K86">
        <v>1</v>
      </c>
      <c r="L86">
        <v>2000000</v>
      </c>
      <c r="M86">
        <v>190</v>
      </c>
      <c r="N86">
        <v>190</v>
      </c>
      <c r="O86">
        <v>190</v>
      </c>
      <c r="P86">
        <v>0</v>
      </c>
      <c r="Q86" t="s">
        <v>70</v>
      </c>
      <c r="R86">
        <v>999639487470</v>
      </c>
      <c r="S86">
        <v>999820</v>
      </c>
      <c r="V86" t="s">
        <v>83</v>
      </c>
      <c r="W86">
        <v>6</v>
      </c>
      <c r="X86">
        <v>57602</v>
      </c>
      <c r="Y86">
        <v>1081918</v>
      </c>
      <c r="Z86">
        <v>1139520</v>
      </c>
      <c r="AA86">
        <v>999820</v>
      </c>
      <c r="AB86">
        <v>19.782599999999999</v>
      </c>
      <c r="AC86">
        <v>0.92411799999999999</v>
      </c>
      <c r="AD86">
        <v>1.8774</v>
      </c>
      <c r="AE86">
        <v>3.05145</v>
      </c>
      <c r="AF86">
        <v>12025916884</v>
      </c>
      <c r="AG86">
        <v>0</v>
      </c>
      <c r="AH86">
        <v>121485862</v>
      </c>
      <c r="AI86">
        <v>12025916884</v>
      </c>
      <c r="AJ86">
        <v>12147402746</v>
      </c>
      <c r="AK86">
        <v>400863896</v>
      </c>
      <c r="AL86">
        <v>0</v>
      </c>
      <c r="AM86">
        <v>4049528</v>
      </c>
      <c r="AN86">
        <v>400863896</v>
      </c>
      <c r="AO86">
        <v>404913424</v>
      </c>
      <c r="AQ86">
        <v>8.6215299999999999</v>
      </c>
      <c r="AR86">
        <v>0.41430400000000001</v>
      </c>
      <c r="AS86">
        <v>1271.8</v>
      </c>
      <c r="AU86" t="s">
        <v>430</v>
      </c>
      <c r="AV86" t="str">
        <f t="shared" si="2"/>
        <v>1% updates, key range [0, 2*10^6)</v>
      </c>
      <c r="AW86" t="str">
        <f t="shared" si="3"/>
        <v>1415</v>
      </c>
    </row>
    <row r="87" spans="1:49">
      <c r="A87" t="s">
        <v>169</v>
      </c>
      <c r="B87" t="s">
        <v>74</v>
      </c>
      <c r="C87">
        <v>208</v>
      </c>
      <c r="D87" t="s">
        <v>73</v>
      </c>
      <c r="E87" t="s">
        <v>68</v>
      </c>
      <c r="F87" t="s">
        <v>69</v>
      </c>
      <c r="G87">
        <v>30000</v>
      </c>
      <c r="H87">
        <v>0.5</v>
      </c>
      <c r="I87">
        <v>0.5</v>
      </c>
      <c r="J87">
        <v>0</v>
      </c>
      <c r="K87">
        <v>1</v>
      </c>
      <c r="L87">
        <v>2000000</v>
      </c>
      <c r="M87">
        <v>24</v>
      </c>
      <c r="N87">
        <v>24</v>
      </c>
      <c r="O87">
        <v>24</v>
      </c>
      <c r="P87">
        <v>0</v>
      </c>
      <c r="Q87" t="s">
        <v>70</v>
      </c>
      <c r="R87">
        <v>999873174705</v>
      </c>
      <c r="S87">
        <v>999929</v>
      </c>
      <c r="V87" t="s">
        <v>83</v>
      </c>
      <c r="W87">
        <v>8</v>
      </c>
      <c r="X87">
        <v>27854</v>
      </c>
      <c r="Y87">
        <v>188677</v>
      </c>
      <c r="Z87">
        <v>216531</v>
      </c>
      <c r="AA87">
        <v>999929</v>
      </c>
      <c r="AB87">
        <v>7.7737800000000004</v>
      </c>
      <c r="AC87">
        <v>5.29969</v>
      </c>
      <c r="AD87">
        <v>5.6179500000000004</v>
      </c>
      <c r="AE87">
        <v>7</v>
      </c>
      <c r="AF87">
        <v>1746338012</v>
      </c>
      <c r="AG87">
        <v>0</v>
      </c>
      <c r="AH87">
        <v>17642525</v>
      </c>
      <c r="AI87">
        <v>1746338012</v>
      </c>
      <c r="AJ87">
        <v>1763980537</v>
      </c>
      <c r="AK87">
        <v>58211267</v>
      </c>
      <c r="AL87">
        <v>0</v>
      </c>
      <c r="AM87">
        <v>588084</v>
      </c>
      <c r="AN87">
        <v>58211267</v>
      </c>
      <c r="AO87">
        <v>58799351</v>
      </c>
      <c r="AQ87">
        <v>9.4834300000000002</v>
      </c>
      <c r="AR87">
        <v>0.733927</v>
      </c>
      <c r="AS87">
        <v>1138.32</v>
      </c>
      <c r="AU87" t="s">
        <v>431</v>
      </c>
      <c r="AV87" t="str">
        <f t="shared" si="2"/>
        <v>1% updates, key range [0, 2*10^6)</v>
      </c>
      <c r="AW87" t="str">
        <f t="shared" si="3"/>
        <v>1118</v>
      </c>
    </row>
    <row r="88" spans="1:49">
      <c r="A88" t="s">
        <v>170</v>
      </c>
      <c r="B88" t="s">
        <v>74</v>
      </c>
      <c r="C88">
        <v>208</v>
      </c>
      <c r="D88" t="s">
        <v>73</v>
      </c>
      <c r="E88" t="s">
        <v>68</v>
      </c>
      <c r="F88" t="s">
        <v>69</v>
      </c>
      <c r="G88">
        <v>30000</v>
      </c>
      <c r="H88">
        <v>0.5</v>
      </c>
      <c r="I88">
        <v>0.5</v>
      </c>
      <c r="J88">
        <v>0</v>
      </c>
      <c r="K88">
        <v>1</v>
      </c>
      <c r="L88">
        <v>2000000</v>
      </c>
      <c r="M88">
        <v>48</v>
      </c>
      <c r="N88">
        <v>48</v>
      </c>
      <c r="O88">
        <v>48</v>
      </c>
      <c r="P88">
        <v>0</v>
      </c>
      <c r="Q88" t="s">
        <v>70</v>
      </c>
      <c r="R88">
        <v>999008831888</v>
      </c>
      <c r="S88">
        <v>998879</v>
      </c>
      <c r="V88" t="s">
        <v>83</v>
      </c>
      <c r="W88">
        <v>8</v>
      </c>
      <c r="X88">
        <v>29026</v>
      </c>
      <c r="Y88">
        <v>193547</v>
      </c>
      <c r="Z88">
        <v>222573</v>
      </c>
      <c r="AA88">
        <v>998879</v>
      </c>
      <c r="AB88">
        <v>7.6680599999999997</v>
      </c>
      <c r="AC88">
        <v>5.1609100000000003</v>
      </c>
      <c r="AD88">
        <v>5.48787</v>
      </c>
      <c r="AE88">
        <v>7</v>
      </c>
      <c r="AF88">
        <v>2772845238</v>
      </c>
      <c r="AG88">
        <v>0</v>
      </c>
      <c r="AH88">
        <v>27998635</v>
      </c>
      <c r="AI88">
        <v>2772845238</v>
      </c>
      <c r="AJ88">
        <v>2800843873</v>
      </c>
      <c r="AK88">
        <v>92428174</v>
      </c>
      <c r="AL88">
        <v>0</v>
      </c>
      <c r="AM88">
        <v>933287</v>
      </c>
      <c r="AN88">
        <v>92428174</v>
      </c>
      <c r="AO88">
        <v>93361462</v>
      </c>
      <c r="AQ88">
        <v>9.4968599999999999</v>
      </c>
      <c r="AR88">
        <v>0.80157699999999998</v>
      </c>
      <c r="AS88">
        <v>1404.62</v>
      </c>
      <c r="AU88" t="s">
        <v>432</v>
      </c>
      <c r="AV88" t="str">
        <f t="shared" si="2"/>
        <v>1% updates, key range [0, 2*10^6)</v>
      </c>
      <c r="AW88" t="str">
        <f t="shared" si="3"/>
        <v>1127</v>
      </c>
    </row>
    <row r="89" spans="1:49">
      <c r="A89" t="s">
        <v>171</v>
      </c>
      <c r="B89" t="s">
        <v>74</v>
      </c>
      <c r="C89">
        <v>208</v>
      </c>
      <c r="D89" t="s">
        <v>73</v>
      </c>
      <c r="E89" t="s">
        <v>68</v>
      </c>
      <c r="F89" t="s">
        <v>69</v>
      </c>
      <c r="G89">
        <v>30000</v>
      </c>
      <c r="H89">
        <v>0.5</v>
      </c>
      <c r="I89">
        <v>0.5</v>
      </c>
      <c r="J89">
        <v>0</v>
      </c>
      <c r="K89">
        <v>1</v>
      </c>
      <c r="L89">
        <v>2000000</v>
      </c>
      <c r="M89">
        <v>96</v>
      </c>
      <c r="N89">
        <v>96</v>
      </c>
      <c r="O89">
        <v>96</v>
      </c>
      <c r="P89">
        <v>0</v>
      </c>
      <c r="Q89" t="s">
        <v>70</v>
      </c>
      <c r="R89">
        <v>1000584007409</v>
      </c>
      <c r="S89">
        <v>1000492</v>
      </c>
      <c r="V89" t="s">
        <v>83</v>
      </c>
      <c r="W89">
        <v>8</v>
      </c>
      <c r="X89">
        <v>30834</v>
      </c>
      <c r="Y89">
        <v>196656</v>
      </c>
      <c r="Z89">
        <v>227490</v>
      </c>
      <c r="AA89">
        <v>1000492</v>
      </c>
      <c r="AB89">
        <v>7.3778899999999998</v>
      </c>
      <c r="AC89">
        <v>5.0875199999999996</v>
      </c>
      <c r="AD89">
        <v>5.3979600000000003</v>
      </c>
      <c r="AE89">
        <v>7</v>
      </c>
      <c r="AF89">
        <v>5510838599</v>
      </c>
      <c r="AG89">
        <v>0</v>
      </c>
      <c r="AH89">
        <v>55655531</v>
      </c>
      <c r="AI89">
        <v>5510838599</v>
      </c>
      <c r="AJ89">
        <v>5566494130</v>
      </c>
      <c r="AK89">
        <v>183694619</v>
      </c>
      <c r="AL89">
        <v>0</v>
      </c>
      <c r="AM89">
        <v>1855184</v>
      </c>
      <c r="AN89">
        <v>183694619</v>
      </c>
      <c r="AO89">
        <v>185549804</v>
      </c>
      <c r="AQ89">
        <v>9.7432499999999997</v>
      </c>
      <c r="AR89">
        <v>1.1171500000000001</v>
      </c>
      <c r="AS89">
        <v>1405.47</v>
      </c>
      <c r="AU89" t="s">
        <v>433</v>
      </c>
      <c r="AV89" t="str">
        <f t="shared" si="2"/>
        <v>1% updates, key range [0, 2*10^6)</v>
      </c>
      <c r="AW89" t="str">
        <f t="shared" si="3"/>
        <v>1145</v>
      </c>
    </row>
    <row r="90" spans="1:49">
      <c r="A90" t="s">
        <v>172</v>
      </c>
      <c r="B90" t="s">
        <v>74</v>
      </c>
      <c r="C90">
        <v>208</v>
      </c>
      <c r="D90" t="s">
        <v>73</v>
      </c>
      <c r="E90" t="s">
        <v>68</v>
      </c>
      <c r="F90" t="s">
        <v>69</v>
      </c>
      <c r="G90">
        <v>30000</v>
      </c>
      <c r="H90">
        <v>0.5</v>
      </c>
      <c r="I90">
        <v>0.5</v>
      </c>
      <c r="J90">
        <v>0</v>
      </c>
      <c r="K90">
        <v>1</v>
      </c>
      <c r="L90">
        <v>2000000</v>
      </c>
      <c r="M90">
        <v>144</v>
      </c>
      <c r="N90">
        <v>144</v>
      </c>
      <c r="O90">
        <v>144</v>
      </c>
      <c r="P90">
        <v>0</v>
      </c>
      <c r="Q90" t="s">
        <v>70</v>
      </c>
      <c r="R90">
        <v>1000467840323</v>
      </c>
      <c r="S90">
        <v>1000187</v>
      </c>
      <c r="V90" t="s">
        <v>83</v>
      </c>
      <c r="W90">
        <v>8</v>
      </c>
      <c r="X90">
        <v>31619</v>
      </c>
      <c r="Y90">
        <v>196312</v>
      </c>
      <c r="Z90">
        <v>227931</v>
      </c>
      <c r="AA90">
        <v>1000187</v>
      </c>
      <c r="AB90">
        <v>7.2086699999999997</v>
      </c>
      <c r="AC90">
        <v>5.0948799999999999</v>
      </c>
      <c r="AD90">
        <v>5.3881100000000002</v>
      </c>
      <c r="AE90">
        <v>7</v>
      </c>
      <c r="AF90">
        <v>8056774915</v>
      </c>
      <c r="AG90">
        <v>0</v>
      </c>
      <c r="AH90">
        <v>81387388</v>
      </c>
      <c r="AI90">
        <v>8056774915</v>
      </c>
      <c r="AJ90">
        <v>8138162303</v>
      </c>
      <c r="AK90">
        <v>268559163</v>
      </c>
      <c r="AL90">
        <v>0</v>
      </c>
      <c r="AM90">
        <v>2712912</v>
      </c>
      <c r="AN90">
        <v>268559163</v>
      </c>
      <c r="AO90">
        <v>271272076</v>
      </c>
      <c r="AQ90">
        <v>9.9055400000000002</v>
      </c>
      <c r="AR90">
        <v>1.2237199999999999</v>
      </c>
      <c r="AS90">
        <v>1424.62</v>
      </c>
      <c r="AU90" t="s">
        <v>434</v>
      </c>
      <c r="AV90" t="str">
        <f t="shared" si="2"/>
        <v>1% updates, key range [0, 2*10^6)</v>
      </c>
      <c r="AW90" t="str">
        <f t="shared" si="3"/>
        <v>1160</v>
      </c>
    </row>
    <row r="91" spans="1:49">
      <c r="A91" t="s">
        <v>173</v>
      </c>
      <c r="B91" t="s">
        <v>74</v>
      </c>
      <c r="C91">
        <v>208</v>
      </c>
      <c r="D91" t="s">
        <v>73</v>
      </c>
      <c r="E91" t="s">
        <v>68</v>
      </c>
      <c r="F91" t="s">
        <v>69</v>
      </c>
      <c r="G91">
        <v>30000</v>
      </c>
      <c r="H91">
        <v>0.5</v>
      </c>
      <c r="I91">
        <v>0.5</v>
      </c>
      <c r="J91">
        <v>0</v>
      </c>
      <c r="K91">
        <v>1</v>
      </c>
      <c r="L91">
        <v>2000000</v>
      </c>
      <c r="M91">
        <v>190</v>
      </c>
      <c r="N91">
        <v>190</v>
      </c>
      <c r="O91">
        <v>190</v>
      </c>
      <c r="P91">
        <v>0</v>
      </c>
      <c r="Q91" t="s">
        <v>70</v>
      </c>
      <c r="R91">
        <v>1000872007568</v>
      </c>
      <c r="S91">
        <v>1000872</v>
      </c>
      <c r="V91" t="s">
        <v>83</v>
      </c>
      <c r="W91">
        <v>8</v>
      </c>
      <c r="X91">
        <v>32126</v>
      </c>
      <c r="Y91">
        <v>196038</v>
      </c>
      <c r="Z91">
        <v>228164</v>
      </c>
      <c r="AA91">
        <v>1000872</v>
      </c>
      <c r="AB91">
        <v>7.1021599999999996</v>
      </c>
      <c r="AC91">
        <v>5.1055000000000001</v>
      </c>
      <c r="AD91">
        <v>5.3866300000000003</v>
      </c>
      <c r="AE91">
        <v>7</v>
      </c>
      <c r="AF91">
        <v>10556639515</v>
      </c>
      <c r="AG91">
        <v>0</v>
      </c>
      <c r="AH91">
        <v>106648550</v>
      </c>
      <c r="AI91">
        <v>10556639515</v>
      </c>
      <c r="AJ91">
        <v>10663288065</v>
      </c>
      <c r="AK91">
        <v>351887983</v>
      </c>
      <c r="AL91">
        <v>0</v>
      </c>
      <c r="AM91">
        <v>3554951</v>
      </c>
      <c r="AN91">
        <v>351887983</v>
      </c>
      <c r="AO91">
        <v>355442935</v>
      </c>
      <c r="AQ91">
        <v>10.095700000000001</v>
      </c>
      <c r="AR91">
        <v>1.3132600000000001</v>
      </c>
      <c r="AS91">
        <v>1439.79</v>
      </c>
      <c r="AU91" t="s">
        <v>435</v>
      </c>
      <c r="AV91" t="str">
        <f t="shared" si="2"/>
        <v>1% updates, key range [0, 2*10^6)</v>
      </c>
      <c r="AW91" t="str">
        <f t="shared" si="3"/>
        <v>1174</v>
      </c>
    </row>
    <row r="92" spans="1:49">
      <c r="A92" t="s">
        <v>174</v>
      </c>
      <c r="B92" t="s">
        <v>75</v>
      </c>
      <c r="D92" t="s">
        <v>73</v>
      </c>
      <c r="E92" t="s">
        <v>68</v>
      </c>
      <c r="F92" t="s">
        <v>69</v>
      </c>
      <c r="G92">
        <v>30000</v>
      </c>
      <c r="H92">
        <v>0.5</v>
      </c>
      <c r="I92">
        <v>0.5</v>
      </c>
      <c r="J92">
        <v>0</v>
      </c>
      <c r="K92">
        <v>1</v>
      </c>
      <c r="L92">
        <v>2000000</v>
      </c>
      <c r="M92">
        <v>24</v>
      </c>
      <c r="N92">
        <v>24</v>
      </c>
      <c r="O92">
        <v>24</v>
      </c>
      <c r="P92">
        <v>0</v>
      </c>
      <c r="Q92" t="s">
        <v>70</v>
      </c>
      <c r="R92">
        <v>999459448056</v>
      </c>
      <c r="S92">
        <v>999308</v>
      </c>
      <c r="V92" t="s">
        <v>83</v>
      </c>
      <c r="W92">
        <v>25</v>
      </c>
      <c r="X92">
        <v>683752</v>
      </c>
      <c r="Y92">
        <v>518955</v>
      </c>
      <c r="Z92">
        <v>1202707</v>
      </c>
      <c r="AA92">
        <v>999308</v>
      </c>
      <c r="AB92">
        <v>1.75898</v>
      </c>
      <c r="AC92">
        <v>1.9256200000000001</v>
      </c>
      <c r="AD92">
        <v>1.8308800000000001</v>
      </c>
      <c r="AE92">
        <v>19.872499999999999</v>
      </c>
      <c r="AF92">
        <v>854914984</v>
      </c>
      <c r="AG92">
        <v>0</v>
      </c>
      <c r="AH92">
        <v>8635224</v>
      </c>
      <c r="AI92">
        <v>854914984</v>
      </c>
      <c r="AJ92">
        <v>863550208</v>
      </c>
      <c r="AK92">
        <v>28497166</v>
      </c>
      <c r="AL92">
        <v>0</v>
      </c>
      <c r="AM92">
        <v>287840</v>
      </c>
      <c r="AN92">
        <v>28497166</v>
      </c>
      <c r="AO92">
        <v>28785006</v>
      </c>
      <c r="AQ92">
        <v>15.6852</v>
      </c>
      <c r="AR92">
        <v>2.2891699999999999</v>
      </c>
      <c r="AS92">
        <v>2325.56</v>
      </c>
      <c r="AU92" t="s">
        <v>436</v>
      </c>
      <c r="AV92" t="str">
        <f t="shared" si="2"/>
        <v>1% updates, key range [0, 2*10^6)</v>
      </c>
      <c r="AW92" t="str">
        <f t="shared" si="3"/>
        <v>1146</v>
      </c>
    </row>
    <row r="93" spans="1:49">
      <c r="A93" t="s">
        <v>175</v>
      </c>
      <c r="B93" t="s">
        <v>75</v>
      </c>
      <c r="D93" t="s">
        <v>73</v>
      </c>
      <c r="E93" t="s">
        <v>68</v>
      </c>
      <c r="F93" t="s">
        <v>69</v>
      </c>
      <c r="G93">
        <v>30000</v>
      </c>
      <c r="H93">
        <v>0.5</v>
      </c>
      <c r="I93">
        <v>0.5</v>
      </c>
      <c r="J93">
        <v>0</v>
      </c>
      <c r="K93">
        <v>1</v>
      </c>
      <c r="L93">
        <v>2000000</v>
      </c>
      <c r="M93">
        <v>48</v>
      </c>
      <c r="N93">
        <v>48</v>
      </c>
      <c r="O93">
        <v>48</v>
      </c>
      <c r="P93">
        <v>0</v>
      </c>
      <c r="Q93" t="s">
        <v>70</v>
      </c>
      <c r="R93">
        <v>1000618174312</v>
      </c>
      <c r="S93">
        <v>1000451</v>
      </c>
      <c r="V93" t="s">
        <v>83</v>
      </c>
      <c r="W93">
        <v>25</v>
      </c>
      <c r="X93">
        <v>685967</v>
      </c>
      <c r="Y93">
        <v>521037</v>
      </c>
      <c r="Z93">
        <v>1207004</v>
      </c>
      <c r="AA93">
        <v>1000451</v>
      </c>
      <c r="AB93">
        <v>1.7595700000000001</v>
      </c>
      <c r="AC93">
        <v>1.92012</v>
      </c>
      <c r="AD93">
        <v>1.82887</v>
      </c>
      <c r="AE93">
        <v>19.886600000000001</v>
      </c>
      <c r="AF93">
        <v>1497657023</v>
      </c>
      <c r="AG93">
        <v>0</v>
      </c>
      <c r="AH93">
        <v>15130665</v>
      </c>
      <c r="AI93">
        <v>1497657023</v>
      </c>
      <c r="AJ93">
        <v>1512787688</v>
      </c>
      <c r="AK93">
        <v>49921900</v>
      </c>
      <c r="AL93">
        <v>0</v>
      </c>
      <c r="AM93">
        <v>504355</v>
      </c>
      <c r="AN93">
        <v>49921900</v>
      </c>
      <c r="AO93">
        <v>50426256</v>
      </c>
      <c r="AQ93">
        <v>16.513400000000001</v>
      </c>
      <c r="AR93">
        <v>2.3761999999999999</v>
      </c>
      <c r="AS93">
        <v>2640.49</v>
      </c>
      <c r="AU93" t="s">
        <v>437</v>
      </c>
      <c r="AV93" t="str">
        <f t="shared" si="2"/>
        <v>1% updates, key range [0, 2*10^6)</v>
      </c>
      <c r="AW93" t="str">
        <f t="shared" si="3"/>
        <v>1152</v>
      </c>
    </row>
    <row r="94" spans="1:49">
      <c r="A94" t="s">
        <v>176</v>
      </c>
      <c r="B94" t="s">
        <v>75</v>
      </c>
      <c r="D94" t="s">
        <v>73</v>
      </c>
      <c r="E94" t="s">
        <v>68</v>
      </c>
      <c r="F94" t="s">
        <v>69</v>
      </c>
      <c r="G94">
        <v>30000</v>
      </c>
      <c r="H94">
        <v>0.5</v>
      </c>
      <c r="I94">
        <v>0.5</v>
      </c>
      <c r="J94">
        <v>0</v>
      </c>
      <c r="K94">
        <v>1</v>
      </c>
      <c r="L94">
        <v>2000000</v>
      </c>
      <c r="M94">
        <v>96</v>
      </c>
      <c r="N94">
        <v>96</v>
      </c>
      <c r="O94">
        <v>96</v>
      </c>
      <c r="P94">
        <v>0</v>
      </c>
      <c r="Q94" t="s">
        <v>70</v>
      </c>
      <c r="R94">
        <v>999888154610</v>
      </c>
      <c r="S94">
        <v>999860</v>
      </c>
      <c r="V94" t="s">
        <v>83</v>
      </c>
      <c r="W94">
        <v>25</v>
      </c>
      <c r="X94">
        <v>685696</v>
      </c>
      <c r="Y94">
        <v>520297</v>
      </c>
      <c r="Z94">
        <v>1205993</v>
      </c>
      <c r="AA94">
        <v>999860</v>
      </c>
      <c r="AB94">
        <v>1.7587900000000001</v>
      </c>
      <c r="AC94">
        <v>1.92171</v>
      </c>
      <c r="AD94">
        <v>1.82908</v>
      </c>
      <c r="AE94">
        <v>19.8598</v>
      </c>
      <c r="AF94">
        <v>3109156154</v>
      </c>
      <c r="AG94">
        <v>0</v>
      </c>
      <c r="AH94">
        <v>31405300</v>
      </c>
      <c r="AI94">
        <v>3109156154</v>
      </c>
      <c r="AJ94">
        <v>3140561454</v>
      </c>
      <c r="AK94">
        <v>103638538</v>
      </c>
      <c r="AL94">
        <v>0</v>
      </c>
      <c r="AM94">
        <v>1046843</v>
      </c>
      <c r="AN94">
        <v>103638538</v>
      </c>
      <c r="AO94">
        <v>104685381</v>
      </c>
      <c r="AQ94">
        <v>16.6448</v>
      </c>
      <c r="AR94">
        <v>2.7722199999999999</v>
      </c>
      <c r="AS94">
        <v>2540.9499999999998</v>
      </c>
      <c r="AU94" t="s">
        <v>438</v>
      </c>
      <c r="AV94" t="str">
        <f t="shared" si="2"/>
        <v>1% updates, key range [0, 2*10^6)</v>
      </c>
      <c r="AW94" t="str">
        <f t="shared" si="3"/>
        <v>1164</v>
      </c>
    </row>
    <row r="95" spans="1:49">
      <c r="A95" t="s">
        <v>177</v>
      </c>
      <c r="B95" t="s">
        <v>75</v>
      </c>
      <c r="D95" t="s">
        <v>73</v>
      </c>
      <c r="E95" t="s">
        <v>68</v>
      </c>
      <c r="F95" t="s">
        <v>69</v>
      </c>
      <c r="G95">
        <v>30000</v>
      </c>
      <c r="H95">
        <v>0.5</v>
      </c>
      <c r="I95">
        <v>0.5</v>
      </c>
      <c r="J95">
        <v>0</v>
      </c>
      <c r="K95">
        <v>1</v>
      </c>
      <c r="L95">
        <v>2000000</v>
      </c>
      <c r="M95">
        <v>144</v>
      </c>
      <c r="N95">
        <v>144</v>
      </c>
      <c r="O95">
        <v>144</v>
      </c>
      <c r="P95">
        <v>0</v>
      </c>
      <c r="Q95" t="s">
        <v>70</v>
      </c>
      <c r="R95">
        <v>1000429482509</v>
      </c>
      <c r="S95">
        <v>1000877</v>
      </c>
      <c r="V95" t="s">
        <v>83</v>
      </c>
      <c r="W95">
        <v>25</v>
      </c>
      <c r="X95">
        <v>686086</v>
      </c>
      <c r="Y95">
        <v>520892</v>
      </c>
      <c r="Z95">
        <v>1206978</v>
      </c>
      <c r="AA95">
        <v>1000877</v>
      </c>
      <c r="AB95">
        <v>1.75922</v>
      </c>
      <c r="AC95">
        <v>1.92147</v>
      </c>
      <c r="AD95">
        <v>1.82924</v>
      </c>
      <c r="AE95">
        <v>19.864599999999999</v>
      </c>
      <c r="AF95">
        <v>4650696883</v>
      </c>
      <c r="AG95">
        <v>0</v>
      </c>
      <c r="AH95">
        <v>46987211</v>
      </c>
      <c r="AI95">
        <v>4650696883</v>
      </c>
      <c r="AJ95">
        <v>4697684094</v>
      </c>
      <c r="AK95">
        <v>155023229</v>
      </c>
      <c r="AL95">
        <v>0</v>
      </c>
      <c r="AM95">
        <v>1566240</v>
      </c>
      <c r="AN95">
        <v>155023229</v>
      </c>
      <c r="AO95">
        <v>156589469</v>
      </c>
      <c r="AQ95">
        <v>16.751100000000001</v>
      </c>
      <c r="AR95">
        <v>2.8384499999999999</v>
      </c>
      <c r="AS95">
        <v>2513.5</v>
      </c>
      <c r="AU95" t="s">
        <v>439</v>
      </c>
      <c r="AV95" t="str">
        <f t="shared" si="2"/>
        <v>1% updates, key range [0, 2*10^6)</v>
      </c>
      <c r="AW95" t="str">
        <f t="shared" si="3"/>
        <v>1176</v>
      </c>
    </row>
    <row r="96" spans="1:49">
      <c r="A96" t="s">
        <v>178</v>
      </c>
      <c r="B96" t="s">
        <v>75</v>
      </c>
      <c r="D96" t="s">
        <v>73</v>
      </c>
      <c r="E96" t="s">
        <v>68</v>
      </c>
      <c r="F96" t="s">
        <v>69</v>
      </c>
      <c r="G96">
        <v>30000</v>
      </c>
      <c r="H96">
        <v>0.5</v>
      </c>
      <c r="I96">
        <v>0.5</v>
      </c>
      <c r="J96">
        <v>0</v>
      </c>
      <c r="K96">
        <v>1</v>
      </c>
      <c r="L96">
        <v>2000000</v>
      </c>
      <c r="M96">
        <v>190</v>
      </c>
      <c r="N96">
        <v>190</v>
      </c>
      <c r="O96">
        <v>190</v>
      </c>
      <c r="P96">
        <v>0</v>
      </c>
      <c r="Q96" t="s">
        <v>70</v>
      </c>
      <c r="R96">
        <v>1000064018368</v>
      </c>
      <c r="S96">
        <v>1000003</v>
      </c>
      <c r="V96" t="s">
        <v>83</v>
      </c>
      <c r="W96">
        <v>25</v>
      </c>
      <c r="X96">
        <v>685477</v>
      </c>
      <c r="Y96">
        <v>520225</v>
      </c>
      <c r="Z96">
        <v>1205702</v>
      </c>
      <c r="AA96">
        <v>1000003</v>
      </c>
      <c r="AB96">
        <v>1.75892</v>
      </c>
      <c r="AC96">
        <v>1.92225</v>
      </c>
      <c r="AD96">
        <v>1.8293900000000001</v>
      </c>
      <c r="AE96">
        <v>19.889700000000001</v>
      </c>
      <c r="AF96">
        <v>6133731853</v>
      </c>
      <c r="AG96">
        <v>0</v>
      </c>
      <c r="AH96">
        <v>61953555</v>
      </c>
      <c r="AI96">
        <v>6133731853</v>
      </c>
      <c r="AJ96">
        <v>6195685408</v>
      </c>
      <c r="AK96">
        <v>204457728</v>
      </c>
      <c r="AL96">
        <v>0</v>
      </c>
      <c r="AM96">
        <v>2065118</v>
      </c>
      <c r="AN96">
        <v>204457728</v>
      </c>
      <c r="AO96">
        <v>206522846</v>
      </c>
      <c r="AQ96">
        <v>16.8462</v>
      </c>
      <c r="AR96">
        <v>2.8967700000000001</v>
      </c>
      <c r="AS96">
        <v>2508.65</v>
      </c>
      <c r="AU96" t="s">
        <v>440</v>
      </c>
      <c r="AV96" t="str">
        <f t="shared" si="2"/>
        <v>1% updates, key range [0, 2*10^6)</v>
      </c>
      <c r="AW96" t="str">
        <f t="shared" si="3"/>
        <v>1188</v>
      </c>
    </row>
    <row r="97" spans="1:49">
      <c r="A97" t="s">
        <v>179</v>
      </c>
      <c r="B97" t="s">
        <v>76</v>
      </c>
      <c r="D97" t="s">
        <v>73</v>
      </c>
      <c r="E97" t="s">
        <v>68</v>
      </c>
      <c r="F97" t="s">
        <v>69</v>
      </c>
      <c r="G97">
        <v>30000</v>
      </c>
      <c r="H97">
        <v>0.5</v>
      </c>
      <c r="I97">
        <v>0.5</v>
      </c>
      <c r="J97">
        <v>0</v>
      </c>
      <c r="K97">
        <v>1</v>
      </c>
      <c r="L97">
        <v>2000000</v>
      </c>
      <c r="M97">
        <v>24</v>
      </c>
      <c r="N97">
        <v>24</v>
      </c>
      <c r="O97">
        <v>24</v>
      </c>
      <c r="P97">
        <v>0</v>
      </c>
      <c r="Q97" t="s">
        <v>70</v>
      </c>
      <c r="R97">
        <v>1000267654204</v>
      </c>
      <c r="S97">
        <v>1000071</v>
      </c>
      <c r="V97" t="s">
        <v>83</v>
      </c>
      <c r="W97">
        <v>50</v>
      </c>
      <c r="X97">
        <v>1000070</v>
      </c>
      <c r="Y97">
        <v>1000071</v>
      </c>
      <c r="Z97">
        <v>2000141</v>
      </c>
      <c r="AA97">
        <v>1000071</v>
      </c>
      <c r="AB97">
        <v>2</v>
      </c>
      <c r="AC97">
        <v>1</v>
      </c>
      <c r="AD97">
        <v>1.5</v>
      </c>
      <c r="AE97">
        <v>26.078600000000002</v>
      </c>
      <c r="AF97">
        <v>758484710</v>
      </c>
      <c r="AG97">
        <v>0</v>
      </c>
      <c r="AH97">
        <v>7665124</v>
      </c>
      <c r="AI97">
        <v>758484710</v>
      </c>
      <c r="AJ97">
        <v>766149834</v>
      </c>
      <c r="AK97">
        <v>25282823</v>
      </c>
      <c r="AL97">
        <v>0</v>
      </c>
      <c r="AM97">
        <v>255504</v>
      </c>
      <c r="AN97">
        <v>25282823</v>
      </c>
      <c r="AO97">
        <v>25538327</v>
      </c>
      <c r="AQ97">
        <v>12.256600000000001</v>
      </c>
      <c r="AR97">
        <v>1.7821199999999999</v>
      </c>
      <c r="AS97">
        <v>2621.46</v>
      </c>
      <c r="AU97" t="s">
        <v>441</v>
      </c>
      <c r="AV97" t="str">
        <f t="shared" si="2"/>
        <v>1% updates, key range [0, 2*10^6)</v>
      </c>
      <c r="AW97" t="str">
        <f t="shared" si="3"/>
        <v>1134</v>
      </c>
    </row>
    <row r="98" spans="1:49">
      <c r="A98" t="s">
        <v>180</v>
      </c>
      <c r="B98" t="s">
        <v>76</v>
      </c>
      <c r="D98" t="s">
        <v>73</v>
      </c>
      <c r="E98" t="s">
        <v>68</v>
      </c>
      <c r="F98" t="s">
        <v>69</v>
      </c>
      <c r="G98">
        <v>30000</v>
      </c>
      <c r="H98">
        <v>0.5</v>
      </c>
      <c r="I98">
        <v>0.5</v>
      </c>
      <c r="J98">
        <v>0</v>
      </c>
      <c r="K98">
        <v>1</v>
      </c>
      <c r="L98">
        <v>2000000</v>
      </c>
      <c r="M98">
        <v>48</v>
      </c>
      <c r="N98">
        <v>48</v>
      </c>
      <c r="O98">
        <v>48</v>
      </c>
      <c r="P98">
        <v>0</v>
      </c>
      <c r="Q98" t="s">
        <v>70</v>
      </c>
      <c r="R98">
        <v>999311745694</v>
      </c>
      <c r="S98">
        <v>1000031</v>
      </c>
      <c r="V98" t="s">
        <v>83</v>
      </c>
      <c r="W98">
        <v>48</v>
      </c>
      <c r="X98">
        <v>1000030</v>
      </c>
      <c r="Y98">
        <v>1000031</v>
      </c>
      <c r="Z98">
        <v>2000061</v>
      </c>
      <c r="AA98">
        <v>1000031</v>
      </c>
      <c r="AB98">
        <v>2</v>
      </c>
      <c r="AC98">
        <v>1</v>
      </c>
      <c r="AD98">
        <v>1.5</v>
      </c>
      <c r="AE98">
        <v>26.229199999999999</v>
      </c>
      <c r="AF98">
        <v>1374581589</v>
      </c>
      <c r="AG98">
        <v>0</v>
      </c>
      <c r="AH98">
        <v>13882444</v>
      </c>
      <c r="AI98">
        <v>1374581589</v>
      </c>
      <c r="AJ98">
        <v>1388464033</v>
      </c>
      <c r="AK98">
        <v>45819386</v>
      </c>
      <c r="AL98">
        <v>0</v>
      </c>
      <c r="AM98">
        <v>462748</v>
      </c>
      <c r="AN98">
        <v>45819386</v>
      </c>
      <c r="AO98">
        <v>46282134</v>
      </c>
      <c r="AQ98">
        <v>12.1935</v>
      </c>
      <c r="AR98">
        <v>1.8126800000000001</v>
      </c>
      <c r="AS98">
        <v>2892.27</v>
      </c>
      <c r="AU98" t="s">
        <v>442</v>
      </c>
      <c r="AV98" t="str">
        <f t="shared" si="2"/>
        <v>1% updates, key range [0, 2*10^6)</v>
      </c>
      <c r="AW98" t="str">
        <f t="shared" si="3"/>
        <v>1140</v>
      </c>
    </row>
    <row r="99" spans="1:49">
      <c r="A99" t="s">
        <v>181</v>
      </c>
      <c r="B99" t="s">
        <v>76</v>
      </c>
      <c r="D99" t="s">
        <v>73</v>
      </c>
      <c r="E99" t="s">
        <v>68</v>
      </c>
      <c r="F99" t="s">
        <v>69</v>
      </c>
      <c r="G99">
        <v>30000</v>
      </c>
      <c r="H99">
        <v>0.5</v>
      </c>
      <c r="I99">
        <v>0.5</v>
      </c>
      <c r="J99">
        <v>0</v>
      </c>
      <c r="K99">
        <v>1</v>
      </c>
      <c r="L99">
        <v>2000000</v>
      </c>
      <c r="M99">
        <v>96</v>
      </c>
      <c r="N99">
        <v>96</v>
      </c>
      <c r="O99">
        <v>96</v>
      </c>
      <c r="P99">
        <v>0</v>
      </c>
      <c r="Q99" t="s">
        <v>70</v>
      </c>
      <c r="R99">
        <v>999410427293</v>
      </c>
      <c r="S99">
        <v>1000067</v>
      </c>
      <c r="V99" t="s">
        <v>83</v>
      </c>
      <c r="W99">
        <v>49</v>
      </c>
      <c r="X99">
        <v>1000066</v>
      </c>
      <c r="Y99">
        <v>1000067</v>
      </c>
      <c r="Z99">
        <v>2000133</v>
      </c>
      <c r="AA99">
        <v>1000067</v>
      </c>
      <c r="AB99">
        <v>2</v>
      </c>
      <c r="AC99">
        <v>1</v>
      </c>
      <c r="AD99">
        <v>1.5</v>
      </c>
      <c r="AE99">
        <v>26.213799999999999</v>
      </c>
      <c r="AF99">
        <v>3002826160</v>
      </c>
      <c r="AG99">
        <v>0</v>
      </c>
      <c r="AH99">
        <v>30333651</v>
      </c>
      <c r="AI99">
        <v>3002826160</v>
      </c>
      <c r="AJ99">
        <v>3033159811</v>
      </c>
      <c r="AK99">
        <v>100094205</v>
      </c>
      <c r="AL99">
        <v>0</v>
      </c>
      <c r="AM99">
        <v>1011121</v>
      </c>
      <c r="AN99">
        <v>100094205</v>
      </c>
      <c r="AO99">
        <v>101105327</v>
      </c>
      <c r="AQ99">
        <v>12.2523</v>
      </c>
      <c r="AR99">
        <v>2.1044900000000002</v>
      </c>
      <c r="AS99">
        <v>2644.02</v>
      </c>
      <c r="AU99" t="s">
        <v>443</v>
      </c>
      <c r="AV99" t="str">
        <f t="shared" si="2"/>
        <v>1% updates, key range [0, 2*10^6)</v>
      </c>
      <c r="AW99" t="str">
        <f t="shared" si="3"/>
        <v>1153</v>
      </c>
    </row>
    <row r="100" spans="1:49">
      <c r="A100" t="s">
        <v>182</v>
      </c>
      <c r="B100" t="s">
        <v>76</v>
      </c>
      <c r="D100" t="s">
        <v>73</v>
      </c>
      <c r="E100" t="s">
        <v>68</v>
      </c>
      <c r="F100" t="s">
        <v>69</v>
      </c>
      <c r="G100">
        <v>30000</v>
      </c>
      <c r="H100">
        <v>0.5</v>
      </c>
      <c r="I100">
        <v>0.5</v>
      </c>
      <c r="J100">
        <v>0</v>
      </c>
      <c r="K100">
        <v>1</v>
      </c>
      <c r="L100">
        <v>2000000</v>
      </c>
      <c r="M100">
        <v>144</v>
      </c>
      <c r="N100">
        <v>144</v>
      </c>
      <c r="O100">
        <v>144</v>
      </c>
      <c r="P100">
        <v>0</v>
      </c>
      <c r="Q100" t="s">
        <v>70</v>
      </c>
      <c r="R100">
        <v>999991868795</v>
      </c>
      <c r="S100">
        <v>999728</v>
      </c>
      <c r="V100" t="s">
        <v>83</v>
      </c>
      <c r="W100">
        <v>53</v>
      </c>
      <c r="X100">
        <v>999727</v>
      </c>
      <c r="Y100">
        <v>999728</v>
      </c>
      <c r="Z100">
        <v>1999455</v>
      </c>
      <c r="AA100">
        <v>999728</v>
      </c>
      <c r="AB100">
        <v>2</v>
      </c>
      <c r="AC100">
        <v>1</v>
      </c>
      <c r="AD100">
        <v>1.5</v>
      </c>
      <c r="AE100">
        <v>25.8245</v>
      </c>
      <c r="AF100">
        <v>4515394064</v>
      </c>
      <c r="AG100">
        <v>0</v>
      </c>
      <c r="AH100">
        <v>45611776</v>
      </c>
      <c r="AI100">
        <v>4515394064</v>
      </c>
      <c r="AJ100">
        <v>4561005840</v>
      </c>
      <c r="AK100">
        <v>150513135</v>
      </c>
      <c r="AL100">
        <v>0</v>
      </c>
      <c r="AM100">
        <v>1520392</v>
      </c>
      <c r="AN100">
        <v>150513135</v>
      </c>
      <c r="AO100">
        <v>152033528</v>
      </c>
      <c r="AQ100">
        <v>12.314399999999999</v>
      </c>
      <c r="AR100">
        <v>2.1776800000000001</v>
      </c>
      <c r="AS100">
        <v>2637.13</v>
      </c>
      <c r="AU100" t="s">
        <v>372</v>
      </c>
      <c r="AV100" t="str">
        <f t="shared" si="2"/>
        <v>1% updates, key range [0, 2*10^6)</v>
      </c>
      <c r="AW100" t="str">
        <f t="shared" si="3"/>
        <v>1166</v>
      </c>
    </row>
    <row r="101" spans="1:49">
      <c r="A101" t="s">
        <v>183</v>
      </c>
      <c r="B101" t="s">
        <v>76</v>
      </c>
      <c r="D101" t="s">
        <v>73</v>
      </c>
      <c r="E101" t="s">
        <v>68</v>
      </c>
      <c r="F101" t="s">
        <v>69</v>
      </c>
      <c r="G101">
        <v>30000</v>
      </c>
      <c r="H101">
        <v>0.5</v>
      </c>
      <c r="I101">
        <v>0.5</v>
      </c>
      <c r="J101">
        <v>0</v>
      </c>
      <c r="K101">
        <v>1</v>
      </c>
      <c r="L101">
        <v>2000000</v>
      </c>
      <c r="M101">
        <v>190</v>
      </c>
      <c r="N101">
        <v>190</v>
      </c>
      <c r="O101">
        <v>190</v>
      </c>
      <c r="P101">
        <v>0</v>
      </c>
      <c r="Q101" t="s">
        <v>70</v>
      </c>
      <c r="R101">
        <v>1000898307964</v>
      </c>
      <c r="S101">
        <v>1000566</v>
      </c>
      <c r="V101" t="s">
        <v>83</v>
      </c>
      <c r="W101">
        <v>49</v>
      </c>
      <c r="X101">
        <v>1000565</v>
      </c>
      <c r="Y101">
        <v>1000566</v>
      </c>
      <c r="Z101">
        <v>2001131</v>
      </c>
      <c r="AA101">
        <v>1000566</v>
      </c>
      <c r="AB101">
        <v>2</v>
      </c>
      <c r="AC101">
        <v>1</v>
      </c>
      <c r="AD101">
        <v>1.5</v>
      </c>
      <c r="AE101">
        <v>26.468900000000001</v>
      </c>
      <c r="AF101">
        <v>6000931524</v>
      </c>
      <c r="AG101">
        <v>0</v>
      </c>
      <c r="AH101">
        <v>60589071</v>
      </c>
      <c r="AI101">
        <v>6000931524</v>
      </c>
      <c r="AJ101">
        <v>6061520595</v>
      </c>
      <c r="AK101">
        <v>200031050</v>
      </c>
      <c r="AL101">
        <v>0</v>
      </c>
      <c r="AM101">
        <v>2019635</v>
      </c>
      <c r="AN101">
        <v>200031050</v>
      </c>
      <c r="AO101">
        <v>202050686</v>
      </c>
      <c r="AQ101">
        <v>12.402699999999999</v>
      </c>
      <c r="AR101">
        <v>2.2297199999999999</v>
      </c>
      <c r="AS101">
        <v>2618.63</v>
      </c>
      <c r="AU101" t="s">
        <v>444</v>
      </c>
      <c r="AV101" t="str">
        <f t="shared" si="2"/>
        <v>1% updates, key range [0, 2*10^6)</v>
      </c>
      <c r="AW101" t="str">
        <f t="shared" si="3"/>
        <v>1180</v>
      </c>
    </row>
    <row r="102" spans="1:49">
      <c r="A102" t="s">
        <v>184</v>
      </c>
      <c r="B102" t="s">
        <v>72</v>
      </c>
      <c r="C102">
        <v>72</v>
      </c>
      <c r="D102" t="s">
        <v>73</v>
      </c>
      <c r="E102" t="s">
        <v>68</v>
      </c>
      <c r="F102" t="s">
        <v>69</v>
      </c>
      <c r="G102">
        <v>30000</v>
      </c>
      <c r="H102">
        <v>0.5</v>
      </c>
      <c r="I102">
        <v>0.5</v>
      </c>
      <c r="J102">
        <v>0</v>
      </c>
      <c r="K102">
        <v>1</v>
      </c>
      <c r="L102">
        <v>20000000</v>
      </c>
      <c r="M102">
        <v>24</v>
      </c>
      <c r="N102">
        <v>24</v>
      </c>
      <c r="O102">
        <v>24</v>
      </c>
      <c r="P102">
        <v>0</v>
      </c>
      <c r="Q102" t="s">
        <v>70</v>
      </c>
      <c r="R102">
        <v>100022208207370</v>
      </c>
      <c r="S102">
        <v>10001445</v>
      </c>
      <c r="V102" t="s">
        <v>83</v>
      </c>
      <c r="W102">
        <v>7</v>
      </c>
      <c r="X102">
        <v>1700223</v>
      </c>
      <c r="Y102">
        <v>11593337</v>
      </c>
      <c r="Z102">
        <v>13293560</v>
      </c>
      <c r="AA102">
        <v>10001445</v>
      </c>
      <c r="AB102">
        <v>7.8187199999999999</v>
      </c>
      <c r="AC102">
        <v>0.86268900000000004</v>
      </c>
      <c r="AD102">
        <v>1.7523500000000001</v>
      </c>
      <c r="AE102">
        <v>4.0148900000000003</v>
      </c>
      <c r="AF102">
        <v>1024227075</v>
      </c>
      <c r="AG102">
        <v>0</v>
      </c>
      <c r="AH102">
        <v>10339939</v>
      </c>
      <c r="AI102">
        <v>1024227075</v>
      </c>
      <c r="AJ102">
        <v>1034567014</v>
      </c>
      <c r="AK102">
        <v>34140902</v>
      </c>
      <c r="AL102">
        <v>0</v>
      </c>
      <c r="AM102">
        <v>344664</v>
      </c>
      <c r="AN102">
        <v>34140902</v>
      </c>
      <c r="AO102">
        <v>34485567</v>
      </c>
      <c r="AQ102">
        <v>16.440100000000001</v>
      </c>
      <c r="AR102">
        <v>5.8863599999999998</v>
      </c>
      <c r="AS102">
        <v>1938.63</v>
      </c>
      <c r="AU102" t="s">
        <v>445</v>
      </c>
      <c r="AV102" t="str">
        <f t="shared" si="2"/>
        <v>1% updates, key range [0, 2*10^7)</v>
      </c>
      <c r="AW102" t="str">
        <f t="shared" si="3"/>
        <v>2439</v>
      </c>
    </row>
    <row r="103" spans="1:49">
      <c r="A103" t="s">
        <v>185</v>
      </c>
      <c r="B103" t="s">
        <v>72</v>
      </c>
      <c r="C103">
        <v>72</v>
      </c>
      <c r="D103" t="s">
        <v>73</v>
      </c>
      <c r="E103" t="s">
        <v>68</v>
      </c>
      <c r="F103" t="s">
        <v>69</v>
      </c>
      <c r="G103">
        <v>30000</v>
      </c>
      <c r="H103">
        <v>0.5</v>
      </c>
      <c r="I103">
        <v>0.5</v>
      </c>
      <c r="J103">
        <v>0</v>
      </c>
      <c r="K103">
        <v>1</v>
      </c>
      <c r="L103">
        <v>20000000</v>
      </c>
      <c r="M103">
        <v>48</v>
      </c>
      <c r="N103">
        <v>48</v>
      </c>
      <c r="O103">
        <v>48</v>
      </c>
      <c r="P103">
        <v>0</v>
      </c>
      <c r="Q103" t="s">
        <v>70</v>
      </c>
      <c r="R103">
        <v>100028085770894</v>
      </c>
      <c r="S103">
        <v>10003007</v>
      </c>
      <c r="V103" t="s">
        <v>83</v>
      </c>
      <c r="W103">
        <v>7</v>
      </c>
      <c r="X103">
        <v>1904712</v>
      </c>
      <c r="Y103">
        <v>12032526</v>
      </c>
      <c r="Z103">
        <v>13937238</v>
      </c>
      <c r="AA103">
        <v>10003007</v>
      </c>
      <c r="AB103">
        <v>7.31724</v>
      </c>
      <c r="AC103">
        <v>0.83133100000000004</v>
      </c>
      <c r="AD103">
        <v>1.7177199999999999</v>
      </c>
      <c r="AE103">
        <v>4.0556799999999997</v>
      </c>
      <c r="AF103">
        <v>1753201365</v>
      </c>
      <c r="AG103">
        <v>0</v>
      </c>
      <c r="AH103">
        <v>17707978</v>
      </c>
      <c r="AI103">
        <v>1753201365</v>
      </c>
      <c r="AJ103">
        <v>1770909343</v>
      </c>
      <c r="AK103">
        <v>58440045</v>
      </c>
      <c r="AL103">
        <v>0</v>
      </c>
      <c r="AM103">
        <v>590265</v>
      </c>
      <c r="AN103">
        <v>58440045</v>
      </c>
      <c r="AO103">
        <v>59030311</v>
      </c>
      <c r="AQ103">
        <v>16.0961</v>
      </c>
      <c r="AR103">
        <v>5.9582100000000002</v>
      </c>
      <c r="AS103">
        <v>2259.9899999999998</v>
      </c>
      <c r="AU103" t="s">
        <v>446</v>
      </c>
      <c r="AV103" t="str">
        <f t="shared" si="2"/>
        <v>1% updates, key range [0, 2*10^7)</v>
      </c>
      <c r="AW103" t="str">
        <f t="shared" si="3"/>
        <v>2474</v>
      </c>
    </row>
    <row r="104" spans="1:49">
      <c r="A104" t="s">
        <v>186</v>
      </c>
      <c r="B104" t="s">
        <v>72</v>
      </c>
      <c r="C104">
        <v>72</v>
      </c>
      <c r="D104" t="s">
        <v>73</v>
      </c>
      <c r="E104" t="s">
        <v>68</v>
      </c>
      <c r="F104" t="s">
        <v>69</v>
      </c>
      <c r="G104">
        <v>30000</v>
      </c>
      <c r="H104">
        <v>0.5</v>
      </c>
      <c r="I104">
        <v>0.5</v>
      </c>
      <c r="J104">
        <v>0</v>
      </c>
      <c r="K104">
        <v>1</v>
      </c>
      <c r="L104">
        <v>20000000</v>
      </c>
      <c r="M104">
        <v>96</v>
      </c>
      <c r="N104">
        <v>96</v>
      </c>
      <c r="O104">
        <v>96</v>
      </c>
      <c r="P104">
        <v>0</v>
      </c>
      <c r="Q104" t="s">
        <v>70</v>
      </c>
      <c r="R104">
        <v>99995813121619</v>
      </c>
      <c r="S104">
        <v>9999751</v>
      </c>
      <c r="V104" t="s">
        <v>83</v>
      </c>
      <c r="W104">
        <v>7</v>
      </c>
      <c r="X104">
        <v>1899261</v>
      </c>
      <c r="Y104">
        <v>12013728</v>
      </c>
      <c r="Z104">
        <v>13912989</v>
      </c>
      <c r="AA104">
        <v>9999751</v>
      </c>
      <c r="AB104">
        <v>7.3254799999999998</v>
      </c>
      <c r="AC104">
        <v>0.83235999999999999</v>
      </c>
      <c r="AD104">
        <v>1.7187300000000001</v>
      </c>
      <c r="AE104">
        <v>4.0548000000000002</v>
      </c>
      <c r="AF104">
        <v>3706648987</v>
      </c>
      <c r="AG104">
        <v>0</v>
      </c>
      <c r="AH104">
        <v>37437069</v>
      </c>
      <c r="AI104">
        <v>3706648987</v>
      </c>
      <c r="AJ104">
        <v>3744086056</v>
      </c>
      <c r="AK104">
        <v>123554966</v>
      </c>
      <c r="AL104">
        <v>0</v>
      </c>
      <c r="AM104">
        <v>1247902</v>
      </c>
      <c r="AN104">
        <v>123554966</v>
      </c>
      <c r="AO104">
        <v>124802868</v>
      </c>
      <c r="AQ104">
        <v>16.233899999999998</v>
      </c>
      <c r="AR104">
        <v>6.40665</v>
      </c>
      <c r="AS104">
        <v>2113.69</v>
      </c>
      <c r="AU104" t="s">
        <v>447</v>
      </c>
      <c r="AV104" t="str">
        <f t="shared" si="2"/>
        <v>1% updates, key range [0, 2*10^7)</v>
      </c>
      <c r="AW104" t="str">
        <f t="shared" si="3"/>
        <v>2544</v>
      </c>
    </row>
    <row r="105" spans="1:49">
      <c r="A105" t="s">
        <v>187</v>
      </c>
      <c r="B105" t="s">
        <v>72</v>
      </c>
      <c r="C105">
        <v>72</v>
      </c>
      <c r="D105" t="s">
        <v>73</v>
      </c>
      <c r="E105" t="s">
        <v>68</v>
      </c>
      <c r="F105" t="s">
        <v>69</v>
      </c>
      <c r="G105">
        <v>30000</v>
      </c>
      <c r="H105">
        <v>0.5</v>
      </c>
      <c r="I105">
        <v>0.5</v>
      </c>
      <c r="J105">
        <v>0</v>
      </c>
      <c r="K105">
        <v>1</v>
      </c>
      <c r="L105">
        <v>20000000</v>
      </c>
      <c r="M105">
        <v>144</v>
      </c>
      <c r="N105">
        <v>144</v>
      </c>
      <c r="O105">
        <v>144</v>
      </c>
      <c r="P105">
        <v>0</v>
      </c>
      <c r="Q105" t="s">
        <v>70</v>
      </c>
      <c r="R105">
        <v>99980600478156</v>
      </c>
      <c r="S105">
        <v>9998479</v>
      </c>
      <c r="V105" t="s">
        <v>83</v>
      </c>
      <c r="W105">
        <v>7</v>
      </c>
      <c r="X105">
        <v>1730330</v>
      </c>
      <c r="Y105">
        <v>11652501</v>
      </c>
      <c r="Z105">
        <v>13382831</v>
      </c>
      <c r="AA105">
        <v>9998479</v>
      </c>
      <c r="AB105">
        <v>7.7342700000000004</v>
      </c>
      <c r="AC105">
        <v>0.85805399999999998</v>
      </c>
      <c r="AD105">
        <v>1.7471099999999999</v>
      </c>
      <c r="AE105">
        <v>4.02102</v>
      </c>
      <c r="AF105">
        <v>5494180784</v>
      </c>
      <c r="AG105">
        <v>0</v>
      </c>
      <c r="AH105">
        <v>55501763</v>
      </c>
      <c r="AI105">
        <v>5494180784</v>
      </c>
      <c r="AJ105">
        <v>5549682547</v>
      </c>
      <c r="AK105">
        <v>183139359</v>
      </c>
      <c r="AL105">
        <v>0</v>
      </c>
      <c r="AM105">
        <v>1850058</v>
      </c>
      <c r="AN105">
        <v>183139359</v>
      </c>
      <c r="AO105">
        <v>184989418</v>
      </c>
      <c r="AQ105">
        <v>16.3003</v>
      </c>
      <c r="AR105">
        <v>6.5552099999999998</v>
      </c>
      <c r="AS105">
        <v>2139.66</v>
      </c>
      <c r="AU105" t="s">
        <v>448</v>
      </c>
      <c r="AV105" t="str">
        <f t="shared" si="2"/>
        <v>1% updates, key range [0, 2*10^7)</v>
      </c>
      <c r="AW105" t="str">
        <f t="shared" si="3"/>
        <v>2677</v>
      </c>
    </row>
    <row r="106" spans="1:49">
      <c r="A106" t="s">
        <v>188</v>
      </c>
      <c r="B106" t="s">
        <v>72</v>
      </c>
      <c r="C106">
        <v>72</v>
      </c>
      <c r="D106" t="s">
        <v>73</v>
      </c>
      <c r="E106" t="s">
        <v>68</v>
      </c>
      <c r="F106" t="s">
        <v>69</v>
      </c>
      <c r="G106">
        <v>30000</v>
      </c>
      <c r="H106">
        <v>0.5</v>
      </c>
      <c r="I106">
        <v>0.5</v>
      </c>
      <c r="J106">
        <v>0</v>
      </c>
      <c r="K106">
        <v>1</v>
      </c>
      <c r="L106">
        <v>20000000</v>
      </c>
      <c r="M106">
        <v>190</v>
      </c>
      <c r="N106">
        <v>190</v>
      </c>
      <c r="O106">
        <v>190</v>
      </c>
      <c r="P106">
        <v>0</v>
      </c>
      <c r="Q106" t="s">
        <v>70</v>
      </c>
      <c r="R106">
        <v>99994481550456</v>
      </c>
      <c r="S106">
        <v>9999085</v>
      </c>
      <c r="V106" t="s">
        <v>83</v>
      </c>
      <c r="W106">
        <v>7</v>
      </c>
      <c r="X106">
        <v>1902922</v>
      </c>
      <c r="Y106">
        <v>12024391</v>
      </c>
      <c r="Z106">
        <v>13927313</v>
      </c>
      <c r="AA106">
        <v>9999085</v>
      </c>
      <c r="AB106">
        <v>7.3189099999999998</v>
      </c>
      <c r="AC106">
        <v>0.83156699999999995</v>
      </c>
      <c r="AD106">
        <v>1.7179500000000001</v>
      </c>
      <c r="AE106">
        <v>4.0554800000000002</v>
      </c>
      <c r="AF106">
        <v>7200606578</v>
      </c>
      <c r="AG106">
        <v>0</v>
      </c>
      <c r="AH106">
        <v>72736903</v>
      </c>
      <c r="AI106">
        <v>7200606578</v>
      </c>
      <c r="AJ106">
        <v>7273343481</v>
      </c>
      <c r="AK106">
        <v>240020219</v>
      </c>
      <c r="AL106">
        <v>0</v>
      </c>
      <c r="AM106">
        <v>2424563</v>
      </c>
      <c r="AN106">
        <v>240020219</v>
      </c>
      <c r="AO106">
        <v>242444782</v>
      </c>
      <c r="AQ106">
        <v>16.377500000000001</v>
      </c>
      <c r="AR106">
        <v>6.6303999999999998</v>
      </c>
      <c r="AS106">
        <v>2146.71</v>
      </c>
      <c r="AU106" t="s">
        <v>449</v>
      </c>
      <c r="AV106" t="str">
        <f t="shared" si="2"/>
        <v>1% updates, key range [0, 2*10^7)</v>
      </c>
      <c r="AW106" t="str">
        <f t="shared" si="3"/>
        <v>2766</v>
      </c>
    </row>
    <row r="107" spans="1:49">
      <c r="A107" t="s">
        <v>189</v>
      </c>
      <c r="B107" t="s">
        <v>74</v>
      </c>
      <c r="C107">
        <v>208</v>
      </c>
      <c r="D107" t="s">
        <v>73</v>
      </c>
      <c r="E107" t="s">
        <v>68</v>
      </c>
      <c r="F107" t="s">
        <v>69</v>
      </c>
      <c r="G107">
        <v>30000</v>
      </c>
      <c r="H107">
        <v>0.5</v>
      </c>
      <c r="I107">
        <v>0.5</v>
      </c>
      <c r="J107">
        <v>0</v>
      </c>
      <c r="K107">
        <v>1</v>
      </c>
      <c r="L107">
        <v>20000000</v>
      </c>
      <c r="M107">
        <v>24</v>
      </c>
      <c r="N107">
        <v>24</v>
      </c>
      <c r="O107">
        <v>24</v>
      </c>
      <c r="P107">
        <v>0</v>
      </c>
      <c r="Q107" t="s">
        <v>70</v>
      </c>
      <c r="R107">
        <v>100023449336958</v>
      </c>
      <c r="S107">
        <v>10001729</v>
      </c>
      <c r="V107" t="s">
        <v>83</v>
      </c>
      <c r="W107">
        <v>9</v>
      </c>
      <c r="X107">
        <v>207613</v>
      </c>
      <c r="Y107">
        <v>1428320</v>
      </c>
      <c r="Z107">
        <v>1635933</v>
      </c>
      <c r="AA107">
        <v>10001729</v>
      </c>
      <c r="AB107">
        <v>7.8797199999999998</v>
      </c>
      <c r="AC107">
        <v>7.00244</v>
      </c>
      <c r="AD107">
        <v>7.1137800000000002</v>
      </c>
      <c r="AE107">
        <v>8</v>
      </c>
      <c r="AF107">
        <v>904799931</v>
      </c>
      <c r="AG107">
        <v>0</v>
      </c>
      <c r="AH107">
        <v>9141862</v>
      </c>
      <c r="AI107">
        <v>904799931</v>
      </c>
      <c r="AJ107">
        <v>913941793</v>
      </c>
      <c r="AK107">
        <v>30159997</v>
      </c>
      <c r="AL107">
        <v>0</v>
      </c>
      <c r="AM107">
        <v>304728</v>
      </c>
      <c r="AN107">
        <v>30159997</v>
      </c>
      <c r="AO107">
        <v>30464726</v>
      </c>
      <c r="AQ107">
        <v>16.661999999999999</v>
      </c>
      <c r="AR107">
        <v>5.0394699999999997</v>
      </c>
      <c r="AS107">
        <v>2197.17</v>
      </c>
      <c r="AU107" t="s">
        <v>450</v>
      </c>
      <c r="AV107" t="str">
        <f t="shared" si="2"/>
        <v>1% updates, key range [0, 2*10^7)</v>
      </c>
      <c r="AW107" t="str">
        <f t="shared" si="3"/>
        <v>1439</v>
      </c>
    </row>
    <row r="108" spans="1:49">
      <c r="A108" t="s">
        <v>190</v>
      </c>
      <c r="B108" t="s">
        <v>74</v>
      </c>
      <c r="C108">
        <v>208</v>
      </c>
      <c r="D108" t="s">
        <v>73</v>
      </c>
      <c r="E108" t="s">
        <v>68</v>
      </c>
      <c r="F108" t="s">
        <v>69</v>
      </c>
      <c r="G108">
        <v>30000</v>
      </c>
      <c r="H108">
        <v>0.5</v>
      </c>
      <c r="I108">
        <v>0.5</v>
      </c>
      <c r="J108">
        <v>0</v>
      </c>
      <c r="K108">
        <v>1</v>
      </c>
      <c r="L108">
        <v>20000000</v>
      </c>
      <c r="M108">
        <v>48</v>
      </c>
      <c r="N108">
        <v>48</v>
      </c>
      <c r="O108">
        <v>48</v>
      </c>
      <c r="P108">
        <v>0</v>
      </c>
      <c r="Q108" t="s">
        <v>70</v>
      </c>
      <c r="R108">
        <v>99955659064878</v>
      </c>
      <c r="S108">
        <v>9996188</v>
      </c>
      <c r="V108" t="s">
        <v>83</v>
      </c>
      <c r="W108">
        <v>9</v>
      </c>
      <c r="X108">
        <v>217873</v>
      </c>
      <c r="Y108">
        <v>1497840</v>
      </c>
      <c r="Z108">
        <v>1715713</v>
      </c>
      <c r="AA108">
        <v>9996188</v>
      </c>
      <c r="AB108">
        <v>7.8748300000000002</v>
      </c>
      <c r="AC108">
        <v>6.6737399999999996</v>
      </c>
      <c r="AD108">
        <v>6.8262600000000004</v>
      </c>
      <c r="AE108">
        <v>8</v>
      </c>
      <c r="AF108">
        <v>1647168182</v>
      </c>
      <c r="AG108">
        <v>0</v>
      </c>
      <c r="AH108">
        <v>16637403</v>
      </c>
      <c r="AI108">
        <v>1647168182</v>
      </c>
      <c r="AJ108">
        <v>1663805585</v>
      </c>
      <c r="AK108">
        <v>54905606</v>
      </c>
      <c r="AL108">
        <v>0</v>
      </c>
      <c r="AM108">
        <v>554580</v>
      </c>
      <c r="AN108">
        <v>54905606</v>
      </c>
      <c r="AO108">
        <v>55460186</v>
      </c>
      <c r="AQ108">
        <v>16.761099999999999</v>
      </c>
      <c r="AR108">
        <v>5.0852000000000004</v>
      </c>
      <c r="AS108">
        <v>2411.06</v>
      </c>
      <c r="AU108" t="s">
        <v>451</v>
      </c>
      <c r="AV108" t="str">
        <f t="shared" si="2"/>
        <v>1% updates, key range [0, 2*10^7)</v>
      </c>
      <c r="AW108" t="str">
        <f t="shared" si="3"/>
        <v>1501</v>
      </c>
    </row>
    <row r="109" spans="1:49">
      <c r="A109" t="s">
        <v>191</v>
      </c>
      <c r="B109" t="s">
        <v>74</v>
      </c>
      <c r="C109">
        <v>208</v>
      </c>
      <c r="D109" t="s">
        <v>73</v>
      </c>
      <c r="E109" t="s">
        <v>68</v>
      </c>
      <c r="F109" t="s">
        <v>69</v>
      </c>
      <c r="G109">
        <v>30000</v>
      </c>
      <c r="H109">
        <v>0.5</v>
      </c>
      <c r="I109">
        <v>0.5</v>
      </c>
      <c r="J109">
        <v>0</v>
      </c>
      <c r="K109">
        <v>1</v>
      </c>
      <c r="L109">
        <v>20000000</v>
      </c>
      <c r="M109">
        <v>96</v>
      </c>
      <c r="N109">
        <v>96</v>
      </c>
      <c r="O109">
        <v>96</v>
      </c>
      <c r="P109">
        <v>0</v>
      </c>
      <c r="Q109" t="s">
        <v>70</v>
      </c>
      <c r="R109">
        <v>99970991303355</v>
      </c>
      <c r="S109">
        <v>9996241</v>
      </c>
      <c r="V109" t="s">
        <v>83</v>
      </c>
      <c r="W109">
        <v>9</v>
      </c>
      <c r="X109">
        <v>234508</v>
      </c>
      <c r="Y109">
        <v>1612614</v>
      </c>
      <c r="Z109">
        <v>1847122</v>
      </c>
      <c r="AA109">
        <v>9996241</v>
      </c>
      <c r="AB109">
        <v>7.8765799999999997</v>
      </c>
      <c r="AC109">
        <v>6.1987800000000002</v>
      </c>
      <c r="AD109">
        <v>6.4117899999999999</v>
      </c>
      <c r="AE109">
        <v>8</v>
      </c>
      <c r="AF109">
        <v>3501376522</v>
      </c>
      <c r="AG109">
        <v>0</v>
      </c>
      <c r="AH109">
        <v>35365510</v>
      </c>
      <c r="AI109">
        <v>3501376522</v>
      </c>
      <c r="AJ109">
        <v>3536742032</v>
      </c>
      <c r="AK109">
        <v>116712550</v>
      </c>
      <c r="AL109">
        <v>0</v>
      </c>
      <c r="AM109">
        <v>1178850</v>
      </c>
      <c r="AN109">
        <v>116712550</v>
      </c>
      <c r="AO109">
        <v>117891401</v>
      </c>
      <c r="AQ109">
        <v>17.0885</v>
      </c>
      <c r="AR109">
        <v>5.63476</v>
      </c>
      <c r="AS109">
        <v>2259.08</v>
      </c>
      <c r="AU109" t="s">
        <v>452</v>
      </c>
      <c r="AV109" t="str">
        <f t="shared" si="2"/>
        <v>1% updates, key range [0, 2*10^7)</v>
      </c>
      <c r="AW109" t="str">
        <f t="shared" si="3"/>
        <v>1647</v>
      </c>
    </row>
    <row r="110" spans="1:49">
      <c r="A110" t="s">
        <v>192</v>
      </c>
      <c r="B110" t="s">
        <v>74</v>
      </c>
      <c r="C110">
        <v>208</v>
      </c>
      <c r="D110" t="s">
        <v>73</v>
      </c>
      <c r="E110" t="s">
        <v>68</v>
      </c>
      <c r="F110" t="s">
        <v>69</v>
      </c>
      <c r="G110">
        <v>30000</v>
      </c>
      <c r="H110">
        <v>0.5</v>
      </c>
      <c r="I110">
        <v>0.5</v>
      </c>
      <c r="J110">
        <v>0</v>
      </c>
      <c r="K110">
        <v>1</v>
      </c>
      <c r="L110">
        <v>20000000</v>
      </c>
      <c r="M110">
        <v>144</v>
      </c>
      <c r="N110">
        <v>144</v>
      </c>
      <c r="O110">
        <v>144</v>
      </c>
      <c r="P110">
        <v>0</v>
      </c>
      <c r="Q110" t="s">
        <v>70</v>
      </c>
      <c r="R110">
        <v>100016327435137</v>
      </c>
      <c r="S110">
        <v>10001737</v>
      </c>
      <c r="V110" t="s">
        <v>83</v>
      </c>
      <c r="W110">
        <v>9</v>
      </c>
      <c r="X110">
        <v>244907</v>
      </c>
      <c r="Y110">
        <v>1679922</v>
      </c>
      <c r="Z110">
        <v>1924829</v>
      </c>
      <c r="AA110">
        <v>10001737</v>
      </c>
      <c r="AB110">
        <v>7.8594299999999997</v>
      </c>
      <c r="AC110">
        <v>5.9536899999999999</v>
      </c>
      <c r="AD110">
        <v>6.1961700000000004</v>
      </c>
      <c r="AE110">
        <v>8</v>
      </c>
      <c r="AF110">
        <v>5172181849</v>
      </c>
      <c r="AG110">
        <v>0</v>
      </c>
      <c r="AH110">
        <v>52245902</v>
      </c>
      <c r="AI110">
        <v>5172181849</v>
      </c>
      <c r="AJ110">
        <v>5224427751</v>
      </c>
      <c r="AK110">
        <v>172406061</v>
      </c>
      <c r="AL110">
        <v>0</v>
      </c>
      <c r="AM110">
        <v>1741530</v>
      </c>
      <c r="AN110">
        <v>172406061</v>
      </c>
      <c r="AO110">
        <v>174147591</v>
      </c>
      <c r="AQ110">
        <v>17.271999999999998</v>
      </c>
      <c r="AR110">
        <v>5.8109099999999998</v>
      </c>
      <c r="AS110">
        <v>2291.2399999999998</v>
      </c>
      <c r="AU110" t="s">
        <v>453</v>
      </c>
      <c r="AV110" t="str">
        <f t="shared" si="2"/>
        <v>1% updates, key range [0, 2*10^7)</v>
      </c>
      <c r="AW110" t="str">
        <f t="shared" si="3"/>
        <v>1623</v>
      </c>
    </row>
    <row r="111" spans="1:49">
      <c r="A111" t="s">
        <v>193</v>
      </c>
      <c r="B111" t="s">
        <v>74</v>
      </c>
      <c r="C111">
        <v>208</v>
      </c>
      <c r="D111" t="s">
        <v>73</v>
      </c>
      <c r="E111" t="s">
        <v>68</v>
      </c>
      <c r="F111" t="s">
        <v>69</v>
      </c>
      <c r="G111">
        <v>30000</v>
      </c>
      <c r="H111">
        <v>0.5</v>
      </c>
      <c r="I111">
        <v>0.5</v>
      </c>
      <c r="J111">
        <v>0</v>
      </c>
      <c r="K111">
        <v>1</v>
      </c>
      <c r="L111">
        <v>20000000</v>
      </c>
      <c r="M111">
        <v>190</v>
      </c>
      <c r="N111">
        <v>190</v>
      </c>
      <c r="O111">
        <v>190</v>
      </c>
      <c r="P111">
        <v>0</v>
      </c>
      <c r="Q111" t="s">
        <v>70</v>
      </c>
      <c r="R111">
        <v>99967194851397</v>
      </c>
      <c r="S111">
        <v>9998882</v>
      </c>
      <c r="V111" t="s">
        <v>83</v>
      </c>
      <c r="W111">
        <v>9</v>
      </c>
      <c r="X111">
        <v>252103</v>
      </c>
      <c r="Y111">
        <v>1729210</v>
      </c>
      <c r="Z111">
        <v>1981313</v>
      </c>
      <c r="AA111">
        <v>9998882</v>
      </c>
      <c r="AB111">
        <v>7.85914</v>
      </c>
      <c r="AC111">
        <v>5.7823399999999996</v>
      </c>
      <c r="AD111">
        <v>6.0465900000000001</v>
      </c>
      <c r="AE111">
        <v>8</v>
      </c>
      <c r="AF111">
        <v>6764340256</v>
      </c>
      <c r="AG111">
        <v>0</v>
      </c>
      <c r="AH111">
        <v>68315240</v>
      </c>
      <c r="AI111">
        <v>6764340256</v>
      </c>
      <c r="AJ111">
        <v>6832655496</v>
      </c>
      <c r="AK111">
        <v>225478008</v>
      </c>
      <c r="AL111">
        <v>0</v>
      </c>
      <c r="AM111">
        <v>2277174</v>
      </c>
      <c r="AN111">
        <v>225478008</v>
      </c>
      <c r="AO111">
        <v>227755183</v>
      </c>
      <c r="AQ111">
        <v>17.398499999999999</v>
      </c>
      <c r="AR111">
        <v>5.9044600000000003</v>
      </c>
      <c r="AS111">
        <v>2307.59</v>
      </c>
      <c r="AU111" t="s">
        <v>454</v>
      </c>
      <c r="AV111" t="str">
        <f t="shared" si="2"/>
        <v>1% updates, key range [0, 2*10^7)</v>
      </c>
      <c r="AW111" t="str">
        <f t="shared" si="3"/>
        <v>1702</v>
      </c>
    </row>
    <row r="112" spans="1:49">
      <c r="A112" t="s">
        <v>194</v>
      </c>
      <c r="B112" t="s">
        <v>75</v>
      </c>
      <c r="D112" t="s">
        <v>73</v>
      </c>
      <c r="E112" t="s">
        <v>68</v>
      </c>
      <c r="F112" t="s">
        <v>69</v>
      </c>
      <c r="G112">
        <v>30000</v>
      </c>
      <c r="H112">
        <v>0.5</v>
      </c>
      <c r="I112">
        <v>0.5</v>
      </c>
      <c r="J112">
        <v>0</v>
      </c>
      <c r="K112">
        <v>1</v>
      </c>
      <c r="L112">
        <v>20000000</v>
      </c>
      <c r="M112">
        <v>24</v>
      </c>
      <c r="N112">
        <v>24</v>
      </c>
      <c r="O112">
        <v>24</v>
      </c>
      <c r="P112">
        <v>0</v>
      </c>
      <c r="Q112" t="s">
        <v>70</v>
      </c>
      <c r="R112">
        <v>99990441949083</v>
      </c>
      <c r="S112">
        <v>9998990</v>
      </c>
      <c r="V112" t="s">
        <v>83</v>
      </c>
      <c r="W112">
        <v>29</v>
      </c>
      <c r="X112">
        <v>5932688</v>
      </c>
      <c r="Y112">
        <v>4466241</v>
      </c>
      <c r="Z112">
        <v>10398929</v>
      </c>
      <c r="AA112">
        <v>9998990</v>
      </c>
      <c r="AB112">
        <v>1.75282</v>
      </c>
      <c r="AC112">
        <v>2.2387899999999998</v>
      </c>
      <c r="AD112">
        <v>1.9615400000000001</v>
      </c>
      <c r="AE112">
        <v>22.928699999999999</v>
      </c>
      <c r="AF112">
        <v>412867063</v>
      </c>
      <c r="AG112">
        <v>0</v>
      </c>
      <c r="AH112">
        <v>4173215</v>
      </c>
      <c r="AI112">
        <v>412867063</v>
      </c>
      <c r="AJ112">
        <v>417040278</v>
      </c>
      <c r="AK112">
        <v>13762235</v>
      </c>
      <c r="AL112">
        <v>0</v>
      </c>
      <c r="AM112">
        <v>139107</v>
      </c>
      <c r="AN112">
        <v>13762235</v>
      </c>
      <c r="AO112">
        <v>13901342</v>
      </c>
      <c r="AQ112">
        <v>27.828800000000001</v>
      </c>
      <c r="AR112">
        <v>9.5548300000000008</v>
      </c>
      <c r="AS112">
        <v>4815.37</v>
      </c>
      <c r="AU112" t="s">
        <v>455</v>
      </c>
      <c r="AV112" t="str">
        <f t="shared" si="2"/>
        <v>1% updates, key range [0, 2*10^7)</v>
      </c>
      <c r="AW112" t="str">
        <f t="shared" si="3"/>
        <v>1741</v>
      </c>
    </row>
    <row r="113" spans="1:49">
      <c r="A113" t="s">
        <v>195</v>
      </c>
      <c r="B113" t="s">
        <v>75</v>
      </c>
      <c r="D113" t="s">
        <v>73</v>
      </c>
      <c r="E113" t="s">
        <v>68</v>
      </c>
      <c r="F113" t="s">
        <v>69</v>
      </c>
      <c r="G113">
        <v>30000</v>
      </c>
      <c r="H113">
        <v>0.5</v>
      </c>
      <c r="I113">
        <v>0.5</v>
      </c>
      <c r="J113">
        <v>0</v>
      </c>
      <c r="K113">
        <v>1</v>
      </c>
      <c r="L113">
        <v>20000000</v>
      </c>
      <c r="M113">
        <v>48</v>
      </c>
      <c r="N113">
        <v>48</v>
      </c>
      <c r="O113">
        <v>48</v>
      </c>
      <c r="P113">
        <v>0</v>
      </c>
      <c r="Q113" t="s">
        <v>70</v>
      </c>
      <c r="R113">
        <v>100025178247301</v>
      </c>
      <c r="S113">
        <v>9998881</v>
      </c>
      <c r="V113" t="s">
        <v>83</v>
      </c>
      <c r="W113">
        <v>29</v>
      </c>
      <c r="X113">
        <v>6090534</v>
      </c>
      <c r="Y113">
        <v>4592137</v>
      </c>
      <c r="Z113">
        <v>10682671</v>
      </c>
      <c r="AA113">
        <v>9998881</v>
      </c>
      <c r="AB113">
        <v>1.7539800000000001</v>
      </c>
      <c r="AC113">
        <v>2.1773899999999999</v>
      </c>
      <c r="AD113">
        <v>1.9359900000000001</v>
      </c>
      <c r="AE113">
        <v>22.907699999999998</v>
      </c>
      <c r="AF113">
        <v>774799416</v>
      </c>
      <c r="AG113">
        <v>0</v>
      </c>
      <c r="AH113">
        <v>7829215</v>
      </c>
      <c r="AI113">
        <v>774799416</v>
      </c>
      <c r="AJ113">
        <v>782628631</v>
      </c>
      <c r="AK113">
        <v>25826647</v>
      </c>
      <c r="AL113">
        <v>0</v>
      </c>
      <c r="AM113">
        <v>260973</v>
      </c>
      <c r="AN113">
        <v>25826647</v>
      </c>
      <c r="AO113">
        <v>26087621</v>
      </c>
      <c r="AQ113">
        <v>28.514800000000001</v>
      </c>
      <c r="AR113">
        <v>9.41784</v>
      </c>
      <c r="AS113">
        <v>5124.12</v>
      </c>
      <c r="AU113" t="s">
        <v>456</v>
      </c>
      <c r="AV113" t="str">
        <f t="shared" si="2"/>
        <v>1% updates, key range [0, 2*10^7)</v>
      </c>
      <c r="AW113" t="str">
        <f t="shared" si="3"/>
        <v>1764</v>
      </c>
    </row>
    <row r="114" spans="1:49">
      <c r="A114" t="s">
        <v>196</v>
      </c>
      <c r="B114" t="s">
        <v>75</v>
      </c>
      <c r="D114" t="s">
        <v>73</v>
      </c>
      <c r="E114" t="s">
        <v>68</v>
      </c>
      <c r="F114" t="s">
        <v>69</v>
      </c>
      <c r="G114">
        <v>30000</v>
      </c>
      <c r="H114">
        <v>0.5</v>
      </c>
      <c r="I114">
        <v>0.5</v>
      </c>
      <c r="J114">
        <v>0</v>
      </c>
      <c r="K114">
        <v>1</v>
      </c>
      <c r="L114">
        <v>20000000</v>
      </c>
      <c r="M114">
        <v>96</v>
      </c>
      <c r="N114">
        <v>96</v>
      </c>
      <c r="O114">
        <v>96</v>
      </c>
      <c r="P114">
        <v>0</v>
      </c>
      <c r="Q114" t="s">
        <v>70</v>
      </c>
      <c r="R114">
        <v>99987715465627</v>
      </c>
      <c r="S114">
        <v>9999867</v>
      </c>
      <c r="V114" t="s">
        <v>83</v>
      </c>
      <c r="W114">
        <v>29</v>
      </c>
      <c r="X114">
        <v>6381895</v>
      </c>
      <c r="Y114">
        <v>4823944</v>
      </c>
      <c r="Z114">
        <v>11205839</v>
      </c>
      <c r="AA114">
        <v>9999867</v>
      </c>
      <c r="AB114">
        <v>1.7558800000000001</v>
      </c>
      <c r="AC114">
        <v>2.0729600000000001</v>
      </c>
      <c r="AD114">
        <v>1.89238</v>
      </c>
      <c r="AE114">
        <v>23.034700000000001</v>
      </c>
      <c r="AF114">
        <v>1706347193</v>
      </c>
      <c r="AG114">
        <v>0</v>
      </c>
      <c r="AH114">
        <v>17237049</v>
      </c>
      <c r="AI114">
        <v>1706347193</v>
      </c>
      <c r="AJ114">
        <v>1723584242</v>
      </c>
      <c r="AK114">
        <v>56878239</v>
      </c>
      <c r="AL114">
        <v>0</v>
      </c>
      <c r="AM114">
        <v>574568</v>
      </c>
      <c r="AN114">
        <v>56878239</v>
      </c>
      <c r="AO114">
        <v>57452808</v>
      </c>
      <c r="AQ114">
        <v>28.815999999999999</v>
      </c>
      <c r="AR114">
        <v>10.6638</v>
      </c>
      <c r="AS114">
        <v>4648.58</v>
      </c>
      <c r="AU114" t="s">
        <v>457</v>
      </c>
      <c r="AV114" t="str">
        <f t="shared" si="2"/>
        <v>1% updates, key range [0, 2*10^7)</v>
      </c>
      <c r="AW114" t="str">
        <f t="shared" si="3"/>
        <v>1812</v>
      </c>
    </row>
    <row r="115" spans="1:49">
      <c r="A115" t="s">
        <v>197</v>
      </c>
      <c r="B115" t="s">
        <v>75</v>
      </c>
      <c r="D115" t="s">
        <v>73</v>
      </c>
      <c r="E115" t="s">
        <v>68</v>
      </c>
      <c r="F115" t="s">
        <v>69</v>
      </c>
      <c r="G115">
        <v>30000</v>
      </c>
      <c r="H115">
        <v>0.5</v>
      </c>
      <c r="I115">
        <v>0.5</v>
      </c>
      <c r="J115">
        <v>0</v>
      </c>
      <c r="K115">
        <v>1</v>
      </c>
      <c r="L115">
        <v>20000000</v>
      </c>
      <c r="M115">
        <v>144</v>
      </c>
      <c r="N115">
        <v>144</v>
      </c>
      <c r="O115">
        <v>144</v>
      </c>
      <c r="P115">
        <v>0</v>
      </c>
      <c r="Q115" t="s">
        <v>70</v>
      </c>
      <c r="R115">
        <v>100009388223749</v>
      </c>
      <c r="S115">
        <v>10000828</v>
      </c>
      <c r="V115" t="s">
        <v>83</v>
      </c>
      <c r="W115">
        <v>29</v>
      </c>
      <c r="X115">
        <v>6553133</v>
      </c>
      <c r="Y115">
        <v>4960150</v>
      </c>
      <c r="Z115">
        <v>11513283</v>
      </c>
      <c r="AA115">
        <v>10000828</v>
      </c>
      <c r="AB115">
        <v>1.75691</v>
      </c>
      <c r="AC115">
        <v>2.0162300000000002</v>
      </c>
      <c r="AD115">
        <v>1.86863</v>
      </c>
      <c r="AE115">
        <v>23.097999999999999</v>
      </c>
      <c r="AF115">
        <v>2572023899</v>
      </c>
      <c r="AG115">
        <v>0</v>
      </c>
      <c r="AH115">
        <v>25979162</v>
      </c>
      <c r="AI115">
        <v>2572023899</v>
      </c>
      <c r="AJ115">
        <v>2598003061</v>
      </c>
      <c r="AK115">
        <v>85734129</v>
      </c>
      <c r="AL115">
        <v>0</v>
      </c>
      <c r="AM115">
        <v>865972</v>
      </c>
      <c r="AN115">
        <v>85734129</v>
      </c>
      <c r="AO115">
        <v>86600102</v>
      </c>
      <c r="AQ115">
        <v>28.9772</v>
      </c>
      <c r="AR115">
        <v>10.848599999999999</v>
      </c>
      <c r="AS115">
        <v>4625.91</v>
      </c>
      <c r="AU115" t="s">
        <v>458</v>
      </c>
      <c r="AV115" t="str">
        <f t="shared" si="2"/>
        <v>1% updates, key range [0, 2*10^7)</v>
      </c>
      <c r="AW115" t="str">
        <f t="shared" si="3"/>
        <v>1842</v>
      </c>
    </row>
    <row r="116" spans="1:49">
      <c r="A116" t="s">
        <v>198</v>
      </c>
      <c r="B116" t="s">
        <v>75</v>
      </c>
      <c r="D116" t="s">
        <v>73</v>
      </c>
      <c r="E116" t="s">
        <v>68</v>
      </c>
      <c r="F116" t="s">
        <v>69</v>
      </c>
      <c r="G116">
        <v>30000</v>
      </c>
      <c r="H116">
        <v>0.5</v>
      </c>
      <c r="I116">
        <v>0.5</v>
      </c>
      <c r="J116">
        <v>0</v>
      </c>
      <c r="K116">
        <v>1</v>
      </c>
      <c r="L116">
        <v>20000000</v>
      </c>
      <c r="M116">
        <v>190</v>
      </c>
      <c r="N116">
        <v>190</v>
      </c>
      <c r="O116">
        <v>190</v>
      </c>
      <c r="P116">
        <v>0</v>
      </c>
      <c r="Q116" t="s">
        <v>70</v>
      </c>
      <c r="R116">
        <v>100023499302971</v>
      </c>
      <c r="S116">
        <v>9998442</v>
      </c>
      <c r="V116" t="s">
        <v>83</v>
      </c>
      <c r="W116">
        <v>29</v>
      </c>
      <c r="X116">
        <v>6658651</v>
      </c>
      <c r="Y116">
        <v>5042431</v>
      </c>
      <c r="Z116">
        <v>11701082</v>
      </c>
      <c r="AA116">
        <v>9998442</v>
      </c>
      <c r="AB116">
        <v>1.75728</v>
      </c>
      <c r="AC116">
        <v>1.9828600000000001</v>
      </c>
      <c r="AD116">
        <v>1.85449</v>
      </c>
      <c r="AE116">
        <v>23.1675</v>
      </c>
      <c r="AF116">
        <v>3411830911</v>
      </c>
      <c r="AG116">
        <v>0</v>
      </c>
      <c r="AH116">
        <v>34466082</v>
      </c>
      <c r="AI116">
        <v>3411830911</v>
      </c>
      <c r="AJ116">
        <v>3446296993</v>
      </c>
      <c r="AK116">
        <v>113727697</v>
      </c>
      <c r="AL116">
        <v>0</v>
      </c>
      <c r="AM116">
        <v>1148869</v>
      </c>
      <c r="AN116">
        <v>113727697</v>
      </c>
      <c r="AO116">
        <v>114876566</v>
      </c>
      <c r="AQ116">
        <v>28.945699999999999</v>
      </c>
      <c r="AR116">
        <v>10.956300000000001</v>
      </c>
      <c r="AS116">
        <v>4596.3</v>
      </c>
      <c r="AU116" t="s">
        <v>459</v>
      </c>
      <c r="AV116" t="str">
        <f t="shared" si="2"/>
        <v>1% updates, key range [0, 2*10^7)</v>
      </c>
      <c r="AW116" t="str">
        <f t="shared" si="3"/>
        <v>1862</v>
      </c>
    </row>
    <row r="117" spans="1:49">
      <c r="A117" t="s">
        <v>199</v>
      </c>
      <c r="B117" t="s">
        <v>76</v>
      </c>
      <c r="D117" t="s">
        <v>73</v>
      </c>
      <c r="E117" t="s">
        <v>68</v>
      </c>
      <c r="F117" t="s">
        <v>69</v>
      </c>
      <c r="G117">
        <v>30000</v>
      </c>
      <c r="H117">
        <v>0.5</v>
      </c>
      <c r="I117">
        <v>0.5</v>
      </c>
      <c r="J117">
        <v>0</v>
      </c>
      <c r="K117">
        <v>1</v>
      </c>
      <c r="L117">
        <v>20000000</v>
      </c>
      <c r="M117">
        <v>24</v>
      </c>
      <c r="N117">
        <v>24</v>
      </c>
      <c r="O117">
        <v>24</v>
      </c>
      <c r="P117">
        <v>0</v>
      </c>
      <c r="Q117" t="s">
        <v>70</v>
      </c>
      <c r="R117">
        <v>99964430136736</v>
      </c>
      <c r="S117">
        <v>9999653</v>
      </c>
      <c r="V117" t="s">
        <v>83</v>
      </c>
      <c r="W117">
        <v>61</v>
      </c>
      <c r="X117">
        <v>9999652</v>
      </c>
      <c r="Y117">
        <v>9999653</v>
      </c>
      <c r="Z117">
        <v>19999305</v>
      </c>
      <c r="AA117">
        <v>9999653</v>
      </c>
      <c r="AB117">
        <v>2</v>
      </c>
      <c r="AC117">
        <v>1</v>
      </c>
      <c r="AD117">
        <v>1.5</v>
      </c>
      <c r="AE117">
        <v>30.684200000000001</v>
      </c>
      <c r="AF117">
        <v>347020388</v>
      </c>
      <c r="AG117">
        <v>0</v>
      </c>
      <c r="AH117">
        <v>3507633</v>
      </c>
      <c r="AI117">
        <v>347020388</v>
      </c>
      <c r="AJ117">
        <v>350528021</v>
      </c>
      <c r="AK117">
        <v>11567346</v>
      </c>
      <c r="AL117">
        <v>0</v>
      </c>
      <c r="AM117">
        <v>116921</v>
      </c>
      <c r="AN117">
        <v>11567346</v>
      </c>
      <c r="AO117">
        <v>11684267</v>
      </c>
      <c r="AQ117">
        <v>24.389600000000002</v>
      </c>
      <c r="AR117">
        <v>8.8381299999999996</v>
      </c>
      <c r="AS117">
        <v>5729.86</v>
      </c>
      <c r="AU117" t="s">
        <v>460</v>
      </c>
      <c r="AV117" t="str">
        <f t="shared" si="2"/>
        <v>1% updates, key range [0, 2*10^7)</v>
      </c>
      <c r="AW117" t="str">
        <f t="shared" si="3"/>
        <v>1717</v>
      </c>
    </row>
    <row r="118" spans="1:49">
      <c r="A118" t="s">
        <v>200</v>
      </c>
      <c r="B118" t="s">
        <v>76</v>
      </c>
      <c r="D118" t="s">
        <v>73</v>
      </c>
      <c r="E118" t="s">
        <v>68</v>
      </c>
      <c r="F118" t="s">
        <v>69</v>
      </c>
      <c r="G118">
        <v>30000</v>
      </c>
      <c r="H118">
        <v>0.5</v>
      </c>
      <c r="I118">
        <v>0.5</v>
      </c>
      <c r="J118">
        <v>0</v>
      </c>
      <c r="K118">
        <v>1</v>
      </c>
      <c r="L118">
        <v>20000000</v>
      </c>
      <c r="M118">
        <v>48</v>
      </c>
      <c r="N118">
        <v>48</v>
      </c>
      <c r="O118">
        <v>48</v>
      </c>
      <c r="P118">
        <v>0</v>
      </c>
      <c r="Q118" t="s">
        <v>70</v>
      </c>
      <c r="R118">
        <v>99977704144564</v>
      </c>
      <c r="S118">
        <v>9997374</v>
      </c>
      <c r="V118" t="s">
        <v>83</v>
      </c>
      <c r="W118">
        <v>60</v>
      </c>
      <c r="X118">
        <v>9997373</v>
      </c>
      <c r="Y118">
        <v>9997374</v>
      </c>
      <c r="Z118">
        <v>19994747</v>
      </c>
      <c r="AA118">
        <v>9997374</v>
      </c>
      <c r="AB118">
        <v>2</v>
      </c>
      <c r="AC118">
        <v>1</v>
      </c>
      <c r="AD118">
        <v>1.5</v>
      </c>
      <c r="AE118">
        <v>31.103999999999999</v>
      </c>
      <c r="AF118">
        <v>649475535</v>
      </c>
      <c r="AG118">
        <v>0</v>
      </c>
      <c r="AH118">
        <v>6562538</v>
      </c>
      <c r="AI118">
        <v>649475535</v>
      </c>
      <c r="AJ118">
        <v>656038073</v>
      </c>
      <c r="AK118">
        <v>21649184</v>
      </c>
      <c r="AL118">
        <v>0</v>
      </c>
      <c r="AM118">
        <v>218751</v>
      </c>
      <c r="AN118">
        <v>21649184</v>
      </c>
      <c r="AO118">
        <v>21867935</v>
      </c>
      <c r="AQ118">
        <v>24.34</v>
      </c>
      <c r="AR118">
        <v>8.7053200000000004</v>
      </c>
      <c r="AS118">
        <v>6114.84</v>
      </c>
      <c r="AU118" t="s">
        <v>461</v>
      </c>
      <c r="AV118" t="str">
        <f t="shared" si="2"/>
        <v>1% updates, key range [0, 2*10^7)</v>
      </c>
      <c r="AW118" t="str">
        <f t="shared" si="3"/>
        <v>1721</v>
      </c>
    </row>
    <row r="119" spans="1:49">
      <c r="A119" t="s">
        <v>201</v>
      </c>
      <c r="B119" t="s">
        <v>76</v>
      </c>
      <c r="D119" t="s">
        <v>73</v>
      </c>
      <c r="E119" t="s">
        <v>68</v>
      </c>
      <c r="F119" t="s">
        <v>69</v>
      </c>
      <c r="G119">
        <v>30000</v>
      </c>
      <c r="H119">
        <v>0.5</v>
      </c>
      <c r="I119">
        <v>0.5</v>
      </c>
      <c r="J119">
        <v>0</v>
      </c>
      <c r="K119">
        <v>1</v>
      </c>
      <c r="L119">
        <v>20000000</v>
      </c>
      <c r="M119">
        <v>96</v>
      </c>
      <c r="N119">
        <v>96</v>
      </c>
      <c r="O119">
        <v>96</v>
      </c>
      <c r="P119">
        <v>0</v>
      </c>
      <c r="Q119" t="s">
        <v>70</v>
      </c>
      <c r="R119">
        <v>99955248790831</v>
      </c>
      <c r="S119">
        <v>9997076</v>
      </c>
      <c r="V119" t="s">
        <v>83</v>
      </c>
      <c r="W119">
        <v>60</v>
      </c>
      <c r="X119">
        <v>9997075</v>
      </c>
      <c r="Y119">
        <v>9997076</v>
      </c>
      <c r="Z119">
        <v>19994151</v>
      </c>
      <c r="AA119">
        <v>9997076</v>
      </c>
      <c r="AB119">
        <v>2</v>
      </c>
      <c r="AC119">
        <v>1</v>
      </c>
      <c r="AD119">
        <v>1.5</v>
      </c>
      <c r="AE119">
        <v>31.0214</v>
      </c>
      <c r="AF119">
        <v>1464111458</v>
      </c>
      <c r="AG119">
        <v>0</v>
      </c>
      <c r="AH119">
        <v>14789829</v>
      </c>
      <c r="AI119">
        <v>1464111458</v>
      </c>
      <c r="AJ119">
        <v>1478901287</v>
      </c>
      <c r="AK119">
        <v>48803715</v>
      </c>
      <c r="AL119">
        <v>0</v>
      </c>
      <c r="AM119">
        <v>492994</v>
      </c>
      <c r="AN119">
        <v>48803715</v>
      </c>
      <c r="AO119">
        <v>49296709</v>
      </c>
      <c r="AQ119">
        <v>25.0791</v>
      </c>
      <c r="AR119">
        <v>10.0251</v>
      </c>
      <c r="AS119">
        <v>5419.49</v>
      </c>
      <c r="AU119" t="s">
        <v>462</v>
      </c>
      <c r="AV119" t="str">
        <f t="shared" si="2"/>
        <v>1% updates, key range [0, 2*10^7)</v>
      </c>
      <c r="AW119" t="str">
        <f t="shared" si="3"/>
        <v>1736</v>
      </c>
    </row>
    <row r="120" spans="1:49">
      <c r="A120" t="s">
        <v>202</v>
      </c>
      <c r="B120" t="s">
        <v>76</v>
      </c>
      <c r="D120" t="s">
        <v>73</v>
      </c>
      <c r="E120" t="s">
        <v>68</v>
      </c>
      <c r="F120" t="s">
        <v>69</v>
      </c>
      <c r="G120">
        <v>30000</v>
      </c>
      <c r="H120">
        <v>0.5</v>
      </c>
      <c r="I120">
        <v>0.5</v>
      </c>
      <c r="J120">
        <v>0</v>
      </c>
      <c r="K120">
        <v>1</v>
      </c>
      <c r="L120">
        <v>20000000</v>
      </c>
      <c r="M120">
        <v>144</v>
      </c>
      <c r="N120">
        <v>144</v>
      </c>
      <c r="O120">
        <v>144</v>
      </c>
      <c r="P120">
        <v>0</v>
      </c>
      <c r="Q120" t="s">
        <v>70</v>
      </c>
      <c r="R120">
        <v>100004615171903</v>
      </c>
      <c r="S120">
        <v>10001012</v>
      </c>
      <c r="V120" t="s">
        <v>83</v>
      </c>
      <c r="W120">
        <v>62</v>
      </c>
      <c r="X120">
        <v>10001011</v>
      </c>
      <c r="Y120">
        <v>10001012</v>
      </c>
      <c r="Z120">
        <v>20002023</v>
      </c>
      <c r="AA120">
        <v>10001012</v>
      </c>
      <c r="AB120">
        <v>2</v>
      </c>
      <c r="AC120">
        <v>1</v>
      </c>
      <c r="AD120">
        <v>1.5</v>
      </c>
      <c r="AE120">
        <v>32.152099999999997</v>
      </c>
      <c r="AF120">
        <v>2220028559</v>
      </c>
      <c r="AG120">
        <v>0</v>
      </c>
      <c r="AH120">
        <v>22429700</v>
      </c>
      <c r="AI120">
        <v>2220028559</v>
      </c>
      <c r="AJ120">
        <v>2242458259</v>
      </c>
      <c r="AK120">
        <v>74000951</v>
      </c>
      <c r="AL120">
        <v>0</v>
      </c>
      <c r="AM120">
        <v>747656</v>
      </c>
      <c r="AN120">
        <v>74000951</v>
      </c>
      <c r="AO120">
        <v>74748608</v>
      </c>
      <c r="AQ120">
        <v>25.1935</v>
      </c>
      <c r="AR120">
        <v>10.2303</v>
      </c>
      <c r="AS120">
        <v>5363.8</v>
      </c>
      <c r="AU120" t="s">
        <v>463</v>
      </c>
      <c r="AV120" t="str">
        <f t="shared" si="2"/>
        <v>1% updates, key range [0, 2*10^7)</v>
      </c>
      <c r="AW120" t="str">
        <f t="shared" si="3"/>
        <v>1748</v>
      </c>
    </row>
    <row r="121" spans="1:49">
      <c r="A121" t="s">
        <v>203</v>
      </c>
      <c r="B121" t="s">
        <v>76</v>
      </c>
      <c r="D121" t="s">
        <v>73</v>
      </c>
      <c r="E121" t="s">
        <v>68</v>
      </c>
      <c r="F121" t="s">
        <v>69</v>
      </c>
      <c r="G121">
        <v>30000</v>
      </c>
      <c r="H121">
        <v>0.5</v>
      </c>
      <c r="I121">
        <v>0.5</v>
      </c>
      <c r="J121">
        <v>0</v>
      </c>
      <c r="K121">
        <v>1</v>
      </c>
      <c r="L121">
        <v>20000000</v>
      </c>
      <c r="M121">
        <v>190</v>
      </c>
      <c r="N121">
        <v>190</v>
      </c>
      <c r="O121">
        <v>190</v>
      </c>
      <c r="P121">
        <v>0</v>
      </c>
      <c r="Q121" t="s">
        <v>70</v>
      </c>
      <c r="R121">
        <v>99955041327102</v>
      </c>
      <c r="S121">
        <v>9996713</v>
      </c>
      <c r="V121" t="s">
        <v>83</v>
      </c>
      <c r="W121">
        <v>60</v>
      </c>
      <c r="X121">
        <v>9996712</v>
      </c>
      <c r="Y121">
        <v>9996713</v>
      </c>
      <c r="Z121">
        <v>19993425</v>
      </c>
      <c r="AA121">
        <v>9996713</v>
      </c>
      <c r="AB121">
        <v>2</v>
      </c>
      <c r="AC121">
        <v>1</v>
      </c>
      <c r="AD121">
        <v>1.5</v>
      </c>
      <c r="AE121">
        <v>32.424999999999997</v>
      </c>
      <c r="AF121">
        <v>2965387370</v>
      </c>
      <c r="AG121">
        <v>0</v>
      </c>
      <c r="AH121">
        <v>29947980</v>
      </c>
      <c r="AI121">
        <v>2965387370</v>
      </c>
      <c r="AJ121">
        <v>2995335350</v>
      </c>
      <c r="AK121">
        <v>98846245</v>
      </c>
      <c r="AL121">
        <v>0</v>
      </c>
      <c r="AM121">
        <v>998266</v>
      </c>
      <c r="AN121">
        <v>98846245</v>
      </c>
      <c r="AO121">
        <v>99844511</v>
      </c>
      <c r="AQ121">
        <v>25.238099999999999</v>
      </c>
      <c r="AR121">
        <v>10.3376</v>
      </c>
      <c r="AS121">
        <v>5296.81</v>
      </c>
      <c r="AU121" t="s">
        <v>464</v>
      </c>
      <c r="AV121" t="str">
        <f t="shared" si="2"/>
        <v>1% updates, key range [0, 2*10^7)</v>
      </c>
      <c r="AW121" t="str">
        <f t="shared" si="3"/>
        <v>1759</v>
      </c>
    </row>
    <row r="122" spans="1:49">
      <c r="A122" t="s">
        <v>204</v>
      </c>
      <c r="B122" t="s">
        <v>72</v>
      </c>
      <c r="C122">
        <v>72</v>
      </c>
      <c r="D122" t="s">
        <v>73</v>
      </c>
      <c r="E122" t="s">
        <v>68</v>
      </c>
      <c r="F122" t="s">
        <v>69</v>
      </c>
      <c r="G122">
        <v>30000</v>
      </c>
      <c r="H122">
        <v>0.5</v>
      </c>
      <c r="I122">
        <v>0.5</v>
      </c>
      <c r="J122">
        <v>0</v>
      </c>
      <c r="K122">
        <v>1</v>
      </c>
      <c r="L122">
        <v>200000000</v>
      </c>
      <c r="M122">
        <v>24</v>
      </c>
      <c r="N122">
        <v>24</v>
      </c>
      <c r="O122">
        <v>24</v>
      </c>
      <c r="P122">
        <v>0</v>
      </c>
      <c r="Q122" t="s">
        <v>70</v>
      </c>
      <c r="R122">
        <v>9999336599660550</v>
      </c>
      <c r="S122">
        <v>99999745</v>
      </c>
      <c r="V122" t="s">
        <v>83</v>
      </c>
      <c r="W122">
        <v>7</v>
      </c>
      <c r="X122">
        <v>12901762</v>
      </c>
      <c r="Y122">
        <v>113834361</v>
      </c>
      <c r="Z122">
        <v>126736123</v>
      </c>
      <c r="AA122">
        <v>99999745</v>
      </c>
      <c r="AB122">
        <v>9.8231599999999997</v>
      </c>
      <c r="AC122">
        <v>0.878467</v>
      </c>
      <c r="AD122">
        <v>1.78904</v>
      </c>
      <c r="AE122">
        <v>4.0386800000000003</v>
      </c>
      <c r="AF122">
        <v>851555864</v>
      </c>
      <c r="AG122">
        <v>0</v>
      </c>
      <c r="AH122">
        <v>8598824</v>
      </c>
      <c r="AI122">
        <v>851555864</v>
      </c>
      <c r="AJ122">
        <v>860154688</v>
      </c>
      <c r="AK122">
        <v>28385195</v>
      </c>
      <c r="AL122">
        <v>0</v>
      </c>
      <c r="AM122">
        <v>286627</v>
      </c>
      <c r="AN122">
        <v>28385195</v>
      </c>
      <c r="AO122">
        <v>28671822</v>
      </c>
      <c r="AQ122">
        <v>18.8657</v>
      </c>
      <c r="AR122">
        <v>8.1685599999999994</v>
      </c>
      <c r="AS122">
        <v>2333.83</v>
      </c>
      <c r="AU122" t="s">
        <v>465</v>
      </c>
      <c r="AV122" t="str">
        <f t="shared" si="2"/>
        <v>1% updates, key range [0, 2*10^8)</v>
      </c>
      <c r="AW122" t="str">
        <f t="shared" si="3"/>
        <v>7279</v>
      </c>
    </row>
    <row r="123" spans="1:49">
      <c r="A123" t="s">
        <v>205</v>
      </c>
      <c r="B123" t="s">
        <v>72</v>
      </c>
      <c r="C123">
        <v>72</v>
      </c>
      <c r="D123" t="s">
        <v>73</v>
      </c>
      <c r="E123" t="s">
        <v>68</v>
      </c>
      <c r="F123" t="s">
        <v>69</v>
      </c>
      <c r="G123">
        <v>30000</v>
      </c>
      <c r="H123">
        <v>0.5</v>
      </c>
      <c r="I123">
        <v>0.5</v>
      </c>
      <c r="J123">
        <v>0</v>
      </c>
      <c r="K123">
        <v>1</v>
      </c>
      <c r="L123">
        <v>200000000</v>
      </c>
      <c r="M123">
        <v>48</v>
      </c>
      <c r="N123">
        <v>48</v>
      </c>
      <c r="O123">
        <v>48</v>
      </c>
      <c r="P123">
        <v>0</v>
      </c>
      <c r="Q123" t="s">
        <v>70</v>
      </c>
      <c r="R123">
        <v>1.0000673285338E+16</v>
      </c>
      <c r="S123">
        <v>100000193</v>
      </c>
      <c r="V123" t="s">
        <v>83</v>
      </c>
      <c r="W123">
        <v>7</v>
      </c>
      <c r="X123">
        <v>13860527</v>
      </c>
      <c r="Y123">
        <v>115842434</v>
      </c>
      <c r="Z123">
        <v>129702961</v>
      </c>
      <c r="AA123">
        <v>100000193</v>
      </c>
      <c r="AB123">
        <v>9.3577200000000005</v>
      </c>
      <c r="AC123">
        <v>0.86324299999999998</v>
      </c>
      <c r="AD123">
        <v>1.7709900000000001</v>
      </c>
      <c r="AE123">
        <v>4.0588600000000001</v>
      </c>
      <c r="AF123">
        <v>1475574014</v>
      </c>
      <c r="AG123">
        <v>0</v>
      </c>
      <c r="AH123">
        <v>14902326</v>
      </c>
      <c r="AI123">
        <v>1475574014</v>
      </c>
      <c r="AJ123">
        <v>1490476340</v>
      </c>
      <c r="AK123">
        <v>49185800</v>
      </c>
      <c r="AL123">
        <v>0</v>
      </c>
      <c r="AM123">
        <v>496744</v>
      </c>
      <c r="AN123">
        <v>49185800</v>
      </c>
      <c r="AO123">
        <v>49682544</v>
      </c>
      <c r="AQ123">
        <v>18.856999999999999</v>
      </c>
      <c r="AR123">
        <v>8.2159300000000002</v>
      </c>
      <c r="AS123">
        <v>2690.92</v>
      </c>
      <c r="AU123" t="s">
        <v>466</v>
      </c>
      <c r="AV123" t="str">
        <f t="shared" si="2"/>
        <v>1% updates, key range [0, 2*10^8)</v>
      </c>
      <c r="AW123" t="str">
        <f t="shared" si="3"/>
        <v>7472</v>
      </c>
    </row>
    <row r="124" spans="1:49">
      <c r="A124" t="s">
        <v>206</v>
      </c>
      <c r="B124" t="s">
        <v>72</v>
      </c>
      <c r="C124">
        <v>72</v>
      </c>
      <c r="D124" t="s">
        <v>73</v>
      </c>
      <c r="E124" t="s">
        <v>68</v>
      </c>
      <c r="F124" t="s">
        <v>69</v>
      </c>
      <c r="G124">
        <v>30000</v>
      </c>
      <c r="H124">
        <v>0.5</v>
      </c>
      <c r="I124">
        <v>0.5</v>
      </c>
      <c r="J124">
        <v>0</v>
      </c>
      <c r="K124">
        <v>1</v>
      </c>
      <c r="L124">
        <v>200000000</v>
      </c>
      <c r="M124">
        <v>96</v>
      </c>
      <c r="N124">
        <v>96</v>
      </c>
      <c r="O124">
        <v>96</v>
      </c>
      <c r="P124">
        <v>0</v>
      </c>
      <c r="Q124" t="s">
        <v>70</v>
      </c>
      <c r="R124">
        <v>1.00002507843629E+16</v>
      </c>
      <c r="S124">
        <v>99999205</v>
      </c>
      <c r="V124" t="s">
        <v>83</v>
      </c>
      <c r="W124">
        <v>7</v>
      </c>
      <c r="X124">
        <v>14914798</v>
      </c>
      <c r="Y124">
        <v>118187128</v>
      </c>
      <c r="Z124">
        <v>133101926</v>
      </c>
      <c r="AA124">
        <v>99999205</v>
      </c>
      <c r="AB124">
        <v>8.9241499999999991</v>
      </c>
      <c r="AC124">
        <v>0.846109</v>
      </c>
      <c r="AD124">
        <v>1.7513000000000001</v>
      </c>
      <c r="AE124">
        <v>4.0815400000000004</v>
      </c>
      <c r="AF124">
        <v>2937642040</v>
      </c>
      <c r="AG124">
        <v>0</v>
      </c>
      <c r="AH124">
        <v>29669122</v>
      </c>
      <c r="AI124">
        <v>2937642040</v>
      </c>
      <c r="AJ124">
        <v>2967311162</v>
      </c>
      <c r="AK124">
        <v>97921401</v>
      </c>
      <c r="AL124">
        <v>0</v>
      </c>
      <c r="AM124">
        <v>988970</v>
      </c>
      <c r="AN124">
        <v>97921401</v>
      </c>
      <c r="AO124">
        <v>98910372</v>
      </c>
      <c r="AQ124">
        <v>19.1401</v>
      </c>
      <c r="AR124">
        <v>9.1138100000000009</v>
      </c>
      <c r="AS124">
        <v>2699.36</v>
      </c>
      <c r="AU124" t="s">
        <v>467</v>
      </c>
      <c r="AV124" t="str">
        <f t="shared" si="2"/>
        <v>1% updates, key range [0, 2*10^8)</v>
      </c>
      <c r="AW124" t="str">
        <f t="shared" si="3"/>
        <v>7889</v>
      </c>
    </row>
    <row r="125" spans="1:49">
      <c r="A125" t="s">
        <v>207</v>
      </c>
      <c r="B125" t="s">
        <v>72</v>
      </c>
      <c r="C125">
        <v>72</v>
      </c>
      <c r="D125" t="s">
        <v>73</v>
      </c>
      <c r="E125" t="s">
        <v>68</v>
      </c>
      <c r="F125" t="s">
        <v>69</v>
      </c>
      <c r="G125">
        <v>30000</v>
      </c>
      <c r="H125">
        <v>0.5</v>
      </c>
      <c r="I125">
        <v>0.5</v>
      </c>
      <c r="J125">
        <v>0</v>
      </c>
      <c r="K125">
        <v>1</v>
      </c>
      <c r="L125">
        <v>200000000</v>
      </c>
      <c r="M125">
        <v>144</v>
      </c>
      <c r="N125">
        <v>144</v>
      </c>
      <c r="O125">
        <v>144</v>
      </c>
      <c r="P125">
        <v>0</v>
      </c>
      <c r="Q125" t="s">
        <v>70</v>
      </c>
      <c r="R125">
        <v>9999568533377620</v>
      </c>
      <c r="S125">
        <v>99999511</v>
      </c>
      <c r="V125" t="s">
        <v>83</v>
      </c>
      <c r="W125">
        <v>7</v>
      </c>
      <c r="X125">
        <v>14078764</v>
      </c>
      <c r="Y125">
        <v>116365192</v>
      </c>
      <c r="Z125">
        <v>130443956</v>
      </c>
      <c r="AA125">
        <v>99999511</v>
      </c>
      <c r="AB125">
        <v>9.2652999999999999</v>
      </c>
      <c r="AC125">
        <v>0.85935899999999998</v>
      </c>
      <c r="AD125">
        <v>1.76661</v>
      </c>
      <c r="AE125">
        <v>4.0613400000000004</v>
      </c>
      <c r="AF125">
        <v>4348864449</v>
      </c>
      <c r="AG125">
        <v>0</v>
      </c>
      <c r="AH125">
        <v>43919462</v>
      </c>
      <c r="AI125">
        <v>4348864449</v>
      </c>
      <c r="AJ125">
        <v>4392783911</v>
      </c>
      <c r="AK125">
        <v>144962148</v>
      </c>
      <c r="AL125">
        <v>0</v>
      </c>
      <c r="AM125">
        <v>1463982</v>
      </c>
      <c r="AN125">
        <v>144962148</v>
      </c>
      <c r="AO125">
        <v>146426130</v>
      </c>
      <c r="AQ125">
        <v>19.302299999999999</v>
      </c>
      <c r="AR125">
        <v>9.4047999999999998</v>
      </c>
      <c r="AS125">
        <v>2734.02</v>
      </c>
      <c r="AU125" t="s">
        <v>468</v>
      </c>
      <c r="AV125" t="str">
        <f t="shared" si="2"/>
        <v>1% updates, key range [0, 2*10^8)</v>
      </c>
      <c r="AW125" t="str">
        <f t="shared" si="3"/>
        <v>8642</v>
      </c>
    </row>
    <row r="126" spans="1:49">
      <c r="A126" t="s">
        <v>208</v>
      </c>
      <c r="B126" t="s">
        <v>72</v>
      </c>
      <c r="C126">
        <v>72</v>
      </c>
      <c r="D126" t="s">
        <v>73</v>
      </c>
      <c r="E126" t="s">
        <v>68</v>
      </c>
      <c r="F126" t="s">
        <v>69</v>
      </c>
      <c r="G126">
        <v>30000</v>
      </c>
      <c r="H126">
        <v>0.5</v>
      </c>
      <c r="I126">
        <v>0.5</v>
      </c>
      <c r="J126">
        <v>0</v>
      </c>
      <c r="K126">
        <v>1</v>
      </c>
      <c r="L126">
        <v>200000000</v>
      </c>
      <c r="M126">
        <v>190</v>
      </c>
      <c r="N126">
        <v>190</v>
      </c>
      <c r="O126">
        <v>190</v>
      </c>
      <c r="P126">
        <v>0</v>
      </c>
      <c r="Q126" t="s">
        <v>70</v>
      </c>
      <c r="R126">
        <v>9999920596805950</v>
      </c>
      <c r="S126">
        <v>99999828</v>
      </c>
      <c r="V126" t="s">
        <v>83</v>
      </c>
      <c r="W126">
        <v>7</v>
      </c>
      <c r="X126">
        <v>12327219</v>
      </c>
      <c r="Y126">
        <v>112656856</v>
      </c>
      <c r="Z126">
        <v>124984075</v>
      </c>
      <c r="AA126">
        <v>99999828</v>
      </c>
      <c r="AB126">
        <v>10.1389</v>
      </c>
      <c r="AC126">
        <v>0.88765000000000005</v>
      </c>
      <c r="AD126">
        <v>1.8001</v>
      </c>
      <c r="AE126">
        <v>4.0267600000000003</v>
      </c>
      <c r="AF126">
        <v>5510597425</v>
      </c>
      <c r="AG126">
        <v>0</v>
      </c>
      <c r="AH126">
        <v>55653994</v>
      </c>
      <c r="AI126">
        <v>5510597425</v>
      </c>
      <c r="AJ126">
        <v>5566251419</v>
      </c>
      <c r="AK126">
        <v>183686580</v>
      </c>
      <c r="AL126">
        <v>0</v>
      </c>
      <c r="AM126">
        <v>1855133</v>
      </c>
      <c r="AN126">
        <v>183686580</v>
      </c>
      <c r="AO126">
        <v>185541713</v>
      </c>
      <c r="AQ126">
        <v>19.427</v>
      </c>
      <c r="AR126">
        <v>9.5263299999999997</v>
      </c>
      <c r="AS126">
        <v>2788.77</v>
      </c>
      <c r="AU126" t="s">
        <v>469</v>
      </c>
      <c r="AV126" t="str">
        <f t="shared" si="2"/>
        <v>1% updates, key range [0, 2*10^8)</v>
      </c>
      <c r="AW126" t="str">
        <f t="shared" si="3"/>
        <v>13352</v>
      </c>
    </row>
    <row r="127" spans="1:49">
      <c r="A127" t="s">
        <v>209</v>
      </c>
      <c r="B127" t="s">
        <v>74</v>
      </c>
      <c r="C127">
        <v>208</v>
      </c>
      <c r="D127" t="s">
        <v>73</v>
      </c>
      <c r="E127" t="s">
        <v>68</v>
      </c>
      <c r="F127" t="s">
        <v>69</v>
      </c>
      <c r="G127">
        <v>30000</v>
      </c>
      <c r="H127">
        <v>0.5</v>
      </c>
      <c r="I127">
        <v>0.5</v>
      </c>
      <c r="J127">
        <v>0</v>
      </c>
      <c r="K127">
        <v>1</v>
      </c>
      <c r="L127">
        <v>200000000</v>
      </c>
      <c r="M127">
        <v>24</v>
      </c>
      <c r="N127">
        <v>24</v>
      </c>
      <c r="O127">
        <v>24</v>
      </c>
      <c r="P127">
        <v>0</v>
      </c>
      <c r="Q127" t="s">
        <v>70</v>
      </c>
      <c r="R127">
        <v>1.00001588783387E+16</v>
      </c>
      <c r="S127">
        <v>100001453</v>
      </c>
      <c r="V127" t="s">
        <v>83</v>
      </c>
      <c r="W127">
        <v>10</v>
      </c>
      <c r="X127">
        <v>1879848</v>
      </c>
      <c r="Y127">
        <v>12939902</v>
      </c>
      <c r="Z127">
        <v>14819750</v>
      </c>
      <c r="AA127">
        <v>100001453</v>
      </c>
      <c r="AB127">
        <v>7.8834799999999996</v>
      </c>
      <c r="AC127">
        <v>7.7281500000000003</v>
      </c>
      <c r="AD127">
        <v>7.7478499999999997</v>
      </c>
      <c r="AE127">
        <v>9</v>
      </c>
      <c r="AF127">
        <v>613538963</v>
      </c>
      <c r="AG127">
        <v>0</v>
      </c>
      <c r="AH127">
        <v>6200720</v>
      </c>
      <c r="AI127">
        <v>613538963</v>
      </c>
      <c r="AJ127">
        <v>619739683</v>
      </c>
      <c r="AK127">
        <v>20451298</v>
      </c>
      <c r="AL127">
        <v>0</v>
      </c>
      <c r="AM127">
        <v>206690</v>
      </c>
      <c r="AN127">
        <v>20451298</v>
      </c>
      <c r="AO127">
        <v>20657989</v>
      </c>
      <c r="AQ127">
        <v>23.594999999999999</v>
      </c>
      <c r="AR127">
        <v>9.6196199999999994</v>
      </c>
      <c r="AS127">
        <v>3236.71</v>
      </c>
      <c r="AU127" t="s">
        <v>470</v>
      </c>
      <c r="AV127" t="str">
        <f t="shared" si="2"/>
        <v>1% updates, key range [0, 2*10^8)</v>
      </c>
      <c r="AW127" t="str">
        <f t="shared" si="3"/>
        <v>4341</v>
      </c>
    </row>
    <row r="128" spans="1:49">
      <c r="A128" t="s">
        <v>210</v>
      </c>
      <c r="B128" t="s">
        <v>74</v>
      </c>
      <c r="C128">
        <v>208</v>
      </c>
      <c r="D128" t="s">
        <v>73</v>
      </c>
      <c r="E128" t="s">
        <v>68</v>
      </c>
      <c r="F128" t="s">
        <v>69</v>
      </c>
      <c r="G128">
        <v>30000</v>
      </c>
      <c r="H128">
        <v>0.5</v>
      </c>
      <c r="I128">
        <v>0.5</v>
      </c>
      <c r="J128">
        <v>0</v>
      </c>
      <c r="K128">
        <v>1</v>
      </c>
      <c r="L128">
        <v>200000000</v>
      </c>
      <c r="M128">
        <v>48</v>
      </c>
      <c r="N128">
        <v>48</v>
      </c>
      <c r="O128">
        <v>48</v>
      </c>
      <c r="P128">
        <v>0</v>
      </c>
      <c r="Q128" t="s">
        <v>70</v>
      </c>
      <c r="R128">
        <v>1.0000320724256E+16</v>
      </c>
      <c r="S128">
        <v>100001145</v>
      </c>
      <c r="V128" t="s">
        <v>83</v>
      </c>
      <c r="W128">
        <v>10</v>
      </c>
      <c r="X128">
        <v>1900063</v>
      </c>
      <c r="Y128">
        <v>13073242</v>
      </c>
      <c r="Z128">
        <v>14973305</v>
      </c>
      <c r="AA128">
        <v>100001145</v>
      </c>
      <c r="AB128">
        <v>7.8804299999999996</v>
      </c>
      <c r="AC128">
        <v>7.6493000000000002</v>
      </c>
      <c r="AD128">
        <v>7.6786300000000001</v>
      </c>
      <c r="AE128">
        <v>9</v>
      </c>
      <c r="AF128">
        <v>1140001369</v>
      </c>
      <c r="AG128">
        <v>0</v>
      </c>
      <c r="AH128">
        <v>11518086</v>
      </c>
      <c r="AI128">
        <v>1140001369</v>
      </c>
      <c r="AJ128">
        <v>1151519455</v>
      </c>
      <c r="AK128">
        <v>38000045</v>
      </c>
      <c r="AL128">
        <v>0</v>
      </c>
      <c r="AM128">
        <v>383936</v>
      </c>
      <c r="AN128">
        <v>38000045</v>
      </c>
      <c r="AO128">
        <v>38383981</v>
      </c>
      <c r="AQ128">
        <v>23.4815</v>
      </c>
      <c r="AR128">
        <v>9.5582999999999991</v>
      </c>
      <c r="AS128">
        <v>3481.94</v>
      </c>
      <c r="AU128" t="s">
        <v>471</v>
      </c>
      <c r="AV128" t="str">
        <f t="shared" si="2"/>
        <v>1% updates, key range [0, 2*10^8)</v>
      </c>
      <c r="AW128" t="str">
        <f t="shared" si="3"/>
        <v>4479</v>
      </c>
    </row>
    <row r="129" spans="1:49">
      <c r="A129" t="s">
        <v>211</v>
      </c>
      <c r="B129" t="s">
        <v>74</v>
      </c>
      <c r="C129">
        <v>208</v>
      </c>
      <c r="D129" t="s">
        <v>73</v>
      </c>
      <c r="E129" t="s">
        <v>68</v>
      </c>
      <c r="F129" t="s">
        <v>69</v>
      </c>
      <c r="G129">
        <v>30000</v>
      </c>
      <c r="H129">
        <v>0.5</v>
      </c>
      <c r="I129">
        <v>0.5</v>
      </c>
      <c r="J129">
        <v>0</v>
      </c>
      <c r="K129">
        <v>1</v>
      </c>
      <c r="L129">
        <v>200000000</v>
      </c>
      <c r="M129">
        <v>96</v>
      </c>
      <c r="N129">
        <v>96</v>
      </c>
      <c r="O129">
        <v>96</v>
      </c>
      <c r="P129">
        <v>0</v>
      </c>
      <c r="Q129" t="s">
        <v>70</v>
      </c>
      <c r="R129">
        <v>1.00003684416195E+16</v>
      </c>
      <c r="S129">
        <v>99997925</v>
      </c>
      <c r="V129" t="s">
        <v>83</v>
      </c>
      <c r="W129">
        <v>10</v>
      </c>
      <c r="X129">
        <v>1938241</v>
      </c>
      <c r="Y129">
        <v>13338281</v>
      </c>
      <c r="Z129">
        <v>15276522</v>
      </c>
      <c r="AA129">
        <v>99997925</v>
      </c>
      <c r="AB129">
        <v>7.88164</v>
      </c>
      <c r="AC129">
        <v>7.4970600000000003</v>
      </c>
      <c r="AD129">
        <v>7.5458600000000002</v>
      </c>
      <c r="AE129">
        <v>9</v>
      </c>
      <c r="AF129">
        <v>2367297362</v>
      </c>
      <c r="AG129">
        <v>0</v>
      </c>
      <c r="AH129">
        <v>23906388</v>
      </c>
      <c r="AI129">
        <v>2367297362</v>
      </c>
      <c r="AJ129">
        <v>2391203750</v>
      </c>
      <c r="AK129">
        <v>78909912</v>
      </c>
      <c r="AL129">
        <v>0</v>
      </c>
      <c r="AM129">
        <v>796879</v>
      </c>
      <c r="AN129">
        <v>78909912</v>
      </c>
      <c r="AO129">
        <v>79706791</v>
      </c>
      <c r="AQ129">
        <v>23.628900000000002</v>
      </c>
      <c r="AR129">
        <v>10.2384</v>
      </c>
      <c r="AS129">
        <v>3351.99</v>
      </c>
      <c r="AU129" t="s">
        <v>472</v>
      </c>
      <c r="AV129" t="str">
        <f t="shared" si="2"/>
        <v>1% updates, key range [0, 2*10^8)</v>
      </c>
      <c r="AW129" t="str">
        <f t="shared" si="3"/>
        <v>4719</v>
      </c>
    </row>
    <row r="130" spans="1:49">
      <c r="A130" t="s">
        <v>212</v>
      </c>
      <c r="B130" t="s">
        <v>74</v>
      </c>
      <c r="C130">
        <v>208</v>
      </c>
      <c r="D130" t="s">
        <v>73</v>
      </c>
      <c r="E130" t="s">
        <v>68</v>
      </c>
      <c r="F130" t="s">
        <v>69</v>
      </c>
      <c r="G130">
        <v>30000</v>
      </c>
      <c r="H130">
        <v>0.5</v>
      </c>
      <c r="I130">
        <v>0.5</v>
      </c>
      <c r="J130">
        <v>0</v>
      </c>
      <c r="K130">
        <v>1</v>
      </c>
      <c r="L130">
        <v>200000000</v>
      </c>
      <c r="M130">
        <v>144</v>
      </c>
      <c r="N130">
        <v>144</v>
      </c>
      <c r="O130">
        <v>144</v>
      </c>
      <c r="P130">
        <v>0</v>
      </c>
      <c r="Q130" t="s">
        <v>70</v>
      </c>
      <c r="R130">
        <v>1.00006846277746E+16</v>
      </c>
      <c r="S130">
        <v>100004739</v>
      </c>
      <c r="V130" t="s">
        <v>83</v>
      </c>
      <c r="W130">
        <v>10</v>
      </c>
      <c r="X130">
        <v>1969019</v>
      </c>
      <c r="Y130">
        <v>13549179</v>
      </c>
      <c r="Z130">
        <v>15518198</v>
      </c>
      <c r="AA130">
        <v>100004739</v>
      </c>
      <c r="AB130">
        <v>7.8811799999999996</v>
      </c>
      <c r="AC130">
        <v>7.3808699999999998</v>
      </c>
      <c r="AD130">
        <v>7.44435</v>
      </c>
      <c r="AE130">
        <v>9</v>
      </c>
      <c r="AF130">
        <v>3524189123</v>
      </c>
      <c r="AG130">
        <v>0</v>
      </c>
      <c r="AH130">
        <v>35605011</v>
      </c>
      <c r="AI130">
        <v>3524189123</v>
      </c>
      <c r="AJ130">
        <v>3559794134</v>
      </c>
      <c r="AK130">
        <v>117472970</v>
      </c>
      <c r="AL130">
        <v>0</v>
      </c>
      <c r="AM130">
        <v>1186833</v>
      </c>
      <c r="AN130">
        <v>117472970</v>
      </c>
      <c r="AO130">
        <v>118659804</v>
      </c>
      <c r="AQ130">
        <v>23.7273</v>
      </c>
      <c r="AR130">
        <v>10.518000000000001</v>
      </c>
      <c r="AS130">
        <v>3370.37</v>
      </c>
      <c r="AU130" t="s">
        <v>473</v>
      </c>
      <c r="AV130" t="str">
        <f t="shared" si="2"/>
        <v>1% updates, key range [0, 2*10^8)</v>
      </c>
      <c r="AW130" t="str">
        <f t="shared" si="3"/>
        <v>4983</v>
      </c>
    </row>
    <row r="131" spans="1:49">
      <c r="A131" t="s">
        <v>213</v>
      </c>
      <c r="B131" t="s">
        <v>74</v>
      </c>
      <c r="C131">
        <v>208</v>
      </c>
      <c r="D131" t="s">
        <v>73</v>
      </c>
      <c r="E131" t="s">
        <v>68</v>
      </c>
      <c r="F131" t="s">
        <v>69</v>
      </c>
      <c r="G131">
        <v>30000</v>
      </c>
      <c r="H131">
        <v>0.5</v>
      </c>
      <c r="I131">
        <v>0.5</v>
      </c>
      <c r="J131">
        <v>0</v>
      </c>
      <c r="K131">
        <v>1</v>
      </c>
      <c r="L131">
        <v>200000000</v>
      </c>
      <c r="M131">
        <v>190</v>
      </c>
      <c r="N131">
        <v>190</v>
      </c>
      <c r="O131">
        <v>190</v>
      </c>
      <c r="P131">
        <v>0</v>
      </c>
      <c r="Q131" t="s">
        <v>70</v>
      </c>
      <c r="R131">
        <v>9999141312752280</v>
      </c>
      <c r="S131">
        <v>99996632</v>
      </c>
      <c r="V131" t="s">
        <v>83</v>
      </c>
      <c r="W131">
        <v>10</v>
      </c>
      <c r="X131">
        <v>1994230</v>
      </c>
      <c r="Y131">
        <v>13718416</v>
      </c>
      <c r="Z131">
        <v>15712646</v>
      </c>
      <c r="AA131">
        <v>99996632</v>
      </c>
      <c r="AB131">
        <v>7.8790500000000003</v>
      </c>
      <c r="AC131">
        <v>7.2892299999999999</v>
      </c>
      <c r="AD131">
        <v>7.36409</v>
      </c>
      <c r="AE131">
        <v>9</v>
      </c>
      <c r="AF131">
        <v>4599479116</v>
      </c>
      <c r="AG131">
        <v>0</v>
      </c>
      <c r="AH131">
        <v>46452458</v>
      </c>
      <c r="AI131">
        <v>4599479116</v>
      </c>
      <c r="AJ131">
        <v>4645931574</v>
      </c>
      <c r="AK131">
        <v>153315970</v>
      </c>
      <c r="AL131">
        <v>0</v>
      </c>
      <c r="AM131">
        <v>1548415</v>
      </c>
      <c r="AN131">
        <v>153315970</v>
      </c>
      <c r="AO131">
        <v>154864385</v>
      </c>
      <c r="AQ131">
        <v>23.812799999999999</v>
      </c>
      <c r="AR131">
        <v>10.773899999999999</v>
      </c>
      <c r="AS131">
        <v>3408.79</v>
      </c>
      <c r="AU131" t="s">
        <v>474</v>
      </c>
      <c r="AV131" t="str">
        <f t="shared" ref="AV131:AV194" si="4">(H131+I131)&amp;"% updates, key range [0, 2*10^"&amp;LOG10(L131/2)&amp;")"</f>
        <v>1% updates, key range [0, 2*10^8)</v>
      </c>
      <c r="AW131" t="str">
        <f t="shared" ref="AW131:AW194" si="5">MID(AU131,2,FIND("m",AU131)-2)</f>
        <v>5369</v>
      </c>
    </row>
    <row r="132" spans="1:49">
      <c r="A132" t="s">
        <v>214</v>
      </c>
      <c r="B132" t="s">
        <v>75</v>
      </c>
      <c r="D132" t="s">
        <v>73</v>
      </c>
      <c r="E132" t="s">
        <v>68</v>
      </c>
      <c r="F132" t="s">
        <v>69</v>
      </c>
      <c r="G132">
        <v>30000</v>
      </c>
      <c r="H132">
        <v>0.5</v>
      </c>
      <c r="I132">
        <v>0.5</v>
      </c>
      <c r="J132">
        <v>0</v>
      </c>
      <c r="K132">
        <v>1</v>
      </c>
      <c r="L132">
        <v>200000000</v>
      </c>
      <c r="M132">
        <v>24</v>
      </c>
      <c r="N132">
        <v>24</v>
      </c>
      <c r="O132">
        <v>24</v>
      </c>
      <c r="P132">
        <v>0</v>
      </c>
      <c r="Q132" t="s">
        <v>70</v>
      </c>
      <c r="R132">
        <v>9999648348731770</v>
      </c>
      <c r="S132">
        <v>99999957</v>
      </c>
      <c r="V132" t="s">
        <v>83</v>
      </c>
      <c r="W132">
        <v>33</v>
      </c>
      <c r="X132">
        <v>57298079</v>
      </c>
      <c r="Y132">
        <v>42989243</v>
      </c>
      <c r="Z132">
        <v>100287322</v>
      </c>
      <c r="AA132">
        <v>99999957</v>
      </c>
      <c r="AB132">
        <v>1.75027</v>
      </c>
      <c r="AC132">
        <v>2.3261599999999998</v>
      </c>
      <c r="AD132">
        <v>1.9971300000000001</v>
      </c>
      <c r="AE132">
        <v>26.101600000000001</v>
      </c>
      <c r="AF132">
        <v>267057532</v>
      </c>
      <c r="AG132">
        <v>0</v>
      </c>
      <c r="AH132">
        <v>2697270</v>
      </c>
      <c r="AI132">
        <v>267057532</v>
      </c>
      <c r="AJ132">
        <v>269754802</v>
      </c>
      <c r="AK132">
        <v>8901917</v>
      </c>
      <c r="AL132">
        <v>0</v>
      </c>
      <c r="AM132">
        <v>89909</v>
      </c>
      <c r="AN132">
        <v>8901917</v>
      </c>
      <c r="AO132">
        <v>8991826</v>
      </c>
      <c r="AQ132">
        <v>39.995899999999999</v>
      </c>
      <c r="AR132">
        <v>18.493400000000001</v>
      </c>
      <c r="AS132">
        <v>7435.55</v>
      </c>
      <c r="AU132" t="s">
        <v>475</v>
      </c>
      <c r="AV132" t="str">
        <f t="shared" si="4"/>
        <v>1% updates, key range [0, 2*10^8)</v>
      </c>
      <c r="AW132" t="str">
        <f t="shared" si="5"/>
        <v>7545</v>
      </c>
    </row>
    <row r="133" spans="1:49">
      <c r="A133" t="s">
        <v>215</v>
      </c>
      <c r="B133" t="s">
        <v>75</v>
      </c>
      <c r="D133" t="s">
        <v>73</v>
      </c>
      <c r="E133" t="s">
        <v>68</v>
      </c>
      <c r="F133" t="s">
        <v>69</v>
      </c>
      <c r="G133">
        <v>30000</v>
      </c>
      <c r="H133">
        <v>0.5</v>
      </c>
      <c r="I133">
        <v>0.5</v>
      </c>
      <c r="J133">
        <v>0</v>
      </c>
      <c r="K133">
        <v>1</v>
      </c>
      <c r="L133">
        <v>200000000</v>
      </c>
      <c r="M133">
        <v>48</v>
      </c>
      <c r="N133">
        <v>48</v>
      </c>
      <c r="O133">
        <v>48</v>
      </c>
      <c r="P133">
        <v>0</v>
      </c>
      <c r="Q133" t="s">
        <v>70</v>
      </c>
      <c r="R133">
        <v>1.0000332042625E+16</v>
      </c>
      <c r="S133">
        <v>100001145</v>
      </c>
      <c r="V133" t="s">
        <v>83</v>
      </c>
      <c r="W133">
        <v>33</v>
      </c>
      <c r="X133">
        <v>57441966</v>
      </c>
      <c r="Y133">
        <v>43100680</v>
      </c>
      <c r="Z133">
        <v>100542646</v>
      </c>
      <c r="AA133">
        <v>100001145</v>
      </c>
      <c r="AB133">
        <v>1.7503299999999999</v>
      </c>
      <c r="AC133">
        <v>2.3201800000000001</v>
      </c>
      <c r="AD133">
        <v>1.99461</v>
      </c>
      <c r="AE133">
        <v>26.1632</v>
      </c>
      <c r="AF133">
        <v>507961294</v>
      </c>
      <c r="AG133">
        <v>0</v>
      </c>
      <c r="AH133">
        <v>5130631</v>
      </c>
      <c r="AI133">
        <v>507961294</v>
      </c>
      <c r="AJ133">
        <v>513091925</v>
      </c>
      <c r="AK133">
        <v>16932043</v>
      </c>
      <c r="AL133">
        <v>0</v>
      </c>
      <c r="AM133">
        <v>171021</v>
      </c>
      <c r="AN133">
        <v>16932043</v>
      </c>
      <c r="AO133">
        <v>17103064</v>
      </c>
      <c r="AQ133">
        <v>40.625599999999999</v>
      </c>
      <c r="AR133">
        <v>18.503</v>
      </c>
      <c r="AS133">
        <v>7816.56</v>
      </c>
      <c r="AU133" t="s">
        <v>476</v>
      </c>
      <c r="AV133" t="str">
        <f t="shared" si="4"/>
        <v>1% updates, key range [0, 2*10^8)</v>
      </c>
      <c r="AW133" t="str">
        <f t="shared" si="5"/>
        <v>7568</v>
      </c>
    </row>
    <row r="134" spans="1:49">
      <c r="A134" t="s">
        <v>216</v>
      </c>
      <c r="B134" t="s">
        <v>75</v>
      </c>
      <c r="D134" t="s">
        <v>73</v>
      </c>
      <c r="E134" t="s">
        <v>68</v>
      </c>
      <c r="F134" t="s">
        <v>69</v>
      </c>
      <c r="G134">
        <v>30000</v>
      </c>
      <c r="H134">
        <v>0.5</v>
      </c>
      <c r="I134">
        <v>0.5</v>
      </c>
      <c r="J134">
        <v>0</v>
      </c>
      <c r="K134">
        <v>1</v>
      </c>
      <c r="L134">
        <v>200000000</v>
      </c>
      <c r="M134">
        <v>96</v>
      </c>
      <c r="N134">
        <v>96</v>
      </c>
      <c r="O134">
        <v>96</v>
      </c>
      <c r="P134">
        <v>0</v>
      </c>
      <c r="Q134" t="s">
        <v>70</v>
      </c>
      <c r="R134">
        <v>9999699119141100</v>
      </c>
      <c r="S134">
        <v>100001046</v>
      </c>
      <c r="V134" t="s">
        <v>83</v>
      </c>
      <c r="W134">
        <v>33</v>
      </c>
      <c r="X134">
        <v>57742897</v>
      </c>
      <c r="Y134">
        <v>43355073</v>
      </c>
      <c r="Z134">
        <v>101097970</v>
      </c>
      <c r="AA134">
        <v>100001046</v>
      </c>
      <c r="AB134">
        <v>1.7508300000000001</v>
      </c>
      <c r="AC134">
        <v>2.3065600000000002</v>
      </c>
      <c r="AD134">
        <v>1.98915</v>
      </c>
      <c r="AE134">
        <v>26.069099999999999</v>
      </c>
      <c r="AF134">
        <v>1043529899</v>
      </c>
      <c r="AG134">
        <v>0</v>
      </c>
      <c r="AH134">
        <v>10540141</v>
      </c>
      <c r="AI134">
        <v>1043529899</v>
      </c>
      <c r="AJ134">
        <v>1054070040</v>
      </c>
      <c r="AK134">
        <v>34784329</v>
      </c>
      <c r="AL134">
        <v>0</v>
      </c>
      <c r="AM134">
        <v>351338</v>
      </c>
      <c r="AN134">
        <v>34784329</v>
      </c>
      <c r="AO134">
        <v>35135668</v>
      </c>
      <c r="AQ134">
        <v>41.2348</v>
      </c>
      <c r="AR134">
        <v>19.573399999999999</v>
      </c>
      <c r="AS134">
        <v>7607.42</v>
      </c>
      <c r="AU134" t="s">
        <v>477</v>
      </c>
      <c r="AV134" t="str">
        <f t="shared" si="4"/>
        <v>1% updates, key range [0, 2*10^8)</v>
      </c>
      <c r="AW134" t="str">
        <f t="shared" si="5"/>
        <v>7618</v>
      </c>
    </row>
    <row r="135" spans="1:49">
      <c r="A135" t="s">
        <v>217</v>
      </c>
      <c r="B135" t="s">
        <v>75</v>
      </c>
      <c r="D135" t="s">
        <v>73</v>
      </c>
      <c r="E135" t="s">
        <v>68</v>
      </c>
      <c r="F135" t="s">
        <v>69</v>
      </c>
      <c r="G135">
        <v>30000</v>
      </c>
      <c r="H135">
        <v>0.5</v>
      </c>
      <c r="I135">
        <v>0.5</v>
      </c>
      <c r="J135">
        <v>0</v>
      </c>
      <c r="K135">
        <v>1</v>
      </c>
      <c r="L135">
        <v>200000000</v>
      </c>
      <c r="M135">
        <v>144</v>
      </c>
      <c r="N135">
        <v>144</v>
      </c>
      <c r="O135">
        <v>144</v>
      </c>
      <c r="P135">
        <v>0</v>
      </c>
      <c r="Q135" t="s">
        <v>70</v>
      </c>
      <c r="R135">
        <v>1.00001401051356E+16</v>
      </c>
      <c r="S135">
        <v>100000331</v>
      </c>
      <c r="V135" t="s">
        <v>83</v>
      </c>
      <c r="W135">
        <v>33</v>
      </c>
      <c r="X135">
        <v>58032932</v>
      </c>
      <c r="Y135">
        <v>43595936</v>
      </c>
      <c r="Z135">
        <v>101628868</v>
      </c>
      <c r="AA135">
        <v>100000331</v>
      </c>
      <c r="AB135">
        <v>1.7512300000000001</v>
      </c>
      <c r="AC135">
        <v>2.2938000000000001</v>
      </c>
      <c r="AD135">
        <v>1.9839800000000001</v>
      </c>
      <c r="AE135">
        <v>26.083400000000001</v>
      </c>
      <c r="AF135">
        <v>1572027504</v>
      </c>
      <c r="AG135">
        <v>0</v>
      </c>
      <c r="AH135">
        <v>15880617</v>
      </c>
      <c r="AI135">
        <v>1572027504</v>
      </c>
      <c r="AJ135">
        <v>1587908121</v>
      </c>
      <c r="AK135">
        <v>52400916</v>
      </c>
      <c r="AL135">
        <v>0</v>
      </c>
      <c r="AM135">
        <v>529353</v>
      </c>
      <c r="AN135">
        <v>52400916</v>
      </c>
      <c r="AO135">
        <v>52930270</v>
      </c>
      <c r="AQ135">
        <v>40.993600000000001</v>
      </c>
      <c r="AR135">
        <v>19.9175</v>
      </c>
      <c r="AS135">
        <v>7573.79</v>
      </c>
      <c r="AU135" t="s">
        <v>478</v>
      </c>
      <c r="AV135" t="str">
        <f t="shared" si="4"/>
        <v>1% updates, key range [0, 2*10^8)</v>
      </c>
      <c r="AW135" t="str">
        <f t="shared" si="5"/>
        <v>7666</v>
      </c>
    </row>
    <row r="136" spans="1:49">
      <c r="A136" t="s">
        <v>218</v>
      </c>
      <c r="B136" t="s">
        <v>75</v>
      </c>
      <c r="D136" t="s">
        <v>73</v>
      </c>
      <c r="E136" t="s">
        <v>68</v>
      </c>
      <c r="F136" t="s">
        <v>69</v>
      </c>
      <c r="G136">
        <v>30000</v>
      </c>
      <c r="H136">
        <v>0.5</v>
      </c>
      <c r="I136">
        <v>0.5</v>
      </c>
      <c r="J136">
        <v>0</v>
      </c>
      <c r="K136">
        <v>1</v>
      </c>
      <c r="L136">
        <v>200000000</v>
      </c>
      <c r="M136">
        <v>190</v>
      </c>
      <c r="N136">
        <v>190</v>
      </c>
      <c r="O136">
        <v>190</v>
      </c>
      <c r="P136">
        <v>0</v>
      </c>
      <c r="Q136" t="s">
        <v>70</v>
      </c>
      <c r="R136">
        <v>1.00000805490275E+16</v>
      </c>
      <c r="S136">
        <v>100003243</v>
      </c>
      <c r="V136" t="s">
        <v>83</v>
      </c>
      <c r="W136">
        <v>33</v>
      </c>
      <c r="X136">
        <v>58303380</v>
      </c>
      <c r="Y136">
        <v>43824983</v>
      </c>
      <c r="Z136">
        <v>102128363</v>
      </c>
      <c r="AA136">
        <v>100003243</v>
      </c>
      <c r="AB136">
        <v>1.7516700000000001</v>
      </c>
      <c r="AC136">
        <v>2.2818800000000001</v>
      </c>
      <c r="AD136">
        <v>1.97919</v>
      </c>
      <c r="AE136">
        <v>26.2501</v>
      </c>
      <c r="AF136">
        <v>2078021194</v>
      </c>
      <c r="AG136">
        <v>0</v>
      </c>
      <c r="AH136">
        <v>20987810</v>
      </c>
      <c r="AI136">
        <v>2078021194</v>
      </c>
      <c r="AJ136">
        <v>2099009004</v>
      </c>
      <c r="AK136">
        <v>69267373</v>
      </c>
      <c r="AL136">
        <v>0</v>
      </c>
      <c r="AM136">
        <v>699593</v>
      </c>
      <c r="AN136">
        <v>69267373</v>
      </c>
      <c r="AO136">
        <v>69966966</v>
      </c>
      <c r="AQ136">
        <v>41.389699999999998</v>
      </c>
      <c r="AR136">
        <v>20.101600000000001</v>
      </c>
      <c r="AS136">
        <v>7558.77</v>
      </c>
      <c r="AU136" t="s">
        <v>479</v>
      </c>
      <c r="AV136" t="str">
        <f t="shared" si="4"/>
        <v>1% updates, key range [0, 2*10^8)</v>
      </c>
      <c r="AW136" t="str">
        <f t="shared" si="5"/>
        <v>7710</v>
      </c>
    </row>
    <row r="137" spans="1:49">
      <c r="A137" t="s">
        <v>219</v>
      </c>
      <c r="B137" t="s">
        <v>76</v>
      </c>
      <c r="D137" t="s">
        <v>73</v>
      </c>
      <c r="E137" t="s">
        <v>68</v>
      </c>
      <c r="F137" t="s">
        <v>69</v>
      </c>
      <c r="G137">
        <v>30000</v>
      </c>
      <c r="H137">
        <v>0.5</v>
      </c>
      <c r="I137">
        <v>0.5</v>
      </c>
      <c r="J137">
        <v>0</v>
      </c>
      <c r="K137">
        <v>1</v>
      </c>
      <c r="L137">
        <v>200000000</v>
      </c>
      <c r="M137">
        <v>24</v>
      </c>
      <c r="N137">
        <v>24</v>
      </c>
      <c r="O137">
        <v>24</v>
      </c>
      <c r="P137">
        <v>0</v>
      </c>
      <c r="Q137" t="s">
        <v>70</v>
      </c>
      <c r="R137">
        <v>9999918119568260</v>
      </c>
      <c r="S137">
        <v>100001100</v>
      </c>
      <c r="V137" t="s">
        <v>83</v>
      </c>
      <c r="W137">
        <v>67</v>
      </c>
      <c r="X137">
        <v>100001099</v>
      </c>
      <c r="Y137">
        <v>100001100</v>
      </c>
      <c r="Z137">
        <v>200002199</v>
      </c>
      <c r="AA137">
        <v>100001100</v>
      </c>
      <c r="AB137">
        <v>2</v>
      </c>
      <c r="AC137">
        <v>1</v>
      </c>
      <c r="AD137">
        <v>1.5</v>
      </c>
      <c r="AE137">
        <v>35.195999999999998</v>
      </c>
      <c r="AF137">
        <v>219043169</v>
      </c>
      <c r="AG137">
        <v>0</v>
      </c>
      <c r="AH137">
        <v>2211890</v>
      </c>
      <c r="AI137">
        <v>219043169</v>
      </c>
      <c r="AJ137">
        <v>221255059</v>
      </c>
      <c r="AK137">
        <v>7301438</v>
      </c>
      <c r="AL137">
        <v>0</v>
      </c>
      <c r="AM137">
        <v>73729</v>
      </c>
      <c r="AN137">
        <v>7301438</v>
      </c>
      <c r="AO137">
        <v>7375168</v>
      </c>
      <c r="AQ137">
        <v>38.055300000000003</v>
      </c>
      <c r="AR137">
        <v>18.520299999999999</v>
      </c>
      <c r="AS137">
        <v>9068.19</v>
      </c>
      <c r="AU137" t="s">
        <v>480</v>
      </c>
      <c r="AV137" t="str">
        <f t="shared" si="4"/>
        <v>1% updates, key range [0, 2*10^8)</v>
      </c>
      <c r="AW137" t="str">
        <f t="shared" si="5"/>
        <v>7527</v>
      </c>
    </row>
    <row r="138" spans="1:49">
      <c r="A138" t="s">
        <v>220</v>
      </c>
      <c r="B138" t="s">
        <v>76</v>
      </c>
      <c r="D138" t="s">
        <v>73</v>
      </c>
      <c r="E138" t="s">
        <v>68</v>
      </c>
      <c r="F138" t="s">
        <v>69</v>
      </c>
      <c r="G138">
        <v>30000</v>
      </c>
      <c r="H138">
        <v>0.5</v>
      </c>
      <c r="I138">
        <v>0.5</v>
      </c>
      <c r="J138">
        <v>0</v>
      </c>
      <c r="K138">
        <v>1</v>
      </c>
      <c r="L138">
        <v>200000000</v>
      </c>
      <c r="M138">
        <v>48</v>
      </c>
      <c r="N138">
        <v>48</v>
      </c>
      <c r="O138">
        <v>48</v>
      </c>
      <c r="P138">
        <v>0</v>
      </c>
      <c r="Q138" t="s">
        <v>70</v>
      </c>
      <c r="R138">
        <v>1.00001328764059E+16</v>
      </c>
      <c r="S138">
        <v>99999965</v>
      </c>
      <c r="V138" t="s">
        <v>83</v>
      </c>
      <c r="W138">
        <v>68</v>
      </c>
      <c r="X138">
        <v>99999964</v>
      </c>
      <c r="Y138">
        <v>99999965</v>
      </c>
      <c r="Z138">
        <v>199999929</v>
      </c>
      <c r="AA138">
        <v>99999965</v>
      </c>
      <c r="AB138">
        <v>2</v>
      </c>
      <c r="AC138">
        <v>1</v>
      </c>
      <c r="AD138">
        <v>1.5</v>
      </c>
      <c r="AE138">
        <v>35.396599999999999</v>
      </c>
      <c r="AF138">
        <v>426562350</v>
      </c>
      <c r="AG138">
        <v>0</v>
      </c>
      <c r="AH138">
        <v>4311430</v>
      </c>
      <c r="AI138">
        <v>426562350</v>
      </c>
      <c r="AJ138">
        <v>430873780</v>
      </c>
      <c r="AK138">
        <v>14218745</v>
      </c>
      <c r="AL138">
        <v>0</v>
      </c>
      <c r="AM138">
        <v>143714</v>
      </c>
      <c r="AN138">
        <v>14218745</v>
      </c>
      <c r="AO138">
        <v>14362459</v>
      </c>
      <c r="AQ138">
        <v>37.824100000000001</v>
      </c>
      <c r="AR138">
        <v>18.321300000000001</v>
      </c>
      <c r="AS138">
        <v>9308.6299999999992</v>
      </c>
      <c r="AU138" t="s">
        <v>481</v>
      </c>
      <c r="AV138" t="str">
        <f t="shared" si="4"/>
        <v>1% updates, key range [0, 2*10^8)</v>
      </c>
      <c r="AW138" t="str">
        <f t="shared" si="5"/>
        <v>7534</v>
      </c>
    </row>
    <row r="139" spans="1:49">
      <c r="A139" t="s">
        <v>221</v>
      </c>
      <c r="B139" t="s">
        <v>76</v>
      </c>
      <c r="D139" t="s">
        <v>73</v>
      </c>
      <c r="E139" t="s">
        <v>68</v>
      </c>
      <c r="F139" t="s">
        <v>69</v>
      </c>
      <c r="G139">
        <v>30000</v>
      </c>
      <c r="H139">
        <v>0.5</v>
      </c>
      <c r="I139">
        <v>0.5</v>
      </c>
      <c r="J139">
        <v>0</v>
      </c>
      <c r="K139">
        <v>1</v>
      </c>
      <c r="L139">
        <v>200000000</v>
      </c>
      <c r="M139">
        <v>96</v>
      </c>
      <c r="N139">
        <v>96</v>
      </c>
      <c r="O139">
        <v>96</v>
      </c>
      <c r="P139">
        <v>0</v>
      </c>
      <c r="Q139" t="s">
        <v>70</v>
      </c>
      <c r="R139">
        <v>1.00002292819014E+16</v>
      </c>
      <c r="S139">
        <v>100000950</v>
      </c>
      <c r="V139" t="s">
        <v>83</v>
      </c>
      <c r="W139">
        <v>76</v>
      </c>
      <c r="X139">
        <v>100000949</v>
      </c>
      <c r="Y139">
        <v>100000950</v>
      </c>
      <c r="Z139">
        <v>200001899</v>
      </c>
      <c r="AA139">
        <v>100000950</v>
      </c>
      <c r="AB139">
        <v>2</v>
      </c>
      <c r="AC139">
        <v>1</v>
      </c>
      <c r="AD139">
        <v>1.5</v>
      </c>
      <c r="AE139">
        <v>38.906199999999998</v>
      </c>
      <c r="AF139">
        <v>869875571</v>
      </c>
      <c r="AG139">
        <v>0</v>
      </c>
      <c r="AH139">
        <v>8787595</v>
      </c>
      <c r="AI139">
        <v>869875571</v>
      </c>
      <c r="AJ139">
        <v>878663166</v>
      </c>
      <c r="AK139">
        <v>28995852</v>
      </c>
      <c r="AL139">
        <v>0</v>
      </c>
      <c r="AM139">
        <v>292919</v>
      </c>
      <c r="AN139">
        <v>28995852</v>
      </c>
      <c r="AO139">
        <v>29288772</v>
      </c>
      <c r="AQ139">
        <v>38.154499999999999</v>
      </c>
      <c r="AR139">
        <v>18.8872</v>
      </c>
      <c r="AS139">
        <v>9128.67</v>
      </c>
      <c r="AU139" t="s">
        <v>482</v>
      </c>
      <c r="AV139" t="str">
        <f t="shared" si="4"/>
        <v>1% updates, key range [0, 2*10^8)</v>
      </c>
      <c r="AW139" t="str">
        <f t="shared" si="5"/>
        <v>7549</v>
      </c>
    </row>
    <row r="140" spans="1:49">
      <c r="A140" t="s">
        <v>222</v>
      </c>
      <c r="B140" t="s">
        <v>76</v>
      </c>
      <c r="D140" t="s">
        <v>73</v>
      </c>
      <c r="E140" t="s">
        <v>68</v>
      </c>
      <c r="F140" t="s">
        <v>69</v>
      </c>
      <c r="G140">
        <v>30000</v>
      </c>
      <c r="H140">
        <v>0.5</v>
      </c>
      <c r="I140">
        <v>0.5</v>
      </c>
      <c r="J140">
        <v>0</v>
      </c>
      <c r="K140">
        <v>1</v>
      </c>
      <c r="L140">
        <v>200000000</v>
      </c>
      <c r="M140">
        <v>144</v>
      </c>
      <c r="N140">
        <v>144</v>
      </c>
      <c r="O140">
        <v>144</v>
      </c>
      <c r="P140">
        <v>0</v>
      </c>
      <c r="Q140" t="s">
        <v>70</v>
      </c>
      <c r="R140">
        <v>9999801748842680</v>
      </c>
      <c r="S140">
        <v>100001562</v>
      </c>
      <c r="V140" t="s">
        <v>83</v>
      </c>
      <c r="W140">
        <v>71</v>
      </c>
      <c r="X140">
        <v>100001561</v>
      </c>
      <c r="Y140">
        <v>100001562</v>
      </c>
      <c r="Z140">
        <v>200003123</v>
      </c>
      <c r="AA140">
        <v>100001562</v>
      </c>
      <c r="AB140">
        <v>2</v>
      </c>
      <c r="AC140">
        <v>1</v>
      </c>
      <c r="AD140">
        <v>1.5</v>
      </c>
      <c r="AE140">
        <v>35.756100000000004</v>
      </c>
      <c r="AF140">
        <v>1319578284</v>
      </c>
      <c r="AG140">
        <v>0</v>
      </c>
      <c r="AH140">
        <v>13327517</v>
      </c>
      <c r="AI140">
        <v>1319578284</v>
      </c>
      <c r="AJ140">
        <v>1332905801</v>
      </c>
      <c r="AK140">
        <v>43985942</v>
      </c>
      <c r="AL140">
        <v>0</v>
      </c>
      <c r="AM140">
        <v>444250</v>
      </c>
      <c r="AN140">
        <v>43985942</v>
      </c>
      <c r="AO140">
        <v>44430193</v>
      </c>
      <c r="AQ140">
        <v>38.154600000000002</v>
      </c>
      <c r="AR140">
        <v>19.1616</v>
      </c>
      <c r="AS140">
        <v>9024.36</v>
      </c>
      <c r="AU140" t="s">
        <v>483</v>
      </c>
      <c r="AV140" t="str">
        <f t="shared" si="4"/>
        <v>1% updates, key range [0, 2*10^8)</v>
      </c>
      <c r="AW140" t="str">
        <f t="shared" si="5"/>
        <v>7564</v>
      </c>
    </row>
    <row r="141" spans="1:49">
      <c r="A141" t="s">
        <v>223</v>
      </c>
      <c r="B141" t="s">
        <v>76</v>
      </c>
      <c r="D141" t="s">
        <v>73</v>
      </c>
      <c r="E141" t="s">
        <v>68</v>
      </c>
      <c r="F141" t="s">
        <v>69</v>
      </c>
      <c r="G141">
        <v>30000</v>
      </c>
      <c r="H141">
        <v>0.5</v>
      </c>
      <c r="I141">
        <v>0.5</v>
      </c>
      <c r="J141">
        <v>0</v>
      </c>
      <c r="K141">
        <v>1</v>
      </c>
      <c r="L141">
        <v>200000000</v>
      </c>
      <c r="M141">
        <v>190</v>
      </c>
      <c r="N141">
        <v>190</v>
      </c>
      <c r="O141">
        <v>190</v>
      </c>
      <c r="P141">
        <v>0</v>
      </c>
      <c r="Q141" t="s">
        <v>70</v>
      </c>
      <c r="R141">
        <v>1.00003237380176E+16</v>
      </c>
      <c r="S141">
        <v>100002324</v>
      </c>
      <c r="V141" t="s">
        <v>83</v>
      </c>
      <c r="W141">
        <v>73</v>
      </c>
      <c r="X141">
        <v>100002323</v>
      </c>
      <c r="Y141">
        <v>100002324</v>
      </c>
      <c r="Z141">
        <v>200004647</v>
      </c>
      <c r="AA141">
        <v>100002324</v>
      </c>
      <c r="AB141">
        <v>2</v>
      </c>
      <c r="AC141">
        <v>1</v>
      </c>
      <c r="AD141">
        <v>1.5</v>
      </c>
      <c r="AE141">
        <v>36.408299999999997</v>
      </c>
      <c r="AF141">
        <v>1760306499</v>
      </c>
      <c r="AG141">
        <v>0</v>
      </c>
      <c r="AH141">
        <v>17779379</v>
      </c>
      <c r="AI141">
        <v>1760306499</v>
      </c>
      <c r="AJ141">
        <v>1778085878</v>
      </c>
      <c r="AK141">
        <v>58676883</v>
      </c>
      <c r="AL141">
        <v>0</v>
      </c>
      <c r="AM141">
        <v>592645</v>
      </c>
      <c r="AN141">
        <v>58676883</v>
      </c>
      <c r="AO141">
        <v>59269529</v>
      </c>
      <c r="AQ141">
        <v>38.424700000000001</v>
      </c>
      <c r="AR141">
        <v>19.338200000000001</v>
      </c>
      <c r="AS141">
        <v>8927.57</v>
      </c>
      <c r="AU141" t="s">
        <v>484</v>
      </c>
      <c r="AV141" t="str">
        <f t="shared" si="4"/>
        <v>1% updates, key range [0, 2*10^8)</v>
      </c>
      <c r="AW141" t="str">
        <f t="shared" si="5"/>
        <v>7576</v>
      </c>
    </row>
    <row r="142" spans="1:49">
      <c r="A142" t="s">
        <v>224</v>
      </c>
      <c r="B142" t="s">
        <v>72</v>
      </c>
      <c r="C142">
        <v>72</v>
      </c>
      <c r="D142" t="s">
        <v>73</v>
      </c>
      <c r="E142" t="s">
        <v>68</v>
      </c>
      <c r="F142" t="s">
        <v>69</v>
      </c>
      <c r="G142">
        <v>30000</v>
      </c>
      <c r="H142">
        <v>0.5</v>
      </c>
      <c r="I142">
        <v>0.5</v>
      </c>
      <c r="J142">
        <v>0</v>
      </c>
      <c r="K142">
        <v>1</v>
      </c>
      <c r="L142">
        <v>2000000000</v>
      </c>
      <c r="M142">
        <v>24</v>
      </c>
      <c r="N142">
        <v>24</v>
      </c>
      <c r="O142">
        <v>24</v>
      </c>
      <c r="P142">
        <v>0</v>
      </c>
      <c r="Q142" t="s">
        <v>70</v>
      </c>
      <c r="R142">
        <v>9.9999293362094195E+17</v>
      </c>
      <c r="S142">
        <v>999999722</v>
      </c>
      <c r="V142" t="s">
        <v>83</v>
      </c>
      <c r="W142">
        <v>7</v>
      </c>
      <c r="X142">
        <v>85837536</v>
      </c>
      <c r="Y142">
        <v>1081551446</v>
      </c>
      <c r="Z142">
        <v>1167388982</v>
      </c>
      <c r="AA142">
        <v>999999722</v>
      </c>
      <c r="AB142">
        <v>13.6</v>
      </c>
      <c r="AC142">
        <v>0.924597</v>
      </c>
      <c r="AD142">
        <v>1.8566100000000001</v>
      </c>
      <c r="AE142">
        <v>4.0027499999999998</v>
      </c>
      <c r="AF142">
        <v>546315353</v>
      </c>
      <c r="AG142">
        <v>0</v>
      </c>
      <c r="AH142">
        <v>5515940</v>
      </c>
      <c r="AI142">
        <v>546315353</v>
      </c>
      <c r="AJ142">
        <v>551831293</v>
      </c>
      <c r="AK142">
        <v>18210511</v>
      </c>
      <c r="AL142">
        <v>0</v>
      </c>
      <c r="AM142">
        <v>183864</v>
      </c>
      <c r="AN142">
        <v>18210511</v>
      </c>
      <c r="AO142">
        <v>18394376</v>
      </c>
      <c r="AQ142">
        <v>22.013300000000001</v>
      </c>
      <c r="AR142">
        <v>12.8186</v>
      </c>
      <c r="AS142">
        <v>3635.97</v>
      </c>
      <c r="AU142" t="s">
        <v>485</v>
      </c>
      <c r="AV142" t="str">
        <f t="shared" si="4"/>
        <v>1% updates, key range [0, 2*10^9)</v>
      </c>
      <c r="AW142" t="str">
        <f t="shared" si="5"/>
        <v>59298</v>
      </c>
    </row>
    <row r="143" spans="1:49">
      <c r="A143" t="s">
        <v>225</v>
      </c>
      <c r="B143" t="s">
        <v>72</v>
      </c>
      <c r="C143">
        <v>72</v>
      </c>
      <c r="D143" t="s">
        <v>73</v>
      </c>
      <c r="E143" t="s">
        <v>68</v>
      </c>
      <c r="F143" t="s">
        <v>69</v>
      </c>
      <c r="G143">
        <v>30000</v>
      </c>
      <c r="H143">
        <v>0.5</v>
      </c>
      <c r="I143">
        <v>0.5</v>
      </c>
      <c r="J143">
        <v>0</v>
      </c>
      <c r="K143">
        <v>1</v>
      </c>
      <c r="L143">
        <v>2000000000</v>
      </c>
      <c r="M143">
        <v>48</v>
      </c>
      <c r="N143">
        <v>48</v>
      </c>
      <c r="O143">
        <v>48</v>
      </c>
      <c r="P143">
        <v>0</v>
      </c>
      <c r="Q143" t="s">
        <v>70</v>
      </c>
      <c r="R143">
        <v>1.00000268746887E+18</v>
      </c>
      <c r="S143">
        <v>999998684</v>
      </c>
      <c r="V143" t="s">
        <v>83</v>
      </c>
      <c r="W143">
        <v>7</v>
      </c>
      <c r="X143">
        <v>86939378</v>
      </c>
      <c r="Y143">
        <v>1083759520</v>
      </c>
      <c r="Z143">
        <v>1170698898</v>
      </c>
      <c r="AA143">
        <v>999998684</v>
      </c>
      <c r="AB143">
        <v>13.4657</v>
      </c>
      <c r="AC143">
        <v>0.92271300000000001</v>
      </c>
      <c r="AD143">
        <v>1.85419</v>
      </c>
      <c r="AE143">
        <v>4.0049700000000001</v>
      </c>
      <c r="AF143">
        <v>987811829</v>
      </c>
      <c r="AG143">
        <v>0</v>
      </c>
      <c r="AH143">
        <v>9977178</v>
      </c>
      <c r="AI143">
        <v>987811829</v>
      </c>
      <c r="AJ143">
        <v>997789007</v>
      </c>
      <c r="AK143">
        <v>32927060</v>
      </c>
      <c r="AL143">
        <v>0</v>
      </c>
      <c r="AM143">
        <v>332572</v>
      </c>
      <c r="AN143">
        <v>32927060</v>
      </c>
      <c r="AO143">
        <v>33259633</v>
      </c>
      <c r="AQ143">
        <v>21.8597</v>
      </c>
      <c r="AR143">
        <v>12.796900000000001</v>
      </c>
      <c r="AS143">
        <v>4021.13</v>
      </c>
      <c r="AU143" t="s">
        <v>486</v>
      </c>
      <c r="AV143" t="str">
        <f t="shared" si="4"/>
        <v>1% updates, key range [0, 2*10^9)</v>
      </c>
      <c r="AW143" t="str">
        <f t="shared" si="5"/>
        <v>59548</v>
      </c>
    </row>
    <row r="144" spans="1:49">
      <c r="A144" t="s">
        <v>226</v>
      </c>
      <c r="B144" t="s">
        <v>72</v>
      </c>
      <c r="C144">
        <v>72</v>
      </c>
      <c r="D144" t="s">
        <v>73</v>
      </c>
      <c r="E144" t="s">
        <v>68</v>
      </c>
      <c r="F144" t="s">
        <v>69</v>
      </c>
      <c r="G144">
        <v>30000</v>
      </c>
      <c r="H144">
        <v>0.5</v>
      </c>
      <c r="I144">
        <v>0.5</v>
      </c>
      <c r="J144">
        <v>0</v>
      </c>
      <c r="K144">
        <v>1</v>
      </c>
      <c r="L144">
        <v>2000000000</v>
      </c>
      <c r="M144">
        <v>96</v>
      </c>
      <c r="N144">
        <v>96</v>
      </c>
      <c r="O144">
        <v>96</v>
      </c>
      <c r="P144">
        <v>0</v>
      </c>
      <c r="Q144" t="s">
        <v>70</v>
      </c>
      <c r="R144">
        <v>1.00002391041472E+18</v>
      </c>
      <c r="S144">
        <v>1000002631</v>
      </c>
      <c r="V144" t="s">
        <v>83</v>
      </c>
      <c r="W144">
        <v>7</v>
      </c>
      <c r="X144">
        <v>89852361</v>
      </c>
      <c r="Y144">
        <v>1089609794</v>
      </c>
      <c r="Z144">
        <v>1179462155</v>
      </c>
      <c r="AA144">
        <v>1000002631</v>
      </c>
      <c r="AB144">
        <v>13.1267</v>
      </c>
      <c r="AC144">
        <v>0.91776199999999997</v>
      </c>
      <c r="AD144">
        <v>1.84785</v>
      </c>
      <c r="AE144">
        <v>4.0108600000000001</v>
      </c>
      <c r="AF144">
        <v>2173271566</v>
      </c>
      <c r="AG144">
        <v>0</v>
      </c>
      <c r="AH144">
        <v>21958736</v>
      </c>
      <c r="AI144">
        <v>2173271566</v>
      </c>
      <c r="AJ144">
        <v>2195230302</v>
      </c>
      <c r="AK144">
        <v>72442385</v>
      </c>
      <c r="AL144">
        <v>0</v>
      </c>
      <c r="AM144">
        <v>731957</v>
      </c>
      <c r="AN144">
        <v>72442385</v>
      </c>
      <c r="AO144">
        <v>73174343</v>
      </c>
      <c r="AQ144">
        <v>21.9147</v>
      </c>
      <c r="AR144">
        <v>13.5174</v>
      </c>
      <c r="AS144">
        <v>3652.83</v>
      </c>
      <c r="AU144" t="s">
        <v>487</v>
      </c>
      <c r="AV144" t="str">
        <f t="shared" si="4"/>
        <v>1% updates, key range [0, 2*10^9)</v>
      </c>
      <c r="AW144" t="str">
        <f t="shared" si="5"/>
        <v>60125</v>
      </c>
    </row>
    <row r="145" spans="1:49">
      <c r="A145" t="s">
        <v>227</v>
      </c>
      <c r="B145" t="s">
        <v>72</v>
      </c>
      <c r="C145">
        <v>72</v>
      </c>
      <c r="D145" t="s">
        <v>73</v>
      </c>
      <c r="E145" t="s">
        <v>68</v>
      </c>
      <c r="F145" t="s">
        <v>69</v>
      </c>
      <c r="G145">
        <v>30000</v>
      </c>
      <c r="H145">
        <v>0.5</v>
      </c>
      <c r="I145">
        <v>0.5</v>
      </c>
      <c r="J145">
        <v>0</v>
      </c>
      <c r="K145">
        <v>1</v>
      </c>
      <c r="L145">
        <v>2000000000</v>
      </c>
      <c r="M145">
        <v>144</v>
      </c>
      <c r="N145">
        <v>144</v>
      </c>
      <c r="O145">
        <v>144</v>
      </c>
      <c r="P145">
        <v>0</v>
      </c>
      <c r="Q145" t="s">
        <v>70</v>
      </c>
      <c r="R145">
        <v>9.9998200937438003E+17</v>
      </c>
      <c r="S145">
        <v>999998059</v>
      </c>
      <c r="V145" t="s">
        <v>83</v>
      </c>
      <c r="W145">
        <v>7</v>
      </c>
      <c r="X145">
        <v>92457031</v>
      </c>
      <c r="Y145">
        <v>1094858203</v>
      </c>
      <c r="Z145">
        <v>1187315234</v>
      </c>
      <c r="AA145">
        <v>999998059</v>
      </c>
      <c r="AB145">
        <v>12.841799999999999</v>
      </c>
      <c r="AC145">
        <v>0.91335900000000003</v>
      </c>
      <c r="AD145">
        <v>1.84223</v>
      </c>
      <c r="AE145">
        <v>4.0161699999999998</v>
      </c>
      <c r="AF145">
        <v>3262959882</v>
      </c>
      <c r="AG145">
        <v>0</v>
      </c>
      <c r="AH145">
        <v>32959891</v>
      </c>
      <c r="AI145">
        <v>3262959882</v>
      </c>
      <c r="AJ145">
        <v>3295919773</v>
      </c>
      <c r="AK145">
        <v>108765329</v>
      </c>
      <c r="AL145">
        <v>0</v>
      </c>
      <c r="AM145">
        <v>1098663</v>
      </c>
      <c r="AN145">
        <v>108765329</v>
      </c>
      <c r="AO145">
        <v>109863992</v>
      </c>
      <c r="AQ145">
        <v>21.896699999999999</v>
      </c>
      <c r="AR145">
        <v>13.7525</v>
      </c>
      <c r="AS145">
        <v>3649.24</v>
      </c>
      <c r="AU145" t="s">
        <v>488</v>
      </c>
      <c r="AV145" t="str">
        <f t="shared" si="4"/>
        <v>1% updates, key range [0, 2*10^9)</v>
      </c>
      <c r="AW145" t="str">
        <f t="shared" si="5"/>
        <v>60697</v>
      </c>
    </row>
    <row r="146" spans="1:49">
      <c r="A146" t="s">
        <v>228</v>
      </c>
      <c r="B146" t="s">
        <v>72</v>
      </c>
      <c r="C146">
        <v>72</v>
      </c>
      <c r="D146" t="s">
        <v>73</v>
      </c>
      <c r="E146" t="s">
        <v>68</v>
      </c>
      <c r="F146" t="s">
        <v>69</v>
      </c>
      <c r="G146">
        <v>30000</v>
      </c>
      <c r="H146">
        <v>0.5</v>
      </c>
      <c r="I146">
        <v>0.5</v>
      </c>
      <c r="J146">
        <v>0</v>
      </c>
      <c r="K146">
        <v>1</v>
      </c>
      <c r="L146">
        <v>2000000000</v>
      </c>
      <c r="M146">
        <v>190</v>
      </c>
      <c r="N146">
        <v>190</v>
      </c>
      <c r="O146">
        <v>190</v>
      </c>
      <c r="P146">
        <v>0</v>
      </c>
      <c r="Q146" t="s">
        <v>70</v>
      </c>
      <c r="R146">
        <v>9.9998767814717299E+17</v>
      </c>
      <c r="S146">
        <v>1000000337</v>
      </c>
      <c r="V146" t="s">
        <v>83</v>
      </c>
      <c r="W146">
        <v>7</v>
      </c>
      <c r="X146">
        <v>94761754</v>
      </c>
      <c r="Y146">
        <v>1099515882</v>
      </c>
      <c r="Z146">
        <v>1194277636</v>
      </c>
      <c r="AA146">
        <v>1000000337</v>
      </c>
      <c r="AB146">
        <v>12.6029</v>
      </c>
      <c r="AC146">
        <v>0.90949100000000005</v>
      </c>
      <c r="AD146">
        <v>1.8373299999999999</v>
      </c>
      <c r="AE146">
        <v>4.0209000000000001</v>
      </c>
      <c r="AF146">
        <v>4252352055</v>
      </c>
      <c r="AG146">
        <v>0</v>
      </c>
      <c r="AH146">
        <v>42940626</v>
      </c>
      <c r="AI146">
        <v>4252352055</v>
      </c>
      <c r="AJ146">
        <v>4295292681</v>
      </c>
      <c r="AK146">
        <v>141745068</v>
      </c>
      <c r="AL146">
        <v>0</v>
      </c>
      <c r="AM146">
        <v>1431354</v>
      </c>
      <c r="AN146">
        <v>141745068</v>
      </c>
      <c r="AO146">
        <v>143176422</v>
      </c>
      <c r="AQ146">
        <v>21.983000000000001</v>
      </c>
      <c r="AR146">
        <v>13.893000000000001</v>
      </c>
      <c r="AS146">
        <v>3691.53</v>
      </c>
      <c r="AU146" t="s">
        <v>489</v>
      </c>
      <c r="AV146" t="str">
        <f t="shared" si="4"/>
        <v>1% updates, key range [0, 2*10^9)</v>
      </c>
      <c r="AW146" t="str">
        <f t="shared" si="5"/>
        <v>61130</v>
      </c>
    </row>
    <row r="147" spans="1:49">
      <c r="A147" t="s">
        <v>229</v>
      </c>
      <c r="B147" t="s">
        <v>74</v>
      </c>
      <c r="C147">
        <v>208</v>
      </c>
      <c r="D147" t="s">
        <v>73</v>
      </c>
      <c r="E147" t="s">
        <v>68</v>
      </c>
      <c r="F147" t="s">
        <v>69</v>
      </c>
      <c r="G147">
        <v>30000</v>
      </c>
      <c r="H147">
        <v>0.5</v>
      </c>
      <c r="I147">
        <v>0.5</v>
      </c>
      <c r="J147">
        <v>0</v>
      </c>
      <c r="K147">
        <v>1</v>
      </c>
      <c r="L147">
        <v>2000000000</v>
      </c>
      <c r="M147">
        <v>24</v>
      </c>
      <c r="N147">
        <v>24</v>
      </c>
      <c r="O147">
        <v>24</v>
      </c>
      <c r="P147">
        <v>0</v>
      </c>
      <c r="Q147" t="s">
        <v>70</v>
      </c>
      <c r="R147">
        <v>9.9999193016527603E+17</v>
      </c>
      <c r="S147">
        <v>1000001351</v>
      </c>
      <c r="V147" t="s">
        <v>83</v>
      </c>
      <c r="W147">
        <v>12</v>
      </c>
      <c r="X147">
        <v>18557955</v>
      </c>
      <c r="Y147">
        <v>127697093</v>
      </c>
      <c r="Z147">
        <v>146255048</v>
      </c>
      <c r="AA147">
        <v>1000001351</v>
      </c>
      <c r="AB147">
        <v>7.8809899999999997</v>
      </c>
      <c r="AC147">
        <v>7.8310399999999998</v>
      </c>
      <c r="AD147">
        <v>7.8373799999999996</v>
      </c>
      <c r="AE147">
        <v>11</v>
      </c>
      <c r="AF147">
        <v>383708907</v>
      </c>
      <c r="AG147">
        <v>0</v>
      </c>
      <c r="AH147">
        <v>3871879</v>
      </c>
      <c r="AI147">
        <v>383708907</v>
      </c>
      <c r="AJ147">
        <v>387580786</v>
      </c>
      <c r="AK147">
        <v>12790296</v>
      </c>
      <c r="AL147">
        <v>0</v>
      </c>
      <c r="AM147">
        <v>129062</v>
      </c>
      <c r="AN147">
        <v>12790296</v>
      </c>
      <c r="AO147">
        <v>12919359</v>
      </c>
      <c r="AQ147">
        <v>30.5153</v>
      </c>
      <c r="AR147">
        <v>17.277899999999999</v>
      </c>
      <c r="AS147">
        <v>5174.62</v>
      </c>
      <c r="AU147" t="s">
        <v>490</v>
      </c>
      <c r="AV147" t="str">
        <f t="shared" si="4"/>
        <v>1% updates, key range [0, 2*10^9)</v>
      </c>
      <c r="AW147" t="str">
        <f t="shared" si="5"/>
        <v>33278</v>
      </c>
    </row>
    <row r="148" spans="1:49">
      <c r="A148" t="s">
        <v>230</v>
      </c>
      <c r="B148" t="s">
        <v>74</v>
      </c>
      <c r="C148">
        <v>208</v>
      </c>
      <c r="D148" t="s">
        <v>73</v>
      </c>
      <c r="E148" t="s">
        <v>68</v>
      </c>
      <c r="F148" t="s">
        <v>69</v>
      </c>
      <c r="G148">
        <v>30000</v>
      </c>
      <c r="H148">
        <v>0.5</v>
      </c>
      <c r="I148">
        <v>0.5</v>
      </c>
      <c r="J148">
        <v>0</v>
      </c>
      <c r="K148">
        <v>1</v>
      </c>
      <c r="L148">
        <v>2000000000</v>
      </c>
      <c r="M148">
        <v>48</v>
      </c>
      <c r="N148">
        <v>48</v>
      </c>
      <c r="O148">
        <v>48</v>
      </c>
      <c r="P148">
        <v>0</v>
      </c>
      <c r="Q148" t="s">
        <v>70</v>
      </c>
      <c r="R148">
        <v>9.9997150996715098E+17</v>
      </c>
      <c r="S148">
        <v>999998822</v>
      </c>
      <c r="V148" t="s">
        <v>83</v>
      </c>
      <c r="W148">
        <v>12</v>
      </c>
      <c r="X148">
        <v>18572317</v>
      </c>
      <c r="Y148">
        <v>127805248</v>
      </c>
      <c r="Z148">
        <v>146377565</v>
      </c>
      <c r="AA148">
        <v>999998822</v>
      </c>
      <c r="AB148">
        <v>7.8814900000000003</v>
      </c>
      <c r="AC148">
        <v>7.8243999999999998</v>
      </c>
      <c r="AD148">
        <v>7.8316400000000002</v>
      </c>
      <c r="AE148">
        <v>11</v>
      </c>
      <c r="AF148">
        <v>726677096</v>
      </c>
      <c r="AG148">
        <v>0</v>
      </c>
      <c r="AH148">
        <v>7336694</v>
      </c>
      <c r="AI148">
        <v>726677096</v>
      </c>
      <c r="AJ148">
        <v>734013790</v>
      </c>
      <c r="AK148">
        <v>24222569</v>
      </c>
      <c r="AL148">
        <v>0</v>
      </c>
      <c r="AM148">
        <v>244556</v>
      </c>
      <c r="AN148">
        <v>24222569</v>
      </c>
      <c r="AO148">
        <v>24467126</v>
      </c>
      <c r="AQ148">
        <v>30.280200000000001</v>
      </c>
      <c r="AR148">
        <v>17.1173</v>
      </c>
      <c r="AS148">
        <v>5462.91</v>
      </c>
      <c r="AU148" t="s">
        <v>491</v>
      </c>
      <c r="AV148" t="str">
        <f t="shared" si="4"/>
        <v>1% updates, key range [0, 2*10^9)</v>
      </c>
      <c r="AW148" t="str">
        <f t="shared" si="5"/>
        <v>33417</v>
      </c>
    </row>
    <row r="149" spans="1:49">
      <c r="A149" t="s">
        <v>231</v>
      </c>
      <c r="B149" t="s">
        <v>74</v>
      </c>
      <c r="C149">
        <v>208</v>
      </c>
      <c r="D149" t="s">
        <v>73</v>
      </c>
      <c r="E149" t="s">
        <v>68</v>
      </c>
      <c r="F149" t="s">
        <v>69</v>
      </c>
      <c r="G149">
        <v>30000</v>
      </c>
      <c r="H149">
        <v>0.5</v>
      </c>
      <c r="I149">
        <v>0.5</v>
      </c>
      <c r="J149">
        <v>0</v>
      </c>
      <c r="K149">
        <v>1</v>
      </c>
      <c r="L149">
        <v>2000000000</v>
      </c>
      <c r="M149">
        <v>96</v>
      </c>
      <c r="N149">
        <v>96</v>
      </c>
      <c r="O149">
        <v>96</v>
      </c>
      <c r="P149">
        <v>0</v>
      </c>
      <c r="Q149" t="s">
        <v>70</v>
      </c>
      <c r="R149">
        <v>1.0000064605809201E+18</v>
      </c>
      <c r="S149">
        <v>1000002640</v>
      </c>
      <c r="V149" t="s">
        <v>83</v>
      </c>
      <c r="W149">
        <v>12</v>
      </c>
      <c r="X149">
        <v>18606238</v>
      </c>
      <c r="Y149">
        <v>128040636</v>
      </c>
      <c r="Z149">
        <v>146646874</v>
      </c>
      <c r="AA149">
        <v>1000002640</v>
      </c>
      <c r="AB149">
        <v>7.8815999999999997</v>
      </c>
      <c r="AC149">
        <v>7.8100399999999999</v>
      </c>
      <c r="AD149">
        <v>7.8191199999999998</v>
      </c>
      <c r="AE149">
        <v>11</v>
      </c>
      <c r="AF149">
        <v>1460086624</v>
      </c>
      <c r="AG149">
        <v>0</v>
      </c>
      <c r="AH149">
        <v>14749197</v>
      </c>
      <c r="AI149">
        <v>1460086624</v>
      </c>
      <c r="AJ149">
        <v>1474835821</v>
      </c>
      <c r="AK149">
        <v>48669554</v>
      </c>
      <c r="AL149">
        <v>0</v>
      </c>
      <c r="AM149">
        <v>491639</v>
      </c>
      <c r="AN149">
        <v>48669554</v>
      </c>
      <c r="AO149">
        <v>49161194</v>
      </c>
      <c r="AQ149">
        <v>30.520199999999999</v>
      </c>
      <c r="AR149">
        <v>17.568000000000001</v>
      </c>
      <c r="AS149">
        <v>5437.32</v>
      </c>
      <c r="AU149" t="s">
        <v>492</v>
      </c>
      <c r="AV149" t="str">
        <f t="shared" si="4"/>
        <v>1% updates, key range [0, 2*10^9)</v>
      </c>
      <c r="AW149" t="str">
        <f t="shared" si="5"/>
        <v>33709</v>
      </c>
    </row>
    <row r="150" spans="1:49">
      <c r="A150" t="s">
        <v>232</v>
      </c>
      <c r="B150" t="s">
        <v>74</v>
      </c>
      <c r="C150">
        <v>208</v>
      </c>
      <c r="D150" t="s">
        <v>73</v>
      </c>
      <c r="E150" t="s">
        <v>68</v>
      </c>
      <c r="F150" t="s">
        <v>69</v>
      </c>
      <c r="G150">
        <v>30000</v>
      </c>
      <c r="H150">
        <v>0.5</v>
      </c>
      <c r="I150">
        <v>0.5</v>
      </c>
      <c r="J150">
        <v>0</v>
      </c>
      <c r="K150">
        <v>1</v>
      </c>
      <c r="L150">
        <v>2000000000</v>
      </c>
      <c r="M150">
        <v>144</v>
      </c>
      <c r="N150">
        <v>144</v>
      </c>
      <c r="O150">
        <v>144</v>
      </c>
      <c r="P150">
        <v>0</v>
      </c>
      <c r="Q150" t="s">
        <v>70</v>
      </c>
      <c r="R150">
        <v>1.00000418028354E+18</v>
      </c>
      <c r="S150">
        <v>1000003928</v>
      </c>
      <c r="V150" t="s">
        <v>83</v>
      </c>
      <c r="W150">
        <v>12</v>
      </c>
      <c r="X150">
        <v>18636153</v>
      </c>
      <c r="Y150">
        <v>128253948</v>
      </c>
      <c r="Z150">
        <v>146890101</v>
      </c>
      <c r="AA150">
        <v>1000003928</v>
      </c>
      <c r="AB150">
        <v>7.8819999999999997</v>
      </c>
      <c r="AC150">
        <v>7.7970600000000001</v>
      </c>
      <c r="AD150">
        <v>7.8078399999999997</v>
      </c>
      <c r="AE150">
        <v>11</v>
      </c>
      <c r="AF150">
        <v>2177592792</v>
      </c>
      <c r="AG150">
        <v>0</v>
      </c>
      <c r="AH150">
        <v>21989027</v>
      </c>
      <c r="AI150">
        <v>2177592792</v>
      </c>
      <c r="AJ150">
        <v>2199581819</v>
      </c>
      <c r="AK150">
        <v>72586426</v>
      </c>
      <c r="AL150">
        <v>0</v>
      </c>
      <c r="AM150">
        <v>732967</v>
      </c>
      <c r="AN150">
        <v>72586426</v>
      </c>
      <c r="AO150">
        <v>73319393</v>
      </c>
      <c r="AQ150">
        <v>30.755700000000001</v>
      </c>
      <c r="AR150">
        <v>17.7348</v>
      </c>
      <c r="AS150">
        <v>5467.44</v>
      </c>
      <c r="AU150" t="s">
        <v>493</v>
      </c>
      <c r="AV150" t="str">
        <f t="shared" si="4"/>
        <v>1% updates, key range [0, 2*10^9)</v>
      </c>
      <c r="AW150" t="str">
        <f t="shared" si="5"/>
        <v>33995</v>
      </c>
    </row>
    <row r="151" spans="1:49">
      <c r="A151" t="s">
        <v>233</v>
      </c>
      <c r="B151" t="s">
        <v>74</v>
      </c>
      <c r="C151">
        <v>208</v>
      </c>
      <c r="D151" t="s">
        <v>73</v>
      </c>
      <c r="E151" t="s">
        <v>68</v>
      </c>
      <c r="F151" t="s">
        <v>69</v>
      </c>
      <c r="G151">
        <v>30000</v>
      </c>
      <c r="H151">
        <v>0.5</v>
      </c>
      <c r="I151">
        <v>0.5</v>
      </c>
      <c r="J151">
        <v>0</v>
      </c>
      <c r="K151">
        <v>1</v>
      </c>
      <c r="L151">
        <v>2000000000</v>
      </c>
      <c r="M151">
        <v>190</v>
      </c>
      <c r="N151">
        <v>190</v>
      </c>
      <c r="O151">
        <v>190</v>
      </c>
      <c r="P151">
        <v>0</v>
      </c>
      <c r="Q151" t="s">
        <v>70</v>
      </c>
      <c r="R151">
        <v>9.9998322672299699E+17</v>
      </c>
      <c r="S151">
        <v>999995370</v>
      </c>
      <c r="V151" t="s">
        <v>83</v>
      </c>
      <c r="W151">
        <v>12</v>
      </c>
      <c r="X151">
        <v>18668382</v>
      </c>
      <c r="Y151">
        <v>128464274</v>
      </c>
      <c r="Z151">
        <v>147132656</v>
      </c>
      <c r="AA151">
        <v>999995370</v>
      </c>
      <c r="AB151">
        <v>7.8813800000000001</v>
      </c>
      <c r="AC151">
        <v>7.78423</v>
      </c>
      <c r="AD151">
        <v>7.7965600000000004</v>
      </c>
      <c r="AE151">
        <v>11</v>
      </c>
      <c r="AF151">
        <v>2864479153</v>
      </c>
      <c r="AG151">
        <v>0</v>
      </c>
      <c r="AH151">
        <v>28924867</v>
      </c>
      <c r="AI151">
        <v>2864479153</v>
      </c>
      <c r="AJ151">
        <v>2893404020</v>
      </c>
      <c r="AK151">
        <v>95482638</v>
      </c>
      <c r="AL151">
        <v>0</v>
      </c>
      <c r="AM151">
        <v>964162</v>
      </c>
      <c r="AN151">
        <v>95482638</v>
      </c>
      <c r="AO151">
        <v>96446800</v>
      </c>
      <c r="AQ151">
        <v>30.8172</v>
      </c>
      <c r="AR151">
        <v>17.835000000000001</v>
      </c>
      <c r="AS151">
        <v>5483.34</v>
      </c>
      <c r="AU151" t="s">
        <v>494</v>
      </c>
      <c r="AV151" t="str">
        <f t="shared" si="4"/>
        <v>1% updates, key range [0, 2*10^9)</v>
      </c>
      <c r="AW151" t="str">
        <f t="shared" si="5"/>
        <v>34351</v>
      </c>
    </row>
    <row r="152" spans="1:49">
      <c r="A152" t="s">
        <v>234</v>
      </c>
      <c r="B152" t="s">
        <v>75</v>
      </c>
      <c r="D152" t="s">
        <v>73</v>
      </c>
      <c r="E152" t="s">
        <v>68</v>
      </c>
      <c r="F152" t="s">
        <v>69</v>
      </c>
      <c r="G152">
        <v>30000</v>
      </c>
      <c r="H152">
        <v>0.5</v>
      </c>
      <c r="I152">
        <v>0.5</v>
      </c>
      <c r="J152">
        <v>0</v>
      </c>
      <c r="K152">
        <v>1</v>
      </c>
      <c r="L152">
        <v>2000000000</v>
      </c>
      <c r="M152">
        <v>24</v>
      </c>
      <c r="N152">
        <v>24</v>
      </c>
      <c r="O152">
        <v>24</v>
      </c>
      <c r="P152">
        <v>0</v>
      </c>
      <c r="Q152" t="s">
        <v>70</v>
      </c>
      <c r="AU152" t="s">
        <v>418</v>
      </c>
      <c r="AV152" t="str">
        <f t="shared" si="4"/>
        <v>1% updates, key range [0, 2*10^9)</v>
      </c>
      <c r="AW152" t="str">
        <f t="shared" si="5"/>
        <v/>
      </c>
    </row>
    <row r="153" spans="1:49">
      <c r="A153" t="s">
        <v>235</v>
      </c>
      <c r="B153" t="s">
        <v>75</v>
      </c>
      <c r="D153" t="s">
        <v>73</v>
      </c>
      <c r="E153" t="s">
        <v>68</v>
      </c>
      <c r="F153" t="s">
        <v>69</v>
      </c>
      <c r="G153">
        <v>30000</v>
      </c>
      <c r="H153">
        <v>0.5</v>
      </c>
      <c r="I153">
        <v>0.5</v>
      </c>
      <c r="J153">
        <v>0</v>
      </c>
      <c r="K153">
        <v>1</v>
      </c>
      <c r="L153">
        <v>2000000000</v>
      </c>
      <c r="M153">
        <v>48</v>
      </c>
      <c r="N153">
        <v>48</v>
      </c>
      <c r="O153">
        <v>48</v>
      </c>
      <c r="P153">
        <v>0</v>
      </c>
      <c r="Q153" t="s">
        <v>70</v>
      </c>
      <c r="R153">
        <v>1.00002253751099E+18</v>
      </c>
      <c r="S153">
        <v>1000002635</v>
      </c>
      <c r="V153" t="s">
        <v>83</v>
      </c>
      <c r="W153">
        <v>37</v>
      </c>
      <c r="X153">
        <v>571630028</v>
      </c>
      <c r="Y153">
        <v>428738684</v>
      </c>
      <c r="Z153">
        <v>1000368712</v>
      </c>
      <c r="AA153">
        <v>1000002635</v>
      </c>
      <c r="AB153">
        <v>1.75003</v>
      </c>
      <c r="AC153">
        <v>2.33243</v>
      </c>
      <c r="AD153">
        <v>1.99963</v>
      </c>
      <c r="AE153">
        <v>29.439299999999999</v>
      </c>
      <c r="AF153">
        <v>339805134</v>
      </c>
      <c r="AG153">
        <v>0</v>
      </c>
      <c r="AH153">
        <v>3429788</v>
      </c>
      <c r="AI153">
        <v>339805134</v>
      </c>
      <c r="AJ153">
        <v>343234922</v>
      </c>
      <c r="AK153">
        <v>11326837</v>
      </c>
      <c r="AL153">
        <v>0</v>
      </c>
      <c r="AM153">
        <v>114326</v>
      </c>
      <c r="AN153">
        <v>11326837</v>
      </c>
      <c r="AO153">
        <v>11441164</v>
      </c>
      <c r="AQ153">
        <v>55.096400000000003</v>
      </c>
      <c r="AR153">
        <v>31.0275</v>
      </c>
      <c r="AS153">
        <v>11685.5</v>
      </c>
      <c r="AU153" t="s">
        <v>495</v>
      </c>
      <c r="AV153" t="str">
        <f t="shared" si="4"/>
        <v>1% updates, key range [0, 2*10^9)</v>
      </c>
      <c r="AW153" t="str">
        <f t="shared" si="5"/>
        <v>65675</v>
      </c>
    </row>
    <row r="154" spans="1:49">
      <c r="A154" t="s">
        <v>236</v>
      </c>
      <c r="B154" t="s">
        <v>75</v>
      </c>
      <c r="D154" t="s">
        <v>73</v>
      </c>
      <c r="E154" t="s">
        <v>68</v>
      </c>
      <c r="F154" t="s">
        <v>69</v>
      </c>
      <c r="G154">
        <v>30000</v>
      </c>
      <c r="H154">
        <v>0.5</v>
      </c>
      <c r="I154">
        <v>0.5</v>
      </c>
      <c r="J154">
        <v>0</v>
      </c>
      <c r="K154">
        <v>1</v>
      </c>
      <c r="L154">
        <v>2000000000</v>
      </c>
      <c r="M154">
        <v>96</v>
      </c>
      <c r="N154">
        <v>96</v>
      </c>
      <c r="O154">
        <v>96</v>
      </c>
      <c r="P154">
        <v>0</v>
      </c>
      <c r="Q154" t="s">
        <v>70</v>
      </c>
      <c r="R154">
        <v>1.00000437303682E+18</v>
      </c>
      <c r="S154">
        <v>1000000045</v>
      </c>
      <c r="V154" t="s">
        <v>83</v>
      </c>
      <c r="W154">
        <v>37</v>
      </c>
      <c r="X154">
        <v>571833640</v>
      </c>
      <c r="Y154">
        <v>428902587</v>
      </c>
      <c r="Z154">
        <v>1000736227</v>
      </c>
      <c r="AA154">
        <v>1000000045</v>
      </c>
      <c r="AB154">
        <v>1.7500500000000001</v>
      </c>
      <c r="AC154">
        <v>2.3315299999999999</v>
      </c>
      <c r="AD154">
        <v>1.99926</v>
      </c>
      <c r="AE154">
        <v>29.424600000000002</v>
      </c>
      <c r="AF154">
        <v>682048205</v>
      </c>
      <c r="AG154">
        <v>0</v>
      </c>
      <c r="AH154">
        <v>6891394</v>
      </c>
      <c r="AI154">
        <v>682048205</v>
      </c>
      <c r="AJ154">
        <v>688939599</v>
      </c>
      <c r="AK154">
        <v>22734940</v>
      </c>
      <c r="AL154">
        <v>0</v>
      </c>
      <c r="AM154">
        <v>229713</v>
      </c>
      <c r="AN154">
        <v>22734940</v>
      </c>
      <c r="AO154">
        <v>22964653</v>
      </c>
      <c r="AQ154">
        <v>55.317999999999998</v>
      </c>
      <c r="AR154">
        <v>31.302900000000001</v>
      </c>
      <c r="AS154">
        <v>11647</v>
      </c>
      <c r="AU154" t="s">
        <v>496</v>
      </c>
      <c r="AV154" t="str">
        <f t="shared" si="4"/>
        <v>1% updates, key range [0, 2*10^9)</v>
      </c>
      <c r="AW154" t="str">
        <f t="shared" si="5"/>
        <v>65714</v>
      </c>
    </row>
    <row r="155" spans="1:49">
      <c r="A155" t="s">
        <v>237</v>
      </c>
      <c r="B155" t="s">
        <v>75</v>
      </c>
      <c r="D155" t="s">
        <v>73</v>
      </c>
      <c r="E155" t="s">
        <v>68</v>
      </c>
      <c r="F155" t="s">
        <v>69</v>
      </c>
      <c r="G155">
        <v>30000</v>
      </c>
      <c r="H155">
        <v>0.5</v>
      </c>
      <c r="I155">
        <v>0.5</v>
      </c>
      <c r="J155">
        <v>0</v>
      </c>
      <c r="K155">
        <v>1</v>
      </c>
      <c r="L155">
        <v>2000000000</v>
      </c>
      <c r="M155">
        <v>144</v>
      </c>
      <c r="N155">
        <v>144</v>
      </c>
      <c r="O155">
        <v>144</v>
      </c>
      <c r="P155">
        <v>0</v>
      </c>
      <c r="Q155" t="s">
        <v>70</v>
      </c>
      <c r="R155">
        <v>1.00000778238827E+18</v>
      </c>
      <c r="S155">
        <v>999999559</v>
      </c>
      <c r="V155" t="s">
        <v>83</v>
      </c>
      <c r="W155">
        <v>37</v>
      </c>
      <c r="X155">
        <v>572021574</v>
      </c>
      <c r="Y155">
        <v>429075869</v>
      </c>
      <c r="Z155">
        <v>1001097443</v>
      </c>
      <c r="AA155">
        <v>999999559</v>
      </c>
      <c r="AB155">
        <v>1.7501</v>
      </c>
      <c r="AC155">
        <v>2.3305899999999999</v>
      </c>
      <c r="AD155">
        <v>1.9988999999999999</v>
      </c>
      <c r="AE155">
        <v>29.474399999999999</v>
      </c>
      <c r="AF155">
        <v>1016810573</v>
      </c>
      <c r="AG155">
        <v>0</v>
      </c>
      <c r="AH155">
        <v>10270808</v>
      </c>
      <c r="AI155">
        <v>1016810573</v>
      </c>
      <c r="AJ155">
        <v>1027081381</v>
      </c>
      <c r="AK155">
        <v>33893685</v>
      </c>
      <c r="AL155">
        <v>0</v>
      </c>
      <c r="AM155">
        <v>342360</v>
      </c>
      <c r="AN155">
        <v>33893685</v>
      </c>
      <c r="AO155">
        <v>34236046</v>
      </c>
      <c r="AQ155">
        <v>55.538899999999998</v>
      </c>
      <c r="AR155">
        <v>31.457599999999999</v>
      </c>
      <c r="AS155">
        <v>11716.3</v>
      </c>
      <c r="AU155" t="s">
        <v>497</v>
      </c>
      <c r="AV155" t="str">
        <f t="shared" si="4"/>
        <v>1% updates, key range [0, 2*10^9)</v>
      </c>
      <c r="AW155" t="str">
        <f t="shared" si="5"/>
        <v>65751</v>
      </c>
    </row>
    <row r="156" spans="1:49">
      <c r="A156" t="s">
        <v>238</v>
      </c>
      <c r="B156" t="s">
        <v>75</v>
      </c>
      <c r="D156" t="s">
        <v>73</v>
      </c>
      <c r="E156" t="s">
        <v>68</v>
      </c>
      <c r="F156" t="s">
        <v>69</v>
      </c>
      <c r="G156">
        <v>30000</v>
      </c>
      <c r="H156">
        <v>0.5</v>
      </c>
      <c r="I156">
        <v>0.5</v>
      </c>
      <c r="J156">
        <v>0</v>
      </c>
      <c r="K156">
        <v>1</v>
      </c>
      <c r="L156">
        <v>2000000000</v>
      </c>
      <c r="M156">
        <v>190</v>
      </c>
      <c r="N156">
        <v>190</v>
      </c>
      <c r="O156">
        <v>190</v>
      </c>
      <c r="P156">
        <v>0</v>
      </c>
      <c r="Q156" t="s">
        <v>70</v>
      </c>
      <c r="R156">
        <v>1.00001118311579E+18</v>
      </c>
      <c r="S156">
        <v>999995430</v>
      </c>
      <c r="V156" t="s">
        <v>83</v>
      </c>
      <c r="W156">
        <v>37</v>
      </c>
      <c r="X156">
        <v>572215876</v>
      </c>
      <c r="Y156">
        <v>429230665</v>
      </c>
      <c r="Z156">
        <v>1001446541</v>
      </c>
      <c r="AA156">
        <v>999995430</v>
      </c>
      <c r="AB156">
        <v>1.7501199999999999</v>
      </c>
      <c r="AC156">
        <v>2.3297400000000001</v>
      </c>
      <c r="AD156">
        <v>1.99855</v>
      </c>
      <c r="AE156">
        <v>29.445499999999999</v>
      </c>
      <c r="AF156">
        <v>1345051274</v>
      </c>
      <c r="AG156">
        <v>0</v>
      </c>
      <c r="AH156">
        <v>13584335</v>
      </c>
      <c r="AI156">
        <v>1345051274</v>
      </c>
      <c r="AJ156">
        <v>1358635609</v>
      </c>
      <c r="AK156">
        <v>44835042</v>
      </c>
      <c r="AL156">
        <v>0</v>
      </c>
      <c r="AM156">
        <v>452811</v>
      </c>
      <c r="AN156">
        <v>44835042</v>
      </c>
      <c r="AO156">
        <v>45287853</v>
      </c>
      <c r="AQ156">
        <v>55.641300000000001</v>
      </c>
      <c r="AR156">
        <v>31.577200000000001</v>
      </c>
      <c r="AS156">
        <v>11684.2</v>
      </c>
      <c r="AU156" t="s">
        <v>498</v>
      </c>
      <c r="AV156" t="str">
        <f t="shared" si="4"/>
        <v>1% updates, key range [0, 2*10^9)</v>
      </c>
      <c r="AW156" t="str">
        <f t="shared" si="5"/>
        <v>65783</v>
      </c>
    </row>
    <row r="157" spans="1:49">
      <c r="A157" t="s">
        <v>239</v>
      </c>
      <c r="B157" t="s">
        <v>76</v>
      </c>
      <c r="D157" t="s">
        <v>73</v>
      </c>
      <c r="E157" t="s">
        <v>68</v>
      </c>
      <c r="F157" t="s">
        <v>69</v>
      </c>
      <c r="G157">
        <v>30000</v>
      </c>
      <c r="H157">
        <v>0.5</v>
      </c>
      <c r="I157">
        <v>0.5</v>
      </c>
      <c r="J157">
        <v>0</v>
      </c>
      <c r="K157">
        <v>1</v>
      </c>
      <c r="L157">
        <v>2000000000</v>
      </c>
      <c r="M157">
        <v>24</v>
      </c>
      <c r="N157">
        <v>24</v>
      </c>
      <c r="O157">
        <v>24</v>
      </c>
      <c r="P157">
        <v>0</v>
      </c>
      <c r="Q157" t="s">
        <v>70</v>
      </c>
      <c r="AU157" t="s">
        <v>418</v>
      </c>
      <c r="AV157" t="str">
        <f t="shared" si="4"/>
        <v>1% updates, key range [0, 2*10^9)</v>
      </c>
      <c r="AW157" t="str">
        <f t="shared" si="5"/>
        <v/>
      </c>
    </row>
    <row r="158" spans="1:49">
      <c r="A158" t="s">
        <v>240</v>
      </c>
      <c r="B158" t="s">
        <v>76</v>
      </c>
      <c r="D158" t="s">
        <v>73</v>
      </c>
      <c r="E158" t="s">
        <v>68</v>
      </c>
      <c r="F158" t="s">
        <v>69</v>
      </c>
      <c r="G158">
        <v>30000</v>
      </c>
      <c r="H158">
        <v>0.5</v>
      </c>
      <c r="I158">
        <v>0.5</v>
      </c>
      <c r="J158">
        <v>0</v>
      </c>
      <c r="K158">
        <v>1</v>
      </c>
      <c r="L158">
        <v>2000000000</v>
      </c>
      <c r="M158">
        <v>48</v>
      </c>
      <c r="N158">
        <v>48</v>
      </c>
      <c r="O158">
        <v>48</v>
      </c>
      <c r="P158">
        <v>0</v>
      </c>
      <c r="Q158" t="s">
        <v>70</v>
      </c>
      <c r="R158">
        <v>1.00000579376011E+18</v>
      </c>
      <c r="S158">
        <v>999997581</v>
      </c>
      <c r="V158" t="s">
        <v>83</v>
      </c>
      <c r="W158">
        <v>83</v>
      </c>
      <c r="X158">
        <v>999997580</v>
      </c>
      <c r="Y158">
        <v>999997581</v>
      </c>
      <c r="Z158">
        <v>1999995161</v>
      </c>
      <c r="AA158">
        <v>999997581</v>
      </c>
      <c r="AB158">
        <v>2</v>
      </c>
      <c r="AC158">
        <v>1</v>
      </c>
      <c r="AD158">
        <v>1.5</v>
      </c>
      <c r="AE158">
        <v>40.806699999999999</v>
      </c>
      <c r="AF158">
        <v>281125893</v>
      </c>
      <c r="AG158">
        <v>0</v>
      </c>
      <c r="AH158">
        <v>2840677</v>
      </c>
      <c r="AI158">
        <v>281125893</v>
      </c>
      <c r="AJ158">
        <v>283966570</v>
      </c>
      <c r="AK158">
        <v>9370863</v>
      </c>
      <c r="AL158">
        <v>0</v>
      </c>
      <c r="AM158">
        <v>94689</v>
      </c>
      <c r="AN158">
        <v>9370863</v>
      </c>
      <c r="AO158">
        <v>9465552</v>
      </c>
      <c r="AQ158">
        <v>54.042499999999997</v>
      </c>
      <c r="AR158">
        <v>31.464400000000001</v>
      </c>
      <c r="AS158">
        <v>14127.1</v>
      </c>
      <c r="AU158" t="s">
        <v>499</v>
      </c>
      <c r="AV158" t="str">
        <f t="shared" si="4"/>
        <v>1% updates, key range [0, 2*10^9)</v>
      </c>
      <c r="AW158" t="str">
        <f t="shared" si="5"/>
        <v>65652</v>
      </c>
    </row>
    <row r="159" spans="1:49">
      <c r="A159" t="s">
        <v>241</v>
      </c>
      <c r="B159" t="s">
        <v>76</v>
      </c>
      <c r="D159" t="s">
        <v>73</v>
      </c>
      <c r="E159" t="s">
        <v>68</v>
      </c>
      <c r="F159" t="s">
        <v>69</v>
      </c>
      <c r="G159">
        <v>30000</v>
      </c>
      <c r="H159">
        <v>0.5</v>
      </c>
      <c r="I159">
        <v>0.5</v>
      </c>
      <c r="J159">
        <v>0</v>
      </c>
      <c r="K159">
        <v>1</v>
      </c>
      <c r="L159">
        <v>2000000000</v>
      </c>
      <c r="M159">
        <v>96</v>
      </c>
      <c r="N159">
        <v>96</v>
      </c>
      <c r="O159">
        <v>96</v>
      </c>
      <c r="P159">
        <v>0</v>
      </c>
      <c r="Q159" t="s">
        <v>70</v>
      </c>
      <c r="R159">
        <v>1.00000239900051E+18</v>
      </c>
      <c r="S159">
        <v>1000001503</v>
      </c>
      <c r="V159" t="s">
        <v>83</v>
      </c>
      <c r="W159">
        <v>79</v>
      </c>
      <c r="X159">
        <v>1000001502</v>
      </c>
      <c r="Y159">
        <v>1000001503</v>
      </c>
      <c r="Z159">
        <v>2000003005</v>
      </c>
      <c r="AA159">
        <v>1000001503</v>
      </c>
      <c r="AB159">
        <v>2</v>
      </c>
      <c r="AC159">
        <v>1</v>
      </c>
      <c r="AD159">
        <v>1.5</v>
      </c>
      <c r="AE159">
        <v>39.960099999999997</v>
      </c>
      <c r="AF159">
        <v>570807209</v>
      </c>
      <c r="AG159">
        <v>0</v>
      </c>
      <c r="AH159">
        <v>5766986</v>
      </c>
      <c r="AI159">
        <v>570807209</v>
      </c>
      <c r="AJ159">
        <v>576574195</v>
      </c>
      <c r="AK159">
        <v>19026906</v>
      </c>
      <c r="AL159">
        <v>0</v>
      </c>
      <c r="AM159">
        <v>192232</v>
      </c>
      <c r="AN159">
        <v>19026906</v>
      </c>
      <c r="AO159">
        <v>19219139</v>
      </c>
      <c r="AQ159">
        <v>53.927300000000002</v>
      </c>
      <c r="AR159">
        <v>31.480799999999999</v>
      </c>
      <c r="AS159">
        <v>13918.8</v>
      </c>
      <c r="AU159" t="s">
        <v>500</v>
      </c>
      <c r="AV159" t="str">
        <f t="shared" si="4"/>
        <v>1% updates, key range [0, 2*10^9)</v>
      </c>
      <c r="AW159" t="str">
        <f t="shared" si="5"/>
        <v>65667</v>
      </c>
    </row>
    <row r="160" spans="1:49">
      <c r="A160" t="s">
        <v>242</v>
      </c>
      <c r="B160" t="s">
        <v>76</v>
      </c>
      <c r="D160" t="s">
        <v>73</v>
      </c>
      <c r="E160" t="s">
        <v>68</v>
      </c>
      <c r="F160" t="s">
        <v>69</v>
      </c>
      <c r="G160">
        <v>30000</v>
      </c>
      <c r="H160">
        <v>0.5</v>
      </c>
      <c r="I160">
        <v>0.5</v>
      </c>
      <c r="J160">
        <v>0</v>
      </c>
      <c r="K160">
        <v>1</v>
      </c>
      <c r="L160">
        <v>2000000000</v>
      </c>
      <c r="M160">
        <v>144</v>
      </c>
      <c r="N160">
        <v>144</v>
      </c>
      <c r="O160">
        <v>144</v>
      </c>
      <c r="P160">
        <v>0</v>
      </c>
      <c r="Q160" t="s">
        <v>70</v>
      </c>
      <c r="R160">
        <v>9.9999539184515405E+17</v>
      </c>
      <c r="S160">
        <v>999998463</v>
      </c>
      <c r="V160" t="s">
        <v>83</v>
      </c>
      <c r="W160">
        <v>81</v>
      </c>
      <c r="X160">
        <v>999998462</v>
      </c>
      <c r="Y160">
        <v>999998463</v>
      </c>
      <c r="Z160">
        <v>1999996925</v>
      </c>
      <c r="AA160">
        <v>999998463</v>
      </c>
      <c r="AB160">
        <v>2</v>
      </c>
      <c r="AC160">
        <v>1</v>
      </c>
      <c r="AD160">
        <v>1.5</v>
      </c>
      <c r="AE160">
        <v>41.505099999999999</v>
      </c>
      <c r="AF160">
        <v>855587431</v>
      </c>
      <c r="AG160">
        <v>0</v>
      </c>
      <c r="AH160">
        <v>8641332</v>
      </c>
      <c r="AI160">
        <v>855587431</v>
      </c>
      <c r="AJ160">
        <v>864228763</v>
      </c>
      <c r="AK160">
        <v>28519581</v>
      </c>
      <c r="AL160">
        <v>0</v>
      </c>
      <c r="AM160">
        <v>288044</v>
      </c>
      <c r="AN160">
        <v>28519581</v>
      </c>
      <c r="AO160">
        <v>28807625</v>
      </c>
      <c r="AQ160">
        <v>54.201000000000001</v>
      </c>
      <c r="AR160">
        <v>31.545300000000001</v>
      </c>
      <c r="AS160">
        <v>13926.2</v>
      </c>
      <c r="AU160" t="s">
        <v>424</v>
      </c>
      <c r="AV160" t="str">
        <f t="shared" si="4"/>
        <v>1% updates, key range [0, 2*10^9)</v>
      </c>
      <c r="AW160" t="str">
        <f t="shared" si="5"/>
        <v>65677</v>
      </c>
    </row>
    <row r="161" spans="1:49">
      <c r="A161" t="s">
        <v>243</v>
      </c>
      <c r="B161" t="s">
        <v>76</v>
      </c>
      <c r="D161" t="s">
        <v>73</v>
      </c>
      <c r="E161" t="s">
        <v>68</v>
      </c>
      <c r="F161" t="s">
        <v>69</v>
      </c>
      <c r="G161">
        <v>30000</v>
      </c>
      <c r="H161">
        <v>0.5</v>
      </c>
      <c r="I161">
        <v>0.5</v>
      </c>
      <c r="J161">
        <v>0</v>
      </c>
      <c r="K161">
        <v>1</v>
      </c>
      <c r="L161">
        <v>2000000000</v>
      </c>
      <c r="M161">
        <v>190</v>
      </c>
      <c r="N161">
        <v>190</v>
      </c>
      <c r="O161">
        <v>190</v>
      </c>
      <c r="P161">
        <v>0</v>
      </c>
      <c r="Q161" t="s">
        <v>70</v>
      </c>
      <c r="R161">
        <v>1.00002130966446E+18</v>
      </c>
      <c r="S161">
        <v>999999118</v>
      </c>
      <c r="V161" t="s">
        <v>83</v>
      </c>
      <c r="W161">
        <v>81</v>
      </c>
      <c r="X161">
        <v>999999117</v>
      </c>
      <c r="Y161">
        <v>999999118</v>
      </c>
      <c r="Z161">
        <v>1999998235</v>
      </c>
      <c r="AA161">
        <v>999999118</v>
      </c>
      <c r="AB161">
        <v>2</v>
      </c>
      <c r="AC161">
        <v>1</v>
      </c>
      <c r="AD161">
        <v>1.5</v>
      </c>
      <c r="AE161">
        <v>41.4392</v>
      </c>
      <c r="AF161">
        <v>1130229189</v>
      </c>
      <c r="AG161">
        <v>0</v>
      </c>
      <c r="AH161">
        <v>11417244</v>
      </c>
      <c r="AI161">
        <v>1130229189</v>
      </c>
      <c r="AJ161">
        <v>1141646433</v>
      </c>
      <c r="AK161">
        <v>37674306</v>
      </c>
      <c r="AL161">
        <v>0</v>
      </c>
      <c r="AM161">
        <v>380574</v>
      </c>
      <c r="AN161">
        <v>37674306</v>
      </c>
      <c r="AO161">
        <v>38054881</v>
      </c>
      <c r="AQ161">
        <v>54.115699999999997</v>
      </c>
      <c r="AR161">
        <v>31.622699999999998</v>
      </c>
      <c r="AS161">
        <v>13909.7</v>
      </c>
      <c r="AU161" t="s">
        <v>501</v>
      </c>
      <c r="AV161" t="str">
        <f t="shared" si="4"/>
        <v>1% updates, key range [0, 2*10^9)</v>
      </c>
      <c r="AW161" t="str">
        <f t="shared" si="5"/>
        <v>65691</v>
      </c>
    </row>
    <row r="162" spans="1:49">
      <c r="A162" t="s">
        <v>244</v>
      </c>
      <c r="B162" t="s">
        <v>72</v>
      </c>
      <c r="C162">
        <v>72</v>
      </c>
      <c r="D162" t="s">
        <v>73</v>
      </c>
      <c r="E162" t="s">
        <v>68</v>
      </c>
      <c r="F162" t="s">
        <v>69</v>
      </c>
      <c r="G162">
        <v>30000</v>
      </c>
      <c r="H162">
        <v>5</v>
      </c>
      <c r="I162">
        <v>5</v>
      </c>
      <c r="J162">
        <v>0</v>
      </c>
      <c r="K162">
        <v>1</v>
      </c>
      <c r="L162">
        <v>2000000</v>
      </c>
      <c r="M162">
        <v>24</v>
      </c>
      <c r="N162">
        <v>24</v>
      </c>
      <c r="O162">
        <v>24</v>
      </c>
      <c r="P162">
        <v>0</v>
      </c>
      <c r="Q162" t="s">
        <v>70</v>
      </c>
      <c r="R162">
        <v>1000868813302</v>
      </c>
      <c r="S162">
        <v>1000331</v>
      </c>
      <c r="V162" t="s">
        <v>83</v>
      </c>
      <c r="W162">
        <v>6</v>
      </c>
      <c r="X162">
        <v>51452</v>
      </c>
      <c r="Y162">
        <v>1069412</v>
      </c>
      <c r="Z162">
        <v>1120864</v>
      </c>
      <c r="AA162">
        <v>1000331</v>
      </c>
      <c r="AB162">
        <v>21.784700000000001</v>
      </c>
      <c r="AC162">
        <v>0.93540299999999998</v>
      </c>
      <c r="AD162">
        <v>1.89246</v>
      </c>
      <c r="AE162">
        <v>3.0377900000000002</v>
      </c>
      <c r="AF162">
        <v>1701704906</v>
      </c>
      <c r="AG162">
        <v>0</v>
      </c>
      <c r="AH162">
        <v>189075132</v>
      </c>
      <c r="AI162">
        <v>1701704906</v>
      </c>
      <c r="AJ162">
        <v>1890780038</v>
      </c>
      <c r="AK162">
        <v>56723496</v>
      </c>
      <c r="AL162">
        <v>0</v>
      </c>
      <c r="AM162">
        <v>6302504</v>
      </c>
      <c r="AN162">
        <v>56723496</v>
      </c>
      <c r="AO162">
        <v>63026001</v>
      </c>
      <c r="AQ162">
        <v>10.2193</v>
      </c>
      <c r="AR162">
        <v>0.36773499999999998</v>
      </c>
      <c r="AS162">
        <v>1060.9100000000001</v>
      </c>
      <c r="AU162" t="s">
        <v>502</v>
      </c>
      <c r="AV162" t="str">
        <f t="shared" si="4"/>
        <v>10% updates, key range [0, 2*10^6)</v>
      </c>
      <c r="AW162" t="str">
        <f t="shared" si="5"/>
        <v>1196</v>
      </c>
    </row>
    <row r="163" spans="1:49">
      <c r="A163" t="s">
        <v>245</v>
      </c>
      <c r="B163" t="s">
        <v>72</v>
      </c>
      <c r="C163">
        <v>72</v>
      </c>
      <c r="D163" t="s">
        <v>73</v>
      </c>
      <c r="E163" t="s">
        <v>68</v>
      </c>
      <c r="F163" t="s">
        <v>69</v>
      </c>
      <c r="G163">
        <v>30000</v>
      </c>
      <c r="H163">
        <v>5</v>
      </c>
      <c r="I163">
        <v>5</v>
      </c>
      <c r="J163">
        <v>0</v>
      </c>
      <c r="K163">
        <v>1</v>
      </c>
      <c r="L163">
        <v>2000000</v>
      </c>
      <c r="M163">
        <v>48</v>
      </c>
      <c r="N163">
        <v>48</v>
      </c>
      <c r="O163">
        <v>48</v>
      </c>
      <c r="P163">
        <v>0</v>
      </c>
      <c r="Q163" t="s">
        <v>70</v>
      </c>
      <c r="R163">
        <v>999942795740</v>
      </c>
      <c r="S163">
        <v>999803</v>
      </c>
      <c r="V163" t="s">
        <v>83</v>
      </c>
      <c r="W163">
        <v>6</v>
      </c>
      <c r="X163">
        <v>52304</v>
      </c>
      <c r="Y163">
        <v>1071392</v>
      </c>
      <c r="Z163">
        <v>1123696</v>
      </c>
      <c r="AA163">
        <v>999803</v>
      </c>
      <c r="AB163">
        <v>21.483899999999998</v>
      </c>
      <c r="AC163">
        <v>0.93318100000000004</v>
      </c>
      <c r="AD163">
        <v>1.88975</v>
      </c>
      <c r="AE163">
        <v>3.0404900000000001</v>
      </c>
      <c r="AF163">
        <v>2443041115</v>
      </c>
      <c r="AG163">
        <v>0</v>
      </c>
      <c r="AH163">
        <v>271420333</v>
      </c>
      <c r="AI163">
        <v>2443041115</v>
      </c>
      <c r="AJ163">
        <v>2714461448</v>
      </c>
      <c r="AK163">
        <v>81434703</v>
      </c>
      <c r="AL163">
        <v>0</v>
      </c>
      <c r="AM163">
        <v>9047344</v>
      </c>
      <c r="AN163">
        <v>81434703</v>
      </c>
      <c r="AO163">
        <v>90482048</v>
      </c>
      <c r="AQ163">
        <v>10.2508</v>
      </c>
      <c r="AR163">
        <v>0.47168900000000002</v>
      </c>
      <c r="AS163">
        <v>1452.23</v>
      </c>
      <c r="AU163" t="s">
        <v>503</v>
      </c>
      <c r="AV163" t="str">
        <f t="shared" si="4"/>
        <v>10% updates, key range [0, 2*10^6)</v>
      </c>
      <c r="AW163" t="str">
        <f t="shared" si="5"/>
        <v>1236</v>
      </c>
    </row>
    <row r="164" spans="1:49">
      <c r="A164" t="s">
        <v>246</v>
      </c>
      <c r="B164" t="s">
        <v>72</v>
      </c>
      <c r="C164">
        <v>72</v>
      </c>
      <c r="D164" t="s">
        <v>73</v>
      </c>
      <c r="E164" t="s">
        <v>68</v>
      </c>
      <c r="F164" t="s">
        <v>69</v>
      </c>
      <c r="G164">
        <v>30000</v>
      </c>
      <c r="H164">
        <v>5</v>
      </c>
      <c r="I164">
        <v>5</v>
      </c>
      <c r="J164">
        <v>0</v>
      </c>
      <c r="K164">
        <v>1</v>
      </c>
      <c r="L164">
        <v>2000000</v>
      </c>
      <c r="M164">
        <v>96</v>
      </c>
      <c r="N164">
        <v>96</v>
      </c>
      <c r="O164">
        <v>96</v>
      </c>
      <c r="P164">
        <v>0</v>
      </c>
      <c r="Q164" t="s">
        <v>70</v>
      </c>
      <c r="R164">
        <v>999207063590</v>
      </c>
      <c r="S164">
        <v>999515</v>
      </c>
      <c r="V164" t="s">
        <v>83</v>
      </c>
      <c r="W164">
        <v>6</v>
      </c>
      <c r="X164">
        <v>63423</v>
      </c>
      <c r="Y164">
        <v>1093581</v>
      </c>
      <c r="Z164">
        <v>1157004</v>
      </c>
      <c r="AA164">
        <v>999515</v>
      </c>
      <c r="AB164">
        <v>18.242699999999999</v>
      </c>
      <c r="AC164">
        <v>0.91398400000000002</v>
      </c>
      <c r="AD164">
        <v>1.86388</v>
      </c>
      <c r="AE164">
        <v>3.0644300000000002</v>
      </c>
      <c r="AF164">
        <v>3967322020</v>
      </c>
      <c r="AG164">
        <v>0</v>
      </c>
      <c r="AH164">
        <v>440786242</v>
      </c>
      <c r="AI164">
        <v>3967322020</v>
      </c>
      <c r="AJ164">
        <v>4408108262</v>
      </c>
      <c r="AK164">
        <v>132244067</v>
      </c>
      <c r="AL164">
        <v>0</v>
      </c>
      <c r="AM164">
        <v>14692874</v>
      </c>
      <c r="AN164">
        <v>132244067</v>
      </c>
      <c r="AO164">
        <v>146936942</v>
      </c>
      <c r="AQ164">
        <v>10.979799999999999</v>
      </c>
      <c r="AR164">
        <v>1.62517</v>
      </c>
      <c r="AS164">
        <v>1809.13</v>
      </c>
      <c r="AU164" t="s">
        <v>504</v>
      </c>
      <c r="AV164" t="str">
        <f t="shared" si="4"/>
        <v>10% updates, key range [0, 2*10^6)</v>
      </c>
      <c r="AW164" t="str">
        <f t="shared" si="5"/>
        <v>1332</v>
      </c>
    </row>
    <row r="165" spans="1:49">
      <c r="A165" t="s">
        <v>247</v>
      </c>
      <c r="B165" t="s">
        <v>72</v>
      </c>
      <c r="C165">
        <v>72</v>
      </c>
      <c r="D165" t="s">
        <v>73</v>
      </c>
      <c r="E165" t="s">
        <v>68</v>
      </c>
      <c r="F165" t="s">
        <v>69</v>
      </c>
      <c r="G165">
        <v>30000</v>
      </c>
      <c r="H165">
        <v>5</v>
      </c>
      <c r="I165">
        <v>5</v>
      </c>
      <c r="J165">
        <v>0</v>
      </c>
      <c r="K165">
        <v>1</v>
      </c>
      <c r="L165">
        <v>2000000</v>
      </c>
      <c r="M165">
        <v>144</v>
      </c>
      <c r="N165">
        <v>144</v>
      </c>
      <c r="O165">
        <v>144</v>
      </c>
      <c r="P165">
        <v>0</v>
      </c>
      <c r="Q165" t="s">
        <v>70</v>
      </c>
      <c r="R165">
        <v>998922947277</v>
      </c>
      <c r="S165">
        <v>999136</v>
      </c>
      <c r="V165" t="s">
        <v>83</v>
      </c>
      <c r="W165">
        <v>6</v>
      </c>
      <c r="X165">
        <v>33032</v>
      </c>
      <c r="Y165">
        <v>1031201</v>
      </c>
      <c r="Z165">
        <v>1064233</v>
      </c>
      <c r="AA165">
        <v>999136</v>
      </c>
      <c r="AB165">
        <v>32.218200000000003</v>
      </c>
      <c r="AC165">
        <v>0.96890500000000002</v>
      </c>
      <c r="AD165">
        <v>1.9388300000000001</v>
      </c>
      <c r="AE165">
        <v>3.0000599999999999</v>
      </c>
      <c r="AF165">
        <v>5071178745</v>
      </c>
      <c r="AG165">
        <v>0</v>
      </c>
      <c r="AH165">
        <v>563488623</v>
      </c>
      <c r="AI165">
        <v>5071178745</v>
      </c>
      <c r="AJ165">
        <v>5634667368</v>
      </c>
      <c r="AK165">
        <v>169039291</v>
      </c>
      <c r="AL165">
        <v>0</v>
      </c>
      <c r="AM165">
        <v>18782954</v>
      </c>
      <c r="AN165">
        <v>169039291</v>
      </c>
      <c r="AO165">
        <v>187822245</v>
      </c>
      <c r="AQ165">
        <v>12.1556</v>
      </c>
      <c r="AR165">
        <v>2.7472300000000001</v>
      </c>
      <c r="AS165">
        <v>2112.0300000000002</v>
      </c>
      <c r="AU165" t="s">
        <v>505</v>
      </c>
      <c r="AV165" t="str">
        <f t="shared" si="4"/>
        <v>10% updates, key range [0, 2*10^6)</v>
      </c>
      <c r="AW165" t="str">
        <f t="shared" si="5"/>
        <v>1469</v>
      </c>
    </row>
    <row r="166" spans="1:49">
      <c r="A166" t="s">
        <v>248</v>
      </c>
      <c r="B166" t="s">
        <v>72</v>
      </c>
      <c r="C166">
        <v>72</v>
      </c>
      <c r="D166" t="s">
        <v>73</v>
      </c>
      <c r="E166" t="s">
        <v>68</v>
      </c>
      <c r="F166" t="s">
        <v>69</v>
      </c>
      <c r="G166">
        <v>30000</v>
      </c>
      <c r="H166">
        <v>5</v>
      </c>
      <c r="I166">
        <v>5</v>
      </c>
      <c r="J166">
        <v>0</v>
      </c>
      <c r="K166">
        <v>1</v>
      </c>
      <c r="L166">
        <v>2000000</v>
      </c>
      <c r="M166">
        <v>190</v>
      </c>
      <c r="N166">
        <v>190</v>
      </c>
      <c r="O166">
        <v>190</v>
      </c>
      <c r="P166">
        <v>0</v>
      </c>
      <c r="Q166" t="s">
        <v>70</v>
      </c>
      <c r="R166">
        <v>998681928112</v>
      </c>
      <c r="S166">
        <v>999207</v>
      </c>
      <c r="V166" t="s">
        <v>83</v>
      </c>
      <c r="W166">
        <v>6</v>
      </c>
      <c r="X166">
        <v>53098</v>
      </c>
      <c r="Y166">
        <v>1072153</v>
      </c>
      <c r="Z166">
        <v>1125251</v>
      </c>
      <c r="AA166">
        <v>999207</v>
      </c>
      <c r="AB166">
        <v>21.192</v>
      </c>
      <c r="AC166">
        <v>0.93196299999999999</v>
      </c>
      <c r="AD166">
        <v>1.8879900000000001</v>
      </c>
      <c r="AE166">
        <v>3.04196</v>
      </c>
      <c r="AF166">
        <v>6263443210</v>
      </c>
      <c r="AG166">
        <v>0</v>
      </c>
      <c r="AH166">
        <v>695959915</v>
      </c>
      <c r="AI166">
        <v>6263443210</v>
      </c>
      <c r="AJ166">
        <v>6959403125</v>
      </c>
      <c r="AK166">
        <v>208781440</v>
      </c>
      <c r="AL166">
        <v>0</v>
      </c>
      <c r="AM166">
        <v>23198663</v>
      </c>
      <c r="AN166">
        <v>208781440</v>
      </c>
      <c r="AO166">
        <v>231980104</v>
      </c>
      <c r="AQ166">
        <v>12.361499999999999</v>
      </c>
      <c r="AR166">
        <v>3.15754</v>
      </c>
      <c r="AS166">
        <v>2264.88</v>
      </c>
      <c r="AU166" t="s">
        <v>506</v>
      </c>
      <c r="AV166" t="str">
        <f t="shared" si="4"/>
        <v>10% updates, key range [0, 2*10^6)</v>
      </c>
      <c r="AW166" t="str">
        <f t="shared" si="5"/>
        <v>1588</v>
      </c>
    </row>
    <row r="167" spans="1:49">
      <c r="A167" t="s">
        <v>249</v>
      </c>
      <c r="B167" t="s">
        <v>74</v>
      </c>
      <c r="C167">
        <v>208</v>
      </c>
      <c r="D167" t="s">
        <v>73</v>
      </c>
      <c r="E167" t="s">
        <v>68</v>
      </c>
      <c r="F167" t="s">
        <v>69</v>
      </c>
      <c r="G167">
        <v>30000</v>
      </c>
      <c r="H167">
        <v>5</v>
      </c>
      <c r="I167">
        <v>5</v>
      </c>
      <c r="J167">
        <v>0</v>
      </c>
      <c r="K167">
        <v>1</v>
      </c>
      <c r="L167">
        <v>2000000</v>
      </c>
      <c r="M167">
        <v>24</v>
      </c>
      <c r="N167">
        <v>24</v>
      </c>
      <c r="O167">
        <v>24</v>
      </c>
      <c r="P167">
        <v>0</v>
      </c>
      <c r="Q167" t="s">
        <v>70</v>
      </c>
      <c r="R167">
        <v>1001503400068</v>
      </c>
      <c r="S167">
        <v>1001123</v>
      </c>
      <c r="V167" t="s">
        <v>83</v>
      </c>
      <c r="W167">
        <v>8</v>
      </c>
      <c r="X167">
        <v>32823</v>
      </c>
      <c r="Y167">
        <v>195551</v>
      </c>
      <c r="Z167">
        <v>228374</v>
      </c>
      <c r="AA167">
        <v>1001123</v>
      </c>
      <c r="AB167">
        <v>6.9577400000000003</v>
      </c>
      <c r="AC167">
        <v>5.1195000000000004</v>
      </c>
      <c r="AD167">
        <v>5.3837000000000002</v>
      </c>
      <c r="AE167">
        <v>7</v>
      </c>
      <c r="AF167">
        <v>1434828854</v>
      </c>
      <c r="AG167">
        <v>0</v>
      </c>
      <c r="AH167">
        <v>159422737</v>
      </c>
      <c r="AI167">
        <v>1434828854</v>
      </c>
      <c r="AJ167">
        <v>1594251591</v>
      </c>
      <c r="AK167">
        <v>47827628</v>
      </c>
      <c r="AL167">
        <v>0</v>
      </c>
      <c r="AM167">
        <v>5314091</v>
      </c>
      <c r="AN167">
        <v>47827628</v>
      </c>
      <c r="AO167">
        <v>53141719</v>
      </c>
      <c r="AQ167">
        <v>10.3817</v>
      </c>
      <c r="AR167">
        <v>0.99163100000000004</v>
      </c>
      <c r="AS167">
        <v>1259.3499999999999</v>
      </c>
      <c r="AU167" t="s">
        <v>507</v>
      </c>
      <c r="AV167" t="str">
        <f t="shared" si="4"/>
        <v>10% updates, key range [0, 2*10^6)</v>
      </c>
      <c r="AW167" t="str">
        <f t="shared" si="5"/>
        <v>1125</v>
      </c>
    </row>
    <row r="168" spans="1:49">
      <c r="A168" t="s">
        <v>250</v>
      </c>
      <c r="B168" t="s">
        <v>74</v>
      </c>
      <c r="C168">
        <v>208</v>
      </c>
      <c r="D168" t="s">
        <v>73</v>
      </c>
      <c r="E168" t="s">
        <v>68</v>
      </c>
      <c r="F168" t="s">
        <v>69</v>
      </c>
      <c r="G168">
        <v>30000</v>
      </c>
      <c r="H168">
        <v>5</v>
      </c>
      <c r="I168">
        <v>5</v>
      </c>
      <c r="J168">
        <v>0</v>
      </c>
      <c r="K168">
        <v>1</v>
      </c>
      <c r="L168">
        <v>2000000</v>
      </c>
      <c r="M168">
        <v>48</v>
      </c>
      <c r="N168">
        <v>48</v>
      </c>
      <c r="O168">
        <v>48</v>
      </c>
      <c r="P168">
        <v>0</v>
      </c>
      <c r="Q168" t="s">
        <v>70</v>
      </c>
      <c r="R168">
        <v>1000354359523</v>
      </c>
      <c r="S168">
        <v>1000483</v>
      </c>
      <c r="V168" t="s">
        <v>83</v>
      </c>
      <c r="W168">
        <v>8</v>
      </c>
      <c r="X168">
        <v>33630</v>
      </c>
      <c r="Y168">
        <v>195405</v>
      </c>
      <c r="Z168">
        <v>229035</v>
      </c>
      <c r="AA168">
        <v>1000483</v>
      </c>
      <c r="AB168">
        <v>6.8104399999999998</v>
      </c>
      <c r="AC168">
        <v>5.12005</v>
      </c>
      <c r="AD168">
        <v>5.3682499999999997</v>
      </c>
      <c r="AE168">
        <v>7</v>
      </c>
      <c r="AF168">
        <v>2294798603</v>
      </c>
      <c r="AG168">
        <v>0</v>
      </c>
      <c r="AH168">
        <v>254965589</v>
      </c>
      <c r="AI168">
        <v>2294798603</v>
      </c>
      <c r="AJ168">
        <v>2549764192</v>
      </c>
      <c r="AK168">
        <v>76493286</v>
      </c>
      <c r="AL168">
        <v>0</v>
      </c>
      <c r="AM168">
        <v>8498852</v>
      </c>
      <c r="AN168">
        <v>76493286</v>
      </c>
      <c r="AO168">
        <v>84992139</v>
      </c>
      <c r="AQ168">
        <v>10.553900000000001</v>
      </c>
      <c r="AR168">
        <v>1.0927100000000001</v>
      </c>
      <c r="AS168">
        <v>1541.81</v>
      </c>
      <c r="AU168" t="s">
        <v>508</v>
      </c>
      <c r="AV168" t="str">
        <f t="shared" si="4"/>
        <v>10% updates, key range [0, 2*10^6)</v>
      </c>
      <c r="AW168" t="str">
        <f t="shared" si="5"/>
        <v>1143</v>
      </c>
    </row>
    <row r="169" spans="1:49">
      <c r="A169" t="s">
        <v>251</v>
      </c>
      <c r="B169" t="s">
        <v>74</v>
      </c>
      <c r="C169">
        <v>208</v>
      </c>
      <c r="D169" t="s">
        <v>73</v>
      </c>
      <c r="E169" t="s">
        <v>68</v>
      </c>
      <c r="F169" t="s">
        <v>69</v>
      </c>
      <c r="G169">
        <v>30000</v>
      </c>
      <c r="H169">
        <v>5</v>
      </c>
      <c r="I169">
        <v>5</v>
      </c>
      <c r="J169">
        <v>0</v>
      </c>
      <c r="K169">
        <v>1</v>
      </c>
      <c r="L169">
        <v>2000000</v>
      </c>
      <c r="M169">
        <v>96</v>
      </c>
      <c r="N169">
        <v>96</v>
      </c>
      <c r="O169">
        <v>96</v>
      </c>
      <c r="P169">
        <v>0</v>
      </c>
      <c r="Q169" t="s">
        <v>70</v>
      </c>
      <c r="R169">
        <v>999913057047</v>
      </c>
      <c r="S169">
        <v>1000851</v>
      </c>
      <c r="V169" t="s">
        <v>83</v>
      </c>
      <c r="W169">
        <v>8</v>
      </c>
      <c r="X169">
        <v>34430</v>
      </c>
      <c r="Y169">
        <v>195087</v>
      </c>
      <c r="Z169">
        <v>229517</v>
      </c>
      <c r="AA169">
        <v>1000851</v>
      </c>
      <c r="AB169">
        <v>6.6661900000000003</v>
      </c>
      <c r="AC169">
        <v>5.13028</v>
      </c>
      <c r="AD169">
        <v>5.3606800000000003</v>
      </c>
      <c r="AE169">
        <v>7</v>
      </c>
      <c r="AF169">
        <v>4331466668</v>
      </c>
      <c r="AG169">
        <v>0</v>
      </c>
      <c r="AH169">
        <v>481290828</v>
      </c>
      <c r="AI169">
        <v>4331466668</v>
      </c>
      <c r="AJ169">
        <v>4812757496</v>
      </c>
      <c r="AK169">
        <v>144382222</v>
      </c>
      <c r="AL169">
        <v>0</v>
      </c>
      <c r="AM169">
        <v>16043027</v>
      </c>
      <c r="AN169">
        <v>144382222</v>
      </c>
      <c r="AO169">
        <v>160425249</v>
      </c>
      <c r="AQ169">
        <v>10.861499999999999</v>
      </c>
      <c r="AR169">
        <v>1.81975</v>
      </c>
      <c r="AS169">
        <v>1641.81</v>
      </c>
      <c r="AU169" t="s">
        <v>509</v>
      </c>
      <c r="AV169" t="str">
        <f t="shared" si="4"/>
        <v>10% updates, key range [0, 2*10^6)</v>
      </c>
      <c r="AW169" t="str">
        <f t="shared" si="5"/>
        <v>1163</v>
      </c>
    </row>
    <row r="170" spans="1:49">
      <c r="A170" t="s">
        <v>252</v>
      </c>
      <c r="B170" t="s">
        <v>74</v>
      </c>
      <c r="C170">
        <v>208</v>
      </c>
      <c r="D170" t="s">
        <v>73</v>
      </c>
      <c r="E170" t="s">
        <v>68</v>
      </c>
      <c r="F170" t="s">
        <v>69</v>
      </c>
      <c r="G170">
        <v>30000</v>
      </c>
      <c r="H170">
        <v>5</v>
      </c>
      <c r="I170">
        <v>5</v>
      </c>
      <c r="J170">
        <v>0</v>
      </c>
      <c r="K170">
        <v>1</v>
      </c>
      <c r="L170">
        <v>2000000</v>
      </c>
      <c r="M170">
        <v>144</v>
      </c>
      <c r="N170">
        <v>144</v>
      </c>
      <c r="O170">
        <v>144</v>
      </c>
      <c r="P170">
        <v>0</v>
      </c>
      <c r="Q170" t="s">
        <v>70</v>
      </c>
      <c r="R170">
        <v>1000052018694</v>
      </c>
      <c r="S170">
        <v>999660</v>
      </c>
      <c r="V170" t="s">
        <v>83</v>
      </c>
      <c r="W170">
        <v>8</v>
      </c>
      <c r="X170">
        <v>34996</v>
      </c>
      <c r="Y170">
        <v>194905</v>
      </c>
      <c r="Z170">
        <v>229901</v>
      </c>
      <c r="AA170">
        <v>999660</v>
      </c>
      <c r="AB170">
        <v>6.56935</v>
      </c>
      <c r="AC170">
        <v>5.1289600000000002</v>
      </c>
      <c r="AD170">
        <v>5.3482200000000004</v>
      </c>
      <c r="AE170">
        <v>7</v>
      </c>
      <c r="AF170">
        <v>6196773940</v>
      </c>
      <c r="AG170">
        <v>0</v>
      </c>
      <c r="AH170">
        <v>688490250</v>
      </c>
      <c r="AI170">
        <v>6196773940</v>
      </c>
      <c r="AJ170">
        <v>6885264190</v>
      </c>
      <c r="AK170">
        <v>206559131</v>
      </c>
      <c r="AL170">
        <v>0</v>
      </c>
      <c r="AM170">
        <v>22949675</v>
      </c>
      <c r="AN170">
        <v>206559131</v>
      </c>
      <c r="AO170">
        <v>229508806</v>
      </c>
      <c r="AQ170">
        <v>11.282</v>
      </c>
      <c r="AR170">
        <v>2.1462400000000001</v>
      </c>
      <c r="AS170">
        <v>1694.49</v>
      </c>
      <c r="AU170" t="s">
        <v>510</v>
      </c>
      <c r="AV170" t="str">
        <f t="shared" si="4"/>
        <v>10% updates, key range [0, 2*10^6)</v>
      </c>
      <c r="AW170" t="str">
        <f t="shared" si="5"/>
        <v>1210</v>
      </c>
    </row>
    <row r="171" spans="1:49">
      <c r="A171" t="s">
        <v>253</v>
      </c>
      <c r="B171" t="s">
        <v>74</v>
      </c>
      <c r="C171">
        <v>208</v>
      </c>
      <c r="D171" t="s">
        <v>73</v>
      </c>
      <c r="E171" t="s">
        <v>68</v>
      </c>
      <c r="F171" t="s">
        <v>69</v>
      </c>
      <c r="G171">
        <v>30000</v>
      </c>
      <c r="H171">
        <v>5</v>
      </c>
      <c r="I171">
        <v>5</v>
      </c>
      <c r="J171">
        <v>0</v>
      </c>
      <c r="K171">
        <v>1</v>
      </c>
      <c r="L171">
        <v>2000000</v>
      </c>
      <c r="M171">
        <v>190</v>
      </c>
      <c r="N171">
        <v>190</v>
      </c>
      <c r="O171">
        <v>190</v>
      </c>
      <c r="P171">
        <v>0</v>
      </c>
      <c r="Q171" t="s">
        <v>70</v>
      </c>
      <c r="R171">
        <v>1000302553661</v>
      </c>
      <c r="S171">
        <v>1000721</v>
      </c>
      <c r="V171" t="s">
        <v>83</v>
      </c>
      <c r="W171">
        <v>8</v>
      </c>
      <c r="X171">
        <v>35398</v>
      </c>
      <c r="Y171">
        <v>194904</v>
      </c>
      <c r="Z171">
        <v>230302</v>
      </c>
      <c r="AA171">
        <v>1000721</v>
      </c>
      <c r="AB171">
        <v>6.5060700000000002</v>
      </c>
      <c r="AC171">
        <v>5.13443</v>
      </c>
      <c r="AD171">
        <v>5.3452599999999997</v>
      </c>
      <c r="AE171">
        <v>7</v>
      </c>
      <c r="AF171">
        <v>8073317249</v>
      </c>
      <c r="AG171">
        <v>0</v>
      </c>
      <c r="AH171">
        <v>897050993</v>
      </c>
      <c r="AI171">
        <v>8073317249</v>
      </c>
      <c r="AJ171">
        <v>8970368242</v>
      </c>
      <c r="AK171">
        <v>269110574</v>
      </c>
      <c r="AL171">
        <v>0</v>
      </c>
      <c r="AM171">
        <v>29901699</v>
      </c>
      <c r="AN171">
        <v>269110574</v>
      </c>
      <c r="AO171">
        <v>299012274</v>
      </c>
      <c r="AQ171">
        <v>11.4443</v>
      </c>
      <c r="AR171">
        <v>2.3658199999999998</v>
      </c>
      <c r="AS171">
        <v>1719.95</v>
      </c>
      <c r="AU171" t="s">
        <v>511</v>
      </c>
      <c r="AV171" t="str">
        <f t="shared" si="4"/>
        <v>10% updates, key range [0, 2*10^6)</v>
      </c>
      <c r="AW171" t="str">
        <f t="shared" si="5"/>
        <v>1228</v>
      </c>
    </row>
    <row r="172" spans="1:49">
      <c r="A172" t="s">
        <v>254</v>
      </c>
      <c r="B172" t="s">
        <v>75</v>
      </c>
      <c r="D172" t="s">
        <v>73</v>
      </c>
      <c r="E172" t="s">
        <v>68</v>
      </c>
      <c r="F172" t="s">
        <v>69</v>
      </c>
      <c r="G172">
        <v>30000</v>
      </c>
      <c r="H172">
        <v>5</v>
      </c>
      <c r="I172">
        <v>5</v>
      </c>
      <c r="J172">
        <v>0</v>
      </c>
      <c r="K172">
        <v>1</v>
      </c>
      <c r="L172">
        <v>2000000</v>
      </c>
      <c r="M172">
        <v>24</v>
      </c>
      <c r="N172">
        <v>24</v>
      </c>
      <c r="O172">
        <v>24</v>
      </c>
      <c r="P172">
        <v>0</v>
      </c>
      <c r="Q172" t="s">
        <v>70</v>
      </c>
      <c r="R172">
        <v>1001126449583</v>
      </c>
      <c r="S172">
        <v>1000564</v>
      </c>
      <c r="V172" t="s">
        <v>83</v>
      </c>
      <c r="W172">
        <v>25</v>
      </c>
      <c r="X172">
        <v>686162</v>
      </c>
      <c r="Y172">
        <v>520098</v>
      </c>
      <c r="Z172">
        <v>1206260</v>
      </c>
      <c r="AA172">
        <v>1000564</v>
      </c>
      <c r="AB172">
        <v>1.7579800000000001</v>
      </c>
      <c r="AC172">
        <v>1.9238</v>
      </c>
      <c r="AD172">
        <v>1.82948</v>
      </c>
      <c r="AE172">
        <v>19.9316</v>
      </c>
      <c r="AF172">
        <v>726105758</v>
      </c>
      <c r="AG172">
        <v>0</v>
      </c>
      <c r="AH172">
        <v>80673448</v>
      </c>
      <c r="AI172">
        <v>726105758</v>
      </c>
      <c r="AJ172">
        <v>806779206</v>
      </c>
      <c r="AK172">
        <v>24203525</v>
      </c>
      <c r="AL172">
        <v>0</v>
      </c>
      <c r="AM172">
        <v>2689114</v>
      </c>
      <c r="AN172">
        <v>24203525</v>
      </c>
      <c r="AO172">
        <v>26892640</v>
      </c>
      <c r="AQ172">
        <v>16.630400000000002</v>
      </c>
      <c r="AR172">
        <v>2.6676500000000001</v>
      </c>
      <c r="AS172">
        <v>2489.31</v>
      </c>
      <c r="AU172" t="s">
        <v>512</v>
      </c>
      <c r="AV172" t="str">
        <f t="shared" si="4"/>
        <v>10% updates, key range [0, 2*10^6)</v>
      </c>
      <c r="AW172" t="str">
        <f t="shared" si="5"/>
        <v>1155</v>
      </c>
    </row>
    <row r="173" spans="1:49">
      <c r="A173" t="s">
        <v>255</v>
      </c>
      <c r="B173" t="s">
        <v>75</v>
      </c>
      <c r="D173" t="s">
        <v>73</v>
      </c>
      <c r="E173" t="s">
        <v>68</v>
      </c>
      <c r="F173" t="s">
        <v>69</v>
      </c>
      <c r="G173">
        <v>30000</v>
      </c>
      <c r="H173">
        <v>5</v>
      </c>
      <c r="I173">
        <v>5</v>
      </c>
      <c r="J173">
        <v>0</v>
      </c>
      <c r="K173">
        <v>1</v>
      </c>
      <c r="L173">
        <v>2000000</v>
      </c>
      <c r="M173">
        <v>48</v>
      </c>
      <c r="N173">
        <v>48</v>
      </c>
      <c r="O173">
        <v>48</v>
      </c>
      <c r="P173">
        <v>0</v>
      </c>
      <c r="Q173" t="s">
        <v>70</v>
      </c>
      <c r="R173">
        <v>999218273901</v>
      </c>
      <c r="S173">
        <v>998620</v>
      </c>
      <c r="V173" t="s">
        <v>83</v>
      </c>
      <c r="W173">
        <v>25</v>
      </c>
      <c r="X173">
        <v>685379</v>
      </c>
      <c r="Y173">
        <v>519868</v>
      </c>
      <c r="Z173">
        <v>1205247</v>
      </c>
      <c r="AA173">
        <v>998620</v>
      </c>
      <c r="AB173">
        <v>1.75851</v>
      </c>
      <c r="AC173">
        <v>1.9209099999999999</v>
      </c>
      <c r="AD173">
        <v>1.82856</v>
      </c>
      <c r="AE173">
        <v>19.828299999999999</v>
      </c>
      <c r="AF173">
        <v>1263197345</v>
      </c>
      <c r="AG173">
        <v>0</v>
      </c>
      <c r="AH173">
        <v>140353720</v>
      </c>
      <c r="AI173">
        <v>1263197345</v>
      </c>
      <c r="AJ173">
        <v>1403551065</v>
      </c>
      <c r="AK173">
        <v>42106578</v>
      </c>
      <c r="AL173">
        <v>0</v>
      </c>
      <c r="AM173">
        <v>4678457</v>
      </c>
      <c r="AN173">
        <v>42106578</v>
      </c>
      <c r="AO173">
        <v>46785035</v>
      </c>
      <c r="AQ173">
        <v>17.302099999999999</v>
      </c>
      <c r="AR173">
        <v>2.7625299999999999</v>
      </c>
      <c r="AS173">
        <v>2846.62</v>
      </c>
      <c r="AU173" t="s">
        <v>369</v>
      </c>
      <c r="AV173" t="str">
        <f t="shared" si="4"/>
        <v>10% updates, key range [0, 2*10^6)</v>
      </c>
      <c r="AW173" t="str">
        <f t="shared" si="5"/>
        <v>1167</v>
      </c>
    </row>
    <row r="174" spans="1:49">
      <c r="A174" t="s">
        <v>256</v>
      </c>
      <c r="B174" t="s">
        <v>75</v>
      </c>
      <c r="D174" t="s">
        <v>73</v>
      </c>
      <c r="E174" t="s">
        <v>68</v>
      </c>
      <c r="F174" t="s">
        <v>69</v>
      </c>
      <c r="G174">
        <v>30000</v>
      </c>
      <c r="H174">
        <v>5</v>
      </c>
      <c r="I174">
        <v>5</v>
      </c>
      <c r="J174">
        <v>0</v>
      </c>
      <c r="K174">
        <v>1</v>
      </c>
      <c r="L174">
        <v>2000000</v>
      </c>
      <c r="M174">
        <v>96</v>
      </c>
      <c r="N174">
        <v>96</v>
      </c>
      <c r="O174">
        <v>96</v>
      </c>
      <c r="P174">
        <v>0</v>
      </c>
      <c r="Q174" t="s">
        <v>70</v>
      </c>
      <c r="R174">
        <v>1000069099923</v>
      </c>
      <c r="S174">
        <v>999322</v>
      </c>
      <c r="V174" t="s">
        <v>83</v>
      </c>
      <c r="W174">
        <v>25</v>
      </c>
      <c r="X174">
        <v>685459</v>
      </c>
      <c r="Y174">
        <v>519890</v>
      </c>
      <c r="Z174">
        <v>1205349</v>
      </c>
      <c r="AA174">
        <v>999322</v>
      </c>
      <c r="AB174">
        <v>1.7584599999999999</v>
      </c>
      <c r="AC174">
        <v>1.92218</v>
      </c>
      <c r="AD174">
        <v>1.82907</v>
      </c>
      <c r="AE174">
        <v>19.882899999999999</v>
      </c>
      <c r="AF174">
        <v>2530928830</v>
      </c>
      <c r="AG174">
        <v>0</v>
      </c>
      <c r="AH174">
        <v>281248145</v>
      </c>
      <c r="AI174">
        <v>2530928830</v>
      </c>
      <c r="AJ174">
        <v>2812176975</v>
      </c>
      <c r="AK174">
        <v>84364294</v>
      </c>
      <c r="AL174">
        <v>0</v>
      </c>
      <c r="AM174">
        <v>9374938</v>
      </c>
      <c r="AN174">
        <v>84364294</v>
      </c>
      <c r="AO174">
        <v>93739232</v>
      </c>
      <c r="AQ174">
        <v>17.843699999999998</v>
      </c>
      <c r="AR174">
        <v>3.2410299999999999</v>
      </c>
      <c r="AS174">
        <v>2841.48</v>
      </c>
      <c r="AU174" t="s">
        <v>513</v>
      </c>
      <c r="AV174" t="str">
        <f t="shared" si="4"/>
        <v>10% updates, key range [0, 2*10^6)</v>
      </c>
      <c r="AW174" t="str">
        <f t="shared" si="5"/>
        <v>1192</v>
      </c>
    </row>
    <row r="175" spans="1:49">
      <c r="A175" t="s">
        <v>257</v>
      </c>
      <c r="B175" t="s">
        <v>75</v>
      </c>
      <c r="D175" t="s">
        <v>73</v>
      </c>
      <c r="E175" t="s">
        <v>68</v>
      </c>
      <c r="F175" t="s">
        <v>69</v>
      </c>
      <c r="G175">
        <v>30000</v>
      </c>
      <c r="H175">
        <v>5</v>
      </c>
      <c r="I175">
        <v>5</v>
      </c>
      <c r="J175">
        <v>0</v>
      </c>
      <c r="K175">
        <v>1</v>
      </c>
      <c r="L175">
        <v>2000000</v>
      </c>
      <c r="M175">
        <v>144</v>
      </c>
      <c r="N175">
        <v>144</v>
      </c>
      <c r="O175">
        <v>144</v>
      </c>
      <c r="P175">
        <v>0</v>
      </c>
      <c r="Q175" t="s">
        <v>70</v>
      </c>
      <c r="R175">
        <v>1000146210497</v>
      </c>
      <c r="S175">
        <v>1000677</v>
      </c>
      <c r="V175" t="s">
        <v>83</v>
      </c>
      <c r="W175">
        <v>25</v>
      </c>
      <c r="X175">
        <v>686180</v>
      </c>
      <c r="Y175">
        <v>520618</v>
      </c>
      <c r="Z175">
        <v>1206798</v>
      </c>
      <c r="AA175">
        <v>1000677</v>
      </c>
      <c r="AB175">
        <v>1.7587200000000001</v>
      </c>
      <c r="AC175">
        <v>1.9220900000000001</v>
      </c>
      <c r="AD175">
        <v>1.8291999999999999</v>
      </c>
      <c r="AE175">
        <v>19.8552</v>
      </c>
      <c r="AF175">
        <v>3743657434</v>
      </c>
      <c r="AG175">
        <v>0</v>
      </c>
      <c r="AH175">
        <v>415998980</v>
      </c>
      <c r="AI175">
        <v>3743657434</v>
      </c>
      <c r="AJ175">
        <v>4159656414</v>
      </c>
      <c r="AK175">
        <v>124788581</v>
      </c>
      <c r="AL175">
        <v>0</v>
      </c>
      <c r="AM175">
        <v>13866632</v>
      </c>
      <c r="AN175">
        <v>124788581</v>
      </c>
      <c r="AO175">
        <v>138655213</v>
      </c>
      <c r="AQ175">
        <v>18.1525</v>
      </c>
      <c r="AR175">
        <v>3.4151199999999999</v>
      </c>
      <c r="AS175">
        <v>2854.09</v>
      </c>
      <c r="AU175" t="s">
        <v>427</v>
      </c>
      <c r="AV175" t="str">
        <f t="shared" si="4"/>
        <v>10% updates, key range [0, 2*10^6)</v>
      </c>
      <c r="AW175" t="str">
        <f t="shared" si="5"/>
        <v>1213</v>
      </c>
    </row>
    <row r="176" spans="1:49">
      <c r="A176" t="s">
        <v>258</v>
      </c>
      <c r="B176" t="s">
        <v>75</v>
      </c>
      <c r="D176" t="s">
        <v>73</v>
      </c>
      <c r="E176" t="s">
        <v>68</v>
      </c>
      <c r="F176" t="s">
        <v>69</v>
      </c>
      <c r="G176">
        <v>30000</v>
      </c>
      <c r="H176">
        <v>5</v>
      </c>
      <c r="I176">
        <v>5</v>
      </c>
      <c r="J176">
        <v>0</v>
      </c>
      <c r="K176">
        <v>1</v>
      </c>
      <c r="L176">
        <v>2000000</v>
      </c>
      <c r="M176">
        <v>190</v>
      </c>
      <c r="N176">
        <v>190</v>
      </c>
      <c r="O176">
        <v>190</v>
      </c>
      <c r="P176">
        <v>0</v>
      </c>
      <c r="Q176" t="s">
        <v>70</v>
      </c>
      <c r="R176">
        <v>999734690811</v>
      </c>
      <c r="S176">
        <v>1000603</v>
      </c>
      <c r="V176" t="s">
        <v>83</v>
      </c>
      <c r="W176">
        <v>25</v>
      </c>
      <c r="X176">
        <v>686300</v>
      </c>
      <c r="Y176">
        <v>521206</v>
      </c>
      <c r="Z176">
        <v>1207506</v>
      </c>
      <c r="AA176">
        <v>1000603</v>
      </c>
      <c r="AB176">
        <v>1.7594399999999999</v>
      </c>
      <c r="AC176">
        <v>1.91978</v>
      </c>
      <c r="AD176">
        <v>1.8286500000000001</v>
      </c>
      <c r="AE176">
        <v>19.868600000000001</v>
      </c>
      <c r="AF176">
        <v>4935680040</v>
      </c>
      <c r="AG176">
        <v>0</v>
      </c>
      <c r="AH176">
        <v>548412082</v>
      </c>
      <c r="AI176">
        <v>4935680040</v>
      </c>
      <c r="AJ176">
        <v>5484092122</v>
      </c>
      <c r="AK176">
        <v>164522668</v>
      </c>
      <c r="AL176">
        <v>0</v>
      </c>
      <c r="AM176">
        <v>18280402</v>
      </c>
      <c r="AN176">
        <v>164522668</v>
      </c>
      <c r="AO176">
        <v>182803070</v>
      </c>
      <c r="AQ176">
        <v>18.463799999999999</v>
      </c>
      <c r="AR176">
        <v>3.51539</v>
      </c>
      <c r="AS176">
        <v>2851.07</v>
      </c>
      <c r="AU176" t="s">
        <v>514</v>
      </c>
      <c r="AV176" t="str">
        <f t="shared" si="4"/>
        <v>10% updates, key range [0, 2*10^6)</v>
      </c>
      <c r="AW176" t="str">
        <f t="shared" si="5"/>
        <v>1232</v>
      </c>
    </row>
    <row r="177" spans="1:49">
      <c r="A177" t="s">
        <v>259</v>
      </c>
      <c r="B177" t="s">
        <v>76</v>
      </c>
      <c r="D177" t="s">
        <v>73</v>
      </c>
      <c r="E177" t="s">
        <v>68</v>
      </c>
      <c r="F177" t="s">
        <v>69</v>
      </c>
      <c r="G177">
        <v>30000</v>
      </c>
      <c r="H177">
        <v>5</v>
      </c>
      <c r="I177">
        <v>5</v>
      </c>
      <c r="J177">
        <v>0</v>
      </c>
      <c r="K177">
        <v>1</v>
      </c>
      <c r="L177">
        <v>2000000</v>
      </c>
      <c r="M177">
        <v>24</v>
      </c>
      <c r="N177">
        <v>24</v>
      </c>
      <c r="O177">
        <v>24</v>
      </c>
      <c r="P177">
        <v>0</v>
      </c>
      <c r="Q177" t="s">
        <v>70</v>
      </c>
      <c r="R177">
        <v>999295110254</v>
      </c>
      <c r="S177">
        <v>999237</v>
      </c>
      <c r="V177" t="s">
        <v>83</v>
      </c>
      <c r="W177">
        <v>50</v>
      </c>
      <c r="X177">
        <v>999236</v>
      </c>
      <c r="Y177">
        <v>999237</v>
      </c>
      <c r="Z177">
        <v>1998473</v>
      </c>
      <c r="AA177">
        <v>999237</v>
      </c>
      <c r="AB177">
        <v>2</v>
      </c>
      <c r="AC177">
        <v>1</v>
      </c>
      <c r="AD177">
        <v>1.5</v>
      </c>
      <c r="AE177">
        <v>26.260100000000001</v>
      </c>
      <c r="AF177">
        <v>659604672</v>
      </c>
      <c r="AG177">
        <v>0</v>
      </c>
      <c r="AH177">
        <v>73298043</v>
      </c>
      <c r="AI177">
        <v>659604672</v>
      </c>
      <c r="AJ177">
        <v>732902715</v>
      </c>
      <c r="AK177">
        <v>21986822</v>
      </c>
      <c r="AL177">
        <v>0</v>
      </c>
      <c r="AM177">
        <v>2443268</v>
      </c>
      <c r="AN177">
        <v>21986822</v>
      </c>
      <c r="AO177">
        <v>24430090</v>
      </c>
      <c r="AQ177">
        <v>12.3787</v>
      </c>
      <c r="AR177">
        <v>2.0404900000000001</v>
      </c>
      <c r="AS177">
        <v>2740.26</v>
      </c>
      <c r="AU177" t="s">
        <v>368</v>
      </c>
      <c r="AV177" t="str">
        <f t="shared" si="4"/>
        <v>10% updates, key range [0, 2*10^6)</v>
      </c>
      <c r="AW177" t="str">
        <f t="shared" si="5"/>
        <v>1147</v>
      </c>
    </row>
    <row r="178" spans="1:49">
      <c r="A178" t="s">
        <v>260</v>
      </c>
      <c r="B178" t="s">
        <v>76</v>
      </c>
      <c r="D178" t="s">
        <v>73</v>
      </c>
      <c r="E178" t="s">
        <v>68</v>
      </c>
      <c r="F178" t="s">
        <v>69</v>
      </c>
      <c r="G178">
        <v>30000</v>
      </c>
      <c r="H178">
        <v>5</v>
      </c>
      <c r="I178">
        <v>5</v>
      </c>
      <c r="J178">
        <v>0</v>
      </c>
      <c r="K178">
        <v>1</v>
      </c>
      <c r="L178">
        <v>2000000</v>
      </c>
      <c r="M178">
        <v>48</v>
      </c>
      <c r="N178">
        <v>48</v>
      </c>
      <c r="O178">
        <v>48</v>
      </c>
      <c r="P178">
        <v>0</v>
      </c>
      <c r="Q178" t="s">
        <v>70</v>
      </c>
      <c r="R178">
        <v>999657984601</v>
      </c>
      <c r="S178">
        <v>999558</v>
      </c>
      <c r="V178" t="s">
        <v>83</v>
      </c>
      <c r="W178">
        <v>47</v>
      </c>
      <c r="X178">
        <v>999557</v>
      </c>
      <c r="Y178">
        <v>999558</v>
      </c>
      <c r="Z178">
        <v>1999115</v>
      </c>
      <c r="AA178">
        <v>999558</v>
      </c>
      <c r="AB178">
        <v>2</v>
      </c>
      <c r="AC178">
        <v>1</v>
      </c>
      <c r="AD178">
        <v>1.5</v>
      </c>
      <c r="AE178">
        <v>26.812100000000001</v>
      </c>
      <c r="AF178">
        <v>1174932479</v>
      </c>
      <c r="AG178">
        <v>0</v>
      </c>
      <c r="AH178">
        <v>130555936</v>
      </c>
      <c r="AI178">
        <v>1174932479</v>
      </c>
      <c r="AJ178">
        <v>1305488415</v>
      </c>
      <c r="AK178">
        <v>39164415</v>
      </c>
      <c r="AL178">
        <v>0</v>
      </c>
      <c r="AM178">
        <v>4351864</v>
      </c>
      <c r="AN178">
        <v>39164415</v>
      </c>
      <c r="AO178">
        <v>43516280</v>
      </c>
      <c r="AQ178">
        <v>12.458600000000001</v>
      </c>
      <c r="AR178">
        <v>2.1299000000000001</v>
      </c>
      <c r="AS178">
        <v>3076.07</v>
      </c>
      <c r="AU178" t="s">
        <v>359</v>
      </c>
      <c r="AV178" t="str">
        <f t="shared" si="4"/>
        <v>10% updates, key range [0, 2*10^6)</v>
      </c>
      <c r="AW178" t="str">
        <f t="shared" si="5"/>
        <v>1162</v>
      </c>
    </row>
    <row r="179" spans="1:49">
      <c r="A179" t="s">
        <v>261</v>
      </c>
      <c r="B179" t="s">
        <v>76</v>
      </c>
      <c r="D179" t="s">
        <v>73</v>
      </c>
      <c r="E179" t="s">
        <v>68</v>
      </c>
      <c r="F179" t="s">
        <v>69</v>
      </c>
      <c r="G179">
        <v>30000</v>
      </c>
      <c r="H179">
        <v>5</v>
      </c>
      <c r="I179">
        <v>5</v>
      </c>
      <c r="J179">
        <v>0</v>
      </c>
      <c r="K179">
        <v>1</v>
      </c>
      <c r="L179">
        <v>2000000</v>
      </c>
      <c r="M179">
        <v>96</v>
      </c>
      <c r="N179">
        <v>96</v>
      </c>
      <c r="O179">
        <v>96</v>
      </c>
      <c r="P179">
        <v>0</v>
      </c>
      <c r="Q179" t="s">
        <v>70</v>
      </c>
      <c r="R179">
        <v>999297013454</v>
      </c>
      <c r="S179">
        <v>999209</v>
      </c>
      <c r="V179" t="s">
        <v>83</v>
      </c>
      <c r="W179">
        <v>46</v>
      </c>
      <c r="X179">
        <v>999208</v>
      </c>
      <c r="Y179">
        <v>999209</v>
      </c>
      <c r="Z179">
        <v>1998417</v>
      </c>
      <c r="AA179">
        <v>999209</v>
      </c>
      <c r="AB179">
        <v>2</v>
      </c>
      <c r="AC179">
        <v>1</v>
      </c>
      <c r="AD179">
        <v>1.5</v>
      </c>
      <c r="AE179">
        <v>25.482399999999998</v>
      </c>
      <c r="AF179">
        <v>2509244436</v>
      </c>
      <c r="AG179">
        <v>0</v>
      </c>
      <c r="AH179">
        <v>278800665</v>
      </c>
      <c r="AI179">
        <v>2509244436</v>
      </c>
      <c r="AJ179">
        <v>2788045101</v>
      </c>
      <c r="AK179">
        <v>83641481</v>
      </c>
      <c r="AL179">
        <v>0</v>
      </c>
      <c r="AM179">
        <v>9293355</v>
      </c>
      <c r="AN179">
        <v>83641481</v>
      </c>
      <c r="AO179">
        <v>92934836</v>
      </c>
      <c r="AQ179">
        <v>12.927</v>
      </c>
      <c r="AR179">
        <v>2.55769</v>
      </c>
      <c r="AS179">
        <v>2876.43</v>
      </c>
      <c r="AU179" t="s">
        <v>513</v>
      </c>
      <c r="AV179" t="str">
        <f t="shared" si="4"/>
        <v>10% updates, key range [0, 2*10^6)</v>
      </c>
      <c r="AW179" t="str">
        <f t="shared" si="5"/>
        <v>1192</v>
      </c>
    </row>
    <row r="180" spans="1:49">
      <c r="A180" t="s">
        <v>262</v>
      </c>
      <c r="B180" t="s">
        <v>76</v>
      </c>
      <c r="D180" t="s">
        <v>73</v>
      </c>
      <c r="E180" t="s">
        <v>68</v>
      </c>
      <c r="F180" t="s">
        <v>69</v>
      </c>
      <c r="G180">
        <v>30000</v>
      </c>
      <c r="H180">
        <v>5</v>
      </c>
      <c r="I180">
        <v>5</v>
      </c>
      <c r="J180">
        <v>0</v>
      </c>
      <c r="K180">
        <v>1</v>
      </c>
      <c r="L180">
        <v>2000000</v>
      </c>
      <c r="M180">
        <v>144</v>
      </c>
      <c r="N180">
        <v>144</v>
      </c>
      <c r="O180">
        <v>144</v>
      </c>
      <c r="P180">
        <v>0</v>
      </c>
      <c r="Q180" t="s">
        <v>70</v>
      </c>
      <c r="R180">
        <v>1001369619067</v>
      </c>
      <c r="S180">
        <v>1000509</v>
      </c>
      <c r="V180" t="s">
        <v>83</v>
      </c>
      <c r="W180">
        <v>50</v>
      </c>
      <c r="X180">
        <v>1000508</v>
      </c>
      <c r="Y180">
        <v>1000509</v>
      </c>
      <c r="Z180">
        <v>2001017</v>
      </c>
      <c r="AA180">
        <v>1000509</v>
      </c>
      <c r="AB180">
        <v>2</v>
      </c>
      <c r="AC180">
        <v>1</v>
      </c>
      <c r="AD180">
        <v>1.5</v>
      </c>
      <c r="AE180">
        <v>26.5868</v>
      </c>
      <c r="AF180">
        <v>3787895897</v>
      </c>
      <c r="AG180">
        <v>0</v>
      </c>
      <c r="AH180">
        <v>420884859</v>
      </c>
      <c r="AI180">
        <v>3787895897</v>
      </c>
      <c r="AJ180">
        <v>4208780756</v>
      </c>
      <c r="AK180">
        <v>126263196</v>
      </c>
      <c r="AL180">
        <v>0</v>
      </c>
      <c r="AM180">
        <v>14029495</v>
      </c>
      <c r="AN180">
        <v>126263196</v>
      </c>
      <c r="AO180">
        <v>140292691</v>
      </c>
      <c r="AQ180">
        <v>13.225</v>
      </c>
      <c r="AR180">
        <v>2.6471</v>
      </c>
      <c r="AS180">
        <v>2856.3</v>
      </c>
      <c r="AU180" t="s">
        <v>515</v>
      </c>
      <c r="AV180" t="str">
        <f t="shared" si="4"/>
        <v>10% updates, key range [0, 2*10^6)</v>
      </c>
      <c r="AW180" t="str">
        <f t="shared" si="5"/>
        <v>1217</v>
      </c>
    </row>
    <row r="181" spans="1:49">
      <c r="A181" t="s">
        <v>263</v>
      </c>
      <c r="B181" t="s">
        <v>76</v>
      </c>
      <c r="D181" t="s">
        <v>73</v>
      </c>
      <c r="E181" t="s">
        <v>68</v>
      </c>
      <c r="F181" t="s">
        <v>69</v>
      </c>
      <c r="G181">
        <v>30000</v>
      </c>
      <c r="H181">
        <v>5</v>
      </c>
      <c r="I181">
        <v>5</v>
      </c>
      <c r="J181">
        <v>0</v>
      </c>
      <c r="K181">
        <v>1</v>
      </c>
      <c r="L181">
        <v>2000000</v>
      </c>
      <c r="M181">
        <v>190</v>
      </c>
      <c r="N181">
        <v>190</v>
      </c>
      <c r="O181">
        <v>190</v>
      </c>
      <c r="P181">
        <v>0</v>
      </c>
      <c r="Q181" t="s">
        <v>70</v>
      </c>
      <c r="R181">
        <v>1000359446250</v>
      </c>
      <c r="S181">
        <v>1000588</v>
      </c>
      <c r="V181" t="s">
        <v>83</v>
      </c>
      <c r="W181">
        <v>48</v>
      </c>
      <c r="X181">
        <v>1000587</v>
      </c>
      <c r="Y181">
        <v>1000588</v>
      </c>
      <c r="Z181">
        <v>2001175</v>
      </c>
      <c r="AA181">
        <v>1000588</v>
      </c>
      <c r="AB181">
        <v>2</v>
      </c>
      <c r="AC181">
        <v>1</v>
      </c>
      <c r="AD181">
        <v>1.5</v>
      </c>
      <c r="AE181">
        <v>26.174299999999999</v>
      </c>
      <c r="AF181">
        <v>5055887983</v>
      </c>
      <c r="AG181">
        <v>0</v>
      </c>
      <c r="AH181">
        <v>561746994</v>
      </c>
      <c r="AI181">
        <v>5055887983</v>
      </c>
      <c r="AJ181">
        <v>5617634977</v>
      </c>
      <c r="AK181">
        <v>168529599</v>
      </c>
      <c r="AL181">
        <v>0</v>
      </c>
      <c r="AM181">
        <v>18724899</v>
      </c>
      <c r="AN181">
        <v>168529599</v>
      </c>
      <c r="AO181">
        <v>187254499</v>
      </c>
      <c r="AQ181">
        <v>13.2494</v>
      </c>
      <c r="AR181">
        <v>2.6874600000000002</v>
      </c>
      <c r="AS181">
        <v>2824.9</v>
      </c>
      <c r="AU181" t="s">
        <v>516</v>
      </c>
      <c r="AV181" t="str">
        <f t="shared" si="4"/>
        <v>10% updates, key range [0, 2*10^6)</v>
      </c>
      <c r="AW181" t="str">
        <f t="shared" si="5"/>
        <v>1231</v>
      </c>
    </row>
    <row r="182" spans="1:49">
      <c r="A182" t="s">
        <v>264</v>
      </c>
      <c r="B182" t="s">
        <v>72</v>
      </c>
      <c r="C182">
        <v>72</v>
      </c>
      <c r="D182" t="s">
        <v>73</v>
      </c>
      <c r="E182" t="s">
        <v>68</v>
      </c>
      <c r="F182" t="s">
        <v>69</v>
      </c>
      <c r="G182">
        <v>30000</v>
      </c>
      <c r="H182">
        <v>5</v>
      </c>
      <c r="I182">
        <v>5</v>
      </c>
      <c r="J182">
        <v>0</v>
      </c>
      <c r="K182">
        <v>1</v>
      </c>
      <c r="L182">
        <v>20000000</v>
      </c>
      <c r="M182">
        <v>24</v>
      </c>
      <c r="N182">
        <v>24</v>
      </c>
      <c r="O182">
        <v>24</v>
      </c>
      <c r="P182">
        <v>0</v>
      </c>
      <c r="Q182" t="s">
        <v>70</v>
      </c>
      <c r="R182">
        <v>100040774252212</v>
      </c>
      <c r="S182">
        <v>10002874</v>
      </c>
      <c r="V182" t="s">
        <v>83</v>
      </c>
      <c r="W182">
        <v>7</v>
      </c>
      <c r="X182">
        <v>1625792</v>
      </c>
      <c r="Y182">
        <v>11445217</v>
      </c>
      <c r="Z182">
        <v>13071009</v>
      </c>
      <c r="AA182">
        <v>10002874</v>
      </c>
      <c r="AB182">
        <v>8.0397800000000004</v>
      </c>
      <c r="AC182">
        <v>0.87397899999999995</v>
      </c>
      <c r="AD182">
        <v>1.7652699999999999</v>
      </c>
      <c r="AE182">
        <v>4</v>
      </c>
      <c r="AF182">
        <v>765071524</v>
      </c>
      <c r="AG182">
        <v>0</v>
      </c>
      <c r="AH182">
        <v>85015912</v>
      </c>
      <c r="AI182">
        <v>765071524</v>
      </c>
      <c r="AJ182">
        <v>850087436</v>
      </c>
      <c r="AK182">
        <v>25502384</v>
      </c>
      <c r="AL182">
        <v>0</v>
      </c>
      <c r="AM182">
        <v>2833863</v>
      </c>
      <c r="AN182">
        <v>25502384</v>
      </c>
      <c r="AO182">
        <v>28336247</v>
      </c>
      <c r="AQ182">
        <v>18.8583</v>
      </c>
      <c r="AR182">
        <v>7.3501200000000004</v>
      </c>
      <c r="AS182">
        <v>2342.1799999999998</v>
      </c>
      <c r="AU182" t="s">
        <v>517</v>
      </c>
      <c r="AV182" t="str">
        <f t="shared" si="4"/>
        <v>10% updates, key range [0, 2*10^7)</v>
      </c>
      <c r="AW182" t="str">
        <f t="shared" si="5"/>
        <v>2444</v>
      </c>
    </row>
    <row r="183" spans="1:49">
      <c r="A183" t="s">
        <v>265</v>
      </c>
      <c r="B183" t="s">
        <v>72</v>
      </c>
      <c r="C183">
        <v>72</v>
      </c>
      <c r="D183" t="s">
        <v>73</v>
      </c>
      <c r="E183" t="s">
        <v>68</v>
      </c>
      <c r="F183" t="s">
        <v>69</v>
      </c>
      <c r="G183">
        <v>30000</v>
      </c>
      <c r="H183">
        <v>5</v>
      </c>
      <c r="I183">
        <v>5</v>
      </c>
      <c r="J183">
        <v>0</v>
      </c>
      <c r="K183">
        <v>1</v>
      </c>
      <c r="L183">
        <v>20000000</v>
      </c>
      <c r="M183">
        <v>48</v>
      </c>
      <c r="N183">
        <v>48</v>
      </c>
      <c r="O183">
        <v>48</v>
      </c>
      <c r="P183">
        <v>0</v>
      </c>
      <c r="Q183" t="s">
        <v>70</v>
      </c>
      <c r="R183">
        <v>100021456259069</v>
      </c>
      <c r="S183">
        <v>10001534</v>
      </c>
      <c r="V183" t="s">
        <v>83</v>
      </c>
      <c r="W183">
        <v>7</v>
      </c>
      <c r="X183">
        <v>1903179</v>
      </c>
      <c r="Y183">
        <v>12033824</v>
      </c>
      <c r="Z183">
        <v>13937003</v>
      </c>
      <c r="AA183">
        <v>10001534</v>
      </c>
      <c r="AB183">
        <v>7.32301</v>
      </c>
      <c r="AC183">
        <v>0.83111900000000005</v>
      </c>
      <c r="AD183">
        <v>1.7176199999999999</v>
      </c>
      <c r="AE183">
        <v>4.0549900000000001</v>
      </c>
      <c r="AF183">
        <v>1290620979</v>
      </c>
      <c r="AG183">
        <v>0</v>
      </c>
      <c r="AH183">
        <v>143400726</v>
      </c>
      <c r="AI183">
        <v>1290620979</v>
      </c>
      <c r="AJ183">
        <v>1434021705</v>
      </c>
      <c r="AK183">
        <v>43020699</v>
      </c>
      <c r="AL183">
        <v>0</v>
      </c>
      <c r="AM183">
        <v>4780024</v>
      </c>
      <c r="AN183">
        <v>43020699</v>
      </c>
      <c r="AO183">
        <v>47800723</v>
      </c>
      <c r="AQ183">
        <v>18.7683</v>
      </c>
      <c r="AR183">
        <v>7.4993400000000001</v>
      </c>
      <c r="AS183">
        <v>2769.69</v>
      </c>
      <c r="AU183" t="s">
        <v>518</v>
      </c>
      <c r="AV183" t="str">
        <f t="shared" si="4"/>
        <v>10% updates, key range [0, 2*10^7)</v>
      </c>
      <c r="AW183" t="str">
        <f t="shared" si="5"/>
        <v>2489</v>
      </c>
    </row>
    <row r="184" spans="1:49">
      <c r="A184" t="s">
        <v>266</v>
      </c>
      <c r="B184" t="s">
        <v>72</v>
      </c>
      <c r="C184">
        <v>72</v>
      </c>
      <c r="D184" t="s">
        <v>73</v>
      </c>
      <c r="E184" t="s">
        <v>68</v>
      </c>
      <c r="F184" t="s">
        <v>69</v>
      </c>
      <c r="G184">
        <v>30000</v>
      </c>
      <c r="H184">
        <v>5</v>
      </c>
      <c r="I184">
        <v>5</v>
      </c>
      <c r="J184">
        <v>0</v>
      </c>
      <c r="K184">
        <v>1</v>
      </c>
      <c r="L184">
        <v>20000000</v>
      </c>
      <c r="M184">
        <v>96</v>
      </c>
      <c r="N184">
        <v>96</v>
      </c>
      <c r="O184">
        <v>96</v>
      </c>
      <c r="P184">
        <v>0</v>
      </c>
      <c r="Q184" t="s">
        <v>70</v>
      </c>
      <c r="R184">
        <v>100035359240242</v>
      </c>
      <c r="S184">
        <v>10003614</v>
      </c>
      <c r="V184" t="s">
        <v>83</v>
      </c>
      <c r="W184">
        <v>7</v>
      </c>
      <c r="X184">
        <v>1759206</v>
      </c>
      <c r="Y184">
        <v>11722992</v>
      </c>
      <c r="Z184">
        <v>13482198</v>
      </c>
      <c r="AA184">
        <v>10003614</v>
      </c>
      <c r="AB184">
        <v>7.6638000000000002</v>
      </c>
      <c r="AC184">
        <v>0.85333300000000001</v>
      </c>
      <c r="AD184">
        <v>1.7419899999999999</v>
      </c>
      <c r="AE184">
        <v>4.0274200000000002</v>
      </c>
      <c r="AF184">
        <v>2563575441</v>
      </c>
      <c r="AG184">
        <v>0</v>
      </c>
      <c r="AH184">
        <v>284837644</v>
      </c>
      <c r="AI184">
        <v>2563575441</v>
      </c>
      <c r="AJ184">
        <v>2848413085</v>
      </c>
      <c r="AK184">
        <v>85452514</v>
      </c>
      <c r="AL184">
        <v>0</v>
      </c>
      <c r="AM184">
        <v>9494588</v>
      </c>
      <c r="AN184">
        <v>85452514</v>
      </c>
      <c r="AO184">
        <v>94947102</v>
      </c>
      <c r="AQ184">
        <v>19.002500000000001</v>
      </c>
      <c r="AR184">
        <v>7.9750800000000002</v>
      </c>
      <c r="AS184">
        <v>2777.58</v>
      </c>
      <c r="AU184" t="s">
        <v>519</v>
      </c>
      <c r="AV184" t="str">
        <f t="shared" si="4"/>
        <v>10% updates, key range [0, 2*10^7)</v>
      </c>
      <c r="AW184" t="str">
        <f t="shared" si="5"/>
        <v>2599</v>
      </c>
    </row>
    <row r="185" spans="1:49">
      <c r="A185" t="s">
        <v>267</v>
      </c>
      <c r="B185" t="s">
        <v>72</v>
      </c>
      <c r="C185">
        <v>72</v>
      </c>
      <c r="D185" t="s">
        <v>73</v>
      </c>
      <c r="E185" t="s">
        <v>68</v>
      </c>
      <c r="F185" t="s">
        <v>69</v>
      </c>
      <c r="G185">
        <v>30000</v>
      </c>
      <c r="H185">
        <v>5</v>
      </c>
      <c r="I185">
        <v>5</v>
      </c>
      <c r="J185">
        <v>0</v>
      </c>
      <c r="K185">
        <v>1</v>
      </c>
      <c r="L185">
        <v>20000000</v>
      </c>
      <c r="M185">
        <v>144</v>
      </c>
      <c r="N185">
        <v>144</v>
      </c>
      <c r="O185">
        <v>144</v>
      </c>
      <c r="P185">
        <v>0</v>
      </c>
      <c r="Q185" t="s">
        <v>70</v>
      </c>
      <c r="R185">
        <v>99949999123977</v>
      </c>
      <c r="S185">
        <v>9996919</v>
      </c>
      <c r="V185" t="s">
        <v>83</v>
      </c>
      <c r="W185">
        <v>7</v>
      </c>
      <c r="X185">
        <v>1725392</v>
      </c>
      <c r="Y185">
        <v>11647485</v>
      </c>
      <c r="Z185">
        <v>13372877</v>
      </c>
      <c r="AA185">
        <v>9996919</v>
      </c>
      <c r="AB185">
        <v>7.7506300000000001</v>
      </c>
      <c r="AC185">
        <v>0.85829</v>
      </c>
      <c r="AD185">
        <v>1.7475499999999999</v>
      </c>
      <c r="AE185">
        <v>4.0206600000000003</v>
      </c>
      <c r="AF185">
        <v>3725332134</v>
      </c>
      <c r="AG185">
        <v>0</v>
      </c>
      <c r="AH185">
        <v>413937045</v>
      </c>
      <c r="AI185">
        <v>3725332134</v>
      </c>
      <c r="AJ185">
        <v>4139269179</v>
      </c>
      <c r="AK185">
        <v>124177737</v>
      </c>
      <c r="AL185">
        <v>0</v>
      </c>
      <c r="AM185">
        <v>13797901</v>
      </c>
      <c r="AN185">
        <v>124177737</v>
      </c>
      <c r="AO185">
        <v>137975639</v>
      </c>
      <c r="AQ185">
        <v>19.110499999999998</v>
      </c>
      <c r="AR185">
        <v>8.2964500000000001</v>
      </c>
      <c r="AS185">
        <v>2856.28</v>
      </c>
      <c r="AU185" t="s">
        <v>520</v>
      </c>
      <c r="AV185" t="str">
        <f t="shared" si="4"/>
        <v>10% updates, key range [0, 2*10^7)</v>
      </c>
      <c r="AW185" t="str">
        <f t="shared" si="5"/>
        <v>2762</v>
      </c>
    </row>
    <row r="186" spans="1:49">
      <c r="A186" t="s">
        <v>268</v>
      </c>
      <c r="B186" t="s">
        <v>72</v>
      </c>
      <c r="C186">
        <v>72</v>
      </c>
      <c r="D186" t="s">
        <v>73</v>
      </c>
      <c r="E186" t="s">
        <v>68</v>
      </c>
      <c r="F186" t="s">
        <v>69</v>
      </c>
      <c r="G186">
        <v>30000</v>
      </c>
      <c r="H186">
        <v>5</v>
      </c>
      <c r="I186">
        <v>5</v>
      </c>
      <c r="J186">
        <v>0</v>
      </c>
      <c r="K186">
        <v>1</v>
      </c>
      <c r="L186">
        <v>20000000</v>
      </c>
      <c r="M186">
        <v>190</v>
      </c>
      <c r="N186">
        <v>190</v>
      </c>
      <c r="O186">
        <v>190</v>
      </c>
      <c r="P186">
        <v>0</v>
      </c>
      <c r="Q186" t="s">
        <v>70</v>
      </c>
      <c r="R186">
        <v>99974473192207</v>
      </c>
      <c r="S186">
        <v>9998246</v>
      </c>
      <c r="V186" t="s">
        <v>83</v>
      </c>
      <c r="W186">
        <v>7</v>
      </c>
      <c r="X186">
        <v>1809825</v>
      </c>
      <c r="Y186">
        <v>11832260</v>
      </c>
      <c r="Z186">
        <v>13642085</v>
      </c>
      <c r="AA186">
        <v>9998246</v>
      </c>
      <c r="AB186">
        <v>7.5377900000000002</v>
      </c>
      <c r="AC186">
        <v>0.84499899999999994</v>
      </c>
      <c r="AD186">
        <v>1.7329000000000001</v>
      </c>
      <c r="AE186">
        <v>4.0368199999999996</v>
      </c>
      <c r="AF186">
        <v>4756303493</v>
      </c>
      <c r="AG186">
        <v>0</v>
      </c>
      <c r="AH186">
        <v>528468387</v>
      </c>
      <c r="AI186">
        <v>4756303493</v>
      </c>
      <c r="AJ186">
        <v>5284771880</v>
      </c>
      <c r="AK186">
        <v>158543449</v>
      </c>
      <c r="AL186">
        <v>0</v>
      </c>
      <c r="AM186">
        <v>17615612</v>
      </c>
      <c r="AN186">
        <v>158543449</v>
      </c>
      <c r="AO186">
        <v>176159062</v>
      </c>
      <c r="AQ186">
        <v>19.311</v>
      </c>
      <c r="AR186">
        <v>8.5716900000000003</v>
      </c>
      <c r="AS186">
        <v>2932.96</v>
      </c>
      <c r="AU186" t="s">
        <v>521</v>
      </c>
      <c r="AV186" t="str">
        <f t="shared" si="4"/>
        <v>10% updates, key range [0, 2*10^7)</v>
      </c>
      <c r="AW186" t="str">
        <f t="shared" si="5"/>
        <v>2865</v>
      </c>
    </row>
    <row r="187" spans="1:49">
      <c r="A187" t="s">
        <v>269</v>
      </c>
      <c r="B187" t="s">
        <v>74</v>
      </c>
      <c r="C187">
        <v>208</v>
      </c>
      <c r="D187" t="s">
        <v>73</v>
      </c>
      <c r="E187" t="s">
        <v>68</v>
      </c>
      <c r="F187" t="s">
        <v>69</v>
      </c>
      <c r="G187">
        <v>30000</v>
      </c>
      <c r="H187">
        <v>5</v>
      </c>
      <c r="I187">
        <v>5</v>
      </c>
      <c r="J187">
        <v>0</v>
      </c>
      <c r="K187">
        <v>1</v>
      </c>
      <c r="L187">
        <v>20000000</v>
      </c>
      <c r="M187">
        <v>24</v>
      </c>
      <c r="N187">
        <v>24</v>
      </c>
      <c r="O187">
        <v>24</v>
      </c>
      <c r="P187">
        <v>0</v>
      </c>
      <c r="Q187" t="s">
        <v>70</v>
      </c>
      <c r="R187">
        <v>100012911389697</v>
      </c>
      <c r="S187">
        <v>9998698</v>
      </c>
      <c r="V187" t="s">
        <v>83</v>
      </c>
      <c r="W187">
        <v>9</v>
      </c>
      <c r="X187">
        <v>258074</v>
      </c>
      <c r="Y187">
        <v>1767742</v>
      </c>
      <c r="Z187">
        <v>2025816</v>
      </c>
      <c r="AA187">
        <v>9998698</v>
      </c>
      <c r="AB187">
        <v>7.8497500000000002</v>
      </c>
      <c r="AC187">
        <v>5.6562000000000001</v>
      </c>
      <c r="AD187">
        <v>5.9356400000000002</v>
      </c>
      <c r="AE187">
        <v>8</v>
      </c>
      <c r="AF187">
        <v>760742613</v>
      </c>
      <c r="AG187">
        <v>0</v>
      </c>
      <c r="AH187">
        <v>84533220</v>
      </c>
      <c r="AI187">
        <v>760742613</v>
      </c>
      <c r="AJ187">
        <v>845275833</v>
      </c>
      <c r="AK187">
        <v>25358087</v>
      </c>
      <c r="AL187">
        <v>0</v>
      </c>
      <c r="AM187">
        <v>2817774</v>
      </c>
      <c r="AN187">
        <v>25358087</v>
      </c>
      <c r="AO187">
        <v>28175861</v>
      </c>
      <c r="AQ187">
        <v>17.913799999999998</v>
      </c>
      <c r="AR187">
        <v>5.6863999999999999</v>
      </c>
      <c r="AS187">
        <v>2375.06</v>
      </c>
      <c r="AU187" t="s">
        <v>522</v>
      </c>
      <c r="AV187" t="str">
        <f t="shared" si="4"/>
        <v>10% updates, key range [0, 2*10^7)</v>
      </c>
      <c r="AW187" t="str">
        <f t="shared" si="5"/>
        <v>1525</v>
      </c>
    </row>
    <row r="188" spans="1:49">
      <c r="A188" t="s">
        <v>270</v>
      </c>
      <c r="B188" t="s">
        <v>74</v>
      </c>
      <c r="C188">
        <v>208</v>
      </c>
      <c r="D188" t="s">
        <v>73</v>
      </c>
      <c r="E188" t="s">
        <v>68</v>
      </c>
      <c r="F188" t="s">
        <v>69</v>
      </c>
      <c r="G188">
        <v>30000</v>
      </c>
      <c r="H188">
        <v>5</v>
      </c>
      <c r="I188">
        <v>5</v>
      </c>
      <c r="J188">
        <v>0</v>
      </c>
      <c r="K188">
        <v>1</v>
      </c>
      <c r="L188">
        <v>20000000</v>
      </c>
      <c r="M188">
        <v>48</v>
      </c>
      <c r="N188">
        <v>48</v>
      </c>
      <c r="O188">
        <v>48</v>
      </c>
      <c r="P188">
        <v>0</v>
      </c>
      <c r="Q188" t="s">
        <v>70</v>
      </c>
      <c r="R188">
        <v>100005976350622</v>
      </c>
      <c r="S188">
        <v>10001649</v>
      </c>
      <c r="V188" t="s">
        <v>83</v>
      </c>
      <c r="W188">
        <v>9</v>
      </c>
      <c r="X188">
        <v>273723</v>
      </c>
      <c r="Y188">
        <v>1862633</v>
      </c>
      <c r="Z188">
        <v>2136356</v>
      </c>
      <c r="AA188">
        <v>10001649</v>
      </c>
      <c r="AB188">
        <v>7.8048099999999998</v>
      </c>
      <c r="AC188">
        <v>5.3696299999999999</v>
      </c>
      <c r="AD188">
        <v>5.6816399999999998</v>
      </c>
      <c r="AE188">
        <v>8</v>
      </c>
      <c r="AF188">
        <v>1378631152</v>
      </c>
      <c r="AG188">
        <v>0</v>
      </c>
      <c r="AH188">
        <v>153201242</v>
      </c>
      <c r="AI188">
        <v>1378631152</v>
      </c>
      <c r="AJ188">
        <v>1531832394</v>
      </c>
      <c r="AK188">
        <v>45954371</v>
      </c>
      <c r="AL188">
        <v>0</v>
      </c>
      <c r="AM188">
        <v>5106708</v>
      </c>
      <c r="AN188">
        <v>45954371</v>
      </c>
      <c r="AO188">
        <v>51061079</v>
      </c>
      <c r="AQ188">
        <v>18.0991</v>
      </c>
      <c r="AR188">
        <v>5.8452799999999998</v>
      </c>
      <c r="AS188">
        <v>2619.08</v>
      </c>
      <c r="AU188" t="s">
        <v>523</v>
      </c>
      <c r="AV188" t="str">
        <f t="shared" si="4"/>
        <v>10% updates, key range [0, 2*10^7)</v>
      </c>
      <c r="AW188" t="str">
        <f t="shared" si="5"/>
        <v>1600</v>
      </c>
    </row>
    <row r="189" spans="1:49">
      <c r="A189" t="s">
        <v>271</v>
      </c>
      <c r="B189" t="s">
        <v>74</v>
      </c>
      <c r="C189">
        <v>208</v>
      </c>
      <c r="D189" t="s">
        <v>73</v>
      </c>
      <c r="E189" t="s">
        <v>68</v>
      </c>
      <c r="F189" t="s">
        <v>69</v>
      </c>
      <c r="G189">
        <v>30000</v>
      </c>
      <c r="H189">
        <v>5</v>
      </c>
      <c r="I189">
        <v>5</v>
      </c>
      <c r="J189">
        <v>0</v>
      </c>
      <c r="K189">
        <v>1</v>
      </c>
      <c r="L189">
        <v>20000000</v>
      </c>
      <c r="M189">
        <v>96</v>
      </c>
      <c r="N189">
        <v>96</v>
      </c>
      <c r="O189">
        <v>96</v>
      </c>
      <c r="P189">
        <v>0</v>
      </c>
      <c r="Q189" t="s">
        <v>70</v>
      </c>
      <c r="R189">
        <v>99954295303810</v>
      </c>
      <c r="S189">
        <v>9998337</v>
      </c>
      <c r="V189" t="s">
        <v>83</v>
      </c>
      <c r="W189">
        <v>9</v>
      </c>
      <c r="X189">
        <v>293578</v>
      </c>
      <c r="Y189">
        <v>1947996</v>
      </c>
      <c r="Z189">
        <v>2241574</v>
      </c>
      <c r="AA189">
        <v>9998337</v>
      </c>
      <c r="AB189">
        <v>7.6353600000000004</v>
      </c>
      <c r="AC189">
        <v>5.1326299999999998</v>
      </c>
      <c r="AD189">
        <v>5.4604100000000004</v>
      </c>
      <c r="AE189">
        <v>8</v>
      </c>
      <c r="AF189">
        <v>2783626647</v>
      </c>
      <c r="AG189">
        <v>0</v>
      </c>
      <c r="AH189">
        <v>309268150</v>
      </c>
      <c r="AI189">
        <v>2783626647</v>
      </c>
      <c r="AJ189">
        <v>3092894797</v>
      </c>
      <c r="AK189">
        <v>92787554</v>
      </c>
      <c r="AL189">
        <v>0</v>
      </c>
      <c r="AM189">
        <v>10308938</v>
      </c>
      <c r="AN189">
        <v>92787554</v>
      </c>
      <c r="AO189">
        <v>103096493</v>
      </c>
      <c r="AQ189">
        <v>18.4832</v>
      </c>
      <c r="AR189">
        <v>6.1700200000000001</v>
      </c>
      <c r="AS189">
        <v>2585.44</v>
      </c>
      <c r="AU189" t="s">
        <v>524</v>
      </c>
      <c r="AV189" t="str">
        <f t="shared" si="4"/>
        <v>10% updates, key range [0, 2*10^7)</v>
      </c>
      <c r="AW189" t="str">
        <f t="shared" si="5"/>
        <v>1747</v>
      </c>
    </row>
    <row r="190" spans="1:49">
      <c r="A190" t="s">
        <v>272</v>
      </c>
      <c r="B190" t="s">
        <v>74</v>
      </c>
      <c r="C190">
        <v>208</v>
      </c>
      <c r="D190" t="s">
        <v>73</v>
      </c>
      <c r="E190" t="s">
        <v>68</v>
      </c>
      <c r="F190" t="s">
        <v>69</v>
      </c>
      <c r="G190">
        <v>30000</v>
      </c>
      <c r="H190">
        <v>5</v>
      </c>
      <c r="I190">
        <v>5</v>
      </c>
      <c r="J190">
        <v>0</v>
      </c>
      <c r="K190">
        <v>1</v>
      </c>
      <c r="L190">
        <v>20000000</v>
      </c>
      <c r="M190">
        <v>144</v>
      </c>
      <c r="N190">
        <v>144</v>
      </c>
      <c r="O190">
        <v>144</v>
      </c>
      <c r="P190">
        <v>0</v>
      </c>
      <c r="Q190" t="s">
        <v>70</v>
      </c>
      <c r="R190">
        <v>100018771371670</v>
      </c>
      <c r="S190">
        <v>10003936</v>
      </c>
      <c r="V190" t="s">
        <v>83</v>
      </c>
      <c r="W190">
        <v>9</v>
      </c>
      <c r="X190">
        <v>303623</v>
      </c>
      <c r="Y190">
        <v>1964253</v>
      </c>
      <c r="Z190">
        <v>2267876</v>
      </c>
      <c r="AA190">
        <v>10003936</v>
      </c>
      <c r="AB190">
        <v>7.4693800000000001</v>
      </c>
      <c r="AC190">
        <v>5.093</v>
      </c>
      <c r="AD190">
        <v>5.4111500000000001</v>
      </c>
      <c r="AE190">
        <v>8</v>
      </c>
      <c r="AF190">
        <v>4119054548</v>
      </c>
      <c r="AG190">
        <v>0</v>
      </c>
      <c r="AH190">
        <v>457665761</v>
      </c>
      <c r="AI190">
        <v>4119054548</v>
      </c>
      <c r="AJ190">
        <v>4576720309</v>
      </c>
      <c r="AK190">
        <v>137301818</v>
      </c>
      <c r="AL190">
        <v>0</v>
      </c>
      <c r="AM190">
        <v>15255525</v>
      </c>
      <c r="AN190">
        <v>137301818</v>
      </c>
      <c r="AO190">
        <v>152557343</v>
      </c>
      <c r="AQ190">
        <v>18.6462</v>
      </c>
      <c r="AR190">
        <v>6.4015000000000004</v>
      </c>
      <c r="AS190">
        <v>2616.36</v>
      </c>
      <c r="AU190" t="s">
        <v>525</v>
      </c>
      <c r="AV190" t="str">
        <f t="shared" si="4"/>
        <v>10% updates, key range [0, 2*10^7)</v>
      </c>
      <c r="AW190" t="str">
        <f t="shared" si="5"/>
        <v>1724</v>
      </c>
    </row>
    <row r="191" spans="1:49">
      <c r="A191" t="s">
        <v>273</v>
      </c>
      <c r="B191" t="s">
        <v>74</v>
      </c>
      <c r="C191">
        <v>208</v>
      </c>
      <c r="D191" t="s">
        <v>73</v>
      </c>
      <c r="E191" t="s">
        <v>68</v>
      </c>
      <c r="F191" t="s">
        <v>69</v>
      </c>
      <c r="G191">
        <v>30000</v>
      </c>
      <c r="H191">
        <v>5</v>
      </c>
      <c r="I191">
        <v>5</v>
      </c>
      <c r="J191">
        <v>0</v>
      </c>
      <c r="K191">
        <v>1</v>
      </c>
      <c r="L191">
        <v>20000000</v>
      </c>
      <c r="M191">
        <v>190</v>
      </c>
      <c r="N191">
        <v>190</v>
      </c>
      <c r="O191">
        <v>190</v>
      </c>
      <c r="P191">
        <v>0</v>
      </c>
      <c r="Q191" t="s">
        <v>70</v>
      </c>
      <c r="R191">
        <v>100004762563060</v>
      </c>
      <c r="S191">
        <v>9999650</v>
      </c>
      <c r="V191" t="s">
        <v>83</v>
      </c>
      <c r="W191">
        <v>9</v>
      </c>
      <c r="X191">
        <v>309603</v>
      </c>
      <c r="Y191">
        <v>1966193</v>
      </c>
      <c r="Z191">
        <v>2275796</v>
      </c>
      <c r="AA191">
        <v>9999650</v>
      </c>
      <c r="AB191">
        <v>7.3506900000000002</v>
      </c>
      <c r="AC191">
        <v>5.0857900000000003</v>
      </c>
      <c r="AD191">
        <v>5.39391</v>
      </c>
      <c r="AE191">
        <v>8</v>
      </c>
      <c r="AF191">
        <v>5382380807</v>
      </c>
      <c r="AG191">
        <v>0</v>
      </c>
      <c r="AH191">
        <v>598004671</v>
      </c>
      <c r="AI191">
        <v>5382380807</v>
      </c>
      <c r="AJ191">
        <v>5980385478</v>
      </c>
      <c r="AK191">
        <v>179412693</v>
      </c>
      <c r="AL191">
        <v>0</v>
      </c>
      <c r="AM191">
        <v>19933489</v>
      </c>
      <c r="AN191">
        <v>179412693</v>
      </c>
      <c r="AO191">
        <v>199346182</v>
      </c>
      <c r="AQ191">
        <v>18.894600000000001</v>
      </c>
      <c r="AR191">
        <v>6.59497</v>
      </c>
      <c r="AS191">
        <v>2641.66</v>
      </c>
      <c r="AU191" t="s">
        <v>526</v>
      </c>
      <c r="AV191" t="str">
        <f t="shared" si="4"/>
        <v>10% updates, key range [0, 2*10^7)</v>
      </c>
      <c r="AW191" t="str">
        <f t="shared" si="5"/>
        <v>1934</v>
      </c>
    </row>
    <row r="192" spans="1:49">
      <c r="A192" t="s">
        <v>274</v>
      </c>
      <c r="B192" t="s">
        <v>75</v>
      </c>
      <c r="D192" t="s">
        <v>73</v>
      </c>
      <c r="E192" t="s">
        <v>68</v>
      </c>
      <c r="F192" t="s">
        <v>69</v>
      </c>
      <c r="G192">
        <v>30000</v>
      </c>
      <c r="H192">
        <v>5</v>
      </c>
      <c r="I192">
        <v>5</v>
      </c>
      <c r="J192">
        <v>0</v>
      </c>
      <c r="K192">
        <v>1</v>
      </c>
      <c r="L192">
        <v>20000000</v>
      </c>
      <c r="M192">
        <v>24</v>
      </c>
      <c r="N192">
        <v>24</v>
      </c>
      <c r="O192">
        <v>24</v>
      </c>
      <c r="P192">
        <v>0</v>
      </c>
      <c r="Q192" t="s">
        <v>70</v>
      </c>
      <c r="R192">
        <v>99977374968268</v>
      </c>
      <c r="S192">
        <v>9997511</v>
      </c>
      <c r="V192" t="s">
        <v>83</v>
      </c>
      <c r="W192">
        <v>30</v>
      </c>
      <c r="X192">
        <v>6709717</v>
      </c>
      <c r="Y192">
        <v>5083149</v>
      </c>
      <c r="Z192">
        <v>11792866</v>
      </c>
      <c r="AA192">
        <v>9997511</v>
      </c>
      <c r="AB192">
        <v>1.7575799999999999</v>
      </c>
      <c r="AC192">
        <v>1.96679</v>
      </c>
      <c r="AD192">
        <v>1.8477600000000001</v>
      </c>
      <c r="AE192">
        <v>23.2517</v>
      </c>
      <c r="AF192">
        <v>362704217</v>
      </c>
      <c r="AG192">
        <v>0</v>
      </c>
      <c r="AH192">
        <v>40297386</v>
      </c>
      <c r="AI192">
        <v>362704217</v>
      </c>
      <c r="AJ192">
        <v>403001603</v>
      </c>
      <c r="AK192">
        <v>12090140</v>
      </c>
      <c r="AL192">
        <v>0</v>
      </c>
      <c r="AM192">
        <v>1343246</v>
      </c>
      <c r="AN192">
        <v>12090140</v>
      </c>
      <c r="AO192">
        <v>13433386</v>
      </c>
      <c r="AQ192">
        <v>28.528400000000001</v>
      </c>
      <c r="AR192">
        <v>9.7951899999999998</v>
      </c>
      <c r="AS192">
        <v>4977.16</v>
      </c>
      <c r="AU192" t="s">
        <v>527</v>
      </c>
      <c r="AV192" t="str">
        <f t="shared" si="4"/>
        <v>10% updates, key range [0, 2*10^7)</v>
      </c>
      <c r="AW192" t="str">
        <f t="shared" si="5"/>
        <v>1832</v>
      </c>
    </row>
    <row r="193" spans="1:49">
      <c r="A193" t="s">
        <v>275</v>
      </c>
      <c r="B193" t="s">
        <v>75</v>
      </c>
      <c r="D193" t="s">
        <v>73</v>
      </c>
      <c r="E193" t="s">
        <v>68</v>
      </c>
      <c r="F193" t="s">
        <v>69</v>
      </c>
      <c r="G193">
        <v>30000</v>
      </c>
      <c r="H193">
        <v>5</v>
      </c>
      <c r="I193">
        <v>5</v>
      </c>
      <c r="J193">
        <v>0</v>
      </c>
      <c r="K193">
        <v>1</v>
      </c>
      <c r="L193">
        <v>20000000</v>
      </c>
      <c r="M193">
        <v>48</v>
      </c>
      <c r="N193">
        <v>48</v>
      </c>
      <c r="O193">
        <v>48</v>
      </c>
      <c r="P193">
        <v>0</v>
      </c>
      <c r="Q193" t="s">
        <v>70</v>
      </c>
      <c r="R193">
        <v>99999062069472</v>
      </c>
      <c r="S193">
        <v>10000004</v>
      </c>
      <c r="V193" t="s">
        <v>83</v>
      </c>
      <c r="W193">
        <v>29</v>
      </c>
      <c r="X193">
        <v>6820155</v>
      </c>
      <c r="Y193">
        <v>5173884</v>
      </c>
      <c r="Z193">
        <v>11994039</v>
      </c>
      <c r="AA193">
        <v>10000004</v>
      </c>
      <c r="AB193">
        <v>1.7586200000000001</v>
      </c>
      <c r="AC193">
        <v>1.9327799999999999</v>
      </c>
      <c r="AD193">
        <v>1.83375</v>
      </c>
      <c r="AE193">
        <v>23.223299999999998</v>
      </c>
      <c r="AF193">
        <v>679194953</v>
      </c>
      <c r="AG193">
        <v>0</v>
      </c>
      <c r="AH193">
        <v>75472408</v>
      </c>
      <c r="AI193">
        <v>679194953</v>
      </c>
      <c r="AJ193">
        <v>754667361</v>
      </c>
      <c r="AK193">
        <v>22639831</v>
      </c>
      <c r="AL193">
        <v>0</v>
      </c>
      <c r="AM193">
        <v>2515746</v>
      </c>
      <c r="AN193">
        <v>22639831</v>
      </c>
      <c r="AO193">
        <v>25155578</v>
      </c>
      <c r="AQ193">
        <v>29.2591</v>
      </c>
      <c r="AR193">
        <v>9.8366399999999992</v>
      </c>
      <c r="AS193">
        <v>5316.31</v>
      </c>
      <c r="AU193" t="s">
        <v>377</v>
      </c>
      <c r="AV193" t="str">
        <f t="shared" si="4"/>
        <v>10% updates, key range [0, 2*10^7)</v>
      </c>
      <c r="AW193" t="str">
        <f t="shared" si="5"/>
        <v>1850</v>
      </c>
    </row>
    <row r="194" spans="1:49">
      <c r="A194" t="s">
        <v>276</v>
      </c>
      <c r="B194" t="s">
        <v>75</v>
      </c>
      <c r="D194" t="s">
        <v>73</v>
      </c>
      <c r="E194" t="s">
        <v>68</v>
      </c>
      <c r="F194" t="s">
        <v>69</v>
      </c>
      <c r="G194">
        <v>30000</v>
      </c>
      <c r="H194">
        <v>5</v>
      </c>
      <c r="I194">
        <v>5</v>
      </c>
      <c r="J194">
        <v>0</v>
      </c>
      <c r="K194">
        <v>1</v>
      </c>
      <c r="L194">
        <v>20000000</v>
      </c>
      <c r="M194">
        <v>96</v>
      </c>
      <c r="N194">
        <v>96</v>
      </c>
      <c r="O194">
        <v>96</v>
      </c>
      <c r="P194">
        <v>0</v>
      </c>
      <c r="Q194" t="s">
        <v>70</v>
      </c>
      <c r="R194">
        <v>100016504524734</v>
      </c>
      <c r="S194">
        <v>10001257</v>
      </c>
      <c r="V194" t="s">
        <v>83</v>
      </c>
      <c r="W194">
        <v>29</v>
      </c>
      <c r="X194">
        <v>6858041</v>
      </c>
      <c r="Y194">
        <v>5204602</v>
      </c>
      <c r="Z194">
        <v>12062643</v>
      </c>
      <c r="AA194">
        <v>10001257</v>
      </c>
      <c r="AB194">
        <v>1.75891</v>
      </c>
      <c r="AC194">
        <v>1.9216200000000001</v>
      </c>
      <c r="AD194">
        <v>1.82911</v>
      </c>
      <c r="AE194">
        <v>23.254899999999999</v>
      </c>
      <c r="AF194">
        <v>1446060372</v>
      </c>
      <c r="AG194">
        <v>0</v>
      </c>
      <c r="AH194">
        <v>160706843</v>
      </c>
      <c r="AI194">
        <v>1446060372</v>
      </c>
      <c r="AJ194">
        <v>1606767215</v>
      </c>
      <c r="AK194">
        <v>48202012</v>
      </c>
      <c r="AL194">
        <v>0</v>
      </c>
      <c r="AM194">
        <v>5356894</v>
      </c>
      <c r="AN194">
        <v>48202012</v>
      </c>
      <c r="AO194">
        <v>53558907</v>
      </c>
      <c r="AQ194">
        <v>29.6995</v>
      </c>
      <c r="AR194">
        <v>10.688800000000001</v>
      </c>
      <c r="AS194">
        <v>4991.28</v>
      </c>
      <c r="AU194" t="s">
        <v>528</v>
      </c>
      <c r="AV194" t="str">
        <f t="shared" si="4"/>
        <v>10% updates, key range [0, 2*10^7)</v>
      </c>
      <c r="AW194" t="str">
        <f t="shared" si="5"/>
        <v>1881</v>
      </c>
    </row>
    <row r="195" spans="1:49">
      <c r="A195" t="s">
        <v>277</v>
      </c>
      <c r="B195" t="s">
        <v>75</v>
      </c>
      <c r="D195" t="s">
        <v>73</v>
      </c>
      <c r="E195" t="s">
        <v>68</v>
      </c>
      <c r="F195" t="s">
        <v>69</v>
      </c>
      <c r="G195">
        <v>30000</v>
      </c>
      <c r="H195">
        <v>5</v>
      </c>
      <c r="I195">
        <v>5</v>
      </c>
      <c r="J195">
        <v>0</v>
      </c>
      <c r="K195">
        <v>1</v>
      </c>
      <c r="L195">
        <v>20000000</v>
      </c>
      <c r="M195">
        <v>144</v>
      </c>
      <c r="N195">
        <v>144</v>
      </c>
      <c r="O195">
        <v>144</v>
      </c>
      <c r="P195">
        <v>0</v>
      </c>
      <c r="Q195" t="s">
        <v>70</v>
      </c>
      <c r="R195">
        <v>100009434395022</v>
      </c>
      <c r="S195">
        <v>9999206</v>
      </c>
      <c r="V195" t="s">
        <v>83</v>
      </c>
      <c r="W195">
        <v>29</v>
      </c>
      <c r="X195">
        <v>6857777</v>
      </c>
      <c r="Y195">
        <v>5206650</v>
      </c>
      <c r="Z195">
        <v>12064427</v>
      </c>
      <c r="AA195">
        <v>9999206</v>
      </c>
      <c r="AB195">
        <v>1.7592300000000001</v>
      </c>
      <c r="AC195">
        <v>1.9204699999999999</v>
      </c>
      <c r="AD195">
        <v>1.8288199999999999</v>
      </c>
      <c r="AE195">
        <v>23.2484</v>
      </c>
      <c r="AF195">
        <v>2169633295</v>
      </c>
      <c r="AG195">
        <v>0</v>
      </c>
      <c r="AH195">
        <v>241064664</v>
      </c>
      <c r="AI195">
        <v>2169633295</v>
      </c>
      <c r="AJ195">
        <v>2410697959</v>
      </c>
      <c r="AK195">
        <v>72321109</v>
      </c>
      <c r="AL195">
        <v>0</v>
      </c>
      <c r="AM195">
        <v>8035488</v>
      </c>
      <c r="AN195">
        <v>72321109</v>
      </c>
      <c r="AO195">
        <v>80356598</v>
      </c>
      <c r="AQ195">
        <v>30.017900000000001</v>
      </c>
      <c r="AR195">
        <v>10.951700000000001</v>
      </c>
      <c r="AS195">
        <v>4979.5</v>
      </c>
      <c r="AU195" t="s">
        <v>529</v>
      </c>
      <c r="AV195" t="str">
        <f t="shared" ref="AV195:AV258" si="6">(H195+I195)&amp;"% updates, key range [0, 2*10^"&amp;LOG10(L195/2)&amp;")"</f>
        <v>10% updates, key range [0, 2*10^7)</v>
      </c>
      <c r="AW195" t="str">
        <f t="shared" ref="AW195:AW258" si="7">MID(AU195,2,FIND("m",AU195)-2)</f>
        <v>1906</v>
      </c>
    </row>
    <row r="196" spans="1:49">
      <c r="A196" t="s">
        <v>278</v>
      </c>
      <c r="B196" t="s">
        <v>75</v>
      </c>
      <c r="D196" t="s">
        <v>73</v>
      </c>
      <c r="E196" t="s">
        <v>68</v>
      </c>
      <c r="F196" t="s">
        <v>69</v>
      </c>
      <c r="G196">
        <v>30000</v>
      </c>
      <c r="H196">
        <v>5</v>
      </c>
      <c r="I196">
        <v>5</v>
      </c>
      <c r="J196">
        <v>0</v>
      </c>
      <c r="K196">
        <v>1</v>
      </c>
      <c r="L196">
        <v>20000000</v>
      </c>
      <c r="M196">
        <v>190</v>
      </c>
      <c r="N196">
        <v>190</v>
      </c>
      <c r="O196">
        <v>190</v>
      </c>
      <c r="P196">
        <v>0</v>
      </c>
      <c r="Q196" t="s">
        <v>70</v>
      </c>
      <c r="R196">
        <v>100018376067622</v>
      </c>
      <c r="S196">
        <v>10002077</v>
      </c>
      <c r="V196" t="s">
        <v>83</v>
      </c>
      <c r="W196">
        <v>29</v>
      </c>
      <c r="X196">
        <v>6860040</v>
      </c>
      <c r="Y196">
        <v>5203367</v>
      </c>
      <c r="Z196">
        <v>12063407</v>
      </c>
      <c r="AA196">
        <v>10002077</v>
      </c>
      <c r="AB196">
        <v>1.7585</v>
      </c>
      <c r="AC196">
        <v>1.9222300000000001</v>
      </c>
      <c r="AD196">
        <v>1.8291299999999999</v>
      </c>
      <c r="AE196">
        <v>23.327300000000001</v>
      </c>
      <c r="AF196">
        <v>2870193439</v>
      </c>
      <c r="AG196">
        <v>0</v>
      </c>
      <c r="AH196">
        <v>318941463</v>
      </c>
      <c r="AI196">
        <v>2870193439</v>
      </c>
      <c r="AJ196">
        <v>3189134902</v>
      </c>
      <c r="AK196">
        <v>95673114</v>
      </c>
      <c r="AL196">
        <v>0</v>
      </c>
      <c r="AM196">
        <v>10631382</v>
      </c>
      <c r="AN196">
        <v>95673114</v>
      </c>
      <c r="AO196">
        <v>106304496</v>
      </c>
      <c r="AQ196">
        <v>30.046299999999999</v>
      </c>
      <c r="AR196">
        <v>11.118499999999999</v>
      </c>
      <c r="AS196">
        <v>4969.58</v>
      </c>
      <c r="AU196" t="s">
        <v>530</v>
      </c>
      <c r="AV196" t="str">
        <f t="shared" si="6"/>
        <v>10% updates, key range [0, 2*10^7)</v>
      </c>
      <c r="AW196" t="str">
        <f t="shared" si="7"/>
        <v>1930</v>
      </c>
    </row>
    <row r="197" spans="1:49">
      <c r="A197" t="s">
        <v>279</v>
      </c>
      <c r="B197" t="s">
        <v>76</v>
      </c>
      <c r="D197" t="s">
        <v>73</v>
      </c>
      <c r="E197" t="s">
        <v>68</v>
      </c>
      <c r="F197" t="s">
        <v>69</v>
      </c>
      <c r="G197">
        <v>30000</v>
      </c>
      <c r="H197">
        <v>5</v>
      </c>
      <c r="I197">
        <v>5</v>
      </c>
      <c r="J197">
        <v>0</v>
      </c>
      <c r="K197">
        <v>1</v>
      </c>
      <c r="L197">
        <v>20000000</v>
      </c>
      <c r="M197">
        <v>24</v>
      </c>
      <c r="N197">
        <v>24</v>
      </c>
      <c r="O197">
        <v>24</v>
      </c>
      <c r="P197">
        <v>0</v>
      </c>
      <c r="Q197" t="s">
        <v>70</v>
      </c>
      <c r="R197">
        <v>99990721480699</v>
      </c>
      <c r="S197">
        <v>9998790</v>
      </c>
      <c r="V197" t="s">
        <v>83</v>
      </c>
      <c r="W197">
        <v>63</v>
      </c>
      <c r="X197">
        <v>9998789</v>
      </c>
      <c r="Y197">
        <v>9998790</v>
      </c>
      <c r="Z197">
        <v>19997579</v>
      </c>
      <c r="AA197">
        <v>9998790</v>
      </c>
      <c r="AB197">
        <v>2</v>
      </c>
      <c r="AC197">
        <v>1</v>
      </c>
      <c r="AD197">
        <v>1.5</v>
      </c>
      <c r="AE197">
        <v>30.999500000000001</v>
      </c>
      <c r="AF197">
        <v>296401540</v>
      </c>
      <c r="AG197">
        <v>0</v>
      </c>
      <c r="AH197">
        <v>32930904</v>
      </c>
      <c r="AI197">
        <v>296401540</v>
      </c>
      <c r="AJ197">
        <v>329332444</v>
      </c>
      <c r="AK197">
        <v>9880051</v>
      </c>
      <c r="AL197">
        <v>0</v>
      </c>
      <c r="AM197">
        <v>1097696</v>
      </c>
      <c r="AN197">
        <v>9880051</v>
      </c>
      <c r="AO197">
        <v>10977748</v>
      </c>
      <c r="AQ197">
        <v>24.999199999999998</v>
      </c>
      <c r="AR197">
        <v>9.14161</v>
      </c>
      <c r="AS197">
        <v>6098.22</v>
      </c>
      <c r="AU197" t="s">
        <v>531</v>
      </c>
      <c r="AV197" t="str">
        <f t="shared" si="6"/>
        <v>10% updates, key range [0, 2*10^7)</v>
      </c>
      <c r="AW197" t="str">
        <f t="shared" si="7"/>
        <v>1723</v>
      </c>
    </row>
    <row r="198" spans="1:49">
      <c r="A198" t="s">
        <v>280</v>
      </c>
      <c r="B198" t="s">
        <v>76</v>
      </c>
      <c r="D198" t="s">
        <v>73</v>
      </c>
      <c r="E198" t="s">
        <v>68</v>
      </c>
      <c r="F198" t="s">
        <v>69</v>
      </c>
      <c r="G198">
        <v>30000</v>
      </c>
      <c r="H198">
        <v>5</v>
      </c>
      <c r="I198">
        <v>5</v>
      </c>
      <c r="J198">
        <v>0</v>
      </c>
      <c r="K198">
        <v>1</v>
      </c>
      <c r="L198">
        <v>20000000</v>
      </c>
      <c r="M198">
        <v>48</v>
      </c>
      <c r="N198">
        <v>48</v>
      </c>
      <c r="O198">
        <v>48</v>
      </c>
      <c r="P198">
        <v>0</v>
      </c>
      <c r="Q198" t="s">
        <v>70</v>
      </c>
      <c r="R198">
        <v>100011335371112</v>
      </c>
      <c r="S198">
        <v>10002121</v>
      </c>
      <c r="V198" t="s">
        <v>83</v>
      </c>
      <c r="W198">
        <v>60</v>
      </c>
      <c r="X198">
        <v>10002120</v>
      </c>
      <c r="Y198">
        <v>10002121</v>
      </c>
      <c r="Z198">
        <v>20004241</v>
      </c>
      <c r="AA198">
        <v>10002121</v>
      </c>
      <c r="AB198">
        <v>2</v>
      </c>
      <c r="AC198">
        <v>1</v>
      </c>
      <c r="AD198">
        <v>1.5</v>
      </c>
      <c r="AE198">
        <v>30.3703</v>
      </c>
      <c r="AF198">
        <v>570019291</v>
      </c>
      <c r="AG198">
        <v>0</v>
      </c>
      <c r="AH198">
        <v>63331138</v>
      </c>
      <c r="AI198">
        <v>570019291</v>
      </c>
      <c r="AJ198">
        <v>633350429</v>
      </c>
      <c r="AK198">
        <v>19000643</v>
      </c>
      <c r="AL198">
        <v>0</v>
      </c>
      <c r="AM198">
        <v>2111037</v>
      </c>
      <c r="AN198">
        <v>19000643</v>
      </c>
      <c r="AO198">
        <v>21111680</v>
      </c>
      <c r="AQ198">
        <v>25.035399999999999</v>
      </c>
      <c r="AR198">
        <v>9.1339299999999994</v>
      </c>
      <c r="AS198">
        <v>6336.67</v>
      </c>
      <c r="AU198" t="s">
        <v>462</v>
      </c>
      <c r="AV198" t="str">
        <f t="shared" si="6"/>
        <v>10% updates, key range [0, 2*10^7)</v>
      </c>
      <c r="AW198" t="str">
        <f t="shared" si="7"/>
        <v>1736</v>
      </c>
    </row>
    <row r="199" spans="1:49">
      <c r="A199" t="s">
        <v>281</v>
      </c>
      <c r="B199" t="s">
        <v>76</v>
      </c>
      <c r="D199" t="s">
        <v>73</v>
      </c>
      <c r="E199" t="s">
        <v>68</v>
      </c>
      <c r="F199" t="s">
        <v>69</v>
      </c>
      <c r="G199">
        <v>30000</v>
      </c>
      <c r="H199">
        <v>5</v>
      </c>
      <c r="I199">
        <v>5</v>
      </c>
      <c r="J199">
        <v>0</v>
      </c>
      <c r="K199">
        <v>1</v>
      </c>
      <c r="L199">
        <v>20000000</v>
      </c>
      <c r="M199">
        <v>96</v>
      </c>
      <c r="N199">
        <v>96</v>
      </c>
      <c r="O199">
        <v>96</v>
      </c>
      <c r="P199">
        <v>0</v>
      </c>
      <c r="Q199" t="s">
        <v>70</v>
      </c>
      <c r="R199">
        <v>100001043736662</v>
      </c>
      <c r="S199">
        <v>9999908</v>
      </c>
      <c r="V199" t="s">
        <v>83</v>
      </c>
      <c r="W199">
        <v>61</v>
      </c>
      <c r="X199">
        <v>9999907</v>
      </c>
      <c r="Y199">
        <v>9999908</v>
      </c>
      <c r="Z199">
        <v>19999815</v>
      </c>
      <c r="AA199">
        <v>9999908</v>
      </c>
      <c r="AB199">
        <v>2</v>
      </c>
      <c r="AC199">
        <v>1</v>
      </c>
      <c r="AD199">
        <v>1.5</v>
      </c>
      <c r="AE199">
        <v>30.901299999999999</v>
      </c>
      <c r="AF199">
        <v>1248064409</v>
      </c>
      <c r="AG199">
        <v>0</v>
      </c>
      <c r="AH199">
        <v>138668597</v>
      </c>
      <c r="AI199">
        <v>1248064409</v>
      </c>
      <c r="AJ199">
        <v>1386733006</v>
      </c>
      <c r="AK199">
        <v>41602146</v>
      </c>
      <c r="AL199">
        <v>0</v>
      </c>
      <c r="AM199">
        <v>4622286</v>
      </c>
      <c r="AN199">
        <v>41602146</v>
      </c>
      <c r="AO199">
        <v>46224433</v>
      </c>
      <c r="AQ199">
        <v>25.634799999999998</v>
      </c>
      <c r="AR199">
        <v>10.0654</v>
      </c>
      <c r="AS199">
        <v>5783.91</v>
      </c>
      <c r="AU199" t="s">
        <v>532</v>
      </c>
      <c r="AV199" t="str">
        <f t="shared" si="6"/>
        <v>10% updates, key range [0, 2*10^7)</v>
      </c>
      <c r="AW199" t="str">
        <f t="shared" si="7"/>
        <v>1773</v>
      </c>
    </row>
    <row r="200" spans="1:49">
      <c r="A200" t="s">
        <v>282</v>
      </c>
      <c r="B200" t="s">
        <v>76</v>
      </c>
      <c r="D200" t="s">
        <v>73</v>
      </c>
      <c r="E200" t="s">
        <v>68</v>
      </c>
      <c r="F200" t="s">
        <v>69</v>
      </c>
      <c r="G200">
        <v>30000</v>
      </c>
      <c r="H200">
        <v>5</v>
      </c>
      <c r="I200">
        <v>5</v>
      </c>
      <c r="J200">
        <v>0</v>
      </c>
      <c r="K200">
        <v>1</v>
      </c>
      <c r="L200">
        <v>20000000</v>
      </c>
      <c r="M200">
        <v>144</v>
      </c>
      <c r="N200">
        <v>144</v>
      </c>
      <c r="O200">
        <v>144</v>
      </c>
      <c r="P200">
        <v>0</v>
      </c>
      <c r="Q200" t="s">
        <v>70</v>
      </c>
      <c r="R200">
        <v>100016167021897</v>
      </c>
      <c r="S200">
        <v>9999953</v>
      </c>
      <c r="V200" t="s">
        <v>83</v>
      </c>
      <c r="W200">
        <v>62</v>
      </c>
      <c r="X200">
        <v>9999952</v>
      </c>
      <c r="Y200">
        <v>9999953</v>
      </c>
      <c r="Z200">
        <v>19999905</v>
      </c>
      <c r="AA200">
        <v>9999953</v>
      </c>
      <c r="AB200">
        <v>2</v>
      </c>
      <c r="AC200">
        <v>1</v>
      </c>
      <c r="AD200">
        <v>1.5</v>
      </c>
      <c r="AE200">
        <v>31.1721</v>
      </c>
      <c r="AF200">
        <v>1909939939</v>
      </c>
      <c r="AG200">
        <v>0</v>
      </c>
      <c r="AH200">
        <v>212211268</v>
      </c>
      <c r="AI200">
        <v>1909939939</v>
      </c>
      <c r="AJ200">
        <v>2122151207</v>
      </c>
      <c r="AK200">
        <v>63664664</v>
      </c>
      <c r="AL200">
        <v>0</v>
      </c>
      <c r="AM200">
        <v>7073708</v>
      </c>
      <c r="AN200">
        <v>63664664</v>
      </c>
      <c r="AO200">
        <v>70738373</v>
      </c>
      <c r="AQ200">
        <v>25.727499999999999</v>
      </c>
      <c r="AR200">
        <v>10.2759</v>
      </c>
      <c r="AS200">
        <v>5669.35</v>
      </c>
      <c r="AU200" t="s">
        <v>376</v>
      </c>
      <c r="AV200" t="str">
        <f t="shared" si="6"/>
        <v>10% updates, key range [0, 2*10^7)</v>
      </c>
      <c r="AW200" t="str">
        <f t="shared" si="7"/>
        <v>1813</v>
      </c>
    </row>
    <row r="201" spans="1:49">
      <c r="A201" t="s">
        <v>283</v>
      </c>
      <c r="B201" t="s">
        <v>76</v>
      </c>
      <c r="D201" t="s">
        <v>73</v>
      </c>
      <c r="E201" t="s">
        <v>68</v>
      </c>
      <c r="F201" t="s">
        <v>69</v>
      </c>
      <c r="G201">
        <v>30000</v>
      </c>
      <c r="H201">
        <v>5</v>
      </c>
      <c r="I201">
        <v>5</v>
      </c>
      <c r="J201">
        <v>0</v>
      </c>
      <c r="K201">
        <v>1</v>
      </c>
      <c r="L201">
        <v>20000000</v>
      </c>
      <c r="M201">
        <v>190</v>
      </c>
      <c r="N201">
        <v>190</v>
      </c>
      <c r="O201">
        <v>190</v>
      </c>
      <c r="P201">
        <v>0</v>
      </c>
      <c r="Q201" t="s">
        <v>70</v>
      </c>
      <c r="R201">
        <v>99991323350372</v>
      </c>
      <c r="S201">
        <v>9997926</v>
      </c>
      <c r="V201" t="s">
        <v>83</v>
      </c>
      <c r="W201">
        <v>57</v>
      </c>
      <c r="X201">
        <v>9997925</v>
      </c>
      <c r="Y201">
        <v>9997926</v>
      </c>
      <c r="Z201">
        <v>19995851</v>
      </c>
      <c r="AA201">
        <v>9997926</v>
      </c>
      <c r="AB201">
        <v>2</v>
      </c>
      <c r="AC201">
        <v>1</v>
      </c>
      <c r="AD201">
        <v>1.5</v>
      </c>
      <c r="AE201">
        <v>30.765000000000001</v>
      </c>
      <c r="AF201">
        <v>2543828639</v>
      </c>
      <c r="AG201">
        <v>0</v>
      </c>
      <c r="AH201">
        <v>282636848</v>
      </c>
      <c r="AI201">
        <v>2543828639</v>
      </c>
      <c r="AJ201">
        <v>2826465487</v>
      </c>
      <c r="AK201">
        <v>84794287</v>
      </c>
      <c r="AL201">
        <v>0</v>
      </c>
      <c r="AM201">
        <v>9421228</v>
      </c>
      <c r="AN201">
        <v>84794287</v>
      </c>
      <c r="AO201">
        <v>94215516</v>
      </c>
      <c r="AQ201">
        <v>25.884399999999999</v>
      </c>
      <c r="AR201">
        <v>10.3934</v>
      </c>
      <c r="AS201">
        <v>5613.76</v>
      </c>
      <c r="AU201" t="s">
        <v>533</v>
      </c>
      <c r="AV201" t="str">
        <f t="shared" si="6"/>
        <v>10% updates, key range [0, 2*10^7)</v>
      </c>
      <c r="AW201" t="str">
        <f t="shared" si="7"/>
        <v>1868</v>
      </c>
    </row>
    <row r="202" spans="1:49">
      <c r="A202" t="s">
        <v>284</v>
      </c>
      <c r="B202" t="s">
        <v>72</v>
      </c>
      <c r="C202">
        <v>72</v>
      </c>
      <c r="D202" t="s">
        <v>73</v>
      </c>
      <c r="E202" t="s">
        <v>68</v>
      </c>
      <c r="F202" t="s">
        <v>69</v>
      </c>
      <c r="G202">
        <v>30000</v>
      </c>
      <c r="H202">
        <v>5</v>
      </c>
      <c r="I202">
        <v>5</v>
      </c>
      <c r="J202">
        <v>0</v>
      </c>
      <c r="K202">
        <v>1</v>
      </c>
      <c r="L202">
        <v>200000000</v>
      </c>
      <c r="M202">
        <v>24</v>
      </c>
      <c r="N202">
        <v>24</v>
      </c>
      <c r="O202">
        <v>24</v>
      </c>
      <c r="P202">
        <v>0</v>
      </c>
      <c r="Q202" t="s">
        <v>70</v>
      </c>
      <c r="R202">
        <v>1.00002178706426E+16</v>
      </c>
      <c r="S202">
        <v>100004873</v>
      </c>
      <c r="V202" t="s">
        <v>83</v>
      </c>
      <c r="W202">
        <v>7</v>
      </c>
      <c r="X202">
        <v>14580366</v>
      </c>
      <c r="Y202">
        <v>117414266</v>
      </c>
      <c r="Z202">
        <v>131994632</v>
      </c>
      <c r="AA202">
        <v>100004873</v>
      </c>
      <c r="AB202">
        <v>9.0528999999999993</v>
      </c>
      <c r="AC202">
        <v>0.85172700000000001</v>
      </c>
      <c r="AD202">
        <v>1.7576400000000001</v>
      </c>
      <c r="AE202">
        <v>4.0743</v>
      </c>
      <c r="AF202">
        <v>652161318</v>
      </c>
      <c r="AG202">
        <v>0</v>
      </c>
      <c r="AH202">
        <v>72459637</v>
      </c>
      <c r="AI202">
        <v>652161318</v>
      </c>
      <c r="AJ202">
        <v>724620955</v>
      </c>
      <c r="AK202">
        <v>21738710</v>
      </c>
      <c r="AL202">
        <v>0</v>
      </c>
      <c r="AM202">
        <v>2415321</v>
      </c>
      <c r="AN202">
        <v>21738710</v>
      </c>
      <c r="AO202">
        <v>24154031</v>
      </c>
      <c r="AQ202">
        <v>20.7346</v>
      </c>
      <c r="AR202">
        <v>9.2804800000000007</v>
      </c>
      <c r="AS202">
        <v>2736.55</v>
      </c>
      <c r="AU202" t="s">
        <v>534</v>
      </c>
      <c r="AV202" t="str">
        <f t="shared" si="6"/>
        <v>10% updates, key range [0, 2*10^8)</v>
      </c>
      <c r="AW202" t="str">
        <f t="shared" si="7"/>
        <v>9437</v>
      </c>
    </row>
    <row r="203" spans="1:49">
      <c r="A203" t="s">
        <v>285</v>
      </c>
      <c r="B203" t="s">
        <v>72</v>
      </c>
      <c r="C203">
        <v>72</v>
      </c>
      <c r="D203" t="s">
        <v>73</v>
      </c>
      <c r="E203" t="s">
        <v>68</v>
      </c>
      <c r="F203" t="s">
        <v>69</v>
      </c>
      <c r="G203">
        <v>30000</v>
      </c>
      <c r="H203">
        <v>5</v>
      </c>
      <c r="I203">
        <v>5</v>
      </c>
      <c r="J203">
        <v>0</v>
      </c>
      <c r="K203">
        <v>1</v>
      </c>
      <c r="L203">
        <v>200000000</v>
      </c>
      <c r="M203">
        <v>48</v>
      </c>
      <c r="N203">
        <v>48</v>
      </c>
      <c r="O203">
        <v>48</v>
      </c>
      <c r="P203">
        <v>0</v>
      </c>
      <c r="Q203" t="s">
        <v>70</v>
      </c>
      <c r="R203">
        <v>1.00007418048458E+16</v>
      </c>
      <c r="S203">
        <v>100008306</v>
      </c>
      <c r="V203" t="s">
        <v>83</v>
      </c>
      <c r="W203">
        <v>7</v>
      </c>
      <c r="X203">
        <v>14485459</v>
      </c>
      <c r="Y203">
        <v>117202324</v>
      </c>
      <c r="Z203">
        <v>131687783</v>
      </c>
      <c r="AA203">
        <v>100008306</v>
      </c>
      <c r="AB203">
        <v>9.0910299999999999</v>
      </c>
      <c r="AC203">
        <v>0.85329600000000005</v>
      </c>
      <c r="AD203">
        <v>1.75943</v>
      </c>
      <c r="AE203">
        <v>4.0722399999999999</v>
      </c>
      <c r="AF203">
        <v>1090442577</v>
      </c>
      <c r="AG203">
        <v>0</v>
      </c>
      <c r="AH203">
        <v>121152847</v>
      </c>
      <c r="AI203">
        <v>1090442577</v>
      </c>
      <c r="AJ203">
        <v>1211595424</v>
      </c>
      <c r="AK203">
        <v>36348085</v>
      </c>
      <c r="AL203">
        <v>0</v>
      </c>
      <c r="AM203">
        <v>4038428</v>
      </c>
      <c r="AN203">
        <v>36348085</v>
      </c>
      <c r="AO203">
        <v>40386514</v>
      </c>
      <c r="AQ203">
        <v>21.368200000000002</v>
      </c>
      <c r="AR203">
        <v>9.7080900000000003</v>
      </c>
      <c r="AS203">
        <v>3266.99</v>
      </c>
      <c r="AU203" t="s">
        <v>535</v>
      </c>
      <c r="AV203" t="str">
        <f t="shared" si="6"/>
        <v>10% updates, key range [0, 2*10^8)</v>
      </c>
      <c r="AW203" t="str">
        <f t="shared" si="7"/>
        <v>13502</v>
      </c>
    </row>
    <row r="204" spans="1:49">
      <c r="A204" t="s">
        <v>286</v>
      </c>
      <c r="B204" t="s">
        <v>72</v>
      </c>
      <c r="C204">
        <v>72</v>
      </c>
      <c r="D204" t="s">
        <v>73</v>
      </c>
      <c r="E204" t="s">
        <v>68</v>
      </c>
      <c r="F204" t="s">
        <v>69</v>
      </c>
      <c r="G204">
        <v>30000</v>
      </c>
      <c r="H204">
        <v>5</v>
      </c>
      <c r="I204">
        <v>5</v>
      </c>
      <c r="J204">
        <v>0</v>
      </c>
      <c r="K204">
        <v>1</v>
      </c>
      <c r="L204">
        <v>200000000</v>
      </c>
      <c r="M204">
        <v>96</v>
      </c>
      <c r="N204">
        <v>96</v>
      </c>
      <c r="O204">
        <v>96</v>
      </c>
      <c r="P204">
        <v>0</v>
      </c>
      <c r="Q204" t="s">
        <v>70</v>
      </c>
      <c r="R204">
        <v>9999131738872600</v>
      </c>
      <c r="S204">
        <v>99997884</v>
      </c>
      <c r="V204" t="s">
        <v>83</v>
      </c>
      <c r="W204">
        <v>7</v>
      </c>
      <c r="X204">
        <v>14923620</v>
      </c>
      <c r="Y204">
        <v>118204128</v>
      </c>
      <c r="Z204">
        <v>133127748</v>
      </c>
      <c r="AA204">
        <v>99997884</v>
      </c>
      <c r="AB204">
        <v>8.9206099999999999</v>
      </c>
      <c r="AC204">
        <v>0.84597599999999995</v>
      </c>
      <c r="AD204">
        <v>1.7511399999999999</v>
      </c>
      <c r="AE204">
        <v>4.0817399999999999</v>
      </c>
      <c r="AF204">
        <v>2069034872</v>
      </c>
      <c r="AG204">
        <v>0</v>
      </c>
      <c r="AH204">
        <v>229885430</v>
      </c>
      <c r="AI204">
        <v>2069034872</v>
      </c>
      <c r="AJ204">
        <v>2298920302</v>
      </c>
      <c r="AK204">
        <v>68967829</v>
      </c>
      <c r="AL204">
        <v>0</v>
      </c>
      <c r="AM204">
        <v>7662847</v>
      </c>
      <c r="AN204">
        <v>68967829</v>
      </c>
      <c r="AO204">
        <v>76630676</v>
      </c>
      <c r="AQ204">
        <v>21.820499999999999</v>
      </c>
      <c r="AR204">
        <v>10.6065</v>
      </c>
      <c r="AS204">
        <v>3350</v>
      </c>
      <c r="AU204" t="s">
        <v>536</v>
      </c>
      <c r="AV204" t="str">
        <f t="shared" si="6"/>
        <v>10% updates, key range [0, 2*10^8)</v>
      </c>
      <c r="AW204" t="str">
        <f t="shared" si="7"/>
        <v>13151</v>
      </c>
    </row>
    <row r="205" spans="1:49">
      <c r="A205" t="s">
        <v>287</v>
      </c>
      <c r="B205" t="s">
        <v>72</v>
      </c>
      <c r="C205">
        <v>72</v>
      </c>
      <c r="D205" t="s">
        <v>73</v>
      </c>
      <c r="E205" t="s">
        <v>68</v>
      </c>
      <c r="F205" t="s">
        <v>69</v>
      </c>
      <c r="G205">
        <v>30000</v>
      </c>
      <c r="H205">
        <v>5</v>
      </c>
      <c r="I205">
        <v>5</v>
      </c>
      <c r="J205">
        <v>0</v>
      </c>
      <c r="K205">
        <v>1</v>
      </c>
      <c r="L205">
        <v>200000000</v>
      </c>
      <c r="M205">
        <v>144</v>
      </c>
      <c r="N205">
        <v>144</v>
      </c>
      <c r="O205">
        <v>144</v>
      </c>
      <c r="P205">
        <v>0</v>
      </c>
      <c r="Q205" t="s">
        <v>70</v>
      </c>
      <c r="R205">
        <v>1.00004824945737E+16</v>
      </c>
      <c r="S205">
        <v>100001606</v>
      </c>
      <c r="V205" t="s">
        <v>83</v>
      </c>
      <c r="W205">
        <v>7</v>
      </c>
      <c r="X205">
        <v>14918848</v>
      </c>
      <c r="Y205">
        <v>118195670</v>
      </c>
      <c r="Z205">
        <v>133114518</v>
      </c>
      <c r="AA205">
        <v>100001606</v>
      </c>
      <c r="AB205">
        <v>8.9225700000000003</v>
      </c>
      <c r="AC205">
        <v>0.84606800000000004</v>
      </c>
      <c r="AD205">
        <v>1.7512399999999999</v>
      </c>
      <c r="AE205">
        <v>4.08162</v>
      </c>
      <c r="AF205">
        <v>2967767683</v>
      </c>
      <c r="AG205">
        <v>0</v>
      </c>
      <c r="AH205">
        <v>329726600</v>
      </c>
      <c r="AI205">
        <v>2967767683</v>
      </c>
      <c r="AJ205">
        <v>3297494283</v>
      </c>
      <c r="AK205">
        <v>98925589</v>
      </c>
      <c r="AL205">
        <v>0</v>
      </c>
      <c r="AM205">
        <v>10990886</v>
      </c>
      <c r="AN205">
        <v>98925589</v>
      </c>
      <c r="AO205">
        <v>109916476</v>
      </c>
      <c r="AQ205">
        <v>22.025600000000001</v>
      </c>
      <c r="AR205">
        <v>10.9903</v>
      </c>
      <c r="AS205">
        <v>3431.96</v>
      </c>
      <c r="AU205" t="s">
        <v>537</v>
      </c>
      <c r="AV205" t="str">
        <f t="shared" si="6"/>
        <v>10% updates, key range [0, 2*10^8)</v>
      </c>
      <c r="AW205" t="str">
        <f t="shared" si="7"/>
        <v>14043</v>
      </c>
    </row>
    <row r="206" spans="1:49">
      <c r="A206" t="s">
        <v>288</v>
      </c>
      <c r="B206" t="s">
        <v>72</v>
      </c>
      <c r="C206">
        <v>72</v>
      </c>
      <c r="D206" t="s">
        <v>73</v>
      </c>
      <c r="E206" t="s">
        <v>68</v>
      </c>
      <c r="F206" t="s">
        <v>69</v>
      </c>
      <c r="G206">
        <v>30000</v>
      </c>
      <c r="H206">
        <v>5</v>
      </c>
      <c r="I206">
        <v>5</v>
      </c>
      <c r="J206">
        <v>0</v>
      </c>
      <c r="K206">
        <v>1</v>
      </c>
      <c r="L206">
        <v>200000000</v>
      </c>
      <c r="M206">
        <v>190</v>
      </c>
      <c r="N206">
        <v>190</v>
      </c>
      <c r="O206">
        <v>190</v>
      </c>
      <c r="P206">
        <v>0</v>
      </c>
      <c r="Q206" t="s">
        <v>70</v>
      </c>
      <c r="R206">
        <v>1.00001711300331E+16</v>
      </c>
      <c r="S206">
        <v>99997714</v>
      </c>
      <c r="V206" t="s">
        <v>83</v>
      </c>
      <c r="W206">
        <v>7</v>
      </c>
      <c r="X206">
        <v>14012034</v>
      </c>
      <c r="Y206">
        <v>116166155</v>
      </c>
      <c r="Z206">
        <v>130178189</v>
      </c>
      <c r="AA206">
        <v>99997714</v>
      </c>
      <c r="AB206">
        <v>9.2904599999999995</v>
      </c>
      <c r="AC206">
        <v>0.86081600000000003</v>
      </c>
      <c r="AD206">
        <v>1.76816</v>
      </c>
      <c r="AE206">
        <v>4.0621</v>
      </c>
      <c r="AF206">
        <v>3745537106</v>
      </c>
      <c r="AG206">
        <v>0</v>
      </c>
      <c r="AH206">
        <v>416167509</v>
      </c>
      <c r="AI206">
        <v>3745537106</v>
      </c>
      <c r="AJ206">
        <v>4161704615</v>
      </c>
      <c r="AK206">
        <v>124851236</v>
      </c>
      <c r="AL206">
        <v>0</v>
      </c>
      <c r="AM206">
        <v>13872250</v>
      </c>
      <c r="AN206">
        <v>124851236</v>
      </c>
      <c r="AO206">
        <v>138723487</v>
      </c>
      <c r="AQ206">
        <v>22.224399999999999</v>
      </c>
      <c r="AR206">
        <v>11.278</v>
      </c>
      <c r="AS206">
        <v>3530.96</v>
      </c>
      <c r="AU206" t="s">
        <v>538</v>
      </c>
      <c r="AV206" t="str">
        <f t="shared" si="6"/>
        <v>10% updates, key range [0, 2*10^8)</v>
      </c>
      <c r="AW206" t="str">
        <f t="shared" si="7"/>
        <v>14272</v>
      </c>
    </row>
    <row r="207" spans="1:49">
      <c r="A207" t="s">
        <v>289</v>
      </c>
      <c r="B207" t="s">
        <v>74</v>
      </c>
      <c r="C207">
        <v>208</v>
      </c>
      <c r="D207" t="s">
        <v>73</v>
      </c>
      <c r="E207" t="s">
        <v>68</v>
      </c>
      <c r="F207" t="s">
        <v>69</v>
      </c>
      <c r="G207">
        <v>30000</v>
      </c>
      <c r="H207">
        <v>5</v>
      </c>
      <c r="I207">
        <v>5</v>
      </c>
      <c r="J207">
        <v>0</v>
      </c>
      <c r="K207">
        <v>1</v>
      </c>
      <c r="L207">
        <v>200000000</v>
      </c>
      <c r="M207">
        <v>24</v>
      </c>
      <c r="N207">
        <v>24</v>
      </c>
      <c r="O207">
        <v>24</v>
      </c>
      <c r="P207">
        <v>0</v>
      </c>
      <c r="Q207" t="s">
        <v>70</v>
      </c>
      <c r="R207">
        <v>1.00003412103042E+16</v>
      </c>
      <c r="S207">
        <v>100003824</v>
      </c>
      <c r="V207" t="s">
        <v>83</v>
      </c>
      <c r="W207">
        <v>10</v>
      </c>
      <c r="X207">
        <v>2018312</v>
      </c>
      <c r="Y207">
        <v>13886747</v>
      </c>
      <c r="Z207">
        <v>15905059</v>
      </c>
      <c r="AA207">
        <v>100003824</v>
      </c>
      <c r="AB207">
        <v>7.8803799999999997</v>
      </c>
      <c r="AC207">
        <v>7.20139</v>
      </c>
      <c r="AD207">
        <v>7.2875500000000004</v>
      </c>
      <c r="AE207">
        <v>9</v>
      </c>
      <c r="AF207">
        <v>525797149</v>
      </c>
      <c r="AG207">
        <v>0</v>
      </c>
      <c r="AH207">
        <v>58428012</v>
      </c>
      <c r="AI207">
        <v>525797149</v>
      </c>
      <c r="AJ207">
        <v>584225161</v>
      </c>
      <c r="AK207">
        <v>17526571</v>
      </c>
      <c r="AL207">
        <v>0</v>
      </c>
      <c r="AM207">
        <v>1947600</v>
      </c>
      <c r="AN207">
        <v>17526571</v>
      </c>
      <c r="AO207">
        <v>19474172</v>
      </c>
      <c r="AQ207">
        <v>24.246300000000002</v>
      </c>
      <c r="AR207">
        <v>9.9445200000000007</v>
      </c>
      <c r="AS207">
        <v>3432.71</v>
      </c>
      <c r="AU207" t="s">
        <v>539</v>
      </c>
      <c r="AV207" t="str">
        <f t="shared" si="6"/>
        <v>10% updates, key range [0, 2*10^8)</v>
      </c>
      <c r="AW207" t="str">
        <f t="shared" si="7"/>
        <v>4581</v>
      </c>
    </row>
    <row r="208" spans="1:49">
      <c r="A208" t="s">
        <v>290</v>
      </c>
      <c r="B208" t="s">
        <v>74</v>
      </c>
      <c r="C208">
        <v>208</v>
      </c>
      <c r="D208" t="s">
        <v>73</v>
      </c>
      <c r="E208" t="s">
        <v>68</v>
      </c>
      <c r="F208" t="s">
        <v>69</v>
      </c>
      <c r="G208">
        <v>30000</v>
      </c>
      <c r="H208">
        <v>5</v>
      </c>
      <c r="I208">
        <v>5</v>
      </c>
      <c r="J208">
        <v>0</v>
      </c>
      <c r="K208">
        <v>1</v>
      </c>
      <c r="L208">
        <v>200000000</v>
      </c>
      <c r="M208">
        <v>48</v>
      </c>
      <c r="N208">
        <v>48</v>
      </c>
      <c r="O208">
        <v>48</v>
      </c>
      <c r="P208">
        <v>0</v>
      </c>
      <c r="Q208" t="s">
        <v>70</v>
      </c>
      <c r="R208">
        <v>9998673947395820</v>
      </c>
      <c r="S208">
        <v>99992856</v>
      </c>
      <c r="V208" t="s">
        <v>83</v>
      </c>
      <c r="W208">
        <v>10</v>
      </c>
      <c r="X208">
        <v>2102829</v>
      </c>
      <c r="Y208">
        <v>14469606</v>
      </c>
      <c r="Z208">
        <v>16572435</v>
      </c>
      <c r="AA208">
        <v>99992856</v>
      </c>
      <c r="AB208">
        <v>7.8810200000000004</v>
      </c>
      <c r="AC208">
        <v>6.9105400000000001</v>
      </c>
      <c r="AD208">
        <v>7.03369</v>
      </c>
      <c r="AE208">
        <v>9</v>
      </c>
      <c r="AF208">
        <v>983660151</v>
      </c>
      <c r="AG208">
        <v>0</v>
      </c>
      <c r="AH208">
        <v>109295300</v>
      </c>
      <c r="AI208">
        <v>983660151</v>
      </c>
      <c r="AJ208">
        <v>1092955451</v>
      </c>
      <c r="AK208">
        <v>32788671</v>
      </c>
      <c r="AL208">
        <v>0</v>
      </c>
      <c r="AM208">
        <v>3643176</v>
      </c>
      <c r="AN208">
        <v>32788671</v>
      </c>
      <c r="AO208">
        <v>36431848</v>
      </c>
      <c r="AQ208">
        <v>24.168700000000001</v>
      </c>
      <c r="AR208">
        <v>9.9227699999999999</v>
      </c>
      <c r="AS208">
        <v>3669.73</v>
      </c>
      <c r="AU208" t="s">
        <v>540</v>
      </c>
      <c r="AV208" t="str">
        <f t="shared" si="6"/>
        <v>10% updates, key range [0, 2*10^8)</v>
      </c>
      <c r="AW208" t="str">
        <f t="shared" si="7"/>
        <v>4827</v>
      </c>
    </row>
    <row r="209" spans="1:49">
      <c r="A209" t="s">
        <v>291</v>
      </c>
      <c r="B209" t="s">
        <v>74</v>
      </c>
      <c r="C209">
        <v>208</v>
      </c>
      <c r="D209" t="s">
        <v>73</v>
      </c>
      <c r="E209" t="s">
        <v>68</v>
      </c>
      <c r="F209" t="s">
        <v>69</v>
      </c>
      <c r="G209">
        <v>30000</v>
      </c>
      <c r="H209">
        <v>5</v>
      </c>
      <c r="I209">
        <v>5</v>
      </c>
      <c r="J209">
        <v>0</v>
      </c>
      <c r="K209">
        <v>1</v>
      </c>
      <c r="L209">
        <v>200000000</v>
      </c>
      <c r="M209">
        <v>96</v>
      </c>
      <c r="N209">
        <v>96</v>
      </c>
      <c r="O209">
        <v>96</v>
      </c>
      <c r="P209">
        <v>0</v>
      </c>
      <c r="Q209" t="s">
        <v>70</v>
      </c>
      <c r="R209">
        <v>1.00000897104014E+16</v>
      </c>
      <c r="S209">
        <v>99998646</v>
      </c>
      <c r="V209" t="s">
        <v>83</v>
      </c>
      <c r="W209">
        <v>11</v>
      </c>
      <c r="X209">
        <v>2239231</v>
      </c>
      <c r="Y209">
        <v>15400260</v>
      </c>
      <c r="Z209">
        <v>17639491</v>
      </c>
      <c r="AA209">
        <v>99998646</v>
      </c>
      <c r="AB209">
        <v>7.8774800000000003</v>
      </c>
      <c r="AC209">
        <v>6.4933100000000001</v>
      </c>
      <c r="AD209">
        <v>6.6690199999999997</v>
      </c>
      <c r="AE209">
        <v>10</v>
      </c>
      <c r="AF209">
        <v>2018332711</v>
      </c>
      <c r="AG209">
        <v>0</v>
      </c>
      <c r="AH209">
        <v>224267613</v>
      </c>
      <c r="AI209">
        <v>2018332711</v>
      </c>
      <c r="AJ209">
        <v>2242600324</v>
      </c>
      <c r="AK209">
        <v>67277757</v>
      </c>
      <c r="AL209">
        <v>0</v>
      </c>
      <c r="AM209">
        <v>7475587</v>
      </c>
      <c r="AN209">
        <v>67277757</v>
      </c>
      <c r="AO209">
        <v>74753344</v>
      </c>
      <c r="AQ209">
        <v>24.424600000000002</v>
      </c>
      <c r="AR209">
        <v>10.416</v>
      </c>
      <c r="AS209">
        <v>3573.69</v>
      </c>
      <c r="AU209" t="s">
        <v>541</v>
      </c>
      <c r="AV209" t="str">
        <f t="shared" si="6"/>
        <v>10% updates, key range [0, 2*10^8)</v>
      </c>
      <c r="AW209" t="str">
        <f t="shared" si="7"/>
        <v>5242</v>
      </c>
    </row>
    <row r="210" spans="1:49">
      <c r="A210" t="s">
        <v>292</v>
      </c>
      <c r="B210" t="s">
        <v>74</v>
      </c>
      <c r="C210">
        <v>208</v>
      </c>
      <c r="D210" t="s">
        <v>73</v>
      </c>
      <c r="E210" t="s">
        <v>68</v>
      </c>
      <c r="F210" t="s">
        <v>69</v>
      </c>
      <c r="G210">
        <v>30000</v>
      </c>
      <c r="H210">
        <v>5</v>
      </c>
      <c r="I210">
        <v>5</v>
      </c>
      <c r="J210">
        <v>0</v>
      </c>
      <c r="K210">
        <v>1</v>
      </c>
      <c r="L210">
        <v>200000000</v>
      </c>
      <c r="M210">
        <v>144</v>
      </c>
      <c r="N210">
        <v>144</v>
      </c>
      <c r="O210">
        <v>144</v>
      </c>
      <c r="P210">
        <v>0</v>
      </c>
      <c r="Q210" t="s">
        <v>70</v>
      </c>
      <c r="R210">
        <v>1.0000870596054E+16</v>
      </c>
      <c r="S210">
        <v>100003171</v>
      </c>
      <c r="V210" t="s">
        <v>83</v>
      </c>
      <c r="W210">
        <v>10</v>
      </c>
      <c r="X210">
        <v>2329243</v>
      </c>
      <c r="Y210">
        <v>16014898</v>
      </c>
      <c r="Z210">
        <v>18344141</v>
      </c>
      <c r="AA210">
        <v>100003171</v>
      </c>
      <c r="AB210">
        <v>7.8755800000000002</v>
      </c>
      <c r="AC210">
        <v>6.2443799999999996</v>
      </c>
      <c r="AD210">
        <v>6.4515000000000002</v>
      </c>
      <c r="AE210">
        <v>9</v>
      </c>
      <c r="AF210">
        <v>2988242068</v>
      </c>
      <c r="AG210">
        <v>0</v>
      </c>
      <c r="AH210">
        <v>332027595</v>
      </c>
      <c r="AI210">
        <v>2988242068</v>
      </c>
      <c r="AJ210">
        <v>3320269663</v>
      </c>
      <c r="AK210">
        <v>99608068</v>
      </c>
      <c r="AL210">
        <v>0</v>
      </c>
      <c r="AM210">
        <v>11067586</v>
      </c>
      <c r="AN210">
        <v>99608068</v>
      </c>
      <c r="AO210">
        <v>110675655</v>
      </c>
      <c r="AQ210">
        <v>24.67</v>
      </c>
      <c r="AR210">
        <v>10.749000000000001</v>
      </c>
      <c r="AS210">
        <v>3614.53</v>
      </c>
      <c r="AU210" t="s">
        <v>542</v>
      </c>
      <c r="AV210" t="str">
        <f t="shared" si="6"/>
        <v>10% updates, key range [0, 2*10^8)</v>
      </c>
      <c r="AW210" t="str">
        <f t="shared" si="7"/>
        <v>5650</v>
      </c>
    </row>
    <row r="211" spans="1:49">
      <c r="A211" t="s">
        <v>293</v>
      </c>
      <c r="B211" t="s">
        <v>74</v>
      </c>
      <c r="C211">
        <v>208</v>
      </c>
      <c r="D211" t="s">
        <v>73</v>
      </c>
      <c r="E211" t="s">
        <v>68</v>
      </c>
      <c r="F211" t="s">
        <v>69</v>
      </c>
      <c r="G211">
        <v>30000</v>
      </c>
      <c r="H211">
        <v>5</v>
      </c>
      <c r="I211">
        <v>5</v>
      </c>
      <c r="J211">
        <v>0</v>
      </c>
      <c r="K211">
        <v>1</v>
      </c>
      <c r="L211">
        <v>200000000</v>
      </c>
      <c r="M211">
        <v>190</v>
      </c>
      <c r="N211">
        <v>190</v>
      </c>
      <c r="O211">
        <v>190</v>
      </c>
      <c r="P211">
        <v>0</v>
      </c>
      <c r="Q211" t="s">
        <v>70</v>
      </c>
      <c r="R211">
        <v>1.00004610406273E+16</v>
      </c>
      <c r="S211">
        <v>100001379</v>
      </c>
      <c r="V211" t="s">
        <v>83</v>
      </c>
      <c r="W211">
        <v>10</v>
      </c>
      <c r="X211">
        <v>2394724</v>
      </c>
      <c r="Y211">
        <v>16456511</v>
      </c>
      <c r="Z211">
        <v>18851235</v>
      </c>
      <c r="AA211">
        <v>100001379</v>
      </c>
      <c r="AB211">
        <v>7.8719900000000003</v>
      </c>
      <c r="AC211">
        <v>6.0767100000000003</v>
      </c>
      <c r="AD211">
        <v>6.3047700000000004</v>
      </c>
      <c r="AE211">
        <v>9</v>
      </c>
      <c r="AF211">
        <v>3854358999</v>
      </c>
      <c r="AG211">
        <v>0</v>
      </c>
      <c r="AH211">
        <v>428268784</v>
      </c>
      <c r="AI211">
        <v>3854358999</v>
      </c>
      <c r="AJ211">
        <v>4282627783</v>
      </c>
      <c r="AK211">
        <v>128478633</v>
      </c>
      <c r="AL211">
        <v>0</v>
      </c>
      <c r="AM211">
        <v>14275626</v>
      </c>
      <c r="AN211">
        <v>128478633</v>
      </c>
      <c r="AO211">
        <v>142754259</v>
      </c>
      <c r="AQ211">
        <v>24.884599999999999</v>
      </c>
      <c r="AR211">
        <v>11.095800000000001</v>
      </c>
      <c r="AS211">
        <v>3699.73</v>
      </c>
      <c r="AU211" t="s">
        <v>543</v>
      </c>
      <c r="AV211" t="str">
        <f t="shared" si="6"/>
        <v>10% updates, key range [0, 2*10^8)</v>
      </c>
      <c r="AW211" t="str">
        <f t="shared" si="7"/>
        <v>6351</v>
      </c>
    </row>
    <row r="212" spans="1:49">
      <c r="A212" t="s">
        <v>294</v>
      </c>
      <c r="B212" t="s">
        <v>75</v>
      </c>
      <c r="D212" t="s">
        <v>73</v>
      </c>
      <c r="E212" t="s">
        <v>68</v>
      </c>
      <c r="F212" t="s">
        <v>69</v>
      </c>
      <c r="G212">
        <v>30000</v>
      </c>
      <c r="H212">
        <v>5</v>
      </c>
      <c r="I212">
        <v>5</v>
      </c>
      <c r="J212">
        <v>0</v>
      </c>
      <c r="K212">
        <v>1</v>
      </c>
      <c r="L212">
        <v>200000000</v>
      </c>
      <c r="M212">
        <v>24</v>
      </c>
      <c r="N212">
        <v>24</v>
      </c>
      <c r="O212">
        <v>24</v>
      </c>
      <c r="P212">
        <v>0</v>
      </c>
      <c r="Q212" t="s">
        <v>70</v>
      </c>
      <c r="R212">
        <v>1.00005864961041E+16</v>
      </c>
      <c r="S212">
        <v>100006620</v>
      </c>
      <c r="V212" t="s">
        <v>83</v>
      </c>
      <c r="W212">
        <v>33</v>
      </c>
      <c r="X212">
        <v>58554517</v>
      </c>
      <c r="Y212">
        <v>44028279</v>
      </c>
      <c r="Z212">
        <v>102582796</v>
      </c>
      <c r="AA212">
        <v>100006620</v>
      </c>
      <c r="AB212">
        <v>1.7519199999999999</v>
      </c>
      <c r="AC212">
        <v>2.27142</v>
      </c>
      <c r="AD212">
        <v>1.97489</v>
      </c>
      <c r="AE212">
        <v>26.111499999999999</v>
      </c>
      <c r="AF212">
        <v>232968282</v>
      </c>
      <c r="AG212">
        <v>0</v>
      </c>
      <c r="AH212">
        <v>25889505</v>
      </c>
      <c r="AI212">
        <v>232968282</v>
      </c>
      <c r="AJ212">
        <v>258857787</v>
      </c>
      <c r="AK212">
        <v>7765609</v>
      </c>
      <c r="AL212">
        <v>0</v>
      </c>
      <c r="AM212">
        <v>862983</v>
      </c>
      <c r="AN212">
        <v>7765609</v>
      </c>
      <c r="AO212">
        <v>8628592</v>
      </c>
      <c r="AQ212">
        <v>40.5396</v>
      </c>
      <c r="AR212">
        <v>18.631499999999999</v>
      </c>
      <c r="AS212">
        <v>7749.41</v>
      </c>
      <c r="AU212" t="s">
        <v>544</v>
      </c>
      <c r="AV212" t="str">
        <f t="shared" si="6"/>
        <v>10% updates, key range [0, 2*10^8)</v>
      </c>
      <c r="AW212" t="str">
        <f t="shared" si="7"/>
        <v>7693</v>
      </c>
    </row>
    <row r="213" spans="1:49">
      <c r="A213" t="s">
        <v>295</v>
      </c>
      <c r="B213" t="s">
        <v>75</v>
      </c>
      <c r="D213" t="s">
        <v>73</v>
      </c>
      <c r="E213" t="s">
        <v>68</v>
      </c>
      <c r="F213" t="s">
        <v>69</v>
      </c>
      <c r="G213">
        <v>30000</v>
      </c>
      <c r="H213">
        <v>5</v>
      </c>
      <c r="I213">
        <v>5</v>
      </c>
      <c r="J213">
        <v>0</v>
      </c>
      <c r="K213">
        <v>1</v>
      </c>
      <c r="L213">
        <v>200000000</v>
      </c>
      <c r="M213">
        <v>48</v>
      </c>
      <c r="N213">
        <v>48</v>
      </c>
      <c r="O213">
        <v>48</v>
      </c>
      <c r="P213">
        <v>0</v>
      </c>
      <c r="Q213" t="s">
        <v>70</v>
      </c>
      <c r="R213">
        <v>1.00002466586016E+16</v>
      </c>
      <c r="S213">
        <v>100004732</v>
      </c>
      <c r="V213" t="s">
        <v>83</v>
      </c>
      <c r="W213">
        <v>33</v>
      </c>
      <c r="X213">
        <v>59694923</v>
      </c>
      <c r="Y213">
        <v>44962627</v>
      </c>
      <c r="Z213">
        <v>104657550</v>
      </c>
      <c r="AA213">
        <v>100004732</v>
      </c>
      <c r="AB213">
        <v>1.7532099999999999</v>
      </c>
      <c r="AC213">
        <v>2.22417</v>
      </c>
      <c r="AD213">
        <v>1.9555400000000001</v>
      </c>
      <c r="AE213">
        <v>26.173400000000001</v>
      </c>
      <c r="AF213">
        <v>446200755</v>
      </c>
      <c r="AG213">
        <v>0</v>
      </c>
      <c r="AH213">
        <v>49578565</v>
      </c>
      <c r="AI213">
        <v>446200755</v>
      </c>
      <c r="AJ213">
        <v>495779320</v>
      </c>
      <c r="AK213">
        <v>14873358</v>
      </c>
      <c r="AL213">
        <v>0</v>
      </c>
      <c r="AM213">
        <v>1652618</v>
      </c>
      <c r="AN213">
        <v>14873358</v>
      </c>
      <c r="AO213">
        <v>16525977</v>
      </c>
      <c r="AQ213">
        <v>41.217599999999997</v>
      </c>
      <c r="AR213">
        <v>18.623799999999999</v>
      </c>
      <c r="AS213">
        <v>8086.89</v>
      </c>
      <c r="AU213" t="s">
        <v>545</v>
      </c>
      <c r="AV213" t="str">
        <f t="shared" si="6"/>
        <v>10% updates, key range [0, 2*10^8)</v>
      </c>
      <c r="AW213" t="str">
        <f t="shared" si="7"/>
        <v>7834</v>
      </c>
    </row>
    <row r="214" spans="1:49">
      <c r="A214" t="s">
        <v>296</v>
      </c>
      <c r="B214" t="s">
        <v>75</v>
      </c>
      <c r="D214" t="s">
        <v>73</v>
      </c>
      <c r="E214" t="s">
        <v>68</v>
      </c>
      <c r="F214" t="s">
        <v>69</v>
      </c>
      <c r="G214">
        <v>30000</v>
      </c>
      <c r="H214">
        <v>5</v>
      </c>
      <c r="I214">
        <v>5</v>
      </c>
      <c r="J214">
        <v>0</v>
      </c>
      <c r="K214">
        <v>1</v>
      </c>
      <c r="L214">
        <v>200000000</v>
      </c>
      <c r="M214">
        <v>96</v>
      </c>
      <c r="N214">
        <v>96</v>
      </c>
      <c r="O214">
        <v>96</v>
      </c>
      <c r="P214">
        <v>0</v>
      </c>
      <c r="Q214" t="s">
        <v>70</v>
      </c>
      <c r="R214">
        <v>1.00010749819309E+16</v>
      </c>
      <c r="S214">
        <v>100008750</v>
      </c>
      <c r="V214" t="s">
        <v>83</v>
      </c>
      <c r="W214">
        <v>33</v>
      </c>
      <c r="X214">
        <v>61795890</v>
      </c>
      <c r="Y214">
        <v>46648925</v>
      </c>
      <c r="Z214">
        <v>108444815</v>
      </c>
      <c r="AA214">
        <v>100008750</v>
      </c>
      <c r="AB214">
        <v>1.7548900000000001</v>
      </c>
      <c r="AC214">
        <v>2.1438600000000001</v>
      </c>
      <c r="AD214">
        <v>1.92221</v>
      </c>
      <c r="AE214">
        <v>26.283899999999999</v>
      </c>
      <c r="AF214">
        <v>927491623</v>
      </c>
      <c r="AG214">
        <v>0</v>
      </c>
      <c r="AH214">
        <v>103063905</v>
      </c>
      <c r="AI214">
        <v>927491623</v>
      </c>
      <c r="AJ214">
        <v>1030555528</v>
      </c>
      <c r="AK214">
        <v>30916387</v>
      </c>
      <c r="AL214">
        <v>0</v>
      </c>
      <c r="AM214">
        <v>3435463</v>
      </c>
      <c r="AN214">
        <v>30916387</v>
      </c>
      <c r="AO214">
        <v>34351850</v>
      </c>
      <c r="AQ214">
        <v>41.446100000000001</v>
      </c>
      <c r="AR214">
        <v>19.686</v>
      </c>
      <c r="AS214">
        <v>7780.48</v>
      </c>
      <c r="AU214" t="s">
        <v>546</v>
      </c>
      <c r="AV214" t="str">
        <f t="shared" si="6"/>
        <v>10% updates, key range [0, 2*10^8)</v>
      </c>
      <c r="AW214" t="str">
        <f t="shared" si="7"/>
        <v>8093</v>
      </c>
    </row>
    <row r="215" spans="1:49">
      <c r="A215" t="s">
        <v>297</v>
      </c>
      <c r="B215" t="s">
        <v>75</v>
      </c>
      <c r="D215" t="s">
        <v>73</v>
      </c>
      <c r="E215" t="s">
        <v>68</v>
      </c>
      <c r="F215" t="s">
        <v>69</v>
      </c>
      <c r="G215">
        <v>30000</v>
      </c>
      <c r="H215">
        <v>5</v>
      </c>
      <c r="I215">
        <v>5</v>
      </c>
      <c r="J215">
        <v>0</v>
      </c>
      <c r="K215">
        <v>1</v>
      </c>
      <c r="L215">
        <v>200000000</v>
      </c>
      <c r="M215">
        <v>144</v>
      </c>
      <c r="N215">
        <v>144</v>
      </c>
      <c r="O215">
        <v>144</v>
      </c>
      <c r="P215">
        <v>0</v>
      </c>
      <c r="Q215" t="s">
        <v>70</v>
      </c>
      <c r="R215">
        <v>9999890795092980</v>
      </c>
      <c r="S215">
        <v>100001567</v>
      </c>
      <c r="V215" t="s">
        <v>83</v>
      </c>
      <c r="W215">
        <v>33</v>
      </c>
      <c r="X215">
        <v>63351606</v>
      </c>
      <c r="Y215">
        <v>47878409</v>
      </c>
      <c r="Z215">
        <v>111230015</v>
      </c>
      <c r="AA215">
        <v>100001567</v>
      </c>
      <c r="AB215">
        <v>1.75576</v>
      </c>
      <c r="AC215">
        <v>2.08866</v>
      </c>
      <c r="AD215">
        <v>1.8990499999999999</v>
      </c>
      <c r="AE215">
        <v>26.401900000000001</v>
      </c>
      <c r="AF215">
        <v>1385375377</v>
      </c>
      <c r="AG215">
        <v>0</v>
      </c>
      <c r="AH215">
        <v>153951925</v>
      </c>
      <c r="AI215">
        <v>1385375377</v>
      </c>
      <c r="AJ215">
        <v>1539327302</v>
      </c>
      <c r="AK215">
        <v>46179179</v>
      </c>
      <c r="AL215">
        <v>0</v>
      </c>
      <c r="AM215">
        <v>5131730</v>
      </c>
      <c r="AN215">
        <v>46179179</v>
      </c>
      <c r="AO215">
        <v>51310910</v>
      </c>
      <c r="AQ215">
        <v>41.653599999999997</v>
      </c>
      <c r="AR215">
        <v>20.0334</v>
      </c>
      <c r="AS215">
        <v>7813.17</v>
      </c>
      <c r="AU215" t="s">
        <v>547</v>
      </c>
      <c r="AV215" t="str">
        <f t="shared" si="6"/>
        <v>10% updates, key range [0, 2*10^8)</v>
      </c>
      <c r="AW215" t="str">
        <f t="shared" si="7"/>
        <v>8288</v>
      </c>
    </row>
    <row r="216" spans="1:49">
      <c r="A216" t="s">
        <v>298</v>
      </c>
      <c r="B216" t="s">
        <v>75</v>
      </c>
      <c r="D216" t="s">
        <v>73</v>
      </c>
      <c r="E216" t="s">
        <v>68</v>
      </c>
      <c r="F216" t="s">
        <v>69</v>
      </c>
      <c r="G216">
        <v>30000</v>
      </c>
      <c r="H216">
        <v>5</v>
      </c>
      <c r="I216">
        <v>5</v>
      </c>
      <c r="J216">
        <v>0</v>
      </c>
      <c r="K216">
        <v>1</v>
      </c>
      <c r="L216">
        <v>200000000</v>
      </c>
      <c r="M216">
        <v>190</v>
      </c>
      <c r="N216">
        <v>190</v>
      </c>
      <c r="O216">
        <v>190</v>
      </c>
      <c r="P216">
        <v>0</v>
      </c>
      <c r="Q216" t="s">
        <v>70</v>
      </c>
      <c r="R216">
        <v>9999049281495020</v>
      </c>
      <c r="S216">
        <v>99993517</v>
      </c>
      <c r="V216" t="s">
        <v>83</v>
      </c>
      <c r="W216">
        <v>33</v>
      </c>
      <c r="X216">
        <v>64514602</v>
      </c>
      <c r="Y216">
        <v>48797354</v>
      </c>
      <c r="Z216">
        <v>113311956</v>
      </c>
      <c r="AA216">
        <v>99993517</v>
      </c>
      <c r="AB216">
        <v>1.7563800000000001</v>
      </c>
      <c r="AC216">
        <v>2.0491600000000001</v>
      </c>
      <c r="AD216">
        <v>1.88246</v>
      </c>
      <c r="AE216">
        <v>26.4132</v>
      </c>
      <c r="AF216">
        <v>1831778684</v>
      </c>
      <c r="AG216">
        <v>0</v>
      </c>
      <c r="AH216">
        <v>203526159</v>
      </c>
      <c r="AI216">
        <v>1831778684</v>
      </c>
      <c r="AJ216">
        <v>2035304843</v>
      </c>
      <c r="AK216">
        <v>61059289</v>
      </c>
      <c r="AL216">
        <v>0</v>
      </c>
      <c r="AM216">
        <v>6784205</v>
      </c>
      <c r="AN216">
        <v>61059289</v>
      </c>
      <c r="AO216">
        <v>67843494</v>
      </c>
      <c r="AQ216">
        <v>41.730600000000003</v>
      </c>
      <c r="AR216">
        <v>20.241800000000001</v>
      </c>
      <c r="AS216">
        <v>7796.4</v>
      </c>
      <c r="AU216" t="s">
        <v>548</v>
      </c>
      <c r="AV216" t="str">
        <f t="shared" si="6"/>
        <v>10% updates, key range [0, 2*10^8)</v>
      </c>
      <c r="AW216" t="str">
        <f t="shared" si="7"/>
        <v>8437</v>
      </c>
    </row>
    <row r="217" spans="1:49">
      <c r="A217" t="s">
        <v>299</v>
      </c>
      <c r="B217" t="s">
        <v>76</v>
      </c>
      <c r="D217" t="s">
        <v>73</v>
      </c>
      <c r="E217" t="s">
        <v>68</v>
      </c>
      <c r="F217" t="s">
        <v>69</v>
      </c>
      <c r="G217">
        <v>30000</v>
      </c>
      <c r="H217">
        <v>5</v>
      </c>
      <c r="I217">
        <v>5</v>
      </c>
      <c r="J217">
        <v>0</v>
      </c>
      <c r="K217">
        <v>1</v>
      </c>
      <c r="L217">
        <v>200000000</v>
      </c>
      <c r="M217">
        <v>24</v>
      </c>
      <c r="N217">
        <v>24</v>
      </c>
      <c r="O217">
        <v>24</v>
      </c>
      <c r="P217">
        <v>0</v>
      </c>
      <c r="Q217" t="s">
        <v>70</v>
      </c>
      <c r="R217">
        <v>1.00003448415942E+16</v>
      </c>
      <c r="S217">
        <v>100004740</v>
      </c>
      <c r="V217" t="s">
        <v>83</v>
      </c>
      <c r="W217">
        <v>70</v>
      </c>
      <c r="X217">
        <v>100004739</v>
      </c>
      <c r="Y217">
        <v>100004740</v>
      </c>
      <c r="Z217">
        <v>200009479</v>
      </c>
      <c r="AA217">
        <v>100004740</v>
      </c>
      <c r="AB217">
        <v>2</v>
      </c>
      <c r="AC217">
        <v>1</v>
      </c>
      <c r="AD217">
        <v>1.5</v>
      </c>
      <c r="AE217">
        <v>36.328800000000001</v>
      </c>
      <c r="AF217">
        <v>192212561</v>
      </c>
      <c r="AG217">
        <v>0</v>
      </c>
      <c r="AH217">
        <v>21359168</v>
      </c>
      <c r="AI217">
        <v>192212561</v>
      </c>
      <c r="AJ217">
        <v>213571729</v>
      </c>
      <c r="AK217">
        <v>6407085</v>
      </c>
      <c r="AL217">
        <v>0</v>
      </c>
      <c r="AM217">
        <v>711972</v>
      </c>
      <c r="AN217">
        <v>6407085</v>
      </c>
      <c r="AO217">
        <v>7119057</v>
      </c>
      <c r="AQ217">
        <v>38.362699999999997</v>
      </c>
      <c r="AR217">
        <v>18.790600000000001</v>
      </c>
      <c r="AS217">
        <v>9396.11</v>
      </c>
      <c r="AU217" t="s">
        <v>549</v>
      </c>
      <c r="AV217" t="str">
        <f t="shared" si="6"/>
        <v>10% updates, key range [0, 2*10^8)</v>
      </c>
      <c r="AW217" t="str">
        <f t="shared" si="7"/>
        <v>7531</v>
      </c>
    </row>
    <row r="218" spans="1:49">
      <c r="A218" t="s">
        <v>300</v>
      </c>
      <c r="B218" t="s">
        <v>76</v>
      </c>
      <c r="D218" t="s">
        <v>73</v>
      </c>
      <c r="E218" t="s">
        <v>68</v>
      </c>
      <c r="F218" t="s">
        <v>69</v>
      </c>
      <c r="G218">
        <v>30000</v>
      </c>
      <c r="H218">
        <v>5</v>
      </c>
      <c r="I218">
        <v>5</v>
      </c>
      <c r="J218">
        <v>0</v>
      </c>
      <c r="K218">
        <v>1</v>
      </c>
      <c r="L218">
        <v>200000000</v>
      </c>
      <c r="M218">
        <v>48</v>
      </c>
      <c r="N218">
        <v>48</v>
      </c>
      <c r="O218">
        <v>48</v>
      </c>
      <c r="P218">
        <v>0</v>
      </c>
      <c r="Q218" t="s">
        <v>70</v>
      </c>
      <c r="R218">
        <v>1.00001751521588E+16</v>
      </c>
      <c r="S218">
        <v>100001125</v>
      </c>
      <c r="V218" t="s">
        <v>83</v>
      </c>
      <c r="W218">
        <v>70</v>
      </c>
      <c r="X218">
        <v>100001124</v>
      </c>
      <c r="Y218">
        <v>100001125</v>
      </c>
      <c r="Z218">
        <v>200002249</v>
      </c>
      <c r="AA218">
        <v>100001125</v>
      </c>
      <c r="AB218">
        <v>2</v>
      </c>
      <c r="AC218">
        <v>1</v>
      </c>
      <c r="AD218">
        <v>1.5</v>
      </c>
      <c r="AE218">
        <v>36.233199999999997</v>
      </c>
      <c r="AF218">
        <v>370644810</v>
      </c>
      <c r="AG218">
        <v>0</v>
      </c>
      <c r="AH218">
        <v>41180986</v>
      </c>
      <c r="AI218">
        <v>370644810</v>
      </c>
      <c r="AJ218">
        <v>411825796</v>
      </c>
      <c r="AK218">
        <v>12354827</v>
      </c>
      <c r="AL218">
        <v>0</v>
      </c>
      <c r="AM218">
        <v>1372699</v>
      </c>
      <c r="AN218">
        <v>12354827</v>
      </c>
      <c r="AO218">
        <v>13727526</v>
      </c>
      <c r="AQ218">
        <v>38.28</v>
      </c>
      <c r="AR218">
        <v>18.5471</v>
      </c>
      <c r="AS218">
        <v>9741.9500000000007</v>
      </c>
      <c r="AU218" t="s">
        <v>550</v>
      </c>
      <c r="AV218" t="str">
        <f t="shared" si="6"/>
        <v>10% updates, key range [0, 2*10^8)</v>
      </c>
      <c r="AW218" t="str">
        <f t="shared" si="7"/>
        <v>7544</v>
      </c>
    </row>
    <row r="219" spans="1:49">
      <c r="A219" t="s">
        <v>301</v>
      </c>
      <c r="B219" t="s">
        <v>76</v>
      </c>
      <c r="D219" t="s">
        <v>73</v>
      </c>
      <c r="E219" t="s">
        <v>68</v>
      </c>
      <c r="F219" t="s">
        <v>69</v>
      </c>
      <c r="G219">
        <v>30000</v>
      </c>
      <c r="H219">
        <v>5</v>
      </c>
      <c r="I219">
        <v>5</v>
      </c>
      <c r="J219">
        <v>0</v>
      </c>
      <c r="K219">
        <v>1</v>
      </c>
      <c r="L219">
        <v>200000000</v>
      </c>
      <c r="M219">
        <v>96</v>
      </c>
      <c r="N219">
        <v>96</v>
      </c>
      <c r="O219">
        <v>96</v>
      </c>
      <c r="P219">
        <v>0</v>
      </c>
      <c r="Q219" t="s">
        <v>70</v>
      </c>
      <c r="R219">
        <v>9999225349288620</v>
      </c>
      <c r="S219">
        <v>99993108</v>
      </c>
      <c r="V219" t="s">
        <v>83</v>
      </c>
      <c r="W219">
        <v>72</v>
      </c>
      <c r="X219">
        <v>99993107</v>
      </c>
      <c r="Y219">
        <v>99993108</v>
      </c>
      <c r="Z219">
        <v>199986215</v>
      </c>
      <c r="AA219">
        <v>99993108</v>
      </c>
      <c r="AB219">
        <v>2</v>
      </c>
      <c r="AC219">
        <v>1</v>
      </c>
      <c r="AD219">
        <v>1.5</v>
      </c>
      <c r="AE219">
        <v>36.659599999999998</v>
      </c>
      <c r="AF219">
        <v>777296814</v>
      </c>
      <c r="AG219">
        <v>0</v>
      </c>
      <c r="AH219">
        <v>86358430</v>
      </c>
      <c r="AI219">
        <v>777296814</v>
      </c>
      <c r="AJ219">
        <v>863655244</v>
      </c>
      <c r="AK219">
        <v>25909893</v>
      </c>
      <c r="AL219">
        <v>0</v>
      </c>
      <c r="AM219">
        <v>2878614</v>
      </c>
      <c r="AN219">
        <v>25909893</v>
      </c>
      <c r="AO219">
        <v>28788508</v>
      </c>
      <c r="AQ219">
        <v>38.405099999999997</v>
      </c>
      <c r="AR219">
        <v>19.015899999999998</v>
      </c>
      <c r="AS219">
        <v>9286.65</v>
      </c>
      <c r="AU219" t="s">
        <v>407</v>
      </c>
      <c r="AV219" t="str">
        <f t="shared" si="6"/>
        <v>10% updates, key range [0, 2*10^8)</v>
      </c>
      <c r="AW219" t="str">
        <f t="shared" si="7"/>
        <v>7572</v>
      </c>
    </row>
    <row r="220" spans="1:49">
      <c r="A220" t="s">
        <v>302</v>
      </c>
      <c r="B220" t="s">
        <v>76</v>
      </c>
      <c r="D220" t="s">
        <v>73</v>
      </c>
      <c r="E220" t="s">
        <v>68</v>
      </c>
      <c r="F220" t="s">
        <v>69</v>
      </c>
      <c r="G220">
        <v>30000</v>
      </c>
      <c r="H220">
        <v>5</v>
      </c>
      <c r="I220">
        <v>5</v>
      </c>
      <c r="J220">
        <v>0</v>
      </c>
      <c r="K220">
        <v>1</v>
      </c>
      <c r="L220">
        <v>200000000</v>
      </c>
      <c r="M220">
        <v>144</v>
      </c>
      <c r="N220">
        <v>144</v>
      </c>
      <c r="O220">
        <v>144</v>
      </c>
      <c r="P220">
        <v>0</v>
      </c>
      <c r="Q220" t="s">
        <v>70</v>
      </c>
      <c r="R220">
        <v>1.00008193225872E+16</v>
      </c>
      <c r="S220">
        <v>100006349</v>
      </c>
      <c r="V220" t="s">
        <v>83</v>
      </c>
      <c r="W220">
        <v>75</v>
      </c>
      <c r="X220">
        <v>100006348</v>
      </c>
      <c r="Y220">
        <v>100006349</v>
      </c>
      <c r="Z220">
        <v>200012697</v>
      </c>
      <c r="AA220">
        <v>100006349</v>
      </c>
      <c r="AB220">
        <v>2</v>
      </c>
      <c r="AC220">
        <v>1</v>
      </c>
      <c r="AD220">
        <v>1.5</v>
      </c>
      <c r="AE220">
        <v>38.089399999999998</v>
      </c>
      <c r="AF220">
        <v>1175348196</v>
      </c>
      <c r="AG220">
        <v>0</v>
      </c>
      <c r="AH220">
        <v>130588709</v>
      </c>
      <c r="AI220">
        <v>1175348196</v>
      </c>
      <c r="AJ220">
        <v>1305936905</v>
      </c>
      <c r="AK220">
        <v>39178273</v>
      </c>
      <c r="AL220">
        <v>0</v>
      </c>
      <c r="AM220">
        <v>4352956</v>
      </c>
      <c r="AN220">
        <v>39178273</v>
      </c>
      <c r="AO220">
        <v>43531230</v>
      </c>
      <c r="AQ220">
        <v>38.669600000000003</v>
      </c>
      <c r="AR220">
        <v>19.389099999999999</v>
      </c>
      <c r="AS220">
        <v>9212.51</v>
      </c>
      <c r="AU220" t="s">
        <v>551</v>
      </c>
      <c r="AV220" t="str">
        <f t="shared" si="6"/>
        <v>10% updates, key range [0, 2*10^8)</v>
      </c>
      <c r="AW220" t="str">
        <f t="shared" si="7"/>
        <v>7606</v>
      </c>
    </row>
    <row r="221" spans="1:49">
      <c r="A221" t="s">
        <v>303</v>
      </c>
      <c r="B221" t="s">
        <v>76</v>
      </c>
      <c r="D221" t="s">
        <v>73</v>
      </c>
      <c r="E221" t="s">
        <v>68</v>
      </c>
      <c r="F221" t="s">
        <v>69</v>
      </c>
      <c r="G221">
        <v>30000</v>
      </c>
      <c r="H221">
        <v>5</v>
      </c>
      <c r="I221">
        <v>5</v>
      </c>
      <c r="J221">
        <v>0</v>
      </c>
      <c r="K221">
        <v>1</v>
      </c>
      <c r="L221">
        <v>200000000</v>
      </c>
      <c r="M221">
        <v>190</v>
      </c>
      <c r="N221">
        <v>190</v>
      </c>
      <c r="O221">
        <v>190</v>
      </c>
      <c r="P221">
        <v>0</v>
      </c>
      <c r="Q221" t="s">
        <v>70</v>
      </c>
      <c r="R221">
        <v>9998854653020630</v>
      </c>
      <c r="S221">
        <v>99990699</v>
      </c>
      <c r="V221" t="s">
        <v>83</v>
      </c>
      <c r="W221">
        <v>67</v>
      </c>
      <c r="X221">
        <v>99990698</v>
      </c>
      <c r="Y221">
        <v>99990699</v>
      </c>
      <c r="Z221">
        <v>199981397</v>
      </c>
      <c r="AA221">
        <v>99990699</v>
      </c>
      <c r="AB221">
        <v>2</v>
      </c>
      <c r="AC221">
        <v>1</v>
      </c>
      <c r="AD221">
        <v>1.5</v>
      </c>
      <c r="AE221">
        <v>35.122</v>
      </c>
      <c r="AF221">
        <v>1564551664</v>
      </c>
      <c r="AG221">
        <v>0</v>
      </c>
      <c r="AH221">
        <v>173834666</v>
      </c>
      <c r="AI221">
        <v>1564551664</v>
      </c>
      <c r="AJ221">
        <v>1738386330</v>
      </c>
      <c r="AK221">
        <v>52151722</v>
      </c>
      <c r="AL221">
        <v>0</v>
      </c>
      <c r="AM221">
        <v>5794488</v>
      </c>
      <c r="AN221">
        <v>52151722</v>
      </c>
      <c r="AO221">
        <v>57946211</v>
      </c>
      <c r="AQ221">
        <v>38.846800000000002</v>
      </c>
      <c r="AR221">
        <v>19.640499999999999</v>
      </c>
      <c r="AS221">
        <v>9132.1299999999992</v>
      </c>
      <c r="AU221" t="s">
        <v>552</v>
      </c>
      <c r="AV221" t="str">
        <f t="shared" si="6"/>
        <v>10% updates, key range [0, 2*10^8)</v>
      </c>
      <c r="AW221" t="str">
        <f t="shared" si="7"/>
        <v>7658</v>
      </c>
    </row>
    <row r="222" spans="1:49">
      <c r="A222" t="s">
        <v>304</v>
      </c>
      <c r="B222" t="s">
        <v>72</v>
      </c>
      <c r="C222">
        <v>72</v>
      </c>
      <c r="D222" t="s">
        <v>73</v>
      </c>
      <c r="E222" t="s">
        <v>68</v>
      </c>
      <c r="F222" t="s">
        <v>69</v>
      </c>
      <c r="G222">
        <v>30000</v>
      </c>
      <c r="H222">
        <v>5</v>
      </c>
      <c r="I222">
        <v>5</v>
      </c>
      <c r="J222">
        <v>0</v>
      </c>
      <c r="K222">
        <v>1</v>
      </c>
      <c r="L222">
        <v>2000000000</v>
      </c>
      <c r="M222">
        <v>24</v>
      </c>
      <c r="N222">
        <v>24</v>
      </c>
      <c r="O222">
        <v>24</v>
      </c>
      <c r="P222">
        <v>0</v>
      </c>
      <c r="Q222" t="s">
        <v>70</v>
      </c>
      <c r="R222">
        <v>9.9999360124796198E+17</v>
      </c>
      <c r="S222">
        <v>999992000</v>
      </c>
      <c r="V222" t="s">
        <v>83</v>
      </c>
      <c r="W222">
        <v>7</v>
      </c>
      <c r="X222">
        <v>96997766</v>
      </c>
      <c r="Y222">
        <v>1104049614</v>
      </c>
      <c r="Z222">
        <v>1201047380</v>
      </c>
      <c r="AA222">
        <v>999992000</v>
      </c>
      <c r="AB222">
        <v>12.382199999999999</v>
      </c>
      <c r="AC222">
        <v>0.90574900000000003</v>
      </c>
      <c r="AD222">
        <v>1.8326</v>
      </c>
      <c r="AE222">
        <v>4.0255099999999997</v>
      </c>
      <c r="AF222">
        <v>476498504</v>
      </c>
      <c r="AG222">
        <v>0</v>
      </c>
      <c r="AH222">
        <v>52928621</v>
      </c>
      <c r="AI222">
        <v>476498504</v>
      </c>
      <c r="AJ222">
        <v>529427125</v>
      </c>
      <c r="AK222">
        <v>15883283</v>
      </c>
      <c r="AL222">
        <v>0</v>
      </c>
      <c r="AM222">
        <v>1764287</v>
      </c>
      <c r="AN222">
        <v>15883283</v>
      </c>
      <c r="AO222">
        <v>17647570</v>
      </c>
      <c r="AQ222">
        <v>22.815999999999999</v>
      </c>
      <c r="AR222">
        <v>13.335699999999999</v>
      </c>
      <c r="AS222">
        <v>3783</v>
      </c>
      <c r="AU222" t="s">
        <v>553</v>
      </c>
      <c r="AV222" t="str">
        <f t="shared" si="6"/>
        <v>10% updates, key range [0, 2*10^9)</v>
      </c>
      <c r="AW222" t="str">
        <f t="shared" si="7"/>
        <v>60549</v>
      </c>
    </row>
    <row r="223" spans="1:49">
      <c r="A223" t="s">
        <v>305</v>
      </c>
      <c r="B223" t="s">
        <v>72</v>
      </c>
      <c r="C223">
        <v>72</v>
      </c>
      <c r="D223" t="s">
        <v>73</v>
      </c>
      <c r="E223" t="s">
        <v>68</v>
      </c>
      <c r="F223" t="s">
        <v>69</v>
      </c>
      <c r="G223">
        <v>30000</v>
      </c>
      <c r="H223">
        <v>5</v>
      </c>
      <c r="I223">
        <v>5</v>
      </c>
      <c r="J223">
        <v>0</v>
      </c>
      <c r="K223">
        <v>1</v>
      </c>
      <c r="L223">
        <v>2000000000</v>
      </c>
      <c r="M223">
        <v>48</v>
      </c>
      <c r="N223">
        <v>48</v>
      </c>
      <c r="O223">
        <v>48</v>
      </c>
      <c r="P223">
        <v>0</v>
      </c>
      <c r="Q223" t="s">
        <v>70</v>
      </c>
      <c r="R223">
        <v>9.9997174441818995E+17</v>
      </c>
      <c r="S223">
        <v>1000003436</v>
      </c>
      <c r="V223" t="s">
        <v>83</v>
      </c>
      <c r="W223">
        <v>7</v>
      </c>
      <c r="X223">
        <v>105630061</v>
      </c>
      <c r="Y223">
        <v>1121702761</v>
      </c>
      <c r="Z223">
        <v>1227332822</v>
      </c>
      <c r="AA223">
        <v>1000003436</v>
      </c>
      <c r="AB223">
        <v>11.619199999999999</v>
      </c>
      <c r="AC223">
        <v>0.89150499999999999</v>
      </c>
      <c r="AD223">
        <v>1.8147800000000001</v>
      </c>
      <c r="AE223">
        <v>4.0435800000000004</v>
      </c>
      <c r="AF223">
        <v>856660158</v>
      </c>
      <c r="AG223">
        <v>0</v>
      </c>
      <c r="AH223">
        <v>95188767</v>
      </c>
      <c r="AI223">
        <v>856660158</v>
      </c>
      <c r="AJ223">
        <v>951848925</v>
      </c>
      <c r="AK223">
        <v>28555338</v>
      </c>
      <c r="AL223">
        <v>0</v>
      </c>
      <c r="AM223">
        <v>3172958</v>
      </c>
      <c r="AN223">
        <v>28555338</v>
      </c>
      <c r="AO223">
        <v>31728297</v>
      </c>
      <c r="AQ223">
        <v>22.770399999999999</v>
      </c>
      <c r="AR223">
        <v>13.399100000000001</v>
      </c>
      <c r="AS223">
        <v>4208.38</v>
      </c>
      <c r="AU223" t="s">
        <v>554</v>
      </c>
      <c r="AV223" t="str">
        <f t="shared" si="6"/>
        <v>10% updates, key range [0, 2*10^9)</v>
      </c>
      <c r="AW223" t="str">
        <f t="shared" si="7"/>
        <v>61708</v>
      </c>
    </row>
    <row r="224" spans="1:49">
      <c r="A224" t="s">
        <v>306</v>
      </c>
      <c r="B224" t="s">
        <v>72</v>
      </c>
      <c r="C224">
        <v>72</v>
      </c>
      <c r="D224" t="s">
        <v>73</v>
      </c>
      <c r="E224" t="s">
        <v>68</v>
      </c>
      <c r="F224" t="s">
        <v>69</v>
      </c>
      <c r="G224">
        <v>30000</v>
      </c>
      <c r="H224">
        <v>5</v>
      </c>
      <c r="I224">
        <v>5</v>
      </c>
      <c r="J224">
        <v>0</v>
      </c>
      <c r="K224">
        <v>1</v>
      </c>
      <c r="L224">
        <v>2000000000</v>
      </c>
      <c r="M224">
        <v>96</v>
      </c>
      <c r="N224">
        <v>96</v>
      </c>
      <c r="O224">
        <v>96</v>
      </c>
      <c r="P224">
        <v>0</v>
      </c>
      <c r="Q224" t="s">
        <v>70</v>
      </c>
      <c r="R224">
        <v>9.9999917811590797E+17</v>
      </c>
      <c r="S224">
        <v>999999725</v>
      </c>
      <c r="V224" t="s">
        <v>83</v>
      </c>
      <c r="W224">
        <v>7</v>
      </c>
      <c r="X224">
        <v>120854715</v>
      </c>
      <c r="Y224">
        <v>1153868453</v>
      </c>
      <c r="Z224">
        <v>1274723168</v>
      </c>
      <c r="AA224">
        <v>999999725</v>
      </c>
      <c r="AB224">
        <v>10.547599999999999</v>
      </c>
      <c r="AC224">
        <v>0.86665000000000003</v>
      </c>
      <c r="AD224">
        <v>1.7844800000000001</v>
      </c>
      <c r="AE224">
        <v>4.0764300000000002</v>
      </c>
      <c r="AF224">
        <v>1833213475</v>
      </c>
      <c r="AG224">
        <v>0</v>
      </c>
      <c r="AH224">
        <v>203672673</v>
      </c>
      <c r="AI224">
        <v>1833213475</v>
      </c>
      <c r="AJ224">
        <v>2036886148</v>
      </c>
      <c r="AK224">
        <v>61107115</v>
      </c>
      <c r="AL224">
        <v>0</v>
      </c>
      <c r="AM224">
        <v>6789089</v>
      </c>
      <c r="AN224">
        <v>61107115</v>
      </c>
      <c r="AO224">
        <v>67896204</v>
      </c>
      <c r="AQ224">
        <v>23.051400000000001</v>
      </c>
      <c r="AR224">
        <v>14.225199999999999</v>
      </c>
      <c r="AS224">
        <v>3930.29</v>
      </c>
      <c r="AU224" t="s">
        <v>555</v>
      </c>
      <c r="AV224" t="str">
        <f t="shared" si="6"/>
        <v>10% updates, key range [0, 2*10^9)</v>
      </c>
      <c r="AW224" t="str">
        <f t="shared" si="7"/>
        <v>64204</v>
      </c>
    </row>
    <row r="225" spans="1:49">
      <c r="A225" t="s">
        <v>307</v>
      </c>
      <c r="B225" t="s">
        <v>72</v>
      </c>
      <c r="C225">
        <v>72</v>
      </c>
      <c r="D225" t="s">
        <v>73</v>
      </c>
      <c r="E225" t="s">
        <v>68</v>
      </c>
      <c r="F225" t="s">
        <v>69</v>
      </c>
      <c r="G225">
        <v>30000</v>
      </c>
      <c r="H225">
        <v>5</v>
      </c>
      <c r="I225">
        <v>5</v>
      </c>
      <c r="J225">
        <v>0</v>
      </c>
      <c r="K225">
        <v>1</v>
      </c>
      <c r="L225">
        <v>2000000000</v>
      </c>
      <c r="M225">
        <v>144</v>
      </c>
      <c r="N225">
        <v>144</v>
      </c>
      <c r="O225">
        <v>144</v>
      </c>
      <c r="P225">
        <v>0</v>
      </c>
      <c r="Q225" t="s">
        <v>70</v>
      </c>
      <c r="R225">
        <v>9.99999989776144E+17</v>
      </c>
      <c r="S225">
        <v>1000001435</v>
      </c>
      <c r="V225" t="s">
        <v>83</v>
      </c>
      <c r="W225">
        <v>7</v>
      </c>
      <c r="X225">
        <v>127079249</v>
      </c>
      <c r="Y225">
        <v>1167932652</v>
      </c>
      <c r="Z225">
        <v>1295011901</v>
      </c>
      <c r="AA225">
        <v>1000001435</v>
      </c>
      <c r="AB225">
        <v>10.1906</v>
      </c>
      <c r="AC225">
        <v>0.85621499999999995</v>
      </c>
      <c r="AD225">
        <v>1.7721899999999999</v>
      </c>
      <c r="AE225">
        <v>4.0904499999999997</v>
      </c>
      <c r="AF225">
        <v>2687028470</v>
      </c>
      <c r="AG225">
        <v>0</v>
      </c>
      <c r="AH225">
        <v>298570760</v>
      </c>
      <c r="AI225">
        <v>2687028470</v>
      </c>
      <c r="AJ225">
        <v>2985599230</v>
      </c>
      <c r="AK225">
        <v>89567615</v>
      </c>
      <c r="AL225">
        <v>0</v>
      </c>
      <c r="AM225">
        <v>9952358</v>
      </c>
      <c r="AN225">
        <v>89567615</v>
      </c>
      <c r="AO225">
        <v>99519974</v>
      </c>
      <c r="AQ225">
        <v>23.211099999999998</v>
      </c>
      <c r="AR225">
        <v>14.5579</v>
      </c>
      <c r="AS225">
        <v>4021.87</v>
      </c>
      <c r="AU225" t="s">
        <v>556</v>
      </c>
      <c r="AV225" t="str">
        <f t="shared" si="6"/>
        <v>10% updates, key range [0, 2*10^9)</v>
      </c>
      <c r="AW225" t="str">
        <f t="shared" si="7"/>
        <v>66029</v>
      </c>
    </row>
    <row r="226" spans="1:49">
      <c r="A226" t="s">
        <v>308</v>
      </c>
      <c r="B226" t="s">
        <v>72</v>
      </c>
      <c r="C226">
        <v>72</v>
      </c>
      <c r="D226" t="s">
        <v>73</v>
      </c>
      <c r="E226" t="s">
        <v>68</v>
      </c>
      <c r="F226" t="s">
        <v>69</v>
      </c>
      <c r="G226">
        <v>30000</v>
      </c>
      <c r="H226">
        <v>5</v>
      </c>
      <c r="I226">
        <v>5</v>
      </c>
      <c r="J226">
        <v>0</v>
      </c>
      <c r="K226">
        <v>1</v>
      </c>
      <c r="L226">
        <v>2000000000</v>
      </c>
      <c r="M226">
        <v>190</v>
      </c>
      <c r="N226">
        <v>190</v>
      </c>
      <c r="O226">
        <v>190</v>
      </c>
      <c r="P226">
        <v>0</v>
      </c>
      <c r="Q226" t="s">
        <v>70</v>
      </c>
      <c r="R226">
        <v>9.9999547041254899E+17</v>
      </c>
      <c r="S226">
        <v>999985242</v>
      </c>
      <c r="V226" t="s">
        <v>83</v>
      </c>
      <c r="W226">
        <v>7</v>
      </c>
      <c r="X226">
        <v>127353839</v>
      </c>
      <c r="Y226">
        <v>1169456837</v>
      </c>
      <c r="Z226">
        <v>1296810676</v>
      </c>
      <c r="AA226">
        <v>999985242</v>
      </c>
      <c r="AB226">
        <v>10.182700000000001</v>
      </c>
      <c r="AC226">
        <v>0.85508499999999998</v>
      </c>
      <c r="AD226">
        <v>1.77111</v>
      </c>
      <c r="AE226">
        <v>4.0915600000000003</v>
      </c>
      <c r="AF226">
        <v>3437783222</v>
      </c>
      <c r="AG226">
        <v>0</v>
      </c>
      <c r="AH226">
        <v>382004799</v>
      </c>
      <c r="AI226">
        <v>3437783222</v>
      </c>
      <c r="AJ226">
        <v>3819788021</v>
      </c>
      <c r="AK226">
        <v>114592774</v>
      </c>
      <c r="AL226">
        <v>0</v>
      </c>
      <c r="AM226">
        <v>12733493</v>
      </c>
      <c r="AN226">
        <v>114592774</v>
      </c>
      <c r="AO226">
        <v>127326267</v>
      </c>
      <c r="AQ226">
        <v>23.432700000000001</v>
      </c>
      <c r="AR226">
        <v>14.8474</v>
      </c>
      <c r="AS226">
        <v>4143.5200000000004</v>
      </c>
      <c r="AU226" t="s">
        <v>557</v>
      </c>
      <c r="AV226" t="str">
        <f t="shared" si="6"/>
        <v>10% updates, key range [0, 2*10^9)</v>
      </c>
      <c r="AW226" t="str">
        <f t="shared" si="7"/>
        <v>67062</v>
      </c>
    </row>
    <row r="227" spans="1:49">
      <c r="A227" t="s">
        <v>309</v>
      </c>
      <c r="B227" t="s">
        <v>74</v>
      </c>
      <c r="C227">
        <v>208</v>
      </c>
      <c r="D227" t="s">
        <v>73</v>
      </c>
      <c r="E227" t="s">
        <v>68</v>
      </c>
      <c r="F227" t="s">
        <v>69</v>
      </c>
      <c r="G227">
        <v>30000</v>
      </c>
      <c r="H227">
        <v>5</v>
      </c>
      <c r="I227">
        <v>5</v>
      </c>
      <c r="J227">
        <v>0</v>
      </c>
      <c r="K227">
        <v>1</v>
      </c>
      <c r="L227">
        <v>2000000000</v>
      </c>
      <c r="M227">
        <v>24</v>
      </c>
      <c r="N227">
        <v>24</v>
      </c>
      <c r="O227">
        <v>24</v>
      </c>
      <c r="P227">
        <v>0</v>
      </c>
      <c r="Q227" t="s">
        <v>70</v>
      </c>
      <c r="R227">
        <v>1.00001207392935E+18</v>
      </c>
      <c r="S227">
        <v>1000004163</v>
      </c>
      <c r="V227" t="s">
        <v>83</v>
      </c>
      <c r="W227">
        <v>12</v>
      </c>
      <c r="X227">
        <v>18705076</v>
      </c>
      <c r="Y227">
        <v>128710697</v>
      </c>
      <c r="Z227">
        <v>147415773</v>
      </c>
      <c r="AA227">
        <v>1000004163</v>
      </c>
      <c r="AB227">
        <v>7.8810599999999997</v>
      </c>
      <c r="AC227">
        <v>7.7693899999999996</v>
      </c>
      <c r="AD227">
        <v>7.7835599999999996</v>
      </c>
      <c r="AE227">
        <v>11</v>
      </c>
      <c r="AF227">
        <v>338928325</v>
      </c>
      <c r="AG227">
        <v>0</v>
      </c>
      <c r="AH227">
        <v>37661271</v>
      </c>
      <c r="AI227">
        <v>338928325</v>
      </c>
      <c r="AJ227">
        <v>376589596</v>
      </c>
      <c r="AK227">
        <v>11297610</v>
      </c>
      <c r="AL227">
        <v>0</v>
      </c>
      <c r="AM227">
        <v>1255375</v>
      </c>
      <c r="AN227">
        <v>11297610</v>
      </c>
      <c r="AO227">
        <v>12552986</v>
      </c>
      <c r="AQ227">
        <v>31.279399999999999</v>
      </c>
      <c r="AR227">
        <v>17.640499999999999</v>
      </c>
      <c r="AS227">
        <v>5325.18</v>
      </c>
      <c r="AU227" t="s">
        <v>558</v>
      </c>
      <c r="AV227" t="str">
        <f t="shared" si="6"/>
        <v>10% updates, key range [0, 2*10^9)</v>
      </c>
      <c r="AW227" t="str">
        <f t="shared" si="7"/>
        <v>33533</v>
      </c>
    </row>
    <row r="228" spans="1:49">
      <c r="A228" t="s">
        <v>310</v>
      </c>
      <c r="B228" t="s">
        <v>74</v>
      </c>
      <c r="C228">
        <v>208</v>
      </c>
      <c r="D228" t="s">
        <v>73</v>
      </c>
      <c r="E228" t="s">
        <v>68</v>
      </c>
      <c r="F228" t="s">
        <v>69</v>
      </c>
      <c r="G228">
        <v>30000</v>
      </c>
      <c r="H228">
        <v>5</v>
      </c>
      <c r="I228">
        <v>5</v>
      </c>
      <c r="J228">
        <v>0</v>
      </c>
      <c r="K228">
        <v>1</v>
      </c>
      <c r="L228">
        <v>2000000000</v>
      </c>
      <c r="M228">
        <v>48</v>
      </c>
      <c r="N228">
        <v>48</v>
      </c>
      <c r="O228">
        <v>48</v>
      </c>
      <c r="P228">
        <v>0</v>
      </c>
      <c r="Q228" t="s">
        <v>70</v>
      </c>
      <c r="R228">
        <v>1.0000053370836E+18</v>
      </c>
      <c r="S228">
        <v>1000005060</v>
      </c>
      <c r="V228" t="s">
        <v>83</v>
      </c>
      <c r="W228">
        <v>12</v>
      </c>
      <c r="X228">
        <v>18837159</v>
      </c>
      <c r="Y228">
        <v>129633793</v>
      </c>
      <c r="Z228">
        <v>148470952</v>
      </c>
      <c r="AA228">
        <v>1000005060</v>
      </c>
      <c r="AB228">
        <v>7.8818099999999998</v>
      </c>
      <c r="AC228">
        <v>7.71408</v>
      </c>
      <c r="AD228">
        <v>7.73536</v>
      </c>
      <c r="AE228">
        <v>11</v>
      </c>
      <c r="AF228">
        <v>639230500</v>
      </c>
      <c r="AG228">
        <v>0</v>
      </c>
      <c r="AH228">
        <v>71015399</v>
      </c>
      <c r="AI228">
        <v>639230500</v>
      </c>
      <c r="AJ228">
        <v>710245899</v>
      </c>
      <c r="AK228">
        <v>21307683</v>
      </c>
      <c r="AL228">
        <v>0</v>
      </c>
      <c r="AM228">
        <v>2367179</v>
      </c>
      <c r="AN228">
        <v>21307683</v>
      </c>
      <c r="AO228">
        <v>23674863</v>
      </c>
      <c r="AQ228">
        <v>30.967300000000002</v>
      </c>
      <c r="AR228">
        <v>17.505700000000001</v>
      </c>
      <c r="AS228">
        <v>5643.92</v>
      </c>
      <c r="AU228" t="s">
        <v>559</v>
      </c>
      <c r="AV228" t="str">
        <f t="shared" si="6"/>
        <v>10% updates, key range [0, 2*10^9)</v>
      </c>
      <c r="AW228" t="str">
        <f t="shared" si="7"/>
        <v>33868</v>
      </c>
    </row>
    <row r="229" spans="1:49">
      <c r="A229" t="s">
        <v>311</v>
      </c>
      <c r="B229" t="s">
        <v>74</v>
      </c>
      <c r="C229">
        <v>208</v>
      </c>
      <c r="D229" t="s">
        <v>73</v>
      </c>
      <c r="E229" t="s">
        <v>68</v>
      </c>
      <c r="F229" t="s">
        <v>69</v>
      </c>
      <c r="G229">
        <v>30000</v>
      </c>
      <c r="H229">
        <v>5</v>
      </c>
      <c r="I229">
        <v>5</v>
      </c>
      <c r="J229">
        <v>0</v>
      </c>
      <c r="K229">
        <v>1</v>
      </c>
      <c r="L229">
        <v>2000000000</v>
      </c>
      <c r="M229">
        <v>96</v>
      </c>
      <c r="N229">
        <v>96</v>
      </c>
      <c r="O229">
        <v>96</v>
      </c>
      <c r="P229">
        <v>0</v>
      </c>
      <c r="Q229" t="s">
        <v>70</v>
      </c>
      <c r="R229">
        <v>9.9999832802118502E+17</v>
      </c>
      <c r="S229">
        <v>999999755</v>
      </c>
      <c r="V229" t="s">
        <v>83</v>
      </c>
      <c r="W229">
        <v>12</v>
      </c>
      <c r="X229">
        <v>19093763</v>
      </c>
      <c r="Y229">
        <v>131402110</v>
      </c>
      <c r="Z229">
        <v>150495873</v>
      </c>
      <c r="AA229">
        <v>999999755</v>
      </c>
      <c r="AB229">
        <v>7.8819400000000002</v>
      </c>
      <c r="AC229">
        <v>7.6102299999999996</v>
      </c>
      <c r="AD229">
        <v>7.6447000000000003</v>
      </c>
      <c r="AE229">
        <v>11</v>
      </c>
      <c r="AF229">
        <v>1291104614</v>
      </c>
      <c r="AG229">
        <v>0</v>
      </c>
      <c r="AH229">
        <v>143459122</v>
      </c>
      <c r="AI229">
        <v>1291104614</v>
      </c>
      <c r="AJ229">
        <v>1434563736</v>
      </c>
      <c r="AK229">
        <v>43036820</v>
      </c>
      <c r="AL229">
        <v>0</v>
      </c>
      <c r="AM229">
        <v>4781970</v>
      </c>
      <c r="AN229">
        <v>43036820</v>
      </c>
      <c r="AO229">
        <v>47818791</v>
      </c>
      <c r="AQ229">
        <v>31.243600000000001</v>
      </c>
      <c r="AR229">
        <v>17.913699999999999</v>
      </c>
      <c r="AS229">
        <v>5588.33</v>
      </c>
      <c r="AU229" t="s">
        <v>560</v>
      </c>
      <c r="AV229" t="str">
        <f t="shared" si="6"/>
        <v>10% updates, key range [0, 2*10^9)</v>
      </c>
      <c r="AW229" t="str">
        <f t="shared" si="7"/>
        <v>34539</v>
      </c>
    </row>
    <row r="230" spans="1:49">
      <c r="A230" t="s">
        <v>312</v>
      </c>
      <c r="B230" t="s">
        <v>74</v>
      </c>
      <c r="C230">
        <v>208</v>
      </c>
      <c r="D230" t="s">
        <v>73</v>
      </c>
      <c r="E230" t="s">
        <v>68</v>
      </c>
      <c r="F230" t="s">
        <v>69</v>
      </c>
      <c r="G230">
        <v>30000</v>
      </c>
      <c r="H230">
        <v>5</v>
      </c>
      <c r="I230">
        <v>5</v>
      </c>
      <c r="J230">
        <v>0</v>
      </c>
      <c r="K230">
        <v>1</v>
      </c>
      <c r="L230">
        <v>2000000000</v>
      </c>
      <c r="M230">
        <v>144</v>
      </c>
      <c r="N230">
        <v>144</v>
      </c>
      <c r="O230">
        <v>144</v>
      </c>
      <c r="P230">
        <v>0</v>
      </c>
      <c r="Q230" t="s">
        <v>70</v>
      </c>
      <c r="R230">
        <v>9.99979011464128E+17</v>
      </c>
      <c r="S230">
        <v>999996017</v>
      </c>
      <c r="V230" t="s">
        <v>83</v>
      </c>
      <c r="W230">
        <v>12</v>
      </c>
      <c r="X230">
        <v>19311035</v>
      </c>
      <c r="Y230">
        <v>132891699</v>
      </c>
      <c r="Z230">
        <v>152202734</v>
      </c>
      <c r="AA230">
        <v>999996017</v>
      </c>
      <c r="AB230">
        <v>7.8816499999999996</v>
      </c>
      <c r="AC230">
        <v>7.5248900000000001</v>
      </c>
      <c r="AD230">
        <v>7.5701599999999996</v>
      </c>
      <c r="AE230">
        <v>11</v>
      </c>
      <c r="AF230">
        <v>1922181897</v>
      </c>
      <c r="AG230">
        <v>0</v>
      </c>
      <c r="AH230">
        <v>213596170</v>
      </c>
      <c r="AI230">
        <v>1922181897</v>
      </c>
      <c r="AJ230">
        <v>2135778067</v>
      </c>
      <c r="AK230">
        <v>64072729</v>
      </c>
      <c r="AL230">
        <v>0</v>
      </c>
      <c r="AM230">
        <v>7119872</v>
      </c>
      <c r="AN230">
        <v>64072729</v>
      </c>
      <c r="AO230">
        <v>71192602</v>
      </c>
      <c r="AQ230">
        <v>31.430599999999998</v>
      </c>
      <c r="AR230">
        <v>18.1404</v>
      </c>
      <c r="AS230">
        <v>5628.42</v>
      </c>
      <c r="AU230" t="s">
        <v>561</v>
      </c>
      <c r="AV230" t="str">
        <f t="shared" si="6"/>
        <v>10% updates, key range [0, 2*10^9)</v>
      </c>
      <c r="AW230" t="str">
        <f t="shared" si="7"/>
        <v>35249</v>
      </c>
    </row>
    <row r="231" spans="1:49">
      <c r="A231" t="s">
        <v>313</v>
      </c>
      <c r="B231" t="s">
        <v>74</v>
      </c>
      <c r="C231">
        <v>208</v>
      </c>
      <c r="D231" t="s">
        <v>73</v>
      </c>
      <c r="E231" t="s">
        <v>68</v>
      </c>
      <c r="F231" t="s">
        <v>69</v>
      </c>
      <c r="G231">
        <v>30000</v>
      </c>
      <c r="H231">
        <v>5</v>
      </c>
      <c r="I231">
        <v>5</v>
      </c>
      <c r="J231">
        <v>0</v>
      </c>
      <c r="K231">
        <v>1</v>
      </c>
      <c r="L231">
        <v>2000000000</v>
      </c>
      <c r="M231">
        <v>190</v>
      </c>
      <c r="N231">
        <v>190</v>
      </c>
      <c r="O231">
        <v>190</v>
      </c>
      <c r="P231">
        <v>0</v>
      </c>
      <c r="Q231" t="s">
        <v>70</v>
      </c>
      <c r="R231">
        <v>9.9999262637716506E+17</v>
      </c>
      <c r="S231">
        <v>999988103</v>
      </c>
      <c r="V231" t="s">
        <v>83</v>
      </c>
      <c r="W231">
        <v>12</v>
      </c>
      <c r="X231">
        <v>19497153</v>
      </c>
      <c r="Y231">
        <v>134156605</v>
      </c>
      <c r="Z231">
        <v>153653758</v>
      </c>
      <c r="AA231">
        <v>999988103</v>
      </c>
      <c r="AB231">
        <v>7.8808299999999996</v>
      </c>
      <c r="AC231">
        <v>7.4538900000000003</v>
      </c>
      <c r="AD231">
        <v>7.5080600000000004</v>
      </c>
      <c r="AE231">
        <v>11</v>
      </c>
      <c r="AF231">
        <v>2520099509</v>
      </c>
      <c r="AG231">
        <v>0</v>
      </c>
      <c r="AH231">
        <v>279954490</v>
      </c>
      <c r="AI231">
        <v>2520099509</v>
      </c>
      <c r="AJ231">
        <v>2800053999</v>
      </c>
      <c r="AK231">
        <v>84003316</v>
      </c>
      <c r="AL231">
        <v>0</v>
      </c>
      <c r="AM231">
        <v>9331816</v>
      </c>
      <c r="AN231">
        <v>84003316</v>
      </c>
      <c r="AO231">
        <v>93335133</v>
      </c>
      <c r="AQ231">
        <v>31.611799999999999</v>
      </c>
      <c r="AR231">
        <v>18.285299999999999</v>
      </c>
      <c r="AS231">
        <v>5662.72</v>
      </c>
      <c r="AU231" t="s">
        <v>562</v>
      </c>
      <c r="AV231" t="str">
        <f t="shared" si="6"/>
        <v>10% updates, key range [0, 2*10^9)</v>
      </c>
      <c r="AW231" t="str">
        <f t="shared" si="7"/>
        <v>36060</v>
      </c>
    </row>
    <row r="232" spans="1:49">
      <c r="A232" t="s">
        <v>314</v>
      </c>
      <c r="B232" t="s">
        <v>75</v>
      </c>
      <c r="D232" t="s">
        <v>73</v>
      </c>
      <c r="E232" t="s">
        <v>68</v>
      </c>
      <c r="F232" t="s">
        <v>69</v>
      </c>
      <c r="G232">
        <v>30000</v>
      </c>
      <c r="H232">
        <v>5</v>
      </c>
      <c r="I232">
        <v>5</v>
      </c>
      <c r="J232">
        <v>0</v>
      </c>
      <c r="K232">
        <v>1</v>
      </c>
      <c r="L232">
        <v>2000000000</v>
      </c>
      <c r="M232">
        <v>24</v>
      </c>
      <c r="N232">
        <v>24</v>
      </c>
      <c r="O232">
        <v>24</v>
      </c>
      <c r="P232">
        <v>0</v>
      </c>
      <c r="Q232" t="s">
        <v>70</v>
      </c>
      <c r="AU232" t="s">
        <v>418</v>
      </c>
      <c r="AV232" t="str">
        <f t="shared" si="6"/>
        <v>10% updates, key range [0, 2*10^9)</v>
      </c>
      <c r="AW232" t="str">
        <f t="shared" si="7"/>
        <v/>
      </c>
    </row>
    <row r="233" spans="1:49">
      <c r="A233" t="s">
        <v>315</v>
      </c>
      <c r="B233" t="s">
        <v>75</v>
      </c>
      <c r="D233" t="s">
        <v>73</v>
      </c>
      <c r="E233" t="s">
        <v>68</v>
      </c>
      <c r="F233" t="s">
        <v>69</v>
      </c>
      <c r="G233">
        <v>30000</v>
      </c>
      <c r="H233">
        <v>5</v>
      </c>
      <c r="I233">
        <v>5</v>
      </c>
      <c r="J233">
        <v>0</v>
      </c>
      <c r="K233">
        <v>1</v>
      </c>
      <c r="L233">
        <v>2000000000</v>
      </c>
      <c r="M233">
        <v>48</v>
      </c>
      <c r="N233">
        <v>48</v>
      </c>
      <c r="O233">
        <v>48</v>
      </c>
      <c r="P233">
        <v>0</v>
      </c>
      <c r="Q233" t="s">
        <v>70</v>
      </c>
      <c r="R233">
        <v>1.00001078138513E+18</v>
      </c>
      <c r="S233">
        <v>1000002505</v>
      </c>
      <c r="V233" t="s">
        <v>83</v>
      </c>
      <c r="W233">
        <v>37</v>
      </c>
      <c r="X233">
        <v>573356769</v>
      </c>
      <c r="Y233">
        <v>430176511</v>
      </c>
      <c r="Z233">
        <v>1003533280</v>
      </c>
      <c r="AA233">
        <v>1000002505</v>
      </c>
      <c r="AB233">
        <v>1.7502800000000001</v>
      </c>
      <c r="AC233">
        <v>2.32463</v>
      </c>
      <c r="AD233">
        <v>1.99648</v>
      </c>
      <c r="AE233">
        <v>29.429600000000001</v>
      </c>
      <c r="AF233">
        <v>299394787</v>
      </c>
      <c r="AG233">
        <v>0</v>
      </c>
      <c r="AH233">
        <v>33272952</v>
      </c>
      <c r="AI233">
        <v>299394787</v>
      </c>
      <c r="AJ233">
        <v>332667739</v>
      </c>
      <c r="AK233">
        <v>9979826</v>
      </c>
      <c r="AL233">
        <v>0</v>
      </c>
      <c r="AM233">
        <v>1109098</v>
      </c>
      <c r="AN233">
        <v>9979826</v>
      </c>
      <c r="AO233">
        <v>11088924</v>
      </c>
      <c r="AQ233">
        <v>55.473199999999999</v>
      </c>
      <c r="AR233">
        <v>31.441500000000001</v>
      </c>
      <c r="AS233">
        <v>12055</v>
      </c>
      <c r="AU233" t="s">
        <v>563</v>
      </c>
      <c r="AV233" t="str">
        <f t="shared" si="6"/>
        <v>10% updates, key range [0, 2*10^9)</v>
      </c>
      <c r="AW233" t="str">
        <f t="shared" si="7"/>
        <v>65879</v>
      </c>
    </row>
    <row r="234" spans="1:49">
      <c r="A234" t="s">
        <v>316</v>
      </c>
      <c r="B234" t="s">
        <v>75</v>
      </c>
      <c r="D234" t="s">
        <v>73</v>
      </c>
      <c r="E234" t="s">
        <v>68</v>
      </c>
      <c r="F234" t="s">
        <v>69</v>
      </c>
      <c r="G234">
        <v>30000</v>
      </c>
      <c r="H234">
        <v>5</v>
      </c>
      <c r="I234">
        <v>5</v>
      </c>
      <c r="J234">
        <v>0</v>
      </c>
      <c r="K234">
        <v>1</v>
      </c>
      <c r="L234">
        <v>2000000000</v>
      </c>
      <c r="M234">
        <v>96</v>
      </c>
      <c r="N234">
        <v>96</v>
      </c>
      <c r="O234">
        <v>96</v>
      </c>
      <c r="P234">
        <v>0</v>
      </c>
      <c r="Q234" t="s">
        <v>70</v>
      </c>
      <c r="R234">
        <v>9.9999274923882394E+17</v>
      </c>
      <c r="S234">
        <v>999999136</v>
      </c>
      <c r="V234" t="s">
        <v>83</v>
      </c>
      <c r="W234">
        <v>37</v>
      </c>
      <c r="X234">
        <v>575329643</v>
      </c>
      <c r="Y234">
        <v>431826141</v>
      </c>
      <c r="Z234">
        <v>1007155784</v>
      </c>
      <c r="AA234">
        <v>999999136</v>
      </c>
      <c r="AB234">
        <v>1.75057</v>
      </c>
      <c r="AC234">
        <v>2.3157399999999999</v>
      </c>
      <c r="AD234">
        <v>1.9928900000000001</v>
      </c>
      <c r="AE234">
        <v>29.465</v>
      </c>
      <c r="AF234">
        <v>612510957</v>
      </c>
      <c r="AG234">
        <v>0</v>
      </c>
      <c r="AH234">
        <v>68051381</v>
      </c>
      <c r="AI234">
        <v>612510957</v>
      </c>
      <c r="AJ234">
        <v>680562338</v>
      </c>
      <c r="AK234">
        <v>20417031</v>
      </c>
      <c r="AL234">
        <v>0</v>
      </c>
      <c r="AM234">
        <v>2268379</v>
      </c>
      <c r="AN234">
        <v>20417031</v>
      </c>
      <c r="AO234">
        <v>22685411</v>
      </c>
      <c r="AQ234">
        <v>55.665500000000002</v>
      </c>
      <c r="AR234">
        <v>31.549199999999999</v>
      </c>
      <c r="AS234">
        <v>11788.9</v>
      </c>
      <c r="AU234" t="s">
        <v>564</v>
      </c>
      <c r="AV234" t="str">
        <f t="shared" si="6"/>
        <v>10% updates, key range [0, 2*10^9)</v>
      </c>
      <c r="AW234" t="str">
        <f t="shared" si="7"/>
        <v>66128</v>
      </c>
    </row>
    <row r="235" spans="1:49">
      <c r="A235" t="s">
        <v>317</v>
      </c>
      <c r="B235" t="s">
        <v>75</v>
      </c>
      <c r="D235" t="s">
        <v>73</v>
      </c>
      <c r="E235" t="s">
        <v>68</v>
      </c>
      <c r="F235" t="s">
        <v>69</v>
      </c>
      <c r="G235">
        <v>30000</v>
      </c>
      <c r="H235">
        <v>5</v>
      </c>
      <c r="I235">
        <v>5</v>
      </c>
      <c r="J235">
        <v>0</v>
      </c>
      <c r="K235">
        <v>1</v>
      </c>
      <c r="L235">
        <v>2000000000</v>
      </c>
      <c r="M235">
        <v>144</v>
      </c>
      <c r="N235">
        <v>144</v>
      </c>
      <c r="O235">
        <v>144</v>
      </c>
      <c r="P235">
        <v>0</v>
      </c>
      <c r="Q235" t="s">
        <v>70</v>
      </c>
      <c r="R235">
        <v>9.9999387668038899E+17</v>
      </c>
      <c r="S235">
        <v>999999903</v>
      </c>
      <c r="V235" t="s">
        <v>83</v>
      </c>
      <c r="W235">
        <v>37</v>
      </c>
      <c r="X235">
        <v>577214899</v>
      </c>
      <c r="Y235">
        <v>433384866</v>
      </c>
      <c r="Z235">
        <v>1010599765</v>
      </c>
      <c r="AA235">
        <v>999999903</v>
      </c>
      <c r="AB235">
        <v>1.75082</v>
      </c>
      <c r="AC235">
        <v>2.30742</v>
      </c>
      <c r="AD235">
        <v>1.9895099999999999</v>
      </c>
      <c r="AE235">
        <v>29.482600000000001</v>
      </c>
      <c r="AF235">
        <v>916044509</v>
      </c>
      <c r="AG235">
        <v>0</v>
      </c>
      <c r="AH235">
        <v>101776017</v>
      </c>
      <c r="AI235">
        <v>916044509</v>
      </c>
      <c r="AJ235">
        <v>1017820526</v>
      </c>
      <c r="AK235">
        <v>30534816</v>
      </c>
      <c r="AL235">
        <v>0</v>
      </c>
      <c r="AM235">
        <v>3392533</v>
      </c>
      <c r="AN235">
        <v>30534816</v>
      </c>
      <c r="AO235">
        <v>33927350</v>
      </c>
      <c r="AQ235">
        <v>56.1496</v>
      </c>
      <c r="AR235">
        <v>31.726600000000001</v>
      </c>
      <c r="AS235">
        <v>11822.4</v>
      </c>
      <c r="AU235" t="s">
        <v>565</v>
      </c>
      <c r="AV235" t="str">
        <f t="shared" si="6"/>
        <v>10% updates, key range [0, 2*10^9)</v>
      </c>
      <c r="AW235" t="str">
        <f t="shared" si="7"/>
        <v>66366</v>
      </c>
    </row>
    <row r="236" spans="1:49">
      <c r="A236" t="s">
        <v>318</v>
      </c>
      <c r="B236" t="s">
        <v>75</v>
      </c>
      <c r="D236" t="s">
        <v>73</v>
      </c>
      <c r="E236" t="s">
        <v>68</v>
      </c>
      <c r="F236" t="s">
        <v>69</v>
      </c>
      <c r="G236">
        <v>30000</v>
      </c>
      <c r="H236">
        <v>5</v>
      </c>
      <c r="I236">
        <v>5</v>
      </c>
      <c r="J236">
        <v>0</v>
      </c>
      <c r="K236">
        <v>1</v>
      </c>
      <c r="L236">
        <v>2000000000</v>
      </c>
      <c r="M236">
        <v>190</v>
      </c>
      <c r="N236">
        <v>190</v>
      </c>
      <c r="O236">
        <v>190</v>
      </c>
      <c r="P236">
        <v>0</v>
      </c>
      <c r="Q236" t="s">
        <v>70</v>
      </c>
      <c r="R236">
        <v>9.9998359241626906E+17</v>
      </c>
      <c r="S236">
        <v>999988364</v>
      </c>
      <c r="V236" t="s">
        <v>83</v>
      </c>
      <c r="W236">
        <v>37</v>
      </c>
      <c r="X236">
        <v>578962523</v>
      </c>
      <c r="Y236">
        <v>434844108</v>
      </c>
      <c r="Z236">
        <v>1013806631</v>
      </c>
      <c r="AA236">
        <v>999988364</v>
      </c>
      <c r="AB236">
        <v>1.7510699999999999</v>
      </c>
      <c r="AC236">
        <v>2.2996500000000002</v>
      </c>
      <c r="AD236">
        <v>1.98637</v>
      </c>
      <c r="AE236">
        <v>29.572199999999999</v>
      </c>
      <c r="AF236">
        <v>1205038819</v>
      </c>
      <c r="AG236">
        <v>0</v>
      </c>
      <c r="AH236">
        <v>133882209</v>
      </c>
      <c r="AI236">
        <v>1205038819</v>
      </c>
      <c r="AJ236">
        <v>1338921028</v>
      </c>
      <c r="AK236">
        <v>40167960</v>
      </c>
      <c r="AL236">
        <v>0</v>
      </c>
      <c r="AM236">
        <v>4462740</v>
      </c>
      <c r="AN236">
        <v>40167960</v>
      </c>
      <c r="AO236">
        <v>44630700</v>
      </c>
      <c r="AQ236">
        <v>56.514899999999997</v>
      </c>
      <c r="AR236">
        <v>31.855399999999999</v>
      </c>
      <c r="AS236">
        <v>11855.2</v>
      </c>
      <c r="AU236" t="s">
        <v>566</v>
      </c>
      <c r="AV236" t="str">
        <f t="shared" si="6"/>
        <v>10% updates, key range [0, 2*10^9)</v>
      </c>
      <c r="AW236" t="str">
        <f t="shared" si="7"/>
        <v>66586</v>
      </c>
    </row>
    <row r="237" spans="1:49">
      <c r="A237" t="s">
        <v>319</v>
      </c>
      <c r="B237" t="s">
        <v>76</v>
      </c>
      <c r="D237" t="s">
        <v>73</v>
      </c>
      <c r="E237" t="s">
        <v>68</v>
      </c>
      <c r="F237" t="s">
        <v>69</v>
      </c>
      <c r="G237">
        <v>30000</v>
      </c>
      <c r="H237">
        <v>5</v>
      </c>
      <c r="I237">
        <v>5</v>
      </c>
      <c r="J237">
        <v>0</v>
      </c>
      <c r="K237">
        <v>1</v>
      </c>
      <c r="L237">
        <v>2000000000</v>
      </c>
      <c r="M237">
        <v>24</v>
      </c>
      <c r="N237">
        <v>24</v>
      </c>
      <c r="O237">
        <v>24</v>
      </c>
      <c r="P237">
        <v>0</v>
      </c>
      <c r="Q237" t="s">
        <v>70</v>
      </c>
      <c r="AU237" t="s">
        <v>418</v>
      </c>
      <c r="AV237" t="str">
        <f t="shared" si="6"/>
        <v>10% updates, key range [0, 2*10^9)</v>
      </c>
      <c r="AW237" t="str">
        <f t="shared" si="7"/>
        <v/>
      </c>
    </row>
    <row r="238" spans="1:49">
      <c r="A238" t="s">
        <v>320</v>
      </c>
      <c r="B238" t="s">
        <v>76</v>
      </c>
      <c r="D238" t="s">
        <v>73</v>
      </c>
      <c r="E238" t="s">
        <v>68</v>
      </c>
      <c r="F238" t="s">
        <v>69</v>
      </c>
      <c r="G238">
        <v>30000</v>
      </c>
      <c r="H238">
        <v>5</v>
      </c>
      <c r="I238">
        <v>5</v>
      </c>
      <c r="J238">
        <v>0</v>
      </c>
      <c r="K238">
        <v>1</v>
      </c>
      <c r="L238">
        <v>2000000000</v>
      </c>
      <c r="M238">
        <v>48</v>
      </c>
      <c r="N238">
        <v>48</v>
      </c>
      <c r="O238">
        <v>48</v>
      </c>
      <c r="P238">
        <v>0</v>
      </c>
      <c r="Q238" t="s">
        <v>70</v>
      </c>
      <c r="AU238" t="s">
        <v>418</v>
      </c>
      <c r="AV238" t="str">
        <f t="shared" si="6"/>
        <v>10% updates, key range [0, 2*10^9)</v>
      </c>
      <c r="AW238" t="str">
        <f t="shared" si="7"/>
        <v/>
      </c>
    </row>
    <row r="239" spans="1:49">
      <c r="A239" t="s">
        <v>321</v>
      </c>
      <c r="B239" t="s">
        <v>76</v>
      </c>
      <c r="D239" t="s">
        <v>73</v>
      </c>
      <c r="E239" t="s">
        <v>68</v>
      </c>
      <c r="F239" t="s">
        <v>69</v>
      </c>
      <c r="G239">
        <v>30000</v>
      </c>
      <c r="H239">
        <v>5</v>
      </c>
      <c r="I239">
        <v>5</v>
      </c>
      <c r="J239">
        <v>0</v>
      </c>
      <c r="K239">
        <v>1</v>
      </c>
      <c r="L239">
        <v>2000000000</v>
      </c>
      <c r="M239">
        <v>96</v>
      </c>
      <c r="N239">
        <v>96</v>
      </c>
      <c r="O239">
        <v>96</v>
      </c>
      <c r="P239">
        <v>0</v>
      </c>
      <c r="Q239" t="s">
        <v>70</v>
      </c>
      <c r="R239">
        <v>9.9998422587196301E+17</v>
      </c>
      <c r="S239">
        <v>999992841</v>
      </c>
      <c r="V239" t="s">
        <v>83</v>
      </c>
      <c r="W239">
        <v>80</v>
      </c>
      <c r="X239">
        <v>999992840</v>
      </c>
      <c r="Y239">
        <v>999992841</v>
      </c>
      <c r="Z239">
        <v>1999985681</v>
      </c>
      <c r="AA239">
        <v>999992841</v>
      </c>
      <c r="AB239">
        <v>2</v>
      </c>
      <c r="AC239">
        <v>1</v>
      </c>
      <c r="AD239">
        <v>1.5</v>
      </c>
      <c r="AE239">
        <v>41.2376</v>
      </c>
      <c r="AF239">
        <v>514663166</v>
      </c>
      <c r="AG239">
        <v>0</v>
      </c>
      <c r="AH239">
        <v>57189930</v>
      </c>
      <c r="AI239">
        <v>514663166</v>
      </c>
      <c r="AJ239">
        <v>571853096</v>
      </c>
      <c r="AK239">
        <v>17155438</v>
      </c>
      <c r="AL239">
        <v>0</v>
      </c>
      <c r="AM239">
        <v>1906331</v>
      </c>
      <c r="AN239">
        <v>17155438</v>
      </c>
      <c r="AO239">
        <v>19061769</v>
      </c>
      <c r="AQ239">
        <v>54.192999999999998</v>
      </c>
      <c r="AR239">
        <v>31.746400000000001</v>
      </c>
      <c r="AS239">
        <v>14031.8</v>
      </c>
      <c r="AU239" t="s">
        <v>567</v>
      </c>
      <c r="AV239" t="str">
        <f t="shared" si="6"/>
        <v>10% updates, key range [0, 2*10^9)</v>
      </c>
      <c r="AW239" t="str">
        <f t="shared" si="7"/>
        <v>65683</v>
      </c>
    </row>
    <row r="240" spans="1:49">
      <c r="A240" t="s">
        <v>322</v>
      </c>
      <c r="B240" t="s">
        <v>76</v>
      </c>
      <c r="D240" t="s">
        <v>73</v>
      </c>
      <c r="E240" t="s">
        <v>68</v>
      </c>
      <c r="F240" t="s">
        <v>69</v>
      </c>
      <c r="G240">
        <v>30000</v>
      </c>
      <c r="H240">
        <v>5</v>
      </c>
      <c r="I240">
        <v>5</v>
      </c>
      <c r="J240">
        <v>0</v>
      </c>
      <c r="K240">
        <v>1</v>
      </c>
      <c r="L240">
        <v>2000000000</v>
      </c>
      <c r="M240">
        <v>144</v>
      </c>
      <c r="N240">
        <v>144</v>
      </c>
      <c r="O240">
        <v>144</v>
      </c>
      <c r="P240">
        <v>0</v>
      </c>
      <c r="Q240" t="s">
        <v>70</v>
      </c>
      <c r="R240">
        <v>9.9998702725569203E+17</v>
      </c>
      <c r="S240">
        <v>999993972</v>
      </c>
      <c r="V240" t="s">
        <v>83</v>
      </c>
      <c r="W240">
        <v>78</v>
      </c>
      <c r="X240">
        <v>999993971</v>
      </c>
      <c r="Y240">
        <v>999993972</v>
      </c>
      <c r="Z240">
        <v>1999987943</v>
      </c>
      <c r="AA240">
        <v>999993972</v>
      </c>
      <c r="AB240">
        <v>2</v>
      </c>
      <c r="AC240">
        <v>1</v>
      </c>
      <c r="AD240">
        <v>1.5</v>
      </c>
      <c r="AE240">
        <v>39.961599999999997</v>
      </c>
      <c r="AF240">
        <v>771351562</v>
      </c>
      <c r="AG240">
        <v>0</v>
      </c>
      <c r="AH240">
        <v>85699250</v>
      </c>
      <c r="AI240">
        <v>771351562</v>
      </c>
      <c r="AJ240">
        <v>857050812</v>
      </c>
      <c r="AK240">
        <v>25711718</v>
      </c>
      <c r="AL240">
        <v>0</v>
      </c>
      <c r="AM240">
        <v>2856641</v>
      </c>
      <c r="AN240">
        <v>25711718</v>
      </c>
      <c r="AO240">
        <v>28568360</v>
      </c>
      <c r="AQ240">
        <v>54.4373</v>
      </c>
      <c r="AR240">
        <v>31.731100000000001</v>
      </c>
      <c r="AS240">
        <v>14042.4</v>
      </c>
      <c r="AU240" t="s">
        <v>568</v>
      </c>
      <c r="AV240" t="str">
        <f t="shared" si="6"/>
        <v>10% updates, key range [0, 2*10^9)</v>
      </c>
      <c r="AW240" t="str">
        <f t="shared" si="7"/>
        <v>65709</v>
      </c>
    </row>
    <row r="241" spans="1:49">
      <c r="A241" t="s">
        <v>323</v>
      </c>
      <c r="B241" t="s">
        <v>76</v>
      </c>
      <c r="D241" t="s">
        <v>73</v>
      </c>
      <c r="E241" t="s">
        <v>68</v>
      </c>
      <c r="F241" t="s">
        <v>69</v>
      </c>
      <c r="G241">
        <v>30000</v>
      </c>
      <c r="H241">
        <v>5</v>
      </c>
      <c r="I241">
        <v>5</v>
      </c>
      <c r="J241">
        <v>0</v>
      </c>
      <c r="K241">
        <v>1</v>
      </c>
      <c r="L241">
        <v>2000000000</v>
      </c>
      <c r="M241">
        <v>190</v>
      </c>
      <c r="N241">
        <v>190</v>
      </c>
      <c r="O241">
        <v>190</v>
      </c>
      <c r="P241">
        <v>0</v>
      </c>
      <c r="Q241" t="s">
        <v>70</v>
      </c>
      <c r="R241">
        <v>9.9999615419867494E+17</v>
      </c>
      <c r="S241">
        <v>1000003800</v>
      </c>
      <c r="V241" t="s">
        <v>83</v>
      </c>
      <c r="W241">
        <v>81</v>
      </c>
      <c r="X241">
        <v>1000003799</v>
      </c>
      <c r="Y241">
        <v>1000003800</v>
      </c>
      <c r="Z241">
        <v>2000007599</v>
      </c>
      <c r="AA241">
        <v>1000003800</v>
      </c>
      <c r="AB241">
        <v>2</v>
      </c>
      <c r="AC241">
        <v>1</v>
      </c>
      <c r="AD241">
        <v>1.5</v>
      </c>
      <c r="AE241">
        <v>41.611699999999999</v>
      </c>
      <c r="AF241">
        <v>1019649576</v>
      </c>
      <c r="AG241">
        <v>0</v>
      </c>
      <c r="AH241">
        <v>113293843</v>
      </c>
      <c r="AI241">
        <v>1019649576</v>
      </c>
      <c r="AJ241">
        <v>1132943419</v>
      </c>
      <c r="AK241">
        <v>33988319</v>
      </c>
      <c r="AL241">
        <v>0</v>
      </c>
      <c r="AM241">
        <v>3776461</v>
      </c>
      <c r="AN241">
        <v>33988319</v>
      </c>
      <c r="AO241">
        <v>37764780</v>
      </c>
      <c r="AQ241">
        <v>54.537700000000001</v>
      </c>
      <c r="AR241">
        <v>31.843499999999999</v>
      </c>
      <c r="AS241">
        <v>14015.8</v>
      </c>
      <c r="AU241" t="s">
        <v>569</v>
      </c>
      <c r="AV241" t="str">
        <f t="shared" si="6"/>
        <v>10% updates, key range [0, 2*10^9)</v>
      </c>
      <c r="AW241" t="str">
        <f t="shared" si="7"/>
        <v>65743</v>
      </c>
    </row>
    <row r="242" spans="1:49">
      <c r="A242" t="s">
        <v>324</v>
      </c>
      <c r="B242" t="s">
        <v>72</v>
      </c>
      <c r="C242">
        <v>72</v>
      </c>
      <c r="D242" t="s">
        <v>73</v>
      </c>
      <c r="E242" t="s">
        <v>68</v>
      </c>
      <c r="F242" t="s">
        <v>69</v>
      </c>
      <c r="G242">
        <v>30000</v>
      </c>
      <c r="H242">
        <v>20</v>
      </c>
      <c r="I242">
        <v>20</v>
      </c>
      <c r="J242">
        <v>0</v>
      </c>
      <c r="K242">
        <v>1</v>
      </c>
      <c r="L242">
        <v>2000000</v>
      </c>
      <c r="M242">
        <v>24</v>
      </c>
      <c r="N242">
        <v>24</v>
      </c>
      <c r="O242">
        <v>24</v>
      </c>
      <c r="P242">
        <v>0</v>
      </c>
      <c r="Q242" t="s">
        <v>70</v>
      </c>
      <c r="R242">
        <v>999082219961</v>
      </c>
      <c r="S242">
        <v>999357</v>
      </c>
      <c r="V242" t="s">
        <v>83</v>
      </c>
      <c r="W242">
        <v>6</v>
      </c>
      <c r="X242">
        <v>74096</v>
      </c>
      <c r="Y242">
        <v>1115575</v>
      </c>
      <c r="Z242">
        <v>1189671</v>
      </c>
      <c r="AA242">
        <v>999357</v>
      </c>
      <c r="AB242">
        <v>16.055800000000001</v>
      </c>
      <c r="AC242">
        <v>0.89582200000000001</v>
      </c>
      <c r="AD242">
        <v>1.8400300000000001</v>
      </c>
      <c r="AE242">
        <v>3.0878399999999999</v>
      </c>
      <c r="AF242">
        <v>737350110</v>
      </c>
      <c r="AG242">
        <v>0</v>
      </c>
      <c r="AH242">
        <v>491602639</v>
      </c>
      <c r="AI242">
        <v>737350110</v>
      </c>
      <c r="AJ242">
        <v>1228952749</v>
      </c>
      <c r="AK242">
        <v>24578337</v>
      </c>
      <c r="AL242">
        <v>0</v>
      </c>
      <c r="AM242">
        <v>16386754</v>
      </c>
      <c r="AN242">
        <v>24578337</v>
      </c>
      <c r="AO242">
        <v>40965091</v>
      </c>
      <c r="AQ242">
        <v>15.773099999999999</v>
      </c>
      <c r="AR242">
        <v>1.05044</v>
      </c>
      <c r="AS242">
        <v>1631.7</v>
      </c>
      <c r="AU242" t="s">
        <v>427</v>
      </c>
      <c r="AV242" t="str">
        <f t="shared" si="6"/>
        <v>40% updates, key range [0, 2*10^6)</v>
      </c>
      <c r="AW242" t="str">
        <f t="shared" si="7"/>
        <v>1213</v>
      </c>
    </row>
    <row r="243" spans="1:49">
      <c r="A243" t="s">
        <v>325</v>
      </c>
      <c r="B243" t="s">
        <v>72</v>
      </c>
      <c r="C243">
        <v>72</v>
      </c>
      <c r="D243" t="s">
        <v>73</v>
      </c>
      <c r="E243" t="s">
        <v>68</v>
      </c>
      <c r="F243" t="s">
        <v>69</v>
      </c>
      <c r="G243">
        <v>30000</v>
      </c>
      <c r="H243">
        <v>20</v>
      </c>
      <c r="I243">
        <v>20</v>
      </c>
      <c r="J243">
        <v>0</v>
      </c>
      <c r="K243">
        <v>1</v>
      </c>
      <c r="L243">
        <v>2000000</v>
      </c>
      <c r="M243">
        <v>48</v>
      </c>
      <c r="N243">
        <v>48</v>
      </c>
      <c r="O243">
        <v>48</v>
      </c>
      <c r="P243">
        <v>0</v>
      </c>
      <c r="Q243" t="s">
        <v>70</v>
      </c>
      <c r="R243">
        <v>998902998412</v>
      </c>
      <c r="S243">
        <v>999349</v>
      </c>
      <c r="V243" t="s">
        <v>83</v>
      </c>
      <c r="W243">
        <v>6</v>
      </c>
      <c r="X243">
        <v>61718</v>
      </c>
      <c r="Y243">
        <v>1091357</v>
      </c>
      <c r="Z243">
        <v>1153075</v>
      </c>
      <c r="AA243">
        <v>999349</v>
      </c>
      <c r="AB243">
        <v>18.683</v>
      </c>
      <c r="AC243">
        <v>0.91569400000000001</v>
      </c>
      <c r="AD243">
        <v>1.8666799999999999</v>
      </c>
      <c r="AE243">
        <v>3.0622600000000002</v>
      </c>
      <c r="AF243">
        <v>1019625278</v>
      </c>
      <c r="AG243">
        <v>0</v>
      </c>
      <c r="AH243">
        <v>679797896</v>
      </c>
      <c r="AI243">
        <v>1019625278</v>
      </c>
      <c r="AJ243">
        <v>1699423174</v>
      </c>
      <c r="AK243">
        <v>33987509</v>
      </c>
      <c r="AL243">
        <v>0</v>
      </c>
      <c r="AM243">
        <v>22659929</v>
      </c>
      <c r="AN243">
        <v>33987509</v>
      </c>
      <c r="AO243">
        <v>56647439</v>
      </c>
      <c r="AQ243">
        <v>16.272400000000001</v>
      </c>
      <c r="AR243">
        <v>1.5301400000000001</v>
      </c>
      <c r="AS243">
        <v>2293.21</v>
      </c>
      <c r="AU243" t="s">
        <v>570</v>
      </c>
      <c r="AV243" t="str">
        <f t="shared" si="6"/>
        <v>40% updates, key range [0, 2*10^6)</v>
      </c>
      <c r="AW243" t="str">
        <f t="shared" si="7"/>
        <v>1265</v>
      </c>
    </row>
    <row r="244" spans="1:49">
      <c r="A244" t="s">
        <v>326</v>
      </c>
      <c r="B244" t="s">
        <v>72</v>
      </c>
      <c r="C244">
        <v>72</v>
      </c>
      <c r="D244" t="s">
        <v>73</v>
      </c>
      <c r="E244" t="s">
        <v>68</v>
      </c>
      <c r="F244" t="s">
        <v>69</v>
      </c>
      <c r="G244">
        <v>30000</v>
      </c>
      <c r="H244">
        <v>20</v>
      </c>
      <c r="I244">
        <v>20</v>
      </c>
      <c r="J244">
        <v>0</v>
      </c>
      <c r="K244">
        <v>1</v>
      </c>
      <c r="L244">
        <v>2000000</v>
      </c>
      <c r="M244">
        <v>96</v>
      </c>
      <c r="N244">
        <v>96</v>
      </c>
      <c r="O244">
        <v>96</v>
      </c>
      <c r="P244">
        <v>0</v>
      </c>
      <c r="Q244" t="s">
        <v>70</v>
      </c>
      <c r="R244">
        <v>1000351549210</v>
      </c>
      <c r="S244">
        <v>1000627</v>
      </c>
      <c r="V244" t="s">
        <v>83</v>
      </c>
      <c r="W244">
        <v>6</v>
      </c>
      <c r="X244">
        <v>59943</v>
      </c>
      <c r="Y244">
        <v>1087175</v>
      </c>
      <c r="Z244">
        <v>1147118</v>
      </c>
      <c r="AA244">
        <v>1000627</v>
      </c>
      <c r="AB244">
        <v>19.136800000000001</v>
      </c>
      <c r="AC244">
        <v>0.92039199999999999</v>
      </c>
      <c r="AD244">
        <v>1.8723000000000001</v>
      </c>
      <c r="AE244">
        <v>3.0568300000000002</v>
      </c>
      <c r="AF244">
        <v>1290753662</v>
      </c>
      <c r="AG244">
        <v>0</v>
      </c>
      <c r="AH244">
        <v>860506326</v>
      </c>
      <c r="AI244">
        <v>1290753662</v>
      </c>
      <c r="AJ244">
        <v>2151259988</v>
      </c>
      <c r="AK244">
        <v>43025122</v>
      </c>
      <c r="AL244">
        <v>0</v>
      </c>
      <c r="AM244">
        <v>28683544</v>
      </c>
      <c r="AN244">
        <v>43025122</v>
      </c>
      <c r="AO244">
        <v>71708666</v>
      </c>
      <c r="AQ244">
        <v>19.572600000000001</v>
      </c>
      <c r="AR244">
        <v>6.1432900000000004</v>
      </c>
      <c r="AS244">
        <v>3725.54</v>
      </c>
      <c r="AU244" t="s">
        <v>571</v>
      </c>
      <c r="AV244" t="str">
        <f t="shared" si="6"/>
        <v>40% updates, key range [0, 2*10^6)</v>
      </c>
      <c r="AW244" t="str">
        <f t="shared" si="7"/>
        <v>1380</v>
      </c>
    </row>
    <row r="245" spans="1:49">
      <c r="A245" t="s">
        <v>327</v>
      </c>
      <c r="B245" t="s">
        <v>72</v>
      </c>
      <c r="C245">
        <v>72</v>
      </c>
      <c r="D245" t="s">
        <v>73</v>
      </c>
      <c r="E245" t="s">
        <v>68</v>
      </c>
      <c r="F245" t="s">
        <v>69</v>
      </c>
      <c r="G245">
        <v>30000</v>
      </c>
      <c r="H245">
        <v>20</v>
      </c>
      <c r="I245">
        <v>20</v>
      </c>
      <c r="J245">
        <v>0</v>
      </c>
      <c r="K245">
        <v>1</v>
      </c>
      <c r="L245">
        <v>2000000</v>
      </c>
      <c r="M245">
        <v>144</v>
      </c>
      <c r="N245">
        <v>144</v>
      </c>
      <c r="O245">
        <v>144</v>
      </c>
      <c r="P245">
        <v>0</v>
      </c>
      <c r="Q245" t="s">
        <v>70</v>
      </c>
      <c r="R245">
        <v>999350934081</v>
      </c>
      <c r="S245">
        <v>999053</v>
      </c>
      <c r="V245" t="s">
        <v>83</v>
      </c>
      <c r="W245">
        <v>6</v>
      </c>
      <c r="X245">
        <v>51974</v>
      </c>
      <c r="Y245">
        <v>1069554</v>
      </c>
      <c r="Z245">
        <v>1121528</v>
      </c>
      <c r="AA245">
        <v>999053</v>
      </c>
      <c r="AB245">
        <v>21.578600000000002</v>
      </c>
      <c r="AC245">
        <v>0.93408400000000003</v>
      </c>
      <c r="AD245">
        <v>1.8908</v>
      </c>
      <c r="AE245">
        <v>3.0395400000000001</v>
      </c>
      <c r="AF245">
        <v>1425295610</v>
      </c>
      <c r="AG245">
        <v>0</v>
      </c>
      <c r="AH245">
        <v>950223350</v>
      </c>
      <c r="AI245">
        <v>1425295610</v>
      </c>
      <c r="AJ245">
        <v>2375518960</v>
      </c>
      <c r="AK245">
        <v>47509853</v>
      </c>
      <c r="AL245">
        <v>0</v>
      </c>
      <c r="AM245">
        <v>31674111</v>
      </c>
      <c r="AN245">
        <v>47509853</v>
      </c>
      <c r="AO245">
        <v>79183965</v>
      </c>
      <c r="AQ245">
        <v>24.581099999999999</v>
      </c>
      <c r="AR245">
        <v>10.7052</v>
      </c>
      <c r="AS245">
        <v>5055.59</v>
      </c>
      <c r="AU245" t="s">
        <v>572</v>
      </c>
      <c r="AV245" t="str">
        <f t="shared" si="6"/>
        <v>40% updates, key range [0, 2*10^6)</v>
      </c>
      <c r="AW245" t="str">
        <f t="shared" si="7"/>
        <v>1610</v>
      </c>
    </row>
    <row r="246" spans="1:49">
      <c r="A246" t="s">
        <v>328</v>
      </c>
      <c r="B246" t="s">
        <v>72</v>
      </c>
      <c r="C246">
        <v>72</v>
      </c>
      <c r="D246" t="s">
        <v>73</v>
      </c>
      <c r="E246" t="s">
        <v>68</v>
      </c>
      <c r="F246" t="s">
        <v>69</v>
      </c>
      <c r="G246">
        <v>30000</v>
      </c>
      <c r="H246">
        <v>20</v>
      </c>
      <c r="I246">
        <v>20</v>
      </c>
      <c r="J246">
        <v>0</v>
      </c>
      <c r="K246">
        <v>1</v>
      </c>
      <c r="L246">
        <v>2000000</v>
      </c>
      <c r="M246">
        <v>190</v>
      </c>
      <c r="N246">
        <v>190</v>
      </c>
      <c r="O246">
        <v>190</v>
      </c>
      <c r="P246">
        <v>0</v>
      </c>
      <c r="Q246" t="s">
        <v>70</v>
      </c>
      <c r="R246">
        <v>1000778861188</v>
      </c>
      <c r="S246">
        <v>1000960</v>
      </c>
      <c r="V246" t="s">
        <v>83</v>
      </c>
      <c r="W246">
        <v>6</v>
      </c>
      <c r="X246">
        <v>56280</v>
      </c>
      <c r="Y246">
        <v>1080340</v>
      </c>
      <c r="Z246">
        <v>1136620</v>
      </c>
      <c r="AA246">
        <v>1000960</v>
      </c>
      <c r="AB246">
        <v>20.195799999999998</v>
      </c>
      <c r="AC246">
        <v>0.92652299999999999</v>
      </c>
      <c r="AD246">
        <v>1.8806499999999999</v>
      </c>
      <c r="AE246">
        <v>3.0482800000000001</v>
      </c>
      <c r="AF246">
        <v>1676860128</v>
      </c>
      <c r="AG246">
        <v>0</v>
      </c>
      <c r="AH246">
        <v>1117901262</v>
      </c>
      <c r="AI246">
        <v>1676860128</v>
      </c>
      <c r="AJ246">
        <v>2794761390</v>
      </c>
      <c r="AK246">
        <v>55895337</v>
      </c>
      <c r="AL246">
        <v>0</v>
      </c>
      <c r="AM246">
        <v>37263375</v>
      </c>
      <c r="AN246">
        <v>55895337</v>
      </c>
      <c r="AO246">
        <v>93158713</v>
      </c>
      <c r="AQ246">
        <v>25.158799999999999</v>
      </c>
      <c r="AR246">
        <v>12.0017</v>
      </c>
      <c r="AS246">
        <v>5672.14</v>
      </c>
      <c r="AU246" t="s">
        <v>532</v>
      </c>
      <c r="AV246" t="str">
        <f t="shared" si="6"/>
        <v>40% updates, key range [0, 2*10^6)</v>
      </c>
      <c r="AW246" t="str">
        <f t="shared" si="7"/>
        <v>1773</v>
      </c>
    </row>
    <row r="247" spans="1:49">
      <c r="A247" t="s">
        <v>329</v>
      </c>
      <c r="B247" t="s">
        <v>74</v>
      </c>
      <c r="C247">
        <v>208</v>
      </c>
      <c r="D247" t="s">
        <v>73</v>
      </c>
      <c r="E247" t="s">
        <v>68</v>
      </c>
      <c r="F247" t="s">
        <v>69</v>
      </c>
      <c r="G247">
        <v>30000</v>
      </c>
      <c r="H247">
        <v>20</v>
      </c>
      <c r="I247">
        <v>20</v>
      </c>
      <c r="J247">
        <v>0</v>
      </c>
      <c r="K247">
        <v>1</v>
      </c>
      <c r="L247">
        <v>2000000</v>
      </c>
      <c r="M247">
        <v>24</v>
      </c>
      <c r="N247">
        <v>24</v>
      </c>
      <c r="O247">
        <v>24</v>
      </c>
      <c r="P247">
        <v>0</v>
      </c>
      <c r="Q247" t="s">
        <v>70</v>
      </c>
      <c r="R247">
        <v>1000618113745</v>
      </c>
      <c r="S247">
        <v>1000268</v>
      </c>
      <c r="V247" t="s">
        <v>83</v>
      </c>
      <c r="W247">
        <v>8</v>
      </c>
      <c r="X247">
        <v>34730</v>
      </c>
      <c r="Y247">
        <v>194906</v>
      </c>
      <c r="Z247">
        <v>229636</v>
      </c>
      <c r="AA247">
        <v>1000268</v>
      </c>
      <c r="AB247">
        <v>6.6120400000000004</v>
      </c>
      <c r="AC247">
        <v>5.1320499999999996</v>
      </c>
      <c r="AD247">
        <v>5.35588</v>
      </c>
      <c r="AE247">
        <v>7</v>
      </c>
      <c r="AF247">
        <v>847958297</v>
      </c>
      <c r="AG247">
        <v>0</v>
      </c>
      <c r="AH247">
        <v>565357141</v>
      </c>
      <c r="AI247">
        <v>847958297</v>
      </c>
      <c r="AJ247">
        <v>1413315438</v>
      </c>
      <c r="AK247">
        <v>28265276</v>
      </c>
      <c r="AL247">
        <v>0</v>
      </c>
      <c r="AM247">
        <v>18845238</v>
      </c>
      <c r="AN247">
        <v>28265276</v>
      </c>
      <c r="AO247">
        <v>47110514</v>
      </c>
      <c r="AQ247">
        <v>11.779299999999999</v>
      </c>
      <c r="AR247">
        <v>1.1233900000000001</v>
      </c>
      <c r="AS247">
        <v>1420.48</v>
      </c>
      <c r="AU247" t="s">
        <v>573</v>
      </c>
      <c r="AV247" t="str">
        <f t="shared" si="6"/>
        <v>40% updates, key range [0, 2*10^6)</v>
      </c>
      <c r="AW247" t="str">
        <f t="shared" si="7"/>
        <v>1139</v>
      </c>
    </row>
    <row r="248" spans="1:49">
      <c r="A248" t="s">
        <v>330</v>
      </c>
      <c r="B248" t="s">
        <v>74</v>
      </c>
      <c r="C248">
        <v>208</v>
      </c>
      <c r="D248" t="s">
        <v>73</v>
      </c>
      <c r="E248" t="s">
        <v>68</v>
      </c>
      <c r="F248" t="s">
        <v>69</v>
      </c>
      <c r="G248">
        <v>30000</v>
      </c>
      <c r="H248">
        <v>20</v>
      </c>
      <c r="I248">
        <v>20</v>
      </c>
      <c r="J248">
        <v>0</v>
      </c>
      <c r="K248">
        <v>1</v>
      </c>
      <c r="L248">
        <v>2000000</v>
      </c>
      <c r="M248">
        <v>48</v>
      </c>
      <c r="N248">
        <v>48</v>
      </c>
      <c r="O248">
        <v>48</v>
      </c>
      <c r="P248">
        <v>0</v>
      </c>
      <c r="Q248" t="s">
        <v>70</v>
      </c>
      <c r="R248">
        <v>1000235065451</v>
      </c>
      <c r="S248">
        <v>1000240</v>
      </c>
      <c r="V248" t="s">
        <v>83</v>
      </c>
      <c r="W248">
        <v>8</v>
      </c>
      <c r="X248">
        <v>35205</v>
      </c>
      <c r="Y248">
        <v>194968</v>
      </c>
      <c r="Z248">
        <v>230173</v>
      </c>
      <c r="AA248">
        <v>1000240</v>
      </c>
      <c r="AB248">
        <v>6.5380799999999999</v>
      </c>
      <c r="AC248">
        <v>5.13028</v>
      </c>
      <c r="AD248">
        <v>5.3456000000000001</v>
      </c>
      <c r="AE248">
        <v>7</v>
      </c>
      <c r="AF248">
        <v>1303428732</v>
      </c>
      <c r="AG248">
        <v>0</v>
      </c>
      <c r="AH248">
        <v>868924763</v>
      </c>
      <c r="AI248">
        <v>1303428732</v>
      </c>
      <c r="AJ248">
        <v>2172353495</v>
      </c>
      <c r="AK248">
        <v>43447624</v>
      </c>
      <c r="AL248">
        <v>0</v>
      </c>
      <c r="AM248">
        <v>28964158</v>
      </c>
      <c r="AN248">
        <v>43447624</v>
      </c>
      <c r="AO248">
        <v>72411783</v>
      </c>
      <c r="AQ248">
        <v>12.4621</v>
      </c>
      <c r="AR248">
        <v>1.39412</v>
      </c>
      <c r="AS248">
        <v>1794.59</v>
      </c>
      <c r="AU248" t="s">
        <v>438</v>
      </c>
      <c r="AV248" t="str">
        <f t="shared" si="6"/>
        <v>40% updates, key range [0, 2*10^6)</v>
      </c>
      <c r="AW248" t="str">
        <f t="shared" si="7"/>
        <v>1164</v>
      </c>
    </row>
    <row r="249" spans="1:49">
      <c r="A249" t="s">
        <v>331</v>
      </c>
      <c r="B249" t="s">
        <v>74</v>
      </c>
      <c r="C249">
        <v>208</v>
      </c>
      <c r="D249" t="s">
        <v>73</v>
      </c>
      <c r="E249" t="s">
        <v>68</v>
      </c>
      <c r="F249" t="s">
        <v>69</v>
      </c>
      <c r="G249">
        <v>30000</v>
      </c>
      <c r="H249">
        <v>20</v>
      </c>
      <c r="I249">
        <v>20</v>
      </c>
      <c r="J249">
        <v>0</v>
      </c>
      <c r="K249">
        <v>1</v>
      </c>
      <c r="L249">
        <v>2000000</v>
      </c>
      <c r="M249">
        <v>96</v>
      </c>
      <c r="N249">
        <v>96</v>
      </c>
      <c r="O249">
        <v>96</v>
      </c>
      <c r="P249">
        <v>0</v>
      </c>
      <c r="Q249" t="s">
        <v>70</v>
      </c>
      <c r="R249">
        <v>999437359966</v>
      </c>
      <c r="S249">
        <v>998866</v>
      </c>
      <c r="V249" t="s">
        <v>83</v>
      </c>
      <c r="W249">
        <v>8</v>
      </c>
      <c r="X249">
        <v>35782</v>
      </c>
      <c r="Y249">
        <v>194498</v>
      </c>
      <c r="Z249">
        <v>230280</v>
      </c>
      <c r="AA249">
        <v>998866</v>
      </c>
      <c r="AB249">
        <v>6.4356400000000002</v>
      </c>
      <c r="AC249">
        <v>5.1356099999999998</v>
      </c>
      <c r="AD249">
        <v>5.3376200000000003</v>
      </c>
      <c r="AE249">
        <v>7</v>
      </c>
      <c r="AF249">
        <v>2042225905</v>
      </c>
      <c r="AG249">
        <v>0</v>
      </c>
      <c r="AH249">
        <v>1361550402</v>
      </c>
      <c r="AI249">
        <v>2042225905</v>
      </c>
      <c r="AJ249">
        <v>3403776307</v>
      </c>
      <c r="AK249">
        <v>68074196</v>
      </c>
      <c r="AL249">
        <v>0</v>
      </c>
      <c r="AM249">
        <v>45385013</v>
      </c>
      <c r="AN249">
        <v>68074196</v>
      </c>
      <c r="AO249">
        <v>113459210</v>
      </c>
      <c r="AQ249">
        <v>13.813599999999999</v>
      </c>
      <c r="AR249">
        <v>3.7416200000000002</v>
      </c>
      <c r="AS249">
        <v>2349.71</v>
      </c>
      <c r="AU249" t="s">
        <v>574</v>
      </c>
      <c r="AV249" t="str">
        <f t="shared" si="6"/>
        <v>40% updates, key range [0, 2*10^6)</v>
      </c>
      <c r="AW249" t="str">
        <f t="shared" si="7"/>
        <v>1227</v>
      </c>
    </row>
    <row r="250" spans="1:49">
      <c r="A250" t="s">
        <v>332</v>
      </c>
      <c r="B250" t="s">
        <v>74</v>
      </c>
      <c r="C250">
        <v>208</v>
      </c>
      <c r="D250" t="s">
        <v>73</v>
      </c>
      <c r="E250" t="s">
        <v>68</v>
      </c>
      <c r="F250" t="s">
        <v>69</v>
      </c>
      <c r="G250">
        <v>30000</v>
      </c>
      <c r="H250">
        <v>20</v>
      </c>
      <c r="I250">
        <v>20</v>
      </c>
      <c r="J250">
        <v>0</v>
      </c>
      <c r="K250">
        <v>1</v>
      </c>
      <c r="L250">
        <v>2000000</v>
      </c>
      <c r="M250">
        <v>144</v>
      </c>
      <c r="N250">
        <v>144</v>
      </c>
      <c r="O250">
        <v>144</v>
      </c>
      <c r="P250">
        <v>0</v>
      </c>
      <c r="Q250" t="s">
        <v>70</v>
      </c>
      <c r="R250">
        <v>1000515309476</v>
      </c>
      <c r="S250">
        <v>1000185</v>
      </c>
      <c r="V250" t="s">
        <v>83</v>
      </c>
      <c r="W250">
        <v>8</v>
      </c>
      <c r="X250">
        <v>36065</v>
      </c>
      <c r="Y250">
        <v>194739</v>
      </c>
      <c r="Z250">
        <v>230804</v>
      </c>
      <c r="AA250">
        <v>1000185</v>
      </c>
      <c r="AB250">
        <v>6.3996700000000004</v>
      </c>
      <c r="AC250">
        <v>5.1360299999999999</v>
      </c>
      <c r="AD250">
        <v>5.3334799999999998</v>
      </c>
      <c r="AE250">
        <v>7</v>
      </c>
      <c r="AF250">
        <v>2544034137</v>
      </c>
      <c r="AG250">
        <v>0</v>
      </c>
      <c r="AH250">
        <v>1696060707</v>
      </c>
      <c r="AI250">
        <v>2544034137</v>
      </c>
      <c r="AJ250">
        <v>4240094844</v>
      </c>
      <c r="AK250">
        <v>84801137</v>
      </c>
      <c r="AL250">
        <v>0</v>
      </c>
      <c r="AM250">
        <v>56535356</v>
      </c>
      <c r="AN250">
        <v>84801137</v>
      </c>
      <c r="AO250">
        <v>141336494</v>
      </c>
      <c r="AQ250">
        <v>14.9397</v>
      </c>
      <c r="AR250">
        <v>5.0407999999999999</v>
      </c>
      <c r="AS250">
        <v>2820.23</v>
      </c>
      <c r="AU250" t="s">
        <v>575</v>
      </c>
      <c r="AV250" t="str">
        <f t="shared" si="6"/>
        <v>40% updates, key range [0, 2*10^6)</v>
      </c>
      <c r="AW250" t="str">
        <f t="shared" si="7"/>
        <v>1359</v>
      </c>
    </row>
    <row r="251" spans="1:49">
      <c r="A251" t="s">
        <v>333</v>
      </c>
      <c r="B251" t="s">
        <v>74</v>
      </c>
      <c r="C251">
        <v>208</v>
      </c>
      <c r="D251" t="s">
        <v>73</v>
      </c>
      <c r="E251" t="s">
        <v>68</v>
      </c>
      <c r="F251" t="s">
        <v>69</v>
      </c>
      <c r="G251">
        <v>30000</v>
      </c>
      <c r="H251">
        <v>20</v>
      </c>
      <c r="I251">
        <v>20</v>
      </c>
      <c r="J251">
        <v>0</v>
      </c>
      <c r="K251">
        <v>1</v>
      </c>
      <c r="L251">
        <v>2000000</v>
      </c>
      <c r="M251">
        <v>190</v>
      </c>
      <c r="N251">
        <v>190</v>
      </c>
      <c r="O251">
        <v>190</v>
      </c>
      <c r="P251">
        <v>0</v>
      </c>
      <c r="Q251" t="s">
        <v>70</v>
      </c>
      <c r="R251">
        <v>1001011472147</v>
      </c>
      <c r="S251">
        <v>1000175</v>
      </c>
      <c r="V251" t="s">
        <v>83</v>
      </c>
      <c r="W251">
        <v>8</v>
      </c>
      <c r="X251">
        <v>35899</v>
      </c>
      <c r="Y251">
        <v>194865</v>
      </c>
      <c r="Z251">
        <v>230764</v>
      </c>
      <c r="AA251">
        <v>1000175</v>
      </c>
      <c r="AB251">
        <v>6.4281499999999996</v>
      </c>
      <c r="AC251">
        <v>5.1326599999999996</v>
      </c>
      <c r="AD251">
        <v>5.3341900000000004</v>
      </c>
      <c r="AE251">
        <v>7</v>
      </c>
      <c r="AF251">
        <v>2213168924</v>
      </c>
      <c r="AG251">
        <v>0</v>
      </c>
      <c r="AH251">
        <v>1475439228</v>
      </c>
      <c r="AI251">
        <v>2213168924</v>
      </c>
      <c r="AJ251">
        <v>3688608152</v>
      </c>
      <c r="AK251">
        <v>73772297</v>
      </c>
      <c r="AL251">
        <v>0</v>
      </c>
      <c r="AM251">
        <v>49181307</v>
      </c>
      <c r="AN251">
        <v>73772297</v>
      </c>
      <c r="AO251">
        <v>122953605</v>
      </c>
      <c r="AQ251">
        <v>15.6249</v>
      </c>
      <c r="AR251">
        <v>5.8991600000000002</v>
      </c>
      <c r="AS251">
        <v>3902.21</v>
      </c>
      <c r="AU251" t="s">
        <v>576</v>
      </c>
      <c r="AV251" t="str">
        <f t="shared" si="6"/>
        <v>40% updates, key range [0, 2*10^6)</v>
      </c>
      <c r="AW251" t="str">
        <f t="shared" si="7"/>
        <v>1295</v>
      </c>
    </row>
    <row r="252" spans="1:49">
      <c r="A252" t="s">
        <v>334</v>
      </c>
      <c r="B252" t="s">
        <v>75</v>
      </c>
      <c r="D252" t="s">
        <v>73</v>
      </c>
      <c r="E252" t="s">
        <v>68</v>
      </c>
      <c r="F252" t="s">
        <v>69</v>
      </c>
      <c r="G252">
        <v>30000</v>
      </c>
      <c r="H252">
        <v>20</v>
      </c>
      <c r="I252">
        <v>20</v>
      </c>
      <c r="J252">
        <v>0</v>
      </c>
      <c r="K252">
        <v>1</v>
      </c>
      <c r="L252">
        <v>2000000</v>
      </c>
      <c r="M252">
        <v>24</v>
      </c>
      <c r="N252">
        <v>24</v>
      </c>
      <c r="O252">
        <v>24</v>
      </c>
      <c r="P252">
        <v>0</v>
      </c>
      <c r="Q252" t="s">
        <v>70</v>
      </c>
      <c r="R252">
        <v>998986382478</v>
      </c>
      <c r="S252">
        <v>999193</v>
      </c>
      <c r="V252" t="s">
        <v>83</v>
      </c>
      <c r="W252">
        <v>25</v>
      </c>
      <c r="X252">
        <v>685152</v>
      </c>
      <c r="Y252">
        <v>520348</v>
      </c>
      <c r="Z252">
        <v>1205500</v>
      </c>
      <c r="AA252">
        <v>999193</v>
      </c>
      <c r="AB252">
        <v>1.75946</v>
      </c>
      <c r="AC252">
        <v>1.9202399999999999</v>
      </c>
      <c r="AD252">
        <v>1.8288599999999999</v>
      </c>
      <c r="AE252">
        <v>19.842600000000001</v>
      </c>
      <c r="AF252">
        <v>435623456</v>
      </c>
      <c r="AG252">
        <v>0</v>
      </c>
      <c r="AH252">
        <v>290412723</v>
      </c>
      <c r="AI252">
        <v>435623456</v>
      </c>
      <c r="AJ252">
        <v>726036179</v>
      </c>
      <c r="AK252">
        <v>14520781</v>
      </c>
      <c r="AL252">
        <v>0</v>
      </c>
      <c r="AM252">
        <v>9680424</v>
      </c>
      <c r="AN252">
        <v>14520781</v>
      </c>
      <c r="AO252">
        <v>24201205</v>
      </c>
      <c r="AQ252">
        <v>18.052700000000002</v>
      </c>
      <c r="AR252">
        <v>3.1510500000000001</v>
      </c>
      <c r="AS252">
        <v>2765.81</v>
      </c>
      <c r="AU252" t="s">
        <v>577</v>
      </c>
      <c r="AV252" t="str">
        <f t="shared" si="6"/>
        <v>40% updates, key range [0, 2*10^6)</v>
      </c>
      <c r="AW252" t="str">
        <f t="shared" si="7"/>
        <v>1177</v>
      </c>
    </row>
    <row r="253" spans="1:49">
      <c r="A253" t="s">
        <v>335</v>
      </c>
      <c r="B253" t="s">
        <v>75</v>
      </c>
      <c r="D253" t="s">
        <v>73</v>
      </c>
      <c r="E253" t="s">
        <v>68</v>
      </c>
      <c r="F253" t="s">
        <v>69</v>
      </c>
      <c r="G253">
        <v>30000</v>
      </c>
      <c r="H253">
        <v>20</v>
      </c>
      <c r="I253">
        <v>20</v>
      </c>
      <c r="J253">
        <v>0</v>
      </c>
      <c r="K253">
        <v>1</v>
      </c>
      <c r="L253">
        <v>2000000</v>
      </c>
      <c r="M253">
        <v>48</v>
      </c>
      <c r="N253">
        <v>48</v>
      </c>
      <c r="O253">
        <v>48</v>
      </c>
      <c r="P253">
        <v>0</v>
      </c>
      <c r="Q253" t="s">
        <v>70</v>
      </c>
      <c r="R253">
        <v>999716531784</v>
      </c>
      <c r="S253">
        <v>999548</v>
      </c>
      <c r="V253" t="s">
        <v>83</v>
      </c>
      <c r="W253">
        <v>25</v>
      </c>
      <c r="X253">
        <v>685803</v>
      </c>
      <c r="Y253">
        <v>520330</v>
      </c>
      <c r="Z253">
        <v>1206133</v>
      </c>
      <c r="AA253">
        <v>999548</v>
      </c>
      <c r="AB253">
        <v>1.7587200000000001</v>
      </c>
      <c r="AC253">
        <v>1.92099</v>
      </c>
      <c r="AD253">
        <v>1.8287199999999999</v>
      </c>
      <c r="AE253">
        <v>19.8416</v>
      </c>
      <c r="AF253">
        <v>742042724</v>
      </c>
      <c r="AG253">
        <v>0</v>
      </c>
      <c r="AH253">
        <v>494705164</v>
      </c>
      <c r="AI253">
        <v>742042724</v>
      </c>
      <c r="AJ253">
        <v>1236747888</v>
      </c>
      <c r="AK253">
        <v>24734757</v>
      </c>
      <c r="AL253">
        <v>0</v>
      </c>
      <c r="AM253">
        <v>16490172</v>
      </c>
      <c r="AN253">
        <v>24734757</v>
      </c>
      <c r="AO253">
        <v>41224929</v>
      </c>
      <c r="AQ253">
        <v>19.1325</v>
      </c>
      <c r="AR253">
        <v>3.31393</v>
      </c>
      <c r="AS253">
        <v>3237.42</v>
      </c>
      <c r="AU253" t="s">
        <v>578</v>
      </c>
      <c r="AV253" t="str">
        <f t="shared" si="6"/>
        <v>40% updates, key range [0, 2*10^6)</v>
      </c>
      <c r="AW253" t="str">
        <f t="shared" si="7"/>
        <v>1200</v>
      </c>
    </row>
    <row r="254" spans="1:49">
      <c r="A254" t="s">
        <v>336</v>
      </c>
      <c r="B254" t="s">
        <v>75</v>
      </c>
      <c r="D254" t="s">
        <v>73</v>
      </c>
      <c r="E254" t="s">
        <v>68</v>
      </c>
      <c r="F254" t="s">
        <v>69</v>
      </c>
      <c r="G254">
        <v>30000</v>
      </c>
      <c r="H254">
        <v>20</v>
      </c>
      <c r="I254">
        <v>20</v>
      </c>
      <c r="J254">
        <v>0</v>
      </c>
      <c r="K254">
        <v>1</v>
      </c>
      <c r="L254">
        <v>2000000</v>
      </c>
      <c r="M254">
        <v>96</v>
      </c>
      <c r="N254">
        <v>96</v>
      </c>
      <c r="O254">
        <v>96</v>
      </c>
      <c r="P254">
        <v>0</v>
      </c>
      <c r="Q254" t="s">
        <v>70</v>
      </c>
      <c r="R254">
        <v>1000239533941</v>
      </c>
      <c r="S254">
        <v>1000485</v>
      </c>
      <c r="V254" t="s">
        <v>83</v>
      </c>
      <c r="W254">
        <v>25</v>
      </c>
      <c r="X254">
        <v>686003</v>
      </c>
      <c r="Y254">
        <v>521552</v>
      </c>
      <c r="Z254">
        <v>1207555</v>
      </c>
      <c r="AA254">
        <v>1000485</v>
      </c>
      <c r="AB254">
        <v>1.7602800000000001</v>
      </c>
      <c r="AC254">
        <v>1.91828</v>
      </c>
      <c r="AD254">
        <v>1.8285199999999999</v>
      </c>
      <c r="AE254">
        <v>19.787299999999998</v>
      </c>
      <c r="AF254">
        <v>1404780500</v>
      </c>
      <c r="AG254">
        <v>0</v>
      </c>
      <c r="AH254">
        <v>936472915</v>
      </c>
      <c r="AI254">
        <v>1404780500</v>
      </c>
      <c r="AJ254">
        <v>2341253415</v>
      </c>
      <c r="AK254">
        <v>46826016</v>
      </c>
      <c r="AL254">
        <v>0</v>
      </c>
      <c r="AM254">
        <v>31215763</v>
      </c>
      <c r="AN254">
        <v>46826016</v>
      </c>
      <c r="AO254">
        <v>78041780</v>
      </c>
      <c r="AQ254">
        <v>20.12</v>
      </c>
      <c r="AR254">
        <v>4.0219399999999998</v>
      </c>
      <c r="AS254">
        <v>3411.78</v>
      </c>
      <c r="AU254" t="s">
        <v>514</v>
      </c>
      <c r="AV254" t="str">
        <f t="shared" si="6"/>
        <v>40% updates, key range [0, 2*10^6)</v>
      </c>
      <c r="AW254" t="str">
        <f t="shared" si="7"/>
        <v>1232</v>
      </c>
    </row>
    <row r="255" spans="1:49">
      <c r="A255" t="s">
        <v>337</v>
      </c>
      <c r="B255" t="s">
        <v>75</v>
      </c>
      <c r="D255" t="s">
        <v>73</v>
      </c>
      <c r="E255" t="s">
        <v>68</v>
      </c>
      <c r="F255" t="s">
        <v>69</v>
      </c>
      <c r="G255">
        <v>30000</v>
      </c>
      <c r="H255">
        <v>20</v>
      </c>
      <c r="I255">
        <v>20</v>
      </c>
      <c r="J255">
        <v>0</v>
      </c>
      <c r="K255">
        <v>1</v>
      </c>
      <c r="L255">
        <v>2000000</v>
      </c>
      <c r="M255">
        <v>144</v>
      </c>
      <c r="N255">
        <v>144</v>
      </c>
      <c r="O255">
        <v>144</v>
      </c>
      <c r="P255">
        <v>0</v>
      </c>
      <c r="Q255" t="s">
        <v>70</v>
      </c>
      <c r="R255">
        <v>999060903311</v>
      </c>
      <c r="S255">
        <v>999630</v>
      </c>
      <c r="V255" t="s">
        <v>83</v>
      </c>
      <c r="W255">
        <v>25</v>
      </c>
      <c r="X255">
        <v>685784</v>
      </c>
      <c r="Y255">
        <v>520512</v>
      </c>
      <c r="Z255">
        <v>1206296</v>
      </c>
      <c r="AA255">
        <v>999630</v>
      </c>
      <c r="AB255">
        <v>1.7589999999999999</v>
      </c>
      <c r="AC255">
        <v>1.9204699999999999</v>
      </c>
      <c r="AD255">
        <v>1.8286800000000001</v>
      </c>
      <c r="AE255">
        <v>19.8078</v>
      </c>
      <c r="AF255">
        <v>2019431992</v>
      </c>
      <c r="AG255">
        <v>0</v>
      </c>
      <c r="AH255">
        <v>1346286364</v>
      </c>
      <c r="AI255">
        <v>2019431992</v>
      </c>
      <c r="AJ255">
        <v>3365718356</v>
      </c>
      <c r="AK255">
        <v>67314399</v>
      </c>
      <c r="AL255">
        <v>0</v>
      </c>
      <c r="AM255">
        <v>44876212</v>
      </c>
      <c r="AN255">
        <v>67314399</v>
      </c>
      <c r="AO255">
        <v>112190611</v>
      </c>
      <c r="AQ255">
        <v>20.644400000000001</v>
      </c>
      <c r="AR255">
        <v>4.4716199999999997</v>
      </c>
      <c r="AS255">
        <v>3534.67</v>
      </c>
      <c r="AU255" t="s">
        <v>579</v>
      </c>
      <c r="AV255" t="str">
        <f t="shared" si="6"/>
        <v>40% updates, key range [0, 2*10^6)</v>
      </c>
      <c r="AW255" t="str">
        <f t="shared" si="7"/>
        <v>1249</v>
      </c>
    </row>
    <row r="256" spans="1:49">
      <c r="A256" t="s">
        <v>338</v>
      </c>
      <c r="B256" t="s">
        <v>75</v>
      </c>
      <c r="D256" t="s">
        <v>73</v>
      </c>
      <c r="E256" t="s">
        <v>68</v>
      </c>
      <c r="F256" t="s">
        <v>69</v>
      </c>
      <c r="G256">
        <v>30000</v>
      </c>
      <c r="H256">
        <v>20</v>
      </c>
      <c r="I256">
        <v>20</v>
      </c>
      <c r="J256">
        <v>0</v>
      </c>
      <c r="K256">
        <v>1</v>
      </c>
      <c r="L256">
        <v>2000000</v>
      </c>
      <c r="M256">
        <v>190</v>
      </c>
      <c r="N256">
        <v>190</v>
      </c>
      <c r="O256">
        <v>190</v>
      </c>
      <c r="P256">
        <v>0</v>
      </c>
      <c r="Q256" t="s">
        <v>70</v>
      </c>
      <c r="R256">
        <v>999890330100</v>
      </c>
      <c r="S256">
        <v>999866</v>
      </c>
      <c r="V256" t="s">
        <v>83</v>
      </c>
      <c r="W256">
        <v>25</v>
      </c>
      <c r="X256">
        <v>686114</v>
      </c>
      <c r="Y256">
        <v>520271</v>
      </c>
      <c r="Z256">
        <v>1206385</v>
      </c>
      <c r="AA256">
        <v>999866</v>
      </c>
      <c r="AB256">
        <v>1.7582899999999999</v>
      </c>
      <c r="AC256">
        <v>1.9218200000000001</v>
      </c>
      <c r="AD256">
        <v>1.82881</v>
      </c>
      <c r="AE256">
        <v>19.839300000000001</v>
      </c>
      <c r="AF256">
        <v>2572979121</v>
      </c>
      <c r="AG256">
        <v>0</v>
      </c>
      <c r="AH256">
        <v>1715331942</v>
      </c>
      <c r="AI256">
        <v>2572979121</v>
      </c>
      <c r="AJ256">
        <v>4288311063</v>
      </c>
      <c r="AK256">
        <v>85765970</v>
      </c>
      <c r="AL256">
        <v>0</v>
      </c>
      <c r="AM256">
        <v>57177731</v>
      </c>
      <c r="AN256">
        <v>85765970</v>
      </c>
      <c r="AO256">
        <v>142943702</v>
      </c>
      <c r="AQ256">
        <v>21.029800000000002</v>
      </c>
      <c r="AR256">
        <v>4.9425699999999999</v>
      </c>
      <c r="AS256">
        <v>3661.6</v>
      </c>
      <c r="AU256" t="s">
        <v>580</v>
      </c>
      <c r="AV256" t="str">
        <f t="shared" si="6"/>
        <v>40% updates, key range [0, 2*10^6)</v>
      </c>
      <c r="AW256" t="str">
        <f t="shared" si="7"/>
        <v>1266</v>
      </c>
    </row>
    <row r="257" spans="1:49">
      <c r="A257" t="s">
        <v>339</v>
      </c>
      <c r="B257" t="s">
        <v>76</v>
      </c>
      <c r="D257" t="s">
        <v>73</v>
      </c>
      <c r="E257" t="s">
        <v>68</v>
      </c>
      <c r="F257" t="s">
        <v>69</v>
      </c>
      <c r="G257">
        <v>30000</v>
      </c>
      <c r="H257">
        <v>20</v>
      </c>
      <c r="I257">
        <v>20</v>
      </c>
      <c r="J257">
        <v>0</v>
      </c>
      <c r="K257">
        <v>1</v>
      </c>
      <c r="L257">
        <v>2000000</v>
      </c>
      <c r="M257">
        <v>24</v>
      </c>
      <c r="N257">
        <v>24</v>
      </c>
      <c r="O257">
        <v>24</v>
      </c>
      <c r="P257">
        <v>0</v>
      </c>
      <c r="Q257" t="s">
        <v>70</v>
      </c>
      <c r="R257">
        <v>998809653252</v>
      </c>
      <c r="S257">
        <v>998948</v>
      </c>
      <c r="V257" t="s">
        <v>83</v>
      </c>
      <c r="W257">
        <v>44</v>
      </c>
      <c r="X257">
        <v>998947</v>
      </c>
      <c r="Y257">
        <v>998948</v>
      </c>
      <c r="Z257">
        <v>1997895</v>
      </c>
      <c r="AA257">
        <v>998948</v>
      </c>
      <c r="AB257">
        <v>2</v>
      </c>
      <c r="AC257">
        <v>1</v>
      </c>
      <c r="AD257">
        <v>1.5</v>
      </c>
      <c r="AE257">
        <v>24.875299999999999</v>
      </c>
      <c r="AF257">
        <v>414241283</v>
      </c>
      <c r="AG257">
        <v>0</v>
      </c>
      <c r="AH257">
        <v>276183834</v>
      </c>
      <c r="AI257">
        <v>414241283</v>
      </c>
      <c r="AJ257">
        <v>690425117</v>
      </c>
      <c r="AK257">
        <v>13808042</v>
      </c>
      <c r="AL257">
        <v>0</v>
      </c>
      <c r="AM257">
        <v>9206127</v>
      </c>
      <c r="AN257">
        <v>13808042</v>
      </c>
      <c r="AO257">
        <v>23014170</v>
      </c>
      <c r="AQ257">
        <v>13.1548</v>
      </c>
      <c r="AR257">
        <v>2.3570899999999999</v>
      </c>
      <c r="AS257">
        <v>2908.72</v>
      </c>
      <c r="AU257" t="s">
        <v>439</v>
      </c>
      <c r="AV257" t="str">
        <f t="shared" si="6"/>
        <v>40% updates, key range [0, 2*10^6)</v>
      </c>
      <c r="AW257" t="str">
        <f t="shared" si="7"/>
        <v>1176</v>
      </c>
    </row>
    <row r="258" spans="1:49">
      <c r="A258" t="s">
        <v>340</v>
      </c>
      <c r="B258" t="s">
        <v>76</v>
      </c>
      <c r="D258" t="s">
        <v>73</v>
      </c>
      <c r="E258" t="s">
        <v>68</v>
      </c>
      <c r="F258" t="s">
        <v>69</v>
      </c>
      <c r="G258">
        <v>30000</v>
      </c>
      <c r="H258">
        <v>20</v>
      </c>
      <c r="I258">
        <v>20</v>
      </c>
      <c r="J258">
        <v>0</v>
      </c>
      <c r="K258">
        <v>1</v>
      </c>
      <c r="L258">
        <v>2000000</v>
      </c>
      <c r="M258">
        <v>48</v>
      </c>
      <c r="N258">
        <v>48</v>
      </c>
      <c r="O258">
        <v>48</v>
      </c>
      <c r="P258">
        <v>0</v>
      </c>
      <c r="Q258" t="s">
        <v>70</v>
      </c>
      <c r="R258">
        <v>1000063618957</v>
      </c>
      <c r="S258">
        <v>1000626</v>
      </c>
      <c r="V258" t="s">
        <v>83</v>
      </c>
      <c r="W258">
        <v>46</v>
      </c>
      <c r="X258">
        <v>1000625</v>
      </c>
      <c r="Y258">
        <v>1000626</v>
      </c>
      <c r="Z258">
        <v>2001251</v>
      </c>
      <c r="AA258">
        <v>1000626</v>
      </c>
      <c r="AB258">
        <v>2</v>
      </c>
      <c r="AC258">
        <v>1</v>
      </c>
      <c r="AD258">
        <v>1.5</v>
      </c>
      <c r="AE258">
        <v>25.709900000000001</v>
      </c>
      <c r="AF258">
        <v>739043939</v>
      </c>
      <c r="AG258">
        <v>0</v>
      </c>
      <c r="AH258">
        <v>492669750</v>
      </c>
      <c r="AI258">
        <v>739043939</v>
      </c>
      <c r="AJ258">
        <v>1231713689</v>
      </c>
      <c r="AK258">
        <v>24634797</v>
      </c>
      <c r="AL258">
        <v>0</v>
      </c>
      <c r="AM258">
        <v>16422325</v>
      </c>
      <c r="AN258">
        <v>24634797</v>
      </c>
      <c r="AO258">
        <v>41057122</v>
      </c>
      <c r="AQ258">
        <v>13.370200000000001</v>
      </c>
      <c r="AR258">
        <v>2.4182000000000001</v>
      </c>
      <c r="AS258">
        <v>3259.75</v>
      </c>
      <c r="AU258" t="s">
        <v>581</v>
      </c>
      <c r="AV258" t="str">
        <f t="shared" si="6"/>
        <v>40% updates, key range [0, 2*10^6)</v>
      </c>
      <c r="AW258" t="str">
        <f t="shared" si="7"/>
        <v>1197</v>
      </c>
    </row>
    <row r="259" spans="1:49">
      <c r="A259" t="s">
        <v>341</v>
      </c>
      <c r="B259" t="s">
        <v>76</v>
      </c>
      <c r="D259" t="s">
        <v>73</v>
      </c>
      <c r="E259" t="s">
        <v>68</v>
      </c>
      <c r="F259" t="s">
        <v>69</v>
      </c>
      <c r="G259">
        <v>30000</v>
      </c>
      <c r="H259">
        <v>20</v>
      </c>
      <c r="I259">
        <v>20</v>
      </c>
      <c r="J259">
        <v>0</v>
      </c>
      <c r="K259">
        <v>1</v>
      </c>
      <c r="L259">
        <v>2000000</v>
      </c>
      <c r="M259">
        <v>96</v>
      </c>
      <c r="N259">
        <v>96</v>
      </c>
      <c r="O259">
        <v>96</v>
      </c>
      <c r="P259">
        <v>0</v>
      </c>
      <c r="Q259" t="s">
        <v>70</v>
      </c>
      <c r="R259">
        <v>1000256095532</v>
      </c>
      <c r="S259">
        <v>1000055</v>
      </c>
      <c r="V259" t="s">
        <v>83</v>
      </c>
      <c r="W259">
        <v>48</v>
      </c>
      <c r="X259">
        <v>1000054</v>
      </c>
      <c r="Y259">
        <v>1000055</v>
      </c>
      <c r="Z259">
        <v>2000109</v>
      </c>
      <c r="AA259">
        <v>1000055</v>
      </c>
      <c r="AB259">
        <v>2</v>
      </c>
      <c r="AC259">
        <v>1</v>
      </c>
      <c r="AD259">
        <v>1.5</v>
      </c>
      <c r="AE259">
        <v>26.256</v>
      </c>
      <c r="AF259">
        <v>1433744735</v>
      </c>
      <c r="AG259">
        <v>0</v>
      </c>
      <c r="AH259">
        <v>955855753</v>
      </c>
      <c r="AI259">
        <v>1433744735</v>
      </c>
      <c r="AJ259">
        <v>2389600488</v>
      </c>
      <c r="AK259">
        <v>47791491</v>
      </c>
      <c r="AL259">
        <v>0</v>
      </c>
      <c r="AM259">
        <v>31861858</v>
      </c>
      <c r="AN259">
        <v>47791491</v>
      </c>
      <c r="AO259">
        <v>79653349</v>
      </c>
      <c r="AQ259">
        <v>14.812099999999999</v>
      </c>
      <c r="AR259">
        <v>3.2330399999999999</v>
      </c>
      <c r="AS259">
        <v>3356.08</v>
      </c>
      <c r="AU259" t="s">
        <v>582</v>
      </c>
      <c r="AV259" t="str">
        <f t="shared" ref="AV259:AV321" si="8">(H259+I259)&amp;"% updates, key range [0, 2*10^"&amp;LOG10(L259/2)&amp;")"</f>
        <v>40% updates, key range [0, 2*10^6)</v>
      </c>
      <c r="AW259" t="str">
        <f t="shared" ref="AW259:AW321" si="9">MID(AU259,2,FIND("m",AU259)-2)</f>
        <v>1204</v>
      </c>
    </row>
    <row r="260" spans="1:49">
      <c r="A260" t="s">
        <v>342</v>
      </c>
      <c r="B260" t="s">
        <v>76</v>
      </c>
      <c r="D260" t="s">
        <v>73</v>
      </c>
      <c r="E260" t="s">
        <v>68</v>
      </c>
      <c r="F260" t="s">
        <v>69</v>
      </c>
      <c r="G260">
        <v>30000</v>
      </c>
      <c r="H260">
        <v>20</v>
      </c>
      <c r="I260">
        <v>20</v>
      </c>
      <c r="J260">
        <v>0</v>
      </c>
      <c r="K260">
        <v>1</v>
      </c>
      <c r="L260">
        <v>2000000</v>
      </c>
      <c r="M260">
        <v>144</v>
      </c>
      <c r="N260">
        <v>144</v>
      </c>
      <c r="O260">
        <v>144</v>
      </c>
      <c r="P260">
        <v>0</v>
      </c>
      <c r="Q260" t="s">
        <v>70</v>
      </c>
      <c r="R260">
        <v>1000305251728</v>
      </c>
      <c r="S260">
        <v>1000253</v>
      </c>
      <c r="V260" t="s">
        <v>83</v>
      </c>
      <c r="W260">
        <v>46</v>
      </c>
      <c r="X260">
        <v>1000252</v>
      </c>
      <c r="Y260">
        <v>1000253</v>
      </c>
      <c r="Z260">
        <v>2000505</v>
      </c>
      <c r="AA260">
        <v>1000253</v>
      </c>
      <c r="AB260">
        <v>2</v>
      </c>
      <c r="AC260">
        <v>1</v>
      </c>
      <c r="AD260">
        <v>1.5</v>
      </c>
      <c r="AE260">
        <v>25.821200000000001</v>
      </c>
      <c r="AF260">
        <v>1912159036</v>
      </c>
      <c r="AG260">
        <v>0</v>
      </c>
      <c r="AH260">
        <v>1274847541</v>
      </c>
      <c r="AI260">
        <v>1912159036</v>
      </c>
      <c r="AJ260">
        <v>3187006577</v>
      </c>
      <c r="AK260">
        <v>63738634</v>
      </c>
      <c r="AL260">
        <v>0</v>
      </c>
      <c r="AM260">
        <v>42494918</v>
      </c>
      <c r="AN260">
        <v>63738634</v>
      </c>
      <c r="AO260">
        <v>106233552</v>
      </c>
      <c r="AQ260">
        <v>15.675599999999999</v>
      </c>
      <c r="AR260">
        <v>3.9782500000000001</v>
      </c>
      <c r="AS260">
        <v>3769.28</v>
      </c>
      <c r="AU260" t="s">
        <v>583</v>
      </c>
      <c r="AV260" t="str">
        <f t="shared" si="8"/>
        <v>40% updates, key range [0, 2*10^6)</v>
      </c>
      <c r="AW260" t="str">
        <f t="shared" si="9"/>
        <v>1226</v>
      </c>
    </row>
    <row r="261" spans="1:49">
      <c r="A261" t="s">
        <v>343</v>
      </c>
      <c r="B261" t="s">
        <v>76</v>
      </c>
      <c r="D261" t="s">
        <v>73</v>
      </c>
      <c r="E261" t="s">
        <v>68</v>
      </c>
      <c r="F261" t="s">
        <v>69</v>
      </c>
      <c r="G261">
        <v>30000</v>
      </c>
      <c r="H261">
        <v>20</v>
      </c>
      <c r="I261">
        <v>20</v>
      </c>
      <c r="J261">
        <v>0</v>
      </c>
      <c r="K261">
        <v>1</v>
      </c>
      <c r="L261">
        <v>2000000</v>
      </c>
      <c r="M261">
        <v>190</v>
      </c>
      <c r="N261">
        <v>190</v>
      </c>
      <c r="O261">
        <v>190</v>
      </c>
      <c r="P261">
        <v>0</v>
      </c>
      <c r="Q261" t="s">
        <v>70</v>
      </c>
      <c r="R261">
        <v>1001434205284</v>
      </c>
      <c r="S261">
        <v>1001209</v>
      </c>
      <c r="V261" t="s">
        <v>83</v>
      </c>
      <c r="W261">
        <v>48</v>
      </c>
      <c r="X261">
        <v>1001208</v>
      </c>
      <c r="Y261">
        <v>1001209</v>
      </c>
      <c r="Z261">
        <v>2002417</v>
      </c>
      <c r="AA261">
        <v>1001209</v>
      </c>
      <c r="AB261">
        <v>2</v>
      </c>
      <c r="AC261">
        <v>1</v>
      </c>
      <c r="AD261">
        <v>1.5</v>
      </c>
      <c r="AE261">
        <v>26.877400000000002</v>
      </c>
      <c r="AF261">
        <v>2225008168</v>
      </c>
      <c r="AG261">
        <v>0</v>
      </c>
      <c r="AH261">
        <v>1483472964</v>
      </c>
      <c r="AI261">
        <v>2225008168</v>
      </c>
      <c r="AJ261">
        <v>3708481132</v>
      </c>
      <c r="AK261">
        <v>74166938</v>
      </c>
      <c r="AL261">
        <v>0</v>
      </c>
      <c r="AM261">
        <v>49449098</v>
      </c>
      <c r="AN261">
        <v>74166938</v>
      </c>
      <c r="AO261">
        <v>123616037</v>
      </c>
      <c r="AQ261">
        <v>16.279699999999998</v>
      </c>
      <c r="AR261">
        <v>4.3550800000000001</v>
      </c>
      <c r="AS261">
        <v>4247.34</v>
      </c>
      <c r="AU261" t="s">
        <v>574</v>
      </c>
      <c r="AV261" t="str">
        <f t="shared" si="8"/>
        <v>40% updates, key range [0, 2*10^6)</v>
      </c>
      <c r="AW261" t="str">
        <f t="shared" si="9"/>
        <v>1227</v>
      </c>
    </row>
    <row r="262" spans="1:49">
      <c r="A262" t="s">
        <v>344</v>
      </c>
      <c r="B262" t="s">
        <v>72</v>
      </c>
      <c r="C262">
        <v>72</v>
      </c>
      <c r="D262" t="s">
        <v>73</v>
      </c>
      <c r="E262" t="s">
        <v>68</v>
      </c>
      <c r="F262" t="s">
        <v>69</v>
      </c>
      <c r="G262">
        <v>30000</v>
      </c>
      <c r="H262">
        <v>20</v>
      </c>
      <c r="I262">
        <v>20</v>
      </c>
      <c r="J262">
        <v>0</v>
      </c>
      <c r="K262">
        <v>1</v>
      </c>
      <c r="L262">
        <v>20000000</v>
      </c>
      <c r="M262">
        <v>24</v>
      </c>
      <c r="N262">
        <v>24</v>
      </c>
      <c r="O262">
        <v>24</v>
      </c>
      <c r="P262">
        <v>0</v>
      </c>
      <c r="Q262" t="s">
        <v>70</v>
      </c>
      <c r="R262">
        <v>99980402040160</v>
      </c>
      <c r="S262">
        <v>9999742</v>
      </c>
      <c r="V262" t="s">
        <v>83</v>
      </c>
      <c r="W262">
        <v>7</v>
      </c>
      <c r="X262">
        <v>1805455</v>
      </c>
      <c r="Y262">
        <v>11810094</v>
      </c>
      <c r="Z262">
        <v>13615549</v>
      </c>
      <c r="AA262">
        <v>9999742</v>
      </c>
      <c r="AB262">
        <v>7.5413399999999999</v>
      </c>
      <c r="AC262">
        <v>0.84671099999999999</v>
      </c>
      <c r="AD262">
        <v>1.73444</v>
      </c>
      <c r="AE262">
        <v>4.0359499999999997</v>
      </c>
      <c r="AF262">
        <v>346615996</v>
      </c>
      <c r="AG262">
        <v>0</v>
      </c>
      <c r="AH262">
        <v>231082174</v>
      </c>
      <c r="AI262">
        <v>346615996</v>
      </c>
      <c r="AJ262">
        <v>577698170</v>
      </c>
      <c r="AK262">
        <v>11553866</v>
      </c>
      <c r="AL262">
        <v>0</v>
      </c>
      <c r="AM262">
        <v>7702739</v>
      </c>
      <c r="AN262">
        <v>11553866</v>
      </c>
      <c r="AO262">
        <v>19256605</v>
      </c>
      <c r="AQ262">
        <v>26.5303</v>
      </c>
      <c r="AR262">
        <v>11.2364</v>
      </c>
      <c r="AS262">
        <v>3444.95</v>
      </c>
      <c r="AU262" t="s">
        <v>584</v>
      </c>
      <c r="AV262" t="str">
        <f t="shared" si="8"/>
        <v>40% updates, key range [0, 2*10^7)</v>
      </c>
      <c r="AW262" t="str">
        <f t="shared" si="9"/>
        <v>2450</v>
      </c>
    </row>
    <row r="263" spans="1:49">
      <c r="A263" t="s">
        <v>345</v>
      </c>
      <c r="B263" t="s">
        <v>72</v>
      </c>
      <c r="C263">
        <v>72</v>
      </c>
      <c r="D263" t="s">
        <v>73</v>
      </c>
      <c r="E263" t="s">
        <v>68</v>
      </c>
      <c r="F263" t="s">
        <v>69</v>
      </c>
      <c r="G263">
        <v>30000</v>
      </c>
      <c r="H263">
        <v>20</v>
      </c>
      <c r="I263">
        <v>20</v>
      </c>
      <c r="J263">
        <v>0</v>
      </c>
      <c r="K263">
        <v>1</v>
      </c>
      <c r="L263">
        <v>20000000</v>
      </c>
      <c r="M263">
        <v>48</v>
      </c>
      <c r="N263">
        <v>48</v>
      </c>
      <c r="O263">
        <v>48</v>
      </c>
      <c r="P263">
        <v>0</v>
      </c>
      <c r="Q263" t="s">
        <v>70</v>
      </c>
      <c r="R263">
        <v>99970950088961</v>
      </c>
      <c r="S263">
        <v>9999516</v>
      </c>
      <c r="V263" t="s">
        <v>83</v>
      </c>
      <c r="W263">
        <v>7</v>
      </c>
      <c r="X263">
        <v>1884079</v>
      </c>
      <c r="Y263">
        <v>11997357</v>
      </c>
      <c r="Z263">
        <v>13881436</v>
      </c>
      <c r="AA263">
        <v>9999516</v>
      </c>
      <c r="AB263">
        <v>7.3677599999999996</v>
      </c>
      <c r="AC263">
        <v>0.83347700000000002</v>
      </c>
      <c r="AD263">
        <v>1.72035</v>
      </c>
      <c r="AE263">
        <v>4.0500400000000001</v>
      </c>
      <c r="AF263">
        <v>553557914</v>
      </c>
      <c r="AG263">
        <v>0</v>
      </c>
      <c r="AH263">
        <v>368995605</v>
      </c>
      <c r="AI263">
        <v>553557914</v>
      </c>
      <c r="AJ263">
        <v>922553519</v>
      </c>
      <c r="AK263">
        <v>18451930</v>
      </c>
      <c r="AL263">
        <v>0</v>
      </c>
      <c r="AM263">
        <v>12299853</v>
      </c>
      <c r="AN263">
        <v>18451930</v>
      </c>
      <c r="AO263">
        <v>30751783</v>
      </c>
      <c r="AQ263">
        <v>26.865400000000001</v>
      </c>
      <c r="AR263">
        <v>11.8171</v>
      </c>
      <c r="AS263">
        <v>4304.8100000000004</v>
      </c>
      <c r="AU263" t="s">
        <v>585</v>
      </c>
      <c r="AV263" t="str">
        <f t="shared" si="8"/>
        <v>40% updates, key range [0, 2*10^7)</v>
      </c>
      <c r="AW263" t="str">
        <f t="shared" si="9"/>
        <v>2507</v>
      </c>
    </row>
    <row r="264" spans="1:49">
      <c r="A264" t="s">
        <v>346</v>
      </c>
      <c r="B264" t="s">
        <v>72</v>
      </c>
      <c r="C264">
        <v>72</v>
      </c>
      <c r="D264" t="s">
        <v>73</v>
      </c>
      <c r="E264" t="s">
        <v>68</v>
      </c>
      <c r="F264" t="s">
        <v>69</v>
      </c>
      <c r="G264">
        <v>30000</v>
      </c>
      <c r="H264">
        <v>20</v>
      </c>
      <c r="I264">
        <v>20</v>
      </c>
      <c r="J264">
        <v>0</v>
      </c>
      <c r="K264">
        <v>1</v>
      </c>
      <c r="L264">
        <v>20000000</v>
      </c>
      <c r="M264">
        <v>96</v>
      </c>
      <c r="N264">
        <v>96</v>
      </c>
      <c r="O264">
        <v>96</v>
      </c>
      <c r="P264">
        <v>0</v>
      </c>
      <c r="Q264" t="s">
        <v>70</v>
      </c>
      <c r="R264">
        <v>100017951394446</v>
      </c>
      <c r="S264">
        <v>10000025</v>
      </c>
      <c r="V264" t="s">
        <v>83</v>
      </c>
      <c r="W264">
        <v>7</v>
      </c>
      <c r="X264">
        <v>1756903</v>
      </c>
      <c r="Y264">
        <v>11714594</v>
      </c>
      <c r="Z264">
        <v>13471497</v>
      </c>
      <c r="AA264">
        <v>10000025</v>
      </c>
      <c r="AB264">
        <v>7.6677499999999998</v>
      </c>
      <c r="AC264">
        <v>0.85363800000000001</v>
      </c>
      <c r="AD264">
        <v>1.74231</v>
      </c>
      <c r="AE264">
        <v>4.0270700000000001</v>
      </c>
      <c r="AF264">
        <v>982203219</v>
      </c>
      <c r="AG264">
        <v>0</v>
      </c>
      <c r="AH264">
        <v>654759520</v>
      </c>
      <c r="AI264">
        <v>982203219</v>
      </c>
      <c r="AJ264">
        <v>1636962739</v>
      </c>
      <c r="AK264">
        <v>32740107</v>
      </c>
      <c r="AL264">
        <v>0</v>
      </c>
      <c r="AM264">
        <v>21825317</v>
      </c>
      <c r="AN264">
        <v>32740107</v>
      </c>
      <c r="AO264">
        <v>54565424</v>
      </c>
      <c r="AQ264">
        <v>27.849599999999999</v>
      </c>
      <c r="AR264">
        <v>13.738200000000001</v>
      </c>
      <c r="AS264">
        <v>4812.6499999999996</v>
      </c>
      <c r="AU264" t="s">
        <v>586</v>
      </c>
      <c r="AV264" t="str">
        <f t="shared" si="8"/>
        <v>40% updates, key range [0, 2*10^7)</v>
      </c>
      <c r="AW264" t="str">
        <f t="shared" si="9"/>
        <v>2633</v>
      </c>
    </row>
    <row r="265" spans="1:49">
      <c r="A265" t="s">
        <v>347</v>
      </c>
      <c r="B265" t="s">
        <v>72</v>
      </c>
      <c r="C265">
        <v>72</v>
      </c>
      <c r="D265" t="s">
        <v>73</v>
      </c>
      <c r="E265" t="s">
        <v>68</v>
      </c>
      <c r="F265" t="s">
        <v>69</v>
      </c>
      <c r="G265">
        <v>30000</v>
      </c>
      <c r="H265">
        <v>20</v>
      </c>
      <c r="I265">
        <v>20</v>
      </c>
      <c r="J265">
        <v>0</v>
      </c>
      <c r="K265">
        <v>1</v>
      </c>
      <c r="L265">
        <v>20000000</v>
      </c>
      <c r="M265">
        <v>144</v>
      </c>
      <c r="N265">
        <v>144</v>
      </c>
      <c r="O265">
        <v>144</v>
      </c>
      <c r="P265">
        <v>0</v>
      </c>
      <c r="Q265" t="s">
        <v>70</v>
      </c>
      <c r="R265">
        <v>100019247826999</v>
      </c>
      <c r="S265">
        <v>9999557</v>
      </c>
      <c r="V265" t="s">
        <v>83</v>
      </c>
      <c r="W265">
        <v>7</v>
      </c>
      <c r="X265">
        <v>1625824</v>
      </c>
      <c r="Y265">
        <v>11441956</v>
      </c>
      <c r="Z265">
        <v>13067780</v>
      </c>
      <c r="AA265">
        <v>9999557</v>
      </c>
      <c r="AB265">
        <v>8.0376399999999997</v>
      </c>
      <c r="AC265">
        <v>0.87393799999999999</v>
      </c>
      <c r="AD265">
        <v>1.7652099999999999</v>
      </c>
      <c r="AE265">
        <v>4.0000099999999996</v>
      </c>
      <c r="AF265">
        <v>1379796764</v>
      </c>
      <c r="AG265">
        <v>0</v>
      </c>
      <c r="AH265">
        <v>919844677</v>
      </c>
      <c r="AI265">
        <v>1379796764</v>
      </c>
      <c r="AJ265">
        <v>2299641441</v>
      </c>
      <c r="AK265">
        <v>45993225</v>
      </c>
      <c r="AL265">
        <v>0</v>
      </c>
      <c r="AM265">
        <v>30661489</v>
      </c>
      <c r="AN265">
        <v>45993225</v>
      </c>
      <c r="AO265">
        <v>76654714</v>
      </c>
      <c r="AQ265">
        <v>28.184799999999999</v>
      </c>
      <c r="AR265">
        <v>14.590299999999999</v>
      </c>
      <c r="AS265">
        <v>5099.29</v>
      </c>
      <c r="AU265" t="s">
        <v>587</v>
      </c>
      <c r="AV265" t="str">
        <f t="shared" si="8"/>
        <v>40% updates, key range [0, 2*10^7)</v>
      </c>
      <c r="AW265" t="str">
        <f t="shared" si="9"/>
        <v>2818</v>
      </c>
    </row>
    <row r="266" spans="1:49">
      <c r="A266" t="s">
        <v>348</v>
      </c>
      <c r="B266" t="s">
        <v>72</v>
      </c>
      <c r="C266">
        <v>72</v>
      </c>
      <c r="D266" t="s">
        <v>73</v>
      </c>
      <c r="E266" t="s">
        <v>68</v>
      </c>
      <c r="F266" t="s">
        <v>69</v>
      </c>
      <c r="G266">
        <v>30000</v>
      </c>
      <c r="H266">
        <v>20</v>
      </c>
      <c r="I266">
        <v>20</v>
      </c>
      <c r="J266">
        <v>0</v>
      </c>
      <c r="K266">
        <v>1</v>
      </c>
      <c r="L266">
        <v>20000000</v>
      </c>
      <c r="M266">
        <v>190</v>
      </c>
      <c r="N266">
        <v>190</v>
      </c>
      <c r="O266">
        <v>190</v>
      </c>
      <c r="P266">
        <v>0</v>
      </c>
      <c r="Q266" t="s">
        <v>70</v>
      </c>
      <c r="R266">
        <v>100014311764210</v>
      </c>
      <c r="S266">
        <v>10000801</v>
      </c>
      <c r="V266" t="s">
        <v>83</v>
      </c>
      <c r="W266">
        <v>7</v>
      </c>
      <c r="X266">
        <v>1769192</v>
      </c>
      <c r="Y266">
        <v>11748835</v>
      </c>
      <c r="Z266">
        <v>13518027</v>
      </c>
      <c r="AA266">
        <v>10000801</v>
      </c>
      <c r="AB266">
        <v>7.64079</v>
      </c>
      <c r="AC266">
        <v>0.85121599999999997</v>
      </c>
      <c r="AD266">
        <v>1.7398100000000001</v>
      </c>
      <c r="AE266">
        <v>4.0287499999999996</v>
      </c>
      <c r="AF266">
        <v>1670490372</v>
      </c>
      <c r="AG266">
        <v>0</v>
      </c>
      <c r="AH266">
        <v>1113618933</v>
      </c>
      <c r="AI266">
        <v>1670490372</v>
      </c>
      <c r="AJ266">
        <v>2784109305</v>
      </c>
      <c r="AK266">
        <v>55683012</v>
      </c>
      <c r="AL266">
        <v>0</v>
      </c>
      <c r="AM266">
        <v>37120631</v>
      </c>
      <c r="AN266">
        <v>55683012</v>
      </c>
      <c r="AO266">
        <v>92803643</v>
      </c>
      <c r="AQ266">
        <v>28.770099999999999</v>
      </c>
      <c r="AR266">
        <v>15.3847</v>
      </c>
      <c r="AS266">
        <v>5517.07</v>
      </c>
      <c r="AU266" t="s">
        <v>588</v>
      </c>
      <c r="AV266" t="str">
        <f t="shared" si="8"/>
        <v>40% updates, key range [0, 2*10^7)</v>
      </c>
      <c r="AW266" t="str">
        <f t="shared" si="9"/>
        <v>2938</v>
      </c>
    </row>
    <row r="267" spans="1:49">
      <c r="A267" t="s">
        <v>349</v>
      </c>
      <c r="B267" t="s">
        <v>74</v>
      </c>
      <c r="C267">
        <v>208</v>
      </c>
      <c r="D267" t="s">
        <v>73</v>
      </c>
      <c r="E267" t="s">
        <v>68</v>
      </c>
      <c r="F267" t="s">
        <v>69</v>
      </c>
      <c r="G267">
        <v>30000</v>
      </c>
      <c r="H267">
        <v>20</v>
      </c>
      <c r="I267">
        <v>20</v>
      </c>
      <c r="J267">
        <v>0</v>
      </c>
      <c r="K267">
        <v>1</v>
      </c>
      <c r="L267">
        <v>20000000</v>
      </c>
      <c r="M267">
        <v>24</v>
      </c>
      <c r="N267">
        <v>24</v>
      </c>
      <c r="O267">
        <v>24</v>
      </c>
      <c r="P267">
        <v>0</v>
      </c>
      <c r="Q267" t="s">
        <v>70</v>
      </c>
      <c r="R267">
        <v>100058614412771</v>
      </c>
      <c r="S267">
        <v>10003408</v>
      </c>
      <c r="V267" t="s">
        <v>83</v>
      </c>
      <c r="W267">
        <v>9</v>
      </c>
      <c r="X267">
        <v>293633</v>
      </c>
      <c r="Y267">
        <v>1947202</v>
      </c>
      <c r="Z267">
        <v>2240835</v>
      </c>
      <c r="AA267">
        <v>10003408</v>
      </c>
      <c r="AB267">
        <v>7.6314099999999998</v>
      </c>
      <c r="AC267">
        <v>5.1373199999999999</v>
      </c>
      <c r="AD267">
        <v>5.4641400000000004</v>
      </c>
      <c r="AE267">
        <v>8</v>
      </c>
      <c r="AF267">
        <v>463675485</v>
      </c>
      <c r="AG267">
        <v>0</v>
      </c>
      <c r="AH267">
        <v>309106540</v>
      </c>
      <c r="AI267">
        <v>463675485</v>
      </c>
      <c r="AJ267">
        <v>772782025</v>
      </c>
      <c r="AK267">
        <v>15455849</v>
      </c>
      <c r="AL267">
        <v>0</v>
      </c>
      <c r="AM267">
        <v>10303551</v>
      </c>
      <c r="AN267">
        <v>15455849</v>
      </c>
      <c r="AO267">
        <v>25759400</v>
      </c>
      <c r="AQ267">
        <v>19.576000000000001</v>
      </c>
      <c r="AR267">
        <v>6.4038599999999999</v>
      </c>
      <c r="AS267">
        <v>2597.41</v>
      </c>
      <c r="AU267" t="s">
        <v>589</v>
      </c>
      <c r="AV267" t="str">
        <f t="shared" si="8"/>
        <v>40% updates, key range [0, 2*10^7)</v>
      </c>
      <c r="AW267" t="str">
        <f t="shared" si="9"/>
        <v>1574</v>
      </c>
    </row>
    <row r="268" spans="1:49">
      <c r="A268" t="s">
        <v>350</v>
      </c>
      <c r="B268" t="s">
        <v>74</v>
      </c>
      <c r="C268">
        <v>208</v>
      </c>
      <c r="D268" t="s">
        <v>73</v>
      </c>
      <c r="E268" t="s">
        <v>68</v>
      </c>
      <c r="F268" t="s">
        <v>69</v>
      </c>
      <c r="G268">
        <v>30000</v>
      </c>
      <c r="H268">
        <v>20</v>
      </c>
      <c r="I268">
        <v>20</v>
      </c>
      <c r="J268">
        <v>0</v>
      </c>
      <c r="K268">
        <v>1</v>
      </c>
      <c r="L268">
        <v>20000000</v>
      </c>
      <c r="M268">
        <v>48</v>
      </c>
      <c r="N268">
        <v>48</v>
      </c>
      <c r="O268">
        <v>48</v>
      </c>
      <c r="P268">
        <v>0</v>
      </c>
      <c r="Q268" t="s">
        <v>70</v>
      </c>
      <c r="R268">
        <v>100019650095740</v>
      </c>
      <c r="S268">
        <v>10001750</v>
      </c>
      <c r="V268" t="s">
        <v>83</v>
      </c>
      <c r="W268">
        <v>9</v>
      </c>
      <c r="X268">
        <v>308310</v>
      </c>
      <c r="Y268">
        <v>1966589</v>
      </c>
      <c r="Z268">
        <v>2274899</v>
      </c>
      <c r="AA268">
        <v>10001750</v>
      </c>
      <c r="AB268">
        <v>7.3786100000000001</v>
      </c>
      <c r="AC268">
        <v>5.0858400000000001</v>
      </c>
      <c r="AD268">
        <v>5.3965699999999996</v>
      </c>
      <c r="AE268">
        <v>8</v>
      </c>
      <c r="AF268">
        <v>824156429</v>
      </c>
      <c r="AG268">
        <v>0</v>
      </c>
      <c r="AH268">
        <v>549479964</v>
      </c>
      <c r="AI268">
        <v>824156429</v>
      </c>
      <c r="AJ268">
        <v>1373636393</v>
      </c>
      <c r="AK268">
        <v>27471880</v>
      </c>
      <c r="AL268">
        <v>0</v>
      </c>
      <c r="AM268">
        <v>18315998</v>
      </c>
      <c r="AN268">
        <v>27471880</v>
      </c>
      <c r="AO268">
        <v>45787879</v>
      </c>
      <c r="AQ268">
        <v>20.0871</v>
      </c>
      <c r="AR268">
        <v>6.7718600000000002</v>
      </c>
      <c r="AS268">
        <v>2919.22</v>
      </c>
      <c r="AU268" t="s">
        <v>590</v>
      </c>
      <c r="AV268" t="str">
        <f t="shared" si="8"/>
        <v>40% updates, key range [0, 2*10^7)</v>
      </c>
      <c r="AW268" t="str">
        <f t="shared" si="9"/>
        <v>1712</v>
      </c>
    </row>
    <row r="269" spans="1:49">
      <c r="A269" t="s">
        <v>351</v>
      </c>
      <c r="B269" t="s">
        <v>74</v>
      </c>
      <c r="C269">
        <v>208</v>
      </c>
      <c r="D269" t="s">
        <v>73</v>
      </c>
      <c r="E269" t="s">
        <v>68</v>
      </c>
      <c r="F269" t="s">
        <v>69</v>
      </c>
      <c r="G269">
        <v>30000</v>
      </c>
      <c r="H269">
        <v>20</v>
      </c>
      <c r="I269">
        <v>20</v>
      </c>
      <c r="J269">
        <v>0</v>
      </c>
      <c r="K269">
        <v>1</v>
      </c>
      <c r="L269">
        <v>20000000</v>
      </c>
      <c r="M269">
        <v>96</v>
      </c>
      <c r="N269">
        <v>96</v>
      </c>
      <c r="O269">
        <v>96</v>
      </c>
      <c r="P269">
        <v>0</v>
      </c>
      <c r="Q269" t="s">
        <v>70</v>
      </c>
      <c r="R269">
        <v>99969656321582</v>
      </c>
      <c r="S269">
        <v>9998961</v>
      </c>
      <c r="V269" t="s">
        <v>83</v>
      </c>
      <c r="W269">
        <v>10</v>
      </c>
      <c r="X269">
        <v>319978</v>
      </c>
      <c r="Y269">
        <v>1960623</v>
      </c>
      <c r="Z269">
        <v>2280601</v>
      </c>
      <c r="AA269">
        <v>9998961</v>
      </c>
      <c r="AB269">
        <v>7.12737</v>
      </c>
      <c r="AC269">
        <v>5.0998900000000003</v>
      </c>
      <c r="AD269">
        <v>5.3843500000000004</v>
      </c>
      <c r="AE269">
        <v>9</v>
      </c>
      <c r="AF269">
        <v>1481477330</v>
      </c>
      <c r="AG269">
        <v>0</v>
      </c>
      <c r="AH269">
        <v>987623678</v>
      </c>
      <c r="AI269">
        <v>1481477330</v>
      </c>
      <c r="AJ269">
        <v>2469101008</v>
      </c>
      <c r="AK269">
        <v>49382577</v>
      </c>
      <c r="AL269">
        <v>0</v>
      </c>
      <c r="AM269">
        <v>32920789</v>
      </c>
      <c r="AN269">
        <v>49382577</v>
      </c>
      <c r="AO269">
        <v>82303366</v>
      </c>
      <c r="AQ269">
        <v>21.331800000000001</v>
      </c>
      <c r="AR269">
        <v>7.6409000000000002</v>
      </c>
      <c r="AS269">
        <v>3239.27</v>
      </c>
      <c r="AU269" t="s">
        <v>591</v>
      </c>
      <c r="AV269" t="str">
        <f t="shared" si="8"/>
        <v>40% updates, key range [0, 2*10^7)</v>
      </c>
      <c r="AW269" t="str">
        <f t="shared" si="9"/>
        <v>2140</v>
      </c>
    </row>
    <row r="270" spans="1:49">
      <c r="A270" t="s">
        <v>352</v>
      </c>
      <c r="B270" t="s">
        <v>74</v>
      </c>
      <c r="C270">
        <v>208</v>
      </c>
      <c r="D270" t="s">
        <v>73</v>
      </c>
      <c r="E270" t="s">
        <v>68</v>
      </c>
      <c r="F270" t="s">
        <v>69</v>
      </c>
      <c r="G270">
        <v>30000</v>
      </c>
      <c r="H270">
        <v>20</v>
      </c>
      <c r="I270">
        <v>20</v>
      </c>
      <c r="J270">
        <v>0</v>
      </c>
      <c r="K270">
        <v>1</v>
      </c>
      <c r="L270">
        <v>20000000</v>
      </c>
      <c r="M270">
        <v>144</v>
      </c>
      <c r="N270">
        <v>144</v>
      </c>
      <c r="O270">
        <v>144</v>
      </c>
      <c r="P270">
        <v>0</v>
      </c>
      <c r="Q270" t="s">
        <v>70</v>
      </c>
      <c r="R270">
        <v>100022977518468</v>
      </c>
      <c r="S270">
        <v>10000781</v>
      </c>
      <c r="V270" t="s">
        <v>83</v>
      </c>
      <c r="W270">
        <v>10</v>
      </c>
      <c r="X270">
        <v>325006</v>
      </c>
      <c r="Y270">
        <v>1956937</v>
      </c>
      <c r="Z270">
        <v>2281943</v>
      </c>
      <c r="AA270">
        <v>10000781</v>
      </c>
      <c r="AB270">
        <v>7.0212300000000001</v>
      </c>
      <c r="AC270">
        <v>5.11043</v>
      </c>
      <c r="AD270">
        <v>5.3825700000000003</v>
      </c>
      <c r="AE270">
        <v>9</v>
      </c>
      <c r="AF270">
        <v>1932711973</v>
      </c>
      <c r="AG270">
        <v>0</v>
      </c>
      <c r="AH270">
        <v>1288559673</v>
      </c>
      <c r="AI270">
        <v>1932711973</v>
      </c>
      <c r="AJ270">
        <v>3221271646</v>
      </c>
      <c r="AK270">
        <v>64423732</v>
      </c>
      <c r="AL270">
        <v>0</v>
      </c>
      <c r="AM270">
        <v>42951989</v>
      </c>
      <c r="AN270">
        <v>64423732</v>
      </c>
      <c r="AO270">
        <v>107375721</v>
      </c>
      <c r="AQ270">
        <v>22.539200000000001</v>
      </c>
      <c r="AR270">
        <v>8.6455500000000001</v>
      </c>
      <c r="AS270">
        <v>3724.88</v>
      </c>
      <c r="AU270" t="s">
        <v>592</v>
      </c>
      <c r="AV270" t="str">
        <f t="shared" si="8"/>
        <v>40% updates, key range [0, 2*10^7)</v>
      </c>
      <c r="AW270" t="str">
        <f t="shared" si="9"/>
        <v>2109</v>
      </c>
    </row>
    <row r="271" spans="1:49">
      <c r="A271" t="s">
        <v>353</v>
      </c>
      <c r="B271" t="s">
        <v>74</v>
      </c>
      <c r="C271">
        <v>208</v>
      </c>
      <c r="D271" t="s">
        <v>73</v>
      </c>
      <c r="E271" t="s">
        <v>68</v>
      </c>
      <c r="F271" t="s">
        <v>69</v>
      </c>
      <c r="G271">
        <v>30000</v>
      </c>
      <c r="H271">
        <v>20</v>
      </c>
      <c r="I271">
        <v>20</v>
      </c>
      <c r="J271">
        <v>0</v>
      </c>
      <c r="K271">
        <v>1</v>
      </c>
      <c r="L271">
        <v>20000000</v>
      </c>
      <c r="M271">
        <v>190</v>
      </c>
      <c r="N271">
        <v>190</v>
      </c>
      <c r="O271">
        <v>190</v>
      </c>
      <c r="P271">
        <v>0</v>
      </c>
      <c r="Q271" t="s">
        <v>70</v>
      </c>
      <c r="R271">
        <v>99991089219578</v>
      </c>
      <c r="S271">
        <v>9998919</v>
      </c>
      <c r="V271" t="s">
        <v>83</v>
      </c>
      <c r="W271">
        <v>10</v>
      </c>
      <c r="X271">
        <v>327372</v>
      </c>
      <c r="Y271">
        <v>1954958</v>
      </c>
      <c r="Z271">
        <v>2282330</v>
      </c>
      <c r="AA271">
        <v>9998919</v>
      </c>
      <c r="AB271">
        <v>6.9716699999999996</v>
      </c>
      <c r="AC271">
        <v>5.1146500000000001</v>
      </c>
      <c r="AD271">
        <v>5.3810099999999998</v>
      </c>
      <c r="AE271">
        <v>9</v>
      </c>
      <c r="AF271">
        <v>2211355372</v>
      </c>
      <c r="AG271">
        <v>0</v>
      </c>
      <c r="AH271">
        <v>1474259220</v>
      </c>
      <c r="AI271">
        <v>2211355372</v>
      </c>
      <c r="AJ271">
        <v>3685614592</v>
      </c>
      <c r="AK271">
        <v>73711845</v>
      </c>
      <c r="AL271">
        <v>0</v>
      </c>
      <c r="AM271">
        <v>49141974</v>
      </c>
      <c r="AN271">
        <v>73711845</v>
      </c>
      <c r="AO271">
        <v>122853819</v>
      </c>
      <c r="AQ271">
        <v>22.851400000000002</v>
      </c>
      <c r="AR271">
        <v>9.1099899999999998</v>
      </c>
      <c r="AS271">
        <v>4267.75</v>
      </c>
      <c r="AU271" t="s">
        <v>593</v>
      </c>
      <c r="AV271" t="str">
        <f t="shared" si="8"/>
        <v>40% updates, key range [0, 2*10^7)</v>
      </c>
      <c r="AW271" t="str">
        <f t="shared" si="9"/>
        <v>2266</v>
      </c>
    </row>
    <row r="272" spans="1:49">
      <c r="A272" t="s">
        <v>594</v>
      </c>
      <c r="B272" t="s">
        <v>75</v>
      </c>
      <c r="D272" t="s">
        <v>73</v>
      </c>
      <c r="E272" t="s">
        <v>68</v>
      </c>
      <c r="F272" t="s">
        <v>69</v>
      </c>
      <c r="G272">
        <v>30000</v>
      </c>
      <c r="H272">
        <v>20</v>
      </c>
      <c r="I272">
        <v>20</v>
      </c>
      <c r="J272">
        <v>0</v>
      </c>
      <c r="K272">
        <v>1</v>
      </c>
      <c r="L272">
        <v>20000000</v>
      </c>
      <c r="M272">
        <v>24</v>
      </c>
      <c r="N272">
        <v>24</v>
      </c>
      <c r="O272">
        <v>24</v>
      </c>
      <c r="P272">
        <v>0</v>
      </c>
      <c r="Q272" t="s">
        <v>70</v>
      </c>
      <c r="R272">
        <v>99944966943250</v>
      </c>
      <c r="S272">
        <v>9997289</v>
      </c>
      <c r="V272" t="s">
        <v>83</v>
      </c>
      <c r="W272">
        <v>29</v>
      </c>
      <c r="X272">
        <v>6856929</v>
      </c>
      <c r="Y272">
        <v>5202104</v>
      </c>
      <c r="Z272">
        <v>12059033</v>
      </c>
      <c r="AA272">
        <v>9997289</v>
      </c>
      <c r="AB272">
        <v>1.7586599999999999</v>
      </c>
      <c r="AC272">
        <v>1.92178</v>
      </c>
      <c r="AD272">
        <v>1.8290299999999999</v>
      </c>
      <c r="AE272">
        <v>23.245999999999999</v>
      </c>
      <c r="AF272">
        <v>224595554</v>
      </c>
      <c r="AG272">
        <v>0</v>
      </c>
      <c r="AH272">
        <v>149739823</v>
      </c>
      <c r="AI272">
        <v>224595554</v>
      </c>
      <c r="AJ272">
        <v>374335377</v>
      </c>
      <c r="AK272">
        <v>7486518</v>
      </c>
      <c r="AL272">
        <v>0</v>
      </c>
      <c r="AM272">
        <v>4991327</v>
      </c>
      <c r="AN272">
        <v>7486518</v>
      </c>
      <c r="AO272">
        <v>12477845</v>
      </c>
      <c r="AQ272">
        <v>30.1065</v>
      </c>
      <c r="AR272">
        <v>10.6172</v>
      </c>
      <c r="AS272">
        <v>5356.96</v>
      </c>
      <c r="AU272" t="s">
        <v>595</v>
      </c>
      <c r="AV272" t="str">
        <f t="shared" si="8"/>
        <v>40% updates, key range [0, 2*10^7)</v>
      </c>
      <c r="AW272" t="str">
        <f t="shared" si="9"/>
        <v>1860</v>
      </c>
    </row>
    <row r="273" spans="1:49">
      <c r="A273" t="s">
        <v>596</v>
      </c>
      <c r="B273" t="s">
        <v>75</v>
      </c>
      <c r="D273" t="s">
        <v>73</v>
      </c>
      <c r="E273" t="s">
        <v>68</v>
      </c>
      <c r="F273" t="s">
        <v>69</v>
      </c>
      <c r="G273">
        <v>30000</v>
      </c>
      <c r="H273">
        <v>20</v>
      </c>
      <c r="I273">
        <v>20</v>
      </c>
      <c r="J273">
        <v>0</v>
      </c>
      <c r="K273">
        <v>1</v>
      </c>
      <c r="L273">
        <v>20000000</v>
      </c>
      <c r="M273">
        <v>48</v>
      </c>
      <c r="N273">
        <v>48</v>
      </c>
      <c r="O273">
        <v>48</v>
      </c>
      <c r="P273">
        <v>0</v>
      </c>
      <c r="Q273" t="s">
        <v>70</v>
      </c>
      <c r="R273">
        <v>100008888886242</v>
      </c>
      <c r="S273">
        <v>10000177</v>
      </c>
      <c r="V273" t="s">
        <v>83</v>
      </c>
      <c r="W273">
        <v>29</v>
      </c>
      <c r="X273">
        <v>6857872</v>
      </c>
      <c r="Y273">
        <v>5203557</v>
      </c>
      <c r="Z273">
        <v>12061429</v>
      </c>
      <c r="AA273">
        <v>10000177</v>
      </c>
      <c r="AB273">
        <v>1.7587699999999999</v>
      </c>
      <c r="AC273">
        <v>1.9218</v>
      </c>
      <c r="AD273">
        <v>1.8290999999999999</v>
      </c>
      <c r="AE273">
        <v>23.305</v>
      </c>
      <c r="AF273">
        <v>423696497</v>
      </c>
      <c r="AG273">
        <v>0</v>
      </c>
      <c r="AH273">
        <v>282494460</v>
      </c>
      <c r="AI273">
        <v>423696497</v>
      </c>
      <c r="AJ273">
        <v>706190957</v>
      </c>
      <c r="AK273">
        <v>14123216</v>
      </c>
      <c r="AL273">
        <v>0</v>
      </c>
      <c r="AM273">
        <v>9416482</v>
      </c>
      <c r="AN273">
        <v>14123216</v>
      </c>
      <c r="AO273">
        <v>23539698</v>
      </c>
      <c r="AQ273">
        <v>30.7804</v>
      </c>
      <c r="AR273">
        <v>10.601100000000001</v>
      </c>
      <c r="AS273">
        <v>5679.69</v>
      </c>
      <c r="AU273" t="s">
        <v>597</v>
      </c>
      <c r="AV273" t="str">
        <f t="shared" si="8"/>
        <v>40% updates, key range [0, 2*10^7)</v>
      </c>
      <c r="AW273" t="str">
        <f t="shared" si="9"/>
        <v>1890</v>
      </c>
    </row>
    <row r="274" spans="1:49">
      <c r="A274" t="s">
        <v>598</v>
      </c>
      <c r="B274" t="s">
        <v>75</v>
      </c>
      <c r="D274" t="s">
        <v>73</v>
      </c>
      <c r="E274" t="s">
        <v>68</v>
      </c>
      <c r="F274" t="s">
        <v>69</v>
      </c>
      <c r="G274">
        <v>30000</v>
      </c>
      <c r="H274">
        <v>20</v>
      </c>
      <c r="I274">
        <v>20</v>
      </c>
      <c r="J274">
        <v>0</v>
      </c>
      <c r="K274">
        <v>1</v>
      </c>
      <c r="L274">
        <v>20000000</v>
      </c>
      <c r="M274">
        <v>96</v>
      </c>
      <c r="N274">
        <v>96</v>
      </c>
      <c r="O274">
        <v>96</v>
      </c>
      <c r="P274">
        <v>0</v>
      </c>
      <c r="Q274" t="s">
        <v>70</v>
      </c>
      <c r="R274">
        <v>100021104857961</v>
      </c>
      <c r="S274">
        <v>10001511</v>
      </c>
      <c r="V274" t="s">
        <v>83</v>
      </c>
      <c r="W274">
        <v>29</v>
      </c>
      <c r="X274">
        <v>6860243</v>
      </c>
      <c r="Y274">
        <v>5217017</v>
      </c>
      <c r="Z274">
        <v>12077260</v>
      </c>
      <c r="AA274">
        <v>10001511</v>
      </c>
      <c r="AB274">
        <v>1.76047</v>
      </c>
      <c r="AC274">
        <v>1.91709</v>
      </c>
      <c r="AD274">
        <v>1.82813</v>
      </c>
      <c r="AE274">
        <v>23.250699999999998</v>
      </c>
      <c r="AF274">
        <v>876820626</v>
      </c>
      <c r="AG274">
        <v>0</v>
      </c>
      <c r="AH274">
        <v>584584430</v>
      </c>
      <c r="AI274">
        <v>876820626</v>
      </c>
      <c r="AJ274">
        <v>1461405056</v>
      </c>
      <c r="AK274">
        <v>29227354</v>
      </c>
      <c r="AL274">
        <v>0</v>
      </c>
      <c r="AM274">
        <v>19486147</v>
      </c>
      <c r="AN274">
        <v>29227354</v>
      </c>
      <c r="AO274">
        <v>48713501</v>
      </c>
      <c r="AQ274">
        <v>31.513500000000001</v>
      </c>
      <c r="AR274">
        <v>11.194900000000001</v>
      </c>
      <c r="AS274">
        <v>5488.4</v>
      </c>
      <c r="AU274" t="s">
        <v>599</v>
      </c>
      <c r="AV274" t="str">
        <f t="shared" si="8"/>
        <v>40% updates, key range [0, 2*10^7)</v>
      </c>
      <c r="AW274" t="str">
        <f t="shared" si="9"/>
        <v>2044</v>
      </c>
    </row>
    <row r="275" spans="1:49">
      <c r="A275" t="s">
        <v>600</v>
      </c>
      <c r="B275" t="s">
        <v>75</v>
      </c>
      <c r="D275" t="s">
        <v>73</v>
      </c>
      <c r="E275" t="s">
        <v>68</v>
      </c>
      <c r="F275" t="s">
        <v>69</v>
      </c>
      <c r="G275">
        <v>30000</v>
      </c>
      <c r="H275">
        <v>20</v>
      </c>
      <c r="I275">
        <v>20</v>
      </c>
      <c r="J275">
        <v>0</v>
      </c>
      <c r="K275">
        <v>1</v>
      </c>
      <c r="L275">
        <v>20000000</v>
      </c>
      <c r="M275">
        <v>144</v>
      </c>
      <c r="N275">
        <v>144</v>
      </c>
      <c r="O275">
        <v>144</v>
      </c>
      <c r="P275">
        <v>0</v>
      </c>
      <c r="Q275" t="s">
        <v>70</v>
      </c>
      <c r="R275">
        <v>100006071057778</v>
      </c>
      <c r="S275">
        <v>10000434</v>
      </c>
      <c r="V275" t="s">
        <v>83</v>
      </c>
      <c r="W275">
        <v>29</v>
      </c>
      <c r="X275">
        <v>6858383</v>
      </c>
      <c r="Y275">
        <v>5203229</v>
      </c>
      <c r="Z275">
        <v>12061612</v>
      </c>
      <c r="AA275">
        <v>10000434</v>
      </c>
      <c r="AB275">
        <v>1.75867</v>
      </c>
      <c r="AC275">
        <v>1.92197</v>
      </c>
      <c r="AD275">
        <v>1.82911</v>
      </c>
      <c r="AE275">
        <v>23.206900000000001</v>
      </c>
      <c r="AF275">
        <v>1280733607</v>
      </c>
      <c r="AG275">
        <v>0</v>
      </c>
      <c r="AH275">
        <v>853781035</v>
      </c>
      <c r="AI275">
        <v>1280733607</v>
      </c>
      <c r="AJ275">
        <v>2134514642</v>
      </c>
      <c r="AK275">
        <v>42691120</v>
      </c>
      <c r="AL275">
        <v>0</v>
      </c>
      <c r="AM275">
        <v>28459367</v>
      </c>
      <c r="AN275">
        <v>42691120</v>
      </c>
      <c r="AO275">
        <v>71150488</v>
      </c>
      <c r="AQ275">
        <v>32.4345</v>
      </c>
      <c r="AR275">
        <v>11.8695</v>
      </c>
      <c r="AS275">
        <v>5626.12</v>
      </c>
      <c r="AU275" t="s">
        <v>601</v>
      </c>
      <c r="AV275" t="str">
        <f t="shared" si="8"/>
        <v>40% updates, key range [0, 2*10^7)</v>
      </c>
      <c r="AW275" t="str">
        <f t="shared" si="9"/>
        <v>2417</v>
      </c>
    </row>
    <row r="276" spans="1:49">
      <c r="A276" t="s">
        <v>602</v>
      </c>
      <c r="B276" t="s">
        <v>75</v>
      </c>
      <c r="D276" t="s">
        <v>73</v>
      </c>
      <c r="E276" t="s">
        <v>68</v>
      </c>
      <c r="F276" t="s">
        <v>69</v>
      </c>
      <c r="G276">
        <v>30000</v>
      </c>
      <c r="H276">
        <v>20</v>
      </c>
      <c r="I276">
        <v>20</v>
      </c>
      <c r="J276">
        <v>0</v>
      </c>
      <c r="K276">
        <v>1</v>
      </c>
      <c r="L276">
        <v>20000000</v>
      </c>
      <c r="M276">
        <v>190</v>
      </c>
      <c r="N276">
        <v>190</v>
      </c>
      <c r="O276">
        <v>190</v>
      </c>
      <c r="P276">
        <v>0</v>
      </c>
      <c r="Q276" t="s">
        <v>70</v>
      </c>
      <c r="R276">
        <v>99997142776401</v>
      </c>
      <c r="S276">
        <v>9998842</v>
      </c>
      <c r="V276" t="s">
        <v>83</v>
      </c>
      <c r="W276">
        <v>29</v>
      </c>
      <c r="X276">
        <v>6857152</v>
      </c>
      <c r="Y276">
        <v>5201412</v>
      </c>
      <c r="Z276">
        <v>12058564</v>
      </c>
      <c r="AA276">
        <v>9998842</v>
      </c>
      <c r="AB276">
        <v>1.75854</v>
      </c>
      <c r="AC276">
        <v>1.9223300000000001</v>
      </c>
      <c r="AD276">
        <v>1.8291900000000001</v>
      </c>
      <c r="AE276">
        <v>23.262</v>
      </c>
      <c r="AF276">
        <v>1650843212</v>
      </c>
      <c r="AG276">
        <v>0</v>
      </c>
      <c r="AH276">
        <v>1100565034</v>
      </c>
      <c r="AI276">
        <v>1650843212</v>
      </c>
      <c r="AJ276">
        <v>2751408246</v>
      </c>
      <c r="AK276">
        <v>55028107</v>
      </c>
      <c r="AL276">
        <v>0</v>
      </c>
      <c r="AM276">
        <v>36685501</v>
      </c>
      <c r="AN276">
        <v>55028107</v>
      </c>
      <c r="AO276">
        <v>91713608</v>
      </c>
      <c r="AQ276">
        <v>33.021599999999999</v>
      </c>
      <c r="AR276">
        <v>12.347300000000001</v>
      </c>
      <c r="AS276">
        <v>5760.61</v>
      </c>
      <c r="AU276" t="s">
        <v>603</v>
      </c>
      <c r="AV276" t="str">
        <f t="shared" si="8"/>
        <v>40% updates, key range [0, 2*10^7)</v>
      </c>
      <c r="AW276" t="str">
        <f t="shared" si="9"/>
        <v>2512</v>
      </c>
    </row>
    <row r="277" spans="1:49">
      <c r="A277" t="s">
        <v>604</v>
      </c>
      <c r="B277" t="s">
        <v>76</v>
      </c>
      <c r="D277" t="s">
        <v>73</v>
      </c>
      <c r="E277" t="s">
        <v>68</v>
      </c>
      <c r="F277" t="s">
        <v>69</v>
      </c>
      <c r="G277">
        <v>30000</v>
      </c>
      <c r="H277">
        <v>20</v>
      </c>
      <c r="I277">
        <v>20</v>
      </c>
      <c r="J277">
        <v>0</v>
      </c>
      <c r="K277">
        <v>1</v>
      </c>
      <c r="L277">
        <v>20000000</v>
      </c>
      <c r="M277">
        <v>24</v>
      </c>
      <c r="N277">
        <v>24</v>
      </c>
      <c r="O277">
        <v>24</v>
      </c>
      <c r="P277">
        <v>0</v>
      </c>
      <c r="Q277" t="s">
        <v>70</v>
      </c>
      <c r="R277">
        <v>99991859156274</v>
      </c>
      <c r="S277">
        <v>9999010</v>
      </c>
      <c r="V277" t="s">
        <v>83</v>
      </c>
      <c r="W277">
        <v>58</v>
      </c>
      <c r="X277">
        <v>9999009</v>
      </c>
      <c r="Y277">
        <v>9999010</v>
      </c>
      <c r="Z277">
        <v>19998019</v>
      </c>
      <c r="AA277">
        <v>9999010</v>
      </c>
      <c r="AB277">
        <v>2</v>
      </c>
      <c r="AC277">
        <v>1</v>
      </c>
      <c r="AD277">
        <v>1.5</v>
      </c>
      <c r="AE277">
        <v>31.5275</v>
      </c>
      <c r="AF277">
        <v>188182508</v>
      </c>
      <c r="AG277">
        <v>0</v>
      </c>
      <c r="AH277">
        <v>125430413</v>
      </c>
      <c r="AI277">
        <v>188182508</v>
      </c>
      <c r="AJ277">
        <v>313612921</v>
      </c>
      <c r="AK277">
        <v>6272750</v>
      </c>
      <c r="AL277">
        <v>0</v>
      </c>
      <c r="AM277">
        <v>4181013</v>
      </c>
      <c r="AN277">
        <v>6272750</v>
      </c>
      <c r="AO277">
        <v>10453764</v>
      </c>
      <c r="AQ277">
        <v>26.156600000000001</v>
      </c>
      <c r="AR277">
        <v>9.7874700000000008</v>
      </c>
      <c r="AS277">
        <v>6403.36</v>
      </c>
      <c r="AU277" t="s">
        <v>605</v>
      </c>
      <c r="AV277" t="str">
        <f t="shared" si="8"/>
        <v>40% updates, key range [0, 2*10^7)</v>
      </c>
      <c r="AW277" t="str">
        <f t="shared" si="9"/>
        <v>1750</v>
      </c>
    </row>
    <row r="278" spans="1:49">
      <c r="A278" t="s">
        <v>606</v>
      </c>
      <c r="B278" t="s">
        <v>76</v>
      </c>
      <c r="D278" t="s">
        <v>73</v>
      </c>
      <c r="E278" t="s">
        <v>68</v>
      </c>
      <c r="F278" t="s">
        <v>69</v>
      </c>
      <c r="G278">
        <v>30000</v>
      </c>
      <c r="H278">
        <v>20</v>
      </c>
      <c r="I278">
        <v>20</v>
      </c>
      <c r="J278">
        <v>0</v>
      </c>
      <c r="K278">
        <v>1</v>
      </c>
      <c r="L278">
        <v>20000000</v>
      </c>
      <c r="M278">
        <v>48</v>
      </c>
      <c r="N278">
        <v>48</v>
      </c>
      <c r="O278">
        <v>48</v>
      </c>
      <c r="P278">
        <v>0</v>
      </c>
      <c r="Q278" t="s">
        <v>70</v>
      </c>
      <c r="R278">
        <v>99997999498442</v>
      </c>
      <c r="S278">
        <v>10001698</v>
      </c>
      <c r="V278" t="s">
        <v>83</v>
      </c>
      <c r="W278">
        <v>58</v>
      </c>
      <c r="X278">
        <v>10001697</v>
      </c>
      <c r="Y278">
        <v>10001698</v>
      </c>
      <c r="Z278">
        <v>20003395</v>
      </c>
      <c r="AA278">
        <v>10001698</v>
      </c>
      <c r="AB278">
        <v>2</v>
      </c>
      <c r="AC278">
        <v>1</v>
      </c>
      <c r="AD278">
        <v>1.5</v>
      </c>
      <c r="AE278">
        <v>31.013300000000001</v>
      </c>
      <c r="AF278">
        <v>361014622</v>
      </c>
      <c r="AG278">
        <v>0</v>
      </c>
      <c r="AH278">
        <v>240705326</v>
      </c>
      <c r="AI278">
        <v>361014622</v>
      </c>
      <c r="AJ278">
        <v>601719948</v>
      </c>
      <c r="AK278">
        <v>12033820</v>
      </c>
      <c r="AL278">
        <v>0</v>
      </c>
      <c r="AM278">
        <v>8023510</v>
      </c>
      <c r="AN278">
        <v>12033820</v>
      </c>
      <c r="AO278">
        <v>20057331</v>
      </c>
      <c r="AQ278">
        <v>26.109000000000002</v>
      </c>
      <c r="AR278">
        <v>9.5933700000000002</v>
      </c>
      <c r="AS278">
        <v>6670.09</v>
      </c>
      <c r="AU278" t="s">
        <v>607</v>
      </c>
      <c r="AV278" t="str">
        <f t="shared" si="8"/>
        <v>40% updates, key range [0, 2*10^7)</v>
      </c>
      <c r="AW278" t="str">
        <f t="shared" si="9"/>
        <v>1818</v>
      </c>
    </row>
    <row r="279" spans="1:49">
      <c r="A279" t="s">
        <v>608</v>
      </c>
      <c r="B279" t="s">
        <v>76</v>
      </c>
      <c r="D279" t="s">
        <v>73</v>
      </c>
      <c r="E279" t="s">
        <v>68</v>
      </c>
      <c r="F279" t="s">
        <v>69</v>
      </c>
      <c r="G279">
        <v>30000</v>
      </c>
      <c r="H279">
        <v>20</v>
      </c>
      <c r="I279">
        <v>20</v>
      </c>
      <c r="J279">
        <v>0</v>
      </c>
      <c r="K279">
        <v>1</v>
      </c>
      <c r="L279">
        <v>20000000</v>
      </c>
      <c r="M279">
        <v>96</v>
      </c>
      <c r="N279">
        <v>96</v>
      </c>
      <c r="O279">
        <v>96</v>
      </c>
      <c r="P279">
        <v>0</v>
      </c>
      <c r="Q279" t="s">
        <v>70</v>
      </c>
      <c r="R279">
        <v>100023087845286</v>
      </c>
      <c r="S279">
        <v>10001834</v>
      </c>
      <c r="V279" t="s">
        <v>83</v>
      </c>
      <c r="W279">
        <v>55</v>
      </c>
      <c r="X279">
        <v>10001833</v>
      </c>
      <c r="Y279">
        <v>10001834</v>
      </c>
      <c r="Z279">
        <v>20003667</v>
      </c>
      <c r="AA279">
        <v>10001834</v>
      </c>
      <c r="AB279">
        <v>2</v>
      </c>
      <c r="AC279">
        <v>1</v>
      </c>
      <c r="AD279">
        <v>1.5</v>
      </c>
      <c r="AE279">
        <v>30.066299999999998</v>
      </c>
      <c r="AF279">
        <v>762912601</v>
      </c>
      <c r="AG279">
        <v>0</v>
      </c>
      <c r="AH279">
        <v>508612904</v>
      </c>
      <c r="AI279">
        <v>762912601</v>
      </c>
      <c r="AJ279">
        <v>1271525505</v>
      </c>
      <c r="AK279">
        <v>25430420</v>
      </c>
      <c r="AL279">
        <v>0</v>
      </c>
      <c r="AM279">
        <v>16953763</v>
      </c>
      <c r="AN279">
        <v>25430420</v>
      </c>
      <c r="AO279">
        <v>42384183</v>
      </c>
      <c r="AQ279">
        <v>27.485099999999999</v>
      </c>
      <c r="AR279">
        <v>10.628399999999999</v>
      </c>
      <c r="AS279">
        <v>6311.44</v>
      </c>
      <c r="AU279" t="s">
        <v>609</v>
      </c>
      <c r="AV279" t="str">
        <f t="shared" si="8"/>
        <v>40% updates, key range [0, 2*10^7)</v>
      </c>
      <c r="AW279" t="str">
        <f t="shared" si="9"/>
        <v>2276</v>
      </c>
    </row>
    <row r="280" spans="1:49">
      <c r="A280" t="s">
        <v>610</v>
      </c>
      <c r="B280" t="s">
        <v>76</v>
      </c>
      <c r="D280" t="s">
        <v>73</v>
      </c>
      <c r="E280" t="s">
        <v>68</v>
      </c>
      <c r="F280" t="s">
        <v>69</v>
      </c>
      <c r="G280">
        <v>30000</v>
      </c>
      <c r="H280">
        <v>20</v>
      </c>
      <c r="I280">
        <v>20</v>
      </c>
      <c r="J280">
        <v>0</v>
      </c>
      <c r="K280">
        <v>1</v>
      </c>
      <c r="L280">
        <v>20000000</v>
      </c>
      <c r="M280">
        <v>144</v>
      </c>
      <c r="N280">
        <v>144</v>
      </c>
      <c r="O280">
        <v>144</v>
      </c>
      <c r="P280">
        <v>0</v>
      </c>
      <c r="Q280" t="s">
        <v>70</v>
      </c>
      <c r="R280">
        <v>99947251995170</v>
      </c>
      <c r="S280">
        <v>9996993</v>
      </c>
      <c r="V280" t="s">
        <v>83</v>
      </c>
      <c r="W280">
        <v>60</v>
      </c>
      <c r="X280">
        <v>9996992</v>
      </c>
      <c r="Y280">
        <v>9996993</v>
      </c>
      <c r="Z280">
        <v>19993985</v>
      </c>
      <c r="AA280">
        <v>9996993</v>
      </c>
      <c r="AB280">
        <v>2</v>
      </c>
      <c r="AC280">
        <v>1</v>
      </c>
      <c r="AD280">
        <v>1.5</v>
      </c>
      <c r="AE280">
        <v>30.868500000000001</v>
      </c>
      <c r="AF280">
        <v>1065739933</v>
      </c>
      <c r="AG280">
        <v>0</v>
      </c>
      <c r="AH280">
        <v>710520252</v>
      </c>
      <c r="AI280">
        <v>1065739933</v>
      </c>
      <c r="AJ280">
        <v>1776260185</v>
      </c>
      <c r="AK280">
        <v>35524664</v>
      </c>
      <c r="AL280">
        <v>0</v>
      </c>
      <c r="AM280">
        <v>23684008</v>
      </c>
      <c r="AN280">
        <v>35524664</v>
      </c>
      <c r="AO280">
        <v>59208672</v>
      </c>
      <c r="AQ280">
        <v>28.7546</v>
      </c>
      <c r="AR280">
        <v>11.5708</v>
      </c>
      <c r="AS280">
        <v>6773.05</v>
      </c>
      <c r="AU280" t="s">
        <v>611</v>
      </c>
      <c r="AV280" t="str">
        <f t="shared" si="8"/>
        <v>40% updates, key range [0, 2*10^7)</v>
      </c>
      <c r="AW280" t="str">
        <f t="shared" si="9"/>
        <v>2342</v>
      </c>
    </row>
    <row r="281" spans="1:49">
      <c r="A281" t="s">
        <v>612</v>
      </c>
      <c r="B281" t="s">
        <v>76</v>
      </c>
      <c r="D281" t="s">
        <v>73</v>
      </c>
      <c r="E281" t="s">
        <v>68</v>
      </c>
      <c r="F281" t="s">
        <v>69</v>
      </c>
      <c r="G281">
        <v>30000</v>
      </c>
      <c r="H281">
        <v>20</v>
      </c>
      <c r="I281">
        <v>20</v>
      </c>
      <c r="J281">
        <v>0</v>
      </c>
      <c r="K281">
        <v>1</v>
      </c>
      <c r="L281">
        <v>20000000</v>
      </c>
      <c r="M281">
        <v>190</v>
      </c>
      <c r="N281">
        <v>190</v>
      </c>
      <c r="O281">
        <v>190</v>
      </c>
      <c r="P281">
        <v>0</v>
      </c>
      <c r="Q281" t="s">
        <v>70</v>
      </c>
      <c r="R281">
        <v>99995429185856</v>
      </c>
      <c r="S281">
        <v>10000485</v>
      </c>
      <c r="V281" t="s">
        <v>83</v>
      </c>
      <c r="W281">
        <v>56</v>
      </c>
      <c r="X281">
        <v>10000484</v>
      </c>
      <c r="Y281">
        <v>10000485</v>
      </c>
      <c r="Z281">
        <v>20000969</v>
      </c>
      <c r="AA281">
        <v>10000485</v>
      </c>
      <c r="AB281">
        <v>2</v>
      </c>
      <c r="AC281">
        <v>1</v>
      </c>
      <c r="AD281">
        <v>1.5</v>
      </c>
      <c r="AE281">
        <v>30.548300000000001</v>
      </c>
      <c r="AF281">
        <v>1293873418</v>
      </c>
      <c r="AG281">
        <v>0</v>
      </c>
      <c r="AH281">
        <v>862553305</v>
      </c>
      <c r="AI281">
        <v>1293873418</v>
      </c>
      <c r="AJ281">
        <v>2156426723</v>
      </c>
      <c r="AK281">
        <v>43129113</v>
      </c>
      <c r="AL281">
        <v>0</v>
      </c>
      <c r="AM281">
        <v>28751776</v>
      </c>
      <c r="AN281">
        <v>43129113</v>
      </c>
      <c r="AO281">
        <v>71880890</v>
      </c>
      <c r="AQ281">
        <v>29.239100000000001</v>
      </c>
      <c r="AR281">
        <v>12.1327</v>
      </c>
      <c r="AS281">
        <v>7332.03</v>
      </c>
      <c r="AU281" t="s">
        <v>613</v>
      </c>
      <c r="AV281" t="str">
        <f t="shared" si="8"/>
        <v>40% updates, key range [0, 2*10^7)</v>
      </c>
      <c r="AW281" t="str">
        <f t="shared" si="9"/>
        <v>2317</v>
      </c>
    </row>
    <row r="282" spans="1:49">
      <c r="A282" t="s">
        <v>614</v>
      </c>
      <c r="B282" t="s">
        <v>72</v>
      </c>
      <c r="C282">
        <v>72</v>
      </c>
      <c r="D282" t="s">
        <v>73</v>
      </c>
      <c r="E282" t="s">
        <v>68</v>
      </c>
      <c r="F282" t="s">
        <v>69</v>
      </c>
      <c r="G282">
        <v>30000</v>
      </c>
      <c r="H282">
        <v>20</v>
      </c>
      <c r="I282">
        <v>20</v>
      </c>
      <c r="J282">
        <v>0</v>
      </c>
      <c r="K282">
        <v>1</v>
      </c>
      <c r="L282">
        <v>200000000</v>
      </c>
      <c r="M282">
        <v>24</v>
      </c>
      <c r="N282">
        <v>24</v>
      </c>
      <c r="O282">
        <v>24</v>
      </c>
      <c r="P282">
        <v>0</v>
      </c>
      <c r="Q282" t="s">
        <v>70</v>
      </c>
      <c r="R282">
        <v>1.0001012818703E+16</v>
      </c>
      <c r="S282">
        <v>100011350</v>
      </c>
      <c r="V282" t="s">
        <v>83</v>
      </c>
      <c r="W282">
        <v>7</v>
      </c>
      <c r="X282">
        <v>13517400</v>
      </c>
      <c r="Y282">
        <v>115102200</v>
      </c>
      <c r="Z282">
        <v>128619600</v>
      </c>
      <c r="AA282">
        <v>100011350</v>
      </c>
      <c r="AB282">
        <v>9.51511</v>
      </c>
      <c r="AC282">
        <v>0.868892</v>
      </c>
      <c r="AD282">
        <v>1.7775700000000001</v>
      </c>
      <c r="AE282">
        <v>4.0482100000000001</v>
      </c>
      <c r="AF282">
        <v>298193487</v>
      </c>
      <c r="AG282">
        <v>0</v>
      </c>
      <c r="AH282">
        <v>198823588</v>
      </c>
      <c r="AI282">
        <v>298193487</v>
      </c>
      <c r="AJ282">
        <v>497017075</v>
      </c>
      <c r="AK282">
        <v>9939782</v>
      </c>
      <c r="AL282">
        <v>0</v>
      </c>
      <c r="AM282">
        <v>6627452</v>
      </c>
      <c r="AN282">
        <v>9939782</v>
      </c>
      <c r="AO282">
        <v>16567235</v>
      </c>
      <c r="AQ282">
        <v>27.1374</v>
      </c>
      <c r="AR282">
        <v>12.986000000000001</v>
      </c>
      <c r="AS282">
        <v>3908.49</v>
      </c>
      <c r="AU282" t="s">
        <v>615</v>
      </c>
      <c r="AV282" t="str">
        <f t="shared" si="8"/>
        <v>40% updates, key range [0, 2*10^8)</v>
      </c>
      <c r="AW282" t="str">
        <f t="shared" si="9"/>
        <v>12592</v>
      </c>
    </row>
    <row r="283" spans="1:49">
      <c r="A283" t="s">
        <v>616</v>
      </c>
      <c r="B283" t="s">
        <v>72</v>
      </c>
      <c r="C283">
        <v>72</v>
      </c>
      <c r="D283" t="s">
        <v>73</v>
      </c>
      <c r="E283" t="s">
        <v>68</v>
      </c>
      <c r="F283" t="s">
        <v>69</v>
      </c>
      <c r="G283">
        <v>30000</v>
      </c>
      <c r="H283">
        <v>20</v>
      </c>
      <c r="I283">
        <v>20</v>
      </c>
      <c r="J283">
        <v>0</v>
      </c>
      <c r="K283">
        <v>1</v>
      </c>
      <c r="L283">
        <v>200000000</v>
      </c>
      <c r="M283">
        <v>48</v>
      </c>
      <c r="N283">
        <v>48</v>
      </c>
      <c r="O283">
        <v>48</v>
      </c>
      <c r="P283">
        <v>0</v>
      </c>
      <c r="Q283" t="s">
        <v>70</v>
      </c>
      <c r="R283">
        <v>9999143019562460</v>
      </c>
      <c r="S283">
        <v>99995529</v>
      </c>
      <c r="V283" t="s">
        <v>83</v>
      </c>
      <c r="W283">
        <v>7</v>
      </c>
      <c r="X283">
        <v>12372529</v>
      </c>
      <c r="Y283">
        <v>112745417</v>
      </c>
      <c r="Z283">
        <v>125117946</v>
      </c>
      <c r="AA283">
        <v>99995529</v>
      </c>
      <c r="AB283">
        <v>10.1126</v>
      </c>
      <c r="AC283">
        <v>0.88691399999999998</v>
      </c>
      <c r="AD283">
        <v>1.79921</v>
      </c>
      <c r="AE283">
        <v>4.0277200000000004</v>
      </c>
      <c r="AF283">
        <v>458806862</v>
      </c>
      <c r="AG283">
        <v>0</v>
      </c>
      <c r="AH283">
        <v>305851273</v>
      </c>
      <c r="AI283">
        <v>458806862</v>
      </c>
      <c r="AJ283">
        <v>764658135</v>
      </c>
      <c r="AK283">
        <v>15293562</v>
      </c>
      <c r="AL283">
        <v>0</v>
      </c>
      <c r="AM283">
        <v>10195042</v>
      </c>
      <c r="AN283">
        <v>15293562</v>
      </c>
      <c r="AO283">
        <v>25488604</v>
      </c>
      <c r="AQ283">
        <v>29.7898</v>
      </c>
      <c r="AR283">
        <v>14.400499999999999</v>
      </c>
      <c r="AS283">
        <v>5027.3100000000004</v>
      </c>
      <c r="AU283" t="s">
        <v>617</v>
      </c>
      <c r="AV283" t="str">
        <f t="shared" si="8"/>
        <v>40% updates, key range [0, 2*10^8)</v>
      </c>
      <c r="AW283" t="str">
        <f t="shared" si="9"/>
        <v>13140</v>
      </c>
    </row>
    <row r="284" spans="1:49">
      <c r="A284" t="s">
        <v>618</v>
      </c>
      <c r="B284" t="s">
        <v>72</v>
      </c>
      <c r="C284">
        <v>72</v>
      </c>
      <c r="D284" t="s">
        <v>73</v>
      </c>
      <c r="E284" t="s">
        <v>68</v>
      </c>
      <c r="F284" t="s">
        <v>69</v>
      </c>
      <c r="G284">
        <v>30000</v>
      </c>
      <c r="H284">
        <v>20</v>
      </c>
      <c r="I284">
        <v>20</v>
      </c>
      <c r="J284">
        <v>0</v>
      </c>
      <c r="K284">
        <v>1</v>
      </c>
      <c r="L284">
        <v>200000000</v>
      </c>
      <c r="M284">
        <v>96</v>
      </c>
      <c r="N284">
        <v>96</v>
      </c>
      <c r="O284">
        <v>96</v>
      </c>
      <c r="P284">
        <v>0</v>
      </c>
      <c r="Q284" t="s">
        <v>70</v>
      </c>
      <c r="R284">
        <v>1.00001606750084E+16</v>
      </c>
      <c r="S284">
        <v>100003295</v>
      </c>
      <c r="V284" t="s">
        <v>83</v>
      </c>
      <c r="W284">
        <v>7</v>
      </c>
      <c r="X284">
        <v>13780423</v>
      </c>
      <c r="Y284">
        <v>115676585</v>
      </c>
      <c r="Z284">
        <v>129457008</v>
      </c>
      <c r="AA284">
        <v>100003295</v>
      </c>
      <c r="AB284">
        <v>9.3942700000000006</v>
      </c>
      <c r="AC284">
        <v>0.86450800000000005</v>
      </c>
      <c r="AD284">
        <v>1.7724800000000001</v>
      </c>
      <c r="AE284">
        <v>4.05715</v>
      </c>
      <c r="AF284">
        <v>846527339</v>
      </c>
      <c r="AG284">
        <v>0</v>
      </c>
      <c r="AH284">
        <v>564317486</v>
      </c>
      <c r="AI284">
        <v>846527339</v>
      </c>
      <c r="AJ284">
        <v>1410844825</v>
      </c>
      <c r="AK284">
        <v>28217577</v>
      </c>
      <c r="AL284">
        <v>0</v>
      </c>
      <c r="AM284">
        <v>18810582</v>
      </c>
      <c r="AN284">
        <v>28217577</v>
      </c>
      <c r="AO284">
        <v>47028160</v>
      </c>
      <c r="AQ284">
        <v>30.780100000000001</v>
      </c>
      <c r="AR284">
        <v>16.087700000000002</v>
      </c>
      <c r="AS284">
        <v>5329.84</v>
      </c>
      <c r="AU284" t="s">
        <v>619</v>
      </c>
      <c r="AV284" t="str">
        <f t="shared" si="8"/>
        <v>40% updates, key range [0, 2*10^8)</v>
      </c>
      <c r="AW284" t="str">
        <f t="shared" si="9"/>
        <v>13733</v>
      </c>
    </row>
    <row r="285" spans="1:49">
      <c r="A285" t="s">
        <v>620</v>
      </c>
      <c r="B285" t="s">
        <v>72</v>
      </c>
      <c r="C285">
        <v>72</v>
      </c>
      <c r="D285" t="s">
        <v>73</v>
      </c>
      <c r="E285" t="s">
        <v>68</v>
      </c>
      <c r="F285" t="s">
        <v>69</v>
      </c>
      <c r="G285">
        <v>30000</v>
      </c>
      <c r="H285">
        <v>20</v>
      </c>
      <c r="I285">
        <v>20</v>
      </c>
      <c r="J285">
        <v>0</v>
      </c>
      <c r="K285">
        <v>1</v>
      </c>
      <c r="L285">
        <v>200000000</v>
      </c>
      <c r="M285">
        <v>144</v>
      </c>
      <c r="N285">
        <v>144</v>
      </c>
      <c r="O285">
        <v>144</v>
      </c>
      <c r="P285">
        <v>0</v>
      </c>
      <c r="Q285" t="s">
        <v>70</v>
      </c>
      <c r="R285">
        <v>1.0000307859793E+16</v>
      </c>
      <c r="S285">
        <v>99998327</v>
      </c>
      <c r="V285" t="s">
        <v>83</v>
      </c>
      <c r="W285">
        <v>7</v>
      </c>
      <c r="X285">
        <v>14541462</v>
      </c>
      <c r="Y285">
        <v>117365238</v>
      </c>
      <c r="Z285">
        <v>131906700</v>
      </c>
      <c r="AA285">
        <v>99998327</v>
      </c>
      <c r="AB285">
        <v>9.0710800000000003</v>
      </c>
      <c r="AC285">
        <v>0.85202699999999998</v>
      </c>
      <c r="AD285">
        <v>1.7581</v>
      </c>
      <c r="AE285">
        <v>4.0714300000000003</v>
      </c>
      <c r="AF285">
        <v>1188420203</v>
      </c>
      <c r="AG285">
        <v>0</v>
      </c>
      <c r="AH285">
        <v>792288480</v>
      </c>
      <c r="AI285">
        <v>1188420203</v>
      </c>
      <c r="AJ285">
        <v>1980708683</v>
      </c>
      <c r="AK285">
        <v>39614006</v>
      </c>
      <c r="AL285">
        <v>0</v>
      </c>
      <c r="AM285">
        <v>26409616</v>
      </c>
      <c r="AN285">
        <v>39614006</v>
      </c>
      <c r="AO285">
        <v>66023622</v>
      </c>
      <c r="AQ285">
        <v>30.91</v>
      </c>
      <c r="AR285">
        <v>16.8171</v>
      </c>
      <c r="AS285">
        <v>5566.38</v>
      </c>
      <c r="AU285" t="s">
        <v>621</v>
      </c>
      <c r="AV285" t="str">
        <f t="shared" si="8"/>
        <v>40% updates, key range [0, 2*10^8)</v>
      </c>
      <c r="AW285" t="str">
        <f t="shared" si="9"/>
        <v>14172</v>
      </c>
    </row>
    <row r="286" spans="1:49">
      <c r="A286" t="s">
        <v>622</v>
      </c>
      <c r="B286" t="s">
        <v>72</v>
      </c>
      <c r="C286">
        <v>72</v>
      </c>
      <c r="D286" t="s">
        <v>73</v>
      </c>
      <c r="E286" t="s">
        <v>68</v>
      </c>
      <c r="F286" t="s">
        <v>69</v>
      </c>
      <c r="G286">
        <v>30000</v>
      </c>
      <c r="H286">
        <v>20</v>
      </c>
      <c r="I286">
        <v>20</v>
      </c>
      <c r="J286">
        <v>0</v>
      </c>
      <c r="K286">
        <v>1</v>
      </c>
      <c r="L286">
        <v>200000000</v>
      </c>
      <c r="M286">
        <v>190</v>
      </c>
      <c r="N286">
        <v>190</v>
      </c>
      <c r="O286">
        <v>190</v>
      </c>
      <c r="P286">
        <v>0</v>
      </c>
      <c r="Q286" t="s">
        <v>70</v>
      </c>
      <c r="R286">
        <v>1.00007839327184E+16</v>
      </c>
      <c r="S286">
        <v>100009649</v>
      </c>
      <c r="V286" t="s">
        <v>83</v>
      </c>
      <c r="W286">
        <v>7</v>
      </c>
      <c r="X286">
        <v>14764237</v>
      </c>
      <c r="Y286">
        <v>117816721</v>
      </c>
      <c r="Z286">
        <v>132580958</v>
      </c>
      <c r="AA286">
        <v>100009649</v>
      </c>
      <c r="AB286">
        <v>8.97987</v>
      </c>
      <c r="AC286">
        <v>0.848858</v>
      </c>
      <c r="AD286">
        <v>1.7543299999999999</v>
      </c>
      <c r="AE286">
        <v>4.07796</v>
      </c>
      <c r="AF286">
        <v>1462801037</v>
      </c>
      <c r="AG286">
        <v>0</v>
      </c>
      <c r="AH286">
        <v>975152022</v>
      </c>
      <c r="AI286">
        <v>1462801037</v>
      </c>
      <c r="AJ286">
        <v>2437953059</v>
      </c>
      <c r="AK286">
        <v>48760034</v>
      </c>
      <c r="AL286">
        <v>0</v>
      </c>
      <c r="AM286">
        <v>32505067</v>
      </c>
      <c r="AN286">
        <v>48760034</v>
      </c>
      <c r="AO286">
        <v>81265101</v>
      </c>
      <c r="AQ286">
        <v>31.356999999999999</v>
      </c>
      <c r="AR286">
        <v>17.501000000000001</v>
      </c>
      <c r="AS286">
        <v>5855.6</v>
      </c>
      <c r="AU286" t="s">
        <v>623</v>
      </c>
      <c r="AV286" t="str">
        <f t="shared" si="8"/>
        <v>40% updates, key range [0, 2*10^8)</v>
      </c>
      <c r="AW286" t="str">
        <f t="shared" si="9"/>
        <v>14391</v>
      </c>
    </row>
    <row r="287" spans="1:49">
      <c r="A287" t="s">
        <v>624</v>
      </c>
      <c r="B287" t="s">
        <v>74</v>
      </c>
      <c r="C287">
        <v>208</v>
      </c>
      <c r="D287" t="s">
        <v>73</v>
      </c>
      <c r="E287" t="s">
        <v>68</v>
      </c>
      <c r="F287" t="s">
        <v>69</v>
      </c>
      <c r="G287">
        <v>30000</v>
      </c>
      <c r="H287">
        <v>20</v>
      </c>
      <c r="I287">
        <v>20</v>
      </c>
      <c r="J287">
        <v>0</v>
      </c>
      <c r="K287">
        <v>1</v>
      </c>
      <c r="L287">
        <v>200000000</v>
      </c>
      <c r="M287">
        <v>24</v>
      </c>
      <c r="N287">
        <v>24</v>
      </c>
      <c r="O287">
        <v>24</v>
      </c>
      <c r="P287">
        <v>0</v>
      </c>
      <c r="Q287" t="s">
        <v>70</v>
      </c>
      <c r="R287">
        <v>9999404658736000</v>
      </c>
      <c r="S287">
        <v>99998923</v>
      </c>
      <c r="V287" t="s">
        <v>83</v>
      </c>
      <c r="W287">
        <v>11</v>
      </c>
      <c r="X287">
        <v>2211666</v>
      </c>
      <c r="Y287">
        <v>15210942</v>
      </c>
      <c r="Z287">
        <v>17422608</v>
      </c>
      <c r="AA287">
        <v>99998923</v>
      </c>
      <c r="AB287">
        <v>7.8775899999999996</v>
      </c>
      <c r="AC287">
        <v>6.5741399999999999</v>
      </c>
      <c r="AD287">
        <v>6.7396099999999999</v>
      </c>
      <c r="AE287">
        <v>10</v>
      </c>
      <c r="AF287">
        <v>319643654</v>
      </c>
      <c r="AG287">
        <v>0</v>
      </c>
      <c r="AH287">
        <v>213098249</v>
      </c>
      <c r="AI287">
        <v>319643654</v>
      </c>
      <c r="AJ287">
        <v>532741903</v>
      </c>
      <c r="AK287">
        <v>10654788</v>
      </c>
      <c r="AL287">
        <v>0</v>
      </c>
      <c r="AM287">
        <v>7103274</v>
      </c>
      <c r="AN287">
        <v>10654788</v>
      </c>
      <c r="AO287">
        <v>17758063</v>
      </c>
      <c r="AQ287">
        <v>25.911799999999999</v>
      </c>
      <c r="AR287">
        <v>11.0807</v>
      </c>
      <c r="AS287">
        <v>3763.14</v>
      </c>
      <c r="AU287" t="s">
        <v>625</v>
      </c>
      <c r="AV287" t="str">
        <f t="shared" si="8"/>
        <v>40% updates, key range [0, 2*10^8)</v>
      </c>
      <c r="AW287" t="str">
        <f t="shared" si="9"/>
        <v>4914</v>
      </c>
    </row>
    <row r="288" spans="1:49">
      <c r="A288" t="s">
        <v>626</v>
      </c>
      <c r="B288" t="s">
        <v>74</v>
      </c>
      <c r="C288">
        <v>208</v>
      </c>
      <c r="D288" t="s">
        <v>73</v>
      </c>
      <c r="E288" t="s">
        <v>68</v>
      </c>
      <c r="F288" t="s">
        <v>69</v>
      </c>
      <c r="G288">
        <v>30000</v>
      </c>
      <c r="H288">
        <v>20</v>
      </c>
      <c r="I288">
        <v>20</v>
      </c>
      <c r="J288">
        <v>0</v>
      </c>
      <c r="K288">
        <v>1</v>
      </c>
      <c r="L288">
        <v>200000000</v>
      </c>
      <c r="M288">
        <v>48</v>
      </c>
      <c r="N288">
        <v>48</v>
      </c>
      <c r="O288">
        <v>48</v>
      </c>
      <c r="P288">
        <v>0</v>
      </c>
      <c r="Q288" t="s">
        <v>70</v>
      </c>
      <c r="R288">
        <v>9999806841263090</v>
      </c>
      <c r="S288">
        <v>99994462</v>
      </c>
      <c r="V288" t="s">
        <v>83</v>
      </c>
      <c r="W288">
        <v>10</v>
      </c>
      <c r="X288">
        <v>2364011</v>
      </c>
      <c r="Y288">
        <v>16255546</v>
      </c>
      <c r="Z288">
        <v>18619557</v>
      </c>
      <c r="AA288">
        <v>99994462</v>
      </c>
      <c r="AB288">
        <v>7.8762600000000003</v>
      </c>
      <c r="AC288">
        <v>6.1514100000000003</v>
      </c>
      <c r="AD288">
        <v>6.3704000000000001</v>
      </c>
      <c r="AE288">
        <v>9</v>
      </c>
      <c r="AF288">
        <v>600136335</v>
      </c>
      <c r="AG288">
        <v>0</v>
      </c>
      <c r="AH288">
        <v>400094515</v>
      </c>
      <c r="AI288">
        <v>600136335</v>
      </c>
      <c r="AJ288">
        <v>1000230850</v>
      </c>
      <c r="AK288">
        <v>20004544</v>
      </c>
      <c r="AL288">
        <v>0</v>
      </c>
      <c r="AM288">
        <v>13336483</v>
      </c>
      <c r="AN288">
        <v>20004544</v>
      </c>
      <c r="AO288">
        <v>33341028</v>
      </c>
      <c r="AQ288">
        <v>26.263300000000001</v>
      </c>
      <c r="AR288">
        <v>11.091900000000001</v>
      </c>
      <c r="AS288">
        <v>4009.44</v>
      </c>
      <c r="AU288" t="s">
        <v>627</v>
      </c>
      <c r="AV288" t="str">
        <f t="shared" si="8"/>
        <v>40% updates, key range [0, 2*10^8)</v>
      </c>
      <c r="AW288" t="str">
        <f t="shared" si="9"/>
        <v>5453</v>
      </c>
    </row>
    <row r="289" spans="1:49">
      <c r="A289" t="s">
        <v>628</v>
      </c>
      <c r="B289" t="s">
        <v>74</v>
      </c>
      <c r="C289">
        <v>208</v>
      </c>
      <c r="D289" t="s">
        <v>73</v>
      </c>
      <c r="E289" t="s">
        <v>68</v>
      </c>
      <c r="F289" t="s">
        <v>69</v>
      </c>
      <c r="G289">
        <v>30000</v>
      </c>
      <c r="H289">
        <v>20</v>
      </c>
      <c r="I289">
        <v>20</v>
      </c>
      <c r="J289">
        <v>0</v>
      </c>
      <c r="K289">
        <v>1</v>
      </c>
      <c r="L289">
        <v>200000000</v>
      </c>
      <c r="M289">
        <v>96</v>
      </c>
      <c r="N289">
        <v>96</v>
      </c>
      <c r="O289">
        <v>96</v>
      </c>
      <c r="P289">
        <v>0</v>
      </c>
      <c r="Q289" t="s">
        <v>70</v>
      </c>
      <c r="R289">
        <v>1.00005533458502E+16</v>
      </c>
      <c r="S289">
        <v>100009312</v>
      </c>
      <c r="V289" t="s">
        <v>83</v>
      </c>
      <c r="W289">
        <v>11</v>
      </c>
      <c r="X289">
        <v>2542832</v>
      </c>
      <c r="Y289">
        <v>17440854</v>
      </c>
      <c r="Z289">
        <v>19983686</v>
      </c>
      <c r="AA289">
        <v>100009312</v>
      </c>
      <c r="AB289">
        <v>7.8588300000000002</v>
      </c>
      <c r="AC289">
        <v>5.7342000000000004</v>
      </c>
      <c r="AD289">
        <v>6.0045500000000001</v>
      </c>
      <c r="AE289">
        <v>10</v>
      </c>
      <c r="AF289">
        <v>1114040733</v>
      </c>
      <c r="AG289">
        <v>0</v>
      </c>
      <c r="AH289">
        <v>742718506</v>
      </c>
      <c r="AI289">
        <v>1114040733</v>
      </c>
      <c r="AJ289">
        <v>1856759239</v>
      </c>
      <c r="AK289">
        <v>37134691</v>
      </c>
      <c r="AL289">
        <v>0</v>
      </c>
      <c r="AM289">
        <v>24757283</v>
      </c>
      <c r="AN289">
        <v>37134691</v>
      </c>
      <c r="AO289">
        <v>61891974</v>
      </c>
      <c r="AQ289">
        <v>27.744700000000002</v>
      </c>
      <c r="AR289">
        <v>12.521599999999999</v>
      </c>
      <c r="AS289">
        <v>4309.49</v>
      </c>
      <c r="AU289" t="s">
        <v>629</v>
      </c>
      <c r="AV289" t="str">
        <f t="shared" si="8"/>
        <v>40% updates, key range [0, 2*10^8)</v>
      </c>
      <c r="AW289" t="str">
        <f t="shared" si="9"/>
        <v>8934</v>
      </c>
    </row>
    <row r="290" spans="1:49">
      <c r="A290" t="s">
        <v>630</v>
      </c>
      <c r="B290" t="s">
        <v>74</v>
      </c>
      <c r="C290">
        <v>208</v>
      </c>
      <c r="D290" t="s">
        <v>73</v>
      </c>
      <c r="E290" t="s">
        <v>68</v>
      </c>
      <c r="F290" t="s">
        <v>69</v>
      </c>
      <c r="G290">
        <v>30000</v>
      </c>
      <c r="H290">
        <v>20</v>
      </c>
      <c r="I290">
        <v>20</v>
      </c>
      <c r="J290">
        <v>0</v>
      </c>
      <c r="K290">
        <v>1</v>
      </c>
      <c r="L290">
        <v>200000000</v>
      </c>
      <c r="M290">
        <v>144</v>
      </c>
      <c r="N290">
        <v>144</v>
      </c>
      <c r="O290">
        <v>144</v>
      </c>
      <c r="P290">
        <v>0</v>
      </c>
      <c r="Q290" t="s">
        <v>70</v>
      </c>
      <c r="R290">
        <v>1.00002676853649E+16</v>
      </c>
      <c r="S290">
        <v>99998148</v>
      </c>
      <c r="V290" t="s">
        <v>83</v>
      </c>
      <c r="W290">
        <v>11</v>
      </c>
      <c r="X290">
        <v>2623678</v>
      </c>
      <c r="Y290">
        <v>17958298</v>
      </c>
      <c r="Z290">
        <v>20581976</v>
      </c>
      <c r="AA290">
        <v>99998148</v>
      </c>
      <c r="AB290">
        <v>7.8446999999999996</v>
      </c>
      <c r="AC290">
        <v>5.5683499999999997</v>
      </c>
      <c r="AD290">
        <v>5.85853</v>
      </c>
      <c r="AE290">
        <v>10</v>
      </c>
      <c r="AF290">
        <v>1492535201</v>
      </c>
      <c r="AG290">
        <v>0</v>
      </c>
      <c r="AH290">
        <v>995063038</v>
      </c>
      <c r="AI290">
        <v>1492535201</v>
      </c>
      <c r="AJ290">
        <v>2487598239</v>
      </c>
      <c r="AK290">
        <v>49751173</v>
      </c>
      <c r="AL290">
        <v>0</v>
      </c>
      <c r="AM290">
        <v>33168767</v>
      </c>
      <c r="AN290">
        <v>49751173</v>
      </c>
      <c r="AO290">
        <v>82919941</v>
      </c>
      <c r="AQ290">
        <v>28.9436</v>
      </c>
      <c r="AR290">
        <v>13.368</v>
      </c>
      <c r="AS290">
        <v>4815.8</v>
      </c>
      <c r="AU290" t="s">
        <v>631</v>
      </c>
      <c r="AV290" t="str">
        <f t="shared" si="8"/>
        <v>40% updates, key range [0, 2*10^8)</v>
      </c>
      <c r="AW290" t="str">
        <f t="shared" si="9"/>
        <v>9250</v>
      </c>
    </row>
    <row r="291" spans="1:49">
      <c r="A291" t="s">
        <v>632</v>
      </c>
      <c r="B291" t="s">
        <v>74</v>
      </c>
      <c r="C291">
        <v>208</v>
      </c>
      <c r="D291" t="s">
        <v>73</v>
      </c>
      <c r="E291" t="s">
        <v>68</v>
      </c>
      <c r="F291" t="s">
        <v>69</v>
      </c>
      <c r="G291">
        <v>30000</v>
      </c>
      <c r="H291">
        <v>20</v>
      </c>
      <c r="I291">
        <v>20</v>
      </c>
      <c r="J291">
        <v>0</v>
      </c>
      <c r="K291">
        <v>1</v>
      </c>
      <c r="L291">
        <v>200000000</v>
      </c>
      <c r="M291">
        <v>190</v>
      </c>
      <c r="N291">
        <v>190</v>
      </c>
      <c r="O291">
        <v>190</v>
      </c>
      <c r="P291">
        <v>0</v>
      </c>
      <c r="Q291" t="s">
        <v>70</v>
      </c>
      <c r="R291">
        <v>1.00003191513294E+16</v>
      </c>
      <c r="S291">
        <v>100002886</v>
      </c>
      <c r="V291" t="s">
        <v>83</v>
      </c>
      <c r="W291">
        <v>11</v>
      </c>
      <c r="X291">
        <v>2667873</v>
      </c>
      <c r="Y291">
        <v>18227568</v>
      </c>
      <c r="Z291">
        <v>20895441</v>
      </c>
      <c r="AA291">
        <v>100002886</v>
      </c>
      <c r="AB291">
        <v>7.8322500000000002</v>
      </c>
      <c r="AC291">
        <v>5.4863499999999998</v>
      </c>
      <c r="AD291">
        <v>5.7858700000000001</v>
      </c>
      <c r="AE291">
        <v>10</v>
      </c>
      <c r="AF291">
        <v>1744242516</v>
      </c>
      <c r="AG291">
        <v>0</v>
      </c>
      <c r="AH291">
        <v>1162782784</v>
      </c>
      <c r="AI291">
        <v>1744242516</v>
      </c>
      <c r="AJ291">
        <v>2907025300</v>
      </c>
      <c r="AK291">
        <v>58141417</v>
      </c>
      <c r="AL291">
        <v>0</v>
      </c>
      <c r="AM291">
        <v>38759426</v>
      </c>
      <c r="AN291">
        <v>58141417</v>
      </c>
      <c r="AO291">
        <v>96900843</v>
      </c>
      <c r="AQ291">
        <v>29.512599999999999</v>
      </c>
      <c r="AR291">
        <v>13.923</v>
      </c>
      <c r="AS291">
        <v>5419.15</v>
      </c>
      <c r="AU291" t="s">
        <v>633</v>
      </c>
      <c r="AV291" t="str">
        <f t="shared" si="8"/>
        <v>40% updates, key range [0, 2*10^8)</v>
      </c>
      <c r="AW291" t="str">
        <f t="shared" si="9"/>
        <v>9789</v>
      </c>
    </row>
    <row r="292" spans="1:49">
      <c r="A292" t="s">
        <v>634</v>
      </c>
      <c r="B292" t="s">
        <v>75</v>
      </c>
      <c r="D292" t="s">
        <v>73</v>
      </c>
      <c r="E292" t="s">
        <v>68</v>
      </c>
      <c r="F292" t="s">
        <v>69</v>
      </c>
      <c r="G292">
        <v>30000</v>
      </c>
      <c r="H292">
        <v>20</v>
      </c>
      <c r="I292">
        <v>20</v>
      </c>
      <c r="J292">
        <v>0</v>
      </c>
      <c r="K292">
        <v>1</v>
      </c>
      <c r="L292">
        <v>200000000</v>
      </c>
      <c r="M292">
        <v>24</v>
      </c>
      <c r="N292">
        <v>24</v>
      </c>
      <c r="O292">
        <v>24</v>
      </c>
      <c r="P292">
        <v>0</v>
      </c>
      <c r="Q292" t="s">
        <v>70</v>
      </c>
      <c r="R292">
        <v>9999470073703220</v>
      </c>
      <c r="S292">
        <v>100000133</v>
      </c>
      <c r="V292" t="s">
        <v>83</v>
      </c>
      <c r="W292">
        <v>33</v>
      </c>
      <c r="X292">
        <v>61630942</v>
      </c>
      <c r="Y292">
        <v>46516529</v>
      </c>
      <c r="Z292">
        <v>108147471</v>
      </c>
      <c r="AA292">
        <v>100000133</v>
      </c>
      <c r="AB292">
        <v>1.7547600000000001</v>
      </c>
      <c r="AC292">
        <v>2.1497799999999998</v>
      </c>
      <c r="AD292">
        <v>1.92466</v>
      </c>
      <c r="AE292">
        <v>26.3645</v>
      </c>
      <c r="AF292">
        <v>146918937</v>
      </c>
      <c r="AG292">
        <v>0</v>
      </c>
      <c r="AH292">
        <v>97938428</v>
      </c>
      <c r="AI292">
        <v>146918937</v>
      </c>
      <c r="AJ292">
        <v>244857365</v>
      </c>
      <c r="AK292">
        <v>4897297</v>
      </c>
      <c r="AL292">
        <v>0</v>
      </c>
      <c r="AM292">
        <v>3264614</v>
      </c>
      <c r="AN292">
        <v>4897297</v>
      </c>
      <c r="AO292">
        <v>8161912</v>
      </c>
      <c r="AQ292">
        <v>42.109099999999998</v>
      </c>
      <c r="AR292">
        <v>19.1434</v>
      </c>
      <c r="AS292">
        <v>8189.26</v>
      </c>
      <c r="AU292" t="s">
        <v>635</v>
      </c>
      <c r="AV292" t="str">
        <f t="shared" si="8"/>
        <v>40% updates, key range [0, 2*10^8)</v>
      </c>
      <c r="AW292" t="str">
        <f t="shared" si="9"/>
        <v>8053</v>
      </c>
    </row>
    <row r="293" spans="1:49">
      <c r="A293" t="s">
        <v>636</v>
      </c>
      <c r="B293" t="s">
        <v>75</v>
      </c>
      <c r="D293" t="s">
        <v>73</v>
      </c>
      <c r="E293" t="s">
        <v>68</v>
      </c>
      <c r="F293" t="s">
        <v>69</v>
      </c>
      <c r="G293">
        <v>30000</v>
      </c>
      <c r="H293">
        <v>20</v>
      </c>
      <c r="I293">
        <v>20</v>
      </c>
      <c r="J293">
        <v>0</v>
      </c>
      <c r="K293">
        <v>1</v>
      </c>
      <c r="L293">
        <v>200000000</v>
      </c>
      <c r="M293">
        <v>48</v>
      </c>
      <c r="N293">
        <v>48</v>
      </c>
      <c r="O293">
        <v>48</v>
      </c>
      <c r="P293">
        <v>0</v>
      </c>
      <c r="Q293" t="s">
        <v>70</v>
      </c>
      <c r="R293">
        <v>1.00002865596473E+16</v>
      </c>
      <c r="S293">
        <v>100001050</v>
      </c>
      <c r="V293" t="s">
        <v>83</v>
      </c>
      <c r="W293">
        <v>33</v>
      </c>
      <c r="X293">
        <v>64174715</v>
      </c>
      <c r="Y293">
        <v>48529134</v>
      </c>
      <c r="Z293">
        <v>112703849</v>
      </c>
      <c r="AA293">
        <v>100001050</v>
      </c>
      <c r="AB293">
        <v>1.7562</v>
      </c>
      <c r="AC293">
        <v>2.0606399999999998</v>
      </c>
      <c r="AD293">
        <v>1.8872899999999999</v>
      </c>
      <c r="AE293">
        <v>26.404599999999999</v>
      </c>
      <c r="AF293">
        <v>281201749</v>
      </c>
      <c r="AG293">
        <v>0</v>
      </c>
      <c r="AH293">
        <v>187461523</v>
      </c>
      <c r="AI293">
        <v>281201749</v>
      </c>
      <c r="AJ293">
        <v>468663272</v>
      </c>
      <c r="AK293">
        <v>9373391</v>
      </c>
      <c r="AL293">
        <v>0</v>
      </c>
      <c r="AM293">
        <v>6248717</v>
      </c>
      <c r="AN293">
        <v>9373391</v>
      </c>
      <c r="AO293">
        <v>15622109</v>
      </c>
      <c r="AQ293">
        <v>42.713099999999997</v>
      </c>
      <c r="AR293">
        <v>19.043600000000001</v>
      </c>
      <c r="AS293">
        <v>8554.59</v>
      </c>
      <c r="AU293" t="s">
        <v>637</v>
      </c>
      <c r="AV293" t="str">
        <f t="shared" si="8"/>
        <v>40% updates, key range [0, 2*10^8)</v>
      </c>
      <c r="AW293" t="str">
        <f t="shared" si="9"/>
        <v>8354</v>
      </c>
    </row>
    <row r="294" spans="1:49">
      <c r="A294" t="s">
        <v>638</v>
      </c>
      <c r="B294" t="s">
        <v>75</v>
      </c>
      <c r="D294" t="s">
        <v>73</v>
      </c>
      <c r="E294" t="s">
        <v>68</v>
      </c>
      <c r="F294" t="s">
        <v>69</v>
      </c>
      <c r="G294">
        <v>30000</v>
      </c>
      <c r="H294">
        <v>20</v>
      </c>
      <c r="I294">
        <v>20</v>
      </c>
      <c r="J294">
        <v>0</v>
      </c>
      <c r="K294">
        <v>1</v>
      </c>
      <c r="L294">
        <v>200000000</v>
      </c>
      <c r="M294">
        <v>96</v>
      </c>
      <c r="N294">
        <v>96</v>
      </c>
      <c r="O294">
        <v>96</v>
      </c>
      <c r="P294">
        <v>0</v>
      </c>
      <c r="Q294" t="s">
        <v>70</v>
      </c>
      <c r="R294">
        <v>1.00004047036243E+16</v>
      </c>
      <c r="S294">
        <v>100001155</v>
      </c>
      <c r="V294" t="s">
        <v>83</v>
      </c>
      <c r="W294">
        <v>33</v>
      </c>
      <c r="X294">
        <v>66979893</v>
      </c>
      <c r="Y294">
        <v>50743959</v>
      </c>
      <c r="Z294">
        <v>117723852</v>
      </c>
      <c r="AA294">
        <v>100001155</v>
      </c>
      <c r="AB294">
        <v>1.7576000000000001</v>
      </c>
      <c r="AC294">
        <v>1.9706999999999999</v>
      </c>
      <c r="AD294">
        <v>1.8494600000000001</v>
      </c>
      <c r="AE294">
        <v>26.589600000000001</v>
      </c>
      <c r="AF294">
        <v>583529912</v>
      </c>
      <c r="AG294">
        <v>0</v>
      </c>
      <c r="AH294">
        <v>389043290</v>
      </c>
      <c r="AI294">
        <v>583529912</v>
      </c>
      <c r="AJ294">
        <v>972573202</v>
      </c>
      <c r="AK294">
        <v>19450997</v>
      </c>
      <c r="AL294">
        <v>0</v>
      </c>
      <c r="AM294">
        <v>12968109</v>
      </c>
      <c r="AN294">
        <v>19450997</v>
      </c>
      <c r="AO294">
        <v>32419106</v>
      </c>
      <c r="AQ294">
        <v>42.942100000000003</v>
      </c>
      <c r="AR294">
        <v>20.303599999999999</v>
      </c>
      <c r="AS294">
        <v>8236.43</v>
      </c>
      <c r="AU294" t="s">
        <v>639</v>
      </c>
      <c r="AV294" t="str">
        <f t="shared" si="8"/>
        <v>40% updates, key range [0, 2*10^8)</v>
      </c>
      <c r="AW294" t="str">
        <f t="shared" si="9"/>
        <v>8724</v>
      </c>
    </row>
    <row r="295" spans="1:49">
      <c r="A295" t="s">
        <v>640</v>
      </c>
      <c r="B295" t="s">
        <v>75</v>
      </c>
      <c r="D295" t="s">
        <v>73</v>
      </c>
      <c r="E295" t="s">
        <v>68</v>
      </c>
      <c r="F295" t="s">
        <v>69</v>
      </c>
      <c r="G295">
        <v>30000</v>
      </c>
      <c r="H295">
        <v>20</v>
      </c>
      <c r="I295">
        <v>20</v>
      </c>
      <c r="J295">
        <v>0</v>
      </c>
      <c r="K295">
        <v>1</v>
      </c>
      <c r="L295">
        <v>200000000</v>
      </c>
      <c r="M295">
        <v>144</v>
      </c>
      <c r="N295">
        <v>144</v>
      </c>
      <c r="O295">
        <v>144</v>
      </c>
      <c r="P295">
        <v>0</v>
      </c>
      <c r="Q295" t="s">
        <v>70</v>
      </c>
      <c r="R295">
        <v>9998600574452690</v>
      </c>
      <c r="S295">
        <v>99991198</v>
      </c>
      <c r="V295" t="s">
        <v>83</v>
      </c>
      <c r="W295">
        <v>33</v>
      </c>
      <c r="X295">
        <v>67963444</v>
      </c>
      <c r="Y295">
        <v>51521588</v>
      </c>
      <c r="Z295">
        <v>119485032</v>
      </c>
      <c r="AA295">
        <v>99991198</v>
      </c>
      <c r="AB295">
        <v>1.7580800000000001</v>
      </c>
      <c r="AC295">
        <v>1.94076</v>
      </c>
      <c r="AD295">
        <v>1.8368500000000001</v>
      </c>
      <c r="AE295">
        <v>26.586300000000001</v>
      </c>
      <c r="AF295">
        <v>864956510</v>
      </c>
      <c r="AG295">
        <v>0</v>
      </c>
      <c r="AH295">
        <v>576622090</v>
      </c>
      <c r="AI295">
        <v>864956510</v>
      </c>
      <c r="AJ295">
        <v>1441578600</v>
      </c>
      <c r="AK295">
        <v>28831883</v>
      </c>
      <c r="AL295">
        <v>0</v>
      </c>
      <c r="AM295">
        <v>19220736</v>
      </c>
      <c r="AN295">
        <v>28831883</v>
      </c>
      <c r="AO295">
        <v>48052620</v>
      </c>
      <c r="AQ295">
        <v>43.7074</v>
      </c>
      <c r="AR295">
        <v>20.870200000000001</v>
      </c>
      <c r="AS295">
        <v>8339.35</v>
      </c>
      <c r="AU295" t="s">
        <v>641</v>
      </c>
      <c r="AV295" t="str">
        <f t="shared" si="8"/>
        <v>40% updates, key range [0, 2*10^8)</v>
      </c>
      <c r="AW295" t="str">
        <f t="shared" si="9"/>
        <v>9460</v>
      </c>
    </row>
    <row r="296" spans="1:49">
      <c r="A296" t="s">
        <v>642</v>
      </c>
      <c r="B296" t="s">
        <v>75</v>
      </c>
      <c r="D296" t="s">
        <v>73</v>
      </c>
      <c r="E296" t="s">
        <v>68</v>
      </c>
      <c r="F296" t="s">
        <v>69</v>
      </c>
      <c r="G296">
        <v>30000</v>
      </c>
      <c r="H296">
        <v>20</v>
      </c>
      <c r="I296">
        <v>20</v>
      </c>
      <c r="J296">
        <v>0</v>
      </c>
      <c r="K296">
        <v>1</v>
      </c>
      <c r="L296">
        <v>200000000</v>
      </c>
      <c r="M296">
        <v>190</v>
      </c>
      <c r="N296">
        <v>190</v>
      </c>
      <c r="O296">
        <v>190</v>
      </c>
      <c r="P296">
        <v>0</v>
      </c>
      <c r="Q296" t="s">
        <v>70</v>
      </c>
      <c r="R296">
        <v>9998962638379850</v>
      </c>
      <c r="S296">
        <v>99995089</v>
      </c>
      <c r="V296" t="s">
        <v>83</v>
      </c>
      <c r="W296">
        <v>33</v>
      </c>
      <c r="X296">
        <v>68317744</v>
      </c>
      <c r="Y296">
        <v>51808548</v>
      </c>
      <c r="Z296">
        <v>120126292</v>
      </c>
      <c r="AA296">
        <v>99995089</v>
      </c>
      <c r="AB296">
        <v>1.7583500000000001</v>
      </c>
      <c r="AC296">
        <v>1.9300900000000001</v>
      </c>
      <c r="AD296">
        <v>1.8324199999999999</v>
      </c>
      <c r="AE296">
        <v>26.633900000000001</v>
      </c>
      <c r="AF296">
        <v>1119357565</v>
      </c>
      <c r="AG296">
        <v>0</v>
      </c>
      <c r="AH296">
        <v>746334163</v>
      </c>
      <c r="AI296">
        <v>1119357565</v>
      </c>
      <c r="AJ296">
        <v>1865691728</v>
      </c>
      <c r="AK296">
        <v>37311918</v>
      </c>
      <c r="AL296">
        <v>0</v>
      </c>
      <c r="AM296">
        <v>24877805</v>
      </c>
      <c r="AN296">
        <v>37311918</v>
      </c>
      <c r="AO296">
        <v>62189724</v>
      </c>
      <c r="AQ296">
        <v>44.222900000000003</v>
      </c>
      <c r="AR296">
        <v>21.413799999999998</v>
      </c>
      <c r="AS296">
        <v>8500.4</v>
      </c>
      <c r="AU296" t="s">
        <v>643</v>
      </c>
      <c r="AV296" t="str">
        <f t="shared" si="8"/>
        <v>40% updates, key range [0, 2*10^8)</v>
      </c>
      <c r="AW296" t="str">
        <f t="shared" si="9"/>
        <v>10598</v>
      </c>
    </row>
    <row r="297" spans="1:49">
      <c r="A297" t="s">
        <v>644</v>
      </c>
      <c r="B297" t="s">
        <v>76</v>
      </c>
      <c r="D297" t="s">
        <v>73</v>
      </c>
      <c r="E297" t="s">
        <v>68</v>
      </c>
      <c r="F297" t="s">
        <v>69</v>
      </c>
      <c r="G297">
        <v>30000</v>
      </c>
      <c r="H297">
        <v>20</v>
      </c>
      <c r="I297">
        <v>20</v>
      </c>
      <c r="J297">
        <v>0</v>
      </c>
      <c r="K297">
        <v>1</v>
      </c>
      <c r="L297">
        <v>200000000</v>
      </c>
      <c r="M297">
        <v>24</v>
      </c>
      <c r="N297">
        <v>24</v>
      </c>
      <c r="O297">
        <v>24</v>
      </c>
      <c r="P297">
        <v>0</v>
      </c>
      <c r="Q297" t="s">
        <v>70</v>
      </c>
      <c r="R297">
        <v>9999872677792920</v>
      </c>
      <c r="S297">
        <v>100003853</v>
      </c>
      <c r="V297" t="s">
        <v>83</v>
      </c>
      <c r="W297">
        <v>71</v>
      </c>
      <c r="X297">
        <v>100003852</v>
      </c>
      <c r="Y297">
        <v>100003853</v>
      </c>
      <c r="Z297">
        <v>200007705</v>
      </c>
      <c r="AA297">
        <v>100003853</v>
      </c>
      <c r="AB297">
        <v>2</v>
      </c>
      <c r="AC297">
        <v>1</v>
      </c>
      <c r="AD297">
        <v>1.5</v>
      </c>
      <c r="AE297">
        <v>36.622900000000001</v>
      </c>
      <c r="AF297">
        <v>122288923</v>
      </c>
      <c r="AG297">
        <v>0</v>
      </c>
      <c r="AH297">
        <v>81530703</v>
      </c>
      <c r="AI297">
        <v>122288923</v>
      </c>
      <c r="AJ297">
        <v>203819626</v>
      </c>
      <c r="AK297">
        <v>4076297</v>
      </c>
      <c r="AL297">
        <v>0</v>
      </c>
      <c r="AM297">
        <v>2717690</v>
      </c>
      <c r="AN297">
        <v>4076297</v>
      </c>
      <c r="AO297">
        <v>6793987</v>
      </c>
      <c r="AQ297">
        <v>39.394599999999997</v>
      </c>
      <c r="AR297">
        <v>19.18</v>
      </c>
      <c r="AS297">
        <v>9841.8799999999992</v>
      </c>
      <c r="AU297" t="s">
        <v>482</v>
      </c>
      <c r="AV297" t="str">
        <f t="shared" si="8"/>
        <v>40% updates, key range [0, 2*10^8)</v>
      </c>
      <c r="AW297" t="str">
        <f t="shared" si="9"/>
        <v>7549</v>
      </c>
    </row>
    <row r="298" spans="1:49">
      <c r="A298" t="s">
        <v>645</v>
      </c>
      <c r="B298" t="s">
        <v>76</v>
      </c>
      <c r="D298" t="s">
        <v>73</v>
      </c>
      <c r="E298" t="s">
        <v>68</v>
      </c>
      <c r="F298" t="s">
        <v>69</v>
      </c>
      <c r="G298">
        <v>30000</v>
      </c>
      <c r="H298">
        <v>20</v>
      </c>
      <c r="I298">
        <v>20</v>
      </c>
      <c r="J298">
        <v>0</v>
      </c>
      <c r="K298">
        <v>1</v>
      </c>
      <c r="L298">
        <v>200000000</v>
      </c>
      <c r="M298">
        <v>48</v>
      </c>
      <c r="N298">
        <v>48</v>
      </c>
      <c r="O298">
        <v>48</v>
      </c>
      <c r="P298">
        <v>0</v>
      </c>
      <c r="Q298" t="s">
        <v>70</v>
      </c>
      <c r="R298">
        <v>1.00007098502362E+16</v>
      </c>
      <c r="S298">
        <v>100004857</v>
      </c>
      <c r="V298" t="s">
        <v>83</v>
      </c>
      <c r="W298">
        <v>72</v>
      </c>
      <c r="X298">
        <v>100004856</v>
      </c>
      <c r="Y298">
        <v>100004857</v>
      </c>
      <c r="Z298">
        <v>200009713</v>
      </c>
      <c r="AA298">
        <v>100004857</v>
      </c>
      <c r="AB298">
        <v>2</v>
      </c>
      <c r="AC298">
        <v>1</v>
      </c>
      <c r="AD298">
        <v>1.5</v>
      </c>
      <c r="AE298">
        <v>36.482799999999997</v>
      </c>
      <c r="AF298">
        <v>235418641</v>
      </c>
      <c r="AG298">
        <v>0</v>
      </c>
      <c r="AH298">
        <v>156931760</v>
      </c>
      <c r="AI298">
        <v>235418641</v>
      </c>
      <c r="AJ298">
        <v>392350401</v>
      </c>
      <c r="AK298">
        <v>7847288</v>
      </c>
      <c r="AL298">
        <v>0</v>
      </c>
      <c r="AM298">
        <v>5231058</v>
      </c>
      <c r="AN298">
        <v>7847288</v>
      </c>
      <c r="AO298">
        <v>13078346</v>
      </c>
      <c r="AQ298">
        <v>39.379100000000001</v>
      </c>
      <c r="AR298">
        <v>18.967600000000001</v>
      </c>
      <c r="AS298">
        <v>10225.1</v>
      </c>
      <c r="AU298" t="s">
        <v>646</v>
      </c>
      <c r="AV298" t="str">
        <f t="shared" si="8"/>
        <v>40% updates, key range [0, 2*10^8)</v>
      </c>
      <c r="AW298" t="str">
        <f t="shared" si="9"/>
        <v>7602</v>
      </c>
    </row>
    <row r="299" spans="1:49">
      <c r="A299" t="s">
        <v>647</v>
      </c>
      <c r="B299" t="s">
        <v>76</v>
      </c>
      <c r="D299" t="s">
        <v>73</v>
      </c>
      <c r="E299" t="s">
        <v>68</v>
      </c>
      <c r="F299" t="s">
        <v>69</v>
      </c>
      <c r="G299">
        <v>30000</v>
      </c>
      <c r="H299">
        <v>20</v>
      </c>
      <c r="I299">
        <v>20</v>
      </c>
      <c r="J299">
        <v>0</v>
      </c>
      <c r="K299">
        <v>1</v>
      </c>
      <c r="L299">
        <v>200000000</v>
      </c>
      <c r="M299">
        <v>96</v>
      </c>
      <c r="N299">
        <v>96</v>
      </c>
      <c r="O299">
        <v>96</v>
      </c>
      <c r="P299">
        <v>0</v>
      </c>
      <c r="Q299" t="s">
        <v>70</v>
      </c>
      <c r="R299">
        <v>9999583018796110</v>
      </c>
      <c r="S299">
        <v>99996211</v>
      </c>
      <c r="V299" t="s">
        <v>83</v>
      </c>
      <c r="W299">
        <v>70</v>
      </c>
      <c r="X299">
        <v>99996210</v>
      </c>
      <c r="Y299">
        <v>99996211</v>
      </c>
      <c r="Z299">
        <v>199992421</v>
      </c>
      <c r="AA299">
        <v>99996211</v>
      </c>
      <c r="AB299">
        <v>2</v>
      </c>
      <c r="AC299">
        <v>1</v>
      </c>
      <c r="AD299">
        <v>1.5</v>
      </c>
      <c r="AE299">
        <v>35.560400000000001</v>
      </c>
      <c r="AF299">
        <v>492731289</v>
      </c>
      <c r="AG299">
        <v>0</v>
      </c>
      <c r="AH299">
        <v>328451330</v>
      </c>
      <c r="AI299">
        <v>492731289</v>
      </c>
      <c r="AJ299">
        <v>821182619</v>
      </c>
      <c r="AK299">
        <v>16424376</v>
      </c>
      <c r="AL299">
        <v>0</v>
      </c>
      <c r="AM299">
        <v>10948377</v>
      </c>
      <c r="AN299">
        <v>16424376</v>
      </c>
      <c r="AO299">
        <v>27372753</v>
      </c>
      <c r="AQ299">
        <v>40.292700000000004</v>
      </c>
      <c r="AR299">
        <v>19.992100000000001</v>
      </c>
      <c r="AS299">
        <v>9763.51</v>
      </c>
      <c r="AU299" t="s">
        <v>648</v>
      </c>
      <c r="AV299" t="str">
        <f t="shared" si="8"/>
        <v>40% updates, key range [0, 2*10^8)</v>
      </c>
      <c r="AW299" t="str">
        <f t="shared" si="9"/>
        <v>8519</v>
      </c>
    </row>
    <row r="300" spans="1:49">
      <c r="A300" t="s">
        <v>649</v>
      </c>
      <c r="B300" t="s">
        <v>76</v>
      </c>
      <c r="D300" t="s">
        <v>73</v>
      </c>
      <c r="E300" t="s">
        <v>68</v>
      </c>
      <c r="F300" t="s">
        <v>69</v>
      </c>
      <c r="G300">
        <v>30000</v>
      </c>
      <c r="H300">
        <v>20</v>
      </c>
      <c r="I300">
        <v>20</v>
      </c>
      <c r="J300">
        <v>0</v>
      </c>
      <c r="K300">
        <v>1</v>
      </c>
      <c r="L300">
        <v>200000000</v>
      </c>
      <c r="M300">
        <v>144</v>
      </c>
      <c r="N300">
        <v>144</v>
      </c>
      <c r="O300">
        <v>144</v>
      </c>
      <c r="P300">
        <v>0</v>
      </c>
      <c r="Q300" t="s">
        <v>70</v>
      </c>
      <c r="R300">
        <v>9998284610389140</v>
      </c>
      <c r="S300">
        <v>99988187</v>
      </c>
      <c r="V300" t="s">
        <v>83</v>
      </c>
      <c r="W300">
        <v>67</v>
      </c>
      <c r="X300">
        <v>99988186</v>
      </c>
      <c r="Y300">
        <v>99988187</v>
      </c>
      <c r="Z300">
        <v>199976373</v>
      </c>
      <c r="AA300">
        <v>99988187</v>
      </c>
      <c r="AB300">
        <v>2</v>
      </c>
      <c r="AC300">
        <v>1</v>
      </c>
      <c r="AD300">
        <v>1.5</v>
      </c>
      <c r="AE300">
        <v>34.865099999999998</v>
      </c>
      <c r="AF300">
        <v>710962508</v>
      </c>
      <c r="AG300">
        <v>0</v>
      </c>
      <c r="AH300">
        <v>474016669</v>
      </c>
      <c r="AI300">
        <v>710962508</v>
      </c>
      <c r="AJ300">
        <v>1184979177</v>
      </c>
      <c r="AK300">
        <v>23698750</v>
      </c>
      <c r="AL300">
        <v>0</v>
      </c>
      <c r="AM300">
        <v>15800555</v>
      </c>
      <c r="AN300">
        <v>23698750</v>
      </c>
      <c r="AO300">
        <v>39499305</v>
      </c>
      <c r="AQ300">
        <v>41.3872</v>
      </c>
      <c r="AR300">
        <v>20.994</v>
      </c>
      <c r="AS300">
        <v>10146.700000000001</v>
      </c>
      <c r="AU300" t="s">
        <v>650</v>
      </c>
      <c r="AV300" t="str">
        <f t="shared" si="8"/>
        <v>40% updates, key range [0, 2*10^8)</v>
      </c>
      <c r="AW300" t="str">
        <f t="shared" si="9"/>
        <v>10044</v>
      </c>
    </row>
    <row r="301" spans="1:49">
      <c r="A301" t="s">
        <v>651</v>
      </c>
      <c r="B301" t="s">
        <v>76</v>
      </c>
      <c r="D301" t="s">
        <v>73</v>
      </c>
      <c r="E301" t="s">
        <v>68</v>
      </c>
      <c r="F301" t="s">
        <v>69</v>
      </c>
      <c r="G301">
        <v>30000</v>
      </c>
      <c r="H301">
        <v>20</v>
      </c>
      <c r="I301">
        <v>20</v>
      </c>
      <c r="J301">
        <v>0</v>
      </c>
      <c r="K301">
        <v>1</v>
      </c>
      <c r="L301">
        <v>200000000</v>
      </c>
      <c r="M301">
        <v>190</v>
      </c>
      <c r="N301">
        <v>190</v>
      </c>
      <c r="O301">
        <v>190</v>
      </c>
      <c r="P301">
        <v>0</v>
      </c>
      <c r="Q301" t="s">
        <v>70</v>
      </c>
      <c r="R301">
        <v>9999950286207210</v>
      </c>
      <c r="S301">
        <v>99998528</v>
      </c>
      <c r="V301" t="s">
        <v>83</v>
      </c>
      <c r="W301">
        <v>70</v>
      </c>
      <c r="X301">
        <v>99998527</v>
      </c>
      <c r="Y301">
        <v>99998528</v>
      </c>
      <c r="Z301">
        <v>199997055</v>
      </c>
      <c r="AA301">
        <v>99998528</v>
      </c>
      <c r="AB301">
        <v>2</v>
      </c>
      <c r="AC301">
        <v>1</v>
      </c>
      <c r="AD301">
        <v>1.5</v>
      </c>
      <c r="AE301">
        <v>36.087800000000001</v>
      </c>
      <c r="AF301">
        <v>902862051</v>
      </c>
      <c r="AG301">
        <v>0</v>
      </c>
      <c r="AH301">
        <v>601892001</v>
      </c>
      <c r="AI301">
        <v>902862051</v>
      </c>
      <c r="AJ301">
        <v>1504754052</v>
      </c>
      <c r="AK301">
        <v>30095401</v>
      </c>
      <c r="AL301">
        <v>0</v>
      </c>
      <c r="AM301">
        <v>20063066</v>
      </c>
      <c r="AN301">
        <v>30095401</v>
      </c>
      <c r="AO301">
        <v>50158468</v>
      </c>
      <c r="AQ301">
        <v>42.121899999999997</v>
      </c>
      <c r="AR301">
        <v>21.643799999999999</v>
      </c>
      <c r="AS301">
        <v>10539.2</v>
      </c>
      <c r="AU301" t="s">
        <v>652</v>
      </c>
      <c r="AV301" t="str">
        <f t="shared" si="8"/>
        <v>40% updates, key range [0, 2*10^8)</v>
      </c>
      <c r="AW301" t="str">
        <f t="shared" si="9"/>
        <v>10916</v>
      </c>
    </row>
    <row r="302" spans="1:49">
      <c r="A302" t="s">
        <v>653</v>
      </c>
      <c r="B302" t="s">
        <v>72</v>
      </c>
      <c r="C302">
        <v>72</v>
      </c>
      <c r="D302" t="s">
        <v>73</v>
      </c>
      <c r="E302" t="s">
        <v>68</v>
      </c>
      <c r="F302" t="s">
        <v>69</v>
      </c>
      <c r="G302">
        <v>30000</v>
      </c>
      <c r="H302">
        <v>20</v>
      </c>
      <c r="I302">
        <v>20</v>
      </c>
      <c r="J302">
        <v>0</v>
      </c>
      <c r="K302">
        <v>1</v>
      </c>
      <c r="L302">
        <v>2000000000</v>
      </c>
      <c r="M302">
        <v>24</v>
      </c>
      <c r="N302">
        <v>24</v>
      </c>
      <c r="O302">
        <v>24</v>
      </c>
      <c r="P302">
        <v>0</v>
      </c>
      <c r="Q302" t="s">
        <v>70</v>
      </c>
      <c r="R302">
        <v>9.9998011393095603E+17</v>
      </c>
      <c r="S302">
        <v>999998721</v>
      </c>
      <c r="V302" t="s">
        <v>83</v>
      </c>
      <c r="W302">
        <v>7</v>
      </c>
      <c r="X302">
        <v>118599574</v>
      </c>
      <c r="Y302">
        <v>1148976102</v>
      </c>
      <c r="Z302">
        <v>1267575676</v>
      </c>
      <c r="AA302">
        <v>999998721</v>
      </c>
      <c r="AB302">
        <v>10.687900000000001</v>
      </c>
      <c r="AC302">
        <v>0.87033899999999997</v>
      </c>
      <c r="AD302">
        <v>1.78891</v>
      </c>
      <c r="AE302">
        <v>4.0714600000000001</v>
      </c>
      <c r="AF302">
        <v>272981832</v>
      </c>
      <c r="AG302">
        <v>0</v>
      </c>
      <c r="AH302">
        <v>181996536</v>
      </c>
      <c r="AI302">
        <v>272981832</v>
      </c>
      <c r="AJ302">
        <v>454978368</v>
      </c>
      <c r="AK302">
        <v>9099394</v>
      </c>
      <c r="AL302">
        <v>0</v>
      </c>
      <c r="AM302">
        <v>6066551</v>
      </c>
      <c r="AN302">
        <v>9099394</v>
      </c>
      <c r="AO302">
        <v>15165945</v>
      </c>
      <c r="AQ302">
        <v>25.410599999999999</v>
      </c>
      <c r="AR302">
        <v>14.716799999999999</v>
      </c>
      <c r="AS302">
        <v>4236.25</v>
      </c>
      <c r="AU302" t="s">
        <v>654</v>
      </c>
      <c r="AV302" t="str">
        <f t="shared" si="8"/>
        <v>40% updates, key range [0, 2*10^9)</v>
      </c>
      <c r="AW302" t="str">
        <f t="shared" si="9"/>
        <v>62826</v>
      </c>
    </row>
    <row r="303" spans="1:49">
      <c r="A303" t="s">
        <v>655</v>
      </c>
      <c r="B303" t="s">
        <v>72</v>
      </c>
      <c r="C303">
        <v>72</v>
      </c>
      <c r="D303" t="s">
        <v>73</v>
      </c>
      <c r="E303" t="s">
        <v>68</v>
      </c>
      <c r="F303" t="s">
        <v>69</v>
      </c>
      <c r="G303">
        <v>30000</v>
      </c>
      <c r="H303">
        <v>20</v>
      </c>
      <c r="I303">
        <v>20</v>
      </c>
      <c r="J303">
        <v>0</v>
      </c>
      <c r="K303">
        <v>1</v>
      </c>
      <c r="L303">
        <v>2000000000</v>
      </c>
      <c r="M303">
        <v>48</v>
      </c>
      <c r="N303">
        <v>48</v>
      </c>
      <c r="O303">
        <v>48</v>
      </c>
      <c r="P303">
        <v>0</v>
      </c>
      <c r="Q303" t="s">
        <v>70</v>
      </c>
      <c r="R303">
        <v>1.00000175427631E+18</v>
      </c>
      <c r="S303">
        <v>1000008008</v>
      </c>
      <c r="V303" t="s">
        <v>83</v>
      </c>
      <c r="W303">
        <v>7</v>
      </c>
      <c r="X303">
        <v>127738052</v>
      </c>
      <c r="Y303">
        <v>1169560727</v>
      </c>
      <c r="Z303">
        <v>1297298779</v>
      </c>
      <c r="AA303">
        <v>1000008008</v>
      </c>
      <c r="AB303">
        <v>10.155900000000001</v>
      </c>
      <c r="AC303">
        <v>0.85502900000000004</v>
      </c>
      <c r="AD303">
        <v>1.77084</v>
      </c>
      <c r="AE303">
        <v>4.0920500000000004</v>
      </c>
      <c r="AF303">
        <v>481974344</v>
      </c>
      <c r="AG303">
        <v>0</v>
      </c>
      <c r="AH303">
        <v>321332845</v>
      </c>
      <c r="AI303">
        <v>481974344</v>
      </c>
      <c r="AJ303">
        <v>803307189</v>
      </c>
      <c r="AK303">
        <v>16065811</v>
      </c>
      <c r="AL303">
        <v>0</v>
      </c>
      <c r="AM303">
        <v>10711094</v>
      </c>
      <c r="AN303">
        <v>16065811</v>
      </c>
      <c r="AO303">
        <v>26776906</v>
      </c>
      <c r="AQ303">
        <v>25.960999999999999</v>
      </c>
      <c r="AR303">
        <v>15.234999999999999</v>
      </c>
      <c r="AS303">
        <v>4965.54</v>
      </c>
      <c r="AU303" t="s">
        <v>656</v>
      </c>
      <c r="AV303" t="str">
        <f t="shared" si="8"/>
        <v>40% updates, key range [0, 2*10^9)</v>
      </c>
      <c r="AW303" t="str">
        <f t="shared" si="9"/>
        <v>64992</v>
      </c>
    </row>
    <row r="304" spans="1:49">
      <c r="A304" t="s">
        <v>657</v>
      </c>
      <c r="B304" t="s">
        <v>72</v>
      </c>
      <c r="C304">
        <v>72</v>
      </c>
      <c r="D304" t="s">
        <v>73</v>
      </c>
      <c r="E304" t="s">
        <v>68</v>
      </c>
      <c r="F304" t="s">
        <v>69</v>
      </c>
      <c r="G304">
        <v>30000</v>
      </c>
      <c r="H304">
        <v>20</v>
      </c>
      <c r="I304">
        <v>20</v>
      </c>
      <c r="J304">
        <v>0</v>
      </c>
      <c r="K304">
        <v>1</v>
      </c>
      <c r="L304">
        <v>2000000000</v>
      </c>
      <c r="M304">
        <v>96</v>
      </c>
      <c r="N304">
        <v>96</v>
      </c>
      <c r="O304">
        <v>96</v>
      </c>
      <c r="P304">
        <v>0</v>
      </c>
      <c r="Q304" t="s">
        <v>70</v>
      </c>
      <c r="R304">
        <v>1.00000293751503E+18</v>
      </c>
      <c r="S304">
        <v>999999214</v>
      </c>
      <c r="V304" t="s">
        <v>83</v>
      </c>
      <c r="W304">
        <v>7</v>
      </c>
      <c r="X304">
        <v>84465056</v>
      </c>
      <c r="Y304">
        <v>1078803777</v>
      </c>
      <c r="Z304">
        <v>1163268833</v>
      </c>
      <c r="AA304">
        <v>999999214</v>
      </c>
      <c r="AB304">
        <v>13.7722</v>
      </c>
      <c r="AC304">
        <v>0.926952</v>
      </c>
      <c r="AD304">
        <v>1.85965</v>
      </c>
      <c r="AE304">
        <v>4</v>
      </c>
      <c r="AF304">
        <v>750056316</v>
      </c>
      <c r="AG304">
        <v>0</v>
      </c>
      <c r="AH304">
        <v>500028336</v>
      </c>
      <c r="AI304">
        <v>750056316</v>
      </c>
      <c r="AJ304">
        <v>1250084652</v>
      </c>
      <c r="AK304">
        <v>25001877</v>
      </c>
      <c r="AL304">
        <v>0</v>
      </c>
      <c r="AM304">
        <v>16667611</v>
      </c>
      <c r="AN304">
        <v>25001877</v>
      </c>
      <c r="AO304">
        <v>41669488</v>
      </c>
      <c r="AQ304">
        <v>32.677399999999999</v>
      </c>
      <c r="AR304">
        <v>20.349</v>
      </c>
      <c r="AS304">
        <v>5865.96</v>
      </c>
      <c r="AU304" t="s">
        <v>658</v>
      </c>
      <c r="AV304" t="str">
        <f t="shared" si="8"/>
        <v>40% updates, key range [0, 2*10^9)</v>
      </c>
      <c r="AW304" t="str">
        <f t="shared" si="9"/>
        <v>88039</v>
      </c>
    </row>
    <row r="305" spans="1:49">
      <c r="A305" t="s">
        <v>659</v>
      </c>
      <c r="B305" t="s">
        <v>72</v>
      </c>
      <c r="C305">
        <v>72</v>
      </c>
      <c r="D305" t="s">
        <v>73</v>
      </c>
      <c r="E305" t="s">
        <v>68</v>
      </c>
      <c r="F305" t="s">
        <v>69</v>
      </c>
      <c r="G305">
        <v>30000</v>
      </c>
      <c r="H305">
        <v>20</v>
      </c>
      <c r="I305">
        <v>20</v>
      </c>
      <c r="J305">
        <v>0</v>
      </c>
      <c r="K305">
        <v>1</v>
      </c>
      <c r="L305">
        <v>2000000000</v>
      </c>
      <c r="M305">
        <v>144</v>
      </c>
      <c r="N305">
        <v>144</v>
      </c>
      <c r="O305">
        <v>144</v>
      </c>
      <c r="P305">
        <v>0</v>
      </c>
      <c r="Q305" t="s">
        <v>70</v>
      </c>
      <c r="R305">
        <v>1.00000001292005E+18</v>
      </c>
      <c r="S305">
        <v>999991585</v>
      </c>
      <c r="V305" t="s">
        <v>83</v>
      </c>
      <c r="W305">
        <v>7</v>
      </c>
      <c r="X305">
        <v>125794479</v>
      </c>
      <c r="Y305">
        <v>1164913835</v>
      </c>
      <c r="Z305">
        <v>1290708314</v>
      </c>
      <c r="AA305">
        <v>999991585</v>
      </c>
      <c r="AB305">
        <v>10.2605</v>
      </c>
      <c r="AC305">
        <v>0.85842499999999999</v>
      </c>
      <c r="AD305">
        <v>1.7747599999999999</v>
      </c>
      <c r="AE305">
        <v>4.08751</v>
      </c>
      <c r="AF305">
        <v>1156424098</v>
      </c>
      <c r="AG305">
        <v>0</v>
      </c>
      <c r="AH305">
        <v>770924651</v>
      </c>
      <c r="AI305">
        <v>1156424098</v>
      </c>
      <c r="AJ305">
        <v>1927348749</v>
      </c>
      <c r="AK305">
        <v>38547469</v>
      </c>
      <c r="AL305">
        <v>0</v>
      </c>
      <c r="AM305">
        <v>25697488</v>
      </c>
      <c r="AN305">
        <v>38547469</v>
      </c>
      <c r="AO305">
        <v>64244958</v>
      </c>
      <c r="AQ305">
        <v>30.507200000000001</v>
      </c>
      <c r="AR305">
        <v>19.273199999999999</v>
      </c>
      <c r="AS305">
        <v>5616.47</v>
      </c>
      <c r="AU305" t="s">
        <v>660</v>
      </c>
      <c r="AV305" t="str">
        <f t="shared" si="8"/>
        <v>40% updates, key range [0, 2*10^9)</v>
      </c>
      <c r="AW305" t="str">
        <f t="shared" si="9"/>
        <v>120299</v>
      </c>
    </row>
    <row r="306" spans="1:49">
      <c r="A306" t="s">
        <v>661</v>
      </c>
      <c r="B306" t="s">
        <v>72</v>
      </c>
      <c r="C306">
        <v>72</v>
      </c>
      <c r="D306" t="s">
        <v>73</v>
      </c>
      <c r="E306" t="s">
        <v>68</v>
      </c>
      <c r="F306" t="s">
        <v>69</v>
      </c>
      <c r="G306">
        <v>30000</v>
      </c>
      <c r="H306">
        <v>20</v>
      </c>
      <c r="I306">
        <v>20</v>
      </c>
      <c r="J306">
        <v>0</v>
      </c>
      <c r="K306">
        <v>1</v>
      </c>
      <c r="L306">
        <v>2000000000</v>
      </c>
      <c r="M306">
        <v>190</v>
      </c>
      <c r="N306">
        <v>190</v>
      </c>
      <c r="O306">
        <v>190</v>
      </c>
      <c r="P306">
        <v>0</v>
      </c>
      <c r="Q306" t="s">
        <v>70</v>
      </c>
      <c r="R306">
        <v>1.0000312642133E+18</v>
      </c>
      <c r="S306">
        <v>1000029035</v>
      </c>
      <c r="V306" t="s">
        <v>83</v>
      </c>
      <c r="W306">
        <v>7</v>
      </c>
      <c r="X306">
        <v>119021653</v>
      </c>
      <c r="Y306">
        <v>1152416839</v>
      </c>
      <c r="Z306">
        <v>1271438492</v>
      </c>
      <c r="AA306">
        <v>1000029035</v>
      </c>
      <c r="AB306">
        <v>10.682399999999999</v>
      </c>
      <c r="AC306">
        <v>0.86776699999999996</v>
      </c>
      <c r="AD306">
        <v>1.78653</v>
      </c>
      <c r="AE306">
        <v>4.0739700000000001</v>
      </c>
      <c r="AF306">
        <v>1443135733</v>
      </c>
      <c r="AG306">
        <v>0</v>
      </c>
      <c r="AH306">
        <v>962012988</v>
      </c>
      <c r="AI306">
        <v>1443135733</v>
      </c>
      <c r="AJ306">
        <v>2405148721</v>
      </c>
      <c r="AK306">
        <v>48104524</v>
      </c>
      <c r="AL306">
        <v>0</v>
      </c>
      <c r="AM306">
        <v>32067099</v>
      </c>
      <c r="AN306">
        <v>48104524</v>
      </c>
      <c r="AO306">
        <v>80171624</v>
      </c>
      <c r="AQ306">
        <v>30.4649</v>
      </c>
      <c r="AR306">
        <v>19.490600000000001</v>
      </c>
      <c r="AS306">
        <v>5867.27</v>
      </c>
      <c r="AU306" t="s">
        <v>662</v>
      </c>
      <c r="AV306" t="str">
        <f t="shared" si="8"/>
        <v>40% updates, key range [0, 2*10^9)</v>
      </c>
      <c r="AW306" t="str">
        <f t="shared" si="9"/>
        <v>120691</v>
      </c>
    </row>
    <row r="307" spans="1:49">
      <c r="A307" t="s">
        <v>663</v>
      </c>
      <c r="B307" t="s">
        <v>74</v>
      </c>
      <c r="C307">
        <v>208</v>
      </c>
      <c r="D307" t="s">
        <v>73</v>
      </c>
      <c r="E307" t="s">
        <v>68</v>
      </c>
      <c r="F307" t="s">
        <v>69</v>
      </c>
      <c r="G307">
        <v>30000</v>
      </c>
      <c r="H307">
        <v>20</v>
      </c>
      <c r="I307">
        <v>20</v>
      </c>
      <c r="J307">
        <v>0</v>
      </c>
      <c r="K307">
        <v>1</v>
      </c>
      <c r="L307">
        <v>2000000000</v>
      </c>
      <c r="M307">
        <v>24</v>
      </c>
      <c r="N307">
        <v>24</v>
      </c>
      <c r="O307">
        <v>24</v>
      </c>
      <c r="P307">
        <v>0</v>
      </c>
      <c r="Q307" t="s">
        <v>70</v>
      </c>
      <c r="R307">
        <v>1.00000254707683E+18</v>
      </c>
      <c r="S307">
        <v>1000013075</v>
      </c>
      <c r="V307" t="s">
        <v>83</v>
      </c>
      <c r="W307">
        <v>12</v>
      </c>
      <c r="X307">
        <v>19080183</v>
      </c>
      <c r="Y307">
        <v>131303601</v>
      </c>
      <c r="Z307">
        <v>150383784</v>
      </c>
      <c r="AA307">
        <v>1000013075</v>
      </c>
      <c r="AB307">
        <v>7.8816699999999997</v>
      </c>
      <c r="AC307">
        <v>7.6160399999999999</v>
      </c>
      <c r="AD307">
        <v>7.6497400000000004</v>
      </c>
      <c r="AE307">
        <v>11</v>
      </c>
      <c r="AF307">
        <v>209009589</v>
      </c>
      <c r="AG307">
        <v>0</v>
      </c>
      <c r="AH307">
        <v>139335302</v>
      </c>
      <c r="AI307">
        <v>209009589</v>
      </c>
      <c r="AJ307">
        <v>348344891</v>
      </c>
      <c r="AK307">
        <v>6966986</v>
      </c>
      <c r="AL307">
        <v>0</v>
      </c>
      <c r="AM307">
        <v>4644510</v>
      </c>
      <c r="AN307">
        <v>6966986</v>
      </c>
      <c r="AO307">
        <v>11611496</v>
      </c>
      <c r="AQ307">
        <v>33.021500000000003</v>
      </c>
      <c r="AR307">
        <v>18.888300000000001</v>
      </c>
      <c r="AS307">
        <v>5751.57</v>
      </c>
      <c r="AU307" t="s">
        <v>664</v>
      </c>
      <c r="AV307" t="str">
        <f t="shared" si="8"/>
        <v>40% updates, key range [0, 2*10^9)</v>
      </c>
      <c r="AW307" t="str">
        <f t="shared" si="9"/>
        <v>34187</v>
      </c>
    </row>
    <row r="308" spans="1:49">
      <c r="A308" t="s">
        <v>665</v>
      </c>
      <c r="B308" t="s">
        <v>74</v>
      </c>
      <c r="C308">
        <v>208</v>
      </c>
      <c r="D308" t="s">
        <v>73</v>
      </c>
      <c r="E308" t="s">
        <v>68</v>
      </c>
      <c r="F308" t="s">
        <v>69</v>
      </c>
      <c r="G308">
        <v>30000</v>
      </c>
      <c r="H308">
        <v>20</v>
      </c>
      <c r="I308">
        <v>20</v>
      </c>
      <c r="J308">
        <v>0</v>
      </c>
      <c r="K308">
        <v>1</v>
      </c>
      <c r="L308">
        <v>2000000000</v>
      </c>
      <c r="M308">
        <v>48</v>
      </c>
      <c r="N308">
        <v>48</v>
      </c>
      <c r="O308">
        <v>48</v>
      </c>
      <c r="P308">
        <v>0</v>
      </c>
      <c r="Q308" t="s">
        <v>70</v>
      </c>
      <c r="R308">
        <v>9.9996427647636698E+17</v>
      </c>
      <c r="S308">
        <v>999968719</v>
      </c>
      <c r="V308" t="s">
        <v>83</v>
      </c>
      <c r="W308">
        <v>12</v>
      </c>
      <c r="X308">
        <v>19448744</v>
      </c>
      <c r="Y308">
        <v>133844068</v>
      </c>
      <c r="Z308">
        <v>153292812</v>
      </c>
      <c r="AA308">
        <v>999968719</v>
      </c>
      <c r="AB308">
        <v>7.8818900000000003</v>
      </c>
      <c r="AC308">
        <v>7.4711499999999997</v>
      </c>
      <c r="AD308">
        <v>7.5232599999999996</v>
      </c>
      <c r="AE308">
        <v>11</v>
      </c>
      <c r="AF308">
        <v>394206134</v>
      </c>
      <c r="AG308">
        <v>0</v>
      </c>
      <c r="AH308">
        <v>262846255</v>
      </c>
      <c r="AI308">
        <v>394206134</v>
      </c>
      <c r="AJ308">
        <v>657052389</v>
      </c>
      <c r="AK308">
        <v>13140204</v>
      </c>
      <c r="AL308">
        <v>0</v>
      </c>
      <c r="AM308">
        <v>8761541</v>
      </c>
      <c r="AN308">
        <v>13140204</v>
      </c>
      <c r="AO308">
        <v>21901746</v>
      </c>
      <c r="AQ308">
        <v>33.101100000000002</v>
      </c>
      <c r="AR308">
        <v>18.651299999999999</v>
      </c>
      <c r="AS308">
        <v>6094.59</v>
      </c>
      <c r="AU308" t="s">
        <v>666</v>
      </c>
      <c r="AV308" t="str">
        <f t="shared" si="8"/>
        <v>40% updates, key range [0, 2*10^9)</v>
      </c>
      <c r="AW308" t="str">
        <f t="shared" si="9"/>
        <v>35152</v>
      </c>
    </row>
    <row r="309" spans="1:49">
      <c r="A309" t="s">
        <v>667</v>
      </c>
      <c r="B309" t="s">
        <v>74</v>
      </c>
      <c r="C309">
        <v>208</v>
      </c>
      <c r="D309" t="s">
        <v>73</v>
      </c>
      <c r="E309" t="s">
        <v>68</v>
      </c>
      <c r="F309" t="s">
        <v>69</v>
      </c>
      <c r="G309">
        <v>30000</v>
      </c>
      <c r="H309">
        <v>20</v>
      </c>
      <c r="I309">
        <v>20</v>
      </c>
      <c r="J309">
        <v>0</v>
      </c>
      <c r="K309">
        <v>1</v>
      </c>
      <c r="L309">
        <v>2000000000</v>
      </c>
      <c r="M309">
        <v>96</v>
      </c>
      <c r="N309">
        <v>96</v>
      </c>
      <c r="O309">
        <v>96</v>
      </c>
      <c r="P309">
        <v>0</v>
      </c>
      <c r="Q309" t="s">
        <v>70</v>
      </c>
      <c r="R309">
        <v>1.00001582428018E+18</v>
      </c>
      <c r="S309">
        <v>1000013658</v>
      </c>
      <c r="V309" t="s">
        <v>83</v>
      </c>
      <c r="W309">
        <v>12</v>
      </c>
      <c r="X309">
        <v>20022070</v>
      </c>
      <c r="Y309">
        <v>137778956</v>
      </c>
      <c r="Z309">
        <v>157801026</v>
      </c>
      <c r="AA309">
        <v>1000013658</v>
      </c>
      <c r="AB309">
        <v>7.8813500000000003</v>
      </c>
      <c r="AC309">
        <v>7.2580999999999998</v>
      </c>
      <c r="AD309">
        <v>7.33718</v>
      </c>
      <c r="AE309">
        <v>11</v>
      </c>
      <c r="AF309">
        <v>756388880</v>
      </c>
      <c r="AG309">
        <v>0</v>
      </c>
      <c r="AH309">
        <v>504262342</v>
      </c>
      <c r="AI309">
        <v>756388880</v>
      </c>
      <c r="AJ309">
        <v>1260651222</v>
      </c>
      <c r="AK309">
        <v>25212962</v>
      </c>
      <c r="AL309">
        <v>0</v>
      </c>
      <c r="AM309">
        <v>16808744</v>
      </c>
      <c r="AN309">
        <v>25212962</v>
      </c>
      <c r="AO309">
        <v>42021707</v>
      </c>
      <c r="AQ309">
        <v>35.003900000000002</v>
      </c>
      <c r="AR309">
        <v>19.725899999999999</v>
      </c>
      <c r="AS309">
        <v>6325.14</v>
      </c>
      <c r="AU309" t="s">
        <v>668</v>
      </c>
      <c r="AV309" t="str">
        <f t="shared" si="8"/>
        <v>40% updates, key range [0, 2*10^9)</v>
      </c>
      <c r="AW309" t="str">
        <f t="shared" si="9"/>
        <v>47458</v>
      </c>
    </row>
    <row r="310" spans="1:49">
      <c r="A310" t="s">
        <v>669</v>
      </c>
      <c r="B310" t="s">
        <v>74</v>
      </c>
      <c r="C310">
        <v>208</v>
      </c>
      <c r="D310" t="s">
        <v>73</v>
      </c>
      <c r="E310" t="s">
        <v>68</v>
      </c>
      <c r="F310" t="s">
        <v>69</v>
      </c>
      <c r="G310">
        <v>30000</v>
      </c>
      <c r="H310">
        <v>20</v>
      </c>
      <c r="I310">
        <v>20</v>
      </c>
      <c r="J310">
        <v>0</v>
      </c>
      <c r="K310">
        <v>1</v>
      </c>
      <c r="L310">
        <v>2000000000</v>
      </c>
      <c r="M310">
        <v>144</v>
      </c>
      <c r="N310">
        <v>144</v>
      </c>
      <c r="O310">
        <v>144</v>
      </c>
      <c r="P310">
        <v>0</v>
      </c>
      <c r="Q310" t="s">
        <v>70</v>
      </c>
      <c r="R310">
        <v>9.9993467008964698E+17</v>
      </c>
      <c r="S310">
        <v>999978780</v>
      </c>
      <c r="V310" t="s">
        <v>83</v>
      </c>
      <c r="W310">
        <v>12</v>
      </c>
      <c r="X310">
        <v>20410594</v>
      </c>
      <c r="Y310">
        <v>140444462</v>
      </c>
      <c r="Z310">
        <v>160855056</v>
      </c>
      <c r="AA310">
        <v>999978780</v>
      </c>
      <c r="AB310">
        <v>7.88096</v>
      </c>
      <c r="AC310">
        <v>7.1200999999999999</v>
      </c>
      <c r="AD310">
        <v>7.2166499999999996</v>
      </c>
      <c r="AE310">
        <v>11</v>
      </c>
      <c r="AF310">
        <v>1056767784</v>
      </c>
      <c r="AG310">
        <v>0</v>
      </c>
      <c r="AH310">
        <v>704511724</v>
      </c>
      <c r="AI310">
        <v>1056767784</v>
      </c>
      <c r="AJ310">
        <v>1761279508</v>
      </c>
      <c r="AK310">
        <v>35225592</v>
      </c>
      <c r="AL310">
        <v>0</v>
      </c>
      <c r="AM310">
        <v>23483724</v>
      </c>
      <c r="AN310">
        <v>35225592</v>
      </c>
      <c r="AO310">
        <v>58709316</v>
      </c>
      <c r="AQ310">
        <v>36.508499999999998</v>
      </c>
      <c r="AR310">
        <v>20.694600000000001</v>
      </c>
      <c r="AS310">
        <v>6754.24</v>
      </c>
      <c r="AU310" t="s">
        <v>670</v>
      </c>
      <c r="AV310" t="str">
        <f t="shared" si="8"/>
        <v>40% updates, key range [0, 2*10^9)</v>
      </c>
      <c r="AW310" t="str">
        <f t="shared" si="9"/>
        <v>58487</v>
      </c>
    </row>
    <row r="311" spans="1:49">
      <c r="A311" t="s">
        <v>671</v>
      </c>
      <c r="B311" t="s">
        <v>74</v>
      </c>
      <c r="C311">
        <v>208</v>
      </c>
      <c r="D311" t="s">
        <v>73</v>
      </c>
      <c r="E311" t="s">
        <v>68</v>
      </c>
      <c r="F311" t="s">
        <v>69</v>
      </c>
      <c r="G311">
        <v>30000</v>
      </c>
      <c r="H311">
        <v>20</v>
      </c>
      <c r="I311">
        <v>20</v>
      </c>
      <c r="J311">
        <v>0</v>
      </c>
      <c r="K311">
        <v>1</v>
      </c>
      <c r="L311">
        <v>2000000000</v>
      </c>
      <c r="M311">
        <v>190</v>
      </c>
      <c r="N311">
        <v>190</v>
      </c>
      <c r="O311">
        <v>190</v>
      </c>
      <c r="P311">
        <v>0</v>
      </c>
      <c r="Q311" t="s">
        <v>70</v>
      </c>
      <c r="R311">
        <v>1.00000268069354E+18</v>
      </c>
      <c r="S311">
        <v>1000003145</v>
      </c>
      <c r="V311" t="s">
        <v>83</v>
      </c>
      <c r="W311">
        <v>12</v>
      </c>
      <c r="X311">
        <v>20675813</v>
      </c>
      <c r="Y311">
        <v>142260197</v>
      </c>
      <c r="Z311">
        <v>162936010</v>
      </c>
      <c r="AA311">
        <v>1000003145</v>
      </c>
      <c r="AB311">
        <v>7.8805100000000001</v>
      </c>
      <c r="AC311">
        <v>7.0293999999999999</v>
      </c>
      <c r="AD311">
        <v>7.1374000000000004</v>
      </c>
      <c r="AE311">
        <v>11</v>
      </c>
      <c r="AF311">
        <v>1287655767</v>
      </c>
      <c r="AG311">
        <v>0</v>
      </c>
      <c r="AH311">
        <v>858380684</v>
      </c>
      <c r="AI311">
        <v>1287655767</v>
      </c>
      <c r="AJ311">
        <v>2146036451</v>
      </c>
      <c r="AK311">
        <v>42921858</v>
      </c>
      <c r="AL311">
        <v>0</v>
      </c>
      <c r="AM311">
        <v>28612689</v>
      </c>
      <c r="AN311">
        <v>42921858</v>
      </c>
      <c r="AO311">
        <v>71534548</v>
      </c>
      <c r="AQ311">
        <v>37.398600000000002</v>
      </c>
      <c r="AR311">
        <v>21.316299999999998</v>
      </c>
      <c r="AS311">
        <v>7264.05</v>
      </c>
      <c r="AU311" t="s">
        <v>672</v>
      </c>
      <c r="AV311" t="str">
        <f t="shared" si="8"/>
        <v>40% updates, key range [0, 2*10^9)</v>
      </c>
      <c r="AW311" t="str">
        <f t="shared" si="9"/>
        <v>63046</v>
      </c>
    </row>
    <row r="312" spans="1:49">
      <c r="A312" t="s">
        <v>673</v>
      </c>
      <c r="B312" t="s">
        <v>75</v>
      </c>
      <c r="D312" t="s">
        <v>73</v>
      </c>
      <c r="E312" t="s">
        <v>68</v>
      </c>
      <c r="F312" t="s">
        <v>69</v>
      </c>
      <c r="G312">
        <v>30000</v>
      </c>
      <c r="H312">
        <v>20</v>
      </c>
      <c r="I312">
        <v>20</v>
      </c>
      <c r="J312">
        <v>0</v>
      </c>
      <c r="K312">
        <v>1</v>
      </c>
      <c r="L312">
        <v>2000000000</v>
      </c>
      <c r="M312">
        <v>24</v>
      </c>
      <c r="N312">
        <v>24</v>
      </c>
      <c r="O312">
        <v>24</v>
      </c>
      <c r="P312">
        <v>0</v>
      </c>
      <c r="Q312" t="s">
        <v>70</v>
      </c>
      <c r="AU312" t="s">
        <v>418</v>
      </c>
      <c r="AV312" t="str">
        <f t="shared" si="8"/>
        <v>40% updates, key range [0, 2*10^9)</v>
      </c>
      <c r="AW312" t="str">
        <f t="shared" si="9"/>
        <v/>
      </c>
    </row>
    <row r="313" spans="1:49">
      <c r="A313" t="s">
        <v>674</v>
      </c>
      <c r="B313" t="s">
        <v>75</v>
      </c>
      <c r="D313" t="s">
        <v>73</v>
      </c>
      <c r="E313" t="s">
        <v>68</v>
      </c>
      <c r="F313" t="s">
        <v>69</v>
      </c>
      <c r="G313">
        <v>30000</v>
      </c>
      <c r="H313">
        <v>20</v>
      </c>
      <c r="I313">
        <v>20</v>
      </c>
      <c r="J313">
        <v>0</v>
      </c>
      <c r="K313">
        <v>1</v>
      </c>
      <c r="L313">
        <v>2000000000</v>
      </c>
      <c r="M313">
        <v>48</v>
      </c>
      <c r="N313">
        <v>48</v>
      </c>
      <c r="O313">
        <v>48</v>
      </c>
      <c r="P313">
        <v>0</v>
      </c>
      <c r="Q313" t="s">
        <v>70</v>
      </c>
      <c r="R313">
        <v>9.9998974744454694E+17</v>
      </c>
      <c r="S313">
        <v>1000008565</v>
      </c>
      <c r="V313" t="s">
        <v>83</v>
      </c>
      <c r="W313">
        <v>37</v>
      </c>
      <c r="X313">
        <v>578591612</v>
      </c>
      <c r="Y313">
        <v>434538363</v>
      </c>
      <c r="Z313">
        <v>1013129975</v>
      </c>
      <c r="AA313">
        <v>1000008565</v>
      </c>
      <c r="AB313">
        <v>1.7510300000000001</v>
      </c>
      <c r="AC313">
        <v>2.30131</v>
      </c>
      <c r="AD313">
        <v>1.98705</v>
      </c>
      <c r="AE313">
        <v>29.517399999999999</v>
      </c>
      <c r="AF313">
        <v>190334967</v>
      </c>
      <c r="AG313">
        <v>0</v>
      </c>
      <c r="AH313">
        <v>126900369</v>
      </c>
      <c r="AI313">
        <v>190334967</v>
      </c>
      <c r="AJ313">
        <v>317235336</v>
      </c>
      <c r="AK313">
        <v>6344498</v>
      </c>
      <c r="AL313">
        <v>0</v>
      </c>
      <c r="AM313">
        <v>4230012</v>
      </c>
      <c r="AN313">
        <v>6344498</v>
      </c>
      <c r="AO313">
        <v>10574511</v>
      </c>
      <c r="AQ313">
        <v>57.305599999999998</v>
      </c>
      <c r="AR313">
        <v>32.435600000000001</v>
      </c>
      <c r="AS313">
        <v>12633.3</v>
      </c>
      <c r="AU313" t="s">
        <v>675</v>
      </c>
      <c r="AV313" t="str">
        <f t="shared" si="8"/>
        <v>40% updates, key range [0, 2*10^9)</v>
      </c>
      <c r="AW313" t="str">
        <f t="shared" si="9"/>
        <v>66500</v>
      </c>
    </row>
    <row r="314" spans="1:49">
      <c r="A314" t="s">
        <v>676</v>
      </c>
      <c r="B314" t="s">
        <v>75</v>
      </c>
      <c r="D314" t="s">
        <v>73</v>
      </c>
      <c r="E314" t="s">
        <v>68</v>
      </c>
      <c r="F314" t="s">
        <v>69</v>
      </c>
      <c r="G314">
        <v>30000</v>
      </c>
      <c r="H314">
        <v>20</v>
      </c>
      <c r="I314">
        <v>20</v>
      </c>
      <c r="J314">
        <v>0</v>
      </c>
      <c r="K314">
        <v>1</v>
      </c>
      <c r="L314">
        <v>2000000000</v>
      </c>
      <c r="M314">
        <v>96</v>
      </c>
      <c r="N314">
        <v>96</v>
      </c>
      <c r="O314">
        <v>96</v>
      </c>
      <c r="P314">
        <v>0</v>
      </c>
      <c r="Q314" t="s">
        <v>70</v>
      </c>
      <c r="R314">
        <v>1.0000018020005E+18</v>
      </c>
      <c r="S314">
        <v>1000003672</v>
      </c>
      <c r="V314" t="s">
        <v>83</v>
      </c>
      <c r="W314">
        <v>37</v>
      </c>
      <c r="X314">
        <v>585730345</v>
      </c>
      <c r="Y314">
        <v>440417495</v>
      </c>
      <c r="Z314">
        <v>1026147840</v>
      </c>
      <c r="AA314">
        <v>1000003672</v>
      </c>
      <c r="AB314">
        <v>1.7519100000000001</v>
      </c>
      <c r="AC314">
        <v>2.2705799999999998</v>
      </c>
      <c r="AD314">
        <v>1.9745200000000001</v>
      </c>
      <c r="AE314">
        <v>29.517399999999999</v>
      </c>
      <c r="AF314">
        <v>392909119</v>
      </c>
      <c r="AG314">
        <v>0</v>
      </c>
      <c r="AH314">
        <v>261994243</v>
      </c>
      <c r="AI314">
        <v>392909119</v>
      </c>
      <c r="AJ314">
        <v>654903362</v>
      </c>
      <c r="AK314">
        <v>13096970</v>
      </c>
      <c r="AL314">
        <v>0</v>
      </c>
      <c r="AM314">
        <v>8733141</v>
      </c>
      <c r="AN314">
        <v>13096970</v>
      </c>
      <c r="AO314">
        <v>21830112</v>
      </c>
      <c r="AQ314">
        <v>57.601500000000001</v>
      </c>
      <c r="AR314">
        <v>32.484400000000001</v>
      </c>
      <c r="AS314">
        <v>12242.2</v>
      </c>
      <c r="AU314" t="s">
        <v>677</v>
      </c>
      <c r="AV314" t="str">
        <f t="shared" si="8"/>
        <v>40% updates, key range [0, 2*10^9)</v>
      </c>
      <c r="AW314" t="str">
        <f t="shared" si="9"/>
        <v>67357</v>
      </c>
    </row>
    <row r="315" spans="1:49">
      <c r="A315" t="s">
        <v>678</v>
      </c>
      <c r="B315" t="s">
        <v>75</v>
      </c>
      <c r="D315" t="s">
        <v>73</v>
      </c>
      <c r="E315" t="s">
        <v>68</v>
      </c>
      <c r="F315" t="s">
        <v>69</v>
      </c>
      <c r="G315">
        <v>30000</v>
      </c>
      <c r="H315">
        <v>20</v>
      </c>
      <c r="I315">
        <v>20</v>
      </c>
      <c r="J315">
        <v>0</v>
      </c>
      <c r="K315">
        <v>1</v>
      </c>
      <c r="L315">
        <v>2000000000</v>
      </c>
      <c r="M315">
        <v>144</v>
      </c>
      <c r="N315">
        <v>144</v>
      </c>
      <c r="O315">
        <v>144</v>
      </c>
      <c r="P315">
        <v>0</v>
      </c>
      <c r="Q315" t="s">
        <v>70</v>
      </c>
      <c r="R315">
        <v>9.9998621525236595E+17</v>
      </c>
      <c r="S315">
        <v>999988928</v>
      </c>
      <c r="V315" t="s">
        <v>83</v>
      </c>
      <c r="W315">
        <v>37</v>
      </c>
      <c r="X315">
        <v>592001555</v>
      </c>
      <c r="Y315">
        <v>445577225</v>
      </c>
      <c r="Z315">
        <v>1037578780</v>
      </c>
      <c r="AA315">
        <v>999988928</v>
      </c>
      <c r="AB315">
        <v>1.7526600000000001</v>
      </c>
      <c r="AC315">
        <v>2.2442600000000001</v>
      </c>
      <c r="AD315">
        <v>1.96377</v>
      </c>
      <c r="AE315">
        <v>29.559899999999999</v>
      </c>
      <c r="AF315">
        <v>585117186</v>
      </c>
      <c r="AG315">
        <v>0</v>
      </c>
      <c r="AH315">
        <v>390069009</v>
      </c>
      <c r="AI315">
        <v>585117186</v>
      </c>
      <c r="AJ315">
        <v>975186195</v>
      </c>
      <c r="AK315">
        <v>19503906</v>
      </c>
      <c r="AL315">
        <v>0</v>
      </c>
      <c r="AM315">
        <v>13002300</v>
      </c>
      <c r="AN315">
        <v>19503906</v>
      </c>
      <c r="AO315">
        <v>32506206</v>
      </c>
      <c r="AQ315">
        <v>57.9544</v>
      </c>
      <c r="AR315">
        <v>32.698099999999997</v>
      </c>
      <c r="AS315">
        <v>12327.6</v>
      </c>
      <c r="AU315" t="s">
        <v>679</v>
      </c>
      <c r="AV315" t="str">
        <f t="shared" si="8"/>
        <v>40% updates, key range [0, 2*10^9)</v>
      </c>
      <c r="AW315" t="str">
        <f t="shared" si="9"/>
        <v>68262</v>
      </c>
    </row>
    <row r="316" spans="1:49">
      <c r="A316" t="s">
        <v>680</v>
      </c>
      <c r="B316" t="s">
        <v>75</v>
      </c>
      <c r="D316" t="s">
        <v>73</v>
      </c>
      <c r="E316" t="s">
        <v>68</v>
      </c>
      <c r="F316" t="s">
        <v>69</v>
      </c>
      <c r="G316">
        <v>30000</v>
      </c>
      <c r="H316">
        <v>20</v>
      </c>
      <c r="I316">
        <v>20</v>
      </c>
      <c r="J316">
        <v>0</v>
      </c>
      <c r="K316">
        <v>1</v>
      </c>
      <c r="L316">
        <v>2000000000</v>
      </c>
      <c r="M316">
        <v>190</v>
      </c>
      <c r="N316">
        <v>190</v>
      </c>
      <c r="O316">
        <v>190</v>
      </c>
      <c r="P316">
        <v>0</v>
      </c>
      <c r="Q316" t="s">
        <v>70</v>
      </c>
      <c r="R316">
        <v>9.9998312779400704E+17</v>
      </c>
      <c r="S316">
        <v>999988438</v>
      </c>
      <c r="V316" t="s">
        <v>83</v>
      </c>
      <c r="W316">
        <v>37</v>
      </c>
      <c r="X316">
        <v>597652158</v>
      </c>
      <c r="Y316">
        <v>450158908</v>
      </c>
      <c r="Z316">
        <v>1047811066</v>
      </c>
      <c r="AA316">
        <v>999988438</v>
      </c>
      <c r="AB316">
        <v>1.7532099999999999</v>
      </c>
      <c r="AC316">
        <v>2.2214100000000001</v>
      </c>
      <c r="AD316">
        <v>1.9543600000000001</v>
      </c>
      <c r="AE316">
        <v>29.6053</v>
      </c>
      <c r="AF316">
        <v>769100715</v>
      </c>
      <c r="AG316">
        <v>0</v>
      </c>
      <c r="AH316">
        <v>512681352</v>
      </c>
      <c r="AI316">
        <v>769100715</v>
      </c>
      <c r="AJ316">
        <v>1281782067</v>
      </c>
      <c r="AK316">
        <v>25636690</v>
      </c>
      <c r="AL316">
        <v>0</v>
      </c>
      <c r="AM316">
        <v>17089378</v>
      </c>
      <c r="AN316">
        <v>25636690</v>
      </c>
      <c r="AO316">
        <v>42726068</v>
      </c>
      <c r="AQ316">
        <v>58.568800000000003</v>
      </c>
      <c r="AR316">
        <v>32.932299999999998</v>
      </c>
      <c r="AS316">
        <v>12373.6</v>
      </c>
      <c r="AU316" t="s">
        <v>681</v>
      </c>
      <c r="AV316" t="str">
        <f t="shared" si="8"/>
        <v>40% updates, key range [0, 2*10^9)</v>
      </c>
      <c r="AW316" t="str">
        <f t="shared" si="9"/>
        <v>69541</v>
      </c>
    </row>
    <row r="317" spans="1:49">
      <c r="A317" t="s">
        <v>682</v>
      </c>
      <c r="B317" t="s">
        <v>76</v>
      </c>
      <c r="D317" t="s">
        <v>73</v>
      </c>
      <c r="E317" t="s">
        <v>68</v>
      </c>
      <c r="F317" t="s">
        <v>69</v>
      </c>
      <c r="G317">
        <v>30000</v>
      </c>
      <c r="H317">
        <v>20</v>
      </c>
      <c r="I317">
        <v>20</v>
      </c>
      <c r="J317">
        <v>0</v>
      </c>
      <c r="K317">
        <v>1</v>
      </c>
      <c r="L317">
        <v>2000000000</v>
      </c>
      <c r="M317">
        <v>24</v>
      </c>
      <c r="N317">
        <v>24</v>
      </c>
      <c r="O317">
        <v>24</v>
      </c>
      <c r="P317">
        <v>0</v>
      </c>
      <c r="Q317" t="s">
        <v>70</v>
      </c>
      <c r="AU317" t="s">
        <v>418</v>
      </c>
      <c r="AV317" t="str">
        <f t="shared" si="8"/>
        <v>40% updates, key range [0, 2*10^9)</v>
      </c>
      <c r="AW317" t="str">
        <f t="shared" si="9"/>
        <v/>
      </c>
    </row>
    <row r="318" spans="1:49">
      <c r="A318" t="s">
        <v>683</v>
      </c>
      <c r="B318" t="s">
        <v>76</v>
      </c>
      <c r="D318" t="s">
        <v>73</v>
      </c>
      <c r="E318" t="s">
        <v>68</v>
      </c>
      <c r="F318" t="s">
        <v>69</v>
      </c>
      <c r="G318">
        <v>30000</v>
      </c>
      <c r="H318">
        <v>20</v>
      </c>
      <c r="I318">
        <v>20</v>
      </c>
      <c r="J318">
        <v>0</v>
      </c>
      <c r="K318">
        <v>1</v>
      </c>
      <c r="L318">
        <v>2000000000</v>
      </c>
      <c r="M318">
        <v>48</v>
      </c>
      <c r="N318">
        <v>48</v>
      </c>
      <c r="O318">
        <v>48</v>
      </c>
      <c r="P318">
        <v>0</v>
      </c>
      <c r="Q318" t="s">
        <v>70</v>
      </c>
      <c r="AU318" t="s">
        <v>418</v>
      </c>
      <c r="AV318" t="str">
        <f t="shared" si="8"/>
        <v>40% updates, key range [0, 2*10^9)</v>
      </c>
      <c r="AW318" t="str">
        <f t="shared" si="9"/>
        <v/>
      </c>
    </row>
    <row r="319" spans="1:49">
      <c r="A319" t="s">
        <v>684</v>
      </c>
      <c r="B319" t="s">
        <v>76</v>
      </c>
      <c r="D319" t="s">
        <v>73</v>
      </c>
      <c r="E319" t="s">
        <v>68</v>
      </c>
      <c r="F319" t="s">
        <v>69</v>
      </c>
      <c r="G319">
        <v>30000</v>
      </c>
      <c r="H319">
        <v>20</v>
      </c>
      <c r="I319">
        <v>20</v>
      </c>
      <c r="J319">
        <v>0</v>
      </c>
      <c r="K319">
        <v>1</v>
      </c>
      <c r="L319">
        <v>2000000000</v>
      </c>
      <c r="M319">
        <v>96</v>
      </c>
      <c r="N319">
        <v>96</v>
      </c>
      <c r="O319">
        <v>96</v>
      </c>
      <c r="P319">
        <v>0</v>
      </c>
      <c r="Q319" t="s">
        <v>70</v>
      </c>
      <c r="R319">
        <v>9.9996252282802496E+17</v>
      </c>
      <c r="S319">
        <v>999981413</v>
      </c>
      <c r="V319" t="s">
        <v>83</v>
      </c>
      <c r="W319">
        <v>79</v>
      </c>
      <c r="X319">
        <v>999981412</v>
      </c>
      <c r="Y319">
        <v>999981413</v>
      </c>
      <c r="Z319">
        <v>1999962825</v>
      </c>
      <c r="AA319">
        <v>999981413</v>
      </c>
      <c r="AB319">
        <v>2</v>
      </c>
      <c r="AC319">
        <v>1</v>
      </c>
      <c r="AD319">
        <v>1.5</v>
      </c>
      <c r="AE319">
        <v>41.195700000000002</v>
      </c>
      <c r="AF319">
        <v>331929379</v>
      </c>
      <c r="AG319">
        <v>0</v>
      </c>
      <c r="AH319">
        <v>221277540</v>
      </c>
      <c r="AI319">
        <v>331929379</v>
      </c>
      <c r="AJ319">
        <v>553206919</v>
      </c>
      <c r="AK319">
        <v>11064312</v>
      </c>
      <c r="AL319">
        <v>0</v>
      </c>
      <c r="AM319">
        <v>7375918</v>
      </c>
      <c r="AN319">
        <v>11064312</v>
      </c>
      <c r="AO319">
        <v>18440230</v>
      </c>
      <c r="AQ319">
        <v>55.944899999999997</v>
      </c>
      <c r="AR319">
        <v>32.597900000000003</v>
      </c>
      <c r="AS319">
        <v>14501.9</v>
      </c>
      <c r="AU319" t="s">
        <v>685</v>
      </c>
      <c r="AV319" t="str">
        <f t="shared" si="8"/>
        <v>40% updates, key range [0, 2*10^9)</v>
      </c>
      <c r="AW319" t="str">
        <f t="shared" si="9"/>
        <v>66401</v>
      </c>
    </row>
    <row r="320" spans="1:49">
      <c r="A320" t="s">
        <v>686</v>
      </c>
      <c r="B320" t="s">
        <v>76</v>
      </c>
      <c r="D320" t="s">
        <v>73</v>
      </c>
      <c r="E320" t="s">
        <v>68</v>
      </c>
      <c r="F320" t="s">
        <v>69</v>
      </c>
      <c r="G320">
        <v>30000</v>
      </c>
      <c r="H320">
        <v>20</v>
      </c>
      <c r="I320">
        <v>20</v>
      </c>
      <c r="J320">
        <v>0</v>
      </c>
      <c r="K320">
        <v>1</v>
      </c>
      <c r="L320">
        <v>2000000000</v>
      </c>
      <c r="M320">
        <v>144</v>
      </c>
      <c r="N320">
        <v>144</v>
      </c>
      <c r="O320">
        <v>144</v>
      </c>
      <c r="P320">
        <v>0</v>
      </c>
      <c r="Q320" t="s">
        <v>70</v>
      </c>
      <c r="R320">
        <v>9.9999572569714701E+17</v>
      </c>
      <c r="S320">
        <v>1000009585</v>
      </c>
      <c r="V320" t="s">
        <v>83</v>
      </c>
      <c r="W320">
        <v>76</v>
      </c>
      <c r="X320">
        <v>1000009584</v>
      </c>
      <c r="Y320">
        <v>1000009585</v>
      </c>
      <c r="Z320">
        <v>2000019169</v>
      </c>
      <c r="AA320">
        <v>1000009585</v>
      </c>
      <c r="AB320">
        <v>2</v>
      </c>
      <c r="AC320">
        <v>1</v>
      </c>
      <c r="AD320">
        <v>1.5</v>
      </c>
      <c r="AE320">
        <v>40.063600000000001</v>
      </c>
      <c r="AF320">
        <v>483907452</v>
      </c>
      <c r="AG320">
        <v>0</v>
      </c>
      <c r="AH320">
        <v>322639576</v>
      </c>
      <c r="AI320">
        <v>483907452</v>
      </c>
      <c r="AJ320">
        <v>806547028</v>
      </c>
      <c r="AK320">
        <v>16130248</v>
      </c>
      <c r="AL320">
        <v>0</v>
      </c>
      <c r="AM320">
        <v>10754652</v>
      </c>
      <c r="AN320">
        <v>16130248</v>
      </c>
      <c r="AO320">
        <v>26884900</v>
      </c>
      <c r="AQ320">
        <v>56.994100000000003</v>
      </c>
      <c r="AR320">
        <v>33.061100000000003</v>
      </c>
      <c r="AS320">
        <v>14912.5</v>
      </c>
      <c r="AU320" t="s">
        <v>687</v>
      </c>
      <c r="AV320" t="str">
        <f t="shared" si="8"/>
        <v>40% updates, key range [0, 2*10^9)</v>
      </c>
      <c r="AW320" t="str">
        <f t="shared" si="9"/>
        <v>67971</v>
      </c>
    </row>
    <row r="321" spans="1:49">
      <c r="A321" t="s">
        <v>688</v>
      </c>
      <c r="B321" t="s">
        <v>76</v>
      </c>
      <c r="D321" t="s">
        <v>73</v>
      </c>
      <c r="E321" t="s">
        <v>68</v>
      </c>
      <c r="F321" t="s">
        <v>69</v>
      </c>
      <c r="G321">
        <v>30000</v>
      </c>
      <c r="H321">
        <v>20</v>
      </c>
      <c r="I321">
        <v>20</v>
      </c>
      <c r="J321">
        <v>0</v>
      </c>
      <c r="K321">
        <v>1</v>
      </c>
      <c r="L321">
        <v>2000000000</v>
      </c>
      <c r="M321">
        <v>190</v>
      </c>
      <c r="N321">
        <v>190</v>
      </c>
      <c r="O321">
        <v>190</v>
      </c>
      <c r="P321">
        <v>0</v>
      </c>
      <c r="Q321" t="s">
        <v>70</v>
      </c>
      <c r="R321">
        <v>1.00000243072571E+18</v>
      </c>
      <c r="S321">
        <v>999985373</v>
      </c>
      <c r="V321" t="s">
        <v>83</v>
      </c>
      <c r="W321">
        <v>79</v>
      </c>
      <c r="X321">
        <v>999985372</v>
      </c>
      <c r="Y321">
        <v>999985373</v>
      </c>
      <c r="Z321">
        <v>1999970745</v>
      </c>
      <c r="AA321">
        <v>999985373</v>
      </c>
      <c r="AB321">
        <v>2</v>
      </c>
      <c r="AC321">
        <v>1</v>
      </c>
      <c r="AD321">
        <v>1.5</v>
      </c>
      <c r="AE321">
        <v>40.465499999999999</v>
      </c>
      <c r="AF321">
        <v>613814064</v>
      </c>
      <c r="AG321">
        <v>0</v>
      </c>
      <c r="AH321">
        <v>409222264</v>
      </c>
      <c r="AI321">
        <v>613814064</v>
      </c>
      <c r="AJ321">
        <v>1023036328</v>
      </c>
      <c r="AK321">
        <v>20460468</v>
      </c>
      <c r="AL321">
        <v>0</v>
      </c>
      <c r="AM321">
        <v>13640742</v>
      </c>
      <c r="AN321">
        <v>20460468</v>
      </c>
      <c r="AO321">
        <v>34101210</v>
      </c>
      <c r="AQ321">
        <v>56.944200000000002</v>
      </c>
      <c r="AR321">
        <v>33.381799999999998</v>
      </c>
      <c r="AS321">
        <v>15495.4</v>
      </c>
      <c r="AU321" t="s">
        <v>689</v>
      </c>
      <c r="AV321" t="str">
        <f t="shared" si="8"/>
        <v>40% updates, key range [0, 2*10^9)</v>
      </c>
      <c r="AW321" t="str">
        <f t="shared" si="9"/>
        <v>69310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A25"/>
  <sheetViews>
    <sheetView tabSelected="1" zoomScale="80" zoomScaleNormal="80" workbookViewId="0">
      <selection activeCell="AU47" sqref="AU47"/>
    </sheetView>
  </sheetViews>
  <sheetFormatPr defaultRowHeight="14.6"/>
  <cols>
    <col min="1" max="1" width="7.53515625" customWidth="1"/>
    <col min="2" max="2" width="15.23046875" customWidth="1"/>
    <col min="3" max="3" width="10.84375" customWidth="1"/>
    <col min="4" max="4" width="11.4609375" customWidth="1"/>
    <col min="5" max="6" width="11.15234375" customWidth="1"/>
    <col min="7" max="7" width="4.3046875" customWidth="1"/>
    <col min="8" max="9" width="0" hidden="1" customWidth="1"/>
    <col min="10" max="10" width="8.69140625" hidden="1" customWidth="1"/>
    <col min="11" max="11" width="15.23046875" hidden="1" customWidth="1"/>
    <col min="12" max="12" width="11.69140625" hidden="1" customWidth="1"/>
    <col min="13" max="24" width="0.4609375" hidden="1" customWidth="1"/>
    <col min="25" max="25" width="2.69140625" customWidth="1"/>
    <col min="26" max="26" width="16.15234375" customWidth="1"/>
    <col min="27" max="27" width="4.84375" customWidth="1"/>
    <col min="28" max="28" width="3" customWidth="1"/>
  </cols>
  <sheetData>
    <row r="1" spans="1:27">
      <c r="Z1" s="1" t="s">
        <v>8</v>
      </c>
    </row>
    <row r="2" spans="1:27">
      <c r="A2" s="6" t="s">
        <v>77</v>
      </c>
      <c r="B2" t="s">
        <v>691</v>
      </c>
      <c r="Z2" s="2" t="s">
        <v>0</v>
      </c>
      <c r="AA2" t="s">
        <v>78</v>
      </c>
    </row>
    <row r="3" spans="1:27">
      <c r="Z3" s="2" t="s">
        <v>11</v>
      </c>
      <c r="AA3" t="s">
        <v>24</v>
      </c>
    </row>
    <row r="4" spans="1:27">
      <c r="A4" s="6" t="s">
        <v>71</v>
      </c>
      <c r="B4" s="6" t="s">
        <v>20</v>
      </c>
      <c r="Z4" s="2" t="s">
        <v>12</v>
      </c>
      <c r="AA4" t="s">
        <v>25</v>
      </c>
    </row>
    <row r="5" spans="1:27">
      <c r="A5" s="6" t="s">
        <v>21</v>
      </c>
      <c r="B5" t="s">
        <v>76</v>
      </c>
      <c r="C5" t="s">
        <v>75</v>
      </c>
      <c r="D5" t="s">
        <v>74</v>
      </c>
      <c r="E5" t="s">
        <v>72</v>
      </c>
      <c r="Z5" s="2"/>
    </row>
    <row r="6" spans="1:27">
      <c r="A6" s="7">
        <v>24</v>
      </c>
      <c r="B6" s="8"/>
      <c r="C6" s="8"/>
      <c r="D6" s="8">
        <v>11611496</v>
      </c>
      <c r="E6" s="8">
        <v>15165945</v>
      </c>
      <c r="N6" s="2"/>
    </row>
    <row r="7" spans="1:27">
      <c r="A7" s="7">
        <v>48</v>
      </c>
      <c r="B7" s="8"/>
      <c r="C7" s="8">
        <v>10574511</v>
      </c>
      <c r="D7" s="8">
        <v>21901746</v>
      </c>
      <c r="E7" s="8">
        <v>26776906</v>
      </c>
    </row>
    <row r="8" spans="1:27">
      <c r="A8" s="7">
        <v>96</v>
      </c>
      <c r="B8" s="8">
        <v>18440230</v>
      </c>
      <c r="C8" s="8">
        <v>21830112</v>
      </c>
      <c r="D8" s="8">
        <v>42021707</v>
      </c>
      <c r="E8" s="8">
        <v>41669488</v>
      </c>
      <c r="N8" s="2"/>
    </row>
    <row r="9" spans="1:27">
      <c r="A9" s="7">
        <v>144</v>
      </c>
      <c r="B9" s="8">
        <v>26884900</v>
      </c>
      <c r="C9" s="8">
        <v>32506206</v>
      </c>
      <c r="D9" s="8">
        <v>58709316</v>
      </c>
      <c r="E9" s="8">
        <v>64244958</v>
      </c>
    </row>
    <row r="10" spans="1:27">
      <c r="A10" s="7">
        <v>190</v>
      </c>
      <c r="B10" s="8">
        <v>34101210</v>
      </c>
      <c r="C10" s="8">
        <v>42726068</v>
      </c>
      <c r="D10" s="8">
        <v>71534548</v>
      </c>
      <c r="E10" s="8">
        <v>80171624</v>
      </c>
    </row>
    <row r="13" spans="1:27">
      <c r="O13" s="3"/>
    </row>
    <row r="14" spans="1:27">
      <c r="Z14" s="2" t="s">
        <v>22</v>
      </c>
      <c r="AA14" t="s">
        <v>354</v>
      </c>
    </row>
    <row r="15" spans="1:27">
      <c r="Z15" t="s">
        <v>23</v>
      </c>
      <c r="AA15" t="s">
        <v>355</v>
      </c>
    </row>
    <row r="20" spans="1:6">
      <c r="B20" t="str">
        <f>B5</f>
        <v>natarajan_ext_bst_lf</v>
      </c>
      <c r="C20" t="str">
        <f t="shared" ref="C20:F20" si="0">C5</f>
        <v>bronson_pext_bst_occ</v>
      </c>
      <c r="D20" t="str">
        <f t="shared" si="0"/>
        <v>brown_ext_abtree_lf</v>
      </c>
      <c r="E20" t="str">
        <f t="shared" si="0"/>
        <v>brown_ext_ist_lf</v>
      </c>
      <c r="F20">
        <f t="shared" si="0"/>
        <v>0</v>
      </c>
    </row>
    <row r="21" spans="1:6">
      <c r="A21">
        <f>A6</f>
        <v>24</v>
      </c>
      <c r="B21" s="8">
        <f t="shared" ref="B21:F21" si="1">B6</f>
        <v>0</v>
      </c>
      <c r="C21" s="8">
        <f t="shared" si="1"/>
        <v>0</v>
      </c>
      <c r="D21" s="8">
        <f t="shared" si="1"/>
        <v>11611496</v>
      </c>
      <c r="E21" s="8">
        <f t="shared" si="1"/>
        <v>15165945</v>
      </c>
      <c r="F21" s="8">
        <f t="shared" si="1"/>
        <v>0</v>
      </c>
    </row>
    <row r="22" spans="1:6">
      <c r="A22">
        <f t="shared" ref="A22:F25" si="2">A7</f>
        <v>48</v>
      </c>
      <c r="B22" s="8">
        <f t="shared" ref="B22:F22" si="3">B7</f>
        <v>0</v>
      </c>
      <c r="C22" s="8">
        <f t="shared" si="3"/>
        <v>10574511</v>
      </c>
      <c r="D22" s="8">
        <f t="shared" si="3"/>
        <v>21901746</v>
      </c>
      <c r="E22" s="8">
        <f t="shared" si="3"/>
        <v>26776906</v>
      </c>
      <c r="F22" s="8">
        <f t="shared" si="3"/>
        <v>0</v>
      </c>
    </row>
    <row r="23" spans="1:6">
      <c r="A23">
        <f t="shared" si="2"/>
        <v>96</v>
      </c>
      <c r="B23" s="8">
        <f t="shared" ref="B23:F23" si="4">B8</f>
        <v>18440230</v>
      </c>
      <c r="C23" s="8">
        <f t="shared" si="4"/>
        <v>21830112</v>
      </c>
      <c r="D23" s="8">
        <f t="shared" si="4"/>
        <v>42021707</v>
      </c>
      <c r="E23" s="8">
        <f t="shared" si="4"/>
        <v>41669488</v>
      </c>
      <c r="F23" s="8">
        <f t="shared" si="4"/>
        <v>0</v>
      </c>
    </row>
    <row r="24" spans="1:6">
      <c r="A24">
        <f t="shared" si="2"/>
        <v>144</v>
      </c>
      <c r="B24" s="8">
        <f t="shared" si="2"/>
        <v>26884900</v>
      </c>
      <c r="C24" s="8">
        <f t="shared" si="2"/>
        <v>32506206</v>
      </c>
      <c r="D24" s="8">
        <f t="shared" si="2"/>
        <v>58709316</v>
      </c>
      <c r="E24" s="8">
        <f t="shared" si="2"/>
        <v>64244958</v>
      </c>
      <c r="F24" s="8">
        <f t="shared" si="2"/>
        <v>0</v>
      </c>
    </row>
    <row r="25" spans="1:6">
      <c r="A25">
        <f t="shared" si="2"/>
        <v>190</v>
      </c>
      <c r="B25" s="8">
        <f t="shared" si="2"/>
        <v>34101210</v>
      </c>
      <c r="C25" s="8">
        <f t="shared" si="2"/>
        <v>42726068</v>
      </c>
      <c r="D25" s="8">
        <f t="shared" si="2"/>
        <v>71534548</v>
      </c>
      <c r="E25" s="8">
        <f t="shared" si="2"/>
        <v>80171624</v>
      </c>
      <c r="F25" s="8">
        <f t="shared" si="2"/>
        <v>0</v>
      </c>
    </row>
  </sheetData>
  <pageMargins left="0.7" right="0.7" top="0.75" bottom="0.75" header="0.3" footer="0.3"/>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instructions</vt:lpstr>
      <vt:lpstr>data</vt:lpstr>
      <vt:lpstr>pivot</vt:lpstr>
      <vt:lpstr>data!ExternalData_11</vt:lpstr>
      <vt:lpstr>data!ExternalData_12</vt:lpstr>
      <vt:lpstr>data!ExternalData_13</vt:lpstr>
    </vt:vector>
  </TitlesOfParts>
  <Company>IST Austria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Trevor BROWN</dc:creator>
  <cp:lastModifiedBy>t35brown</cp:lastModifiedBy>
  <cp:lastPrinted>2018-05-15T15:43:05Z</cp:lastPrinted>
  <dcterms:created xsi:type="dcterms:W3CDTF">2018-05-15T13:15:36Z</dcterms:created>
  <dcterms:modified xsi:type="dcterms:W3CDTF">2019-05-27T23:52:43Z</dcterms:modified>
</cp:coreProperties>
</file>