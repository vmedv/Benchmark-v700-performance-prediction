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3_disable_multicounter\"/>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 name="ExternalData_15" localSheetId="1">data!$A$1:$BB$55</definedName>
    <definedName name="ExternalData_16" localSheetId="1">data!$A$1:$BB$28</definedName>
    <definedName name="ExternalData_17" localSheetId="1">data!$A$1:$BB$55</definedName>
  </definedNames>
  <calcPr calcId="162913"/>
  <pivotCaches>
    <pivotCache cacheId="8"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5" i="2" l="1"/>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6" i="1" l="1"/>
  <c r="B26" i="1"/>
  <c r="C26" i="1"/>
  <c r="A27" i="1"/>
  <c r="B27" i="1"/>
  <c r="C27" i="1"/>
  <c r="A28" i="1"/>
  <c r="B28" i="1"/>
  <c r="C28" i="1"/>
  <c r="A29" i="1"/>
  <c r="B29" i="1"/>
  <c r="C29" i="1"/>
  <c r="A24" i="1" l="1"/>
  <c r="B24" i="1"/>
  <c r="C24" i="1"/>
  <c r="A25" i="1"/>
  <c r="B25" i="1"/>
  <c r="C25" i="1"/>
  <c r="A23" i="1" l="1"/>
  <c r="A22" i="1"/>
  <c r="A21" i="1"/>
  <c r="C23" i="1"/>
  <c r="B23" i="1"/>
  <c r="C22" i="1"/>
  <c r="B22" i="1"/>
  <c r="C21" i="1"/>
  <c r="B21"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3" type="6" refreshedVersion="6" background="1" saveData="1">
    <textPr sourceFile="C:\Users\t35brown\Documents\bitbucket\setbench\microbench\experiments\istree_exp4_disable_rebuild_helping\disable_rebuild_helping.csv" comma="1">
      <textFields>
        <textField/>
      </textFields>
    </textPr>
  </connection>
  <connection id="5" name="Connection4" type="6" refreshedVersion="6" background="1" saveData="1">
    <textPr sourceFile="C:\Users\t35brown\Documents\bitbucket\setbench\microbench\experiments\istree_exp3_disable_multicounter\disable_multicounter.csv" comma="1">
      <textFields>
        <textField/>
      </textFields>
    </textPr>
  </connection>
  <connection id="6" name="Connection5" type="6" refreshedVersion="6" background="1" saveData="1">
    <textPr sourceFile="C:\Users\t35brown\Documents\bitbucket\setbench\microbench\experiments\istree_exp3_disable_multicounter\istree_exp3_disable_multicounter.csv" comma="1">
      <textFields>
        <textField/>
      </textFields>
    </textPr>
  </connection>
  <connection id="7"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<sst xmlns="http://schemas.openxmlformats.org/spreadsheetml/2006/main" count="576" uniqueCount="255">
  <si>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</si>
  <si>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</si>
  <si>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</si>
  <si>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</si>
  <si>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</si>
  <si>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</si>
  <si>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</si>
  <si>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</si>
  <si>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</si>
  <si>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</si>
  <si>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</si>
  <si>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</si>
  <si>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</si>
  <si>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</si>
  <si>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</si>
  <si>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</si>
  <si>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</si>
  <si>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</si>
  <si>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</si>
  <si>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</si>
  <si>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</si>
  <si>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</si>
  <si>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</si>
  <si>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</si>
  <si>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</si>
  <si>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</si>
  <si>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</si>
  <si>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</si>
  <si>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</si>
  <si>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</si>
  <si>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</si>
  <si>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</si>
  <si>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</si>
  <si>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</si>
  <si>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</si>
  <si>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</si>
  <si>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</si>
  <si>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</si>
  <si>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</si>
  <si>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</si>
  <si>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</si>
  <si>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</si>
  <si>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</si>
  <si>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</si>
  <si>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</si>
  <si>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</si>
  <si>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</si>
  <si>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</si>
  <si>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</si>
  <si>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</si>
  <si>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</si>
  <si>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</si>
  <si>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</si>
  <si>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</si>
  <si>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</si>
  <si>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</si>
  <si>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</si>
  <si>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</si>
  <si>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</si>
  <si>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</si>
  <si>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</si>
  <si>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</si>
  <si>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</si>
  <si>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</si>
  <si>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</si>
  <si>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</si>
  <si>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</si>
  <si>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</si>
  <si>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</si>
  <si>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</si>
  <si>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</si>
  <si>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</si>
  <si>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</si>
  <si>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</si>
  <si>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</si>
  <si>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</si>
  <si>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</si>
  <si>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</si>
  <si>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</si>
  <si>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</si>
  <si>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</si>
  <si>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</si>
  <si>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brown_ext_ist_lf_disabled</t>
  </si>
  <si>
    <t>brown_ext_ist_lf_enabled</t>
  </si>
  <si>
    <t>u=40% k=2x10^8</t>
  </si>
  <si>
    <t>u=40% k=2x10^7</t>
  </si>
  <si>
    <t>u=40% k=2x10^6</t>
  </si>
  <si>
    <t>u=10% k=2x10^8</t>
  </si>
  <si>
    <t>u=10% k=2x10^7</t>
  </si>
  <si>
    <t>u=10% k=2x10^6</t>
  </si>
  <si>
    <t>u=1% k=2x10^8</t>
  </si>
  <si>
    <t>u=1% k=2x10^7</t>
  </si>
  <si>
    <t>u=1% k=2x10^6</t>
  </si>
  <si>
    <t>istree_exp3_disable_multicounter/step10001.txt</t>
  </si>
  <si>
    <t>361 49094 1527517 1501316</t>
  </si>
  <si>
    <t>97 48791 1527419 1501305</t>
  </si>
  <si>
    <t>istree_exp3_disable_multicounter/step10002.txt</t>
  </si>
  <si>
    <t>25 12581 715555 6288251 21209</t>
  </si>
  <si>
    <t>8 12545 715543 6288238 21209</t>
  </si>
  <si>
    <t>istree_exp3_disable_multicounter/step10003.txt</t>
  </si>
  <si>
    <t>0 0 156694 3244173 567769</t>
  </si>
  <si>
    <t>istree_exp3_disable_multicounter/step10004.txt</t>
  </si>
  <si>
    <t>5155 113989 3480054 3414222</t>
  </si>
  <si>
    <t>221 110144 3477918 3414099</t>
  </si>
  <si>
    <t>istree_exp3_disable_multicounter/step10005.txt</t>
  </si>
  <si>
    <t>401 34720 1984612 17021235 58609</t>
  </si>
  <si>
    <t>22 34208 1984419 17021005 58609</t>
  </si>
  <si>
    <t>istree_exp3_disable_multicounter/step10006.txt</t>
  </si>
  <si>
    <t>29 10080 1012190 8996897 1573116</t>
  </si>
  <si>
    <t>2 10016 1012173 8996877 1573116</t>
  </si>
  <si>
    <t>istree_exp3_disable_multicounter/step10007.txt</t>
  </si>
  <si>
    <t>23315 194485 5690011 5574141</t>
  </si>
  <si>
    <t>362 176908 5679757 5573636</t>
  </si>
  <si>
    <t>istree_exp3_disable_multicounter/step10008.txt</t>
  </si>
  <si>
    <t>1807 59067 3322438 28268523 96846</t>
  </si>
  <si>
    <t>37 57125 3321316 28267267 96842</t>
  </si>
  <si>
    <t>istree_exp3_disable_multicounter/step10009.txt</t>
  </si>
  <si>
    <t>131 15099 1664080 15902625 2643935</t>
  </si>
  <si>
    <t>3 14900 1663982 15902544 2643935</t>
  </si>
  <si>
    <t>istree_exp3_disable_multicounter/step10010.txt</t>
  </si>
  <si>
    <t>358 49025 1522423 1498655</t>
  </si>
  <si>
    <t>97 48723 1522308 1498644</t>
  </si>
  <si>
    <t>istree_exp3_disable_multicounter/step10011.txt</t>
  </si>
  <si>
    <t>31 12595 715096 6249644 20912</t>
  </si>
  <si>
    <t>8 12553 715086 6249634 20912</t>
  </si>
  <si>
    <t>istree_exp3_disable_multicounter/step10012.txt</t>
  </si>
  <si>
    <t>0 0 156069 3241907 567663</t>
  </si>
  <si>
    <t>0 0 156067 3241907 567663</t>
  </si>
  <si>
    <t>istree_exp3_disable_multicounter/step10013.txt</t>
  </si>
  <si>
    <t>5316 113718 3468740 3403414</t>
  </si>
  <si>
    <t>221 109892 3466657 3403291</t>
  </si>
  <si>
    <t>istree_exp3_disable_multicounter/step10014.txt</t>
  </si>
  <si>
    <t>435 34730 1971851 16930987 57528</t>
  </si>
  <si>
    <t>22 34209 1971662 16930761 57528</t>
  </si>
  <si>
    <t>istree_exp3_disable_multicounter/step10015.txt</t>
  </si>
  <si>
    <t>32 10067 1010613 8976930 1569630</t>
  </si>
  <si>
    <t>2 10002 1010595 8976918 1569629</t>
  </si>
  <si>
    <t>istree_exp3_disable_multicounter/step10016.txt</t>
  </si>
  <si>
    <t>23368 194603 5674602 5561574</t>
  </si>
  <si>
    <t>361 177029 5664311 5561018</t>
  </si>
  <si>
    <t>istree_exp3_disable_multicounter/step10017.txt</t>
  </si>
  <si>
    <t>1766 59175 3314110 28197362 96888</t>
  </si>
  <si>
    <t>37 57266 3313051 28196129 96885</t>
  </si>
  <si>
    <t>istree_exp3_disable_multicounter/step10018.txt</t>
  </si>
  <si>
    <t>162 15085 1601766 15558252 2602596</t>
  </si>
  <si>
    <t>3 14909 1601671 15558167 2602596</t>
  </si>
  <si>
    <t>istree_exp3_disable_multicounter/step10019.txt</t>
  </si>
  <si>
    <t>365 48870 1522811 1496384</t>
  </si>
  <si>
    <t>97 48613 1522702 1496376</t>
  </si>
  <si>
    <t>istree_exp3_disable_multicounter/step10020.txt</t>
  </si>
  <si>
    <t>24 12550 714959 6283649 21079</t>
  </si>
  <si>
    <t>8 12497 714945 6283638 21079</t>
  </si>
  <si>
    <t>istree_exp3_disable_multicounter/step10021.txt</t>
  </si>
  <si>
    <t>0 0 146881 3204158 560966</t>
  </si>
  <si>
    <t>istree_exp3_disable_multicounter/step10022.txt</t>
  </si>
  <si>
    <t>5241 113913 3470494 3403507</t>
  </si>
  <si>
    <t>221 110004 3468387 3403389</t>
  </si>
  <si>
    <t>istree_exp3_disable_multicounter/step10023.txt</t>
  </si>
  <si>
    <t>418 34899 1974760 16940577 57843</t>
  </si>
  <si>
    <t>22 34377 1974528 16940321 57842</t>
  </si>
  <si>
    <t>istree_exp3_disable_multicounter/step10024.txt</t>
  </si>
  <si>
    <t>26 10113 1011605 9174717 1608839</t>
  </si>
  <si>
    <t>2 10039 1011590 9174704 1608839</t>
  </si>
  <si>
    <t>istree_exp3_disable_multicounter/step10025.txt</t>
  </si>
  <si>
    <t>23401 194551 5691838 5573327</t>
  </si>
  <si>
    <t>361 177124 5681687 5572795</t>
  </si>
  <si>
    <t>istree_exp3_disable_multicounter/step10026.txt</t>
  </si>
  <si>
    <t>1799 58998 3306899 28066484 96122</t>
  </si>
  <si>
    <t>37 57184 3305839 28065276 96119</t>
  </si>
  <si>
    <t>istree_exp3_disable_multicounter/step10027.txt</t>
  </si>
  <si>
    <t>118 15131 1627462 15712303 2622052</t>
  </si>
  <si>
    <t>3 14956 1627380 15712199 2622051</t>
  </si>
  <si>
    <t>istree_exp3_disable_multicounter/step10028.txt</t>
  </si>
  <si>
    <t>303 612835 297911 2449051</t>
  </si>
  <si>
    <t>261 612241 297712 2449011</t>
  </si>
  <si>
    <t>istree_exp3_disable_multicounter/step10029.txt</t>
  </si>
  <si>
    <t>15 47443 398905 10045461 25678</t>
  </si>
  <si>
    <t>15 47442 398886 10045427 25678</t>
  </si>
  <si>
    <t>istree_exp3_disable_multicounter/step10030.txt</t>
  </si>
  <si>
    <t>1 10000 344271 3942163 709595</t>
  </si>
  <si>
    <t>1 10000 344270 3942161 709595</t>
  </si>
  <si>
    <t>istree_exp3_disable_multicounter/step10031.txt</t>
  </si>
  <si>
    <t>2759 3452776 1678187 13781632</t>
  </si>
  <si>
    <t>1470 3431849 1671416 13780298</t>
  </si>
  <si>
    <t>istree_exp3_disable_multicounter/step10032.txt</t>
  </si>
  <si>
    <t>199 347886 2933620 73512186 183221</t>
  </si>
  <si>
    <t>109 347833 2932413 73510847 183221</t>
  </si>
  <si>
    <t>istree_exp3_disable_multicounter/step10033.txt</t>
  </si>
  <si>
    <t>16 79984 2758881 32781290 5702132</t>
  </si>
  <si>
    <t>8 79980 2758750 32781199 5702123</t>
  </si>
  <si>
    <t>istree_exp3_disable_multicounter/step10034.txt</t>
  </si>
  <si>
    <t>6797 5465850 2655560 21794541</t>
  </si>
  <si>
    <t>2324 5406658 2636534 21790444</t>
  </si>
  <si>
    <t>istree_exp3_disable_multicounter/step10035.txt</t>
  </si>
  <si>
    <t>891 734036 6188658 155249611 390622</t>
  </si>
  <si>
    <t>231 733775 6183215 155242279 390620</t>
  </si>
  <si>
    <t>istree_exp3_disable_multicounter/step10036.txt</t>
  </si>
  <si>
    <t>77 199967 6885598 77724991 13316332</t>
  </si>
  <si>
    <t>20 199947 6884967 77724523 13316304</t>
  </si>
  <si>
    <t>istree_exp3_disable_multicounter/step10037.txt</t>
  </si>
  <si>
    <t>288 610645 296989 2442395</t>
  </si>
  <si>
    <t>260 610077 296797 2442348</t>
  </si>
  <si>
    <t>istree_exp3_disable_multicounter/step10038.txt</t>
  </si>
  <si>
    <t>15 47448 400546 10046031 25069</t>
  </si>
  <si>
    <t>15 47445 400517 10046003 25069</t>
  </si>
  <si>
    <t>istree_exp3_disable_multicounter/step10039.txt</t>
  </si>
  <si>
    <t>1 10001 343644 3946890 713559</t>
  </si>
  <si>
    <t>1 10001 343638 3946890 713559</t>
  </si>
  <si>
    <t>istree_exp3_disable_multicounter/step10040.txt</t>
  </si>
  <si>
    <t>2804 3453301 1677287 13793067</t>
  </si>
  <si>
    <t>1470 3432245 1670559 13791684</t>
  </si>
  <si>
    <t>istree_exp3_disable_multicounter/step10041.txt</t>
  </si>
  <si>
    <t>169 347948 2932562 73607313 184707</t>
  </si>
  <si>
    <t>110 347896 2931372 73606013 184704</t>
  </si>
  <si>
    <t>istree_exp3_disable_multicounter/step10042.txt</t>
  </si>
  <si>
    <t>11 79977 2756478 32482589 5664193</t>
  </si>
  <si>
    <t>8 79974 2756353 32482508 5664185</t>
  </si>
  <si>
    <t>istree_exp3_disable_multicounter/step10043.txt</t>
  </si>
  <si>
    <t>7067 5456271 2650801 21761106</t>
  </si>
  <si>
    <t>2321 5397843 2631675 21757103</t>
  </si>
  <si>
    <t>istree_exp3_disable_multicounter/step10044.txt</t>
  </si>
  <si>
    <t>871 733492 6184785 155135454 389940</t>
  </si>
  <si>
    <t>231 733252 6179669 155128011 389934</t>
  </si>
  <si>
    <t>istree_exp3_disable_multicounter/step10045.txt</t>
  </si>
  <si>
    <t>83 199971 6884513 77722154 13317429</t>
  </si>
  <si>
    <t>20 199956 6883874 77721680 13317399</t>
  </si>
  <si>
    <t>istree_exp3_disable_multicounter/step10046.txt</t>
  </si>
  <si>
    <t>293 608008 295627 2430091</t>
  </si>
  <si>
    <t>259 607423 295424 2430048</t>
  </si>
  <si>
    <t>istree_exp3_disable_multicounter/step10047.txt</t>
  </si>
  <si>
    <t>19 47445 401574 10042542 25154</t>
  </si>
  <si>
    <t>15 47443 401550 10042511 25154</t>
  </si>
  <si>
    <t>istree_exp3_disable_multicounter/step10048.txt</t>
  </si>
  <si>
    <t>1 9998 344394 3952561 714344</t>
  </si>
  <si>
    <t>1 9998 344391 3952560 714344</t>
  </si>
  <si>
    <t>istree_exp3_disable_multicounter/step10049.txt</t>
  </si>
  <si>
    <t>2760 3451272 1678798 13780843</t>
  </si>
  <si>
    <t>1469 3430263 1671957 13779478</t>
  </si>
  <si>
    <t>istree_exp3_disable_multicounter/step10050.txt</t>
  </si>
  <si>
    <t>188 346648 2931262 73487856 184479</t>
  </si>
  <si>
    <t>109 346572 2930048 73486507 184478</t>
  </si>
  <si>
    <t>istree_exp3_disable_multicounter/step10051.txt</t>
  </si>
  <si>
    <t>12 79980 2760707 32789417 5705950</t>
  </si>
  <si>
    <t>8 79977 2760566 32789346 5705944</t>
  </si>
  <si>
    <t>istree_exp3_disable_multicounter/step10052.txt</t>
  </si>
  <si>
    <t>7011 5461262 2657866 21783996</t>
  </si>
  <si>
    <t>2323 5402558 2639220 21779966</t>
  </si>
  <si>
    <t>istree_exp3_disable_multicounter/step10053.txt</t>
  </si>
  <si>
    <t>931 734045 6186961 155255380 389605</t>
  </si>
  <si>
    <t>232 733782 6181659 155248087 389596</t>
  </si>
  <si>
    <t>istree_exp3_disable_multicounter/step10054.txt</t>
  </si>
  <si>
    <t>98 199990 6870930 77752033 13324936</t>
  </si>
  <si>
    <t>20 199961 6870326 77751572 13324910</t>
  </si>
  <si>
    <t>fetch&amp;add</t>
  </si>
  <si>
    <t>multicounter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</si>
</sst>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4">
    <dxf>
      <numFmt numFmtId="164" formatCode="0.0"/>
    </dxf>
    <dxf>
      <numFmt numFmtId="1" formatCode="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r>
              <a:rPr lang="en-US" sz="4000"/>
              <a:t>190 threads</a:t>
            </a:r>
          </a:p>
        </c:rich>
      </c:tx>
      <c:layout>
        <c:manualLayout>
          <c:xMode val="edge"/>
          <c:yMode val="edge"/>
          <c:x val="9.0924861259534473E-2"/>
          <c:y val="0.82816734417344173"/>
        </c:manualLayout>
      </c:layout>
      <c:overlay val="1"/>
      <c:spPr>
        <a:noFill/>
        <a:ln w="12700">
          <a:solidFill>
            <a:schemeClr val="bg1"/>
          </a:solid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5125816308342173"/>
          <c:y val="2.0968809419867753E-2"/>
          <c:w val="0.53349405446360842"/>
          <c:h val="0.77297546457607436"/>
        </c:manualLayout>
      </c:layout>
      <c:barChart>
        <c:barDir val="bar"/>
        <c:grouping val="clustered"/>
        <c:varyColors val="0"/>
        <c:ser>
          <c:idx val="2"/>
          <c:order val="0"/>
          <c:tx>
            <c:strRef>
              <c:f>pivot!$B$20</c:f>
              <c:strCache>
                <c:ptCount val="1"/>
                <c:pt idx="0">
                  <c:v>fetch&amp;add</c:v>
                </c:pt>
              </c:strCache>
            </c:strRef>
          </c:tx>
          <c:spPr>
            <a:solidFill>
              <a:schemeClr val="accent3"/>
            </a:solidFill>
            <a:ln>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pivot!$B$21:$B$29</c:f>
              <c:numCache>
                <c:formatCode>0</c:formatCode>
                <c:ptCount val="9"/>
                <c:pt idx="0">
                  <c:v>15649747</c:v>
                </c:pt>
                <c:pt idx="1">
                  <c:v>15653557</c:v>
                </c:pt>
                <c:pt idx="2">
                  <c:v>15077773.333333334</c:v>
                </c:pt>
                <c:pt idx="3">
                  <c:v>38952483.333333336</c:v>
                </c:pt>
                <c:pt idx="4">
                  <c:v>37700059.666666664</c:v>
                </c:pt>
                <c:pt idx="5">
                  <c:v>36916084</c:v>
                </c:pt>
                <c:pt idx="6">
                  <c:v>131618349.33333333</c:v>
                </c:pt>
                <c:pt idx="7">
                  <c:v>140584932</c:v>
                </c:pt>
                <c:pt idx="8">
                  <c:v>162376805.33333334</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multicounter</c:v>
                </c:pt>
              </c:strCache>
            </c:strRef>
          </c:tx>
          <c:spPr>
            <a:solidFill>
              <a:schemeClr val="accent1"/>
            </a:solidFill>
            <a:ln w="76200">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pivot!$C$21:$C$29</c:f>
              <c:numCache>
                <c:formatCode>0</c:formatCode>
                <c:ptCount val="9"/>
                <c:pt idx="0">
                  <c:v>83333753.333333328</c:v>
                </c:pt>
                <c:pt idx="1">
                  <c:v>96632182.666666672</c:v>
                </c:pt>
                <c:pt idx="2">
                  <c:v>96698447.666666672</c:v>
                </c:pt>
                <c:pt idx="3">
                  <c:v>142211840.66666666</c:v>
                </c:pt>
                <c:pt idx="4">
                  <c:v>183111628.33333334</c:v>
                </c:pt>
                <c:pt idx="5">
                  <c:v>244758048</c:v>
                </c:pt>
                <c:pt idx="6">
                  <c:v>189826412.33333334</c:v>
                </c:pt>
                <c:pt idx="7">
                  <c:v>250880315.33333334</c:v>
                </c:pt>
                <c:pt idx="8">
                  <c:v>433425049.66666669</c:v>
                </c:pt>
              </c:numCache>
            </c:numRef>
          </c:val>
          <c:extLst>
            <c:ext xmlns:c16="http://schemas.microsoft.com/office/drawing/2014/chart" uri="{C3380CC4-5D6E-409C-BE32-E72D297353CC}">
              <c16:uniqueId val="{00000001-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l"/>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254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0.40533162547319124"/>
              <c:y val="0.90482868757258994"/>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ajorUnit val="100000000"/>
        <c:minorUnit val="50000000"/>
        <c:dispUnits>
          <c:builtInUnit val="millions"/>
        </c:dispUnits>
      </c:valAx>
      <c:spPr>
        <a:solidFill>
          <a:srgbClr val="FFFFFF"/>
        </a:solidFill>
        <a:ln w="38100">
          <a:solidFill>
            <a:schemeClr val="bg1"/>
          </a:solidFill>
        </a:ln>
        <a:effectLst/>
      </c:spPr>
    </c:plotArea>
    <c:legend>
      <c:legendPos val="tr"/>
      <c:layout>
        <c:manualLayout>
          <c:xMode val="edge"/>
          <c:yMode val="edge"/>
          <c:x val="0.60279754782425476"/>
          <c:y val="0.60362454026325973"/>
          <c:w val="0.27317227606657069"/>
          <c:h val="0.1768840303986457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210911</xdr:colOff>
      <xdr:row>0</xdr:row>
      <xdr:rowOff>0</xdr:rowOff>
    </xdr:from>
    <xdr:to>
      <xdr:col>48</xdr:col>
      <xdr:colOff>95249</xdr:colOff>
      <xdr:row>44</xdr:row>
      <xdr:rowOff>182957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34472685182" createdVersion="6" refreshedVersion="6" minRefreshableVersion="3" recordCount="55">
  <cacheSource type="worksheet">
    <worksheetSource ref="A1:BC1048576" sheet="data"/>
  </cacheSource>
  <cacheFields count="55">
    <cacheField name="filename" numFmtId="0">
      <sharedItems containsBlank="1"/>
    </cacheField>
    <cacheField name="DS_TYPENAME" numFmtId="0">
      <sharedItems containsBlank="1" count="4">
        <s v="brown_ext_ist_lf_disabled"/>
        <s v="brown_ext_ist_lf_enabled"/>
        <m/>
        <s v="brown_ext_ist_lf" u="1"/>
      </sharedItems>
    </cacheField>
    <cacheField name="size_node" numFmtId="0">
      <sharedItems containsString="0" containsBlank="1" containsNumber="1" containsInteger="1" minValue="64"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684503478" maxValue="1.00006919966432E+16"/>
    </cacheField>
    <cacheField name="threads_final_size" numFmtId="0">
      <sharedItems containsString="0" containsBlank="1" containsNumber="1" containsInteger="1" minValue="998604" maxValue="100005511"/>
    </cacheField>
    <cacheField name="final_keysum" numFmtId="0">
      <sharedItems containsString="0" containsBlank="1" containsNumber="1" containsInteger="1" minValue="998684503478" maxValue="1.00006919966432E+16"/>
    </cacheField>
    <cacheField name="final_size" numFmtId="0">
      <sharedItems containsString="0" containsBlank="1" containsNumber="1" containsInteger="1" minValue="998604" maxValue="100005511"/>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50" maxValue="14887341"/>
    </cacheField>
    <cacheField name="tree_stats_numLeaves" numFmtId="0">
      <sharedItems containsString="0" containsBlank="1" containsNumber="1" containsInteger="1" minValue="1030688" maxValue="118153019"/>
    </cacheField>
    <cacheField name="tree_stats_numNodes" numFmtId="0">
      <sharedItems containsString="0" containsBlank="1" containsNumber="1" containsInteger="1" minValue="1063738" maxValue="133040360"/>
    </cacheField>
    <cacheField name="tree_stats_numKeys" numFmtId="0">
      <sharedItems containsString="0" containsBlank="1" containsNumber="1" containsInteger="1" minValue="998604" maxValue="100005511"/>
    </cacheField>
    <cacheField name="tree_stats_avgDegreeInternal" numFmtId="0">
      <sharedItems containsString="0" containsBlank="1" containsNumber="1" minValue="7.3115500000000004" maxValue="32.190600000000003"/>
    </cacheField>
    <cacheField name="tree_stats_avgDegreeLeaves" numFmtId="0">
      <sharedItems containsString="0" containsBlank="1" containsNumber="1" minValue="0.830789" maxValue="0.96887100000000004"/>
    </cacheField>
    <cacheField name="tree_stats_avgDegree" numFmtId="0">
      <sharedItems containsString="0" containsBlank="1" containsNumber="1" minValue="1.7171700000000001" maxValue="1.9387700000000001"/>
    </cacheField>
    <cacheField name="tree_stats_avgKeyDepth" numFmtId="0">
      <sharedItems containsString="0" containsBlank="1" containsNumber="1" minValue="3.0001000000000002" maxValue="4.0803399999999996"/>
    </cacheField>
    <cacheField name="tree_stats_sizeInBytes" numFmtId="0">
      <sharedItems containsString="0" containsBlank="1" containsNumber="1" containsInteger="1" minValue="18870592" maxValue="3080389456"/>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2" maxValue="24666543"/>
    </cacheField>
    <cacheField name="first_thread_announced_epoch_by_index" numFmtId="0">
      <sharedItems containsString="0" containsBlank="1" containsNumber="1" containsInteger="1" minValue="3078" maxValue="90472"/>
    </cacheField>
    <cacheField name="sum_elapsed_rebuild_depth_total" numFmtId="0">
      <sharedItems containsString="0" containsBlank="1" containsNumber="1" containsInteger="1" minValue="11570912025" maxValue="1784577559348"/>
    </cacheField>
    <cacheField name="sum_elapsed_all_ops_total" numFmtId="0">
      <sharedItems containsString="0" containsBlank="1" containsNumber="1" containsInteger="1" minValue="5686354668176" maxValue="5714019870956"/>
    </cacheField>
    <cacheField name="total_find" numFmtId="0">
      <sharedItems containsString="0" containsBlank="1" containsNumber="1" containsInteger="1" minValue="271045538" maxValue="12920323761"/>
    </cacheField>
    <cacheField name="total_rq" numFmtId="0">
      <sharedItems containsString="0" containsBlank="1" containsNumber="1" containsInteger="1" minValue="0" maxValue="0"/>
    </cacheField>
    <cacheField name="total_updates" numFmtId="0">
      <sharedItems containsString="0" containsBlank="1" containsNumber="1" containsInteger="1" minValue="39256056" maxValue="1161116634"/>
    </cacheField>
    <cacheField name="total_queries" numFmtId="0">
      <sharedItems containsString="0" containsBlank="1" containsNumber="1" containsInteger="1" minValue="271045538" maxValue="12920323761"/>
    </cacheField>
    <cacheField name="total_ops" numFmtId="0">
      <sharedItems containsString="0" containsBlank="1" containsNumber="1" containsInteger="1" minValue="451765688" maxValue="13050838850"/>
    </cacheField>
    <cacheField name="find_throughput" numFmtId="0">
      <sharedItems containsString="0" containsBlank="1" containsNumber="1" containsInteger="1" minValue="9034851" maxValue="430677458"/>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08535" maxValue="38703887"/>
    </cacheField>
    <cacheField name="query_throughput" numFmtId="0">
      <sharedItems containsString="0" containsBlank="1" containsNumber="1" containsInteger="1" minValue="9034851" maxValue="430677458"/>
    </cacheField>
    <cacheField name="total_throughput" numFmtId="0">
      <sharedItems containsString="0" containsBlank="1" containsNumber="1" containsInteger="1" minValue="15058856" maxValue="435027961"/>
    </cacheField>
    <cacheField name="PAPI_L2_TCM" numFmtId="0">
      <sharedItems containsString="0" containsBlank="1" containsNumber="1" minValue="8.6324199999999998" maxValue="32.9818"/>
    </cacheField>
    <cacheField name="PAPI_L3_TCM" numFmtId="0">
      <sharedItems containsString="0" containsBlank="1" containsNumber="1" minValue="0.41452699999999998" maxValue="17.663"/>
    </cacheField>
    <cacheField name="PAPI_TOT_CYC" numFmtId="0">
      <sharedItems containsString="0" containsBlank="1" containsNumber="1" minValue="1194.26" maxValue="35138"/>
    </cacheField>
    <cacheField name="PAPI_RES_STL" numFmtId="0">
      <sharedItems containsString="0" containsBlank="1" containsNumber="1" minValue="455.97199999999998" maxValue="33250.6"/>
    </cacheField>
    <cacheField name="maxresident_mb" numFmtId="0">
      <sharedItems containsString="0" containsBlank="1" containsNumber="1" containsInteger="1" minValue="1273" maxValue="14479"/>
    </cacheField>
    <cacheField name="prefill_elapsed_ms" numFmtId="0">
      <sharedItems containsString="0" containsBlank="1" containsNumber="1" containsInteger="1" minValue="173" maxValue="1211"/>
    </cacheField>
    <cacheField name="exp" numFmtId="0">
      <sharedItems containsBlank="1" count="47">
        <s v="u=1% k=2x10^6"/>
        <s v="u=1% k=2x10^7"/>
        <s v="u=1% k=2x10^8"/>
        <s v="u=10% k=2x10^6"/>
        <s v="u=10% k=2x10^7"/>
        <s v="u=10% k=2x10^8"/>
        <s v="u=40% k=2x10^6"/>
        <s v="u=40% k=2x10^7"/>
        <s v="u=40% k=2x10^8"/>
        <m/>
        <s v="10% updates, key range [0, 2*10^6)" u="1"/>
        <s v="u=10% k=2 10^6" u="1"/>
        <s v="1% updates, key range [0, 2*10^7)" u="1"/>
        <s v="u=10% k=2.E+6" u="1"/>
        <s v="u=1% k=2.E+7" u="1"/>
        <s v="u=40% k=2 10^6" u="1"/>
        <s v="u=40% k=2.E+6" u="1"/>
        <s v="10% updates, key range [0, 2*10^7)" u="1"/>
        <s v="u=10% k=2 10^7" u="1"/>
        <s v="u=10% k=2.0E8" u="1"/>
        <s v="u=1% k=2 10^8" u="1"/>
        <s v="u=1% k=2.0E7" u="1"/>
        <s v="40% updates, key range [0, 2*10^6)" u="1"/>
        <s v="u=40% k=2 10^7" u="1"/>
        <s v="u=40% k=2.0E8" u="1"/>
        <s v="10% updates, key range [0, 2*10^8)" u="1"/>
        <s v="u=10% k=2 10^8" u="1"/>
        <s v="40% updates, key range [0, 2*10^7)" u="1"/>
        <s v="u=40% k=2 10^8" u="1"/>
        <s v="1% updates, key range [0, 2*10^8)" u="1"/>
        <s v="u=10% k=2.0E6" u="1"/>
        <s v="u=10% k=2.E+7" u="1"/>
        <s v="u=1% k=2 10^6" u="1"/>
        <e v="#NUM!" u="1"/>
        <s v="u=1% k=2.E+6" u="1"/>
        <s v="u=40% k=2.0E6" u="1"/>
        <s v="u=40% k=2.E+7" u="1"/>
        <s v="40% updates, key range [0, 2*10^8)" u="1"/>
        <s v="u=1% k=2.0E6" u="1"/>
        <s v="1% updates, key range [0, 2*10^6)" u="1"/>
        <s v="u=1% k=2.E+8" u="1"/>
        <s v="u=10% k=2.0E7" u="1"/>
        <s v="u=10% k=2.E+8" u="1"/>
        <s v="u=1% k=2.0E8" u="1"/>
        <s v="u=1% k=2 10^7" u="1"/>
        <s v="u=40% k=2.0E7" u="1"/>
        <s v="u=40% k=2.E+8"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s v="istree_exp3_disable_multicounter/step10001.txt"/>
    <x v="0"/>
    <n v="64"/>
    <s v="reclaimer_debra"/>
    <s v="allocator_new"/>
    <s v="pool_none"/>
    <n v="30000"/>
    <n v="0.5"/>
    <n v="0.5"/>
    <n v="0"/>
    <n v="1"/>
    <n v="2000000"/>
    <n v="190"/>
    <n v="190"/>
    <n v="190"/>
    <n v="0"/>
    <s v="insertIfAbsent"/>
    <n v="999423455868"/>
    <n v="999159"/>
    <n v="999423455868"/>
    <n v="999159"/>
    <s v="success"/>
    <n v="6"/>
    <n v="84148"/>
    <n v="1138114"/>
    <n v="1222262"/>
    <n v="999159"/>
    <n v="14.5251"/>
    <n v="0.87790800000000002"/>
    <n v="1.8174699999999999"/>
    <n v="3.11205"/>
    <n v="24373664"/>
    <s v="361 49094 1527517 1501316"/>
    <s v="97 48791 1527419 1501305"/>
    <n v="67822"/>
    <n v="30888"/>
    <n v="34252232772"/>
    <n v="5686392595648"/>
    <n v="4834205910"/>
    <n v="0"/>
    <n v="48824498"/>
    <n v="4834205910"/>
    <n v="4883030408"/>
    <n v="161140197"/>
    <n v="0"/>
    <n v="1627483"/>
    <n v="161140197"/>
    <n v="162767680"/>
    <n v="11.159800000000001"/>
    <n v="0.61218600000000001"/>
    <n v="3252.67"/>
    <n v="2507.69"/>
    <n v="1279"/>
    <n v="377"/>
    <x v="0"/>
  </r>
  <r>
    <s v="istree_exp3_disable_multicounter/step10002.txt"/>
    <x v="0"/>
    <n v="64"/>
    <s v="reclaimer_debra"/>
    <s v="allocator_new"/>
    <s v="pool_none"/>
    <n v="30000"/>
    <n v="0.5"/>
    <n v="0.5"/>
    <n v="0"/>
    <n v="1"/>
    <n v="20000000"/>
    <n v="190"/>
    <n v="190"/>
    <n v="190"/>
    <n v="0"/>
    <s v="insertIfAbsent"/>
    <n v="100021708617929"/>
    <n v="10001766"/>
    <n v="100021708617929"/>
    <n v="10001766"/>
    <s v="success"/>
    <n v="7"/>
    <n v="1893013"/>
    <n v="12001275"/>
    <n v="13894288"/>
    <n v="10001766"/>
    <n v="7.3397699999999997"/>
    <n v="0.83339200000000002"/>
    <n v="1.7198500000000001"/>
    <n v="4.0535399999999999"/>
    <n v="328338424"/>
    <s v="25 12581 715555 6288251 21209"/>
    <s v="8 12545 715543 6288238 21209"/>
    <n v="14473"/>
    <n v="24912"/>
    <n v="62655570256"/>
    <n v="5686392808194"/>
    <n v="4184848030"/>
    <n v="0"/>
    <n v="42262074"/>
    <n v="4184848030"/>
    <n v="4227110104"/>
    <n v="139494934"/>
    <n v="0"/>
    <n v="1408735"/>
    <n v="139494934"/>
    <n v="140903670"/>
    <n v="16.911799999999999"/>
    <n v="6.6779700000000002"/>
    <n v="3728.42"/>
    <n v="2955.14"/>
    <n v="2476"/>
    <n v="380"/>
    <x v="1"/>
  </r>
  <r>
    <s v="istree_exp3_disable_multicounter/step10003.txt"/>
    <x v="0"/>
    <n v="64"/>
    <s v="reclaimer_debra"/>
    <s v="allocator_new"/>
    <s v="pool_none"/>
    <n v="30000"/>
    <n v="0.5"/>
    <n v="0.5"/>
    <n v="0"/>
    <n v="1"/>
    <n v="200000000"/>
    <n v="190"/>
    <n v="190"/>
    <n v="190"/>
    <n v="0"/>
    <s v="insertIfAbsent"/>
    <n v="1.00005000419346E+16"/>
    <n v="100002820"/>
    <n v="1.00005000419346E+16"/>
    <n v="100002820"/>
    <s v="success"/>
    <n v="7"/>
    <n v="14750465"/>
    <n v="117844811"/>
    <n v="132595276"/>
    <n v="100002820"/>
    <n v="8.9892299999999992"/>
    <n v="0.84859799999999996"/>
    <n v="1.7542"/>
    <n v="4.0766799999999996"/>
    <n v="2951749704"/>
    <s v="0 0 156694 3244173 567769"/>
    <s v="0 0 156694 3244173 567769"/>
    <n v="5"/>
    <n v="23616"/>
    <n v="11688007297"/>
    <n v="5686391113086"/>
    <n v="3921844687"/>
    <n v="0"/>
    <n v="39619332"/>
    <n v="3921844687"/>
    <n v="3961464019"/>
    <n v="130728156"/>
    <n v="0"/>
    <n v="1320644"/>
    <n v="130728156"/>
    <n v="132048800"/>
    <n v="19.6403"/>
    <n v="9.5084900000000001"/>
    <n v="4006.01"/>
    <n v="3252.1"/>
    <n v="8007"/>
    <n v="1027"/>
    <x v="2"/>
  </r>
  <r>
    <s v="istree_exp3_disable_multicounter/step10004.txt"/>
    <x v="0"/>
    <n v="64"/>
    <s v="reclaimer_debra"/>
    <s v="allocator_new"/>
    <s v="pool_none"/>
    <n v="30000"/>
    <n v="5"/>
    <n v="5"/>
    <n v="0"/>
    <n v="1"/>
    <n v="2000000"/>
    <n v="190"/>
    <n v="190"/>
    <n v="190"/>
    <n v="0"/>
    <s v="insertIfAbsent"/>
    <n v="1001043225151"/>
    <n v="1001028"/>
    <n v="1001043225151"/>
    <n v="1001028"/>
    <s v="success"/>
    <n v="6"/>
    <n v="83763"/>
    <n v="1139521"/>
    <n v="1223284"/>
    <n v="1001028"/>
    <n v="14.604100000000001"/>
    <n v="0.87846400000000002"/>
    <n v="1.8183100000000001"/>
    <n v="3.11117"/>
    <n v="24371272"/>
    <s v="5155 113989 3480054 3414222"/>
    <s v="221 110144 3477918 3414099"/>
    <n v="206899"/>
    <n v="7666"/>
    <n v="96296208496"/>
    <n v="5686393374679"/>
    <n v="998315951"/>
    <n v="0"/>
    <n v="110918301"/>
    <n v="998315951"/>
    <n v="1109234252"/>
    <n v="33277198"/>
    <n v="0"/>
    <n v="3697276"/>
    <n v="33277198"/>
    <n v="36974475"/>
    <n v="17.6144"/>
    <n v="4.06271"/>
    <n v="14315.7"/>
    <n v="13353.9"/>
    <n v="1303"/>
    <n v="327"/>
    <x v="3"/>
  </r>
  <r>
    <s v="istree_exp3_disable_multicounter/step10005.txt"/>
    <x v="0"/>
    <n v="64"/>
    <s v="reclaimer_debra"/>
    <s v="allocator_new"/>
    <s v="pool_none"/>
    <n v="30000"/>
    <n v="5"/>
    <n v="5"/>
    <n v="0"/>
    <n v="1"/>
    <n v="20000000"/>
    <n v="190"/>
    <n v="190"/>
    <n v="190"/>
    <n v="0"/>
    <s v="insertIfAbsent"/>
    <n v="100027429777145"/>
    <n v="10002033"/>
    <n v="100027429777145"/>
    <n v="10002033"/>
    <s v="success"/>
    <n v="7"/>
    <n v="1902447"/>
    <n v="12033422"/>
    <n v="13935869"/>
    <n v="10002033"/>
    <n v="7.3252300000000004"/>
    <n v="0.83118800000000004"/>
    <n v="1.7177199999999999"/>
    <n v="4.0548099999999998"/>
    <n v="329555384"/>
    <s v="401 34720 1984612 17021235 58609"/>
    <s v="22 34208 1984419 17021005 58609"/>
    <n v="57600"/>
    <n v="7840"/>
    <n v="151135634560"/>
    <n v="5686393576671"/>
    <n v="1020550049"/>
    <n v="0"/>
    <n v="113393316"/>
    <n v="1020550049"/>
    <n v="1133943365"/>
    <n v="34018334"/>
    <n v="0"/>
    <n v="3779777"/>
    <n v="34018334"/>
    <n v="37798112"/>
    <n v="22.284400000000002"/>
    <n v="9.3474299999999992"/>
    <n v="13856.8"/>
    <n v="12845.8"/>
    <n v="2553"/>
    <n v="358"/>
    <x v="4"/>
  </r>
  <r>
    <s v="istree_exp3_disable_multicounter/step10006.txt"/>
    <x v="0"/>
    <n v="64"/>
    <s v="reclaimer_debra"/>
    <s v="allocator_new"/>
    <s v="pool_none"/>
    <n v="30000"/>
    <n v="5"/>
    <n v="5"/>
    <n v="0"/>
    <n v="1"/>
    <n v="200000000"/>
    <n v="190"/>
    <n v="190"/>
    <n v="190"/>
    <n v="0"/>
    <s v="insertIfAbsent"/>
    <n v="9999522200870970"/>
    <n v="100000090"/>
    <n v="9999522200870970"/>
    <n v="100000090"/>
    <s v="success"/>
    <n v="7"/>
    <n v="14018455"/>
    <n v="116177443"/>
    <n v="130195898"/>
    <n v="100000090"/>
    <n v="9.2874599999999994"/>
    <n v="0.86075299999999999"/>
    <n v="1.76807"/>
    <n v="4.0622400000000001"/>
    <n v="2870446568"/>
    <s v="29 10080 1012190 8996897 1573116"/>
    <s v="2 10016 1012173 8996877 1573116"/>
    <n v="9321"/>
    <n v="7110"/>
    <n v="196086979067"/>
    <n v="5686624700631"/>
    <n v="1045991643"/>
    <n v="0"/>
    <n v="116212366"/>
    <n v="1045991643"/>
    <n v="1162204009"/>
    <n v="34866388"/>
    <n v="0"/>
    <n v="3873745"/>
    <n v="34866388"/>
    <n v="38740133"/>
    <n v="22.2867"/>
    <n v="10.826700000000001"/>
    <n v="13296.8"/>
    <n v="12390.4"/>
    <n v="12732"/>
    <n v="1077"/>
    <x v="5"/>
  </r>
  <r>
    <s v="istree_exp3_disable_multicounter/step10007.txt"/>
    <x v="0"/>
    <n v="64"/>
    <s v="reclaimer_debra"/>
    <s v="allocator_new"/>
    <s v="pool_none"/>
    <n v="30000"/>
    <n v="20"/>
    <n v="20"/>
    <n v="0"/>
    <n v="1"/>
    <n v="2000000"/>
    <n v="190"/>
    <n v="190"/>
    <n v="190"/>
    <n v="0"/>
    <s v="insertIfAbsent"/>
    <n v="998684503478"/>
    <n v="998604"/>
    <n v="998684503478"/>
    <n v="998604"/>
    <s v="success"/>
    <n v="6"/>
    <n v="33050"/>
    <n v="1030688"/>
    <n v="1063738"/>
    <n v="998604"/>
    <n v="32.185699999999997"/>
    <n v="0.96887100000000004"/>
    <n v="1.9387700000000001"/>
    <n v="3.0001000000000002"/>
    <n v="18870592"/>
    <s v="23315 194485 5690011 5574141"/>
    <s v="362 176908 5679757 5573636"/>
    <n v="515988"/>
    <n v="3212"/>
    <n v="203542367303"/>
    <n v="5686985494434"/>
    <n v="271561439"/>
    <n v="0"/>
    <n v="181030286"/>
    <n v="271561439"/>
    <n v="452591725"/>
    <n v="9052047"/>
    <n v="0"/>
    <n v="6034342"/>
    <n v="9052047"/>
    <n v="15086390"/>
    <n v="26.322700000000001"/>
    <n v="10.807"/>
    <n v="35066.199999999997"/>
    <n v="33180.400000000001"/>
    <n v="1324"/>
    <n v="328"/>
    <x v="6"/>
  </r>
  <r>
    <s v="istree_exp3_disable_multicounter/step10008.txt"/>
    <x v="0"/>
    <n v="64"/>
    <s v="reclaimer_debra"/>
    <s v="allocator_new"/>
    <s v="pool_none"/>
    <n v="30000"/>
    <n v="20"/>
    <n v="20"/>
    <n v="0"/>
    <n v="1"/>
    <n v="20000000"/>
    <n v="190"/>
    <n v="190"/>
    <n v="190"/>
    <n v="0"/>
    <s v="insertIfAbsent"/>
    <n v="100046257681322"/>
    <n v="10004318"/>
    <n v="100046257681322"/>
    <n v="10004318"/>
    <s v="success"/>
    <n v="7"/>
    <n v="1904772"/>
    <n v="12039507"/>
    <n v="13944279"/>
    <n v="10004318"/>
    <n v="7.3207100000000001"/>
    <n v="0.83095699999999995"/>
    <n v="1.7174499999999999"/>
    <n v="4.0552700000000002"/>
    <n v="329819648"/>
    <s v="1807 59067 3322438 28268523 96846"/>
    <s v="37 57125 3321316 28267267 96842"/>
    <n v="137522"/>
    <n v="3646"/>
    <n v="302940056302"/>
    <n v="5686592118182"/>
    <n v="282459032"/>
    <n v="0"/>
    <n v="188304224"/>
    <n v="282459032"/>
    <n v="470763256"/>
    <n v="9415301"/>
    <n v="0"/>
    <n v="6276807"/>
    <n v="9415301"/>
    <n v="15692108"/>
    <n v="32.412199999999999"/>
    <n v="16.649999999999999"/>
    <n v="33139.1"/>
    <n v="30744.6"/>
    <n v="2660"/>
    <n v="319"/>
    <x v="7"/>
  </r>
  <r>
    <s v="istree_exp3_disable_multicounter/step10009.txt"/>
    <x v="0"/>
    <n v="64"/>
    <s v="reclaimer_debra"/>
    <s v="allocator_new"/>
    <s v="pool_none"/>
    <n v="30000"/>
    <n v="20"/>
    <n v="20"/>
    <n v="0"/>
    <n v="1"/>
    <n v="200000000"/>
    <n v="190"/>
    <n v="190"/>
    <n v="190"/>
    <n v="0"/>
    <s v="insertIfAbsent"/>
    <n v="9999761359718360"/>
    <n v="100004034"/>
    <n v="9999761359718360"/>
    <n v="100004034"/>
    <s v="success"/>
    <n v="7"/>
    <n v="14770332"/>
    <n v="117892151"/>
    <n v="132662483"/>
    <n v="100004034"/>
    <n v="8.9816900000000004"/>
    <n v="0.84826699999999999"/>
    <n v="1.7538199999999999"/>
    <n v="4.0771800000000002"/>
    <n v="2953941840"/>
    <s v="131 15099 1664080 15902625 2643935"/>
    <s v="3 14900 1663982 15902544 2643935"/>
    <n v="22898"/>
    <n v="3150"/>
    <n v="335267906905"/>
    <n v="5686394248179"/>
    <n v="283850396"/>
    <n v="0"/>
    <n v="189255785"/>
    <n v="283850396"/>
    <n v="473106181"/>
    <n v="9461679"/>
    <n v="0"/>
    <n v="6308526"/>
    <n v="9461679"/>
    <n v="15770206"/>
    <n v="31.035900000000002"/>
    <n v="16.246099999999998"/>
    <n v="31812.3"/>
    <n v="30062.7"/>
    <n v="12804"/>
    <n v="1033"/>
    <x v="8"/>
  </r>
  <r>
    <s v="istree_exp3_disable_multicounter/step10010.txt"/>
    <x v="0"/>
    <n v="64"/>
    <s v="reclaimer_debra"/>
    <s v="allocator_new"/>
    <s v="pool_none"/>
    <n v="30000"/>
    <n v="0.5"/>
    <n v="0.5"/>
    <n v="0"/>
    <n v="1"/>
    <n v="2000000"/>
    <n v="190"/>
    <n v="190"/>
    <n v="190"/>
    <n v="0"/>
    <s v="insertIfAbsent"/>
    <n v="998762963496"/>
    <n v="999144"/>
    <n v="998762963496"/>
    <n v="999144"/>
    <s v="success"/>
    <n v="6"/>
    <n v="74928"/>
    <n v="1117081"/>
    <n v="1192009"/>
    <n v="999144"/>
    <n v="15.9087"/>
    <n v="0.894424"/>
    <n v="1.8382000000000001"/>
    <n v="3.08975"/>
    <n v="23330912"/>
    <s v="358 49025 1522423 1498655"/>
    <s v="97 48723 1522308 1498644"/>
    <n v="76744"/>
    <n v="30796"/>
    <n v="34745326351"/>
    <n v="5686393447090"/>
    <n v="4823175037"/>
    <n v="0"/>
    <n v="48712316"/>
    <n v="4823175037"/>
    <n v="4871887353"/>
    <n v="160772501"/>
    <n v="0"/>
    <n v="1623743"/>
    <n v="160772501"/>
    <n v="162396245"/>
    <n v="11.2227"/>
    <n v="0.61461399999999999"/>
    <n v="3260.18"/>
    <n v="2514.61"/>
    <n v="1278"/>
    <n v="312"/>
    <x v="0"/>
  </r>
  <r>
    <s v="istree_exp3_disable_multicounter/step10011.txt"/>
    <x v="0"/>
    <n v="64"/>
    <s v="reclaimer_debra"/>
    <s v="allocator_new"/>
    <s v="pool_none"/>
    <n v="30000"/>
    <n v="0.5"/>
    <n v="0.5"/>
    <n v="0"/>
    <n v="1"/>
    <n v="20000000"/>
    <n v="190"/>
    <n v="190"/>
    <n v="190"/>
    <n v="0"/>
    <s v="insertIfAbsent"/>
    <n v="99958604251909"/>
    <n v="9994676"/>
    <n v="99958604251909"/>
    <n v="9994676"/>
    <s v="success"/>
    <n v="7"/>
    <n v="1883077"/>
    <n v="11973721"/>
    <n v="13856798"/>
    <n v="9994676"/>
    <n v="7.3585900000000004"/>
    <n v="0.83471799999999996"/>
    <n v="1.7212799999999999"/>
    <n v="4.0516899999999998"/>
    <n v="327178392"/>
    <s v="31 12595 715096 6249644 20912"/>
    <s v="8 12553 715086 6249634 20912"/>
    <n v="16635"/>
    <n v="24724"/>
    <n v="63372236466"/>
    <n v="5686393782156"/>
    <n v="4160939635"/>
    <n v="0"/>
    <n v="42037097"/>
    <n v="4160939635"/>
    <n v="4202976732"/>
    <n v="138697987"/>
    <n v="0"/>
    <n v="1401236"/>
    <n v="138697987"/>
    <n v="140099224"/>
    <n v="16.723800000000001"/>
    <n v="6.6621600000000001"/>
    <n v="3748.89"/>
    <n v="2985.67"/>
    <n v="2472"/>
    <n v="394"/>
    <x v="1"/>
  </r>
  <r>
    <s v="istree_exp3_disable_multicounter/step10012.txt"/>
    <x v="0"/>
    <n v="64"/>
    <s v="reclaimer_debra"/>
    <s v="allocator_new"/>
    <s v="pool_none"/>
    <n v="30000"/>
    <n v="0.5"/>
    <n v="0.5"/>
    <n v="0"/>
    <n v="1"/>
    <n v="200000000"/>
    <n v="190"/>
    <n v="190"/>
    <n v="190"/>
    <n v="0"/>
    <s v="insertIfAbsent"/>
    <n v="9999626853483980"/>
    <n v="100000735"/>
    <n v="9999626853483980"/>
    <n v="100000735"/>
    <s v="success"/>
    <n v="7"/>
    <n v="14750185"/>
    <n v="117844592"/>
    <n v="132594777"/>
    <n v="100000735"/>
    <n v="8.9893599999999996"/>
    <n v="0.84858100000000003"/>
    <n v="1.7541800000000001"/>
    <n v="4.0766799999999996"/>
    <n v="2951732392"/>
    <s v="0 0 156069 3241907 567663"/>
    <s v="0 0 156067 3241907 567663"/>
    <n v="3"/>
    <n v="23302"/>
    <n v="11727728068"/>
    <n v="5686393442190"/>
    <n v="3919880931"/>
    <n v="0"/>
    <n v="39587236"/>
    <n v="3919880931"/>
    <n v="3959468167"/>
    <n v="130662697"/>
    <n v="0"/>
    <n v="1319574"/>
    <n v="130662697"/>
    <n v="131982272"/>
    <n v="19.6648"/>
    <n v="9.5022199999999994"/>
    <n v="4007.18"/>
    <n v="3253.54"/>
    <n v="8012"/>
    <n v="1054"/>
    <x v="2"/>
  </r>
  <r>
    <s v="istree_exp3_disable_multicounter/step10013.txt"/>
    <x v="0"/>
    <n v="64"/>
    <s v="reclaimer_debra"/>
    <s v="allocator_new"/>
    <s v="pool_none"/>
    <n v="30000"/>
    <n v="5"/>
    <n v="5"/>
    <n v="0"/>
    <n v="1"/>
    <n v="2000000"/>
    <n v="190"/>
    <n v="190"/>
    <n v="190"/>
    <n v="0"/>
    <s v="insertIfAbsent"/>
    <n v="999848185690"/>
    <n v="1000599"/>
    <n v="999848185690"/>
    <n v="1000599"/>
    <s v="success"/>
    <n v="6"/>
    <n v="64670"/>
    <n v="1096463"/>
    <n v="1161133"/>
    <n v="1000599"/>
    <n v="17.954699999999999"/>
    <n v="0.91256999999999999"/>
    <n v="1.86174"/>
    <n v="3.0664099999999999"/>
    <n v="22234128"/>
    <s v="5316 113718 3468740 3403414"/>
    <s v="221 109892 3466657 3403291"/>
    <n v="207275"/>
    <n v="7632"/>
    <n v="95660320229"/>
    <n v="5686393937281"/>
    <n v="995647503"/>
    <n v="0"/>
    <n v="110638233"/>
    <n v="995647503"/>
    <n v="1106285736"/>
    <n v="33188250"/>
    <n v="0"/>
    <n v="3687941"/>
    <n v="33188250"/>
    <n v="36876191"/>
    <n v="17.946400000000001"/>
    <n v="4.2211999999999996"/>
    <n v="14352.7"/>
    <n v="13377.9"/>
    <n v="1301"/>
    <n v="267"/>
    <x v="3"/>
  </r>
  <r>
    <s v="istree_exp3_disable_multicounter/step10014.txt"/>
    <x v="0"/>
    <n v="64"/>
    <s v="reclaimer_debra"/>
    <s v="allocator_new"/>
    <s v="pool_none"/>
    <n v="30000"/>
    <n v="5"/>
    <n v="5"/>
    <n v="0"/>
    <n v="1"/>
    <n v="20000000"/>
    <n v="190"/>
    <n v="190"/>
    <n v="190"/>
    <n v="0"/>
    <s v="insertIfAbsent"/>
    <n v="99944880863996"/>
    <n v="9995502"/>
    <n v="99944880863996"/>
    <n v="9995502"/>
    <s v="success"/>
    <n v="7"/>
    <n v="1906065"/>
    <n v="12030222"/>
    <n v="13936287"/>
    <n v="9995502"/>
    <n v="7.3115500000000004"/>
    <n v="0.83086599999999999"/>
    <n v="1.71723"/>
    <n v="4.0561199999999999"/>
    <n v="329756184"/>
    <s v="435 34730 1971851 16930987 57528"/>
    <s v="22 34209 1971662 16930761 57528"/>
    <n v="60266"/>
    <n v="7760"/>
    <n v="151187180605"/>
    <n v="5686393820509"/>
    <n v="1016209530"/>
    <n v="0"/>
    <n v="112905372"/>
    <n v="1016209530"/>
    <n v="1129114902"/>
    <n v="33873651"/>
    <n v="0"/>
    <n v="3763512"/>
    <n v="33873651"/>
    <n v="37637163"/>
    <n v="22.091000000000001"/>
    <n v="9.2784700000000004"/>
    <n v="13907.7"/>
    <n v="12904.6"/>
    <n v="2547"/>
    <n v="342"/>
    <x v="4"/>
  </r>
  <r>
    <s v="istree_exp3_disable_multicounter/step10015.txt"/>
    <x v="0"/>
    <n v="64"/>
    <s v="reclaimer_debra"/>
    <s v="allocator_new"/>
    <s v="pool_none"/>
    <n v="30000"/>
    <n v="5"/>
    <n v="5"/>
    <n v="0"/>
    <n v="1"/>
    <n v="200000000"/>
    <n v="190"/>
    <n v="190"/>
    <n v="190"/>
    <n v="0"/>
    <s v="insertIfAbsent"/>
    <n v="9999407863248290"/>
    <n v="99997736"/>
    <n v="9999407863248290"/>
    <n v="99997736"/>
    <s v="success"/>
    <n v="7"/>
    <n v="13989509"/>
    <n v="116120031"/>
    <n v="130109540"/>
    <n v="99997736"/>
    <n v="9.3005099999999992"/>
    <n v="0.86115799999999998"/>
    <n v="1.76857"/>
    <n v="4.0616099999999999"/>
    <n v="2867420712"/>
    <s v="32 10067 1010613 8976930 1569630"/>
    <s v="2 10002 1010595 8976918 1569629"/>
    <n v="10650"/>
    <n v="7226"/>
    <n v="194141162700"/>
    <n v="5686483306269"/>
    <n v="1043971490"/>
    <n v="0"/>
    <n v="115994683"/>
    <n v="1043971490"/>
    <n v="1159966173"/>
    <n v="34799049"/>
    <n v="0"/>
    <n v="3866489"/>
    <n v="34799049"/>
    <n v="38665539"/>
    <n v="22.210899999999999"/>
    <n v="10.8193"/>
    <n v="13326"/>
    <n v="12423.6"/>
    <n v="12743"/>
    <n v="1128"/>
    <x v="5"/>
  </r>
  <r>
    <s v="istree_exp3_disable_multicounter/step10016.txt"/>
    <x v="0"/>
    <n v="64"/>
    <s v="reclaimer_debra"/>
    <s v="allocator_new"/>
    <s v="pool_none"/>
    <n v="30000"/>
    <n v="20"/>
    <n v="20"/>
    <n v="0"/>
    <n v="1"/>
    <n v="2000000"/>
    <n v="190"/>
    <n v="190"/>
    <n v="190"/>
    <n v="0"/>
    <s v="insertIfAbsent"/>
    <n v="999801060971"/>
    <n v="999640"/>
    <n v="999801060971"/>
    <n v="999640"/>
    <s v="success"/>
    <n v="6"/>
    <n v="65478"/>
    <n v="1098037"/>
    <n v="1163515"/>
    <n v="999640"/>
    <n v="17.769600000000001"/>
    <n v="0.91038799999999998"/>
    <n v="1.8591599999999999"/>
    <n v="3.06833"/>
    <n v="22318368"/>
    <s v="23368 194603 5674602 5561574"/>
    <s v="361 177029 5664311 5561018"/>
    <n v="496761"/>
    <n v="3182"/>
    <n v="204506930216"/>
    <n v="5686394359496"/>
    <n v="271045538"/>
    <n v="0"/>
    <n v="180720150"/>
    <n v="271045538"/>
    <n v="451765688"/>
    <n v="9034851"/>
    <n v="0"/>
    <n v="6024005"/>
    <n v="9034851"/>
    <n v="15058856"/>
    <n v="26.5243"/>
    <n v="10.910299999999999"/>
    <n v="35138"/>
    <n v="33250.6"/>
    <n v="1326"/>
    <n v="296"/>
    <x v="6"/>
  </r>
  <r>
    <s v="istree_exp3_disable_multicounter/step10017.txt"/>
    <x v="0"/>
    <n v="64"/>
    <s v="reclaimer_debra"/>
    <s v="allocator_new"/>
    <s v="pool_none"/>
    <n v="30000"/>
    <n v="20"/>
    <n v="20"/>
    <n v="0"/>
    <n v="1"/>
    <n v="20000000"/>
    <n v="190"/>
    <n v="190"/>
    <n v="190"/>
    <n v="0"/>
    <s v="insertIfAbsent"/>
    <n v="100001661879098"/>
    <n v="9999761"/>
    <n v="100001661879098"/>
    <n v="9999761"/>
    <s v="success"/>
    <n v="7"/>
    <n v="1906285"/>
    <n v="12034812"/>
    <n v="13941097"/>
    <n v="9999761"/>
    <n v="7.3132299999999999"/>
    <n v="0.83090299999999995"/>
    <n v="1.71729"/>
    <n v="4.0559900000000004"/>
    <n v="329847272"/>
    <s v="1766 59175 3314110 28197362 96888"/>
    <s v="37 57266 3313051 28196129 96885"/>
    <n v="132922"/>
    <n v="3566"/>
    <n v="307040827919"/>
    <n v="5686411572881"/>
    <n v="281850044"/>
    <n v="0"/>
    <n v="187950650"/>
    <n v="281850044"/>
    <n v="469800694"/>
    <n v="9395001"/>
    <n v="0"/>
    <n v="6265021"/>
    <n v="9395001"/>
    <n v="15660023"/>
    <n v="32.049799999999998"/>
    <n v="16.4635"/>
    <n v="33184.9"/>
    <n v="30783.9"/>
    <n v="2658"/>
    <n v="376"/>
    <x v="7"/>
  </r>
  <r>
    <s v="istree_exp3_disable_multicounter/step10018.txt"/>
    <x v="0"/>
    <n v="64"/>
    <s v="reclaimer_debra"/>
    <s v="allocator_new"/>
    <s v="pool_none"/>
    <n v="30000"/>
    <n v="20"/>
    <n v="20"/>
    <n v="0"/>
    <n v="1"/>
    <n v="200000000"/>
    <n v="190"/>
    <n v="190"/>
    <n v="190"/>
    <n v="0"/>
    <s v="insertIfAbsent"/>
    <n v="9999317079312800"/>
    <n v="99995661"/>
    <n v="9999317079312800"/>
    <n v="99995661"/>
    <s v="success"/>
    <n v="7"/>
    <n v="14887341"/>
    <n v="118153019"/>
    <n v="133040360"/>
    <n v="99995661"/>
    <n v="8.9364799999999995"/>
    <n v="0.84632300000000005"/>
    <n v="1.75162"/>
    <n v="4.0803399999999996"/>
    <n v="2966677096"/>
    <s v="162 15085 1601766 15558252 2602596"/>
    <s v="3 14909 1601671 15558167 2602596"/>
    <n v="20873"/>
    <n v="3198"/>
    <n v="335058749157"/>
    <n v="5686517743477"/>
    <n v="279719292"/>
    <n v="0"/>
    <n v="186452306"/>
    <n v="279719292"/>
    <n v="466171598"/>
    <n v="9323976"/>
    <n v="0"/>
    <n v="6215076"/>
    <n v="9323976"/>
    <n v="15539053"/>
    <n v="30.136500000000002"/>
    <n v="15.851900000000001"/>
    <n v="32354.799999999999"/>
    <n v="30598.400000000001"/>
    <n v="12735"/>
    <n v="1050"/>
    <x v="8"/>
  </r>
  <r>
    <s v="istree_exp3_disable_multicounter/step10019.txt"/>
    <x v="0"/>
    <n v="64"/>
    <s v="reclaimer_debra"/>
    <s v="allocator_new"/>
    <s v="pool_none"/>
    <n v="30000"/>
    <n v="0.5"/>
    <n v="0.5"/>
    <n v="0"/>
    <n v="1"/>
    <n v="2000000"/>
    <n v="190"/>
    <n v="190"/>
    <n v="190"/>
    <n v="0"/>
    <s v="insertIfAbsent"/>
    <n v="998855550070"/>
    <n v="998716"/>
    <n v="998855550070"/>
    <n v="998716"/>
    <s v="success"/>
    <n v="6"/>
    <n v="54869"/>
    <n v="1075094"/>
    <n v="1129963"/>
    <n v="998716"/>
    <n v="20.593800000000002"/>
    <n v="0.92895700000000003"/>
    <n v="1.88385"/>
    <n v="3.0452599999999999"/>
    <n v="21167416"/>
    <s v="365 48870 1522811 1496384"/>
    <s v="97 48613 1522702 1496376"/>
    <n v="73751"/>
    <n v="30770"/>
    <n v="34910052318"/>
    <n v="5686393699722"/>
    <n v="4810402682"/>
    <n v="0"/>
    <n v="48592074"/>
    <n v="4810402682"/>
    <n v="4858994756"/>
    <n v="160346756"/>
    <n v="0"/>
    <n v="1619735"/>
    <n v="160346756"/>
    <n v="161966491"/>
    <n v="11.2859"/>
    <n v="0.63359299999999996"/>
    <n v="3268.99"/>
    <n v="2527.7399999999998"/>
    <n v="1273"/>
    <n v="293"/>
    <x v="0"/>
  </r>
  <r>
    <s v="istree_exp3_disable_multicounter/step10020.txt"/>
    <x v="0"/>
    <n v="64"/>
    <s v="reclaimer_debra"/>
    <s v="allocator_new"/>
    <s v="pool_none"/>
    <n v="30000"/>
    <n v="0.5"/>
    <n v="0.5"/>
    <n v="0"/>
    <n v="1"/>
    <n v="20000000"/>
    <n v="190"/>
    <n v="190"/>
    <n v="190"/>
    <n v="0"/>
    <s v="insertIfAbsent"/>
    <n v="99965221841701"/>
    <n v="9998507"/>
    <n v="99965221841701"/>
    <n v="9998507"/>
    <s v="success"/>
    <n v="7"/>
    <n v="1891919"/>
    <n v="11995772"/>
    <n v="13887691"/>
    <n v="9998507"/>
    <n v="7.3405300000000002"/>
    <n v="0.83350299999999999"/>
    <n v="1.7199500000000001"/>
    <n v="4.0534499999999998"/>
    <n v="328172888"/>
    <s v="24 12550 714959 6283649 21079"/>
    <s v="8 12497 714945 6283638 21079"/>
    <n v="13810"/>
    <n v="24706"/>
    <n v="63550746296"/>
    <n v="5686394028949"/>
    <n v="4180324107"/>
    <n v="0"/>
    <n v="42232962"/>
    <n v="4180324107"/>
    <n v="4222557069"/>
    <n v="139344136"/>
    <n v="0"/>
    <n v="1407765"/>
    <n v="139344136"/>
    <n v="140751902"/>
    <n v="16.832799999999999"/>
    <n v="6.6678899999999999"/>
    <n v="3731.81"/>
    <n v="2973.8"/>
    <n v="2472"/>
    <n v="374"/>
    <x v="1"/>
  </r>
  <r>
    <s v="istree_exp3_disable_multicounter/step10021.txt"/>
    <x v="0"/>
    <n v="64"/>
    <s v="reclaimer_debra"/>
    <s v="allocator_new"/>
    <s v="pool_none"/>
    <n v="30000"/>
    <n v="0.5"/>
    <n v="0.5"/>
    <n v="0"/>
    <n v="1"/>
    <n v="200000000"/>
    <n v="190"/>
    <n v="190"/>
    <n v="190"/>
    <n v="0"/>
    <s v="insertIfAbsent"/>
    <n v="9999947696782550"/>
    <n v="99997622"/>
    <n v="9999947696782550"/>
    <n v="99997622"/>
    <s v="success"/>
    <n v="7"/>
    <n v="14769642"/>
    <n v="117885930"/>
    <n v="132655572"/>
    <n v="99997622"/>
    <n v="8.9816400000000005"/>
    <n v="0.84825700000000004"/>
    <n v="1.7538100000000001"/>
    <n v="4.0771800000000002"/>
    <n v="2953813472"/>
    <s v="0 0 146881 3204158 560966"/>
    <s v="0 0 146881 3204158 560966"/>
    <n v="2"/>
    <n v="22950"/>
    <n v="11570912025"/>
    <n v="5686394156744"/>
    <n v="3885463226"/>
    <n v="0"/>
    <n v="39256056"/>
    <n v="3885463226"/>
    <n v="3924719282"/>
    <n v="129515440"/>
    <n v="0"/>
    <n v="1308535"/>
    <n v="129515440"/>
    <n v="130823976"/>
    <n v="19.6111"/>
    <n v="9.4992300000000007"/>
    <n v="4044.02"/>
    <n v="3295.27"/>
    <n v="8001"/>
    <n v="1051"/>
    <x v="2"/>
  </r>
  <r>
    <s v="istree_exp3_disable_multicounter/step10022.txt"/>
    <x v="0"/>
    <n v="64"/>
    <s v="reclaimer_debra"/>
    <s v="allocator_new"/>
    <s v="pool_none"/>
    <n v="30000"/>
    <n v="5"/>
    <n v="5"/>
    <n v="0"/>
    <n v="1"/>
    <n v="2000000"/>
    <n v="190"/>
    <n v="190"/>
    <n v="190"/>
    <n v="0"/>
    <s v="insertIfAbsent"/>
    <n v="1000805290649"/>
    <n v="1000372"/>
    <n v="1000805290649"/>
    <n v="1000372"/>
    <s v="success"/>
    <n v="6"/>
    <n v="71734"/>
    <n v="1111635"/>
    <n v="1183369"/>
    <n v="1000372"/>
    <n v="16.496600000000001"/>
    <n v="0.89990999999999999"/>
    <n v="1.8453599999999999"/>
    <n v="3.0823800000000001"/>
    <n v="23005168"/>
    <s v="5241 113913 3470494 3403507"/>
    <s v="221 110004 3468387 3403389"/>
    <n v="201682"/>
    <n v="7698"/>
    <n v="95451613894"/>
    <n v="5686394080058"/>
    <n v="996233790"/>
    <n v="0"/>
    <n v="110693806"/>
    <n v="996233790"/>
    <n v="1106927596"/>
    <n v="33207793"/>
    <n v="0"/>
    <n v="3689793"/>
    <n v="33207793"/>
    <n v="36897586"/>
    <n v="18.061800000000002"/>
    <n v="4.2397999999999998"/>
    <n v="14343.6"/>
    <n v="13377.6"/>
    <n v="1300"/>
    <n v="329"/>
    <x v="3"/>
  </r>
  <r>
    <s v="istree_exp3_disable_multicounter/step10023.txt"/>
    <x v="0"/>
    <n v="64"/>
    <s v="reclaimer_debra"/>
    <s v="allocator_new"/>
    <s v="pool_none"/>
    <n v="30000"/>
    <n v="5"/>
    <n v="5"/>
    <n v="0"/>
    <n v="1"/>
    <n v="20000000"/>
    <n v="190"/>
    <n v="190"/>
    <n v="190"/>
    <n v="0"/>
    <s v="insertIfAbsent"/>
    <n v="100011799645654"/>
    <n v="9999163"/>
    <n v="100011799645654"/>
    <n v="9999163"/>
    <s v="success"/>
    <n v="7"/>
    <n v="1906746"/>
    <n v="12035740"/>
    <n v="13942486"/>
    <n v="9999163"/>
    <n v="7.3121900000000002"/>
    <n v="0.830789"/>
    <n v="1.7171700000000001"/>
    <n v="4.0561699999999998"/>
    <n v="329896720"/>
    <s v="418 34899 1974760 16940577 57843"/>
    <s v="22 34377 1974528 16940321 57842"/>
    <n v="60142"/>
    <n v="7642"/>
    <n v="153908635865"/>
    <n v="5686394004377"/>
    <n v="1016951897"/>
    <n v="0"/>
    <n v="112995225"/>
    <n v="1016951897"/>
    <n v="1129947122"/>
    <n v="33898396"/>
    <n v="0"/>
    <n v="3766507"/>
    <n v="33898396"/>
    <n v="37664904"/>
    <n v="21.980799999999999"/>
    <n v="9.2295400000000001"/>
    <n v="13886.5"/>
    <n v="12879.6"/>
    <n v="2553"/>
    <n v="359"/>
    <x v="4"/>
  </r>
  <r>
    <s v="istree_exp3_disable_multicounter/step10024.txt"/>
    <x v="0"/>
    <n v="64"/>
    <s v="reclaimer_debra"/>
    <s v="allocator_new"/>
    <s v="pool_none"/>
    <n v="30000"/>
    <n v="5"/>
    <n v="5"/>
    <n v="0"/>
    <n v="1"/>
    <n v="200000000"/>
    <n v="190"/>
    <n v="190"/>
    <n v="190"/>
    <n v="0"/>
    <s v="insertIfAbsent"/>
    <n v="9999396397608010"/>
    <n v="99996610"/>
    <n v="9999396397608010"/>
    <n v="99996610"/>
    <s v="success"/>
    <n v="7"/>
    <n v="14240269"/>
    <n v="116663510"/>
    <n v="130903779"/>
    <n v="99996610"/>
    <n v="9.1925100000000004"/>
    <n v="0.85713700000000004"/>
    <n v="1.76389"/>
    <n v="4.06698"/>
    <n v="2894576360"/>
    <s v="26 10113 1011605 9174717 1608839"/>
    <s v="2 10039 1011590 9174704 1608839"/>
    <n v="10008"/>
    <n v="7194"/>
    <n v="196383279243"/>
    <n v="5686394102575"/>
    <n v="1065182868"/>
    <n v="0"/>
    <n v="118370477"/>
    <n v="1065182868"/>
    <n v="1183553345"/>
    <n v="35506095"/>
    <n v="0"/>
    <n v="3945682"/>
    <n v="35506095"/>
    <n v="39451778"/>
    <n v="22.095099999999999"/>
    <n v="10.7682"/>
    <n v="13049"/>
    <n v="12150.9"/>
    <n v="12790"/>
    <n v="1085"/>
    <x v="5"/>
  </r>
  <r>
    <s v="istree_exp3_disable_multicounter/step10025.txt"/>
    <x v="0"/>
    <n v="64"/>
    <s v="reclaimer_debra"/>
    <s v="allocator_new"/>
    <s v="pool_none"/>
    <n v="30000"/>
    <n v="20"/>
    <n v="20"/>
    <n v="0"/>
    <n v="1"/>
    <n v="2000000"/>
    <n v="190"/>
    <n v="190"/>
    <n v="190"/>
    <n v="0"/>
    <s v="insertIfAbsent"/>
    <n v="999148849698"/>
    <n v="998775"/>
    <n v="999148849698"/>
    <n v="998775"/>
    <s v="success"/>
    <n v="6"/>
    <n v="65091"/>
    <n v="1098620"/>
    <n v="1163711"/>
    <n v="998775"/>
    <n v="17.8782"/>
    <n v="0.90911799999999998"/>
    <n v="1.8582700000000001"/>
    <n v="3.0703900000000002"/>
    <n v="22333368"/>
    <s v="23401 194551 5691838 5573327"/>
    <s v="361 177124 5681687 5572795"/>
    <n v="492873"/>
    <n v="3174"/>
    <n v="204509985744"/>
    <n v="5686395635616"/>
    <n v="271586816"/>
    <n v="0"/>
    <n v="181055429"/>
    <n v="271586816"/>
    <n v="452642245"/>
    <n v="9052893"/>
    <n v="0"/>
    <n v="6035180"/>
    <n v="9052893"/>
    <n v="15088074"/>
    <n v="26.191400000000002"/>
    <n v="10.746700000000001"/>
    <n v="35062.9"/>
    <n v="33194.800000000003"/>
    <n v="1328"/>
    <n v="290"/>
    <x v="6"/>
  </r>
  <r>
    <s v="istree_exp3_disable_multicounter/step10026.txt"/>
    <x v="0"/>
    <n v="64"/>
    <s v="reclaimer_debra"/>
    <s v="allocator_new"/>
    <s v="pool_none"/>
    <n v="30000"/>
    <n v="20"/>
    <n v="20"/>
    <n v="0"/>
    <n v="1"/>
    <n v="20000000"/>
    <n v="190"/>
    <n v="190"/>
    <n v="190"/>
    <n v="0"/>
    <s v="insertIfAbsent"/>
    <n v="100036561853242"/>
    <n v="10001952"/>
    <n v="100036561853242"/>
    <n v="10001952"/>
    <s v="success"/>
    <n v="7"/>
    <n v="1892689"/>
    <n v="12001576"/>
    <n v="13894265"/>
    <n v="10001952"/>
    <n v="7.3410200000000003"/>
    <n v="0.83338699999999999"/>
    <n v="1.7198599999999999"/>
    <n v="4.0534800000000004"/>
    <n v="328321480"/>
    <s v="1799 58998 3306899 28066484 96122"/>
    <s v="37 57184 3305839 28065276 96119"/>
    <n v="139918"/>
    <n v="3534"/>
    <n v="301840629744"/>
    <n v="5686394604622"/>
    <n v="280958399"/>
    <n v="0"/>
    <n v="187297802"/>
    <n v="280958399"/>
    <n v="468256201"/>
    <n v="9365279"/>
    <n v="0"/>
    <n v="6243260"/>
    <n v="9365279"/>
    <n v="15608540"/>
    <n v="32.9818"/>
    <n v="16.8933"/>
    <n v="33352.9"/>
    <n v="30938.7"/>
    <n v="2672"/>
    <n v="344"/>
    <x v="7"/>
  </r>
  <r>
    <s v="istree_exp3_disable_multicounter/step10027.txt"/>
    <x v="0"/>
    <n v="64"/>
    <s v="reclaimer_debra"/>
    <s v="allocator_new"/>
    <s v="pool_none"/>
    <n v="30000"/>
    <n v="20"/>
    <n v="20"/>
    <n v="0"/>
    <n v="1"/>
    <n v="200000000"/>
    <n v="190"/>
    <n v="190"/>
    <n v="190"/>
    <n v="0"/>
    <s v="insertIfAbsent"/>
    <n v="9998593603463210"/>
    <n v="99993720"/>
    <n v="9998593603463210"/>
    <n v="99993720"/>
    <s v="success"/>
    <n v="7"/>
    <n v="14838193"/>
    <n v="118043220"/>
    <n v="132881413"/>
    <n v="99993720"/>
    <n v="8.9553600000000007"/>
    <n v="0.84709400000000001"/>
    <n v="1.7524999999999999"/>
    <n v="4.0790699999999998"/>
    <n v="2961343512"/>
    <s v="118 15131 1627462 15712303 2622052"/>
    <s v="3 14956 1627380 15712199 2622051"/>
    <n v="24526"/>
    <n v="3078"/>
    <n v="333902727980"/>
    <n v="5686662093651"/>
    <n v="281534581"/>
    <n v="0"/>
    <n v="187664906"/>
    <n v="281534581"/>
    <n v="469199487"/>
    <n v="9384486"/>
    <n v="0"/>
    <n v="6255496"/>
    <n v="9384486"/>
    <n v="15639982"/>
    <n v="31.372"/>
    <n v="16.391300000000001"/>
    <n v="31980"/>
    <n v="30217.1"/>
    <n v="12907"/>
    <n v="1115"/>
    <x v="8"/>
  </r>
  <r>
    <s v="istree_exp3_disable_multicounter/step10028.txt"/>
    <x v="1"/>
    <n v="72"/>
    <s v="reclaimer_debra"/>
    <s v="allocator_new"/>
    <s v="pool_none"/>
    <n v="30000"/>
    <n v="0.5"/>
    <n v="0.5"/>
    <n v="0"/>
    <n v="1"/>
    <n v="2000000"/>
    <n v="190"/>
    <n v="190"/>
    <n v="190"/>
    <n v="0"/>
    <s v="insertIfAbsent"/>
    <n v="999014389109"/>
    <n v="999351"/>
    <n v="999014389109"/>
    <n v="999351"/>
    <s v="success"/>
    <n v="6"/>
    <n v="56995"/>
    <n v="1080213"/>
    <n v="1137208"/>
    <n v="999351"/>
    <n v="19.9528"/>
    <n v="0.92514300000000005"/>
    <n v="1.8787799999999999"/>
    <n v="3.0504899999999999"/>
    <n v="21870096"/>
    <s v="303 612835 297911 2449051"/>
    <s v="261 612241 297712 2449011"/>
    <n v="320614"/>
    <n v="90472"/>
    <n v="118714151301"/>
    <n v="5686394409902"/>
    <n v="12920323761"/>
    <n v="0"/>
    <n v="130515089"/>
    <n v="12920323761"/>
    <n v="13050838850"/>
    <n v="430677458"/>
    <n v="0"/>
    <n v="4350502"/>
    <n v="430677458"/>
    <n v="435027961"/>
    <n v="8.6334999999999997"/>
    <n v="0.41508699999999998"/>
    <n v="1194.26"/>
    <n v="455.97199999999998"/>
    <n v="1425"/>
    <n v="340"/>
    <x v="0"/>
  </r>
  <r>
    <s v="istree_exp3_disable_multicounter/step10029.txt"/>
    <x v="1"/>
    <n v="72"/>
    <s v="reclaimer_debra"/>
    <s v="allocator_new"/>
    <s v="pool_none"/>
    <n v="30000"/>
    <n v="0.5"/>
    <n v="0.5"/>
    <n v="0"/>
    <n v="1"/>
    <n v="20000000"/>
    <n v="190"/>
    <n v="190"/>
    <n v="190"/>
    <n v="0"/>
    <s v="insertIfAbsent"/>
    <n v="99969551650659"/>
    <n v="9999088"/>
    <n v="99969551650659"/>
    <n v="9999088"/>
    <s v="success"/>
    <n v="7"/>
    <n v="1690649"/>
    <n v="11572780"/>
    <n v="13263429"/>
    <n v="9999088"/>
    <n v="7.8451700000000004"/>
    <n v="0.86401799999999995"/>
    <n v="1.7538800000000001"/>
    <n v="4.0129700000000001"/>
    <n v="320416448"/>
    <s v="15 47443 398905 10045461 25678"/>
    <s v="15 47442 398886 10045427 25678"/>
    <n v="36577"/>
    <n v="46228"/>
    <n v="94217561088"/>
    <n v="5686394029370"/>
    <n v="7452081108"/>
    <n v="0"/>
    <n v="75280448"/>
    <n v="7452081108"/>
    <n v="7527361556"/>
    <n v="248402703"/>
    <n v="0"/>
    <n v="2509348"/>
    <n v="248402703"/>
    <n v="250912051"/>
    <n v="16.3264"/>
    <n v="6.6547999999999998"/>
    <n v="2079.35"/>
    <n v="1304.18"/>
    <n v="2774"/>
    <n v="378"/>
    <x v="1"/>
  </r>
  <r>
    <s v="istree_exp3_disable_multicounter/step10030.txt"/>
    <x v="1"/>
    <n v="72"/>
    <s v="reclaimer_debra"/>
    <s v="allocator_new"/>
    <s v="pool_none"/>
    <n v="30000"/>
    <n v="0.5"/>
    <n v="0.5"/>
    <n v="0"/>
    <n v="1"/>
    <n v="200000000"/>
    <n v="190"/>
    <n v="190"/>
    <n v="190"/>
    <n v="0"/>
    <s v="insertIfAbsent"/>
    <n v="1.00004264139947E+16"/>
    <n v="100004365"/>
    <n v="1.00004264139947E+16"/>
    <n v="100004365"/>
    <s v="success"/>
    <n v="7"/>
    <n v="12548544"/>
    <n v="113116914"/>
    <n v="125665458"/>
    <n v="100004365"/>
    <n v="10.0143"/>
    <n v="0.88407999999999998"/>
    <n v="1.7958000000000001"/>
    <n v="4.0313400000000001"/>
    <n v="2814400608"/>
    <s v="1 10000 344271 3942163 709595"/>
    <s v="1 10000 344270 3942161 709595"/>
    <n v="4490"/>
    <n v="32622"/>
    <n v="118319637397"/>
    <n v="5686443639640"/>
    <n v="5619052738"/>
    <n v="0"/>
    <n v="56754299"/>
    <n v="5619052738"/>
    <n v="5675807037"/>
    <n v="187301757"/>
    <n v="0"/>
    <n v="1891809"/>
    <n v="187301757"/>
    <n v="189193567"/>
    <n v="19.493500000000001"/>
    <n v="9.5854800000000004"/>
    <n v="2736.63"/>
    <n v="1980.35"/>
    <n v="13360"/>
    <n v="1048"/>
    <x v="2"/>
  </r>
  <r>
    <s v="istree_exp3_disable_multicounter/step10031.txt"/>
    <x v="1"/>
    <n v="72"/>
    <s v="reclaimer_debra"/>
    <s v="allocator_new"/>
    <s v="pool_none"/>
    <n v="30000"/>
    <n v="5"/>
    <n v="5"/>
    <n v="0"/>
    <n v="1"/>
    <n v="2000000"/>
    <n v="190"/>
    <n v="190"/>
    <n v="190"/>
    <n v="0"/>
    <s v="insertIfAbsent"/>
    <n v="999810965369"/>
    <n v="1000030"/>
    <n v="999810965369"/>
    <n v="1000030"/>
    <s v="success"/>
    <n v="6"/>
    <n v="33092"/>
    <n v="1032160"/>
    <n v="1065252"/>
    <n v="1000030"/>
    <n v="32.190600000000003"/>
    <n v="0.96887100000000004"/>
    <n v="1.9387700000000001"/>
    <n v="3.0001099999999998"/>
    <n v="19161904"/>
    <s v="2759 3452776 1678187 13781632"/>
    <s v="1470 3431849 1671416 13780298"/>
    <n v="8113482"/>
    <n v="50210"/>
    <n v="883254768485"/>
    <n v="5686923689130"/>
    <n v="6607122746"/>
    <n v="0"/>
    <n v="734135646"/>
    <n v="6607122746"/>
    <n v="7341258392"/>
    <n v="220237424"/>
    <n v="0"/>
    <n v="24471188"/>
    <n v="220237424"/>
    <n v="244708613"/>
    <n v="12.327"/>
    <n v="3.1604299999999999"/>
    <n v="2149.9899999999998"/>
    <n v="1314.07"/>
    <n v="1596"/>
    <n v="296"/>
    <x v="3"/>
  </r>
  <r>
    <s v="istree_exp3_disable_multicounter/step10032.txt"/>
    <x v="1"/>
    <n v="72"/>
    <s v="reclaimer_debra"/>
    <s v="allocator_new"/>
    <s v="pool_none"/>
    <n v="30000"/>
    <n v="5"/>
    <n v="5"/>
    <n v="0"/>
    <n v="1"/>
    <n v="20000000"/>
    <n v="190"/>
    <n v="190"/>
    <n v="190"/>
    <n v="0"/>
    <s v="insertIfAbsent"/>
    <n v="100027104028365"/>
    <n v="10001975"/>
    <n v="100027104028365"/>
    <n v="10001975"/>
    <s v="success"/>
    <n v="7"/>
    <n v="1741255"/>
    <n v="11684346"/>
    <n v="13425601"/>
    <n v="10001975"/>
    <n v="7.7103000000000002"/>
    <n v="0.85601499999999997"/>
    <n v="1.74499"/>
    <n v="4.0237499999999997"/>
    <n v="326252288"/>
    <s v="199 347886 2933620 73512186 183221"/>
    <s v="109 347833 2932413 73510847 183221"/>
    <n v="831063"/>
    <n v="35974"/>
    <n v="553606796455"/>
    <n v="5686397458938"/>
    <n v="4942467779"/>
    <n v="0"/>
    <n v="549113389"/>
    <n v="4942467779"/>
    <n v="5491581168"/>
    <n v="164748925"/>
    <n v="0"/>
    <n v="18303779"/>
    <n v="164748925"/>
    <n v="183052705"/>
    <n v="19.270600000000002"/>
    <n v="8.5564300000000006"/>
    <n v="2830.81"/>
    <n v="1896.77"/>
    <n v="2869"/>
    <n v="377"/>
    <x v="4"/>
  </r>
  <r>
    <s v="istree_exp3_disable_multicounter/step10033.txt"/>
    <x v="1"/>
    <n v="72"/>
    <s v="reclaimer_debra"/>
    <s v="allocator_new"/>
    <s v="pool_none"/>
    <n v="30000"/>
    <n v="5"/>
    <n v="5"/>
    <n v="0"/>
    <n v="1"/>
    <n v="200000000"/>
    <n v="190"/>
    <n v="190"/>
    <n v="190"/>
    <n v="0"/>
    <s v="insertIfAbsent"/>
    <n v="9999511487861830"/>
    <n v="99991436"/>
    <n v="9999511487861830"/>
    <n v="99991436"/>
    <s v="success"/>
    <n v="7"/>
    <n v="14846246"/>
    <n v="118015236"/>
    <n v="132861482"/>
    <n v="99991436"/>
    <n v="8.9491599999999991"/>
    <n v="0.84727600000000003"/>
    <n v="1.7525999999999999"/>
    <n v="4.0800999999999998"/>
    <n v="3079825488"/>
    <s v="16 79984 2758881 32781290 5702132"/>
    <s v="8 79980 2758750 32781199 5702123"/>
    <n v="130588"/>
    <n v="18902"/>
    <n v="571535238731"/>
    <n v="5686679224702"/>
    <n v="3846491785"/>
    <n v="0"/>
    <n v="427400490"/>
    <n v="3846491785"/>
    <n v="4273892275"/>
    <n v="128216392"/>
    <n v="0"/>
    <n v="14246683"/>
    <n v="128216392"/>
    <n v="142463075"/>
    <n v="22.2257"/>
    <n v="11.283899999999999"/>
    <n v="3434.21"/>
    <n v="2550.8200000000002"/>
    <n v="14278"/>
    <n v="1149"/>
    <x v="5"/>
  </r>
  <r>
    <s v="istree_exp3_disable_multicounter/step10034.txt"/>
    <x v="1"/>
    <n v="72"/>
    <s v="reclaimer_debra"/>
    <s v="allocator_new"/>
    <s v="pool_none"/>
    <n v="30000"/>
    <n v="20"/>
    <n v="20"/>
    <n v="0"/>
    <n v="1"/>
    <n v="2000000"/>
    <n v="190"/>
    <n v="190"/>
    <n v="190"/>
    <n v="0"/>
    <s v="insertIfAbsent"/>
    <n v="999980147825"/>
    <n v="1000223"/>
    <n v="999980147825"/>
    <n v="1000223"/>
    <s v="success"/>
    <n v="7"/>
    <n v="55079"/>
    <n v="1077010"/>
    <n v="1132089"/>
    <n v="1000223"/>
    <n v="20.553899999999999"/>
    <n v="0.92870399999999997"/>
    <n v="1.8835200000000001"/>
    <n v="3.0462199999999999"/>
    <n v="21661488"/>
    <s v="6797 5465850 2655560 21794541"/>
    <s v="2324 5406658 2636534 21790444"/>
    <n v="24666543"/>
    <n v="20956"/>
    <n v="1784577559348"/>
    <n v="5686395799543"/>
    <n v="1741672930"/>
    <n v="0"/>
    <n v="1161116634"/>
    <n v="1741672930"/>
    <n v="2902789564"/>
    <n v="58055764"/>
    <n v="0"/>
    <n v="38703887"/>
    <n v="58055764"/>
    <n v="96759652"/>
    <n v="25.0367"/>
    <n v="11.957000000000001"/>
    <n v="5461.65"/>
    <n v="4158.1499999999996"/>
    <n v="1755"/>
    <n v="409"/>
    <x v="6"/>
  </r>
  <r>
    <s v="istree_exp3_disable_multicounter/step10035.txt"/>
    <x v="1"/>
    <n v="72"/>
    <s v="reclaimer_debra"/>
    <s v="allocator_new"/>
    <s v="pool_none"/>
    <n v="30000"/>
    <n v="20"/>
    <n v="20"/>
    <n v="0"/>
    <n v="1"/>
    <n v="20000000"/>
    <n v="190"/>
    <n v="190"/>
    <n v="190"/>
    <n v="0"/>
    <s v="insertIfAbsent"/>
    <n v="99999743801815"/>
    <n v="10001457"/>
    <n v="99999743801815"/>
    <n v="10001457"/>
    <s v="success"/>
    <n v="7"/>
    <n v="1829427"/>
    <n v="11868126"/>
    <n v="13697553"/>
    <n v="10001457"/>
    <n v="7.4873500000000002"/>
    <n v="0.84271600000000002"/>
    <n v="1.7301599999999999"/>
    <n v="4.0415400000000004"/>
    <n v="336251712"/>
    <s v="891 734036 6188658 155249611 390622"/>
    <s v="231 733775 6183215 155242279 390620"/>
    <n v="2947187"/>
    <n v="22152"/>
    <n v="1161903013707"/>
    <n v="5686394028378"/>
    <n v="1739704111"/>
    <n v="0"/>
    <n v="1159801177"/>
    <n v="1739704111"/>
    <n v="2899505288"/>
    <n v="57990137"/>
    <n v="0"/>
    <n v="38660039"/>
    <n v="57990137"/>
    <n v="96650176"/>
    <n v="28.689800000000002"/>
    <n v="15.300800000000001"/>
    <n v="5298.88"/>
    <n v="3615.09"/>
    <n v="2940"/>
    <n v="399"/>
    <x v="7"/>
  </r>
  <r>
    <s v="istree_exp3_disable_multicounter/step10036.txt"/>
    <x v="1"/>
    <n v="72"/>
    <s v="reclaimer_debra"/>
    <s v="allocator_new"/>
    <s v="pool_none"/>
    <n v="30000"/>
    <n v="20"/>
    <n v="20"/>
    <n v="0"/>
    <n v="1"/>
    <n v="200000000"/>
    <n v="190"/>
    <n v="190"/>
    <n v="190"/>
    <n v="0"/>
    <s v="insertIfAbsent"/>
    <n v="9999681723733780"/>
    <n v="99986403"/>
    <n v="9999681723733780"/>
    <n v="99986403"/>
    <s v="success"/>
    <n v="7"/>
    <n v="11010055"/>
    <n v="109986502"/>
    <n v="120996557"/>
    <n v="99986403"/>
    <n v="10.989599999999999"/>
    <n v="0.90907899999999997"/>
    <n v="1.82636"/>
    <n v="4"/>
    <n v="2640588416"/>
    <s v="77 199967 6885598 77724991 13316332"/>
    <s v="20 199947 6884967 77724523 13316304"/>
    <n v="514179"/>
    <n v="12706"/>
    <n v="1139180489040"/>
    <n v="5697545917484"/>
    <n v="1500073001"/>
    <n v="0"/>
    <n v="999974060"/>
    <n v="1500073001"/>
    <n v="2500047061"/>
    <n v="50002433"/>
    <n v="0"/>
    <n v="33332468"/>
    <n v="50002433"/>
    <n v="83334902"/>
    <n v="31.552900000000001"/>
    <n v="17.653500000000001"/>
    <n v="5710.64"/>
    <n v="4219.5600000000004"/>
    <n v="14424"/>
    <n v="1073"/>
    <x v="8"/>
  </r>
  <r>
    <s v="istree_exp3_disable_multicounter/step10037.txt"/>
    <x v="1"/>
    <n v="72"/>
    <s v="reclaimer_debra"/>
    <s v="allocator_new"/>
    <s v="pool_none"/>
    <n v="30000"/>
    <n v="0.5"/>
    <n v="0.5"/>
    <n v="0"/>
    <n v="1"/>
    <n v="2000000"/>
    <n v="190"/>
    <n v="190"/>
    <n v="190"/>
    <n v="0"/>
    <s v="insertIfAbsent"/>
    <n v="999556455351"/>
    <n v="999678"/>
    <n v="999556455351"/>
    <n v="999678"/>
    <s v="success"/>
    <n v="6"/>
    <n v="54666"/>
    <n v="1075677"/>
    <n v="1130343"/>
    <n v="999678"/>
    <n v="20.677299999999999"/>
    <n v="0.92934799999999995"/>
    <n v="1.8844000000000001"/>
    <n v="3.0456099999999999"/>
    <n v="21608784"/>
    <s v="288 610645 296989 2442395"/>
    <s v="260 610077 296797 2442348"/>
    <n v="311819"/>
    <n v="89596"/>
    <n v="118860225544"/>
    <n v="5686394288954"/>
    <n v="12876652340"/>
    <n v="0"/>
    <n v="130058695"/>
    <n v="12876652340"/>
    <n v="13006711035"/>
    <n v="429221744"/>
    <n v="0"/>
    <n v="4335289"/>
    <n v="429221744"/>
    <n v="433557034"/>
    <n v="8.6456300000000006"/>
    <n v="0.41452699999999998"/>
    <n v="1198.83"/>
    <n v="459.10599999999999"/>
    <n v="1426"/>
    <n v="202"/>
    <x v="0"/>
  </r>
  <r>
    <s v="istree_exp3_disable_multicounter/step10038.txt"/>
    <x v="1"/>
    <n v="72"/>
    <s v="reclaimer_debra"/>
    <s v="allocator_new"/>
    <s v="pool_none"/>
    <n v="30000"/>
    <n v="0.5"/>
    <n v="0.5"/>
    <n v="0"/>
    <n v="1"/>
    <n v="20000000"/>
    <n v="190"/>
    <n v="190"/>
    <n v="190"/>
    <n v="0"/>
    <s v="insertIfAbsent"/>
    <n v="99975535297943"/>
    <n v="9997391"/>
    <n v="99975535297943"/>
    <n v="9997391"/>
    <s v="success"/>
    <n v="7"/>
    <n v="1687792"/>
    <n v="11564372"/>
    <n v="13252164"/>
    <n v="9997391"/>
    <n v="7.8517799999999998"/>
    <n v="0.86449900000000002"/>
    <n v="1.7544"/>
    <n v="4.0125099999999998"/>
    <n v="320053360"/>
    <s v="15 47448 400546 10046031 25069"/>
    <s v="15 47445 400517 10046003 25069"/>
    <n v="36379"/>
    <n v="46478"/>
    <n v="93132242858"/>
    <n v="5686394289461"/>
    <n v="7452852002"/>
    <n v="0"/>
    <n v="75279564"/>
    <n v="7452852002"/>
    <n v="7528131566"/>
    <n v="248428400"/>
    <n v="0"/>
    <n v="2509318"/>
    <n v="248428400"/>
    <n v="250937718"/>
    <n v="16.355799999999999"/>
    <n v="6.6514300000000004"/>
    <n v="2079.42"/>
    <n v="1303.44"/>
    <n v="2773"/>
    <n v="402"/>
    <x v="1"/>
  </r>
  <r>
    <s v="istree_exp3_disable_multicounter/step10039.txt"/>
    <x v="1"/>
    <n v="72"/>
    <s v="reclaimer_debra"/>
    <s v="allocator_new"/>
    <s v="pool_none"/>
    <n v="30000"/>
    <n v="0.5"/>
    <n v="0.5"/>
    <n v="0"/>
    <n v="1"/>
    <n v="200000000"/>
    <n v="190"/>
    <n v="190"/>
    <n v="190"/>
    <n v="0"/>
    <s v="insertIfAbsent"/>
    <n v="1.00002737035908E+16"/>
    <n v="99998250"/>
    <n v="1.00002737035908E+16"/>
    <n v="99998250"/>
    <s v="success"/>
    <n v="7"/>
    <n v="12593449"/>
    <n v="113200665"/>
    <n v="125794114"/>
    <n v="99998250"/>
    <n v="9.9888499999999993"/>
    <n v="0.88337200000000005"/>
    <n v="1.79494"/>
    <n v="4.0322899999999997"/>
    <n v="2819360208"/>
    <s v="1 10001 343644 3946890 713559"/>
    <s v="1 10001 343638 3946890 713559"/>
    <n v="4744"/>
    <n v="33054"/>
    <n v="119136728166"/>
    <n v="5686470345133"/>
    <n v="5639147465"/>
    <n v="0"/>
    <n v="56983584"/>
    <n v="5639147465"/>
    <n v="5696131049"/>
    <n v="187971582"/>
    <n v="0"/>
    <n v="1899452"/>
    <n v="187971582"/>
    <n v="189871034"/>
    <n v="19.479900000000001"/>
    <n v="9.5780100000000008"/>
    <n v="2726.47"/>
    <n v="1971.98"/>
    <n v="13338"/>
    <n v="1121"/>
    <x v="2"/>
  </r>
  <r>
    <s v="istree_exp3_disable_multicounter/step10040.txt"/>
    <x v="1"/>
    <n v="72"/>
    <s v="reclaimer_debra"/>
    <s v="allocator_new"/>
    <s v="pool_none"/>
    <n v="30000"/>
    <n v="5"/>
    <n v="5"/>
    <n v="0"/>
    <n v="1"/>
    <n v="2000000"/>
    <n v="190"/>
    <n v="190"/>
    <n v="190"/>
    <n v="0"/>
    <s v="insertIfAbsent"/>
    <n v="1000732239561"/>
    <n v="1000444"/>
    <n v="1000732239561"/>
    <n v="1000444"/>
    <s v="success"/>
    <n v="6"/>
    <n v="53736"/>
    <n v="1074637"/>
    <n v="1128373"/>
    <n v="1000444"/>
    <n v="20.9985"/>
    <n v="0.93096000000000001"/>
    <n v="1.88663"/>
    <n v="3.0432100000000002"/>
    <n v="21513184"/>
    <s v="2804 3453301 1677287 13793067"/>
    <s v="1470 3432245 1670559 13791684"/>
    <n v="8098707"/>
    <n v="50388"/>
    <n v="879712487700"/>
    <n v="5686397117936"/>
    <n v="6611666456"/>
    <n v="0"/>
    <n v="734611514"/>
    <n v="6611666456"/>
    <n v="7346277970"/>
    <n v="220388881"/>
    <n v="0"/>
    <n v="24487050"/>
    <n v="220388881"/>
    <n v="244875932"/>
    <n v="12.338100000000001"/>
    <n v="3.15571"/>
    <n v="2147.4699999999998"/>
    <n v="1309.3399999999999"/>
    <n v="1604"/>
    <n v="212"/>
    <x v="3"/>
  </r>
  <r>
    <s v="istree_exp3_disable_multicounter/step10041.txt"/>
    <x v="1"/>
    <n v="72"/>
    <s v="reclaimer_debra"/>
    <s v="allocator_new"/>
    <s v="pool_none"/>
    <n v="30000"/>
    <n v="5"/>
    <n v="5"/>
    <n v="0"/>
    <n v="1"/>
    <n v="20000000"/>
    <n v="190"/>
    <n v="190"/>
    <n v="190"/>
    <n v="0"/>
    <s v="insertIfAbsent"/>
    <n v="99974700070924"/>
    <n v="9998688"/>
    <n v="99974700070924"/>
    <n v="9998688"/>
    <s v="success"/>
    <n v="7"/>
    <n v="1680463"/>
    <n v="11550943"/>
    <n v="13231406"/>
    <n v="9998688"/>
    <n v="7.8736699999999997"/>
    <n v="0.86561699999999997"/>
    <n v="1.7556799999999999"/>
    <n v="4.0109399999999997"/>
    <n v="319252160"/>
    <s v="169 347948 2932562 73607313 184707"/>
    <s v="110 347896 2931372 73606013 184704"/>
    <n v="843905"/>
    <n v="35940"/>
    <n v="555354807687"/>
    <n v="5686394077436"/>
    <n v="4951459273"/>
    <n v="0"/>
    <n v="550115434"/>
    <n v="4951459273"/>
    <n v="5501574707"/>
    <n v="165048642"/>
    <n v="0"/>
    <n v="18337181"/>
    <n v="165048642"/>
    <n v="183385823"/>
    <n v="19.293800000000001"/>
    <n v="8.5637899999999991"/>
    <n v="2823.88"/>
    <n v="1892.89"/>
    <n v="2872"/>
    <n v="364"/>
    <x v="4"/>
  </r>
  <r>
    <s v="istree_exp3_disable_multicounter/step10042.txt"/>
    <x v="1"/>
    <n v="72"/>
    <s v="reclaimer_debra"/>
    <s v="allocator_new"/>
    <s v="pool_none"/>
    <n v="30000"/>
    <n v="5"/>
    <n v="5"/>
    <n v="0"/>
    <n v="1"/>
    <n v="200000000"/>
    <n v="190"/>
    <n v="190"/>
    <n v="190"/>
    <n v="0"/>
    <s v="insertIfAbsent"/>
    <n v="1.00006919966432E+16"/>
    <n v="100005511"/>
    <n v="1.00006919966432E+16"/>
    <n v="100005511"/>
    <s v="success"/>
    <n v="7"/>
    <n v="14736955"/>
    <n v="117769545"/>
    <n v="132506500"/>
    <n v="100005511"/>
    <n v="8.9914400000000008"/>
    <n v="0.849163"/>
    <n v="1.7547200000000001"/>
    <n v="4.0777000000000001"/>
    <n v="3066873312"/>
    <s v="11 79977 2756478 32482589 5664193"/>
    <s v="8 79974 2756353 32482508 5664185"/>
    <n v="131679"/>
    <n v="18958"/>
    <n v="570641708071"/>
    <n v="5687063840505"/>
    <n v="3825123952"/>
    <n v="0"/>
    <n v="425001641"/>
    <n v="3825123952"/>
    <n v="4250125593"/>
    <n v="127504131"/>
    <n v="0"/>
    <n v="14166721"/>
    <n v="127504131"/>
    <n v="141670853"/>
    <n v="22.242599999999999"/>
    <n v="11.289899999999999"/>
    <n v="3452.17"/>
    <n v="2561.98"/>
    <n v="14273"/>
    <n v="1096"/>
    <x v="5"/>
  </r>
  <r>
    <s v="istree_exp3_disable_multicounter/step10043.txt"/>
    <x v="1"/>
    <n v="72"/>
    <s v="reclaimer_debra"/>
    <s v="allocator_new"/>
    <s v="pool_none"/>
    <n v="30000"/>
    <n v="20"/>
    <n v="20"/>
    <n v="0"/>
    <n v="1"/>
    <n v="2000000"/>
    <n v="190"/>
    <n v="190"/>
    <n v="190"/>
    <n v="0"/>
    <s v="insertIfAbsent"/>
    <n v="1000170723742"/>
    <n v="1000101"/>
    <n v="1000170723742"/>
    <n v="1000101"/>
    <s v="success"/>
    <n v="6"/>
    <n v="35224"/>
    <n v="1036544"/>
    <n v="1071768"/>
    <n v="1000101"/>
    <n v="30.427199999999999"/>
    <n v="0.96484199999999998"/>
    <n v="1.93313"/>
    <n v="3.0043899999999999"/>
    <n v="19402800"/>
    <s v="7067 5456271 2650801 21761106"/>
    <s v="2321 5397843 2631675 21757103"/>
    <n v="24624663"/>
    <n v="20932"/>
    <n v="1779510323882"/>
    <n v="5686394461238"/>
    <n v="1739125875"/>
    <n v="0"/>
    <n v="1159365586"/>
    <n v="1739125875"/>
    <n v="2898491461"/>
    <n v="57970862"/>
    <n v="0"/>
    <n v="38645519"/>
    <n v="57970862"/>
    <n v="96616382"/>
    <n v="25.0078"/>
    <n v="11.9619"/>
    <n v="5468.21"/>
    <n v="4163.07"/>
    <n v="1749"/>
    <n v="173"/>
    <x v="6"/>
  </r>
  <r>
    <s v="istree_exp3_disable_multicounter/step10044.txt"/>
    <x v="1"/>
    <n v="72"/>
    <s v="reclaimer_debra"/>
    <s v="allocator_new"/>
    <s v="pool_none"/>
    <n v="30000"/>
    <n v="20"/>
    <n v="20"/>
    <n v="0"/>
    <n v="1"/>
    <n v="20000000"/>
    <n v="190"/>
    <n v="190"/>
    <n v="190"/>
    <n v="0"/>
    <s v="insertIfAbsent"/>
    <n v="100009179852255"/>
    <n v="10001078"/>
    <n v="100009179852255"/>
    <n v="10001078"/>
    <s v="success"/>
    <n v="7"/>
    <n v="1736924"/>
    <n v="11677048"/>
    <n v="13413972"/>
    <n v="10001078"/>
    <n v="7.7228300000000001"/>
    <n v="0.85647300000000004"/>
    <n v="1.7455700000000001"/>
    <n v="4.0226899999999999"/>
    <n v="325795952"/>
    <s v="871 733492 6184785 155135454 389940"/>
    <s v="231 733252 6179669 155128011 389934"/>
    <n v="2930228"/>
    <n v="21888"/>
    <n v="1161754929787"/>
    <n v="5686402679995"/>
    <n v="1738309596"/>
    <n v="0"/>
    <n v="1158849985"/>
    <n v="1738309596"/>
    <n v="2897159581"/>
    <n v="57943653"/>
    <n v="0"/>
    <n v="38628332"/>
    <n v="57943653"/>
    <n v="96571986"/>
    <n v="28.627600000000001"/>
    <n v="15.322699999999999"/>
    <n v="5297.2"/>
    <n v="3609.97"/>
    <n v="2949"/>
    <n v="384"/>
    <x v="7"/>
  </r>
  <r>
    <s v="istree_exp3_disable_multicounter/step10045.txt"/>
    <x v="1"/>
    <n v="72"/>
    <s v="reclaimer_debra"/>
    <s v="allocator_new"/>
    <s v="pool_none"/>
    <n v="30000"/>
    <n v="20"/>
    <n v="20"/>
    <n v="0"/>
    <n v="1"/>
    <n v="200000000"/>
    <n v="190"/>
    <n v="190"/>
    <n v="190"/>
    <n v="0"/>
    <s v="insertIfAbsent"/>
    <n v="9998778930122230"/>
    <n v="99991696"/>
    <n v="9998778930122230"/>
    <n v="99991696"/>
    <s v="success"/>
    <n v="7"/>
    <n v="11010053"/>
    <n v="109991804"/>
    <n v="121001857"/>
    <n v="99991696"/>
    <n v="10.9901"/>
    <n v="0.90908299999999997"/>
    <n v="1.82636"/>
    <n v="4"/>
    <n v="2640673088"/>
    <s v="83 199971 6884513 77722154 13317429"/>
    <s v="20 199956 6883874 77721680 13317399"/>
    <n v="509442"/>
    <n v="12596"/>
    <n v="1154056819447"/>
    <n v="5714019870956"/>
    <n v="1499954165"/>
    <n v="0"/>
    <n v="999981949"/>
    <n v="1499954165"/>
    <n v="2499936114"/>
    <n v="49998472"/>
    <n v="0"/>
    <n v="33332731"/>
    <n v="49998472"/>
    <n v="83331203"/>
    <n v="31.5639"/>
    <n v="17.663"/>
    <n v="5705.76"/>
    <n v="4214.66"/>
    <n v="14479"/>
    <n v="1211"/>
    <x v="8"/>
  </r>
  <r>
    <s v="istree_exp3_disable_multicounter/step10046.txt"/>
    <x v="1"/>
    <n v="72"/>
    <s v="reclaimer_debra"/>
    <s v="allocator_new"/>
    <s v="pool_none"/>
    <n v="30000"/>
    <n v="0.5"/>
    <n v="0.5"/>
    <n v="0"/>
    <n v="1"/>
    <n v="2000000"/>
    <n v="190"/>
    <n v="190"/>
    <n v="190"/>
    <n v="0"/>
    <s v="insertIfAbsent"/>
    <n v="998915848699"/>
    <n v="999574"/>
    <n v="998915848699"/>
    <n v="999574"/>
    <s v="success"/>
    <n v="6"/>
    <n v="57717"/>
    <n v="1081523"/>
    <n v="1139240"/>
    <n v="999574"/>
    <n v="19.738399999999999"/>
    <n v="0.92422800000000005"/>
    <n v="1.8774"/>
    <n v="3.0518200000000002"/>
    <n v="21947600"/>
    <s v="293 608008 295627 2430091"/>
    <s v="259 607423 295424 2430048"/>
    <n v="314915"/>
    <n v="88708"/>
    <n v="117309877809"/>
    <n v="5686394489041"/>
    <n v="12821188563"/>
    <n v="0"/>
    <n v="129516064"/>
    <n v="12821188563"/>
    <n v="12950704627"/>
    <n v="427372952"/>
    <n v="0"/>
    <n v="4317202"/>
    <n v="427372952"/>
    <n v="431690154"/>
    <n v="8.6324199999999998"/>
    <n v="0.41528999999999999"/>
    <n v="1203.72"/>
    <n v="460.62299999999999"/>
    <n v="1424"/>
    <n v="353"/>
    <x v="0"/>
  </r>
  <r>
    <s v="istree_exp3_disable_multicounter/step10047.txt"/>
    <x v="1"/>
    <n v="72"/>
    <s v="reclaimer_debra"/>
    <s v="allocator_new"/>
    <s v="pool_none"/>
    <n v="30000"/>
    <n v="0.5"/>
    <n v="0.5"/>
    <n v="0"/>
    <n v="1"/>
    <n v="20000000"/>
    <n v="190"/>
    <n v="190"/>
    <n v="190"/>
    <n v="0"/>
    <s v="insertIfAbsent"/>
    <n v="99950983306273"/>
    <n v="9995845"/>
    <n v="99950983306273"/>
    <n v="9995845"/>
    <s v="success"/>
    <n v="7"/>
    <n v="1679661"/>
    <n v="11547109"/>
    <n v="13226770"/>
    <n v="9995845"/>
    <n v="7.8746700000000001"/>
    <n v="0.86565800000000004"/>
    <n v="1.75573"/>
    <n v="4.0108800000000002"/>
    <n v="319126640"/>
    <s v="19 47445 401574 10042542 25154"/>
    <s v="15 47443 401550 10042511 25154"/>
    <n v="34242"/>
    <n v="45986"/>
    <n v="125471246027"/>
    <n v="5686394308887"/>
    <n v="7448506104"/>
    <n v="0"/>
    <n v="75229214"/>
    <n v="7448506104"/>
    <n v="7523735318"/>
    <n v="248283536"/>
    <n v="0"/>
    <n v="2507640"/>
    <n v="248283536"/>
    <n v="250791177"/>
    <n v="16.3675"/>
    <n v="6.6539099999999998"/>
    <n v="2068.84"/>
    <n v="1299.8399999999999"/>
    <n v="2773"/>
    <n v="372"/>
    <x v="1"/>
  </r>
  <r>
    <s v="istree_exp3_disable_multicounter/step10048.txt"/>
    <x v="1"/>
    <n v="72"/>
    <s v="reclaimer_debra"/>
    <s v="allocator_new"/>
    <s v="pool_none"/>
    <n v="30000"/>
    <n v="0.5"/>
    <n v="0.5"/>
    <n v="0"/>
    <n v="1"/>
    <n v="200000000"/>
    <n v="190"/>
    <n v="190"/>
    <n v="190"/>
    <n v="0"/>
    <s v="insertIfAbsent"/>
    <n v="9998908389379750"/>
    <n v="99988811"/>
    <n v="9998908389379750"/>
    <n v="99988811"/>
    <s v="success"/>
    <n v="7"/>
    <n v="12623423"/>
    <n v="113255034"/>
    <n v="125878457"/>
    <n v="99988811"/>
    <n v="9.9718199999999992"/>
    <n v="0.88286399999999998"/>
    <n v="1.79433"/>
    <n v="4.0329199999999998"/>
    <n v="2822656528"/>
    <s v="1 9998 344394 3952561 714344"/>
    <s v="1 9998 344391 3952560 714344"/>
    <n v="4765"/>
    <n v="32922"/>
    <n v="117357800667"/>
    <n v="5686394135720"/>
    <n v="5655313880"/>
    <n v="0"/>
    <n v="57125215"/>
    <n v="5655313880"/>
    <n v="5712439095"/>
    <n v="188510462"/>
    <n v="0"/>
    <n v="1904173"/>
    <n v="188510462"/>
    <n v="190414636"/>
    <n v="19.474"/>
    <n v="9.5708000000000002"/>
    <n v="2720.56"/>
    <n v="1973.39"/>
    <n v="13374"/>
    <n v="1138"/>
    <x v="2"/>
  </r>
  <r>
    <s v="istree_exp3_disable_multicounter/step10049.txt"/>
    <x v="1"/>
    <n v="72"/>
    <s v="reclaimer_debra"/>
    <s v="allocator_new"/>
    <s v="pool_none"/>
    <n v="30000"/>
    <n v="5"/>
    <n v="5"/>
    <n v="0"/>
    <n v="1"/>
    <n v="2000000"/>
    <n v="190"/>
    <n v="190"/>
    <n v="190"/>
    <n v="0"/>
    <s v="insertIfAbsent"/>
    <n v="1000659889533"/>
    <n v="1000452"/>
    <n v="1000659889533"/>
    <n v="1000452"/>
    <s v="success"/>
    <n v="6"/>
    <n v="54633"/>
    <n v="1076360"/>
    <n v="1130993"/>
    <n v="1000452"/>
    <n v="20.701599999999999"/>
    <n v="0.929477"/>
    <n v="1.8845799999999999"/>
    <n v="3.04515"/>
    <n v="21613904"/>
    <s v="2760 3451272 1678798 13780843"/>
    <s v="1469 3430263 1671957 13779478"/>
    <n v="8084239"/>
    <n v="50300"/>
    <n v="881374050566"/>
    <n v="5686395307332"/>
    <n v="6606599795"/>
    <n v="0"/>
    <n v="734088202"/>
    <n v="6606599795"/>
    <n v="7340687997"/>
    <n v="220219993"/>
    <n v="0"/>
    <n v="24469606"/>
    <n v="220219993"/>
    <n v="244689599"/>
    <n v="12.3414"/>
    <n v="3.1532399999999998"/>
    <n v="2150.13"/>
    <n v="1313.25"/>
    <n v="1605"/>
    <n v="224"/>
    <x v="3"/>
  </r>
  <r>
    <s v="istree_exp3_disable_multicounter/step10050.txt"/>
    <x v="1"/>
    <n v="72"/>
    <s v="reclaimer_debra"/>
    <s v="allocator_new"/>
    <s v="pool_none"/>
    <n v="30000"/>
    <n v="5"/>
    <n v="5"/>
    <n v="0"/>
    <n v="1"/>
    <n v="20000000"/>
    <n v="190"/>
    <n v="190"/>
    <n v="190"/>
    <n v="0"/>
    <s v="insertIfAbsent"/>
    <n v="99980909124694"/>
    <n v="9999102"/>
    <n v="99980909124694"/>
    <n v="9999102"/>
    <s v="success"/>
    <n v="7"/>
    <n v="1775458"/>
    <n v="11760932"/>
    <n v="13536390"/>
    <n v="9999102"/>
    <n v="7.6241700000000003"/>
    <n v="0.85019599999999995"/>
    <n v="1.73868"/>
    <n v="4.0300700000000003"/>
    <n v="330231776"/>
    <s v="188 346648 2931262 73487856 184479"/>
    <s v="109 346572 2930048 73486507 184478"/>
    <n v="835903"/>
    <n v="35954"/>
    <n v="551805803295"/>
    <n v="5686375369186"/>
    <n v="4938192821"/>
    <n v="0"/>
    <n v="548697906"/>
    <n v="4938192821"/>
    <n v="5486890727"/>
    <n v="164606427"/>
    <n v="0"/>
    <n v="18289930"/>
    <n v="164606427"/>
    <n v="182896357"/>
    <n v="19.261299999999999"/>
    <n v="8.5583899999999993"/>
    <n v="2831.13"/>
    <n v="1893.67"/>
    <n v="2872"/>
    <n v="407"/>
    <x v="4"/>
  </r>
  <r>
    <s v="istree_exp3_disable_multicounter/step10051.txt"/>
    <x v="1"/>
    <n v="72"/>
    <s v="reclaimer_debra"/>
    <s v="allocator_new"/>
    <s v="pool_none"/>
    <n v="30000"/>
    <n v="5"/>
    <n v="5"/>
    <n v="0"/>
    <n v="1"/>
    <n v="200000000"/>
    <n v="190"/>
    <n v="190"/>
    <n v="190"/>
    <n v="0"/>
    <s v="insertIfAbsent"/>
    <n v="9998767763673020"/>
    <n v="99995735"/>
    <n v="9998767763673020"/>
    <n v="99995735"/>
    <s v="success"/>
    <n v="7"/>
    <n v="14849987"/>
    <n v="118027036"/>
    <n v="132877023"/>
    <n v="99995735"/>
    <n v="8.9479600000000001"/>
    <n v="0.84722699999999995"/>
    <n v="1.75254"/>
    <n v="4.0801999999999996"/>
    <n v="3080389456"/>
    <s v="12 79980 2760707 32789417 5705950"/>
    <s v="8 79977 2760566 32789346 5705944"/>
    <n v="128221"/>
    <n v="19080"/>
    <n v="569832710253"/>
    <n v="5686401129462"/>
    <n v="3847559197"/>
    <n v="0"/>
    <n v="427488652"/>
    <n v="3847559197"/>
    <n v="4275047849"/>
    <n v="128251973"/>
    <n v="0"/>
    <n v="14249621"/>
    <n v="128251973"/>
    <n v="142501594"/>
    <n v="22.250800000000002"/>
    <n v="11.278499999999999"/>
    <n v="3433.99"/>
    <n v="2550.98"/>
    <n v="14266"/>
    <n v="1076"/>
    <x v="5"/>
  </r>
  <r>
    <s v="istree_exp3_disable_multicounter/step10052.txt"/>
    <x v="1"/>
    <n v="72"/>
    <s v="reclaimer_debra"/>
    <s v="allocator_new"/>
    <s v="pool_none"/>
    <n v="30000"/>
    <n v="20"/>
    <n v="20"/>
    <n v="0"/>
    <n v="1"/>
    <n v="2000000"/>
    <n v="190"/>
    <n v="190"/>
    <n v="190"/>
    <n v="0"/>
    <s v="insertIfAbsent"/>
    <n v="999816125481"/>
    <n v="999491"/>
    <n v="999816125481"/>
    <n v="999491"/>
    <s v="success"/>
    <n v="6"/>
    <n v="54983"/>
    <n v="1076269"/>
    <n v="1131252"/>
    <n v="999491"/>
    <n v="20.5746"/>
    <n v="0.92866300000000002"/>
    <n v="1.8835299999999999"/>
    <n v="3.04603"/>
    <n v="21640912"/>
    <s v="7011 5461262 2657866 21783996"/>
    <s v="2323 5402558 2639220 21779966"/>
    <n v="24614577"/>
    <n v="20936"/>
    <n v="1780866237710"/>
    <n v="5686354852069"/>
    <n v="1741009015"/>
    <n v="0"/>
    <n v="1160570264"/>
    <n v="1741009015"/>
    <n v="2901579279"/>
    <n v="58033633"/>
    <n v="0"/>
    <n v="38685675"/>
    <n v="58033633"/>
    <n v="96719309"/>
    <n v="25.0123"/>
    <n v="11.9649"/>
    <n v="5464.88"/>
    <n v="4159.3100000000004"/>
    <n v="1752"/>
    <n v="294"/>
    <x v="6"/>
  </r>
  <r>
    <s v="istree_exp3_disable_multicounter/step10053.txt"/>
    <x v="1"/>
    <n v="72"/>
    <s v="reclaimer_debra"/>
    <s v="allocator_new"/>
    <s v="pool_none"/>
    <n v="30000"/>
    <n v="20"/>
    <n v="20"/>
    <n v="0"/>
    <n v="1"/>
    <n v="20000000"/>
    <n v="190"/>
    <n v="190"/>
    <n v="190"/>
    <n v="0"/>
    <s v="insertIfAbsent"/>
    <n v="100014116048572"/>
    <n v="10002303"/>
    <n v="100014116048572"/>
    <n v="10002303"/>
    <s v="success"/>
    <n v="7"/>
    <n v="1676646"/>
    <n v="11546400"/>
    <n v="13223046"/>
    <n v="10002303"/>
    <n v="7.8866100000000001"/>
    <n v="0.86626999999999998"/>
    <n v="1.7564299999999999"/>
    <n v="4.0101699999999996"/>
    <n v="318874128"/>
    <s v="931 734045 6186961 155255380 389605"/>
    <s v="232 733782 6181659 155248087 389596"/>
    <n v="2951393"/>
    <n v="22120"/>
    <n v="1161630881250"/>
    <n v="5686354668176"/>
    <n v="1740150430"/>
    <n v="0"/>
    <n v="1160081159"/>
    <n v="1740150430"/>
    <n v="2900231589"/>
    <n v="58005014"/>
    <n v="0"/>
    <n v="38669371"/>
    <n v="58005014"/>
    <n v="96674386"/>
    <n v="28.685600000000001"/>
    <n v="15.3109"/>
    <n v="5296.44"/>
    <n v="3610.05"/>
    <n v="2945"/>
    <n v="356"/>
    <x v="7"/>
  </r>
  <r>
    <s v="istree_exp3_disable_multicounter/step10054.txt"/>
    <x v="1"/>
    <n v="72"/>
    <s v="reclaimer_debra"/>
    <s v="allocator_new"/>
    <s v="pool_none"/>
    <n v="30000"/>
    <n v="20"/>
    <n v="20"/>
    <n v="0"/>
    <n v="1"/>
    <n v="200000000"/>
    <n v="190"/>
    <n v="190"/>
    <n v="190"/>
    <n v="0"/>
    <s v="insertIfAbsent"/>
    <n v="1.00003283328422E+16"/>
    <n v="100001424"/>
    <n v="1.00003283328422E+16"/>
    <n v="100001424"/>
    <s v="success"/>
    <n v="7"/>
    <n v="11011150"/>
    <n v="110002521"/>
    <n v="121013671"/>
    <n v="100001424"/>
    <n v="10.9901"/>
    <n v="0.90908299999999997"/>
    <n v="1.82636"/>
    <n v="4"/>
    <n v="2640932320"/>
    <s v="98 199990 6870930 77752033 13324936"/>
    <s v="20 199961 6870326 77751572 13324910"/>
    <n v="516497"/>
    <n v="12730"/>
    <n v="1146159633604"/>
    <n v="5704923043698"/>
    <n v="1500012601"/>
    <n v="0"/>
    <n v="1000042053"/>
    <n v="1500012601"/>
    <n v="2500054654"/>
    <n v="50000420"/>
    <n v="0"/>
    <n v="33334735"/>
    <n v="50000420"/>
    <n v="83335155"/>
    <n v="31.586300000000001"/>
    <n v="17.651499999999999"/>
    <n v="5717.26"/>
    <n v="4223.51"/>
    <n v="14413"/>
    <n v="1092"/>
    <x v="8"/>
  </r>
  <r>
    <m/>
    <x v="2"/>
    <m/>
    <m/>
    <m/>
    <m/>
    <m/>
    <m/>
    <m/>
    <m/>
    <m/>
    <m/>
    <m/>
    <m/>
    <m/>
    <m/>
    <m/>
    <m/>
    <m/>
    <m/>
    <m/>
    <m/>
    <m/>
    <m/>
    <m/>
    <m/>
    <m/>
    <m/>
    <m/>
    <m/>
    <m/>
    <m/>
    <m/>
    <m/>
    <m/>
    <m/>
    <m/>
    <m/>
    <m/>
    <m/>
    <m/>
    <m/>
    <m/>
    <m/>
    <m/>
    <m/>
    <m/>
    <m/>
    <m/>
    <m/>
    <m/>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8"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C14" firstHeaderRow="1" firstDataRow="2" firstDataCol="1"/>
  <pivotFields count="55">
    <pivotField showAll="0" defaultSubtotal="0"/>
    <pivotField axis="axisCol" showAll="0" defaultSubtotal="0">
      <items count="4">
        <item h="1" x="2"/>
        <item x="0"/>
        <item x="1"/>
        <item h="1" m="1"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47">
        <item x="9"/>
        <item m="1" x="33"/>
        <item x="8"/>
        <item x="7"/>
        <item x="6"/>
        <item m="1" x="46"/>
        <item m="1" x="36"/>
        <item m="1" x="16"/>
        <item m="1" x="24"/>
        <item m="1" x="45"/>
        <item m="1" x="35"/>
        <item m="1" x="28"/>
        <item m="1" x="23"/>
        <item m="1" x="15"/>
        <item x="5"/>
        <item x="4"/>
        <item x="3"/>
        <item m="1" x="42"/>
        <item m="1" x="31"/>
        <item m="1" x="13"/>
        <item m="1" x="19"/>
        <item m="1" x="41"/>
        <item m="1" x="30"/>
        <item m="1" x="26"/>
        <item m="1" x="18"/>
        <item m="1" x="11"/>
        <item x="2"/>
        <item x="1"/>
        <item x="0"/>
        <item m="1" x="40"/>
        <item m="1" x="14"/>
        <item m="1" x="34"/>
        <item m="1" x="43"/>
        <item m="1" x="21"/>
        <item m="1" x="38"/>
        <item m="1" x="20"/>
        <item m="1" x="44"/>
        <item m="1" x="32"/>
        <item m="1" x="37"/>
        <item m="1" x="27"/>
        <item m="1" x="22"/>
        <item m="1" x="25"/>
        <item m="1" x="17"/>
        <item m="1" x="10"/>
        <item m="1" x="29"/>
        <item m="1" x="12"/>
        <item m="1" x="39"/>
      </items>
    </pivotField>
  </pivotFields>
  <rowFields count="1">
    <field x="54"/>
  </rowFields>
  <rowItems count="9">
    <i>
      <x v="2"/>
    </i>
    <i>
      <x v="3"/>
    </i>
    <i>
      <x v="4"/>
    </i>
    <i>
      <x v="14"/>
    </i>
    <i>
      <x v="15"/>
    </i>
    <i>
      <x v="16"/>
    </i>
    <i>
      <x v="26"/>
    </i>
    <i>
      <x v="27"/>
    </i>
    <i>
      <x v="28"/>
    </i>
  </rowItems>
  <colFields count="1">
    <field x="1"/>
  </colFields>
  <colItems count="2">
    <i>
      <x v="1"/>
    </i>
    <i>
      <x v="2"/>
    </i>
  </colItems>
  <dataFields count="1">
    <dataField name="Average of total_throughput" fld="47" subtotal="average" baseField="13" baseItem="0" numFmtId="1"/>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7" growShrinkType="overwriteClear" connectionId="6"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6" growShrinkType="overwriteClear" connectionId="5"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7"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15" growShrinkType="overwriteClear" connectionId="4"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55"/>
  <sheetViews>
    <sheetView workbookViewId="0">
      <selection activeCell="BC1" sqref="BC1"/>
    </sheetView>
  </sheetViews>
  <sheetFormatPr defaultRowHeight="14.6"/>
  <cols>
    <col min="1" max="1" width="41.61328125" bestFit="1" customWidth="1"/>
    <col min="2" max="2" width="22.8437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9.8437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6.69140625" customWidth="1"/>
    <col min="34" max="34" width="42.3046875" customWidth="1"/>
    <col min="35" max="35" width="26.15234375" customWidth="1"/>
    <col min="36" max="36" width="35.765625" customWidth="1"/>
    <col min="37" max="37" width="29.61328125" customWidth="1"/>
    <col min="38" max="38" width="23.4609375" customWidth="1"/>
    <col min="39" max="39" width="11.84375" customWidth="1"/>
    <col min="40" max="40" width="7.4609375" customWidth="1"/>
    <col min="41" max="41" width="12.3046875" customWidth="1"/>
    <col min="42" max="43" width="11.84375"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49" width="12.15234375" customWidth="1"/>
    <col min="50"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5">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67</v>
      </c>
      <c r="S1" t="s">
        <v>68</v>
      </c>
      <c r="T1" t="s">
        <v>46</v>
      </c>
      <c r="U1" t="s">
        <v>69</v>
      </c>
      <c r="V1" t="s">
        <v>70</v>
      </c>
      <c r="W1" t="s">
        <v>37</v>
      </c>
      <c r="X1" t="s">
        <v>38</v>
      </c>
      <c r="Y1" t="s">
        <v>39</v>
      </c>
      <c r="Z1" t="s">
        <v>40</v>
      </c>
      <c r="AA1" t="s">
        <v>41</v>
      </c>
      <c r="AB1" t="s">
        <v>42</v>
      </c>
      <c r="AC1" t="s">
        <v>43</v>
      </c>
      <c r="AD1" t="s">
        <v>44</v>
      </c>
      <c r="AE1" t="s">
        <v>45</v>
      </c>
      <c r="AF1" t="s">
        <v>74</v>
      </c>
      <c r="AG1" t="s">
        <v>75</v>
      </c>
      <c r="AH1" t="s">
        <v>76</v>
      </c>
      <c r="AI1" t="s">
        <v>77</v>
      </c>
      <c r="AJ1" t="s">
        <v>78</v>
      </c>
      <c r="AK1" t="s">
        <v>79</v>
      </c>
      <c r="AL1" t="s">
        <v>80</v>
      </c>
      <c r="AM1" t="s">
        <v>47</v>
      </c>
      <c r="AN1" t="s">
        <v>48</v>
      </c>
      <c r="AO1" t="s">
        <v>49</v>
      </c>
      <c r="AP1" t="s">
        <v>50</v>
      </c>
      <c r="AQ1" t="s">
        <v>51</v>
      </c>
      <c r="AR1" t="s">
        <v>52</v>
      </c>
      <c r="AS1" t="s">
        <v>53</v>
      </c>
      <c r="AT1" t="s">
        <v>54</v>
      </c>
      <c r="AU1" t="s">
        <v>55</v>
      </c>
      <c r="AV1" t="s">
        <v>56</v>
      </c>
      <c r="AW1" t="s">
        <v>57</v>
      </c>
      <c r="AX1" t="s">
        <v>58</v>
      </c>
      <c r="AY1" t="s">
        <v>59</v>
      </c>
      <c r="AZ1" t="s">
        <v>81</v>
      </c>
      <c r="BA1" t="s">
        <v>72</v>
      </c>
      <c r="BB1" t="s">
        <v>73</v>
      </c>
      <c r="BC1" t="s">
        <v>65</v>
      </c>
    </row>
    <row r="2" spans="1:55">
      <c r="A2" t="s">
        <v>93</v>
      </c>
      <c r="B2" t="s">
        <v>82</v>
      </c>
      <c r="C2">
        <v>64</v>
      </c>
      <c r="D2" t="s">
        <v>64</v>
      </c>
      <c r="E2" t="s">
        <v>60</v>
      </c>
      <c r="F2" t="s">
        <v>61</v>
      </c>
      <c r="G2">
        <v>30000</v>
      </c>
      <c r="H2">
        <v>0.5</v>
      </c>
      <c r="I2">
        <v>0.5</v>
      </c>
      <c r="J2">
        <v>0</v>
      </c>
      <c r="K2">
        <v>1</v>
      </c>
      <c r="L2">
        <v>2000000</v>
      </c>
      <c r="M2">
        <v>190</v>
      </c>
      <c r="N2">
        <v>190</v>
      </c>
      <c r="O2">
        <v>190</v>
      </c>
      <c r="P2">
        <v>0</v>
      </c>
      <c r="Q2" t="s">
        <v>62</v>
      </c>
      <c r="R2">
        <v>999423455868</v>
      </c>
      <c r="S2">
        <v>999159</v>
      </c>
      <c r="T2">
        <v>999423455868</v>
      </c>
      <c r="U2">
        <v>999159</v>
      </c>
      <c r="V2" t="s">
        <v>71</v>
      </c>
      <c r="W2">
        <v>6</v>
      </c>
      <c r="X2">
        <v>84148</v>
      </c>
      <c r="Y2">
        <v>1138114</v>
      </c>
      <c r="Z2">
        <v>1222262</v>
      </c>
      <c r="AA2">
        <v>999159</v>
      </c>
      <c r="AB2">
        <v>14.5251</v>
      </c>
      <c r="AC2">
        <v>0.87790800000000002</v>
      </c>
      <c r="AD2">
        <v>1.8174699999999999</v>
      </c>
      <c r="AE2">
        <v>3.11205</v>
      </c>
      <c r="AF2">
        <v>24373664</v>
      </c>
      <c r="AG2" t="s">
        <v>94</v>
      </c>
      <c r="AH2" t="s">
        <v>95</v>
      </c>
      <c r="AI2">
        <v>67822</v>
      </c>
      <c r="AJ2">
        <v>30888</v>
      </c>
      <c r="AK2">
        <v>34252232772</v>
      </c>
      <c r="AL2">
        <v>5686392595648</v>
      </c>
      <c r="AM2">
        <v>4834205910</v>
      </c>
      <c r="AN2">
        <v>0</v>
      </c>
      <c r="AO2">
        <v>48824498</v>
      </c>
      <c r="AP2">
        <v>4834205910</v>
      </c>
      <c r="AQ2">
        <v>4883030408</v>
      </c>
      <c r="AR2">
        <v>161140197</v>
      </c>
      <c r="AS2">
        <v>0</v>
      </c>
      <c r="AT2">
        <v>1627483</v>
      </c>
      <c r="AU2">
        <v>161140197</v>
      </c>
      <c r="AV2">
        <v>162767680</v>
      </c>
      <c r="AW2">
        <v>11.159800000000001</v>
      </c>
      <c r="AX2">
        <v>0.61218600000000001</v>
      </c>
      <c r="AY2">
        <v>3252.67</v>
      </c>
      <c r="AZ2">
        <v>2507.69</v>
      </c>
      <c r="BA2">
        <v>1279</v>
      </c>
      <c r="BB2">
        <v>377</v>
      </c>
      <c r="BC2" t="str">
        <f>"u="&amp;(H2+I2)&amp;"% k=2x10^"&amp;LOG10(L2/2)</f>
        <v>u=1% k=2x10^6</v>
      </c>
    </row>
    <row r="3" spans="1:55">
      <c r="A3" t="s">
        <v>96</v>
      </c>
      <c r="B3" t="s">
        <v>82</v>
      </c>
      <c r="C3">
        <v>64</v>
      </c>
      <c r="D3" t="s">
        <v>64</v>
      </c>
      <c r="E3" t="s">
        <v>60</v>
      </c>
      <c r="F3" t="s">
        <v>61</v>
      </c>
      <c r="G3">
        <v>30000</v>
      </c>
      <c r="H3">
        <v>0.5</v>
      </c>
      <c r="I3">
        <v>0.5</v>
      </c>
      <c r="J3">
        <v>0</v>
      </c>
      <c r="K3">
        <v>1</v>
      </c>
      <c r="L3">
        <v>20000000</v>
      </c>
      <c r="M3">
        <v>190</v>
      </c>
      <c r="N3">
        <v>190</v>
      </c>
      <c r="O3">
        <v>190</v>
      </c>
      <c r="P3">
        <v>0</v>
      </c>
      <c r="Q3" t="s">
        <v>62</v>
      </c>
      <c r="R3">
        <v>100021708617929</v>
      </c>
      <c r="S3">
        <v>10001766</v>
      </c>
      <c r="T3">
        <v>100021708617929</v>
      </c>
      <c r="U3">
        <v>10001766</v>
      </c>
      <c r="V3" t="s">
        <v>71</v>
      </c>
      <c r="W3">
        <v>7</v>
      </c>
      <c r="X3">
        <v>1893013</v>
      </c>
      <c r="Y3">
        <v>12001275</v>
      </c>
      <c r="Z3">
        <v>13894288</v>
      </c>
      <c r="AA3">
        <v>10001766</v>
      </c>
      <c r="AB3">
        <v>7.3397699999999997</v>
      </c>
      <c r="AC3">
        <v>0.83339200000000002</v>
      </c>
      <c r="AD3">
        <v>1.7198500000000001</v>
      </c>
      <c r="AE3">
        <v>4.0535399999999999</v>
      </c>
      <c r="AF3">
        <v>328338424</v>
      </c>
      <c r="AG3" t="s">
        <v>97</v>
      </c>
      <c r="AH3" t="s">
        <v>98</v>
      </c>
      <c r="AI3">
        <v>14473</v>
      </c>
      <c r="AJ3">
        <v>24912</v>
      </c>
      <c r="AK3">
        <v>62655570256</v>
      </c>
      <c r="AL3">
        <v>5686392808194</v>
      </c>
      <c r="AM3">
        <v>4184848030</v>
      </c>
      <c r="AN3">
        <v>0</v>
      </c>
      <c r="AO3">
        <v>42262074</v>
      </c>
      <c r="AP3">
        <v>4184848030</v>
      </c>
      <c r="AQ3">
        <v>4227110104</v>
      </c>
      <c r="AR3">
        <v>139494934</v>
      </c>
      <c r="AS3">
        <v>0</v>
      </c>
      <c r="AT3">
        <v>1408735</v>
      </c>
      <c r="AU3">
        <v>139494934</v>
      </c>
      <c r="AV3">
        <v>140903670</v>
      </c>
      <c r="AW3">
        <v>16.911799999999999</v>
      </c>
      <c r="AX3">
        <v>6.6779700000000002</v>
      </c>
      <c r="AY3">
        <v>3728.42</v>
      </c>
      <c r="AZ3">
        <v>2955.14</v>
      </c>
      <c r="BA3">
        <v>2476</v>
      </c>
      <c r="BB3">
        <v>380</v>
      </c>
      <c r="BC3" t="str">
        <f t="shared" ref="BC3:BC55" si="0">"u="&amp;(H3+I3)&amp;"% k=2x10^"&amp;LOG10(L3/2)</f>
        <v>u=1% k=2x10^7</v>
      </c>
    </row>
    <row r="4" spans="1:55">
      <c r="A4" t="s">
        <v>99</v>
      </c>
      <c r="B4" t="s">
        <v>82</v>
      </c>
      <c r="C4">
        <v>64</v>
      </c>
      <c r="D4" t="s">
        <v>64</v>
      </c>
      <c r="E4" t="s">
        <v>60</v>
      </c>
      <c r="F4" t="s">
        <v>61</v>
      </c>
      <c r="G4">
        <v>30000</v>
      </c>
      <c r="H4">
        <v>0.5</v>
      </c>
      <c r="I4">
        <v>0.5</v>
      </c>
      <c r="J4">
        <v>0</v>
      </c>
      <c r="K4">
        <v>1</v>
      </c>
      <c r="L4">
        <v>200000000</v>
      </c>
      <c r="M4">
        <v>190</v>
      </c>
      <c r="N4">
        <v>190</v>
      </c>
      <c r="O4">
        <v>190</v>
      </c>
      <c r="P4">
        <v>0</v>
      </c>
      <c r="Q4" t="s">
        <v>62</v>
      </c>
      <c r="R4">
        <v>1.00005000419346E+16</v>
      </c>
      <c r="S4">
        <v>100002820</v>
      </c>
      <c r="T4">
        <v>1.00005000419346E+16</v>
      </c>
      <c r="U4">
        <v>100002820</v>
      </c>
      <c r="V4" t="s">
        <v>71</v>
      </c>
      <c r="W4">
        <v>7</v>
      </c>
      <c r="X4">
        <v>14750465</v>
      </c>
      <c r="Y4">
        <v>117844811</v>
      </c>
      <c r="Z4">
        <v>132595276</v>
      </c>
      <c r="AA4">
        <v>100002820</v>
      </c>
      <c r="AB4">
        <v>8.9892299999999992</v>
      </c>
      <c r="AC4">
        <v>0.84859799999999996</v>
      </c>
      <c r="AD4">
        <v>1.7542</v>
      </c>
      <c r="AE4">
        <v>4.0766799999999996</v>
      </c>
      <c r="AF4">
        <v>2951749704</v>
      </c>
      <c r="AG4" t="s">
        <v>100</v>
      </c>
      <c r="AH4" t="s">
        <v>100</v>
      </c>
      <c r="AI4">
        <v>5</v>
      </c>
      <c r="AJ4">
        <v>23616</v>
      </c>
      <c r="AK4">
        <v>11688007297</v>
      </c>
      <c r="AL4">
        <v>5686391113086</v>
      </c>
      <c r="AM4">
        <v>3921844687</v>
      </c>
      <c r="AN4">
        <v>0</v>
      </c>
      <c r="AO4">
        <v>39619332</v>
      </c>
      <c r="AP4">
        <v>3921844687</v>
      </c>
      <c r="AQ4">
        <v>3961464019</v>
      </c>
      <c r="AR4">
        <v>130728156</v>
      </c>
      <c r="AS4">
        <v>0</v>
      </c>
      <c r="AT4">
        <v>1320644</v>
      </c>
      <c r="AU4">
        <v>130728156</v>
      </c>
      <c r="AV4">
        <v>132048800</v>
      </c>
      <c r="AW4">
        <v>19.6403</v>
      </c>
      <c r="AX4">
        <v>9.5084900000000001</v>
      </c>
      <c r="AY4">
        <v>4006.01</v>
      </c>
      <c r="AZ4">
        <v>3252.1</v>
      </c>
      <c r="BA4">
        <v>8007</v>
      </c>
      <c r="BB4">
        <v>1027</v>
      </c>
      <c r="BC4" t="str">
        <f t="shared" si="0"/>
        <v>u=1% k=2x10^8</v>
      </c>
    </row>
    <row r="5" spans="1:55">
      <c r="A5" t="s">
        <v>101</v>
      </c>
      <c r="B5" t="s">
        <v>82</v>
      </c>
      <c r="C5">
        <v>64</v>
      </c>
      <c r="D5" t="s">
        <v>64</v>
      </c>
      <c r="E5" t="s">
        <v>60</v>
      </c>
      <c r="F5" t="s">
        <v>61</v>
      </c>
      <c r="G5">
        <v>30000</v>
      </c>
      <c r="H5">
        <v>5</v>
      </c>
      <c r="I5">
        <v>5</v>
      </c>
      <c r="J5">
        <v>0</v>
      </c>
      <c r="K5">
        <v>1</v>
      </c>
      <c r="L5">
        <v>2000000</v>
      </c>
      <c r="M5">
        <v>190</v>
      </c>
      <c r="N5">
        <v>190</v>
      </c>
      <c r="O5">
        <v>190</v>
      </c>
      <c r="P5">
        <v>0</v>
      </c>
      <c r="Q5" t="s">
        <v>62</v>
      </c>
      <c r="R5">
        <v>1001043225151</v>
      </c>
      <c r="S5">
        <v>1001028</v>
      </c>
      <c r="T5">
        <v>1001043225151</v>
      </c>
      <c r="U5">
        <v>1001028</v>
      </c>
      <c r="V5" t="s">
        <v>71</v>
      </c>
      <c r="W5">
        <v>6</v>
      </c>
      <c r="X5">
        <v>83763</v>
      </c>
      <c r="Y5">
        <v>1139521</v>
      </c>
      <c r="Z5">
        <v>1223284</v>
      </c>
      <c r="AA5">
        <v>1001028</v>
      </c>
      <c r="AB5">
        <v>14.604100000000001</v>
      </c>
      <c r="AC5">
        <v>0.87846400000000002</v>
      </c>
      <c r="AD5">
        <v>1.8183100000000001</v>
      </c>
      <c r="AE5">
        <v>3.11117</v>
      </c>
      <c r="AF5">
        <v>24371272</v>
      </c>
      <c r="AG5" t="s">
        <v>102</v>
      </c>
      <c r="AH5" t="s">
        <v>103</v>
      </c>
      <c r="AI5">
        <v>206899</v>
      </c>
      <c r="AJ5">
        <v>7666</v>
      </c>
      <c r="AK5">
        <v>96296208496</v>
      </c>
      <c r="AL5">
        <v>5686393374679</v>
      </c>
      <c r="AM5">
        <v>998315951</v>
      </c>
      <c r="AN5">
        <v>0</v>
      </c>
      <c r="AO5">
        <v>110918301</v>
      </c>
      <c r="AP5">
        <v>998315951</v>
      </c>
      <c r="AQ5">
        <v>1109234252</v>
      </c>
      <c r="AR5">
        <v>33277198</v>
      </c>
      <c r="AS5">
        <v>0</v>
      </c>
      <c r="AT5">
        <v>3697276</v>
      </c>
      <c r="AU5">
        <v>33277198</v>
      </c>
      <c r="AV5">
        <v>36974475</v>
      </c>
      <c r="AW5">
        <v>17.6144</v>
      </c>
      <c r="AX5">
        <v>4.06271</v>
      </c>
      <c r="AY5">
        <v>14315.7</v>
      </c>
      <c r="AZ5">
        <v>13353.9</v>
      </c>
      <c r="BA5">
        <v>1303</v>
      </c>
      <c r="BB5">
        <v>327</v>
      </c>
      <c r="BC5" t="str">
        <f t="shared" si="0"/>
        <v>u=10% k=2x10^6</v>
      </c>
    </row>
    <row r="6" spans="1:55">
      <c r="A6" t="s">
        <v>104</v>
      </c>
      <c r="B6" t="s">
        <v>82</v>
      </c>
      <c r="C6">
        <v>64</v>
      </c>
      <c r="D6" t="s">
        <v>64</v>
      </c>
      <c r="E6" t="s">
        <v>60</v>
      </c>
      <c r="F6" t="s">
        <v>61</v>
      </c>
      <c r="G6">
        <v>30000</v>
      </c>
      <c r="H6">
        <v>5</v>
      </c>
      <c r="I6">
        <v>5</v>
      </c>
      <c r="J6">
        <v>0</v>
      </c>
      <c r="K6">
        <v>1</v>
      </c>
      <c r="L6">
        <v>20000000</v>
      </c>
      <c r="M6">
        <v>190</v>
      </c>
      <c r="N6">
        <v>190</v>
      </c>
      <c r="O6">
        <v>190</v>
      </c>
      <c r="P6">
        <v>0</v>
      </c>
      <c r="Q6" t="s">
        <v>62</v>
      </c>
      <c r="R6">
        <v>100027429777145</v>
      </c>
      <c r="S6">
        <v>10002033</v>
      </c>
      <c r="T6">
        <v>100027429777145</v>
      </c>
      <c r="U6">
        <v>10002033</v>
      </c>
      <c r="V6" t="s">
        <v>71</v>
      </c>
      <c r="W6">
        <v>7</v>
      </c>
      <c r="X6">
        <v>1902447</v>
      </c>
      <c r="Y6">
        <v>12033422</v>
      </c>
      <c r="Z6">
        <v>13935869</v>
      </c>
      <c r="AA6">
        <v>10002033</v>
      </c>
      <c r="AB6">
        <v>7.3252300000000004</v>
      </c>
      <c r="AC6">
        <v>0.83118800000000004</v>
      </c>
      <c r="AD6">
        <v>1.7177199999999999</v>
      </c>
      <c r="AE6">
        <v>4.0548099999999998</v>
      </c>
      <c r="AF6">
        <v>329555384</v>
      </c>
      <c r="AG6" t="s">
        <v>105</v>
      </c>
      <c r="AH6" t="s">
        <v>106</v>
      </c>
      <c r="AI6">
        <v>57600</v>
      </c>
      <c r="AJ6">
        <v>7840</v>
      </c>
      <c r="AK6">
        <v>151135634560</v>
      </c>
      <c r="AL6">
        <v>5686393576671</v>
      </c>
      <c r="AM6">
        <v>1020550049</v>
      </c>
      <c r="AN6">
        <v>0</v>
      </c>
      <c r="AO6">
        <v>113393316</v>
      </c>
      <c r="AP6">
        <v>1020550049</v>
      </c>
      <c r="AQ6">
        <v>1133943365</v>
      </c>
      <c r="AR6">
        <v>34018334</v>
      </c>
      <c r="AS6">
        <v>0</v>
      </c>
      <c r="AT6">
        <v>3779777</v>
      </c>
      <c r="AU6">
        <v>34018334</v>
      </c>
      <c r="AV6">
        <v>37798112</v>
      </c>
      <c r="AW6">
        <v>22.284400000000002</v>
      </c>
      <c r="AX6">
        <v>9.3474299999999992</v>
      </c>
      <c r="AY6">
        <v>13856.8</v>
      </c>
      <c r="AZ6">
        <v>12845.8</v>
      </c>
      <c r="BA6">
        <v>2553</v>
      </c>
      <c r="BB6">
        <v>358</v>
      </c>
      <c r="BC6" t="str">
        <f t="shared" si="0"/>
        <v>u=10% k=2x10^7</v>
      </c>
    </row>
    <row r="7" spans="1:55">
      <c r="A7" t="s">
        <v>107</v>
      </c>
      <c r="B7" t="s">
        <v>82</v>
      </c>
      <c r="C7">
        <v>64</v>
      </c>
      <c r="D7" t="s">
        <v>64</v>
      </c>
      <c r="E7" t="s">
        <v>60</v>
      </c>
      <c r="F7" t="s">
        <v>61</v>
      </c>
      <c r="G7">
        <v>30000</v>
      </c>
      <c r="H7">
        <v>5</v>
      </c>
      <c r="I7">
        <v>5</v>
      </c>
      <c r="J7">
        <v>0</v>
      </c>
      <c r="K7">
        <v>1</v>
      </c>
      <c r="L7">
        <v>200000000</v>
      </c>
      <c r="M7">
        <v>190</v>
      </c>
      <c r="N7">
        <v>190</v>
      </c>
      <c r="O7">
        <v>190</v>
      </c>
      <c r="P7">
        <v>0</v>
      </c>
      <c r="Q7" t="s">
        <v>62</v>
      </c>
      <c r="R7">
        <v>9999522200870970</v>
      </c>
      <c r="S7">
        <v>100000090</v>
      </c>
      <c r="T7">
        <v>9999522200870970</v>
      </c>
      <c r="U7">
        <v>100000090</v>
      </c>
      <c r="V7" t="s">
        <v>71</v>
      </c>
      <c r="W7">
        <v>7</v>
      </c>
      <c r="X7">
        <v>14018455</v>
      </c>
      <c r="Y7">
        <v>116177443</v>
      </c>
      <c r="Z7">
        <v>130195898</v>
      </c>
      <c r="AA7">
        <v>100000090</v>
      </c>
      <c r="AB7">
        <v>9.2874599999999994</v>
      </c>
      <c r="AC7">
        <v>0.86075299999999999</v>
      </c>
      <c r="AD7">
        <v>1.76807</v>
      </c>
      <c r="AE7">
        <v>4.0622400000000001</v>
      </c>
      <c r="AF7">
        <v>2870446568</v>
      </c>
      <c r="AG7" t="s">
        <v>108</v>
      </c>
      <c r="AH7" t="s">
        <v>109</v>
      </c>
      <c r="AI7">
        <v>9321</v>
      </c>
      <c r="AJ7">
        <v>7110</v>
      </c>
      <c r="AK7">
        <v>196086979067</v>
      </c>
      <c r="AL7">
        <v>5686624700631</v>
      </c>
      <c r="AM7">
        <v>1045991643</v>
      </c>
      <c r="AN7">
        <v>0</v>
      </c>
      <c r="AO7">
        <v>116212366</v>
      </c>
      <c r="AP7">
        <v>1045991643</v>
      </c>
      <c r="AQ7">
        <v>1162204009</v>
      </c>
      <c r="AR7">
        <v>34866388</v>
      </c>
      <c r="AS7">
        <v>0</v>
      </c>
      <c r="AT7">
        <v>3873745</v>
      </c>
      <c r="AU7">
        <v>34866388</v>
      </c>
      <c r="AV7">
        <v>38740133</v>
      </c>
      <c r="AW7">
        <v>22.2867</v>
      </c>
      <c r="AX7">
        <v>10.826700000000001</v>
      </c>
      <c r="AY7">
        <v>13296.8</v>
      </c>
      <c r="AZ7">
        <v>12390.4</v>
      </c>
      <c r="BA7">
        <v>12732</v>
      </c>
      <c r="BB7">
        <v>1077</v>
      </c>
      <c r="BC7" t="str">
        <f t="shared" si="0"/>
        <v>u=10% k=2x10^8</v>
      </c>
    </row>
    <row r="8" spans="1:55">
      <c r="A8" t="s">
        <v>110</v>
      </c>
      <c r="B8" t="s">
        <v>82</v>
      </c>
      <c r="C8">
        <v>64</v>
      </c>
      <c r="D8" t="s">
        <v>64</v>
      </c>
      <c r="E8" t="s">
        <v>60</v>
      </c>
      <c r="F8" t="s">
        <v>61</v>
      </c>
      <c r="G8">
        <v>30000</v>
      </c>
      <c r="H8">
        <v>20</v>
      </c>
      <c r="I8">
        <v>20</v>
      </c>
      <c r="J8">
        <v>0</v>
      </c>
      <c r="K8">
        <v>1</v>
      </c>
      <c r="L8">
        <v>2000000</v>
      </c>
      <c r="M8">
        <v>190</v>
      </c>
      <c r="N8">
        <v>190</v>
      </c>
      <c r="O8">
        <v>190</v>
      </c>
      <c r="P8">
        <v>0</v>
      </c>
      <c r="Q8" t="s">
        <v>62</v>
      </c>
      <c r="R8">
        <v>998684503478</v>
      </c>
      <c r="S8">
        <v>998604</v>
      </c>
      <c r="T8">
        <v>998684503478</v>
      </c>
      <c r="U8">
        <v>998604</v>
      </c>
      <c r="V8" t="s">
        <v>71</v>
      </c>
      <c r="W8">
        <v>6</v>
      </c>
      <c r="X8">
        <v>33050</v>
      </c>
      <c r="Y8">
        <v>1030688</v>
      </c>
      <c r="Z8">
        <v>1063738</v>
      </c>
      <c r="AA8">
        <v>998604</v>
      </c>
      <c r="AB8">
        <v>32.185699999999997</v>
      </c>
      <c r="AC8">
        <v>0.96887100000000004</v>
      </c>
      <c r="AD8">
        <v>1.9387700000000001</v>
      </c>
      <c r="AE8">
        <v>3.0001000000000002</v>
      </c>
      <c r="AF8">
        <v>18870592</v>
      </c>
      <c r="AG8" t="s">
        <v>111</v>
      </c>
      <c r="AH8" t="s">
        <v>112</v>
      </c>
      <c r="AI8">
        <v>515988</v>
      </c>
      <c r="AJ8">
        <v>3212</v>
      </c>
      <c r="AK8">
        <v>203542367303</v>
      </c>
      <c r="AL8">
        <v>5686985494434</v>
      </c>
      <c r="AM8">
        <v>271561439</v>
      </c>
      <c r="AN8">
        <v>0</v>
      </c>
      <c r="AO8">
        <v>181030286</v>
      </c>
      <c r="AP8">
        <v>271561439</v>
      </c>
      <c r="AQ8">
        <v>452591725</v>
      </c>
      <c r="AR8">
        <v>9052047</v>
      </c>
      <c r="AS8">
        <v>0</v>
      </c>
      <c r="AT8">
        <v>6034342</v>
      </c>
      <c r="AU8">
        <v>9052047</v>
      </c>
      <c r="AV8">
        <v>15086390</v>
      </c>
      <c r="AW8">
        <v>26.322700000000001</v>
      </c>
      <c r="AX8">
        <v>10.807</v>
      </c>
      <c r="AY8">
        <v>35066.199999999997</v>
      </c>
      <c r="AZ8">
        <v>33180.400000000001</v>
      </c>
      <c r="BA8">
        <v>1324</v>
      </c>
      <c r="BB8">
        <v>328</v>
      </c>
      <c r="BC8" t="str">
        <f t="shared" si="0"/>
        <v>u=40% k=2x10^6</v>
      </c>
    </row>
    <row r="9" spans="1:55">
      <c r="A9" t="s">
        <v>113</v>
      </c>
      <c r="B9" t="s">
        <v>82</v>
      </c>
      <c r="C9">
        <v>64</v>
      </c>
      <c r="D9" t="s">
        <v>64</v>
      </c>
      <c r="E9" t="s">
        <v>60</v>
      </c>
      <c r="F9" t="s">
        <v>61</v>
      </c>
      <c r="G9">
        <v>30000</v>
      </c>
      <c r="H9">
        <v>20</v>
      </c>
      <c r="I9">
        <v>20</v>
      </c>
      <c r="J9">
        <v>0</v>
      </c>
      <c r="K9">
        <v>1</v>
      </c>
      <c r="L9">
        <v>20000000</v>
      </c>
      <c r="M9">
        <v>190</v>
      </c>
      <c r="N9">
        <v>190</v>
      </c>
      <c r="O9">
        <v>190</v>
      </c>
      <c r="P9">
        <v>0</v>
      </c>
      <c r="Q9" t="s">
        <v>62</v>
      </c>
      <c r="R9">
        <v>100046257681322</v>
      </c>
      <c r="S9">
        <v>10004318</v>
      </c>
      <c r="T9">
        <v>100046257681322</v>
      </c>
      <c r="U9">
        <v>10004318</v>
      </c>
      <c r="V9" t="s">
        <v>71</v>
      </c>
      <c r="W9">
        <v>7</v>
      </c>
      <c r="X9">
        <v>1904772</v>
      </c>
      <c r="Y9">
        <v>12039507</v>
      </c>
      <c r="Z9">
        <v>13944279</v>
      </c>
      <c r="AA9">
        <v>10004318</v>
      </c>
      <c r="AB9">
        <v>7.3207100000000001</v>
      </c>
      <c r="AC9">
        <v>0.83095699999999995</v>
      </c>
      <c r="AD9">
        <v>1.7174499999999999</v>
      </c>
      <c r="AE9">
        <v>4.0552700000000002</v>
      </c>
      <c r="AF9">
        <v>329819648</v>
      </c>
      <c r="AG9" t="s">
        <v>114</v>
      </c>
      <c r="AH9" t="s">
        <v>115</v>
      </c>
      <c r="AI9">
        <v>137522</v>
      </c>
      <c r="AJ9">
        <v>3646</v>
      </c>
      <c r="AK9">
        <v>302940056302</v>
      </c>
      <c r="AL9">
        <v>5686592118182</v>
      </c>
      <c r="AM9">
        <v>282459032</v>
      </c>
      <c r="AN9">
        <v>0</v>
      </c>
      <c r="AO9">
        <v>188304224</v>
      </c>
      <c r="AP9">
        <v>282459032</v>
      </c>
      <c r="AQ9">
        <v>470763256</v>
      </c>
      <c r="AR9">
        <v>9415301</v>
      </c>
      <c r="AS9">
        <v>0</v>
      </c>
      <c r="AT9">
        <v>6276807</v>
      </c>
      <c r="AU9">
        <v>9415301</v>
      </c>
      <c r="AV9">
        <v>15692108</v>
      </c>
      <c r="AW9">
        <v>32.412199999999999</v>
      </c>
      <c r="AX9">
        <v>16.649999999999999</v>
      </c>
      <c r="AY9">
        <v>33139.1</v>
      </c>
      <c r="AZ9">
        <v>30744.6</v>
      </c>
      <c r="BA9">
        <v>2660</v>
      </c>
      <c r="BB9">
        <v>319</v>
      </c>
      <c r="BC9" t="str">
        <f t="shared" si="0"/>
        <v>u=40% k=2x10^7</v>
      </c>
    </row>
    <row r="10" spans="1:55">
      <c r="A10" t="s">
        <v>116</v>
      </c>
      <c r="B10" t="s">
        <v>82</v>
      </c>
      <c r="C10">
        <v>64</v>
      </c>
      <c r="D10" t="s">
        <v>64</v>
      </c>
      <c r="E10" t="s">
        <v>60</v>
      </c>
      <c r="F10" t="s">
        <v>61</v>
      </c>
      <c r="G10">
        <v>30000</v>
      </c>
      <c r="H10">
        <v>20</v>
      </c>
      <c r="I10">
        <v>20</v>
      </c>
      <c r="J10">
        <v>0</v>
      </c>
      <c r="K10">
        <v>1</v>
      </c>
      <c r="L10">
        <v>200000000</v>
      </c>
      <c r="M10">
        <v>190</v>
      </c>
      <c r="N10">
        <v>190</v>
      </c>
      <c r="O10">
        <v>190</v>
      </c>
      <c r="P10">
        <v>0</v>
      </c>
      <c r="Q10" t="s">
        <v>62</v>
      </c>
      <c r="R10">
        <v>9999761359718360</v>
      </c>
      <c r="S10">
        <v>100004034</v>
      </c>
      <c r="T10">
        <v>9999761359718360</v>
      </c>
      <c r="U10">
        <v>100004034</v>
      </c>
      <c r="V10" t="s">
        <v>71</v>
      </c>
      <c r="W10">
        <v>7</v>
      </c>
      <c r="X10">
        <v>14770332</v>
      </c>
      <c r="Y10">
        <v>117892151</v>
      </c>
      <c r="Z10">
        <v>132662483</v>
      </c>
      <c r="AA10">
        <v>100004034</v>
      </c>
      <c r="AB10">
        <v>8.9816900000000004</v>
      </c>
      <c r="AC10">
        <v>0.84826699999999999</v>
      </c>
      <c r="AD10">
        <v>1.7538199999999999</v>
      </c>
      <c r="AE10">
        <v>4.0771800000000002</v>
      </c>
      <c r="AF10">
        <v>2953941840</v>
      </c>
      <c r="AG10" t="s">
        <v>117</v>
      </c>
      <c r="AH10" t="s">
        <v>118</v>
      </c>
      <c r="AI10">
        <v>22898</v>
      </c>
      <c r="AJ10">
        <v>3150</v>
      </c>
      <c r="AK10">
        <v>335267906905</v>
      </c>
      <c r="AL10">
        <v>5686394248179</v>
      </c>
      <c r="AM10">
        <v>283850396</v>
      </c>
      <c r="AN10">
        <v>0</v>
      </c>
      <c r="AO10">
        <v>189255785</v>
      </c>
      <c r="AP10">
        <v>283850396</v>
      </c>
      <c r="AQ10">
        <v>473106181</v>
      </c>
      <c r="AR10">
        <v>9461679</v>
      </c>
      <c r="AS10">
        <v>0</v>
      </c>
      <c r="AT10">
        <v>6308526</v>
      </c>
      <c r="AU10">
        <v>9461679</v>
      </c>
      <c r="AV10">
        <v>15770206</v>
      </c>
      <c r="AW10">
        <v>31.035900000000002</v>
      </c>
      <c r="AX10">
        <v>16.246099999999998</v>
      </c>
      <c r="AY10">
        <v>31812.3</v>
      </c>
      <c r="AZ10">
        <v>30062.7</v>
      </c>
      <c r="BA10">
        <v>12804</v>
      </c>
      <c r="BB10">
        <v>1033</v>
      </c>
      <c r="BC10" t="str">
        <f t="shared" si="0"/>
        <v>u=40% k=2x10^8</v>
      </c>
    </row>
    <row r="11" spans="1:55">
      <c r="A11" t="s">
        <v>119</v>
      </c>
      <c r="B11" t="s">
        <v>82</v>
      </c>
      <c r="C11">
        <v>64</v>
      </c>
      <c r="D11" t="s">
        <v>64</v>
      </c>
      <c r="E11" t="s">
        <v>60</v>
      </c>
      <c r="F11" t="s">
        <v>61</v>
      </c>
      <c r="G11">
        <v>30000</v>
      </c>
      <c r="H11">
        <v>0.5</v>
      </c>
      <c r="I11">
        <v>0.5</v>
      </c>
      <c r="J11">
        <v>0</v>
      </c>
      <c r="K11">
        <v>1</v>
      </c>
      <c r="L11">
        <v>2000000</v>
      </c>
      <c r="M11">
        <v>190</v>
      </c>
      <c r="N11">
        <v>190</v>
      </c>
      <c r="O11">
        <v>190</v>
      </c>
      <c r="P11">
        <v>0</v>
      </c>
      <c r="Q11" t="s">
        <v>62</v>
      </c>
      <c r="R11">
        <v>998762963496</v>
      </c>
      <c r="S11">
        <v>999144</v>
      </c>
      <c r="T11">
        <v>998762963496</v>
      </c>
      <c r="U11">
        <v>999144</v>
      </c>
      <c r="V11" t="s">
        <v>71</v>
      </c>
      <c r="W11">
        <v>6</v>
      </c>
      <c r="X11">
        <v>74928</v>
      </c>
      <c r="Y11">
        <v>1117081</v>
      </c>
      <c r="Z11">
        <v>1192009</v>
      </c>
      <c r="AA11">
        <v>999144</v>
      </c>
      <c r="AB11">
        <v>15.9087</v>
      </c>
      <c r="AC11">
        <v>0.894424</v>
      </c>
      <c r="AD11">
        <v>1.8382000000000001</v>
      </c>
      <c r="AE11">
        <v>3.08975</v>
      </c>
      <c r="AF11">
        <v>23330912</v>
      </c>
      <c r="AG11" t="s">
        <v>120</v>
      </c>
      <c r="AH11" t="s">
        <v>121</v>
      </c>
      <c r="AI11">
        <v>76744</v>
      </c>
      <c r="AJ11">
        <v>30796</v>
      </c>
      <c r="AK11">
        <v>34745326351</v>
      </c>
      <c r="AL11">
        <v>5686393447090</v>
      </c>
      <c r="AM11">
        <v>4823175037</v>
      </c>
      <c r="AN11">
        <v>0</v>
      </c>
      <c r="AO11">
        <v>48712316</v>
      </c>
      <c r="AP11">
        <v>4823175037</v>
      </c>
      <c r="AQ11">
        <v>4871887353</v>
      </c>
      <c r="AR11">
        <v>160772501</v>
      </c>
      <c r="AS11">
        <v>0</v>
      </c>
      <c r="AT11">
        <v>1623743</v>
      </c>
      <c r="AU11">
        <v>160772501</v>
      </c>
      <c r="AV11">
        <v>162396245</v>
      </c>
      <c r="AW11">
        <v>11.2227</v>
      </c>
      <c r="AX11">
        <v>0.61461399999999999</v>
      </c>
      <c r="AY11">
        <v>3260.18</v>
      </c>
      <c r="AZ11">
        <v>2514.61</v>
      </c>
      <c r="BA11">
        <v>1278</v>
      </c>
      <c r="BB11">
        <v>312</v>
      </c>
      <c r="BC11" t="str">
        <f t="shared" si="0"/>
        <v>u=1% k=2x10^6</v>
      </c>
    </row>
    <row r="12" spans="1:55">
      <c r="A12" t="s">
        <v>122</v>
      </c>
      <c r="B12" t="s">
        <v>82</v>
      </c>
      <c r="C12">
        <v>64</v>
      </c>
      <c r="D12" t="s">
        <v>64</v>
      </c>
      <c r="E12" t="s">
        <v>60</v>
      </c>
      <c r="F12" t="s">
        <v>61</v>
      </c>
      <c r="G12">
        <v>30000</v>
      </c>
      <c r="H12">
        <v>0.5</v>
      </c>
      <c r="I12">
        <v>0.5</v>
      </c>
      <c r="J12">
        <v>0</v>
      </c>
      <c r="K12">
        <v>1</v>
      </c>
      <c r="L12">
        <v>20000000</v>
      </c>
      <c r="M12">
        <v>190</v>
      </c>
      <c r="N12">
        <v>190</v>
      </c>
      <c r="O12">
        <v>190</v>
      </c>
      <c r="P12">
        <v>0</v>
      </c>
      <c r="Q12" t="s">
        <v>62</v>
      </c>
      <c r="R12">
        <v>99958604251909</v>
      </c>
      <c r="S12">
        <v>9994676</v>
      </c>
      <c r="T12">
        <v>99958604251909</v>
      </c>
      <c r="U12">
        <v>9994676</v>
      </c>
      <c r="V12" t="s">
        <v>71</v>
      </c>
      <c r="W12">
        <v>7</v>
      </c>
      <c r="X12">
        <v>1883077</v>
      </c>
      <c r="Y12">
        <v>11973721</v>
      </c>
      <c r="Z12">
        <v>13856798</v>
      </c>
      <c r="AA12">
        <v>9994676</v>
      </c>
      <c r="AB12">
        <v>7.3585900000000004</v>
      </c>
      <c r="AC12">
        <v>0.83471799999999996</v>
      </c>
      <c r="AD12">
        <v>1.7212799999999999</v>
      </c>
      <c r="AE12">
        <v>4.0516899999999998</v>
      </c>
      <c r="AF12">
        <v>327178392</v>
      </c>
      <c r="AG12" t="s">
        <v>123</v>
      </c>
      <c r="AH12" t="s">
        <v>124</v>
      </c>
      <c r="AI12">
        <v>16635</v>
      </c>
      <c r="AJ12">
        <v>24724</v>
      </c>
      <c r="AK12">
        <v>63372236466</v>
      </c>
      <c r="AL12">
        <v>5686393782156</v>
      </c>
      <c r="AM12">
        <v>4160939635</v>
      </c>
      <c r="AN12">
        <v>0</v>
      </c>
      <c r="AO12">
        <v>42037097</v>
      </c>
      <c r="AP12">
        <v>4160939635</v>
      </c>
      <c r="AQ12">
        <v>4202976732</v>
      </c>
      <c r="AR12">
        <v>138697987</v>
      </c>
      <c r="AS12">
        <v>0</v>
      </c>
      <c r="AT12">
        <v>1401236</v>
      </c>
      <c r="AU12">
        <v>138697987</v>
      </c>
      <c r="AV12">
        <v>140099224</v>
      </c>
      <c r="AW12">
        <v>16.723800000000001</v>
      </c>
      <c r="AX12">
        <v>6.6621600000000001</v>
      </c>
      <c r="AY12">
        <v>3748.89</v>
      </c>
      <c r="AZ12">
        <v>2985.67</v>
      </c>
      <c r="BA12">
        <v>2472</v>
      </c>
      <c r="BB12">
        <v>394</v>
      </c>
      <c r="BC12" t="str">
        <f t="shared" si="0"/>
        <v>u=1% k=2x10^7</v>
      </c>
    </row>
    <row r="13" spans="1:55">
      <c r="A13" t="s">
        <v>125</v>
      </c>
      <c r="B13" t="s">
        <v>82</v>
      </c>
      <c r="C13">
        <v>64</v>
      </c>
      <c r="D13" t="s">
        <v>64</v>
      </c>
      <c r="E13" t="s">
        <v>60</v>
      </c>
      <c r="F13" t="s">
        <v>61</v>
      </c>
      <c r="G13">
        <v>30000</v>
      </c>
      <c r="H13">
        <v>0.5</v>
      </c>
      <c r="I13">
        <v>0.5</v>
      </c>
      <c r="J13">
        <v>0</v>
      </c>
      <c r="K13">
        <v>1</v>
      </c>
      <c r="L13">
        <v>200000000</v>
      </c>
      <c r="M13">
        <v>190</v>
      </c>
      <c r="N13">
        <v>190</v>
      </c>
      <c r="O13">
        <v>190</v>
      </c>
      <c r="P13">
        <v>0</v>
      </c>
      <c r="Q13" t="s">
        <v>62</v>
      </c>
      <c r="R13">
        <v>9999626853483980</v>
      </c>
      <c r="S13">
        <v>100000735</v>
      </c>
      <c r="T13">
        <v>9999626853483980</v>
      </c>
      <c r="U13">
        <v>100000735</v>
      </c>
      <c r="V13" t="s">
        <v>71</v>
      </c>
      <c r="W13">
        <v>7</v>
      </c>
      <c r="X13">
        <v>14750185</v>
      </c>
      <c r="Y13">
        <v>117844592</v>
      </c>
      <c r="Z13">
        <v>132594777</v>
      </c>
      <c r="AA13">
        <v>100000735</v>
      </c>
      <c r="AB13">
        <v>8.9893599999999996</v>
      </c>
      <c r="AC13">
        <v>0.84858100000000003</v>
      </c>
      <c r="AD13">
        <v>1.7541800000000001</v>
      </c>
      <c r="AE13">
        <v>4.0766799999999996</v>
      </c>
      <c r="AF13">
        <v>2951732392</v>
      </c>
      <c r="AG13" t="s">
        <v>126</v>
      </c>
      <c r="AH13" t="s">
        <v>127</v>
      </c>
      <c r="AI13">
        <v>3</v>
      </c>
      <c r="AJ13">
        <v>23302</v>
      </c>
      <c r="AK13">
        <v>11727728068</v>
      </c>
      <c r="AL13">
        <v>5686393442190</v>
      </c>
      <c r="AM13">
        <v>3919880931</v>
      </c>
      <c r="AN13">
        <v>0</v>
      </c>
      <c r="AO13">
        <v>39587236</v>
      </c>
      <c r="AP13">
        <v>3919880931</v>
      </c>
      <c r="AQ13">
        <v>3959468167</v>
      </c>
      <c r="AR13">
        <v>130662697</v>
      </c>
      <c r="AS13">
        <v>0</v>
      </c>
      <c r="AT13">
        <v>1319574</v>
      </c>
      <c r="AU13">
        <v>130662697</v>
      </c>
      <c r="AV13">
        <v>131982272</v>
      </c>
      <c r="AW13">
        <v>19.6648</v>
      </c>
      <c r="AX13">
        <v>9.5022199999999994</v>
      </c>
      <c r="AY13">
        <v>4007.18</v>
      </c>
      <c r="AZ13">
        <v>3253.54</v>
      </c>
      <c r="BA13">
        <v>8012</v>
      </c>
      <c r="BB13">
        <v>1054</v>
      </c>
      <c r="BC13" t="str">
        <f t="shared" si="0"/>
        <v>u=1% k=2x10^8</v>
      </c>
    </row>
    <row r="14" spans="1:55">
      <c r="A14" t="s">
        <v>128</v>
      </c>
      <c r="B14" t="s">
        <v>82</v>
      </c>
      <c r="C14">
        <v>64</v>
      </c>
      <c r="D14" t="s">
        <v>64</v>
      </c>
      <c r="E14" t="s">
        <v>60</v>
      </c>
      <c r="F14" t="s">
        <v>61</v>
      </c>
      <c r="G14">
        <v>30000</v>
      </c>
      <c r="H14">
        <v>5</v>
      </c>
      <c r="I14">
        <v>5</v>
      </c>
      <c r="J14">
        <v>0</v>
      </c>
      <c r="K14">
        <v>1</v>
      </c>
      <c r="L14">
        <v>2000000</v>
      </c>
      <c r="M14">
        <v>190</v>
      </c>
      <c r="N14">
        <v>190</v>
      </c>
      <c r="O14">
        <v>190</v>
      </c>
      <c r="P14">
        <v>0</v>
      </c>
      <c r="Q14" t="s">
        <v>62</v>
      </c>
      <c r="R14">
        <v>999848185690</v>
      </c>
      <c r="S14">
        <v>1000599</v>
      </c>
      <c r="T14">
        <v>999848185690</v>
      </c>
      <c r="U14">
        <v>1000599</v>
      </c>
      <c r="V14" t="s">
        <v>71</v>
      </c>
      <c r="W14">
        <v>6</v>
      </c>
      <c r="X14">
        <v>64670</v>
      </c>
      <c r="Y14">
        <v>1096463</v>
      </c>
      <c r="Z14">
        <v>1161133</v>
      </c>
      <c r="AA14">
        <v>1000599</v>
      </c>
      <c r="AB14">
        <v>17.954699999999999</v>
      </c>
      <c r="AC14">
        <v>0.91256999999999999</v>
      </c>
      <c r="AD14">
        <v>1.86174</v>
      </c>
      <c r="AE14">
        <v>3.0664099999999999</v>
      </c>
      <c r="AF14">
        <v>22234128</v>
      </c>
      <c r="AG14" t="s">
        <v>129</v>
      </c>
      <c r="AH14" t="s">
        <v>130</v>
      </c>
      <c r="AI14">
        <v>207275</v>
      </c>
      <c r="AJ14">
        <v>7632</v>
      </c>
      <c r="AK14">
        <v>95660320229</v>
      </c>
      <c r="AL14">
        <v>5686393937281</v>
      </c>
      <c r="AM14">
        <v>995647503</v>
      </c>
      <c r="AN14">
        <v>0</v>
      </c>
      <c r="AO14">
        <v>110638233</v>
      </c>
      <c r="AP14">
        <v>995647503</v>
      </c>
      <c r="AQ14">
        <v>1106285736</v>
      </c>
      <c r="AR14">
        <v>33188250</v>
      </c>
      <c r="AS14">
        <v>0</v>
      </c>
      <c r="AT14">
        <v>3687941</v>
      </c>
      <c r="AU14">
        <v>33188250</v>
      </c>
      <c r="AV14">
        <v>36876191</v>
      </c>
      <c r="AW14">
        <v>17.946400000000001</v>
      </c>
      <c r="AX14">
        <v>4.2211999999999996</v>
      </c>
      <c r="AY14">
        <v>14352.7</v>
      </c>
      <c r="AZ14">
        <v>13377.9</v>
      </c>
      <c r="BA14">
        <v>1301</v>
      </c>
      <c r="BB14">
        <v>267</v>
      </c>
      <c r="BC14" t="str">
        <f t="shared" si="0"/>
        <v>u=10% k=2x10^6</v>
      </c>
    </row>
    <row r="15" spans="1:55">
      <c r="A15" t="s">
        <v>131</v>
      </c>
      <c r="B15" t="s">
        <v>82</v>
      </c>
      <c r="C15">
        <v>64</v>
      </c>
      <c r="D15" t="s">
        <v>64</v>
      </c>
      <c r="E15" t="s">
        <v>60</v>
      </c>
      <c r="F15" t="s">
        <v>61</v>
      </c>
      <c r="G15">
        <v>30000</v>
      </c>
      <c r="H15">
        <v>5</v>
      </c>
      <c r="I15">
        <v>5</v>
      </c>
      <c r="J15">
        <v>0</v>
      </c>
      <c r="K15">
        <v>1</v>
      </c>
      <c r="L15">
        <v>20000000</v>
      </c>
      <c r="M15">
        <v>190</v>
      </c>
      <c r="N15">
        <v>190</v>
      </c>
      <c r="O15">
        <v>190</v>
      </c>
      <c r="P15">
        <v>0</v>
      </c>
      <c r="Q15" t="s">
        <v>62</v>
      </c>
      <c r="R15">
        <v>99944880863996</v>
      </c>
      <c r="S15">
        <v>9995502</v>
      </c>
      <c r="T15">
        <v>99944880863996</v>
      </c>
      <c r="U15">
        <v>9995502</v>
      </c>
      <c r="V15" t="s">
        <v>71</v>
      </c>
      <c r="W15">
        <v>7</v>
      </c>
      <c r="X15">
        <v>1906065</v>
      </c>
      <c r="Y15">
        <v>12030222</v>
      </c>
      <c r="Z15">
        <v>13936287</v>
      </c>
      <c r="AA15">
        <v>9995502</v>
      </c>
      <c r="AB15">
        <v>7.3115500000000004</v>
      </c>
      <c r="AC15">
        <v>0.83086599999999999</v>
      </c>
      <c r="AD15">
        <v>1.71723</v>
      </c>
      <c r="AE15">
        <v>4.0561199999999999</v>
      </c>
      <c r="AF15">
        <v>329756184</v>
      </c>
      <c r="AG15" t="s">
        <v>132</v>
      </c>
      <c r="AH15" t="s">
        <v>133</v>
      </c>
      <c r="AI15">
        <v>60266</v>
      </c>
      <c r="AJ15">
        <v>7760</v>
      </c>
      <c r="AK15">
        <v>151187180605</v>
      </c>
      <c r="AL15">
        <v>5686393820509</v>
      </c>
      <c r="AM15">
        <v>1016209530</v>
      </c>
      <c r="AN15">
        <v>0</v>
      </c>
      <c r="AO15">
        <v>112905372</v>
      </c>
      <c r="AP15">
        <v>1016209530</v>
      </c>
      <c r="AQ15">
        <v>1129114902</v>
      </c>
      <c r="AR15">
        <v>33873651</v>
      </c>
      <c r="AS15">
        <v>0</v>
      </c>
      <c r="AT15">
        <v>3763512</v>
      </c>
      <c r="AU15">
        <v>33873651</v>
      </c>
      <c r="AV15">
        <v>37637163</v>
      </c>
      <c r="AW15">
        <v>22.091000000000001</v>
      </c>
      <c r="AX15">
        <v>9.2784700000000004</v>
      </c>
      <c r="AY15">
        <v>13907.7</v>
      </c>
      <c r="AZ15">
        <v>12904.6</v>
      </c>
      <c r="BA15">
        <v>2547</v>
      </c>
      <c r="BB15">
        <v>342</v>
      </c>
      <c r="BC15" t="str">
        <f t="shared" si="0"/>
        <v>u=10% k=2x10^7</v>
      </c>
    </row>
    <row r="16" spans="1:55">
      <c r="A16" t="s">
        <v>134</v>
      </c>
      <c r="B16" t="s">
        <v>82</v>
      </c>
      <c r="C16">
        <v>64</v>
      </c>
      <c r="D16" t="s">
        <v>64</v>
      </c>
      <c r="E16" t="s">
        <v>60</v>
      </c>
      <c r="F16" t="s">
        <v>61</v>
      </c>
      <c r="G16">
        <v>30000</v>
      </c>
      <c r="H16">
        <v>5</v>
      </c>
      <c r="I16">
        <v>5</v>
      </c>
      <c r="J16">
        <v>0</v>
      </c>
      <c r="K16">
        <v>1</v>
      </c>
      <c r="L16">
        <v>200000000</v>
      </c>
      <c r="M16">
        <v>190</v>
      </c>
      <c r="N16">
        <v>190</v>
      </c>
      <c r="O16">
        <v>190</v>
      </c>
      <c r="P16">
        <v>0</v>
      </c>
      <c r="Q16" t="s">
        <v>62</v>
      </c>
      <c r="R16">
        <v>9999407863248290</v>
      </c>
      <c r="S16">
        <v>99997736</v>
      </c>
      <c r="T16">
        <v>9999407863248290</v>
      </c>
      <c r="U16">
        <v>99997736</v>
      </c>
      <c r="V16" t="s">
        <v>71</v>
      </c>
      <c r="W16">
        <v>7</v>
      </c>
      <c r="X16">
        <v>13989509</v>
      </c>
      <c r="Y16">
        <v>116120031</v>
      </c>
      <c r="Z16">
        <v>130109540</v>
      </c>
      <c r="AA16">
        <v>99997736</v>
      </c>
      <c r="AB16">
        <v>9.3005099999999992</v>
      </c>
      <c r="AC16">
        <v>0.86115799999999998</v>
      </c>
      <c r="AD16">
        <v>1.76857</v>
      </c>
      <c r="AE16">
        <v>4.0616099999999999</v>
      </c>
      <c r="AF16">
        <v>2867420712</v>
      </c>
      <c r="AG16" t="s">
        <v>135</v>
      </c>
      <c r="AH16" t="s">
        <v>136</v>
      </c>
      <c r="AI16">
        <v>10650</v>
      </c>
      <c r="AJ16">
        <v>7226</v>
      </c>
      <c r="AK16">
        <v>194141162700</v>
      </c>
      <c r="AL16">
        <v>5686483306269</v>
      </c>
      <c r="AM16">
        <v>1043971490</v>
      </c>
      <c r="AN16">
        <v>0</v>
      </c>
      <c r="AO16">
        <v>115994683</v>
      </c>
      <c r="AP16">
        <v>1043971490</v>
      </c>
      <c r="AQ16">
        <v>1159966173</v>
      </c>
      <c r="AR16">
        <v>34799049</v>
      </c>
      <c r="AS16">
        <v>0</v>
      </c>
      <c r="AT16">
        <v>3866489</v>
      </c>
      <c r="AU16">
        <v>34799049</v>
      </c>
      <c r="AV16">
        <v>38665539</v>
      </c>
      <c r="AW16">
        <v>22.210899999999999</v>
      </c>
      <c r="AX16">
        <v>10.8193</v>
      </c>
      <c r="AY16">
        <v>13326</v>
      </c>
      <c r="AZ16">
        <v>12423.6</v>
      </c>
      <c r="BA16">
        <v>12743</v>
      </c>
      <c r="BB16">
        <v>1128</v>
      </c>
      <c r="BC16" t="str">
        <f t="shared" si="0"/>
        <v>u=10% k=2x10^8</v>
      </c>
    </row>
    <row r="17" spans="1:55">
      <c r="A17" t="s">
        <v>137</v>
      </c>
      <c r="B17" t="s">
        <v>82</v>
      </c>
      <c r="C17">
        <v>64</v>
      </c>
      <c r="D17" t="s">
        <v>64</v>
      </c>
      <c r="E17" t="s">
        <v>60</v>
      </c>
      <c r="F17" t="s">
        <v>61</v>
      </c>
      <c r="G17">
        <v>30000</v>
      </c>
      <c r="H17">
        <v>20</v>
      </c>
      <c r="I17">
        <v>20</v>
      </c>
      <c r="J17">
        <v>0</v>
      </c>
      <c r="K17">
        <v>1</v>
      </c>
      <c r="L17">
        <v>2000000</v>
      </c>
      <c r="M17">
        <v>190</v>
      </c>
      <c r="N17">
        <v>190</v>
      </c>
      <c r="O17">
        <v>190</v>
      </c>
      <c r="P17">
        <v>0</v>
      </c>
      <c r="Q17" t="s">
        <v>62</v>
      </c>
      <c r="R17">
        <v>999801060971</v>
      </c>
      <c r="S17">
        <v>999640</v>
      </c>
      <c r="T17">
        <v>999801060971</v>
      </c>
      <c r="U17">
        <v>999640</v>
      </c>
      <c r="V17" t="s">
        <v>71</v>
      </c>
      <c r="W17">
        <v>6</v>
      </c>
      <c r="X17">
        <v>65478</v>
      </c>
      <c r="Y17">
        <v>1098037</v>
      </c>
      <c r="Z17">
        <v>1163515</v>
      </c>
      <c r="AA17">
        <v>999640</v>
      </c>
      <c r="AB17">
        <v>17.769600000000001</v>
      </c>
      <c r="AC17">
        <v>0.91038799999999998</v>
      </c>
      <c r="AD17">
        <v>1.8591599999999999</v>
      </c>
      <c r="AE17">
        <v>3.06833</v>
      </c>
      <c r="AF17">
        <v>22318368</v>
      </c>
      <c r="AG17" t="s">
        <v>138</v>
      </c>
      <c r="AH17" t="s">
        <v>139</v>
      </c>
      <c r="AI17">
        <v>496761</v>
      </c>
      <c r="AJ17">
        <v>3182</v>
      </c>
      <c r="AK17">
        <v>204506930216</v>
      </c>
      <c r="AL17">
        <v>5686394359496</v>
      </c>
      <c r="AM17">
        <v>271045538</v>
      </c>
      <c r="AN17">
        <v>0</v>
      </c>
      <c r="AO17">
        <v>180720150</v>
      </c>
      <c r="AP17">
        <v>271045538</v>
      </c>
      <c r="AQ17">
        <v>451765688</v>
      </c>
      <c r="AR17">
        <v>9034851</v>
      </c>
      <c r="AS17">
        <v>0</v>
      </c>
      <c r="AT17">
        <v>6024005</v>
      </c>
      <c r="AU17">
        <v>9034851</v>
      </c>
      <c r="AV17">
        <v>15058856</v>
      </c>
      <c r="AW17">
        <v>26.5243</v>
      </c>
      <c r="AX17">
        <v>10.910299999999999</v>
      </c>
      <c r="AY17">
        <v>35138</v>
      </c>
      <c r="AZ17">
        <v>33250.6</v>
      </c>
      <c r="BA17">
        <v>1326</v>
      </c>
      <c r="BB17">
        <v>296</v>
      </c>
      <c r="BC17" t="str">
        <f t="shared" si="0"/>
        <v>u=40% k=2x10^6</v>
      </c>
    </row>
    <row r="18" spans="1:55">
      <c r="A18" t="s">
        <v>140</v>
      </c>
      <c r="B18" t="s">
        <v>82</v>
      </c>
      <c r="C18">
        <v>64</v>
      </c>
      <c r="D18" t="s">
        <v>64</v>
      </c>
      <c r="E18" t="s">
        <v>60</v>
      </c>
      <c r="F18" t="s">
        <v>61</v>
      </c>
      <c r="G18">
        <v>30000</v>
      </c>
      <c r="H18">
        <v>20</v>
      </c>
      <c r="I18">
        <v>20</v>
      </c>
      <c r="J18">
        <v>0</v>
      </c>
      <c r="K18">
        <v>1</v>
      </c>
      <c r="L18">
        <v>20000000</v>
      </c>
      <c r="M18">
        <v>190</v>
      </c>
      <c r="N18">
        <v>190</v>
      </c>
      <c r="O18">
        <v>190</v>
      </c>
      <c r="P18">
        <v>0</v>
      </c>
      <c r="Q18" t="s">
        <v>62</v>
      </c>
      <c r="R18">
        <v>100001661879098</v>
      </c>
      <c r="S18">
        <v>9999761</v>
      </c>
      <c r="T18">
        <v>100001661879098</v>
      </c>
      <c r="U18">
        <v>9999761</v>
      </c>
      <c r="V18" t="s">
        <v>71</v>
      </c>
      <c r="W18">
        <v>7</v>
      </c>
      <c r="X18">
        <v>1906285</v>
      </c>
      <c r="Y18">
        <v>12034812</v>
      </c>
      <c r="Z18">
        <v>13941097</v>
      </c>
      <c r="AA18">
        <v>9999761</v>
      </c>
      <c r="AB18">
        <v>7.3132299999999999</v>
      </c>
      <c r="AC18">
        <v>0.83090299999999995</v>
      </c>
      <c r="AD18">
        <v>1.71729</v>
      </c>
      <c r="AE18">
        <v>4.0559900000000004</v>
      </c>
      <c r="AF18">
        <v>329847272</v>
      </c>
      <c r="AG18" t="s">
        <v>141</v>
      </c>
      <c r="AH18" t="s">
        <v>142</v>
      </c>
      <c r="AI18">
        <v>132922</v>
      </c>
      <c r="AJ18">
        <v>3566</v>
      </c>
      <c r="AK18">
        <v>307040827919</v>
      </c>
      <c r="AL18">
        <v>5686411572881</v>
      </c>
      <c r="AM18">
        <v>281850044</v>
      </c>
      <c r="AN18">
        <v>0</v>
      </c>
      <c r="AO18">
        <v>187950650</v>
      </c>
      <c r="AP18">
        <v>281850044</v>
      </c>
      <c r="AQ18">
        <v>469800694</v>
      </c>
      <c r="AR18">
        <v>9395001</v>
      </c>
      <c r="AS18">
        <v>0</v>
      </c>
      <c r="AT18">
        <v>6265021</v>
      </c>
      <c r="AU18">
        <v>9395001</v>
      </c>
      <c r="AV18">
        <v>15660023</v>
      </c>
      <c r="AW18">
        <v>32.049799999999998</v>
      </c>
      <c r="AX18">
        <v>16.4635</v>
      </c>
      <c r="AY18">
        <v>33184.9</v>
      </c>
      <c r="AZ18">
        <v>30783.9</v>
      </c>
      <c r="BA18">
        <v>2658</v>
      </c>
      <c r="BB18">
        <v>376</v>
      </c>
      <c r="BC18" t="str">
        <f t="shared" si="0"/>
        <v>u=40% k=2x10^7</v>
      </c>
    </row>
    <row r="19" spans="1:55">
      <c r="A19" t="s">
        <v>143</v>
      </c>
      <c r="B19" t="s">
        <v>82</v>
      </c>
      <c r="C19">
        <v>64</v>
      </c>
      <c r="D19" t="s">
        <v>64</v>
      </c>
      <c r="E19" t="s">
        <v>60</v>
      </c>
      <c r="F19" t="s">
        <v>61</v>
      </c>
      <c r="G19">
        <v>30000</v>
      </c>
      <c r="H19">
        <v>20</v>
      </c>
      <c r="I19">
        <v>20</v>
      </c>
      <c r="J19">
        <v>0</v>
      </c>
      <c r="K19">
        <v>1</v>
      </c>
      <c r="L19">
        <v>200000000</v>
      </c>
      <c r="M19">
        <v>190</v>
      </c>
      <c r="N19">
        <v>190</v>
      </c>
      <c r="O19">
        <v>190</v>
      </c>
      <c r="P19">
        <v>0</v>
      </c>
      <c r="Q19" t="s">
        <v>62</v>
      </c>
      <c r="R19">
        <v>9999317079312800</v>
      </c>
      <c r="S19">
        <v>99995661</v>
      </c>
      <c r="T19">
        <v>9999317079312800</v>
      </c>
      <c r="U19">
        <v>99995661</v>
      </c>
      <c r="V19" t="s">
        <v>71</v>
      </c>
      <c r="W19">
        <v>7</v>
      </c>
      <c r="X19">
        <v>14887341</v>
      </c>
      <c r="Y19">
        <v>118153019</v>
      </c>
      <c r="Z19">
        <v>133040360</v>
      </c>
      <c r="AA19">
        <v>99995661</v>
      </c>
      <c r="AB19">
        <v>8.9364799999999995</v>
      </c>
      <c r="AC19">
        <v>0.84632300000000005</v>
      </c>
      <c r="AD19">
        <v>1.75162</v>
      </c>
      <c r="AE19">
        <v>4.0803399999999996</v>
      </c>
      <c r="AF19">
        <v>2966677096</v>
      </c>
      <c r="AG19" t="s">
        <v>144</v>
      </c>
      <c r="AH19" t="s">
        <v>145</v>
      </c>
      <c r="AI19">
        <v>20873</v>
      </c>
      <c r="AJ19">
        <v>3198</v>
      </c>
      <c r="AK19">
        <v>335058749157</v>
      </c>
      <c r="AL19">
        <v>5686517743477</v>
      </c>
      <c r="AM19">
        <v>279719292</v>
      </c>
      <c r="AN19">
        <v>0</v>
      </c>
      <c r="AO19">
        <v>186452306</v>
      </c>
      <c r="AP19">
        <v>279719292</v>
      </c>
      <c r="AQ19">
        <v>466171598</v>
      </c>
      <c r="AR19">
        <v>9323976</v>
      </c>
      <c r="AS19">
        <v>0</v>
      </c>
      <c r="AT19">
        <v>6215076</v>
      </c>
      <c r="AU19">
        <v>9323976</v>
      </c>
      <c r="AV19">
        <v>15539053</v>
      </c>
      <c r="AW19">
        <v>30.136500000000002</v>
      </c>
      <c r="AX19">
        <v>15.851900000000001</v>
      </c>
      <c r="AY19">
        <v>32354.799999999999</v>
      </c>
      <c r="AZ19">
        <v>30598.400000000001</v>
      </c>
      <c r="BA19">
        <v>12735</v>
      </c>
      <c r="BB19">
        <v>1050</v>
      </c>
      <c r="BC19" t="str">
        <f t="shared" si="0"/>
        <v>u=40% k=2x10^8</v>
      </c>
    </row>
    <row r="20" spans="1:55">
      <c r="A20" t="s">
        <v>146</v>
      </c>
      <c r="B20" t="s">
        <v>82</v>
      </c>
      <c r="C20">
        <v>64</v>
      </c>
      <c r="D20" t="s">
        <v>64</v>
      </c>
      <c r="E20" t="s">
        <v>60</v>
      </c>
      <c r="F20" t="s">
        <v>61</v>
      </c>
      <c r="G20">
        <v>30000</v>
      </c>
      <c r="H20">
        <v>0.5</v>
      </c>
      <c r="I20">
        <v>0.5</v>
      </c>
      <c r="J20">
        <v>0</v>
      </c>
      <c r="K20">
        <v>1</v>
      </c>
      <c r="L20">
        <v>2000000</v>
      </c>
      <c r="M20">
        <v>190</v>
      </c>
      <c r="N20">
        <v>190</v>
      </c>
      <c r="O20">
        <v>190</v>
      </c>
      <c r="P20">
        <v>0</v>
      </c>
      <c r="Q20" t="s">
        <v>62</v>
      </c>
      <c r="R20">
        <v>998855550070</v>
      </c>
      <c r="S20">
        <v>998716</v>
      </c>
      <c r="T20">
        <v>998855550070</v>
      </c>
      <c r="U20">
        <v>998716</v>
      </c>
      <c r="V20" t="s">
        <v>71</v>
      </c>
      <c r="W20">
        <v>6</v>
      </c>
      <c r="X20">
        <v>54869</v>
      </c>
      <c r="Y20">
        <v>1075094</v>
      </c>
      <c r="Z20">
        <v>1129963</v>
      </c>
      <c r="AA20">
        <v>998716</v>
      </c>
      <c r="AB20">
        <v>20.593800000000002</v>
      </c>
      <c r="AC20">
        <v>0.92895700000000003</v>
      </c>
      <c r="AD20">
        <v>1.88385</v>
      </c>
      <c r="AE20">
        <v>3.0452599999999999</v>
      </c>
      <c r="AF20">
        <v>21167416</v>
      </c>
      <c r="AG20" t="s">
        <v>147</v>
      </c>
      <c r="AH20" t="s">
        <v>148</v>
      </c>
      <c r="AI20">
        <v>73751</v>
      </c>
      <c r="AJ20">
        <v>30770</v>
      </c>
      <c r="AK20">
        <v>34910052318</v>
      </c>
      <c r="AL20">
        <v>5686393699722</v>
      </c>
      <c r="AM20">
        <v>4810402682</v>
      </c>
      <c r="AN20">
        <v>0</v>
      </c>
      <c r="AO20">
        <v>48592074</v>
      </c>
      <c r="AP20">
        <v>4810402682</v>
      </c>
      <c r="AQ20">
        <v>4858994756</v>
      </c>
      <c r="AR20">
        <v>160346756</v>
      </c>
      <c r="AS20">
        <v>0</v>
      </c>
      <c r="AT20">
        <v>1619735</v>
      </c>
      <c r="AU20">
        <v>160346756</v>
      </c>
      <c r="AV20">
        <v>161966491</v>
      </c>
      <c r="AW20">
        <v>11.2859</v>
      </c>
      <c r="AX20">
        <v>0.63359299999999996</v>
      </c>
      <c r="AY20">
        <v>3268.99</v>
      </c>
      <c r="AZ20">
        <v>2527.7399999999998</v>
      </c>
      <c r="BA20">
        <v>1273</v>
      </c>
      <c r="BB20">
        <v>293</v>
      </c>
      <c r="BC20" t="str">
        <f t="shared" si="0"/>
        <v>u=1% k=2x10^6</v>
      </c>
    </row>
    <row r="21" spans="1:55">
      <c r="A21" t="s">
        <v>149</v>
      </c>
      <c r="B21" t="s">
        <v>82</v>
      </c>
      <c r="C21">
        <v>64</v>
      </c>
      <c r="D21" t="s">
        <v>64</v>
      </c>
      <c r="E21" t="s">
        <v>60</v>
      </c>
      <c r="F21" t="s">
        <v>61</v>
      </c>
      <c r="G21">
        <v>30000</v>
      </c>
      <c r="H21">
        <v>0.5</v>
      </c>
      <c r="I21">
        <v>0.5</v>
      </c>
      <c r="J21">
        <v>0</v>
      </c>
      <c r="K21">
        <v>1</v>
      </c>
      <c r="L21">
        <v>20000000</v>
      </c>
      <c r="M21">
        <v>190</v>
      </c>
      <c r="N21">
        <v>190</v>
      </c>
      <c r="O21">
        <v>190</v>
      </c>
      <c r="P21">
        <v>0</v>
      </c>
      <c r="Q21" t="s">
        <v>62</v>
      </c>
      <c r="R21">
        <v>99965221841701</v>
      </c>
      <c r="S21">
        <v>9998507</v>
      </c>
      <c r="T21">
        <v>99965221841701</v>
      </c>
      <c r="U21">
        <v>9998507</v>
      </c>
      <c r="V21" t="s">
        <v>71</v>
      </c>
      <c r="W21">
        <v>7</v>
      </c>
      <c r="X21">
        <v>1891919</v>
      </c>
      <c r="Y21">
        <v>11995772</v>
      </c>
      <c r="Z21">
        <v>13887691</v>
      </c>
      <c r="AA21">
        <v>9998507</v>
      </c>
      <c r="AB21">
        <v>7.3405300000000002</v>
      </c>
      <c r="AC21">
        <v>0.83350299999999999</v>
      </c>
      <c r="AD21">
        <v>1.7199500000000001</v>
      </c>
      <c r="AE21">
        <v>4.0534499999999998</v>
      </c>
      <c r="AF21">
        <v>328172888</v>
      </c>
      <c r="AG21" t="s">
        <v>150</v>
      </c>
      <c r="AH21" t="s">
        <v>151</v>
      </c>
      <c r="AI21">
        <v>13810</v>
      </c>
      <c r="AJ21">
        <v>24706</v>
      </c>
      <c r="AK21">
        <v>63550746296</v>
      </c>
      <c r="AL21">
        <v>5686394028949</v>
      </c>
      <c r="AM21">
        <v>4180324107</v>
      </c>
      <c r="AN21">
        <v>0</v>
      </c>
      <c r="AO21">
        <v>42232962</v>
      </c>
      <c r="AP21">
        <v>4180324107</v>
      </c>
      <c r="AQ21">
        <v>4222557069</v>
      </c>
      <c r="AR21">
        <v>139344136</v>
      </c>
      <c r="AS21">
        <v>0</v>
      </c>
      <c r="AT21">
        <v>1407765</v>
      </c>
      <c r="AU21">
        <v>139344136</v>
      </c>
      <c r="AV21">
        <v>140751902</v>
      </c>
      <c r="AW21">
        <v>16.832799999999999</v>
      </c>
      <c r="AX21">
        <v>6.6678899999999999</v>
      </c>
      <c r="AY21">
        <v>3731.81</v>
      </c>
      <c r="AZ21">
        <v>2973.8</v>
      </c>
      <c r="BA21">
        <v>2472</v>
      </c>
      <c r="BB21">
        <v>374</v>
      </c>
      <c r="BC21" t="str">
        <f t="shared" si="0"/>
        <v>u=1% k=2x10^7</v>
      </c>
    </row>
    <row r="22" spans="1:55">
      <c r="A22" t="s">
        <v>152</v>
      </c>
      <c r="B22" t="s">
        <v>82</v>
      </c>
      <c r="C22">
        <v>64</v>
      </c>
      <c r="D22" t="s">
        <v>64</v>
      </c>
      <c r="E22" t="s">
        <v>60</v>
      </c>
      <c r="F22" t="s">
        <v>61</v>
      </c>
      <c r="G22">
        <v>30000</v>
      </c>
      <c r="H22">
        <v>0.5</v>
      </c>
      <c r="I22">
        <v>0.5</v>
      </c>
      <c r="J22">
        <v>0</v>
      </c>
      <c r="K22">
        <v>1</v>
      </c>
      <c r="L22">
        <v>200000000</v>
      </c>
      <c r="M22">
        <v>190</v>
      </c>
      <c r="N22">
        <v>190</v>
      </c>
      <c r="O22">
        <v>190</v>
      </c>
      <c r="P22">
        <v>0</v>
      </c>
      <c r="Q22" t="s">
        <v>62</v>
      </c>
      <c r="R22">
        <v>9999947696782550</v>
      </c>
      <c r="S22">
        <v>99997622</v>
      </c>
      <c r="T22">
        <v>9999947696782550</v>
      </c>
      <c r="U22">
        <v>99997622</v>
      </c>
      <c r="V22" t="s">
        <v>71</v>
      </c>
      <c r="W22">
        <v>7</v>
      </c>
      <c r="X22">
        <v>14769642</v>
      </c>
      <c r="Y22">
        <v>117885930</v>
      </c>
      <c r="Z22">
        <v>132655572</v>
      </c>
      <c r="AA22">
        <v>99997622</v>
      </c>
      <c r="AB22">
        <v>8.9816400000000005</v>
      </c>
      <c r="AC22">
        <v>0.84825700000000004</v>
      </c>
      <c r="AD22">
        <v>1.7538100000000001</v>
      </c>
      <c r="AE22">
        <v>4.0771800000000002</v>
      </c>
      <c r="AF22">
        <v>2953813472</v>
      </c>
      <c r="AG22" t="s">
        <v>153</v>
      </c>
      <c r="AH22" t="s">
        <v>153</v>
      </c>
      <c r="AI22">
        <v>2</v>
      </c>
      <c r="AJ22">
        <v>22950</v>
      </c>
      <c r="AK22">
        <v>11570912025</v>
      </c>
      <c r="AL22">
        <v>5686394156744</v>
      </c>
      <c r="AM22">
        <v>3885463226</v>
      </c>
      <c r="AN22">
        <v>0</v>
      </c>
      <c r="AO22">
        <v>39256056</v>
      </c>
      <c r="AP22">
        <v>3885463226</v>
      </c>
      <c r="AQ22">
        <v>3924719282</v>
      </c>
      <c r="AR22">
        <v>129515440</v>
      </c>
      <c r="AS22">
        <v>0</v>
      </c>
      <c r="AT22">
        <v>1308535</v>
      </c>
      <c r="AU22">
        <v>129515440</v>
      </c>
      <c r="AV22">
        <v>130823976</v>
      </c>
      <c r="AW22">
        <v>19.6111</v>
      </c>
      <c r="AX22">
        <v>9.4992300000000007</v>
      </c>
      <c r="AY22">
        <v>4044.02</v>
      </c>
      <c r="AZ22">
        <v>3295.27</v>
      </c>
      <c r="BA22">
        <v>8001</v>
      </c>
      <c r="BB22">
        <v>1051</v>
      </c>
      <c r="BC22" t="str">
        <f t="shared" si="0"/>
        <v>u=1% k=2x10^8</v>
      </c>
    </row>
    <row r="23" spans="1:55">
      <c r="A23" t="s">
        <v>154</v>
      </c>
      <c r="B23" t="s">
        <v>82</v>
      </c>
      <c r="C23">
        <v>64</v>
      </c>
      <c r="D23" t="s">
        <v>64</v>
      </c>
      <c r="E23" t="s">
        <v>60</v>
      </c>
      <c r="F23" t="s">
        <v>61</v>
      </c>
      <c r="G23">
        <v>30000</v>
      </c>
      <c r="H23">
        <v>5</v>
      </c>
      <c r="I23">
        <v>5</v>
      </c>
      <c r="J23">
        <v>0</v>
      </c>
      <c r="K23">
        <v>1</v>
      </c>
      <c r="L23">
        <v>2000000</v>
      </c>
      <c r="M23">
        <v>190</v>
      </c>
      <c r="N23">
        <v>190</v>
      </c>
      <c r="O23">
        <v>190</v>
      </c>
      <c r="P23">
        <v>0</v>
      </c>
      <c r="Q23" t="s">
        <v>62</v>
      </c>
      <c r="R23">
        <v>1000805290649</v>
      </c>
      <c r="S23">
        <v>1000372</v>
      </c>
      <c r="T23">
        <v>1000805290649</v>
      </c>
      <c r="U23">
        <v>1000372</v>
      </c>
      <c r="V23" t="s">
        <v>71</v>
      </c>
      <c r="W23">
        <v>6</v>
      </c>
      <c r="X23">
        <v>71734</v>
      </c>
      <c r="Y23">
        <v>1111635</v>
      </c>
      <c r="Z23">
        <v>1183369</v>
      </c>
      <c r="AA23">
        <v>1000372</v>
      </c>
      <c r="AB23">
        <v>16.496600000000001</v>
      </c>
      <c r="AC23">
        <v>0.89990999999999999</v>
      </c>
      <c r="AD23">
        <v>1.8453599999999999</v>
      </c>
      <c r="AE23">
        <v>3.0823800000000001</v>
      </c>
      <c r="AF23">
        <v>23005168</v>
      </c>
      <c r="AG23" t="s">
        <v>155</v>
      </c>
      <c r="AH23" t="s">
        <v>156</v>
      </c>
      <c r="AI23">
        <v>201682</v>
      </c>
      <c r="AJ23">
        <v>7698</v>
      </c>
      <c r="AK23">
        <v>95451613894</v>
      </c>
      <c r="AL23">
        <v>5686394080058</v>
      </c>
      <c r="AM23">
        <v>996233790</v>
      </c>
      <c r="AN23">
        <v>0</v>
      </c>
      <c r="AO23">
        <v>110693806</v>
      </c>
      <c r="AP23">
        <v>996233790</v>
      </c>
      <c r="AQ23">
        <v>1106927596</v>
      </c>
      <c r="AR23">
        <v>33207793</v>
      </c>
      <c r="AS23">
        <v>0</v>
      </c>
      <c r="AT23">
        <v>3689793</v>
      </c>
      <c r="AU23">
        <v>33207793</v>
      </c>
      <c r="AV23">
        <v>36897586</v>
      </c>
      <c r="AW23">
        <v>18.061800000000002</v>
      </c>
      <c r="AX23">
        <v>4.2397999999999998</v>
      </c>
      <c r="AY23">
        <v>14343.6</v>
      </c>
      <c r="AZ23">
        <v>13377.6</v>
      </c>
      <c r="BA23">
        <v>1300</v>
      </c>
      <c r="BB23">
        <v>329</v>
      </c>
      <c r="BC23" t="str">
        <f t="shared" si="0"/>
        <v>u=10% k=2x10^6</v>
      </c>
    </row>
    <row r="24" spans="1:55">
      <c r="A24" t="s">
        <v>157</v>
      </c>
      <c r="B24" t="s">
        <v>82</v>
      </c>
      <c r="C24">
        <v>64</v>
      </c>
      <c r="D24" t="s">
        <v>64</v>
      </c>
      <c r="E24" t="s">
        <v>60</v>
      </c>
      <c r="F24" t="s">
        <v>61</v>
      </c>
      <c r="G24">
        <v>30000</v>
      </c>
      <c r="H24">
        <v>5</v>
      </c>
      <c r="I24">
        <v>5</v>
      </c>
      <c r="J24">
        <v>0</v>
      </c>
      <c r="K24">
        <v>1</v>
      </c>
      <c r="L24">
        <v>20000000</v>
      </c>
      <c r="M24">
        <v>190</v>
      </c>
      <c r="N24">
        <v>190</v>
      </c>
      <c r="O24">
        <v>190</v>
      </c>
      <c r="P24">
        <v>0</v>
      </c>
      <c r="Q24" t="s">
        <v>62</v>
      </c>
      <c r="R24">
        <v>100011799645654</v>
      </c>
      <c r="S24">
        <v>9999163</v>
      </c>
      <c r="T24">
        <v>100011799645654</v>
      </c>
      <c r="U24">
        <v>9999163</v>
      </c>
      <c r="V24" t="s">
        <v>71</v>
      </c>
      <c r="W24">
        <v>7</v>
      </c>
      <c r="X24">
        <v>1906746</v>
      </c>
      <c r="Y24">
        <v>12035740</v>
      </c>
      <c r="Z24">
        <v>13942486</v>
      </c>
      <c r="AA24">
        <v>9999163</v>
      </c>
      <c r="AB24">
        <v>7.3121900000000002</v>
      </c>
      <c r="AC24">
        <v>0.830789</v>
      </c>
      <c r="AD24">
        <v>1.7171700000000001</v>
      </c>
      <c r="AE24">
        <v>4.0561699999999998</v>
      </c>
      <c r="AF24">
        <v>329896720</v>
      </c>
      <c r="AG24" t="s">
        <v>158</v>
      </c>
      <c r="AH24" t="s">
        <v>159</v>
      </c>
      <c r="AI24">
        <v>60142</v>
      </c>
      <c r="AJ24">
        <v>7642</v>
      </c>
      <c r="AK24">
        <v>153908635865</v>
      </c>
      <c r="AL24">
        <v>5686394004377</v>
      </c>
      <c r="AM24">
        <v>1016951897</v>
      </c>
      <c r="AN24">
        <v>0</v>
      </c>
      <c r="AO24">
        <v>112995225</v>
      </c>
      <c r="AP24">
        <v>1016951897</v>
      </c>
      <c r="AQ24">
        <v>1129947122</v>
      </c>
      <c r="AR24">
        <v>33898396</v>
      </c>
      <c r="AS24">
        <v>0</v>
      </c>
      <c r="AT24">
        <v>3766507</v>
      </c>
      <c r="AU24">
        <v>33898396</v>
      </c>
      <c r="AV24">
        <v>37664904</v>
      </c>
      <c r="AW24">
        <v>21.980799999999999</v>
      </c>
      <c r="AX24">
        <v>9.2295400000000001</v>
      </c>
      <c r="AY24">
        <v>13886.5</v>
      </c>
      <c r="AZ24">
        <v>12879.6</v>
      </c>
      <c r="BA24">
        <v>2553</v>
      </c>
      <c r="BB24">
        <v>359</v>
      </c>
      <c r="BC24" t="str">
        <f t="shared" si="0"/>
        <v>u=10% k=2x10^7</v>
      </c>
    </row>
    <row r="25" spans="1:55">
      <c r="A25" t="s">
        <v>160</v>
      </c>
      <c r="B25" t="s">
        <v>82</v>
      </c>
      <c r="C25">
        <v>64</v>
      </c>
      <c r="D25" t="s">
        <v>64</v>
      </c>
      <c r="E25" t="s">
        <v>60</v>
      </c>
      <c r="F25" t="s">
        <v>61</v>
      </c>
      <c r="G25">
        <v>30000</v>
      </c>
      <c r="H25">
        <v>5</v>
      </c>
      <c r="I25">
        <v>5</v>
      </c>
      <c r="J25">
        <v>0</v>
      </c>
      <c r="K25">
        <v>1</v>
      </c>
      <c r="L25">
        <v>200000000</v>
      </c>
      <c r="M25">
        <v>190</v>
      </c>
      <c r="N25">
        <v>190</v>
      </c>
      <c r="O25">
        <v>190</v>
      </c>
      <c r="P25">
        <v>0</v>
      </c>
      <c r="Q25" t="s">
        <v>62</v>
      </c>
      <c r="R25">
        <v>9999396397608010</v>
      </c>
      <c r="S25">
        <v>99996610</v>
      </c>
      <c r="T25">
        <v>9999396397608010</v>
      </c>
      <c r="U25">
        <v>99996610</v>
      </c>
      <c r="V25" t="s">
        <v>71</v>
      </c>
      <c r="W25">
        <v>7</v>
      </c>
      <c r="X25">
        <v>14240269</v>
      </c>
      <c r="Y25">
        <v>116663510</v>
      </c>
      <c r="Z25">
        <v>130903779</v>
      </c>
      <c r="AA25">
        <v>99996610</v>
      </c>
      <c r="AB25">
        <v>9.1925100000000004</v>
      </c>
      <c r="AC25">
        <v>0.85713700000000004</v>
      </c>
      <c r="AD25">
        <v>1.76389</v>
      </c>
      <c r="AE25">
        <v>4.06698</v>
      </c>
      <c r="AF25">
        <v>2894576360</v>
      </c>
      <c r="AG25" t="s">
        <v>161</v>
      </c>
      <c r="AH25" t="s">
        <v>162</v>
      </c>
      <c r="AI25">
        <v>10008</v>
      </c>
      <c r="AJ25">
        <v>7194</v>
      </c>
      <c r="AK25">
        <v>196383279243</v>
      </c>
      <c r="AL25">
        <v>5686394102575</v>
      </c>
      <c r="AM25">
        <v>1065182868</v>
      </c>
      <c r="AN25">
        <v>0</v>
      </c>
      <c r="AO25">
        <v>118370477</v>
      </c>
      <c r="AP25">
        <v>1065182868</v>
      </c>
      <c r="AQ25">
        <v>1183553345</v>
      </c>
      <c r="AR25">
        <v>35506095</v>
      </c>
      <c r="AS25">
        <v>0</v>
      </c>
      <c r="AT25">
        <v>3945682</v>
      </c>
      <c r="AU25">
        <v>35506095</v>
      </c>
      <c r="AV25">
        <v>39451778</v>
      </c>
      <c r="AW25">
        <v>22.095099999999999</v>
      </c>
      <c r="AX25">
        <v>10.7682</v>
      </c>
      <c r="AY25">
        <v>13049</v>
      </c>
      <c r="AZ25">
        <v>12150.9</v>
      </c>
      <c r="BA25">
        <v>12790</v>
      </c>
      <c r="BB25">
        <v>1085</v>
      </c>
      <c r="BC25" t="str">
        <f t="shared" si="0"/>
        <v>u=10% k=2x10^8</v>
      </c>
    </row>
    <row r="26" spans="1:55">
      <c r="A26" t="s">
        <v>163</v>
      </c>
      <c r="B26" t="s">
        <v>82</v>
      </c>
      <c r="C26">
        <v>64</v>
      </c>
      <c r="D26" t="s">
        <v>64</v>
      </c>
      <c r="E26" t="s">
        <v>60</v>
      </c>
      <c r="F26" t="s">
        <v>61</v>
      </c>
      <c r="G26">
        <v>30000</v>
      </c>
      <c r="H26">
        <v>20</v>
      </c>
      <c r="I26">
        <v>20</v>
      </c>
      <c r="J26">
        <v>0</v>
      </c>
      <c r="K26">
        <v>1</v>
      </c>
      <c r="L26">
        <v>2000000</v>
      </c>
      <c r="M26">
        <v>190</v>
      </c>
      <c r="N26">
        <v>190</v>
      </c>
      <c r="O26">
        <v>190</v>
      </c>
      <c r="P26">
        <v>0</v>
      </c>
      <c r="Q26" t="s">
        <v>62</v>
      </c>
      <c r="R26">
        <v>999148849698</v>
      </c>
      <c r="S26">
        <v>998775</v>
      </c>
      <c r="T26">
        <v>999148849698</v>
      </c>
      <c r="U26">
        <v>998775</v>
      </c>
      <c r="V26" t="s">
        <v>71</v>
      </c>
      <c r="W26">
        <v>6</v>
      </c>
      <c r="X26">
        <v>65091</v>
      </c>
      <c r="Y26">
        <v>1098620</v>
      </c>
      <c r="Z26">
        <v>1163711</v>
      </c>
      <c r="AA26">
        <v>998775</v>
      </c>
      <c r="AB26">
        <v>17.8782</v>
      </c>
      <c r="AC26">
        <v>0.90911799999999998</v>
      </c>
      <c r="AD26">
        <v>1.8582700000000001</v>
      </c>
      <c r="AE26">
        <v>3.0703900000000002</v>
      </c>
      <c r="AF26">
        <v>22333368</v>
      </c>
      <c r="AG26" t="s">
        <v>164</v>
      </c>
      <c r="AH26" t="s">
        <v>165</v>
      </c>
      <c r="AI26">
        <v>492873</v>
      </c>
      <c r="AJ26">
        <v>3174</v>
      </c>
      <c r="AK26">
        <v>204509985744</v>
      </c>
      <c r="AL26">
        <v>5686395635616</v>
      </c>
      <c r="AM26">
        <v>271586816</v>
      </c>
      <c r="AN26">
        <v>0</v>
      </c>
      <c r="AO26">
        <v>181055429</v>
      </c>
      <c r="AP26">
        <v>271586816</v>
      </c>
      <c r="AQ26">
        <v>452642245</v>
      </c>
      <c r="AR26">
        <v>9052893</v>
      </c>
      <c r="AS26">
        <v>0</v>
      </c>
      <c r="AT26">
        <v>6035180</v>
      </c>
      <c r="AU26">
        <v>9052893</v>
      </c>
      <c r="AV26">
        <v>15088074</v>
      </c>
      <c r="AW26">
        <v>26.191400000000002</v>
      </c>
      <c r="AX26">
        <v>10.746700000000001</v>
      </c>
      <c r="AY26">
        <v>35062.9</v>
      </c>
      <c r="AZ26">
        <v>33194.800000000003</v>
      </c>
      <c r="BA26">
        <v>1328</v>
      </c>
      <c r="BB26">
        <v>290</v>
      </c>
      <c r="BC26" t="str">
        <f t="shared" si="0"/>
        <v>u=40% k=2x10^6</v>
      </c>
    </row>
    <row r="27" spans="1:55">
      <c r="A27" t="s">
        <v>166</v>
      </c>
      <c r="B27" t="s">
        <v>82</v>
      </c>
      <c r="C27">
        <v>64</v>
      </c>
      <c r="D27" t="s">
        <v>64</v>
      </c>
      <c r="E27" t="s">
        <v>60</v>
      </c>
      <c r="F27" t="s">
        <v>61</v>
      </c>
      <c r="G27">
        <v>30000</v>
      </c>
      <c r="H27">
        <v>20</v>
      </c>
      <c r="I27">
        <v>20</v>
      </c>
      <c r="J27">
        <v>0</v>
      </c>
      <c r="K27">
        <v>1</v>
      </c>
      <c r="L27">
        <v>20000000</v>
      </c>
      <c r="M27">
        <v>190</v>
      </c>
      <c r="N27">
        <v>190</v>
      </c>
      <c r="O27">
        <v>190</v>
      </c>
      <c r="P27">
        <v>0</v>
      </c>
      <c r="Q27" t="s">
        <v>62</v>
      </c>
      <c r="R27">
        <v>100036561853242</v>
      </c>
      <c r="S27">
        <v>10001952</v>
      </c>
      <c r="T27">
        <v>100036561853242</v>
      </c>
      <c r="U27">
        <v>10001952</v>
      </c>
      <c r="V27" t="s">
        <v>71</v>
      </c>
      <c r="W27">
        <v>7</v>
      </c>
      <c r="X27">
        <v>1892689</v>
      </c>
      <c r="Y27">
        <v>12001576</v>
      </c>
      <c r="Z27">
        <v>13894265</v>
      </c>
      <c r="AA27">
        <v>10001952</v>
      </c>
      <c r="AB27">
        <v>7.3410200000000003</v>
      </c>
      <c r="AC27">
        <v>0.83338699999999999</v>
      </c>
      <c r="AD27">
        <v>1.7198599999999999</v>
      </c>
      <c r="AE27">
        <v>4.0534800000000004</v>
      </c>
      <c r="AF27">
        <v>328321480</v>
      </c>
      <c r="AG27" t="s">
        <v>167</v>
      </c>
      <c r="AH27" t="s">
        <v>168</v>
      </c>
      <c r="AI27">
        <v>139918</v>
      </c>
      <c r="AJ27">
        <v>3534</v>
      </c>
      <c r="AK27">
        <v>301840629744</v>
      </c>
      <c r="AL27">
        <v>5686394604622</v>
      </c>
      <c r="AM27">
        <v>280958399</v>
      </c>
      <c r="AN27">
        <v>0</v>
      </c>
      <c r="AO27">
        <v>187297802</v>
      </c>
      <c r="AP27">
        <v>280958399</v>
      </c>
      <c r="AQ27">
        <v>468256201</v>
      </c>
      <c r="AR27">
        <v>9365279</v>
      </c>
      <c r="AS27">
        <v>0</v>
      </c>
      <c r="AT27">
        <v>6243260</v>
      </c>
      <c r="AU27">
        <v>9365279</v>
      </c>
      <c r="AV27">
        <v>15608540</v>
      </c>
      <c r="AW27">
        <v>32.9818</v>
      </c>
      <c r="AX27">
        <v>16.8933</v>
      </c>
      <c r="AY27">
        <v>33352.9</v>
      </c>
      <c r="AZ27">
        <v>30938.7</v>
      </c>
      <c r="BA27">
        <v>2672</v>
      </c>
      <c r="BB27">
        <v>344</v>
      </c>
      <c r="BC27" t="str">
        <f t="shared" si="0"/>
        <v>u=40% k=2x10^7</v>
      </c>
    </row>
    <row r="28" spans="1:55">
      <c r="A28" t="s">
        <v>169</v>
      </c>
      <c r="B28" t="s">
        <v>82</v>
      </c>
      <c r="C28">
        <v>64</v>
      </c>
      <c r="D28" t="s">
        <v>64</v>
      </c>
      <c r="E28" t="s">
        <v>60</v>
      </c>
      <c r="F28" t="s">
        <v>61</v>
      </c>
      <c r="G28">
        <v>30000</v>
      </c>
      <c r="H28">
        <v>20</v>
      </c>
      <c r="I28">
        <v>20</v>
      </c>
      <c r="J28">
        <v>0</v>
      </c>
      <c r="K28">
        <v>1</v>
      </c>
      <c r="L28">
        <v>200000000</v>
      </c>
      <c r="M28">
        <v>190</v>
      </c>
      <c r="N28">
        <v>190</v>
      </c>
      <c r="O28">
        <v>190</v>
      </c>
      <c r="P28">
        <v>0</v>
      </c>
      <c r="Q28" t="s">
        <v>62</v>
      </c>
      <c r="R28">
        <v>9998593603463210</v>
      </c>
      <c r="S28">
        <v>99993720</v>
      </c>
      <c r="T28">
        <v>9998593603463210</v>
      </c>
      <c r="U28">
        <v>99993720</v>
      </c>
      <c r="V28" t="s">
        <v>71</v>
      </c>
      <c r="W28">
        <v>7</v>
      </c>
      <c r="X28">
        <v>14838193</v>
      </c>
      <c r="Y28">
        <v>118043220</v>
      </c>
      <c r="Z28">
        <v>132881413</v>
      </c>
      <c r="AA28">
        <v>99993720</v>
      </c>
      <c r="AB28">
        <v>8.9553600000000007</v>
      </c>
      <c r="AC28">
        <v>0.84709400000000001</v>
      </c>
      <c r="AD28">
        <v>1.7524999999999999</v>
      </c>
      <c r="AE28">
        <v>4.0790699999999998</v>
      </c>
      <c r="AF28">
        <v>2961343512</v>
      </c>
      <c r="AG28" t="s">
        <v>170</v>
      </c>
      <c r="AH28" t="s">
        <v>171</v>
      </c>
      <c r="AI28">
        <v>24526</v>
      </c>
      <c r="AJ28">
        <v>3078</v>
      </c>
      <c r="AK28">
        <v>333902727980</v>
      </c>
      <c r="AL28">
        <v>5686662093651</v>
      </c>
      <c r="AM28">
        <v>281534581</v>
      </c>
      <c r="AN28">
        <v>0</v>
      </c>
      <c r="AO28">
        <v>187664906</v>
      </c>
      <c r="AP28">
        <v>281534581</v>
      </c>
      <c r="AQ28">
        <v>469199487</v>
      </c>
      <c r="AR28">
        <v>9384486</v>
      </c>
      <c r="AS28">
        <v>0</v>
      </c>
      <c r="AT28">
        <v>6255496</v>
      </c>
      <c r="AU28">
        <v>9384486</v>
      </c>
      <c r="AV28">
        <v>15639982</v>
      </c>
      <c r="AW28">
        <v>31.372</v>
      </c>
      <c r="AX28">
        <v>16.391300000000001</v>
      </c>
      <c r="AY28">
        <v>31980</v>
      </c>
      <c r="AZ28">
        <v>30217.1</v>
      </c>
      <c r="BA28">
        <v>12907</v>
      </c>
      <c r="BB28">
        <v>1115</v>
      </c>
      <c r="BC28" t="str">
        <f t="shared" si="0"/>
        <v>u=40% k=2x10^8</v>
      </c>
    </row>
    <row r="29" spans="1:55">
      <c r="A29" t="s">
        <v>172</v>
      </c>
      <c r="B29" t="s">
        <v>83</v>
      </c>
      <c r="C29">
        <v>72</v>
      </c>
      <c r="D29" t="s">
        <v>64</v>
      </c>
      <c r="E29" t="s">
        <v>60</v>
      </c>
      <c r="F29" t="s">
        <v>61</v>
      </c>
      <c r="G29">
        <v>30000</v>
      </c>
      <c r="H29">
        <v>0.5</v>
      </c>
      <c r="I29">
        <v>0.5</v>
      </c>
      <c r="J29">
        <v>0</v>
      </c>
      <c r="K29">
        <v>1</v>
      </c>
      <c r="L29">
        <v>2000000</v>
      </c>
      <c r="M29">
        <v>190</v>
      </c>
      <c r="N29">
        <v>190</v>
      </c>
      <c r="O29">
        <v>190</v>
      </c>
      <c r="P29">
        <v>0</v>
      </c>
      <c r="Q29" t="s">
        <v>62</v>
      </c>
      <c r="R29">
        <v>999014389109</v>
      </c>
      <c r="S29">
        <v>999351</v>
      </c>
      <c r="T29">
        <v>999014389109</v>
      </c>
      <c r="U29">
        <v>999351</v>
      </c>
      <c r="V29" t="s">
        <v>71</v>
      </c>
      <c r="W29">
        <v>6</v>
      </c>
      <c r="X29">
        <v>56995</v>
      </c>
      <c r="Y29">
        <v>1080213</v>
      </c>
      <c r="Z29">
        <v>1137208</v>
      </c>
      <c r="AA29">
        <v>999351</v>
      </c>
      <c r="AB29">
        <v>19.9528</v>
      </c>
      <c r="AC29">
        <v>0.92514300000000005</v>
      </c>
      <c r="AD29">
        <v>1.8787799999999999</v>
      </c>
      <c r="AE29">
        <v>3.0504899999999999</v>
      </c>
      <c r="AF29">
        <v>21870096</v>
      </c>
      <c r="AG29" t="s">
        <v>173</v>
      </c>
      <c r="AH29" t="s">
        <v>174</v>
      </c>
      <c r="AI29">
        <v>320614</v>
      </c>
      <c r="AJ29">
        <v>90472</v>
      </c>
      <c r="AK29">
        <v>118714151301</v>
      </c>
      <c r="AL29">
        <v>5686394409902</v>
      </c>
      <c r="AM29">
        <v>12920323761</v>
      </c>
      <c r="AN29">
        <v>0</v>
      </c>
      <c r="AO29">
        <v>130515089</v>
      </c>
      <c r="AP29">
        <v>12920323761</v>
      </c>
      <c r="AQ29">
        <v>13050838850</v>
      </c>
      <c r="AR29">
        <v>430677458</v>
      </c>
      <c r="AS29">
        <v>0</v>
      </c>
      <c r="AT29">
        <v>4350502</v>
      </c>
      <c r="AU29">
        <v>430677458</v>
      </c>
      <c r="AV29">
        <v>435027961</v>
      </c>
      <c r="AW29">
        <v>8.6334999999999997</v>
      </c>
      <c r="AX29">
        <v>0.41508699999999998</v>
      </c>
      <c r="AY29">
        <v>1194.26</v>
      </c>
      <c r="AZ29">
        <v>455.97199999999998</v>
      </c>
      <c r="BA29">
        <v>1425</v>
      </c>
      <c r="BB29">
        <v>340</v>
      </c>
      <c r="BC29" t="str">
        <f t="shared" si="0"/>
        <v>u=1% k=2x10^6</v>
      </c>
    </row>
    <row r="30" spans="1:55">
      <c r="A30" t="s">
        <v>175</v>
      </c>
      <c r="B30" t="s">
        <v>83</v>
      </c>
      <c r="C30">
        <v>72</v>
      </c>
      <c r="D30" t="s">
        <v>64</v>
      </c>
      <c r="E30" t="s">
        <v>60</v>
      </c>
      <c r="F30" t="s">
        <v>61</v>
      </c>
      <c r="G30">
        <v>30000</v>
      </c>
      <c r="H30">
        <v>0.5</v>
      </c>
      <c r="I30">
        <v>0.5</v>
      </c>
      <c r="J30">
        <v>0</v>
      </c>
      <c r="K30">
        <v>1</v>
      </c>
      <c r="L30">
        <v>20000000</v>
      </c>
      <c r="M30">
        <v>190</v>
      </c>
      <c r="N30">
        <v>190</v>
      </c>
      <c r="O30">
        <v>190</v>
      </c>
      <c r="P30">
        <v>0</v>
      </c>
      <c r="Q30" t="s">
        <v>62</v>
      </c>
      <c r="R30">
        <v>99969551650659</v>
      </c>
      <c r="S30">
        <v>9999088</v>
      </c>
      <c r="T30">
        <v>99969551650659</v>
      </c>
      <c r="U30">
        <v>9999088</v>
      </c>
      <c r="V30" t="s">
        <v>71</v>
      </c>
      <c r="W30">
        <v>7</v>
      </c>
      <c r="X30">
        <v>1690649</v>
      </c>
      <c r="Y30">
        <v>11572780</v>
      </c>
      <c r="Z30">
        <v>13263429</v>
      </c>
      <c r="AA30">
        <v>9999088</v>
      </c>
      <c r="AB30">
        <v>7.8451700000000004</v>
      </c>
      <c r="AC30">
        <v>0.86401799999999995</v>
      </c>
      <c r="AD30">
        <v>1.7538800000000001</v>
      </c>
      <c r="AE30">
        <v>4.0129700000000001</v>
      </c>
      <c r="AF30">
        <v>320416448</v>
      </c>
      <c r="AG30" t="s">
        <v>176</v>
      </c>
      <c r="AH30" t="s">
        <v>177</v>
      </c>
      <c r="AI30">
        <v>36577</v>
      </c>
      <c r="AJ30">
        <v>46228</v>
      </c>
      <c r="AK30">
        <v>94217561088</v>
      </c>
      <c r="AL30">
        <v>5686394029370</v>
      </c>
      <c r="AM30">
        <v>7452081108</v>
      </c>
      <c r="AN30">
        <v>0</v>
      </c>
      <c r="AO30">
        <v>75280448</v>
      </c>
      <c r="AP30">
        <v>7452081108</v>
      </c>
      <c r="AQ30">
        <v>7527361556</v>
      </c>
      <c r="AR30">
        <v>248402703</v>
      </c>
      <c r="AS30">
        <v>0</v>
      </c>
      <c r="AT30">
        <v>2509348</v>
      </c>
      <c r="AU30">
        <v>248402703</v>
      </c>
      <c r="AV30">
        <v>250912051</v>
      </c>
      <c r="AW30">
        <v>16.3264</v>
      </c>
      <c r="AX30">
        <v>6.6547999999999998</v>
      </c>
      <c r="AY30">
        <v>2079.35</v>
      </c>
      <c r="AZ30">
        <v>1304.18</v>
      </c>
      <c r="BA30">
        <v>2774</v>
      </c>
      <c r="BB30">
        <v>378</v>
      </c>
      <c r="BC30" t="str">
        <f t="shared" si="0"/>
        <v>u=1% k=2x10^7</v>
      </c>
    </row>
    <row r="31" spans="1:55">
      <c r="A31" t="s">
        <v>178</v>
      </c>
      <c r="B31" t="s">
        <v>83</v>
      </c>
      <c r="C31">
        <v>72</v>
      </c>
      <c r="D31" t="s">
        <v>64</v>
      </c>
      <c r="E31" t="s">
        <v>60</v>
      </c>
      <c r="F31" t="s">
        <v>61</v>
      </c>
      <c r="G31">
        <v>30000</v>
      </c>
      <c r="H31">
        <v>0.5</v>
      </c>
      <c r="I31">
        <v>0.5</v>
      </c>
      <c r="J31">
        <v>0</v>
      </c>
      <c r="K31">
        <v>1</v>
      </c>
      <c r="L31">
        <v>200000000</v>
      </c>
      <c r="M31">
        <v>190</v>
      </c>
      <c r="N31">
        <v>190</v>
      </c>
      <c r="O31">
        <v>190</v>
      </c>
      <c r="P31">
        <v>0</v>
      </c>
      <c r="Q31" t="s">
        <v>62</v>
      </c>
      <c r="R31">
        <v>1.00004264139947E+16</v>
      </c>
      <c r="S31">
        <v>100004365</v>
      </c>
      <c r="T31">
        <v>1.00004264139947E+16</v>
      </c>
      <c r="U31">
        <v>100004365</v>
      </c>
      <c r="V31" t="s">
        <v>71</v>
      </c>
      <c r="W31">
        <v>7</v>
      </c>
      <c r="X31">
        <v>12548544</v>
      </c>
      <c r="Y31">
        <v>113116914</v>
      </c>
      <c r="Z31">
        <v>125665458</v>
      </c>
      <c r="AA31">
        <v>100004365</v>
      </c>
      <c r="AB31">
        <v>10.0143</v>
      </c>
      <c r="AC31">
        <v>0.88407999999999998</v>
      </c>
      <c r="AD31">
        <v>1.7958000000000001</v>
      </c>
      <c r="AE31">
        <v>4.0313400000000001</v>
      </c>
      <c r="AF31">
        <v>2814400608</v>
      </c>
      <c r="AG31" t="s">
        <v>179</v>
      </c>
      <c r="AH31" t="s">
        <v>180</v>
      </c>
      <c r="AI31">
        <v>4490</v>
      </c>
      <c r="AJ31">
        <v>32622</v>
      </c>
      <c r="AK31">
        <v>118319637397</v>
      </c>
      <c r="AL31">
        <v>5686443639640</v>
      </c>
      <c r="AM31">
        <v>5619052738</v>
      </c>
      <c r="AN31">
        <v>0</v>
      </c>
      <c r="AO31">
        <v>56754299</v>
      </c>
      <c r="AP31">
        <v>5619052738</v>
      </c>
      <c r="AQ31">
        <v>5675807037</v>
      </c>
      <c r="AR31">
        <v>187301757</v>
      </c>
      <c r="AS31">
        <v>0</v>
      </c>
      <c r="AT31">
        <v>1891809</v>
      </c>
      <c r="AU31">
        <v>187301757</v>
      </c>
      <c r="AV31">
        <v>189193567</v>
      </c>
      <c r="AW31">
        <v>19.493500000000001</v>
      </c>
      <c r="AX31">
        <v>9.5854800000000004</v>
      </c>
      <c r="AY31">
        <v>2736.63</v>
      </c>
      <c r="AZ31">
        <v>1980.35</v>
      </c>
      <c r="BA31">
        <v>13360</v>
      </c>
      <c r="BB31">
        <v>1048</v>
      </c>
      <c r="BC31" t="str">
        <f t="shared" si="0"/>
        <v>u=1% k=2x10^8</v>
      </c>
    </row>
    <row r="32" spans="1:55">
      <c r="A32" t="s">
        <v>181</v>
      </c>
      <c r="B32" t="s">
        <v>83</v>
      </c>
      <c r="C32">
        <v>72</v>
      </c>
      <c r="D32" t="s">
        <v>64</v>
      </c>
      <c r="E32" t="s">
        <v>60</v>
      </c>
      <c r="F32" t="s">
        <v>61</v>
      </c>
      <c r="G32">
        <v>30000</v>
      </c>
      <c r="H32">
        <v>5</v>
      </c>
      <c r="I32">
        <v>5</v>
      </c>
      <c r="J32">
        <v>0</v>
      </c>
      <c r="K32">
        <v>1</v>
      </c>
      <c r="L32">
        <v>2000000</v>
      </c>
      <c r="M32">
        <v>190</v>
      </c>
      <c r="N32">
        <v>190</v>
      </c>
      <c r="O32">
        <v>190</v>
      </c>
      <c r="P32">
        <v>0</v>
      </c>
      <c r="Q32" t="s">
        <v>62</v>
      </c>
      <c r="R32">
        <v>999810965369</v>
      </c>
      <c r="S32">
        <v>1000030</v>
      </c>
      <c r="T32">
        <v>999810965369</v>
      </c>
      <c r="U32">
        <v>1000030</v>
      </c>
      <c r="V32" t="s">
        <v>71</v>
      </c>
      <c r="W32">
        <v>6</v>
      </c>
      <c r="X32">
        <v>33092</v>
      </c>
      <c r="Y32">
        <v>1032160</v>
      </c>
      <c r="Z32">
        <v>1065252</v>
      </c>
      <c r="AA32">
        <v>1000030</v>
      </c>
      <c r="AB32">
        <v>32.190600000000003</v>
      </c>
      <c r="AC32">
        <v>0.96887100000000004</v>
      </c>
      <c r="AD32">
        <v>1.9387700000000001</v>
      </c>
      <c r="AE32">
        <v>3.0001099999999998</v>
      </c>
      <c r="AF32">
        <v>19161904</v>
      </c>
      <c r="AG32" t="s">
        <v>182</v>
      </c>
      <c r="AH32" t="s">
        <v>183</v>
      </c>
      <c r="AI32">
        <v>8113482</v>
      </c>
      <c r="AJ32">
        <v>50210</v>
      </c>
      <c r="AK32">
        <v>883254768485</v>
      </c>
      <c r="AL32">
        <v>5686923689130</v>
      </c>
      <c r="AM32">
        <v>6607122746</v>
      </c>
      <c r="AN32">
        <v>0</v>
      </c>
      <c r="AO32">
        <v>734135646</v>
      </c>
      <c r="AP32">
        <v>6607122746</v>
      </c>
      <c r="AQ32">
        <v>7341258392</v>
      </c>
      <c r="AR32">
        <v>220237424</v>
      </c>
      <c r="AS32">
        <v>0</v>
      </c>
      <c r="AT32">
        <v>24471188</v>
      </c>
      <c r="AU32">
        <v>220237424</v>
      </c>
      <c r="AV32">
        <v>244708613</v>
      </c>
      <c r="AW32">
        <v>12.327</v>
      </c>
      <c r="AX32">
        <v>3.1604299999999999</v>
      </c>
      <c r="AY32">
        <v>2149.9899999999998</v>
      </c>
      <c r="AZ32">
        <v>1314.07</v>
      </c>
      <c r="BA32">
        <v>1596</v>
      </c>
      <c r="BB32">
        <v>296</v>
      </c>
      <c r="BC32" t="str">
        <f t="shared" si="0"/>
        <v>u=10% k=2x10^6</v>
      </c>
    </row>
    <row r="33" spans="1:55">
      <c r="A33" t="s">
        <v>184</v>
      </c>
      <c r="B33" t="s">
        <v>83</v>
      </c>
      <c r="C33">
        <v>72</v>
      </c>
      <c r="D33" t="s">
        <v>64</v>
      </c>
      <c r="E33" t="s">
        <v>60</v>
      </c>
      <c r="F33" t="s">
        <v>61</v>
      </c>
      <c r="G33">
        <v>30000</v>
      </c>
      <c r="H33">
        <v>5</v>
      </c>
      <c r="I33">
        <v>5</v>
      </c>
      <c r="J33">
        <v>0</v>
      </c>
      <c r="K33">
        <v>1</v>
      </c>
      <c r="L33">
        <v>20000000</v>
      </c>
      <c r="M33">
        <v>190</v>
      </c>
      <c r="N33">
        <v>190</v>
      </c>
      <c r="O33">
        <v>190</v>
      </c>
      <c r="P33">
        <v>0</v>
      </c>
      <c r="Q33" t="s">
        <v>62</v>
      </c>
      <c r="R33">
        <v>100027104028365</v>
      </c>
      <c r="S33">
        <v>10001975</v>
      </c>
      <c r="T33">
        <v>100027104028365</v>
      </c>
      <c r="U33">
        <v>10001975</v>
      </c>
      <c r="V33" t="s">
        <v>71</v>
      </c>
      <c r="W33">
        <v>7</v>
      </c>
      <c r="X33">
        <v>1741255</v>
      </c>
      <c r="Y33">
        <v>11684346</v>
      </c>
      <c r="Z33">
        <v>13425601</v>
      </c>
      <c r="AA33">
        <v>10001975</v>
      </c>
      <c r="AB33">
        <v>7.7103000000000002</v>
      </c>
      <c r="AC33">
        <v>0.85601499999999997</v>
      </c>
      <c r="AD33">
        <v>1.74499</v>
      </c>
      <c r="AE33">
        <v>4.0237499999999997</v>
      </c>
      <c r="AF33">
        <v>326252288</v>
      </c>
      <c r="AG33" t="s">
        <v>185</v>
      </c>
      <c r="AH33" t="s">
        <v>186</v>
      </c>
      <c r="AI33">
        <v>831063</v>
      </c>
      <c r="AJ33">
        <v>35974</v>
      </c>
      <c r="AK33">
        <v>553606796455</v>
      </c>
      <c r="AL33">
        <v>5686397458938</v>
      </c>
      <c r="AM33">
        <v>4942467779</v>
      </c>
      <c r="AN33">
        <v>0</v>
      </c>
      <c r="AO33">
        <v>549113389</v>
      </c>
      <c r="AP33">
        <v>4942467779</v>
      </c>
      <c r="AQ33">
        <v>5491581168</v>
      </c>
      <c r="AR33">
        <v>164748925</v>
      </c>
      <c r="AS33">
        <v>0</v>
      </c>
      <c r="AT33">
        <v>18303779</v>
      </c>
      <c r="AU33">
        <v>164748925</v>
      </c>
      <c r="AV33">
        <v>183052705</v>
      </c>
      <c r="AW33">
        <v>19.270600000000002</v>
      </c>
      <c r="AX33">
        <v>8.5564300000000006</v>
      </c>
      <c r="AY33">
        <v>2830.81</v>
      </c>
      <c r="AZ33">
        <v>1896.77</v>
      </c>
      <c r="BA33">
        <v>2869</v>
      </c>
      <c r="BB33">
        <v>377</v>
      </c>
      <c r="BC33" t="str">
        <f t="shared" si="0"/>
        <v>u=10% k=2x10^7</v>
      </c>
    </row>
    <row r="34" spans="1:55">
      <c r="A34" t="s">
        <v>187</v>
      </c>
      <c r="B34" t="s">
        <v>83</v>
      </c>
      <c r="C34">
        <v>72</v>
      </c>
      <c r="D34" t="s">
        <v>64</v>
      </c>
      <c r="E34" t="s">
        <v>60</v>
      </c>
      <c r="F34" t="s">
        <v>61</v>
      </c>
      <c r="G34">
        <v>30000</v>
      </c>
      <c r="H34">
        <v>5</v>
      </c>
      <c r="I34">
        <v>5</v>
      </c>
      <c r="J34">
        <v>0</v>
      </c>
      <c r="K34">
        <v>1</v>
      </c>
      <c r="L34">
        <v>200000000</v>
      </c>
      <c r="M34">
        <v>190</v>
      </c>
      <c r="N34">
        <v>190</v>
      </c>
      <c r="O34">
        <v>190</v>
      </c>
      <c r="P34">
        <v>0</v>
      </c>
      <c r="Q34" t="s">
        <v>62</v>
      </c>
      <c r="R34">
        <v>9999511487861830</v>
      </c>
      <c r="S34">
        <v>99991436</v>
      </c>
      <c r="T34">
        <v>9999511487861830</v>
      </c>
      <c r="U34">
        <v>99991436</v>
      </c>
      <c r="V34" t="s">
        <v>71</v>
      </c>
      <c r="W34">
        <v>7</v>
      </c>
      <c r="X34">
        <v>14846246</v>
      </c>
      <c r="Y34">
        <v>118015236</v>
      </c>
      <c r="Z34">
        <v>132861482</v>
      </c>
      <c r="AA34">
        <v>99991436</v>
      </c>
      <c r="AB34">
        <v>8.9491599999999991</v>
      </c>
      <c r="AC34">
        <v>0.84727600000000003</v>
      </c>
      <c r="AD34">
        <v>1.7525999999999999</v>
      </c>
      <c r="AE34">
        <v>4.0800999999999998</v>
      </c>
      <c r="AF34">
        <v>3079825488</v>
      </c>
      <c r="AG34" t="s">
        <v>188</v>
      </c>
      <c r="AH34" t="s">
        <v>189</v>
      </c>
      <c r="AI34">
        <v>130588</v>
      </c>
      <c r="AJ34">
        <v>18902</v>
      </c>
      <c r="AK34">
        <v>571535238731</v>
      </c>
      <c r="AL34">
        <v>5686679224702</v>
      </c>
      <c r="AM34">
        <v>3846491785</v>
      </c>
      <c r="AN34">
        <v>0</v>
      </c>
      <c r="AO34">
        <v>427400490</v>
      </c>
      <c r="AP34">
        <v>3846491785</v>
      </c>
      <c r="AQ34">
        <v>4273892275</v>
      </c>
      <c r="AR34">
        <v>128216392</v>
      </c>
      <c r="AS34">
        <v>0</v>
      </c>
      <c r="AT34">
        <v>14246683</v>
      </c>
      <c r="AU34">
        <v>128216392</v>
      </c>
      <c r="AV34">
        <v>142463075</v>
      </c>
      <c r="AW34">
        <v>22.2257</v>
      </c>
      <c r="AX34">
        <v>11.283899999999999</v>
      </c>
      <c r="AY34">
        <v>3434.21</v>
      </c>
      <c r="AZ34">
        <v>2550.8200000000002</v>
      </c>
      <c r="BA34">
        <v>14278</v>
      </c>
      <c r="BB34">
        <v>1149</v>
      </c>
      <c r="BC34" t="str">
        <f t="shared" si="0"/>
        <v>u=10% k=2x10^8</v>
      </c>
    </row>
    <row r="35" spans="1:55">
      <c r="A35" t="s">
        <v>190</v>
      </c>
      <c r="B35" t="s">
        <v>83</v>
      </c>
      <c r="C35">
        <v>72</v>
      </c>
      <c r="D35" t="s">
        <v>64</v>
      </c>
      <c r="E35" t="s">
        <v>60</v>
      </c>
      <c r="F35" t="s">
        <v>61</v>
      </c>
      <c r="G35">
        <v>30000</v>
      </c>
      <c r="H35">
        <v>20</v>
      </c>
      <c r="I35">
        <v>20</v>
      </c>
      <c r="J35">
        <v>0</v>
      </c>
      <c r="K35">
        <v>1</v>
      </c>
      <c r="L35">
        <v>2000000</v>
      </c>
      <c r="M35">
        <v>190</v>
      </c>
      <c r="N35">
        <v>190</v>
      </c>
      <c r="O35">
        <v>190</v>
      </c>
      <c r="P35">
        <v>0</v>
      </c>
      <c r="Q35" t="s">
        <v>62</v>
      </c>
      <c r="R35">
        <v>999980147825</v>
      </c>
      <c r="S35">
        <v>1000223</v>
      </c>
      <c r="T35">
        <v>999980147825</v>
      </c>
      <c r="U35">
        <v>1000223</v>
      </c>
      <c r="V35" t="s">
        <v>71</v>
      </c>
      <c r="W35">
        <v>7</v>
      </c>
      <c r="X35">
        <v>55079</v>
      </c>
      <c r="Y35">
        <v>1077010</v>
      </c>
      <c r="Z35">
        <v>1132089</v>
      </c>
      <c r="AA35">
        <v>1000223</v>
      </c>
      <c r="AB35">
        <v>20.553899999999999</v>
      </c>
      <c r="AC35">
        <v>0.92870399999999997</v>
      </c>
      <c r="AD35">
        <v>1.8835200000000001</v>
      </c>
      <c r="AE35">
        <v>3.0462199999999999</v>
      </c>
      <c r="AF35">
        <v>21661488</v>
      </c>
      <c r="AG35" t="s">
        <v>191</v>
      </c>
      <c r="AH35" t="s">
        <v>192</v>
      </c>
      <c r="AI35">
        <v>24666543</v>
      </c>
      <c r="AJ35">
        <v>20956</v>
      </c>
      <c r="AK35">
        <v>1784577559348</v>
      </c>
      <c r="AL35">
        <v>5686395799543</v>
      </c>
      <c r="AM35">
        <v>1741672930</v>
      </c>
      <c r="AN35">
        <v>0</v>
      </c>
      <c r="AO35">
        <v>1161116634</v>
      </c>
      <c r="AP35">
        <v>1741672930</v>
      </c>
      <c r="AQ35">
        <v>2902789564</v>
      </c>
      <c r="AR35">
        <v>58055764</v>
      </c>
      <c r="AS35">
        <v>0</v>
      </c>
      <c r="AT35">
        <v>38703887</v>
      </c>
      <c r="AU35">
        <v>58055764</v>
      </c>
      <c r="AV35">
        <v>96759652</v>
      </c>
      <c r="AW35">
        <v>25.0367</v>
      </c>
      <c r="AX35">
        <v>11.957000000000001</v>
      </c>
      <c r="AY35">
        <v>5461.65</v>
      </c>
      <c r="AZ35">
        <v>4158.1499999999996</v>
      </c>
      <c r="BA35">
        <v>1755</v>
      </c>
      <c r="BB35">
        <v>409</v>
      </c>
      <c r="BC35" t="str">
        <f t="shared" si="0"/>
        <v>u=40% k=2x10^6</v>
      </c>
    </row>
    <row r="36" spans="1:55">
      <c r="A36" t="s">
        <v>193</v>
      </c>
      <c r="B36" t="s">
        <v>83</v>
      </c>
      <c r="C36">
        <v>72</v>
      </c>
      <c r="D36" t="s">
        <v>64</v>
      </c>
      <c r="E36" t="s">
        <v>60</v>
      </c>
      <c r="F36" t="s">
        <v>61</v>
      </c>
      <c r="G36">
        <v>30000</v>
      </c>
      <c r="H36">
        <v>20</v>
      </c>
      <c r="I36">
        <v>20</v>
      </c>
      <c r="J36">
        <v>0</v>
      </c>
      <c r="K36">
        <v>1</v>
      </c>
      <c r="L36">
        <v>20000000</v>
      </c>
      <c r="M36">
        <v>190</v>
      </c>
      <c r="N36">
        <v>190</v>
      </c>
      <c r="O36">
        <v>190</v>
      </c>
      <c r="P36">
        <v>0</v>
      </c>
      <c r="Q36" t="s">
        <v>62</v>
      </c>
      <c r="R36">
        <v>99999743801815</v>
      </c>
      <c r="S36">
        <v>10001457</v>
      </c>
      <c r="T36">
        <v>99999743801815</v>
      </c>
      <c r="U36">
        <v>10001457</v>
      </c>
      <c r="V36" t="s">
        <v>71</v>
      </c>
      <c r="W36">
        <v>7</v>
      </c>
      <c r="X36">
        <v>1829427</v>
      </c>
      <c r="Y36">
        <v>11868126</v>
      </c>
      <c r="Z36">
        <v>13697553</v>
      </c>
      <c r="AA36">
        <v>10001457</v>
      </c>
      <c r="AB36">
        <v>7.4873500000000002</v>
      </c>
      <c r="AC36">
        <v>0.84271600000000002</v>
      </c>
      <c r="AD36">
        <v>1.7301599999999999</v>
      </c>
      <c r="AE36">
        <v>4.0415400000000004</v>
      </c>
      <c r="AF36">
        <v>336251712</v>
      </c>
      <c r="AG36" t="s">
        <v>194</v>
      </c>
      <c r="AH36" t="s">
        <v>195</v>
      </c>
      <c r="AI36">
        <v>2947187</v>
      </c>
      <c r="AJ36">
        <v>22152</v>
      </c>
      <c r="AK36">
        <v>1161903013707</v>
      </c>
      <c r="AL36">
        <v>5686394028378</v>
      </c>
      <c r="AM36">
        <v>1739704111</v>
      </c>
      <c r="AN36">
        <v>0</v>
      </c>
      <c r="AO36">
        <v>1159801177</v>
      </c>
      <c r="AP36">
        <v>1739704111</v>
      </c>
      <c r="AQ36">
        <v>2899505288</v>
      </c>
      <c r="AR36">
        <v>57990137</v>
      </c>
      <c r="AS36">
        <v>0</v>
      </c>
      <c r="AT36">
        <v>38660039</v>
      </c>
      <c r="AU36">
        <v>57990137</v>
      </c>
      <c r="AV36">
        <v>96650176</v>
      </c>
      <c r="AW36">
        <v>28.689800000000002</v>
      </c>
      <c r="AX36">
        <v>15.300800000000001</v>
      </c>
      <c r="AY36">
        <v>5298.88</v>
      </c>
      <c r="AZ36">
        <v>3615.09</v>
      </c>
      <c r="BA36">
        <v>2940</v>
      </c>
      <c r="BB36">
        <v>399</v>
      </c>
      <c r="BC36" t="str">
        <f t="shared" si="0"/>
        <v>u=40% k=2x10^7</v>
      </c>
    </row>
    <row r="37" spans="1:55">
      <c r="A37" t="s">
        <v>196</v>
      </c>
      <c r="B37" t="s">
        <v>83</v>
      </c>
      <c r="C37">
        <v>72</v>
      </c>
      <c r="D37" t="s">
        <v>64</v>
      </c>
      <c r="E37" t="s">
        <v>60</v>
      </c>
      <c r="F37" t="s">
        <v>61</v>
      </c>
      <c r="G37">
        <v>30000</v>
      </c>
      <c r="H37">
        <v>20</v>
      </c>
      <c r="I37">
        <v>20</v>
      </c>
      <c r="J37">
        <v>0</v>
      </c>
      <c r="K37">
        <v>1</v>
      </c>
      <c r="L37">
        <v>200000000</v>
      </c>
      <c r="M37">
        <v>190</v>
      </c>
      <c r="N37">
        <v>190</v>
      </c>
      <c r="O37">
        <v>190</v>
      </c>
      <c r="P37">
        <v>0</v>
      </c>
      <c r="Q37" t="s">
        <v>62</v>
      </c>
      <c r="R37">
        <v>9999681723733780</v>
      </c>
      <c r="S37">
        <v>99986403</v>
      </c>
      <c r="T37">
        <v>9999681723733780</v>
      </c>
      <c r="U37">
        <v>99986403</v>
      </c>
      <c r="V37" t="s">
        <v>71</v>
      </c>
      <c r="W37">
        <v>7</v>
      </c>
      <c r="X37">
        <v>11010055</v>
      </c>
      <c r="Y37">
        <v>109986502</v>
      </c>
      <c r="Z37">
        <v>120996557</v>
      </c>
      <c r="AA37">
        <v>99986403</v>
      </c>
      <c r="AB37">
        <v>10.989599999999999</v>
      </c>
      <c r="AC37">
        <v>0.90907899999999997</v>
      </c>
      <c r="AD37">
        <v>1.82636</v>
      </c>
      <c r="AE37">
        <v>4</v>
      </c>
      <c r="AF37">
        <v>2640588416</v>
      </c>
      <c r="AG37" t="s">
        <v>197</v>
      </c>
      <c r="AH37" t="s">
        <v>198</v>
      </c>
      <c r="AI37">
        <v>514179</v>
      </c>
      <c r="AJ37">
        <v>12706</v>
      </c>
      <c r="AK37">
        <v>1139180489040</v>
      </c>
      <c r="AL37">
        <v>5697545917484</v>
      </c>
      <c r="AM37">
        <v>1500073001</v>
      </c>
      <c r="AN37">
        <v>0</v>
      </c>
      <c r="AO37">
        <v>999974060</v>
      </c>
      <c r="AP37">
        <v>1500073001</v>
      </c>
      <c r="AQ37">
        <v>2500047061</v>
      </c>
      <c r="AR37">
        <v>50002433</v>
      </c>
      <c r="AS37">
        <v>0</v>
      </c>
      <c r="AT37">
        <v>33332468</v>
      </c>
      <c r="AU37">
        <v>50002433</v>
      </c>
      <c r="AV37">
        <v>83334902</v>
      </c>
      <c r="AW37">
        <v>31.552900000000001</v>
      </c>
      <c r="AX37">
        <v>17.653500000000001</v>
      </c>
      <c r="AY37">
        <v>5710.64</v>
      </c>
      <c r="AZ37">
        <v>4219.5600000000004</v>
      </c>
      <c r="BA37">
        <v>14424</v>
      </c>
      <c r="BB37">
        <v>1073</v>
      </c>
      <c r="BC37" t="str">
        <f t="shared" si="0"/>
        <v>u=40% k=2x10^8</v>
      </c>
    </row>
    <row r="38" spans="1:55">
      <c r="A38" t="s">
        <v>199</v>
      </c>
      <c r="B38" t="s">
        <v>83</v>
      </c>
      <c r="C38">
        <v>72</v>
      </c>
      <c r="D38" t="s">
        <v>64</v>
      </c>
      <c r="E38" t="s">
        <v>60</v>
      </c>
      <c r="F38" t="s">
        <v>61</v>
      </c>
      <c r="G38">
        <v>30000</v>
      </c>
      <c r="H38">
        <v>0.5</v>
      </c>
      <c r="I38">
        <v>0.5</v>
      </c>
      <c r="J38">
        <v>0</v>
      </c>
      <c r="K38">
        <v>1</v>
      </c>
      <c r="L38">
        <v>2000000</v>
      </c>
      <c r="M38">
        <v>190</v>
      </c>
      <c r="N38">
        <v>190</v>
      </c>
      <c r="O38">
        <v>190</v>
      </c>
      <c r="P38">
        <v>0</v>
      </c>
      <c r="Q38" t="s">
        <v>62</v>
      </c>
      <c r="R38">
        <v>999556455351</v>
      </c>
      <c r="S38">
        <v>999678</v>
      </c>
      <c r="T38">
        <v>999556455351</v>
      </c>
      <c r="U38">
        <v>999678</v>
      </c>
      <c r="V38" t="s">
        <v>71</v>
      </c>
      <c r="W38">
        <v>6</v>
      </c>
      <c r="X38">
        <v>54666</v>
      </c>
      <c r="Y38">
        <v>1075677</v>
      </c>
      <c r="Z38">
        <v>1130343</v>
      </c>
      <c r="AA38">
        <v>999678</v>
      </c>
      <c r="AB38">
        <v>20.677299999999999</v>
      </c>
      <c r="AC38">
        <v>0.92934799999999995</v>
      </c>
      <c r="AD38">
        <v>1.8844000000000001</v>
      </c>
      <c r="AE38">
        <v>3.0456099999999999</v>
      </c>
      <c r="AF38">
        <v>21608784</v>
      </c>
      <c r="AG38" t="s">
        <v>200</v>
      </c>
      <c r="AH38" t="s">
        <v>201</v>
      </c>
      <c r="AI38">
        <v>311819</v>
      </c>
      <c r="AJ38">
        <v>89596</v>
      </c>
      <c r="AK38">
        <v>118860225544</v>
      </c>
      <c r="AL38">
        <v>5686394288954</v>
      </c>
      <c r="AM38">
        <v>12876652340</v>
      </c>
      <c r="AN38">
        <v>0</v>
      </c>
      <c r="AO38">
        <v>130058695</v>
      </c>
      <c r="AP38">
        <v>12876652340</v>
      </c>
      <c r="AQ38">
        <v>13006711035</v>
      </c>
      <c r="AR38">
        <v>429221744</v>
      </c>
      <c r="AS38">
        <v>0</v>
      </c>
      <c r="AT38">
        <v>4335289</v>
      </c>
      <c r="AU38">
        <v>429221744</v>
      </c>
      <c r="AV38">
        <v>433557034</v>
      </c>
      <c r="AW38">
        <v>8.6456300000000006</v>
      </c>
      <c r="AX38">
        <v>0.41452699999999998</v>
      </c>
      <c r="AY38">
        <v>1198.83</v>
      </c>
      <c r="AZ38">
        <v>459.10599999999999</v>
      </c>
      <c r="BA38">
        <v>1426</v>
      </c>
      <c r="BB38">
        <v>202</v>
      </c>
      <c r="BC38" t="str">
        <f t="shared" si="0"/>
        <v>u=1% k=2x10^6</v>
      </c>
    </row>
    <row r="39" spans="1:55">
      <c r="A39" t="s">
        <v>202</v>
      </c>
      <c r="B39" t="s">
        <v>83</v>
      </c>
      <c r="C39">
        <v>72</v>
      </c>
      <c r="D39" t="s">
        <v>64</v>
      </c>
      <c r="E39" t="s">
        <v>60</v>
      </c>
      <c r="F39" t="s">
        <v>61</v>
      </c>
      <c r="G39">
        <v>30000</v>
      </c>
      <c r="H39">
        <v>0.5</v>
      </c>
      <c r="I39">
        <v>0.5</v>
      </c>
      <c r="J39">
        <v>0</v>
      </c>
      <c r="K39">
        <v>1</v>
      </c>
      <c r="L39">
        <v>20000000</v>
      </c>
      <c r="M39">
        <v>190</v>
      </c>
      <c r="N39">
        <v>190</v>
      </c>
      <c r="O39">
        <v>190</v>
      </c>
      <c r="P39">
        <v>0</v>
      </c>
      <c r="Q39" t="s">
        <v>62</v>
      </c>
      <c r="R39">
        <v>99975535297943</v>
      </c>
      <c r="S39">
        <v>9997391</v>
      </c>
      <c r="T39">
        <v>99975535297943</v>
      </c>
      <c r="U39">
        <v>9997391</v>
      </c>
      <c r="V39" t="s">
        <v>71</v>
      </c>
      <c r="W39">
        <v>7</v>
      </c>
      <c r="X39">
        <v>1687792</v>
      </c>
      <c r="Y39">
        <v>11564372</v>
      </c>
      <c r="Z39">
        <v>13252164</v>
      </c>
      <c r="AA39">
        <v>9997391</v>
      </c>
      <c r="AB39">
        <v>7.8517799999999998</v>
      </c>
      <c r="AC39">
        <v>0.86449900000000002</v>
      </c>
      <c r="AD39">
        <v>1.7544</v>
      </c>
      <c r="AE39">
        <v>4.0125099999999998</v>
      </c>
      <c r="AF39">
        <v>320053360</v>
      </c>
      <c r="AG39" t="s">
        <v>203</v>
      </c>
      <c r="AH39" t="s">
        <v>204</v>
      </c>
      <c r="AI39">
        <v>36379</v>
      </c>
      <c r="AJ39">
        <v>46478</v>
      </c>
      <c r="AK39">
        <v>93132242858</v>
      </c>
      <c r="AL39">
        <v>5686394289461</v>
      </c>
      <c r="AM39">
        <v>7452852002</v>
      </c>
      <c r="AN39">
        <v>0</v>
      </c>
      <c r="AO39">
        <v>75279564</v>
      </c>
      <c r="AP39">
        <v>7452852002</v>
      </c>
      <c r="AQ39">
        <v>7528131566</v>
      </c>
      <c r="AR39">
        <v>248428400</v>
      </c>
      <c r="AS39">
        <v>0</v>
      </c>
      <c r="AT39">
        <v>2509318</v>
      </c>
      <c r="AU39">
        <v>248428400</v>
      </c>
      <c r="AV39">
        <v>250937718</v>
      </c>
      <c r="AW39">
        <v>16.355799999999999</v>
      </c>
      <c r="AX39">
        <v>6.6514300000000004</v>
      </c>
      <c r="AY39">
        <v>2079.42</v>
      </c>
      <c r="AZ39">
        <v>1303.44</v>
      </c>
      <c r="BA39">
        <v>2773</v>
      </c>
      <c r="BB39">
        <v>402</v>
      </c>
      <c r="BC39" t="str">
        <f t="shared" si="0"/>
        <v>u=1% k=2x10^7</v>
      </c>
    </row>
    <row r="40" spans="1:55">
      <c r="A40" t="s">
        <v>205</v>
      </c>
      <c r="B40" t="s">
        <v>83</v>
      </c>
      <c r="C40">
        <v>72</v>
      </c>
      <c r="D40" t="s">
        <v>64</v>
      </c>
      <c r="E40" t="s">
        <v>60</v>
      </c>
      <c r="F40" t="s">
        <v>61</v>
      </c>
      <c r="G40">
        <v>30000</v>
      </c>
      <c r="H40">
        <v>0.5</v>
      </c>
      <c r="I40">
        <v>0.5</v>
      </c>
      <c r="J40">
        <v>0</v>
      </c>
      <c r="K40">
        <v>1</v>
      </c>
      <c r="L40">
        <v>200000000</v>
      </c>
      <c r="M40">
        <v>190</v>
      </c>
      <c r="N40">
        <v>190</v>
      </c>
      <c r="O40">
        <v>190</v>
      </c>
      <c r="P40">
        <v>0</v>
      </c>
      <c r="Q40" t="s">
        <v>62</v>
      </c>
      <c r="R40">
        <v>1.00002737035908E+16</v>
      </c>
      <c r="S40">
        <v>99998250</v>
      </c>
      <c r="T40">
        <v>1.00002737035908E+16</v>
      </c>
      <c r="U40">
        <v>99998250</v>
      </c>
      <c r="V40" t="s">
        <v>71</v>
      </c>
      <c r="W40">
        <v>7</v>
      </c>
      <c r="X40">
        <v>12593449</v>
      </c>
      <c r="Y40">
        <v>113200665</v>
      </c>
      <c r="Z40">
        <v>125794114</v>
      </c>
      <c r="AA40">
        <v>99998250</v>
      </c>
      <c r="AB40">
        <v>9.9888499999999993</v>
      </c>
      <c r="AC40">
        <v>0.88337200000000005</v>
      </c>
      <c r="AD40">
        <v>1.79494</v>
      </c>
      <c r="AE40">
        <v>4.0322899999999997</v>
      </c>
      <c r="AF40">
        <v>2819360208</v>
      </c>
      <c r="AG40" t="s">
        <v>206</v>
      </c>
      <c r="AH40" t="s">
        <v>207</v>
      </c>
      <c r="AI40">
        <v>4744</v>
      </c>
      <c r="AJ40">
        <v>33054</v>
      </c>
      <c r="AK40">
        <v>119136728166</v>
      </c>
      <c r="AL40">
        <v>5686470345133</v>
      </c>
      <c r="AM40">
        <v>5639147465</v>
      </c>
      <c r="AN40">
        <v>0</v>
      </c>
      <c r="AO40">
        <v>56983584</v>
      </c>
      <c r="AP40">
        <v>5639147465</v>
      </c>
      <c r="AQ40">
        <v>5696131049</v>
      </c>
      <c r="AR40">
        <v>187971582</v>
      </c>
      <c r="AS40">
        <v>0</v>
      </c>
      <c r="AT40">
        <v>1899452</v>
      </c>
      <c r="AU40">
        <v>187971582</v>
      </c>
      <c r="AV40">
        <v>189871034</v>
      </c>
      <c r="AW40">
        <v>19.479900000000001</v>
      </c>
      <c r="AX40">
        <v>9.5780100000000008</v>
      </c>
      <c r="AY40">
        <v>2726.47</v>
      </c>
      <c r="AZ40">
        <v>1971.98</v>
      </c>
      <c r="BA40">
        <v>13338</v>
      </c>
      <c r="BB40">
        <v>1121</v>
      </c>
      <c r="BC40" t="str">
        <f t="shared" si="0"/>
        <v>u=1% k=2x10^8</v>
      </c>
    </row>
    <row r="41" spans="1:55">
      <c r="A41" t="s">
        <v>208</v>
      </c>
      <c r="B41" t="s">
        <v>83</v>
      </c>
      <c r="C41">
        <v>72</v>
      </c>
      <c r="D41" t="s">
        <v>64</v>
      </c>
      <c r="E41" t="s">
        <v>60</v>
      </c>
      <c r="F41" t="s">
        <v>61</v>
      </c>
      <c r="G41">
        <v>30000</v>
      </c>
      <c r="H41">
        <v>5</v>
      </c>
      <c r="I41">
        <v>5</v>
      </c>
      <c r="J41">
        <v>0</v>
      </c>
      <c r="K41">
        <v>1</v>
      </c>
      <c r="L41">
        <v>2000000</v>
      </c>
      <c r="M41">
        <v>190</v>
      </c>
      <c r="N41">
        <v>190</v>
      </c>
      <c r="O41">
        <v>190</v>
      </c>
      <c r="P41">
        <v>0</v>
      </c>
      <c r="Q41" t="s">
        <v>62</v>
      </c>
      <c r="R41">
        <v>1000732239561</v>
      </c>
      <c r="S41">
        <v>1000444</v>
      </c>
      <c r="T41">
        <v>1000732239561</v>
      </c>
      <c r="U41">
        <v>1000444</v>
      </c>
      <c r="V41" t="s">
        <v>71</v>
      </c>
      <c r="W41">
        <v>6</v>
      </c>
      <c r="X41">
        <v>53736</v>
      </c>
      <c r="Y41">
        <v>1074637</v>
      </c>
      <c r="Z41">
        <v>1128373</v>
      </c>
      <c r="AA41">
        <v>1000444</v>
      </c>
      <c r="AB41">
        <v>20.9985</v>
      </c>
      <c r="AC41">
        <v>0.93096000000000001</v>
      </c>
      <c r="AD41">
        <v>1.88663</v>
      </c>
      <c r="AE41">
        <v>3.0432100000000002</v>
      </c>
      <c r="AF41">
        <v>21513184</v>
      </c>
      <c r="AG41" t="s">
        <v>209</v>
      </c>
      <c r="AH41" t="s">
        <v>210</v>
      </c>
      <c r="AI41">
        <v>8098707</v>
      </c>
      <c r="AJ41">
        <v>50388</v>
      </c>
      <c r="AK41">
        <v>879712487700</v>
      </c>
      <c r="AL41">
        <v>5686397117936</v>
      </c>
      <c r="AM41">
        <v>6611666456</v>
      </c>
      <c r="AN41">
        <v>0</v>
      </c>
      <c r="AO41">
        <v>734611514</v>
      </c>
      <c r="AP41">
        <v>6611666456</v>
      </c>
      <c r="AQ41">
        <v>7346277970</v>
      </c>
      <c r="AR41">
        <v>220388881</v>
      </c>
      <c r="AS41">
        <v>0</v>
      </c>
      <c r="AT41">
        <v>24487050</v>
      </c>
      <c r="AU41">
        <v>220388881</v>
      </c>
      <c r="AV41">
        <v>244875932</v>
      </c>
      <c r="AW41">
        <v>12.338100000000001</v>
      </c>
      <c r="AX41">
        <v>3.15571</v>
      </c>
      <c r="AY41">
        <v>2147.4699999999998</v>
      </c>
      <c r="AZ41">
        <v>1309.3399999999999</v>
      </c>
      <c r="BA41">
        <v>1604</v>
      </c>
      <c r="BB41">
        <v>212</v>
      </c>
      <c r="BC41" t="str">
        <f t="shared" si="0"/>
        <v>u=10% k=2x10^6</v>
      </c>
    </row>
    <row r="42" spans="1:55">
      <c r="A42" t="s">
        <v>211</v>
      </c>
      <c r="B42" t="s">
        <v>83</v>
      </c>
      <c r="C42">
        <v>72</v>
      </c>
      <c r="D42" t="s">
        <v>64</v>
      </c>
      <c r="E42" t="s">
        <v>60</v>
      </c>
      <c r="F42" t="s">
        <v>61</v>
      </c>
      <c r="G42">
        <v>30000</v>
      </c>
      <c r="H42">
        <v>5</v>
      </c>
      <c r="I42">
        <v>5</v>
      </c>
      <c r="J42">
        <v>0</v>
      </c>
      <c r="K42">
        <v>1</v>
      </c>
      <c r="L42">
        <v>20000000</v>
      </c>
      <c r="M42">
        <v>190</v>
      </c>
      <c r="N42">
        <v>190</v>
      </c>
      <c r="O42">
        <v>190</v>
      </c>
      <c r="P42">
        <v>0</v>
      </c>
      <c r="Q42" t="s">
        <v>62</v>
      </c>
      <c r="R42">
        <v>99974700070924</v>
      </c>
      <c r="S42">
        <v>9998688</v>
      </c>
      <c r="T42">
        <v>99974700070924</v>
      </c>
      <c r="U42">
        <v>9998688</v>
      </c>
      <c r="V42" t="s">
        <v>71</v>
      </c>
      <c r="W42">
        <v>7</v>
      </c>
      <c r="X42">
        <v>1680463</v>
      </c>
      <c r="Y42">
        <v>11550943</v>
      </c>
      <c r="Z42">
        <v>13231406</v>
      </c>
      <c r="AA42">
        <v>9998688</v>
      </c>
      <c r="AB42">
        <v>7.8736699999999997</v>
      </c>
      <c r="AC42">
        <v>0.86561699999999997</v>
      </c>
      <c r="AD42">
        <v>1.7556799999999999</v>
      </c>
      <c r="AE42">
        <v>4.0109399999999997</v>
      </c>
      <c r="AF42">
        <v>319252160</v>
      </c>
      <c r="AG42" t="s">
        <v>212</v>
      </c>
      <c r="AH42" t="s">
        <v>213</v>
      </c>
      <c r="AI42">
        <v>843905</v>
      </c>
      <c r="AJ42">
        <v>35940</v>
      </c>
      <c r="AK42">
        <v>555354807687</v>
      </c>
      <c r="AL42">
        <v>5686394077436</v>
      </c>
      <c r="AM42">
        <v>4951459273</v>
      </c>
      <c r="AN42">
        <v>0</v>
      </c>
      <c r="AO42">
        <v>550115434</v>
      </c>
      <c r="AP42">
        <v>4951459273</v>
      </c>
      <c r="AQ42">
        <v>5501574707</v>
      </c>
      <c r="AR42">
        <v>165048642</v>
      </c>
      <c r="AS42">
        <v>0</v>
      </c>
      <c r="AT42">
        <v>18337181</v>
      </c>
      <c r="AU42">
        <v>165048642</v>
      </c>
      <c r="AV42">
        <v>183385823</v>
      </c>
      <c r="AW42">
        <v>19.293800000000001</v>
      </c>
      <c r="AX42">
        <v>8.5637899999999991</v>
      </c>
      <c r="AY42">
        <v>2823.88</v>
      </c>
      <c r="AZ42">
        <v>1892.89</v>
      </c>
      <c r="BA42">
        <v>2872</v>
      </c>
      <c r="BB42">
        <v>364</v>
      </c>
      <c r="BC42" t="str">
        <f t="shared" si="0"/>
        <v>u=10% k=2x10^7</v>
      </c>
    </row>
    <row r="43" spans="1:55">
      <c r="A43" t="s">
        <v>214</v>
      </c>
      <c r="B43" t="s">
        <v>83</v>
      </c>
      <c r="C43">
        <v>72</v>
      </c>
      <c r="D43" t="s">
        <v>64</v>
      </c>
      <c r="E43" t="s">
        <v>60</v>
      </c>
      <c r="F43" t="s">
        <v>61</v>
      </c>
      <c r="G43">
        <v>30000</v>
      </c>
      <c r="H43">
        <v>5</v>
      </c>
      <c r="I43">
        <v>5</v>
      </c>
      <c r="J43">
        <v>0</v>
      </c>
      <c r="K43">
        <v>1</v>
      </c>
      <c r="L43">
        <v>200000000</v>
      </c>
      <c r="M43">
        <v>190</v>
      </c>
      <c r="N43">
        <v>190</v>
      </c>
      <c r="O43">
        <v>190</v>
      </c>
      <c r="P43">
        <v>0</v>
      </c>
      <c r="Q43" t="s">
        <v>62</v>
      </c>
      <c r="R43">
        <v>1.00006919966432E+16</v>
      </c>
      <c r="S43">
        <v>100005511</v>
      </c>
      <c r="T43">
        <v>1.00006919966432E+16</v>
      </c>
      <c r="U43">
        <v>100005511</v>
      </c>
      <c r="V43" t="s">
        <v>71</v>
      </c>
      <c r="W43">
        <v>7</v>
      </c>
      <c r="X43">
        <v>14736955</v>
      </c>
      <c r="Y43">
        <v>117769545</v>
      </c>
      <c r="Z43">
        <v>132506500</v>
      </c>
      <c r="AA43">
        <v>100005511</v>
      </c>
      <c r="AB43">
        <v>8.9914400000000008</v>
      </c>
      <c r="AC43">
        <v>0.849163</v>
      </c>
      <c r="AD43">
        <v>1.7547200000000001</v>
      </c>
      <c r="AE43">
        <v>4.0777000000000001</v>
      </c>
      <c r="AF43">
        <v>3066873312</v>
      </c>
      <c r="AG43" t="s">
        <v>215</v>
      </c>
      <c r="AH43" t="s">
        <v>216</v>
      </c>
      <c r="AI43">
        <v>131679</v>
      </c>
      <c r="AJ43">
        <v>18958</v>
      </c>
      <c r="AK43">
        <v>570641708071</v>
      </c>
      <c r="AL43">
        <v>5687063840505</v>
      </c>
      <c r="AM43">
        <v>3825123952</v>
      </c>
      <c r="AN43">
        <v>0</v>
      </c>
      <c r="AO43">
        <v>425001641</v>
      </c>
      <c r="AP43">
        <v>3825123952</v>
      </c>
      <c r="AQ43">
        <v>4250125593</v>
      </c>
      <c r="AR43">
        <v>127504131</v>
      </c>
      <c r="AS43">
        <v>0</v>
      </c>
      <c r="AT43">
        <v>14166721</v>
      </c>
      <c r="AU43">
        <v>127504131</v>
      </c>
      <c r="AV43">
        <v>141670853</v>
      </c>
      <c r="AW43">
        <v>22.242599999999999</v>
      </c>
      <c r="AX43">
        <v>11.289899999999999</v>
      </c>
      <c r="AY43">
        <v>3452.17</v>
      </c>
      <c r="AZ43">
        <v>2561.98</v>
      </c>
      <c r="BA43">
        <v>14273</v>
      </c>
      <c r="BB43">
        <v>1096</v>
      </c>
      <c r="BC43" t="str">
        <f t="shared" si="0"/>
        <v>u=10% k=2x10^8</v>
      </c>
    </row>
    <row r="44" spans="1:55">
      <c r="A44" t="s">
        <v>217</v>
      </c>
      <c r="B44" t="s">
        <v>83</v>
      </c>
      <c r="C44">
        <v>72</v>
      </c>
      <c r="D44" t="s">
        <v>64</v>
      </c>
      <c r="E44" t="s">
        <v>60</v>
      </c>
      <c r="F44" t="s">
        <v>61</v>
      </c>
      <c r="G44">
        <v>30000</v>
      </c>
      <c r="H44">
        <v>20</v>
      </c>
      <c r="I44">
        <v>20</v>
      </c>
      <c r="J44">
        <v>0</v>
      </c>
      <c r="K44">
        <v>1</v>
      </c>
      <c r="L44">
        <v>2000000</v>
      </c>
      <c r="M44">
        <v>190</v>
      </c>
      <c r="N44">
        <v>190</v>
      </c>
      <c r="O44">
        <v>190</v>
      </c>
      <c r="P44">
        <v>0</v>
      </c>
      <c r="Q44" t="s">
        <v>62</v>
      </c>
      <c r="R44">
        <v>1000170723742</v>
      </c>
      <c r="S44">
        <v>1000101</v>
      </c>
      <c r="T44">
        <v>1000170723742</v>
      </c>
      <c r="U44">
        <v>1000101</v>
      </c>
      <c r="V44" t="s">
        <v>71</v>
      </c>
      <c r="W44">
        <v>6</v>
      </c>
      <c r="X44">
        <v>35224</v>
      </c>
      <c r="Y44">
        <v>1036544</v>
      </c>
      <c r="Z44">
        <v>1071768</v>
      </c>
      <c r="AA44">
        <v>1000101</v>
      </c>
      <c r="AB44">
        <v>30.427199999999999</v>
      </c>
      <c r="AC44">
        <v>0.96484199999999998</v>
      </c>
      <c r="AD44">
        <v>1.93313</v>
      </c>
      <c r="AE44">
        <v>3.0043899999999999</v>
      </c>
      <c r="AF44">
        <v>19402800</v>
      </c>
      <c r="AG44" t="s">
        <v>218</v>
      </c>
      <c r="AH44" t="s">
        <v>219</v>
      </c>
      <c r="AI44">
        <v>24624663</v>
      </c>
      <c r="AJ44">
        <v>20932</v>
      </c>
      <c r="AK44">
        <v>1779510323882</v>
      </c>
      <c r="AL44">
        <v>5686394461238</v>
      </c>
      <c r="AM44">
        <v>1739125875</v>
      </c>
      <c r="AN44">
        <v>0</v>
      </c>
      <c r="AO44">
        <v>1159365586</v>
      </c>
      <c r="AP44">
        <v>1739125875</v>
      </c>
      <c r="AQ44">
        <v>2898491461</v>
      </c>
      <c r="AR44">
        <v>57970862</v>
      </c>
      <c r="AS44">
        <v>0</v>
      </c>
      <c r="AT44">
        <v>38645519</v>
      </c>
      <c r="AU44">
        <v>57970862</v>
      </c>
      <c r="AV44">
        <v>96616382</v>
      </c>
      <c r="AW44">
        <v>25.0078</v>
      </c>
      <c r="AX44">
        <v>11.9619</v>
      </c>
      <c r="AY44">
        <v>5468.21</v>
      </c>
      <c r="AZ44">
        <v>4163.07</v>
      </c>
      <c r="BA44">
        <v>1749</v>
      </c>
      <c r="BB44">
        <v>173</v>
      </c>
      <c r="BC44" t="str">
        <f t="shared" si="0"/>
        <v>u=40% k=2x10^6</v>
      </c>
    </row>
    <row r="45" spans="1:55">
      <c r="A45" t="s">
        <v>220</v>
      </c>
      <c r="B45" t="s">
        <v>83</v>
      </c>
      <c r="C45">
        <v>72</v>
      </c>
      <c r="D45" t="s">
        <v>64</v>
      </c>
      <c r="E45" t="s">
        <v>60</v>
      </c>
      <c r="F45" t="s">
        <v>61</v>
      </c>
      <c r="G45">
        <v>30000</v>
      </c>
      <c r="H45">
        <v>20</v>
      </c>
      <c r="I45">
        <v>20</v>
      </c>
      <c r="J45">
        <v>0</v>
      </c>
      <c r="K45">
        <v>1</v>
      </c>
      <c r="L45">
        <v>20000000</v>
      </c>
      <c r="M45">
        <v>190</v>
      </c>
      <c r="N45">
        <v>190</v>
      </c>
      <c r="O45">
        <v>190</v>
      </c>
      <c r="P45">
        <v>0</v>
      </c>
      <c r="Q45" t="s">
        <v>62</v>
      </c>
      <c r="R45">
        <v>100009179852255</v>
      </c>
      <c r="S45">
        <v>10001078</v>
      </c>
      <c r="T45">
        <v>100009179852255</v>
      </c>
      <c r="U45">
        <v>10001078</v>
      </c>
      <c r="V45" t="s">
        <v>71</v>
      </c>
      <c r="W45">
        <v>7</v>
      </c>
      <c r="X45">
        <v>1736924</v>
      </c>
      <c r="Y45">
        <v>11677048</v>
      </c>
      <c r="Z45">
        <v>13413972</v>
      </c>
      <c r="AA45">
        <v>10001078</v>
      </c>
      <c r="AB45">
        <v>7.7228300000000001</v>
      </c>
      <c r="AC45">
        <v>0.85647300000000004</v>
      </c>
      <c r="AD45">
        <v>1.7455700000000001</v>
      </c>
      <c r="AE45">
        <v>4.0226899999999999</v>
      </c>
      <c r="AF45">
        <v>325795952</v>
      </c>
      <c r="AG45" t="s">
        <v>221</v>
      </c>
      <c r="AH45" t="s">
        <v>222</v>
      </c>
      <c r="AI45">
        <v>2930228</v>
      </c>
      <c r="AJ45">
        <v>21888</v>
      </c>
      <c r="AK45">
        <v>1161754929787</v>
      </c>
      <c r="AL45">
        <v>5686402679995</v>
      </c>
      <c r="AM45">
        <v>1738309596</v>
      </c>
      <c r="AN45">
        <v>0</v>
      </c>
      <c r="AO45">
        <v>1158849985</v>
      </c>
      <c r="AP45">
        <v>1738309596</v>
      </c>
      <c r="AQ45">
        <v>2897159581</v>
      </c>
      <c r="AR45">
        <v>57943653</v>
      </c>
      <c r="AS45">
        <v>0</v>
      </c>
      <c r="AT45">
        <v>38628332</v>
      </c>
      <c r="AU45">
        <v>57943653</v>
      </c>
      <c r="AV45">
        <v>96571986</v>
      </c>
      <c r="AW45">
        <v>28.627600000000001</v>
      </c>
      <c r="AX45">
        <v>15.322699999999999</v>
      </c>
      <c r="AY45">
        <v>5297.2</v>
      </c>
      <c r="AZ45">
        <v>3609.97</v>
      </c>
      <c r="BA45">
        <v>2949</v>
      </c>
      <c r="BB45">
        <v>384</v>
      </c>
      <c r="BC45" t="str">
        <f t="shared" si="0"/>
        <v>u=40% k=2x10^7</v>
      </c>
    </row>
    <row r="46" spans="1:55">
      <c r="A46" t="s">
        <v>223</v>
      </c>
      <c r="B46" t="s">
        <v>83</v>
      </c>
      <c r="C46">
        <v>72</v>
      </c>
      <c r="D46" t="s">
        <v>64</v>
      </c>
      <c r="E46" t="s">
        <v>60</v>
      </c>
      <c r="F46" t="s">
        <v>61</v>
      </c>
      <c r="G46">
        <v>30000</v>
      </c>
      <c r="H46">
        <v>20</v>
      </c>
      <c r="I46">
        <v>20</v>
      </c>
      <c r="J46">
        <v>0</v>
      </c>
      <c r="K46">
        <v>1</v>
      </c>
      <c r="L46">
        <v>200000000</v>
      </c>
      <c r="M46">
        <v>190</v>
      </c>
      <c r="N46">
        <v>190</v>
      </c>
      <c r="O46">
        <v>190</v>
      </c>
      <c r="P46">
        <v>0</v>
      </c>
      <c r="Q46" t="s">
        <v>62</v>
      </c>
      <c r="R46">
        <v>9998778930122230</v>
      </c>
      <c r="S46">
        <v>99991696</v>
      </c>
      <c r="T46">
        <v>9998778930122230</v>
      </c>
      <c r="U46">
        <v>99991696</v>
      </c>
      <c r="V46" t="s">
        <v>71</v>
      </c>
      <c r="W46">
        <v>7</v>
      </c>
      <c r="X46">
        <v>11010053</v>
      </c>
      <c r="Y46">
        <v>109991804</v>
      </c>
      <c r="Z46">
        <v>121001857</v>
      </c>
      <c r="AA46">
        <v>99991696</v>
      </c>
      <c r="AB46">
        <v>10.9901</v>
      </c>
      <c r="AC46">
        <v>0.90908299999999997</v>
      </c>
      <c r="AD46">
        <v>1.82636</v>
      </c>
      <c r="AE46">
        <v>4</v>
      </c>
      <c r="AF46">
        <v>2640673088</v>
      </c>
      <c r="AG46" t="s">
        <v>224</v>
      </c>
      <c r="AH46" t="s">
        <v>225</v>
      </c>
      <c r="AI46">
        <v>509442</v>
      </c>
      <c r="AJ46">
        <v>12596</v>
      </c>
      <c r="AK46">
        <v>1154056819447</v>
      </c>
      <c r="AL46">
        <v>5714019870956</v>
      </c>
      <c r="AM46">
        <v>1499954165</v>
      </c>
      <c r="AN46">
        <v>0</v>
      </c>
      <c r="AO46">
        <v>999981949</v>
      </c>
      <c r="AP46">
        <v>1499954165</v>
      </c>
      <c r="AQ46">
        <v>2499936114</v>
      </c>
      <c r="AR46">
        <v>49998472</v>
      </c>
      <c r="AS46">
        <v>0</v>
      </c>
      <c r="AT46">
        <v>33332731</v>
      </c>
      <c r="AU46">
        <v>49998472</v>
      </c>
      <c r="AV46">
        <v>83331203</v>
      </c>
      <c r="AW46">
        <v>31.5639</v>
      </c>
      <c r="AX46">
        <v>17.663</v>
      </c>
      <c r="AY46">
        <v>5705.76</v>
      </c>
      <c r="AZ46">
        <v>4214.66</v>
      </c>
      <c r="BA46">
        <v>14479</v>
      </c>
      <c r="BB46">
        <v>1211</v>
      </c>
      <c r="BC46" t="str">
        <f t="shared" si="0"/>
        <v>u=40% k=2x10^8</v>
      </c>
    </row>
    <row r="47" spans="1:55">
      <c r="A47" t="s">
        <v>226</v>
      </c>
      <c r="B47" t="s">
        <v>83</v>
      </c>
      <c r="C47">
        <v>72</v>
      </c>
      <c r="D47" t="s">
        <v>64</v>
      </c>
      <c r="E47" t="s">
        <v>60</v>
      </c>
      <c r="F47" t="s">
        <v>61</v>
      </c>
      <c r="G47">
        <v>30000</v>
      </c>
      <c r="H47">
        <v>0.5</v>
      </c>
      <c r="I47">
        <v>0.5</v>
      </c>
      <c r="J47">
        <v>0</v>
      </c>
      <c r="K47">
        <v>1</v>
      </c>
      <c r="L47">
        <v>2000000</v>
      </c>
      <c r="M47">
        <v>190</v>
      </c>
      <c r="N47">
        <v>190</v>
      </c>
      <c r="O47">
        <v>190</v>
      </c>
      <c r="P47">
        <v>0</v>
      </c>
      <c r="Q47" t="s">
        <v>62</v>
      </c>
      <c r="R47">
        <v>998915848699</v>
      </c>
      <c r="S47">
        <v>999574</v>
      </c>
      <c r="T47">
        <v>998915848699</v>
      </c>
      <c r="U47">
        <v>999574</v>
      </c>
      <c r="V47" t="s">
        <v>71</v>
      </c>
      <c r="W47">
        <v>6</v>
      </c>
      <c r="X47">
        <v>57717</v>
      </c>
      <c r="Y47">
        <v>1081523</v>
      </c>
      <c r="Z47">
        <v>1139240</v>
      </c>
      <c r="AA47">
        <v>999574</v>
      </c>
      <c r="AB47">
        <v>19.738399999999999</v>
      </c>
      <c r="AC47">
        <v>0.92422800000000005</v>
      </c>
      <c r="AD47">
        <v>1.8774</v>
      </c>
      <c r="AE47">
        <v>3.0518200000000002</v>
      </c>
      <c r="AF47">
        <v>21947600</v>
      </c>
      <c r="AG47" t="s">
        <v>227</v>
      </c>
      <c r="AH47" t="s">
        <v>228</v>
      </c>
      <c r="AI47">
        <v>314915</v>
      </c>
      <c r="AJ47">
        <v>88708</v>
      </c>
      <c r="AK47">
        <v>117309877809</v>
      </c>
      <c r="AL47">
        <v>5686394489041</v>
      </c>
      <c r="AM47">
        <v>12821188563</v>
      </c>
      <c r="AN47">
        <v>0</v>
      </c>
      <c r="AO47">
        <v>129516064</v>
      </c>
      <c r="AP47">
        <v>12821188563</v>
      </c>
      <c r="AQ47">
        <v>12950704627</v>
      </c>
      <c r="AR47">
        <v>427372952</v>
      </c>
      <c r="AS47">
        <v>0</v>
      </c>
      <c r="AT47">
        <v>4317202</v>
      </c>
      <c r="AU47">
        <v>427372952</v>
      </c>
      <c r="AV47">
        <v>431690154</v>
      </c>
      <c r="AW47">
        <v>8.6324199999999998</v>
      </c>
      <c r="AX47">
        <v>0.41528999999999999</v>
      </c>
      <c r="AY47">
        <v>1203.72</v>
      </c>
      <c r="AZ47">
        <v>460.62299999999999</v>
      </c>
      <c r="BA47">
        <v>1424</v>
      </c>
      <c r="BB47">
        <v>353</v>
      </c>
      <c r="BC47" t="str">
        <f t="shared" si="0"/>
        <v>u=1% k=2x10^6</v>
      </c>
    </row>
    <row r="48" spans="1:55">
      <c r="A48" t="s">
        <v>229</v>
      </c>
      <c r="B48" t="s">
        <v>83</v>
      </c>
      <c r="C48">
        <v>72</v>
      </c>
      <c r="D48" t="s">
        <v>64</v>
      </c>
      <c r="E48" t="s">
        <v>60</v>
      </c>
      <c r="F48" t="s">
        <v>61</v>
      </c>
      <c r="G48">
        <v>30000</v>
      </c>
      <c r="H48">
        <v>0.5</v>
      </c>
      <c r="I48">
        <v>0.5</v>
      </c>
      <c r="J48">
        <v>0</v>
      </c>
      <c r="K48">
        <v>1</v>
      </c>
      <c r="L48">
        <v>20000000</v>
      </c>
      <c r="M48">
        <v>190</v>
      </c>
      <c r="N48">
        <v>190</v>
      </c>
      <c r="O48">
        <v>190</v>
      </c>
      <c r="P48">
        <v>0</v>
      </c>
      <c r="Q48" t="s">
        <v>62</v>
      </c>
      <c r="R48">
        <v>99950983306273</v>
      </c>
      <c r="S48">
        <v>9995845</v>
      </c>
      <c r="T48">
        <v>99950983306273</v>
      </c>
      <c r="U48">
        <v>9995845</v>
      </c>
      <c r="V48" t="s">
        <v>71</v>
      </c>
      <c r="W48">
        <v>7</v>
      </c>
      <c r="X48">
        <v>1679661</v>
      </c>
      <c r="Y48">
        <v>11547109</v>
      </c>
      <c r="Z48">
        <v>13226770</v>
      </c>
      <c r="AA48">
        <v>9995845</v>
      </c>
      <c r="AB48">
        <v>7.8746700000000001</v>
      </c>
      <c r="AC48">
        <v>0.86565800000000004</v>
      </c>
      <c r="AD48">
        <v>1.75573</v>
      </c>
      <c r="AE48">
        <v>4.0108800000000002</v>
      </c>
      <c r="AF48">
        <v>319126640</v>
      </c>
      <c r="AG48" t="s">
        <v>230</v>
      </c>
      <c r="AH48" t="s">
        <v>231</v>
      </c>
      <c r="AI48">
        <v>34242</v>
      </c>
      <c r="AJ48">
        <v>45986</v>
      </c>
      <c r="AK48">
        <v>125471246027</v>
      </c>
      <c r="AL48">
        <v>5686394308887</v>
      </c>
      <c r="AM48">
        <v>7448506104</v>
      </c>
      <c r="AN48">
        <v>0</v>
      </c>
      <c r="AO48">
        <v>75229214</v>
      </c>
      <c r="AP48">
        <v>7448506104</v>
      </c>
      <c r="AQ48">
        <v>7523735318</v>
      </c>
      <c r="AR48">
        <v>248283536</v>
      </c>
      <c r="AS48">
        <v>0</v>
      </c>
      <c r="AT48">
        <v>2507640</v>
      </c>
      <c r="AU48">
        <v>248283536</v>
      </c>
      <c r="AV48">
        <v>250791177</v>
      </c>
      <c r="AW48">
        <v>16.3675</v>
      </c>
      <c r="AX48">
        <v>6.6539099999999998</v>
      </c>
      <c r="AY48">
        <v>2068.84</v>
      </c>
      <c r="AZ48">
        <v>1299.8399999999999</v>
      </c>
      <c r="BA48">
        <v>2773</v>
      </c>
      <c r="BB48">
        <v>372</v>
      </c>
      <c r="BC48" t="str">
        <f t="shared" si="0"/>
        <v>u=1% k=2x10^7</v>
      </c>
    </row>
    <row r="49" spans="1:55">
      <c r="A49" t="s">
        <v>232</v>
      </c>
      <c r="B49" t="s">
        <v>83</v>
      </c>
      <c r="C49">
        <v>72</v>
      </c>
      <c r="D49" t="s">
        <v>64</v>
      </c>
      <c r="E49" t="s">
        <v>60</v>
      </c>
      <c r="F49" t="s">
        <v>61</v>
      </c>
      <c r="G49">
        <v>30000</v>
      </c>
      <c r="H49">
        <v>0.5</v>
      </c>
      <c r="I49">
        <v>0.5</v>
      </c>
      <c r="J49">
        <v>0</v>
      </c>
      <c r="K49">
        <v>1</v>
      </c>
      <c r="L49">
        <v>200000000</v>
      </c>
      <c r="M49">
        <v>190</v>
      </c>
      <c r="N49">
        <v>190</v>
      </c>
      <c r="O49">
        <v>190</v>
      </c>
      <c r="P49">
        <v>0</v>
      </c>
      <c r="Q49" t="s">
        <v>62</v>
      </c>
      <c r="R49">
        <v>9998908389379750</v>
      </c>
      <c r="S49">
        <v>99988811</v>
      </c>
      <c r="T49">
        <v>9998908389379750</v>
      </c>
      <c r="U49">
        <v>99988811</v>
      </c>
      <c r="V49" t="s">
        <v>71</v>
      </c>
      <c r="W49">
        <v>7</v>
      </c>
      <c r="X49">
        <v>12623423</v>
      </c>
      <c r="Y49">
        <v>113255034</v>
      </c>
      <c r="Z49">
        <v>125878457</v>
      </c>
      <c r="AA49">
        <v>99988811</v>
      </c>
      <c r="AB49">
        <v>9.9718199999999992</v>
      </c>
      <c r="AC49">
        <v>0.88286399999999998</v>
      </c>
      <c r="AD49">
        <v>1.79433</v>
      </c>
      <c r="AE49">
        <v>4.0329199999999998</v>
      </c>
      <c r="AF49">
        <v>2822656528</v>
      </c>
      <c r="AG49" t="s">
        <v>233</v>
      </c>
      <c r="AH49" t="s">
        <v>234</v>
      </c>
      <c r="AI49">
        <v>4765</v>
      </c>
      <c r="AJ49">
        <v>32922</v>
      </c>
      <c r="AK49">
        <v>117357800667</v>
      </c>
      <c r="AL49">
        <v>5686394135720</v>
      </c>
      <c r="AM49">
        <v>5655313880</v>
      </c>
      <c r="AN49">
        <v>0</v>
      </c>
      <c r="AO49">
        <v>57125215</v>
      </c>
      <c r="AP49">
        <v>5655313880</v>
      </c>
      <c r="AQ49">
        <v>5712439095</v>
      </c>
      <c r="AR49">
        <v>188510462</v>
      </c>
      <c r="AS49">
        <v>0</v>
      </c>
      <c r="AT49">
        <v>1904173</v>
      </c>
      <c r="AU49">
        <v>188510462</v>
      </c>
      <c r="AV49">
        <v>190414636</v>
      </c>
      <c r="AW49">
        <v>19.474</v>
      </c>
      <c r="AX49">
        <v>9.5708000000000002</v>
      </c>
      <c r="AY49">
        <v>2720.56</v>
      </c>
      <c r="AZ49">
        <v>1973.39</v>
      </c>
      <c r="BA49">
        <v>13374</v>
      </c>
      <c r="BB49">
        <v>1138</v>
      </c>
      <c r="BC49" t="str">
        <f t="shared" si="0"/>
        <v>u=1% k=2x10^8</v>
      </c>
    </row>
    <row r="50" spans="1:55">
      <c r="A50" t="s">
        <v>235</v>
      </c>
      <c r="B50" t="s">
        <v>83</v>
      </c>
      <c r="C50">
        <v>72</v>
      </c>
      <c r="D50" t="s">
        <v>64</v>
      </c>
      <c r="E50" t="s">
        <v>60</v>
      </c>
      <c r="F50" t="s">
        <v>61</v>
      </c>
      <c r="G50">
        <v>30000</v>
      </c>
      <c r="H50">
        <v>5</v>
      </c>
      <c r="I50">
        <v>5</v>
      </c>
      <c r="J50">
        <v>0</v>
      </c>
      <c r="K50">
        <v>1</v>
      </c>
      <c r="L50">
        <v>2000000</v>
      </c>
      <c r="M50">
        <v>190</v>
      </c>
      <c r="N50">
        <v>190</v>
      </c>
      <c r="O50">
        <v>190</v>
      </c>
      <c r="P50">
        <v>0</v>
      </c>
      <c r="Q50" t="s">
        <v>62</v>
      </c>
      <c r="R50">
        <v>1000659889533</v>
      </c>
      <c r="S50">
        <v>1000452</v>
      </c>
      <c r="T50">
        <v>1000659889533</v>
      </c>
      <c r="U50">
        <v>1000452</v>
      </c>
      <c r="V50" t="s">
        <v>71</v>
      </c>
      <c r="W50">
        <v>6</v>
      </c>
      <c r="X50">
        <v>54633</v>
      </c>
      <c r="Y50">
        <v>1076360</v>
      </c>
      <c r="Z50">
        <v>1130993</v>
      </c>
      <c r="AA50">
        <v>1000452</v>
      </c>
      <c r="AB50">
        <v>20.701599999999999</v>
      </c>
      <c r="AC50">
        <v>0.929477</v>
      </c>
      <c r="AD50">
        <v>1.8845799999999999</v>
      </c>
      <c r="AE50">
        <v>3.04515</v>
      </c>
      <c r="AF50">
        <v>21613904</v>
      </c>
      <c r="AG50" t="s">
        <v>236</v>
      </c>
      <c r="AH50" t="s">
        <v>237</v>
      </c>
      <c r="AI50">
        <v>8084239</v>
      </c>
      <c r="AJ50">
        <v>50300</v>
      </c>
      <c r="AK50">
        <v>881374050566</v>
      </c>
      <c r="AL50">
        <v>5686395307332</v>
      </c>
      <c r="AM50">
        <v>6606599795</v>
      </c>
      <c r="AN50">
        <v>0</v>
      </c>
      <c r="AO50">
        <v>734088202</v>
      </c>
      <c r="AP50">
        <v>6606599795</v>
      </c>
      <c r="AQ50">
        <v>7340687997</v>
      </c>
      <c r="AR50">
        <v>220219993</v>
      </c>
      <c r="AS50">
        <v>0</v>
      </c>
      <c r="AT50">
        <v>24469606</v>
      </c>
      <c r="AU50">
        <v>220219993</v>
      </c>
      <c r="AV50">
        <v>244689599</v>
      </c>
      <c r="AW50">
        <v>12.3414</v>
      </c>
      <c r="AX50">
        <v>3.1532399999999998</v>
      </c>
      <c r="AY50">
        <v>2150.13</v>
      </c>
      <c r="AZ50">
        <v>1313.25</v>
      </c>
      <c r="BA50">
        <v>1605</v>
      </c>
      <c r="BB50">
        <v>224</v>
      </c>
      <c r="BC50" t="str">
        <f t="shared" si="0"/>
        <v>u=10% k=2x10^6</v>
      </c>
    </row>
    <row r="51" spans="1:55">
      <c r="A51" t="s">
        <v>238</v>
      </c>
      <c r="B51" t="s">
        <v>83</v>
      </c>
      <c r="C51">
        <v>72</v>
      </c>
      <c r="D51" t="s">
        <v>64</v>
      </c>
      <c r="E51" t="s">
        <v>60</v>
      </c>
      <c r="F51" t="s">
        <v>61</v>
      </c>
      <c r="G51">
        <v>30000</v>
      </c>
      <c r="H51">
        <v>5</v>
      </c>
      <c r="I51">
        <v>5</v>
      </c>
      <c r="J51">
        <v>0</v>
      </c>
      <c r="K51">
        <v>1</v>
      </c>
      <c r="L51">
        <v>20000000</v>
      </c>
      <c r="M51">
        <v>190</v>
      </c>
      <c r="N51">
        <v>190</v>
      </c>
      <c r="O51">
        <v>190</v>
      </c>
      <c r="P51">
        <v>0</v>
      </c>
      <c r="Q51" t="s">
        <v>62</v>
      </c>
      <c r="R51">
        <v>99980909124694</v>
      </c>
      <c r="S51">
        <v>9999102</v>
      </c>
      <c r="T51">
        <v>99980909124694</v>
      </c>
      <c r="U51">
        <v>9999102</v>
      </c>
      <c r="V51" t="s">
        <v>71</v>
      </c>
      <c r="W51">
        <v>7</v>
      </c>
      <c r="X51">
        <v>1775458</v>
      </c>
      <c r="Y51">
        <v>11760932</v>
      </c>
      <c r="Z51">
        <v>13536390</v>
      </c>
      <c r="AA51">
        <v>9999102</v>
      </c>
      <c r="AB51">
        <v>7.6241700000000003</v>
      </c>
      <c r="AC51">
        <v>0.85019599999999995</v>
      </c>
      <c r="AD51">
        <v>1.73868</v>
      </c>
      <c r="AE51">
        <v>4.0300700000000003</v>
      </c>
      <c r="AF51">
        <v>330231776</v>
      </c>
      <c r="AG51" t="s">
        <v>239</v>
      </c>
      <c r="AH51" t="s">
        <v>240</v>
      </c>
      <c r="AI51">
        <v>835903</v>
      </c>
      <c r="AJ51">
        <v>35954</v>
      </c>
      <c r="AK51">
        <v>551805803295</v>
      </c>
      <c r="AL51">
        <v>5686375369186</v>
      </c>
      <c r="AM51">
        <v>4938192821</v>
      </c>
      <c r="AN51">
        <v>0</v>
      </c>
      <c r="AO51">
        <v>548697906</v>
      </c>
      <c r="AP51">
        <v>4938192821</v>
      </c>
      <c r="AQ51">
        <v>5486890727</v>
      </c>
      <c r="AR51">
        <v>164606427</v>
      </c>
      <c r="AS51">
        <v>0</v>
      </c>
      <c r="AT51">
        <v>18289930</v>
      </c>
      <c r="AU51">
        <v>164606427</v>
      </c>
      <c r="AV51">
        <v>182896357</v>
      </c>
      <c r="AW51">
        <v>19.261299999999999</v>
      </c>
      <c r="AX51">
        <v>8.5583899999999993</v>
      </c>
      <c r="AY51">
        <v>2831.13</v>
      </c>
      <c r="AZ51">
        <v>1893.67</v>
      </c>
      <c r="BA51">
        <v>2872</v>
      </c>
      <c r="BB51">
        <v>407</v>
      </c>
      <c r="BC51" t="str">
        <f t="shared" si="0"/>
        <v>u=10% k=2x10^7</v>
      </c>
    </row>
    <row r="52" spans="1:55">
      <c r="A52" t="s">
        <v>241</v>
      </c>
      <c r="B52" t="s">
        <v>83</v>
      </c>
      <c r="C52">
        <v>72</v>
      </c>
      <c r="D52" t="s">
        <v>64</v>
      </c>
      <c r="E52" t="s">
        <v>60</v>
      </c>
      <c r="F52" t="s">
        <v>61</v>
      </c>
      <c r="G52">
        <v>30000</v>
      </c>
      <c r="H52">
        <v>5</v>
      </c>
      <c r="I52">
        <v>5</v>
      </c>
      <c r="J52">
        <v>0</v>
      </c>
      <c r="K52">
        <v>1</v>
      </c>
      <c r="L52">
        <v>200000000</v>
      </c>
      <c r="M52">
        <v>190</v>
      </c>
      <c r="N52">
        <v>190</v>
      </c>
      <c r="O52">
        <v>190</v>
      </c>
      <c r="P52">
        <v>0</v>
      </c>
      <c r="Q52" t="s">
        <v>62</v>
      </c>
      <c r="R52">
        <v>9998767763673020</v>
      </c>
      <c r="S52">
        <v>99995735</v>
      </c>
      <c r="T52">
        <v>9998767763673020</v>
      </c>
      <c r="U52">
        <v>99995735</v>
      </c>
      <c r="V52" t="s">
        <v>71</v>
      </c>
      <c r="W52">
        <v>7</v>
      </c>
      <c r="X52">
        <v>14849987</v>
      </c>
      <c r="Y52">
        <v>118027036</v>
      </c>
      <c r="Z52">
        <v>132877023</v>
      </c>
      <c r="AA52">
        <v>99995735</v>
      </c>
      <c r="AB52">
        <v>8.9479600000000001</v>
      </c>
      <c r="AC52">
        <v>0.84722699999999995</v>
      </c>
      <c r="AD52">
        <v>1.75254</v>
      </c>
      <c r="AE52">
        <v>4.0801999999999996</v>
      </c>
      <c r="AF52">
        <v>3080389456</v>
      </c>
      <c r="AG52" t="s">
        <v>242</v>
      </c>
      <c r="AH52" t="s">
        <v>243</v>
      </c>
      <c r="AI52">
        <v>128221</v>
      </c>
      <c r="AJ52">
        <v>19080</v>
      </c>
      <c r="AK52">
        <v>569832710253</v>
      </c>
      <c r="AL52">
        <v>5686401129462</v>
      </c>
      <c r="AM52">
        <v>3847559197</v>
      </c>
      <c r="AN52">
        <v>0</v>
      </c>
      <c r="AO52">
        <v>427488652</v>
      </c>
      <c r="AP52">
        <v>3847559197</v>
      </c>
      <c r="AQ52">
        <v>4275047849</v>
      </c>
      <c r="AR52">
        <v>128251973</v>
      </c>
      <c r="AS52">
        <v>0</v>
      </c>
      <c r="AT52">
        <v>14249621</v>
      </c>
      <c r="AU52">
        <v>128251973</v>
      </c>
      <c r="AV52">
        <v>142501594</v>
      </c>
      <c r="AW52">
        <v>22.250800000000002</v>
      </c>
      <c r="AX52">
        <v>11.278499999999999</v>
      </c>
      <c r="AY52">
        <v>3433.99</v>
      </c>
      <c r="AZ52">
        <v>2550.98</v>
      </c>
      <c r="BA52">
        <v>14266</v>
      </c>
      <c r="BB52">
        <v>1076</v>
      </c>
      <c r="BC52" t="str">
        <f t="shared" si="0"/>
        <v>u=10% k=2x10^8</v>
      </c>
    </row>
    <row r="53" spans="1:55">
      <c r="A53" t="s">
        <v>244</v>
      </c>
      <c r="B53" t="s">
        <v>83</v>
      </c>
      <c r="C53">
        <v>72</v>
      </c>
      <c r="D53" t="s">
        <v>64</v>
      </c>
      <c r="E53" t="s">
        <v>60</v>
      </c>
      <c r="F53" t="s">
        <v>61</v>
      </c>
      <c r="G53">
        <v>30000</v>
      </c>
      <c r="H53">
        <v>20</v>
      </c>
      <c r="I53">
        <v>20</v>
      </c>
      <c r="J53">
        <v>0</v>
      </c>
      <c r="K53">
        <v>1</v>
      </c>
      <c r="L53">
        <v>2000000</v>
      </c>
      <c r="M53">
        <v>190</v>
      </c>
      <c r="N53">
        <v>190</v>
      </c>
      <c r="O53">
        <v>190</v>
      </c>
      <c r="P53">
        <v>0</v>
      </c>
      <c r="Q53" t="s">
        <v>62</v>
      </c>
      <c r="R53">
        <v>999816125481</v>
      </c>
      <c r="S53">
        <v>999491</v>
      </c>
      <c r="T53">
        <v>999816125481</v>
      </c>
      <c r="U53">
        <v>999491</v>
      </c>
      <c r="V53" t="s">
        <v>71</v>
      </c>
      <c r="W53">
        <v>6</v>
      </c>
      <c r="X53">
        <v>54983</v>
      </c>
      <c r="Y53">
        <v>1076269</v>
      </c>
      <c r="Z53">
        <v>1131252</v>
      </c>
      <c r="AA53">
        <v>999491</v>
      </c>
      <c r="AB53">
        <v>20.5746</v>
      </c>
      <c r="AC53">
        <v>0.92866300000000002</v>
      </c>
      <c r="AD53">
        <v>1.8835299999999999</v>
      </c>
      <c r="AE53">
        <v>3.04603</v>
      </c>
      <c r="AF53">
        <v>21640912</v>
      </c>
      <c r="AG53" t="s">
        <v>245</v>
      </c>
      <c r="AH53" t="s">
        <v>246</v>
      </c>
      <c r="AI53">
        <v>24614577</v>
      </c>
      <c r="AJ53">
        <v>20936</v>
      </c>
      <c r="AK53">
        <v>1780866237710</v>
      </c>
      <c r="AL53">
        <v>5686354852069</v>
      </c>
      <c r="AM53">
        <v>1741009015</v>
      </c>
      <c r="AN53">
        <v>0</v>
      </c>
      <c r="AO53">
        <v>1160570264</v>
      </c>
      <c r="AP53">
        <v>1741009015</v>
      </c>
      <c r="AQ53">
        <v>2901579279</v>
      </c>
      <c r="AR53">
        <v>58033633</v>
      </c>
      <c r="AS53">
        <v>0</v>
      </c>
      <c r="AT53">
        <v>38685675</v>
      </c>
      <c r="AU53">
        <v>58033633</v>
      </c>
      <c r="AV53">
        <v>96719309</v>
      </c>
      <c r="AW53">
        <v>25.0123</v>
      </c>
      <c r="AX53">
        <v>11.9649</v>
      </c>
      <c r="AY53">
        <v>5464.88</v>
      </c>
      <c r="AZ53">
        <v>4159.3100000000004</v>
      </c>
      <c r="BA53">
        <v>1752</v>
      </c>
      <c r="BB53">
        <v>294</v>
      </c>
      <c r="BC53" t="str">
        <f t="shared" si="0"/>
        <v>u=40% k=2x10^6</v>
      </c>
    </row>
    <row r="54" spans="1:55">
      <c r="A54" t="s">
        <v>247</v>
      </c>
      <c r="B54" t="s">
        <v>83</v>
      </c>
      <c r="C54">
        <v>72</v>
      </c>
      <c r="D54" t="s">
        <v>64</v>
      </c>
      <c r="E54" t="s">
        <v>60</v>
      </c>
      <c r="F54" t="s">
        <v>61</v>
      </c>
      <c r="G54">
        <v>30000</v>
      </c>
      <c r="H54">
        <v>20</v>
      </c>
      <c r="I54">
        <v>20</v>
      </c>
      <c r="J54">
        <v>0</v>
      </c>
      <c r="K54">
        <v>1</v>
      </c>
      <c r="L54">
        <v>20000000</v>
      </c>
      <c r="M54">
        <v>190</v>
      </c>
      <c r="N54">
        <v>190</v>
      </c>
      <c r="O54">
        <v>190</v>
      </c>
      <c r="P54">
        <v>0</v>
      </c>
      <c r="Q54" t="s">
        <v>62</v>
      </c>
      <c r="R54">
        <v>100014116048572</v>
      </c>
      <c r="S54">
        <v>10002303</v>
      </c>
      <c r="T54">
        <v>100014116048572</v>
      </c>
      <c r="U54">
        <v>10002303</v>
      </c>
      <c r="V54" t="s">
        <v>71</v>
      </c>
      <c r="W54">
        <v>7</v>
      </c>
      <c r="X54">
        <v>1676646</v>
      </c>
      <c r="Y54">
        <v>11546400</v>
      </c>
      <c r="Z54">
        <v>13223046</v>
      </c>
      <c r="AA54">
        <v>10002303</v>
      </c>
      <c r="AB54">
        <v>7.8866100000000001</v>
      </c>
      <c r="AC54">
        <v>0.86626999999999998</v>
      </c>
      <c r="AD54">
        <v>1.7564299999999999</v>
      </c>
      <c r="AE54">
        <v>4.0101699999999996</v>
      </c>
      <c r="AF54">
        <v>318874128</v>
      </c>
      <c r="AG54" t="s">
        <v>248</v>
      </c>
      <c r="AH54" t="s">
        <v>249</v>
      </c>
      <c r="AI54">
        <v>2951393</v>
      </c>
      <c r="AJ54">
        <v>22120</v>
      </c>
      <c r="AK54">
        <v>1161630881250</v>
      </c>
      <c r="AL54">
        <v>5686354668176</v>
      </c>
      <c r="AM54">
        <v>1740150430</v>
      </c>
      <c r="AN54">
        <v>0</v>
      </c>
      <c r="AO54">
        <v>1160081159</v>
      </c>
      <c r="AP54">
        <v>1740150430</v>
      </c>
      <c r="AQ54">
        <v>2900231589</v>
      </c>
      <c r="AR54">
        <v>58005014</v>
      </c>
      <c r="AS54">
        <v>0</v>
      </c>
      <c r="AT54">
        <v>38669371</v>
      </c>
      <c r="AU54">
        <v>58005014</v>
      </c>
      <c r="AV54">
        <v>96674386</v>
      </c>
      <c r="AW54">
        <v>28.685600000000001</v>
      </c>
      <c r="AX54">
        <v>15.3109</v>
      </c>
      <c r="AY54">
        <v>5296.44</v>
      </c>
      <c r="AZ54">
        <v>3610.05</v>
      </c>
      <c r="BA54">
        <v>2945</v>
      </c>
      <c r="BB54">
        <v>356</v>
      </c>
      <c r="BC54" t="str">
        <f t="shared" si="0"/>
        <v>u=40% k=2x10^7</v>
      </c>
    </row>
    <row r="55" spans="1:55">
      <c r="A55" t="s">
        <v>250</v>
      </c>
      <c r="B55" t="s">
        <v>83</v>
      </c>
      <c r="C55">
        <v>72</v>
      </c>
      <c r="D55" t="s">
        <v>64</v>
      </c>
      <c r="E55" t="s">
        <v>60</v>
      </c>
      <c r="F55" t="s">
        <v>61</v>
      </c>
      <c r="G55">
        <v>30000</v>
      </c>
      <c r="H55">
        <v>20</v>
      </c>
      <c r="I55">
        <v>20</v>
      </c>
      <c r="J55">
        <v>0</v>
      </c>
      <c r="K55">
        <v>1</v>
      </c>
      <c r="L55">
        <v>200000000</v>
      </c>
      <c r="M55">
        <v>190</v>
      </c>
      <c r="N55">
        <v>190</v>
      </c>
      <c r="O55">
        <v>190</v>
      </c>
      <c r="P55">
        <v>0</v>
      </c>
      <c r="Q55" t="s">
        <v>62</v>
      </c>
      <c r="R55">
        <v>1.00003283328422E+16</v>
      </c>
      <c r="S55">
        <v>100001424</v>
      </c>
      <c r="T55">
        <v>1.00003283328422E+16</v>
      </c>
      <c r="U55">
        <v>100001424</v>
      </c>
      <c r="V55" t="s">
        <v>71</v>
      </c>
      <c r="W55">
        <v>7</v>
      </c>
      <c r="X55">
        <v>11011150</v>
      </c>
      <c r="Y55">
        <v>110002521</v>
      </c>
      <c r="Z55">
        <v>121013671</v>
      </c>
      <c r="AA55">
        <v>100001424</v>
      </c>
      <c r="AB55">
        <v>10.9901</v>
      </c>
      <c r="AC55">
        <v>0.90908299999999997</v>
      </c>
      <c r="AD55">
        <v>1.82636</v>
      </c>
      <c r="AE55">
        <v>4</v>
      </c>
      <c r="AF55">
        <v>2640932320</v>
      </c>
      <c r="AG55" t="s">
        <v>251</v>
      </c>
      <c r="AH55" t="s">
        <v>252</v>
      </c>
      <c r="AI55">
        <v>516497</v>
      </c>
      <c r="AJ55">
        <v>12730</v>
      </c>
      <c r="AK55">
        <v>1146159633604</v>
      </c>
      <c r="AL55">
        <v>5704923043698</v>
      </c>
      <c r="AM55">
        <v>1500012601</v>
      </c>
      <c r="AN55">
        <v>0</v>
      </c>
      <c r="AO55">
        <v>1000042053</v>
      </c>
      <c r="AP55">
        <v>1500012601</v>
      </c>
      <c r="AQ55">
        <v>2500054654</v>
      </c>
      <c r="AR55">
        <v>50000420</v>
      </c>
      <c r="AS55">
        <v>0</v>
      </c>
      <c r="AT55">
        <v>33334735</v>
      </c>
      <c r="AU55">
        <v>50000420</v>
      </c>
      <c r="AV55">
        <v>83335155</v>
      </c>
      <c r="AW55">
        <v>31.586300000000001</v>
      </c>
      <c r="AX55">
        <v>17.651499999999999</v>
      </c>
      <c r="AY55">
        <v>5717.26</v>
      </c>
      <c r="AZ55">
        <v>4223.51</v>
      </c>
      <c r="BA55">
        <v>14413</v>
      </c>
      <c r="BB55">
        <v>1092</v>
      </c>
      <c r="BC55" t="str">
        <f t="shared" si="0"/>
        <v>u=40% k=2x10^8</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9"/>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c r="AA2" t="s">
        <v>66</v>
      </c>
    </row>
    <row r="3" spans="1:27">
      <c r="Z3" s="2"/>
    </row>
    <row r="4" spans="1:27">
      <c r="A4" s="6" t="s">
        <v>63</v>
      </c>
      <c r="B4" s="6" t="s">
        <v>18</v>
      </c>
      <c r="Z4" s="2"/>
    </row>
    <row r="5" spans="1:27">
      <c r="A5" s="6" t="s">
        <v>19</v>
      </c>
      <c r="B5" t="s">
        <v>82</v>
      </c>
      <c r="C5" t="s">
        <v>83</v>
      </c>
      <c r="Z5" s="2"/>
    </row>
    <row r="6" spans="1:27">
      <c r="A6" s="7" t="s">
        <v>84</v>
      </c>
      <c r="B6" s="8">
        <v>15649747</v>
      </c>
      <c r="C6" s="8">
        <v>83333753.333333328</v>
      </c>
      <c r="N6" s="2"/>
    </row>
    <row r="7" spans="1:27">
      <c r="A7" s="7" t="s">
        <v>85</v>
      </c>
      <c r="B7" s="8">
        <v>15653557</v>
      </c>
      <c r="C7" s="8">
        <v>96632182.666666672</v>
      </c>
    </row>
    <row r="8" spans="1:27">
      <c r="A8" s="7" t="s">
        <v>86</v>
      </c>
      <c r="B8" s="8">
        <v>15077773.333333334</v>
      </c>
      <c r="C8" s="8">
        <v>96698447.666666672</v>
      </c>
      <c r="N8" s="2"/>
    </row>
    <row r="9" spans="1:27">
      <c r="A9" s="7" t="s">
        <v>87</v>
      </c>
      <c r="B9" s="8">
        <v>38952483.333333336</v>
      </c>
      <c r="C9" s="8">
        <v>142211840.66666666</v>
      </c>
    </row>
    <row r="10" spans="1:27">
      <c r="A10" s="7" t="s">
        <v>88</v>
      </c>
      <c r="B10" s="8">
        <v>37700059.666666664</v>
      </c>
      <c r="C10" s="8">
        <v>183111628.33333334</v>
      </c>
    </row>
    <row r="11" spans="1:27">
      <c r="A11" s="7" t="s">
        <v>89</v>
      </c>
      <c r="B11" s="8">
        <v>36916084</v>
      </c>
      <c r="C11" s="8">
        <v>244758048</v>
      </c>
    </row>
    <row r="12" spans="1:27">
      <c r="A12" s="7" t="s">
        <v>90</v>
      </c>
      <c r="B12" s="8">
        <v>131618349.33333333</v>
      </c>
      <c r="C12" s="8">
        <v>189826412.33333334</v>
      </c>
    </row>
    <row r="13" spans="1:27">
      <c r="A13" s="7" t="s">
        <v>91</v>
      </c>
      <c r="B13" s="8">
        <v>140584932</v>
      </c>
      <c r="C13" s="8">
        <v>250880315.33333334</v>
      </c>
      <c r="O13" s="3"/>
    </row>
    <row r="14" spans="1:27">
      <c r="A14" s="7" t="s">
        <v>92</v>
      </c>
      <c r="B14" s="8">
        <v>162376805.33333334</v>
      </c>
      <c r="C14" s="8">
        <v>433425049.66666669</v>
      </c>
      <c r="Z14" s="2"/>
    </row>
    <row r="20" spans="1:6">
      <c r="B20" t="s">
        <v>253</v>
      </c>
      <c r="C20" t="s">
        <v>254</v>
      </c>
    </row>
    <row r="21" spans="1:6">
      <c r="A21" t="str">
        <f>A6</f>
        <v>u=40% k=2x10^8</v>
      </c>
      <c r="B21" s="8">
        <f t="shared" ref="B21:C21" si="0">B6</f>
        <v>15649747</v>
      </c>
      <c r="C21" s="8">
        <f t="shared" si="0"/>
        <v>83333753.333333328</v>
      </c>
      <c r="D21" s="8"/>
      <c r="E21" s="8"/>
      <c r="F21" s="8"/>
    </row>
    <row r="22" spans="1:6">
      <c r="A22" t="str">
        <f t="shared" ref="A22:C25" si="1">A7</f>
        <v>u=40% k=2x10^7</v>
      </c>
      <c r="B22" s="8">
        <f t="shared" ref="B22:C22" si="2">B7</f>
        <v>15653557</v>
      </c>
      <c r="C22" s="8">
        <f t="shared" si="2"/>
        <v>96632182.666666672</v>
      </c>
      <c r="D22" s="8"/>
      <c r="E22" s="8"/>
      <c r="F22" s="8"/>
    </row>
    <row r="23" spans="1:6">
      <c r="A23" t="str">
        <f t="shared" si="1"/>
        <v>u=40% k=2x10^6</v>
      </c>
      <c r="B23" s="8">
        <f t="shared" ref="B23:C23" si="3">B8</f>
        <v>15077773.333333334</v>
      </c>
      <c r="C23" s="8">
        <f t="shared" si="3"/>
        <v>96698447.666666672</v>
      </c>
      <c r="D23" s="8"/>
      <c r="E23" s="8"/>
      <c r="F23" s="8"/>
    </row>
    <row r="24" spans="1:6">
      <c r="A24" t="str">
        <f t="shared" si="1"/>
        <v>u=10% k=2x10^8</v>
      </c>
      <c r="B24" s="8">
        <f t="shared" si="1"/>
        <v>38952483.333333336</v>
      </c>
      <c r="C24" s="8">
        <f t="shared" si="1"/>
        <v>142211840.66666666</v>
      </c>
      <c r="D24" s="8"/>
      <c r="E24" s="8"/>
      <c r="F24" s="8"/>
    </row>
    <row r="25" spans="1:6">
      <c r="A25" t="str">
        <f t="shared" si="1"/>
        <v>u=10% k=2x10^7</v>
      </c>
      <c r="B25" s="8">
        <f t="shared" si="1"/>
        <v>37700059.666666664</v>
      </c>
      <c r="C25" s="8">
        <f t="shared" si="1"/>
        <v>183111628.33333334</v>
      </c>
      <c r="D25" s="8"/>
      <c r="E25" s="8"/>
      <c r="F25" s="8"/>
    </row>
    <row r="26" spans="1:6">
      <c r="A26" t="str">
        <f t="shared" ref="A26:C26" si="4">A11</f>
        <v>u=10% k=2x10^6</v>
      </c>
      <c r="B26" s="8">
        <f t="shared" si="4"/>
        <v>36916084</v>
      </c>
      <c r="C26" s="8">
        <f t="shared" si="4"/>
        <v>244758048</v>
      </c>
      <c r="D26" s="8"/>
    </row>
    <row r="27" spans="1:6">
      <c r="A27" t="str">
        <f t="shared" ref="A27:C27" si="5">A12</f>
        <v>u=1% k=2x10^8</v>
      </c>
      <c r="B27" s="8">
        <f t="shared" si="5"/>
        <v>131618349.33333333</v>
      </c>
      <c r="C27" s="8">
        <f t="shared" si="5"/>
        <v>189826412.33333334</v>
      </c>
      <c r="D27" s="8"/>
    </row>
    <row r="28" spans="1:6">
      <c r="A28" t="str">
        <f t="shared" ref="A28:C28" si="6">A13</f>
        <v>u=1% k=2x10^7</v>
      </c>
      <c r="B28" s="8">
        <f t="shared" si="6"/>
        <v>140584932</v>
      </c>
      <c r="C28" s="8">
        <f t="shared" si="6"/>
        <v>250880315.33333334</v>
      </c>
      <c r="D28" s="8"/>
    </row>
    <row r="29" spans="1:6">
      <c r="A29" t="str">
        <f t="shared" ref="A29:C29" si="7">A14</f>
        <v>u=1% k=2x10^6</v>
      </c>
      <c r="B29" s="8">
        <f t="shared" si="7"/>
        <v>162376805.33333334</v>
      </c>
      <c r="C29" s="8">
        <f t="shared" si="7"/>
        <v>433425049.66666669</v>
      </c>
      <c r="D29" s="8"/>
    </row>
    <row r="30" spans="1:6">
      <c r="B30" s="8"/>
      <c r="C30" s="8"/>
      <c r="D30" s="8"/>
    </row>
    <row r="31" spans="1:6">
      <c r="B31" s="8"/>
      <c r="C31" s="8"/>
      <c r="D31" s="8"/>
    </row>
    <row r="32" spans="1:6">
      <c r="B32" s="8"/>
      <c r="C32" s="8"/>
      <c r="D32" s="8"/>
    </row>
    <row r="33" spans="2:4">
      <c r="B33" s="8"/>
      <c r="C33" s="8"/>
      <c r="D33" s="8"/>
    </row>
    <row r="34" spans="2:4">
      <c r="B34" s="8"/>
      <c r="C34" s="8"/>
      <c r="D34" s="8"/>
    </row>
    <row r="35" spans="2:4">
      <c r="B35" s="8"/>
      <c r="C35" s="8"/>
      <c r="D35" s="8"/>
    </row>
    <row r="36" spans="2:4">
      <c r="B36" s="8"/>
      <c r="C36" s="8"/>
      <c r="D36" s="8"/>
    </row>
    <row r="37" spans="2:4">
      <c r="B37" s="8"/>
      <c r="C37" s="8"/>
      <c r="D37" s="8"/>
    </row>
    <row r="38" spans="2:4">
      <c r="B38" s="8"/>
      <c r="C38" s="8"/>
      <c r="D38" s="8"/>
    </row>
    <row r="39" spans="2:4">
      <c r="B39" s="8"/>
      <c r="C39" s="8"/>
      <c r="D39" s="8"/>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data</vt:lpstr>
      <vt:lpstr>pivot</vt:lpstr>
      <vt:lpstr>data!ExternalData_11</vt:lpstr>
      <vt:lpstr>data!ExternalData_12</vt:lpstr>
      <vt:lpstr>data!ExternalData_13</vt:lpstr>
      <vt:lpstr>data!ExternalData_14</vt:lpstr>
      <vt:lpstr>data!ExternalData_15</vt:lpstr>
      <vt:lpstr>data!ExternalData_16</vt:lpstr>
      <vt:lpstr>data!ExternalData_17</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2019-06-05T19:14:04Z</dcterms:modified>
</cp:coreProperties>
</file>